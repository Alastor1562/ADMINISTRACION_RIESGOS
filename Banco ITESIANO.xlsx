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ue\OneDrive\Desktop\TRABAJO\UNI\8VO SEMESTRE\ADMINISTRACION_RIESGOS\"/>
    </mc:Choice>
  </mc:AlternateContent>
  <xr:revisionPtr revIDLastSave="0" documentId="13_ncr:1_{8D14C082-0708-408A-908D-A374F05187A9}" xr6:coauthVersionLast="47" xr6:coauthVersionMax="47" xr10:uidLastSave="{00000000-0000-0000-0000-000000000000}"/>
  <bookViews>
    <workbookView xWindow="-120" yWindow="-120" windowWidth="29040" windowHeight="15720" xr2:uid="{23114C35-11CD-4BE2-8A9D-20C25953A90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4" i="1" l="1"/>
  <c r="E55" i="1"/>
  <c r="E56" i="1"/>
  <c r="E57" i="1"/>
  <c r="E58" i="1"/>
  <c r="E53" i="1"/>
  <c r="E46" i="1"/>
  <c r="E50" i="1" s="1"/>
  <c r="E47" i="1"/>
  <c r="E48" i="1"/>
  <c r="E49" i="1"/>
  <c r="E45" i="1"/>
  <c r="E27" i="1"/>
  <c r="E28" i="1"/>
  <c r="E29" i="1"/>
  <c r="E26" i="1"/>
  <c r="F21" i="1"/>
  <c r="F22" i="1"/>
  <c r="F20" i="1"/>
  <c r="D5" i="1"/>
  <c r="E5" i="1"/>
  <c r="F5" i="1"/>
  <c r="G5" i="1"/>
  <c r="H5" i="1"/>
  <c r="C5" i="1"/>
  <c r="C6" i="1" s="1"/>
  <c r="E59" i="1" l="1"/>
  <c r="C61" i="1" s="1"/>
  <c r="E30" i="1"/>
  <c r="F23" i="1"/>
  <c r="D6" i="1"/>
  <c r="E6" i="1" s="1"/>
  <c r="F6" i="1" s="1"/>
  <c r="G6" i="1" s="1"/>
  <c r="H6" i="1" s="1"/>
  <c r="C32" i="1" l="1"/>
</calcChain>
</file>

<file path=xl/sharedStrings.xml><?xml version="1.0" encoding="utf-8"?>
<sst xmlns="http://schemas.openxmlformats.org/spreadsheetml/2006/main" count="76" uniqueCount="74">
  <si>
    <t>Activos que vencen</t>
  </si>
  <si>
    <t>Pasivos que vencen</t>
  </si>
  <si>
    <t>O/N</t>
  </si>
  <si>
    <t>1 semana</t>
  </si>
  <si>
    <t>1 mes</t>
  </si>
  <si>
    <t>3 meses</t>
  </si>
  <si>
    <t>6 meses</t>
  </si>
  <si>
    <t>1 año</t>
  </si>
  <si>
    <t>Brecha de Liquidez</t>
  </si>
  <si>
    <t>Brecha de Liquidez Acumulada</t>
  </si>
  <si>
    <t>¿En qué banda(s) temporal(es) el Banco Itesiano presenta mayor presión de fondeo? ¿Por
qué?</t>
  </si>
  <si>
    <t>Mes 3 (-560) --&gt; En los primeros meses tienes una salida de casi el triple a lo que le entra</t>
  </si>
  <si>
    <t>Una brecha acumulada negativa al final del período de 1 año, ¿significa necesariamente que el banco quebrará? Explica tu razonamiento.</t>
  </si>
  <si>
    <t>Enfoque estático:</t>
  </si>
  <si>
    <t>Tabla HQLA:</t>
  </si>
  <si>
    <t>Efectivo y Depo en BC</t>
  </si>
  <si>
    <t>Activo HQLA</t>
  </si>
  <si>
    <t xml:space="preserve">Nivel </t>
  </si>
  <si>
    <t xml:space="preserve">Haircut </t>
  </si>
  <si>
    <t>Valor ajust</t>
  </si>
  <si>
    <t>Valor Conta</t>
  </si>
  <si>
    <t>Bonos gubernamentales &lt; 1 año</t>
  </si>
  <si>
    <t>Bonos corporativos grado inv</t>
  </si>
  <si>
    <t>I</t>
  </si>
  <si>
    <t>IIA</t>
  </si>
  <si>
    <t>Total HQLA</t>
  </si>
  <si>
    <t>Salidas Netas a 30 días</t>
  </si>
  <si>
    <t>Depósitos a la vista</t>
  </si>
  <si>
    <t>Depósitos a plazo</t>
  </si>
  <si>
    <t>Depósitos inst mayoristas</t>
  </si>
  <si>
    <t>Líneas interbancarias</t>
  </si>
  <si>
    <t>Valor conta</t>
  </si>
  <si>
    <t>Tasa salida</t>
  </si>
  <si>
    <t>Monto</t>
  </si>
  <si>
    <t>Total Salidas Netas 30 días</t>
  </si>
  <si>
    <t>Liquidity Coverage Ratio (LCR)</t>
  </si>
  <si>
    <t>¿El LCR del Banco Itesiano cumple con el mínimo regulatorio de 100%? ¿Qué significa para el banco?</t>
  </si>
  <si>
    <t>Si cumple, es capaz de sobrevivir a una situación de estrés a corto plazo. Poseé lana de alta liquidez</t>
  </si>
  <si>
    <t>No, solo porque siga en negativo, no representa que el banco siga teniendo ganancias</t>
  </si>
  <si>
    <t>Elemento</t>
  </si>
  <si>
    <t>FONDEO ESTABLE DISPONIBLE (ASF)</t>
  </si>
  <si>
    <t>Capital y reservas</t>
  </si>
  <si>
    <t>Deuda subordinada (&gt; 1 año)</t>
  </si>
  <si>
    <t>Depósitos retail estables</t>
  </si>
  <si>
    <t>Depósitos a plazo retail (&gt; 6 meses)</t>
  </si>
  <si>
    <t>Bonos emitidos (6-12 meses)</t>
  </si>
  <si>
    <t>TOTAL ASF</t>
  </si>
  <si>
    <t>FONDEO ESTABLE REQUERIDO (RSF)</t>
  </si>
  <si>
    <t>Efectivo y depósitos en Banco Central</t>
  </si>
  <si>
    <t>Bonos gubernamentales (&lt; 1 año)</t>
  </si>
  <si>
    <t>Bonos corporativos grado inversión</t>
  </si>
  <si>
    <t>Cartera de crédito (&lt; 1 año)</t>
  </si>
  <si>
    <t>Cartera de crédito (&gt; 1 año)</t>
  </si>
  <si>
    <t>Inversiones en subsidiarias</t>
  </si>
  <si>
    <t>TOTAL RSF</t>
  </si>
  <si>
    <t>Factor</t>
  </si>
  <si>
    <t>Fondeo estable</t>
  </si>
  <si>
    <t>Net Stable Funding Ratio (NSFR)</t>
  </si>
  <si>
    <t>¿Cumple el Banco Itesiano con el mínimo regulatorio de 100%? ¿Qué implica para su estrategia de fondeo a largo plazo?</t>
  </si>
  <si>
    <t>Cumple de panzaso, amerita un márgen de revisión</t>
  </si>
  <si>
    <t>¿Cuáles son las principales vulnerabilidades de fondeo del Banco Itesiano?</t>
  </si>
  <si>
    <t>Diagnóstico ALM y Propuestas de Gestión</t>
  </si>
  <si>
    <t>El ratio de fondeo estable pasa apenas de panzaso</t>
  </si>
  <si>
    <t>Podriamos sacar bonos a largo plazo para que el fonde disponible no se vea tan castigado</t>
  </si>
  <si>
    <t>Reinvertir capital a bonos gubernamentales para disminuir el fondeo requerido</t>
  </si>
  <si>
    <t>Si tu fondo en subsidiarias no da para mucho, mejor véndelo</t>
  </si>
  <si>
    <t>Cerrar la llave del crédito a largo plazo</t>
  </si>
  <si>
    <t>¿Qué relación existe entre la brecha de liquidez a corto plazo y el LCR calculado?</t>
  </si>
  <si>
    <t>El LCR solo te cubre a 30 días, pero la brecha se encuentra a los 90 días</t>
  </si>
  <si>
    <t>Debemos conseguir lana a mediano plazo</t>
  </si>
  <si>
    <t>Recomendaciones:</t>
  </si>
  <si>
    <t>Emitir bonos a largo plazo</t>
  </si>
  <si>
    <t>Vender las subsidiarias si no dan buena rentabilidad</t>
  </si>
  <si>
    <t>Plan de financiamento a mediano plazo --&gt; Promociones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</si>
</sst>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C00000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3" fillId="0" borderId="0" xfId="0" applyFont="1"/>
    <xf numFmtId="0" fontId="4" fillId="0" borderId="0" xfId="0" applyFont="1"/>
    <xf numFmtId="0" fontId="4" fillId="2" borderId="0" xfId="0" applyFont="1" applyFill="1"/>
    <xf numFmtId="0" fontId="0" fillId="0" borderId="0" xfId="0" applyAlignment="1">
      <alignment horizontal="center"/>
    </xf>
    <xf numFmtId="9" fontId="0" fillId="0" borderId="0" xfId="1" applyFont="1" applyAlignment="1">
      <alignment horizontal="center"/>
    </xf>
    <xf numFmtId="0" fontId="3" fillId="3" borderId="0" xfId="0" applyFont="1" applyFill="1" applyAlignment="1">
      <alignment horizontal="center"/>
    </xf>
    <xf numFmtId="0" fontId="4" fillId="0" borderId="1" xfId="0" applyFont="1" applyBorder="1"/>
    <xf numFmtId="0" fontId="3" fillId="4" borderId="0" xfId="0" applyFont="1" applyFill="1" applyAlignment="1">
      <alignment horizontal="center"/>
    </xf>
    <xf numFmtId="0" fontId="3" fillId="5" borderId="0" xfId="0" applyFont="1" applyFill="1"/>
    <xf numFmtId="9" fontId="0" fillId="0" borderId="0" xfId="0" applyNumberFormat="1"/>
    <xf numFmtId="0" fontId="3" fillId="6" borderId="0" xfId="0" applyFont="1" applyFill="1"/>
    <xf numFmtId="0" fontId="2" fillId="7" borderId="0" xfId="0" applyFont="1" applyFill="1" applyAlignment="1">
      <alignment horizontal="center"/>
    </xf>
    <xf numFmtId="0" fontId="5" fillId="8" borderId="0" xfId="0" applyFont="1" applyFill="1"/>
    <xf numFmtId="0" fontId="0" fillId="8" borderId="0" xfId="0" applyFill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</xdr:colOff>
      <xdr:row>12</xdr:row>
      <xdr:rowOff>0</xdr:rowOff>
    </xdr:from>
    <xdr:to>
      <xdr:col>5</xdr:col>
      <xdr:colOff>205740</xdr:colOff>
      <xdr:row>16</xdr:row>
      <xdr:rowOff>175557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536D9BE9-38FE-8E27-C3A2-31327DB85F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" y="2011680"/>
          <a:ext cx="5829300" cy="907077"/>
        </a:xfrm>
        <a:prstGeom prst="rect">
          <a:avLst/>
        </a:prstGeom>
      </xdr:spPr>
    </xdr:pic>
    <xdr:clientData/>
  </xdr:twoCellAnchor>
  <xdr:twoCellAnchor editAs="oneCell">
    <xdr:from>
      <xdr:col>0</xdr:col>
      <xdr:colOff>60961</xdr:colOff>
      <xdr:row>35</xdr:row>
      <xdr:rowOff>99060</xdr:rowOff>
    </xdr:from>
    <xdr:to>
      <xdr:col>5</xdr:col>
      <xdr:colOff>30481</xdr:colOff>
      <xdr:row>40</xdr:row>
      <xdr:rowOff>74565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E6678D05-8A93-9285-5046-0567A13F4B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1" y="6530340"/>
          <a:ext cx="5608320" cy="889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90BFE-C9E6-4D8B-B6A4-5295C361B441}">
  <dimension ref="A1:H81"/>
  <sheetViews>
    <sheetView tabSelected="1" topLeftCell="A51" workbookViewId="0">
      <selection activeCell="K69" sqref="K69"/>
    </sheetView>
  </sheetViews>
  <sheetFormatPr baseColWidth="10" defaultRowHeight="15" x14ac:dyDescent="0.25"/>
  <cols>
    <col min="1" max="1" width="5.42578125" customWidth="1"/>
    <col min="2" max="2" width="33.140625" customWidth="1"/>
    <col min="3" max="3" width="12" bestFit="1" customWidth="1"/>
    <col min="4" max="4" width="13.42578125" bestFit="1" customWidth="1"/>
    <col min="5" max="5" width="18.28515625" bestFit="1" customWidth="1"/>
  </cols>
  <sheetData>
    <row r="1" spans="1:8" x14ac:dyDescent="0.25">
      <c r="A1" s="1" t="s">
        <v>13</v>
      </c>
    </row>
    <row r="2" spans="1:8" x14ac:dyDescent="0.25">
      <c r="B2" s="4"/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</row>
    <row r="3" spans="1:8" x14ac:dyDescent="0.25">
      <c r="B3" t="s">
        <v>0</v>
      </c>
      <c r="C3">
        <v>40</v>
      </c>
      <c r="D3">
        <v>90</v>
      </c>
      <c r="E3">
        <v>190</v>
      </c>
      <c r="F3">
        <v>320</v>
      </c>
      <c r="G3">
        <v>480</v>
      </c>
      <c r="H3">
        <v>710</v>
      </c>
    </row>
    <row r="4" spans="1:8" x14ac:dyDescent="0.25">
      <c r="B4" t="s">
        <v>1</v>
      </c>
      <c r="C4">
        <v>120</v>
      </c>
      <c r="D4">
        <v>280</v>
      </c>
      <c r="E4">
        <v>450</v>
      </c>
      <c r="F4">
        <v>350</v>
      </c>
      <c r="G4">
        <v>290</v>
      </c>
      <c r="H4">
        <v>480</v>
      </c>
    </row>
    <row r="5" spans="1:8" x14ac:dyDescent="0.25">
      <c r="B5" s="1" t="s">
        <v>8</v>
      </c>
      <c r="C5" s="1">
        <f>C3-C4</f>
        <v>-80</v>
      </c>
      <c r="D5" s="1">
        <f t="shared" ref="D5:H5" si="0">D3-D4</f>
        <v>-190</v>
      </c>
      <c r="E5" s="1">
        <f t="shared" si="0"/>
        <v>-260</v>
      </c>
      <c r="F5" s="1">
        <f t="shared" si="0"/>
        <v>-30</v>
      </c>
      <c r="G5" s="1">
        <f t="shared" si="0"/>
        <v>190</v>
      </c>
      <c r="H5" s="1">
        <f t="shared" si="0"/>
        <v>230</v>
      </c>
    </row>
    <row r="6" spans="1:8" x14ac:dyDescent="0.25">
      <c r="B6" s="2" t="s">
        <v>9</v>
      </c>
      <c r="C6" s="2">
        <f>C5</f>
        <v>-80</v>
      </c>
      <c r="D6" s="2">
        <f>D5+C6</f>
        <v>-270</v>
      </c>
      <c r="E6" s="2">
        <f t="shared" ref="E6:H6" si="1">E5+D6</f>
        <v>-530</v>
      </c>
      <c r="F6" s="3">
        <f t="shared" si="1"/>
        <v>-560</v>
      </c>
      <c r="G6" s="2">
        <f t="shared" si="1"/>
        <v>-370</v>
      </c>
      <c r="H6" s="2">
        <f t="shared" si="1"/>
        <v>-140</v>
      </c>
    </row>
    <row r="8" spans="1:8" x14ac:dyDescent="0.25">
      <c r="A8" s="1" t="s">
        <v>10</v>
      </c>
    </row>
    <row r="9" spans="1:8" x14ac:dyDescent="0.25">
      <c r="A9" t="s">
        <v>11</v>
      </c>
    </row>
    <row r="11" spans="1:8" x14ac:dyDescent="0.25">
      <c r="A11" s="1" t="s">
        <v>12</v>
      </c>
    </row>
    <row r="12" spans="1:8" x14ac:dyDescent="0.25">
      <c r="A12" t="s">
        <v>38</v>
      </c>
    </row>
    <row r="18" spans="1:6" x14ac:dyDescent="0.25">
      <c r="A18" s="1" t="s">
        <v>14</v>
      </c>
    </row>
    <row r="19" spans="1:6" x14ac:dyDescent="0.25">
      <c r="B19" s="6" t="s">
        <v>16</v>
      </c>
      <c r="C19" s="6" t="s">
        <v>20</v>
      </c>
      <c r="D19" s="6" t="s">
        <v>17</v>
      </c>
      <c r="E19" s="6" t="s">
        <v>18</v>
      </c>
      <c r="F19" s="6" t="s">
        <v>19</v>
      </c>
    </row>
    <row r="20" spans="1:6" x14ac:dyDescent="0.25">
      <c r="B20" t="s">
        <v>15</v>
      </c>
      <c r="C20">
        <v>320</v>
      </c>
      <c r="D20" t="s">
        <v>23</v>
      </c>
      <c r="E20" s="5">
        <v>0</v>
      </c>
      <c r="F20">
        <f>C20*(1-E20)</f>
        <v>320</v>
      </c>
    </row>
    <row r="21" spans="1:6" x14ac:dyDescent="0.25">
      <c r="B21" t="s">
        <v>21</v>
      </c>
      <c r="C21">
        <v>280</v>
      </c>
      <c r="D21" t="s">
        <v>23</v>
      </c>
      <c r="E21" s="5">
        <v>0</v>
      </c>
      <c r="F21">
        <f t="shared" ref="F21:F22" si="2">C21*(1-E21)</f>
        <v>280</v>
      </c>
    </row>
    <row r="22" spans="1:6" ht="15.75" thickBot="1" x14ac:dyDescent="0.3">
      <c r="B22" t="s">
        <v>22</v>
      </c>
      <c r="C22">
        <v>150</v>
      </c>
      <c r="D22" t="s">
        <v>24</v>
      </c>
      <c r="E22" s="5">
        <v>0.15</v>
      </c>
      <c r="F22">
        <f t="shared" si="2"/>
        <v>127.5</v>
      </c>
    </row>
    <row r="23" spans="1:6" ht="15.75" thickBot="1" x14ac:dyDescent="0.3">
      <c r="B23" s="1" t="s">
        <v>25</v>
      </c>
      <c r="F23" s="7">
        <f>SUM(F20:F22)</f>
        <v>727.5</v>
      </c>
    </row>
    <row r="25" spans="1:6" x14ac:dyDescent="0.25">
      <c r="B25" s="8" t="s">
        <v>26</v>
      </c>
      <c r="C25" s="8" t="s">
        <v>31</v>
      </c>
      <c r="D25" s="8" t="s">
        <v>32</v>
      </c>
      <c r="E25" s="8" t="s">
        <v>33</v>
      </c>
    </row>
    <row r="26" spans="1:6" x14ac:dyDescent="0.25">
      <c r="B26" t="s">
        <v>27</v>
      </c>
      <c r="C26">
        <v>680</v>
      </c>
      <c r="D26">
        <v>0.05</v>
      </c>
      <c r="E26">
        <f>C26*D26</f>
        <v>34</v>
      </c>
    </row>
    <row r="27" spans="1:6" x14ac:dyDescent="0.25">
      <c r="B27" t="s">
        <v>28</v>
      </c>
      <c r="C27">
        <v>290</v>
      </c>
      <c r="D27">
        <v>0.1</v>
      </c>
      <c r="E27">
        <f t="shared" ref="E27:E29" si="3">C27*D27</f>
        <v>29</v>
      </c>
    </row>
    <row r="28" spans="1:6" x14ac:dyDescent="0.25">
      <c r="B28" t="s">
        <v>29</v>
      </c>
      <c r="C28">
        <v>540</v>
      </c>
      <c r="D28">
        <v>0.4</v>
      </c>
      <c r="E28">
        <f t="shared" si="3"/>
        <v>216</v>
      </c>
    </row>
    <row r="29" spans="1:6" ht="15.75" thickBot="1" x14ac:dyDescent="0.3">
      <c r="B29" t="s">
        <v>30</v>
      </c>
      <c r="C29">
        <v>210</v>
      </c>
      <c r="D29">
        <v>1</v>
      </c>
      <c r="E29">
        <f t="shared" si="3"/>
        <v>210</v>
      </c>
    </row>
    <row r="30" spans="1:6" ht="15.75" thickBot="1" x14ac:dyDescent="0.3">
      <c r="B30" s="1" t="s">
        <v>34</v>
      </c>
      <c r="E30" s="7">
        <f>SUM(E26:E29)</f>
        <v>489</v>
      </c>
    </row>
    <row r="32" spans="1:6" x14ac:dyDescent="0.25">
      <c r="B32" s="1" t="s">
        <v>35</v>
      </c>
      <c r="C32" s="9">
        <f>F23/E30</f>
        <v>1.4877300613496933</v>
      </c>
    </row>
    <row r="34" spans="2:5" x14ac:dyDescent="0.25">
      <c r="B34" s="1" t="s">
        <v>36</v>
      </c>
    </row>
    <row r="35" spans="2:5" x14ac:dyDescent="0.25">
      <c r="B35" t="s">
        <v>37</v>
      </c>
    </row>
    <row r="43" spans="2:5" x14ac:dyDescent="0.25">
      <c r="B43" s="12" t="s">
        <v>39</v>
      </c>
      <c r="C43" s="12" t="s">
        <v>33</v>
      </c>
      <c r="D43" s="12" t="s">
        <v>55</v>
      </c>
      <c r="E43" s="12" t="s">
        <v>56</v>
      </c>
    </row>
    <row r="44" spans="2:5" x14ac:dyDescent="0.25">
      <c r="B44" s="11" t="s">
        <v>40</v>
      </c>
      <c r="C44" s="11"/>
      <c r="D44" s="11"/>
      <c r="E44" s="11"/>
    </row>
    <row r="45" spans="2:5" x14ac:dyDescent="0.25">
      <c r="B45" t="s">
        <v>41</v>
      </c>
      <c r="C45">
        <v>980</v>
      </c>
      <c r="D45" s="10">
        <v>1</v>
      </c>
      <c r="E45">
        <f>C45*D45</f>
        <v>980</v>
      </c>
    </row>
    <row r="46" spans="2:5" x14ac:dyDescent="0.25">
      <c r="B46" t="s">
        <v>42</v>
      </c>
      <c r="C46">
        <v>320</v>
      </c>
      <c r="D46" s="10">
        <v>1</v>
      </c>
      <c r="E46">
        <f t="shared" ref="E46:E49" si="4">C46*D46</f>
        <v>320</v>
      </c>
    </row>
    <row r="47" spans="2:5" x14ac:dyDescent="0.25">
      <c r="B47" t="s">
        <v>43</v>
      </c>
      <c r="C47">
        <v>680</v>
      </c>
      <c r="D47" s="10">
        <v>0.95</v>
      </c>
      <c r="E47">
        <f t="shared" si="4"/>
        <v>646</v>
      </c>
    </row>
    <row r="48" spans="2:5" x14ac:dyDescent="0.25">
      <c r="B48" t="s">
        <v>44</v>
      </c>
      <c r="C48">
        <v>120</v>
      </c>
      <c r="D48" s="10">
        <v>0.9</v>
      </c>
      <c r="E48">
        <f t="shared" si="4"/>
        <v>108</v>
      </c>
    </row>
    <row r="49" spans="1:8" ht="15.75" thickBot="1" x14ac:dyDescent="0.3">
      <c r="B49" t="s">
        <v>45</v>
      </c>
      <c r="C49">
        <v>180</v>
      </c>
      <c r="D49" s="10">
        <v>0.5</v>
      </c>
      <c r="E49">
        <f t="shared" si="4"/>
        <v>90</v>
      </c>
    </row>
    <row r="50" spans="1:8" ht="15.75" thickBot="1" x14ac:dyDescent="0.3">
      <c r="B50" s="1" t="s">
        <v>46</v>
      </c>
      <c r="E50" s="7">
        <f>SUM(E45:E49)</f>
        <v>2144</v>
      </c>
    </row>
    <row r="52" spans="1:8" x14ac:dyDescent="0.25">
      <c r="B52" s="11" t="s">
        <v>47</v>
      </c>
      <c r="C52" s="11"/>
      <c r="D52" s="11"/>
      <c r="E52" s="11"/>
    </row>
    <row r="53" spans="1:8" x14ac:dyDescent="0.25">
      <c r="B53" t="s">
        <v>48</v>
      </c>
      <c r="C53">
        <v>320</v>
      </c>
      <c r="D53" s="10">
        <v>0</v>
      </c>
      <c r="E53">
        <f>C53*D53</f>
        <v>0</v>
      </c>
    </row>
    <row r="54" spans="1:8" x14ac:dyDescent="0.25">
      <c r="B54" t="s">
        <v>49</v>
      </c>
      <c r="C54">
        <v>280</v>
      </c>
      <c r="D54" s="10">
        <v>0.05</v>
      </c>
      <c r="E54">
        <f t="shared" ref="E54:E58" si="5">C54*D54</f>
        <v>14</v>
      </c>
    </row>
    <row r="55" spans="1:8" x14ac:dyDescent="0.25">
      <c r="B55" t="s">
        <v>50</v>
      </c>
      <c r="C55">
        <v>150</v>
      </c>
      <c r="D55" s="10">
        <v>0.15</v>
      </c>
      <c r="E55">
        <f t="shared" si="5"/>
        <v>22.5</v>
      </c>
    </row>
    <row r="56" spans="1:8" x14ac:dyDescent="0.25">
      <c r="B56" t="s">
        <v>51</v>
      </c>
      <c r="C56">
        <v>420</v>
      </c>
      <c r="D56" s="10">
        <v>0.5</v>
      </c>
      <c r="E56">
        <f t="shared" si="5"/>
        <v>210</v>
      </c>
    </row>
    <row r="57" spans="1:8" x14ac:dyDescent="0.25">
      <c r="B57" t="s">
        <v>52</v>
      </c>
      <c r="C57">
        <v>1850</v>
      </c>
      <c r="D57" s="10">
        <v>0.85</v>
      </c>
      <c r="E57">
        <f t="shared" si="5"/>
        <v>1572.5</v>
      </c>
    </row>
    <row r="58" spans="1:8" ht="15.75" thickBot="1" x14ac:dyDescent="0.3">
      <c r="B58" t="s">
        <v>53</v>
      </c>
      <c r="C58">
        <v>180</v>
      </c>
      <c r="D58" s="10">
        <v>1</v>
      </c>
      <c r="E58">
        <f t="shared" si="5"/>
        <v>180</v>
      </c>
    </row>
    <row r="59" spans="1:8" ht="15.75" thickBot="1" x14ac:dyDescent="0.3">
      <c r="B59" s="1" t="s">
        <v>54</v>
      </c>
      <c r="E59" s="7">
        <f>SUM(E53:E58)</f>
        <v>1999</v>
      </c>
    </row>
    <row r="61" spans="1:8" x14ac:dyDescent="0.25">
      <c r="B61" s="1" t="s">
        <v>57</v>
      </c>
      <c r="C61" s="9">
        <f>E50/E59</f>
        <v>1.0725362681340671</v>
      </c>
    </row>
    <row r="63" spans="1:8" x14ac:dyDescent="0.25">
      <c r="A63" s="1" t="s">
        <v>58</v>
      </c>
      <c r="H63" t="s">
        <v>59</v>
      </c>
    </row>
    <row r="65" spans="1:4" ht="26.25" x14ac:dyDescent="0.4">
      <c r="A65" s="13" t="s">
        <v>61</v>
      </c>
      <c r="B65" s="14"/>
      <c r="C65" s="14"/>
      <c r="D65" s="14"/>
    </row>
    <row r="67" spans="1:4" x14ac:dyDescent="0.25">
      <c r="A67" s="1" t="s">
        <v>60</v>
      </c>
    </row>
    <row r="68" spans="1:4" x14ac:dyDescent="0.25">
      <c r="B68" t="s">
        <v>62</v>
      </c>
    </row>
    <row r="69" spans="1:4" x14ac:dyDescent="0.25">
      <c r="B69" t="s">
        <v>63</v>
      </c>
    </row>
    <row r="70" spans="1:4" x14ac:dyDescent="0.25">
      <c r="B70" t="s">
        <v>64</v>
      </c>
    </row>
    <row r="71" spans="1:4" x14ac:dyDescent="0.25">
      <c r="B71" t="s">
        <v>65</v>
      </c>
    </row>
    <row r="72" spans="1:4" x14ac:dyDescent="0.25">
      <c r="B72" t="s">
        <v>66</v>
      </c>
    </row>
    <row r="74" spans="1:4" x14ac:dyDescent="0.25">
      <c r="A74" s="1" t="s">
        <v>67</v>
      </c>
    </row>
    <row r="75" spans="1:4" x14ac:dyDescent="0.25">
      <c r="B75" t="s">
        <v>68</v>
      </c>
    </row>
    <row r="76" spans="1:4" x14ac:dyDescent="0.25">
      <c r="B76" t="s">
        <v>69</v>
      </c>
    </row>
    <row r="78" spans="1:4" x14ac:dyDescent="0.25">
      <c r="A78" s="1" t="s">
        <v>70</v>
      </c>
    </row>
    <row r="79" spans="1:4" x14ac:dyDescent="0.25">
      <c r="B79" t="s">
        <v>71</v>
      </c>
    </row>
    <row r="80" spans="1:4" x14ac:dyDescent="0.25">
      <c r="B80" t="s">
        <v>72</v>
      </c>
    </row>
    <row r="81" spans="2:2" x14ac:dyDescent="0.25">
      <c r="B81" t="s">
        <v>73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Gómez Jiménez</dc:creator>
  <cp:lastModifiedBy>GOMEZ JIMENEZ, SAMUEL</cp:lastModifiedBy>
  <dcterms:created xsi:type="dcterms:W3CDTF">2026-03-12T00:32:24Z</dcterms:created>
  <dcterms:modified xsi:type="dcterms:W3CDTF">2026-05-14T02:52:46Z</dcterms:modified>
</cp:coreProperties>
</file>