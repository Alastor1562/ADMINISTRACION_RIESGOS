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BFA4DBC7-7075-41DD-ACAC-BF80C26D3B05}" xr6:coauthVersionLast="47" xr6:coauthVersionMax="47" xr10:uidLastSave="{00000000-0000-0000-0000-000000000000}"/>
  <bookViews>
    <workbookView xWindow="-120" yWindow="-120" windowWidth="29040" windowHeight="15720" activeTab="1" xr2:uid="{1682C8E6-3557-4F1A-9CCD-D66807DB5FB0}"/>
  </bookViews>
  <sheets>
    <sheet name="balance" sheetId="1" r:id="rId1"/>
    <sheet name="resultad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J12" i="1"/>
  <c r="F14" i="2"/>
  <c r="F15" i="2"/>
  <c r="F16" i="2"/>
  <c r="F13" i="2"/>
  <c r="E16" i="2"/>
  <c r="E14" i="2"/>
  <c r="E15" i="2"/>
  <c r="E13" i="2"/>
  <c r="D14" i="2"/>
  <c r="D15" i="2"/>
  <c r="D13" i="2"/>
  <c r="D17" i="2" s="1"/>
  <c r="C14" i="2"/>
  <c r="C13" i="2"/>
  <c r="C17" i="2" s="1"/>
  <c r="F6" i="2"/>
  <c r="F7" i="2"/>
  <c r="F8" i="2"/>
  <c r="F5" i="2"/>
  <c r="F4" i="2"/>
  <c r="F3" i="2"/>
  <c r="E9" i="2"/>
  <c r="E6" i="2"/>
  <c r="E8" i="2"/>
  <c r="E5" i="2"/>
  <c r="E4" i="2"/>
  <c r="E3" i="2"/>
  <c r="D7" i="2"/>
  <c r="D8" i="2"/>
  <c r="D6" i="2"/>
  <c r="D5" i="2"/>
  <c r="D4" i="2"/>
  <c r="D3" i="2"/>
  <c r="C8" i="2"/>
  <c r="C7" i="2"/>
  <c r="C6" i="2"/>
  <c r="C5" i="2"/>
  <c r="J25" i="1"/>
  <c r="H25" i="1"/>
  <c r="E25" i="1"/>
  <c r="C25" i="1"/>
  <c r="H12" i="1"/>
  <c r="E12" i="1"/>
  <c r="C12" i="1"/>
  <c r="E17" i="2" l="1"/>
  <c r="F17" i="2"/>
  <c r="E10" i="2"/>
  <c r="E19" i="2"/>
  <c r="E20" i="2" s="1"/>
  <c r="C10" i="2"/>
  <c r="C19" i="2" s="1"/>
  <c r="C20" i="2" s="1"/>
  <c r="F10" i="2"/>
  <c r="F19" i="2" s="1"/>
  <c r="F20" i="2" s="1"/>
  <c r="D10" i="2"/>
  <c r="D19" i="2" s="1"/>
  <c r="D20" i="2" s="1"/>
</calcChain>
</file>

<file path=xl/sharedStrings.xml><?xml version="1.0" encoding="utf-8"?>
<sst xmlns="http://schemas.openxmlformats.org/spreadsheetml/2006/main" count="106" uniqueCount="56">
  <si>
    <t>BANCO 1</t>
  </si>
  <si>
    <t>BANCO 2</t>
  </si>
  <si>
    <t>BANCO 3</t>
  </si>
  <si>
    <t>Activo</t>
  </si>
  <si>
    <t>Pasivo</t>
  </si>
  <si>
    <t>Capital</t>
  </si>
  <si>
    <t>Reservas en BC</t>
  </si>
  <si>
    <t>Deuda Gub. CP</t>
  </si>
  <si>
    <t>Depositos a la vista</t>
  </si>
  <si>
    <t>Depósito a plazo</t>
  </si>
  <si>
    <t xml:space="preserve">  Personales (1-3 a)</t>
  </si>
  <si>
    <t xml:space="preserve">  Automotriz (2-5 a)</t>
  </si>
  <si>
    <t xml:space="preserve">  PYMES (1 a 5a)</t>
  </si>
  <si>
    <t>TOTAL ACTIVO</t>
  </si>
  <si>
    <t>Capital social</t>
  </si>
  <si>
    <t>Utilidades retenidas</t>
  </si>
  <si>
    <t>TOTAL PASIVO Y CAPITAL</t>
  </si>
  <si>
    <t>Cartera Crédito</t>
  </si>
  <si>
    <t xml:space="preserve">  Tarjetas Cred.</t>
  </si>
  <si>
    <t>Prestamos interbancarios</t>
  </si>
  <si>
    <t>Préstamos interbancarios</t>
  </si>
  <si>
    <t>Bonos emitidos (3-5-10 a)</t>
  </si>
  <si>
    <t xml:space="preserve">  Hipotecarios (20 a)</t>
  </si>
  <si>
    <t>BANCO 4</t>
  </si>
  <si>
    <t>Ingreso por intereses</t>
  </si>
  <si>
    <t>Banco 1</t>
  </si>
  <si>
    <t>Banco 2</t>
  </si>
  <si>
    <t>Banco 4</t>
  </si>
  <si>
    <t>Banco 3</t>
  </si>
  <si>
    <t xml:space="preserve">  Reservas en BC</t>
  </si>
  <si>
    <t xml:space="preserve">  Deuda Gub. CP</t>
  </si>
  <si>
    <t xml:space="preserve">  Personales</t>
  </si>
  <si>
    <t xml:space="preserve">  Automotriz</t>
  </si>
  <si>
    <t xml:space="preserve">  PYMES</t>
  </si>
  <si>
    <t>Costo por intereses</t>
  </si>
  <si>
    <t xml:space="preserve">   Depósitos a la vista</t>
  </si>
  <si>
    <t xml:space="preserve">   Depósitos a plazo</t>
  </si>
  <si>
    <t xml:space="preserve">   Préstamos Interbanc.</t>
  </si>
  <si>
    <t xml:space="preserve">   Bonos emitidos</t>
  </si>
  <si>
    <t>Total ingreso intereses</t>
  </si>
  <si>
    <t xml:space="preserve">  Hipotecarios</t>
  </si>
  <si>
    <t>Total costo por intereses</t>
  </si>
  <si>
    <t>Margen financiero</t>
  </si>
  <si>
    <t>ROE</t>
  </si>
  <si>
    <t>Considerar entradas y salids de flujo:</t>
  </si>
  <si>
    <t>a) en condiciones normales</t>
  </si>
  <si>
    <t>b) en condiciones de estrés</t>
  </si>
  <si>
    <t>¿Cuánto tener en reservas en BC y en deuda gubernamental de corto plazo?</t>
  </si>
  <si>
    <t>¿Si incluyo algo de bonos gubernamentales de largo plazo o de bonos corporativos?</t>
  </si>
  <si>
    <t>¿A qué segmento de negocio me quiero enfocar? ¿cuál es más rentable y menos riesgo (credito y liquidez)?</t>
  </si>
  <si>
    <t>¿Cómo me voy a fondear? ¿Lo máximo a la vista o un mix entre vista y a plazo fijo?</t>
  </si>
  <si>
    <t>¿Voy a utilizar el mercado interbancario?</t>
  </si>
  <si>
    <t>¿Voy a emitir deuda a 3 años o a 10 años, a tasa fija o a tasa variable?</t>
  </si>
  <si>
    <t>¿Qué tanto capital requiero? ¿En exceso obtengo un ROE bajo, de menos elevo mi nivel de riesgo financiero?</t>
  </si>
  <si>
    <t>Cubrir al menos 100% mis salidas de efectivo a 30 días</t>
  </si>
  <si>
    <t>Dependes de la volatilidad de las tasas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</si>
</sst>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5" fillId="0" borderId="2" xfId="0" applyFont="1" applyBorder="1"/>
    <xf numFmtId="0" fontId="0" fillId="0" borderId="3" xfId="0" applyBorder="1"/>
    <xf numFmtId="9" fontId="0" fillId="0" borderId="0" xfId="0" applyNumberFormat="1"/>
    <xf numFmtId="10" fontId="0" fillId="0" borderId="0" xfId="0" applyNumberFormat="1"/>
    <xf numFmtId="0" fontId="2" fillId="6" borderId="0" xfId="0" applyFont="1" applyFill="1"/>
    <xf numFmtId="0" fontId="3" fillId="0" borderId="0" xfId="0" applyFont="1"/>
    <xf numFmtId="0" fontId="0" fillId="7" borderId="0" xfId="0" applyFill="1"/>
    <xf numFmtId="164" fontId="0" fillId="7" borderId="0" xfId="1" applyNumberFormat="1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70B2-8E9A-4FA8-9E8E-DD28E654A893}">
  <dimension ref="B2:L25"/>
  <sheetViews>
    <sheetView showGridLines="0" workbookViewId="0">
      <selection activeCell="L27" sqref="L27"/>
    </sheetView>
  </sheetViews>
  <sheetFormatPr baseColWidth="10" defaultRowHeight="15" x14ac:dyDescent="0.25"/>
  <cols>
    <col min="2" max="2" width="16.28515625" bestFit="1" customWidth="1"/>
    <col min="4" max="4" width="18.7109375" bestFit="1" customWidth="1"/>
    <col min="6" max="6" width="3.7109375" customWidth="1"/>
    <col min="7" max="7" width="13.28515625" bestFit="1" customWidth="1"/>
    <col min="9" max="9" width="18.7109375" bestFit="1" customWidth="1"/>
  </cols>
  <sheetData>
    <row r="2" spans="2:12" x14ac:dyDescent="0.25">
      <c r="B2" s="13" t="s">
        <v>0</v>
      </c>
      <c r="C2" s="13"/>
      <c r="D2" s="13"/>
      <c r="E2" s="13"/>
      <c r="G2" s="14" t="s">
        <v>1</v>
      </c>
      <c r="H2" s="14"/>
      <c r="I2" s="14"/>
      <c r="J2" s="14"/>
    </row>
    <row r="3" spans="2:12" x14ac:dyDescent="0.25">
      <c r="B3" t="s">
        <v>3</v>
      </c>
      <c r="D3" t="s">
        <v>4</v>
      </c>
      <c r="G3" t="s">
        <v>3</v>
      </c>
      <c r="I3" t="s">
        <v>4</v>
      </c>
    </row>
    <row r="4" spans="2:12" x14ac:dyDescent="0.25">
      <c r="B4" s="2" t="s">
        <v>6</v>
      </c>
      <c r="C4" s="1">
        <v>300</v>
      </c>
      <c r="D4" s="2" t="s">
        <v>8</v>
      </c>
      <c r="E4">
        <v>3800</v>
      </c>
      <c r="G4" s="2" t="s">
        <v>6</v>
      </c>
      <c r="H4" s="1">
        <v>200</v>
      </c>
      <c r="I4" s="2" t="s">
        <v>8</v>
      </c>
      <c r="J4">
        <v>2400</v>
      </c>
      <c r="L4" t="s">
        <v>44</v>
      </c>
    </row>
    <row r="5" spans="2:12" x14ac:dyDescent="0.25">
      <c r="B5" s="2" t="s">
        <v>7</v>
      </c>
      <c r="C5" s="1">
        <v>500</v>
      </c>
      <c r="D5" s="2" t="s">
        <v>9</v>
      </c>
      <c r="E5">
        <v>1500</v>
      </c>
      <c r="G5" s="2" t="s">
        <v>7</v>
      </c>
      <c r="H5" s="1">
        <v>400</v>
      </c>
      <c r="I5" s="2" t="s">
        <v>9</v>
      </c>
      <c r="J5">
        <v>3100</v>
      </c>
      <c r="L5" t="s">
        <v>45</v>
      </c>
    </row>
    <row r="6" spans="2:12" x14ac:dyDescent="0.25">
      <c r="B6" s="2" t="s">
        <v>17</v>
      </c>
      <c r="C6" s="1"/>
      <c r="G6" s="2" t="s">
        <v>17</v>
      </c>
      <c r="H6" s="1"/>
      <c r="I6" s="2" t="s">
        <v>19</v>
      </c>
      <c r="J6">
        <v>600</v>
      </c>
      <c r="L6" t="s">
        <v>46</v>
      </c>
    </row>
    <row r="7" spans="2:12" x14ac:dyDescent="0.25">
      <c r="B7" s="2" t="s">
        <v>18</v>
      </c>
      <c r="C7" s="1">
        <v>1000</v>
      </c>
      <c r="D7" t="s">
        <v>5</v>
      </c>
      <c r="G7" s="2" t="s">
        <v>18</v>
      </c>
      <c r="H7" s="1">
        <v>1800</v>
      </c>
      <c r="I7" t="s">
        <v>5</v>
      </c>
    </row>
    <row r="8" spans="2:12" x14ac:dyDescent="0.25">
      <c r="B8" s="2" t="s">
        <v>10</v>
      </c>
      <c r="C8" s="1">
        <v>600</v>
      </c>
      <c r="D8" s="2" t="s">
        <v>14</v>
      </c>
      <c r="E8">
        <v>1000</v>
      </c>
      <c r="G8" s="2" t="s">
        <v>10</v>
      </c>
      <c r="H8" s="1">
        <v>1200</v>
      </c>
      <c r="I8" s="2" t="s">
        <v>14</v>
      </c>
      <c r="J8">
        <v>1000</v>
      </c>
    </row>
    <row r="9" spans="2:12" x14ac:dyDescent="0.25">
      <c r="B9" s="2" t="s">
        <v>11</v>
      </c>
      <c r="C9" s="1">
        <v>1400</v>
      </c>
      <c r="D9" s="2" t="s">
        <v>15</v>
      </c>
      <c r="E9">
        <v>200</v>
      </c>
      <c r="G9" s="2" t="s">
        <v>11</v>
      </c>
      <c r="H9" s="1">
        <v>0</v>
      </c>
      <c r="I9" s="2" t="s">
        <v>15</v>
      </c>
      <c r="J9">
        <v>200</v>
      </c>
    </row>
    <row r="10" spans="2:12" x14ac:dyDescent="0.25">
      <c r="B10" s="2" t="s">
        <v>12</v>
      </c>
      <c r="C10" s="1">
        <v>2500</v>
      </c>
      <c r="G10" s="2" t="s">
        <v>12</v>
      </c>
      <c r="H10" s="1">
        <v>3700</v>
      </c>
    </row>
    <row r="11" spans="2:12" ht="15.75" thickBot="1" x14ac:dyDescent="0.3">
      <c r="C11" s="1"/>
      <c r="H11" s="1"/>
    </row>
    <row r="12" spans="2:12" ht="15.75" thickBot="1" x14ac:dyDescent="0.3">
      <c r="B12" s="3" t="s">
        <v>13</v>
      </c>
      <c r="C12" s="4">
        <f>SUM(C4:C10)</f>
        <v>6300</v>
      </c>
      <c r="D12" s="5" t="s">
        <v>16</v>
      </c>
      <c r="E12" s="6">
        <f>SUM(E4:E10)</f>
        <v>6500</v>
      </c>
      <c r="G12" s="3" t="s">
        <v>13</v>
      </c>
      <c r="H12" s="4">
        <f>SUM(H4:H10)</f>
        <v>7300</v>
      </c>
      <c r="I12" s="5" t="s">
        <v>16</v>
      </c>
      <c r="J12" s="6">
        <f>SUM(J4:J10)</f>
        <v>7300</v>
      </c>
    </row>
    <row r="15" spans="2:12" x14ac:dyDescent="0.25">
      <c r="B15" s="15" t="s">
        <v>2</v>
      </c>
      <c r="C15" s="15"/>
      <c r="D15" s="15"/>
      <c r="E15" s="15"/>
      <c r="G15" s="16" t="s">
        <v>23</v>
      </c>
      <c r="H15" s="16"/>
      <c r="I15" s="16"/>
      <c r="J15" s="16"/>
    </row>
    <row r="16" spans="2:12" x14ac:dyDescent="0.25">
      <c r="B16" t="s">
        <v>3</v>
      </c>
      <c r="D16" t="s">
        <v>4</v>
      </c>
      <c r="G16" t="s">
        <v>3</v>
      </c>
      <c r="I16" t="s">
        <v>4</v>
      </c>
    </row>
    <row r="17" spans="2:10" x14ac:dyDescent="0.25">
      <c r="B17" s="2" t="s">
        <v>6</v>
      </c>
      <c r="C17" s="1">
        <v>100</v>
      </c>
      <c r="D17" s="2" t="s">
        <v>8</v>
      </c>
      <c r="E17">
        <v>1400</v>
      </c>
      <c r="G17" s="2" t="s">
        <v>6</v>
      </c>
      <c r="H17" s="1">
        <v>400</v>
      </c>
      <c r="I17" s="2" t="s">
        <v>8</v>
      </c>
      <c r="J17">
        <v>1900</v>
      </c>
    </row>
    <row r="18" spans="2:10" x14ac:dyDescent="0.25">
      <c r="B18" s="2" t="s">
        <v>7</v>
      </c>
      <c r="C18" s="1">
        <v>300</v>
      </c>
      <c r="D18" s="2" t="s">
        <v>9</v>
      </c>
      <c r="E18">
        <v>500</v>
      </c>
      <c r="G18" s="2" t="s">
        <v>7</v>
      </c>
      <c r="H18" s="1">
        <v>1000</v>
      </c>
      <c r="I18" s="2" t="s">
        <v>9</v>
      </c>
      <c r="J18">
        <v>1300</v>
      </c>
    </row>
    <row r="19" spans="2:10" x14ac:dyDescent="0.25">
      <c r="B19" s="2" t="s">
        <v>17</v>
      </c>
      <c r="C19" s="1"/>
      <c r="D19" s="2" t="s">
        <v>20</v>
      </c>
      <c r="E19">
        <v>0</v>
      </c>
      <c r="G19" s="2" t="s">
        <v>17</v>
      </c>
      <c r="H19" s="1"/>
      <c r="I19" s="2" t="s">
        <v>20</v>
      </c>
      <c r="J19">
        <v>400</v>
      </c>
    </row>
    <row r="20" spans="2:10" x14ac:dyDescent="0.25">
      <c r="B20" s="2" t="s">
        <v>18</v>
      </c>
      <c r="C20" s="1">
        <v>500</v>
      </c>
      <c r="D20" s="2" t="s">
        <v>21</v>
      </c>
      <c r="E20">
        <v>2400</v>
      </c>
      <c r="G20" s="2" t="s">
        <v>18</v>
      </c>
      <c r="H20" s="1">
        <v>1100</v>
      </c>
      <c r="I20" s="2" t="s">
        <v>21</v>
      </c>
      <c r="J20">
        <v>2000</v>
      </c>
    </row>
    <row r="21" spans="2:10" x14ac:dyDescent="0.25">
      <c r="B21" s="2" t="s">
        <v>10</v>
      </c>
      <c r="C21" s="1">
        <v>1200</v>
      </c>
      <c r="D21" t="s">
        <v>5</v>
      </c>
      <c r="G21" s="2" t="s">
        <v>10</v>
      </c>
      <c r="H21" s="1">
        <v>1500</v>
      </c>
      <c r="I21" t="s">
        <v>5</v>
      </c>
    </row>
    <row r="22" spans="2:10" x14ac:dyDescent="0.25">
      <c r="B22" s="2" t="s">
        <v>22</v>
      </c>
      <c r="C22" s="1">
        <v>2500</v>
      </c>
      <c r="D22" s="2" t="s">
        <v>14</v>
      </c>
      <c r="E22">
        <v>1000</v>
      </c>
      <c r="G22" s="2" t="s">
        <v>22</v>
      </c>
      <c r="H22" s="1">
        <v>2000</v>
      </c>
      <c r="I22" s="2" t="s">
        <v>14</v>
      </c>
      <c r="J22">
        <v>2000</v>
      </c>
    </row>
    <row r="23" spans="2:10" x14ac:dyDescent="0.25">
      <c r="B23" s="2" t="s">
        <v>12</v>
      </c>
      <c r="C23" s="1">
        <v>900</v>
      </c>
      <c r="D23" s="2" t="s">
        <v>15</v>
      </c>
      <c r="E23">
        <v>200</v>
      </c>
      <c r="G23" s="2" t="s">
        <v>12</v>
      </c>
      <c r="H23" s="1">
        <v>1800</v>
      </c>
      <c r="I23" s="2" t="s">
        <v>15</v>
      </c>
      <c r="J23">
        <v>200</v>
      </c>
    </row>
    <row r="24" spans="2:10" ht="15.75" thickBot="1" x14ac:dyDescent="0.3">
      <c r="C24" s="1"/>
      <c r="H24" s="1"/>
    </row>
    <row r="25" spans="2:10" ht="15.75" thickBot="1" x14ac:dyDescent="0.3">
      <c r="B25" s="3" t="s">
        <v>13</v>
      </c>
      <c r="C25" s="4">
        <f>SUM(C17:C23)</f>
        <v>5500</v>
      </c>
      <c r="D25" s="5" t="s">
        <v>16</v>
      </c>
      <c r="E25" s="6">
        <f>SUM(E17:E23)</f>
        <v>5500</v>
      </c>
      <c r="G25" s="3" t="s">
        <v>13</v>
      </c>
      <c r="H25" s="4">
        <f>SUM(H17:H23)</f>
        <v>7800</v>
      </c>
      <c r="I25" s="5" t="s">
        <v>16</v>
      </c>
      <c r="J25" s="6">
        <f>SUM(J17:J23)</f>
        <v>7800</v>
      </c>
    </row>
  </sheetData>
  <mergeCells count="4">
    <mergeCell ref="B2:E2"/>
    <mergeCell ref="G2:J2"/>
    <mergeCell ref="B15:E15"/>
    <mergeCell ref="G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5D34-3155-490B-B267-86580FD3653D}">
  <dimension ref="A1:H23"/>
  <sheetViews>
    <sheetView tabSelected="1" workbookViewId="0">
      <selection activeCell="I19" sqref="I19"/>
    </sheetView>
  </sheetViews>
  <sheetFormatPr baseColWidth="10" defaultRowHeight="15" x14ac:dyDescent="0.25"/>
  <cols>
    <col min="2" max="2" width="23.5703125" bestFit="1" customWidth="1"/>
  </cols>
  <sheetData>
    <row r="1" spans="1:8" x14ac:dyDescent="0.25">
      <c r="C1" s="1" t="s">
        <v>25</v>
      </c>
      <c r="D1" s="1" t="s">
        <v>26</v>
      </c>
      <c r="E1" s="1" t="s">
        <v>28</v>
      </c>
      <c r="F1" s="1" t="s">
        <v>27</v>
      </c>
    </row>
    <row r="2" spans="1:8" x14ac:dyDescent="0.25">
      <c r="B2" t="s">
        <v>24</v>
      </c>
    </row>
    <row r="3" spans="1:8" x14ac:dyDescent="0.25">
      <c r="A3" s="8">
        <v>7.0000000000000007E-2</v>
      </c>
      <c r="B3" t="s">
        <v>29</v>
      </c>
      <c r="C3">
        <f>A3*balance!C4</f>
        <v>21.000000000000004</v>
      </c>
      <c r="D3">
        <f>A3*balance!H4</f>
        <v>14.000000000000002</v>
      </c>
      <c r="E3">
        <f>A3*balance!C17</f>
        <v>7.0000000000000009</v>
      </c>
      <c r="F3">
        <f>A3*balance!H17</f>
        <v>28.000000000000004</v>
      </c>
      <c r="H3" s="10" t="s">
        <v>47</v>
      </c>
    </row>
    <row r="4" spans="1:8" x14ac:dyDescent="0.25">
      <c r="A4" s="8">
        <v>6.5000000000000002E-2</v>
      </c>
      <c r="B4" t="s">
        <v>30</v>
      </c>
      <c r="C4" t="e">
        <f>A4*[1]baance!C5</f>
        <v>#REF!</v>
      </c>
      <c r="D4">
        <f>A4*balance!H5</f>
        <v>26</v>
      </c>
      <c r="E4">
        <f>A4*balance!C18</f>
        <v>19.5</v>
      </c>
      <c r="F4">
        <f>A4*balance!H18</f>
        <v>65</v>
      </c>
      <c r="H4" t="s">
        <v>54</v>
      </c>
    </row>
    <row r="5" spans="1:8" x14ac:dyDescent="0.25">
      <c r="A5" s="7">
        <v>0.48</v>
      </c>
      <c r="B5" t="s">
        <v>18</v>
      </c>
      <c r="C5">
        <f>A5*balance!C7</f>
        <v>480</v>
      </c>
      <c r="D5">
        <f>A5*balance!H7</f>
        <v>864</v>
      </c>
      <c r="E5">
        <f>A5*balance!C20</f>
        <v>240</v>
      </c>
      <c r="F5">
        <f>A5*balance!H20</f>
        <v>528</v>
      </c>
    </row>
    <row r="6" spans="1:8" x14ac:dyDescent="0.25">
      <c r="A6" s="7">
        <v>0.24</v>
      </c>
      <c r="B6" t="s">
        <v>31</v>
      </c>
      <c r="C6">
        <f>A6*balance!C8</f>
        <v>144</v>
      </c>
      <c r="D6">
        <f>A6*balance!H8</f>
        <v>288</v>
      </c>
      <c r="E6">
        <f>A6*balance!C21</f>
        <v>288</v>
      </c>
      <c r="F6">
        <f>A6*balance!H21</f>
        <v>360</v>
      </c>
      <c r="H6" s="10" t="s">
        <v>48</v>
      </c>
    </row>
    <row r="7" spans="1:8" x14ac:dyDescent="0.25">
      <c r="A7" s="7">
        <v>0.1</v>
      </c>
      <c r="B7" t="s">
        <v>32</v>
      </c>
      <c r="C7">
        <f>A7*balance!C9</f>
        <v>140</v>
      </c>
      <c r="D7">
        <f>A7*balance!H9</f>
        <v>0</v>
      </c>
      <c r="E7">
        <v>0</v>
      </c>
      <c r="F7">
        <f>A7*balance!H22</f>
        <v>200</v>
      </c>
      <c r="H7" t="s">
        <v>55</v>
      </c>
    </row>
    <row r="8" spans="1:8" x14ac:dyDescent="0.25">
      <c r="A8" s="7">
        <v>0.16</v>
      </c>
      <c r="B8" t="s">
        <v>33</v>
      </c>
      <c r="C8">
        <f>A8*balance!C10</f>
        <v>400</v>
      </c>
      <c r="D8">
        <f>A8*balance!H10</f>
        <v>592</v>
      </c>
      <c r="E8">
        <f>A8*balance!C23</f>
        <v>144</v>
      </c>
      <c r="F8">
        <f>A8*balance!H23</f>
        <v>288</v>
      </c>
    </row>
    <row r="9" spans="1:8" x14ac:dyDescent="0.25">
      <c r="A9" s="7">
        <v>0.11</v>
      </c>
      <c r="B9" t="s">
        <v>40</v>
      </c>
      <c r="C9">
        <v>0</v>
      </c>
      <c r="D9">
        <v>0</v>
      </c>
      <c r="E9">
        <f>balance!C22*A9</f>
        <v>275</v>
      </c>
      <c r="F9">
        <v>0</v>
      </c>
      <c r="H9" t="s">
        <v>49</v>
      </c>
    </row>
    <row r="10" spans="1:8" x14ac:dyDescent="0.25">
      <c r="A10" s="7"/>
      <c r="B10" s="9" t="s">
        <v>39</v>
      </c>
      <c r="C10" s="9" t="e">
        <f>SUM(C3:C8)</f>
        <v>#REF!</v>
      </c>
      <c r="D10" s="9">
        <f t="shared" ref="D10:F10" si="0">SUM(D3:D8)</f>
        <v>1784</v>
      </c>
      <c r="E10" s="9">
        <f>SUM(E3:E8)</f>
        <v>698.5</v>
      </c>
      <c r="F10" s="9">
        <f t="shared" si="0"/>
        <v>1469</v>
      </c>
    </row>
    <row r="12" spans="1:8" x14ac:dyDescent="0.25">
      <c r="B12" t="s">
        <v>34</v>
      </c>
    </row>
    <row r="13" spans="1:8" x14ac:dyDescent="0.25">
      <c r="A13" s="7">
        <v>0</v>
      </c>
      <c r="B13" t="s">
        <v>35</v>
      </c>
      <c r="C13">
        <f>A13*balance!E4</f>
        <v>0</v>
      </c>
      <c r="D13">
        <f>A13*balance!J4</f>
        <v>0</v>
      </c>
      <c r="E13">
        <f>A13*balance!E17</f>
        <v>0</v>
      </c>
      <c r="F13">
        <f>A13*balance!J17</f>
        <v>0</v>
      </c>
    </row>
    <row r="14" spans="1:8" x14ac:dyDescent="0.25">
      <c r="A14" s="7">
        <v>0.05</v>
      </c>
      <c r="B14" t="s">
        <v>36</v>
      </c>
      <c r="C14">
        <f>A14*balance!E5</f>
        <v>75</v>
      </c>
      <c r="D14">
        <f>A14*balance!J5</f>
        <v>155</v>
      </c>
      <c r="E14">
        <f>A14*balance!E18</f>
        <v>25</v>
      </c>
      <c r="F14">
        <f>A14*balance!J18</f>
        <v>65</v>
      </c>
    </row>
    <row r="15" spans="1:8" x14ac:dyDescent="0.25">
      <c r="A15" s="8">
        <v>6.9000000000000006E-2</v>
      </c>
      <c r="B15" t="s">
        <v>37</v>
      </c>
      <c r="C15">
        <v>0</v>
      </c>
      <c r="D15">
        <f>A15*balance!J6</f>
        <v>41.400000000000006</v>
      </c>
      <c r="E15">
        <f>A15*balance!E19</f>
        <v>0</v>
      </c>
      <c r="F15">
        <f>A15*balance!J19</f>
        <v>27.6</v>
      </c>
    </row>
    <row r="16" spans="1:8" x14ac:dyDescent="0.25">
      <c r="A16" s="7">
        <v>0.09</v>
      </c>
      <c r="B16" t="s">
        <v>38</v>
      </c>
      <c r="C16">
        <v>0</v>
      </c>
      <c r="D16">
        <v>0</v>
      </c>
      <c r="E16">
        <f>A16*balance!E20</f>
        <v>216</v>
      </c>
      <c r="F16">
        <f>A16*balance!J20</f>
        <v>180</v>
      </c>
      <c r="H16" t="s">
        <v>50</v>
      </c>
    </row>
    <row r="17" spans="2:8" x14ac:dyDescent="0.25">
      <c r="B17" s="9" t="s">
        <v>41</v>
      </c>
      <c r="C17" s="9">
        <f>SUM(C13:C16)</f>
        <v>75</v>
      </c>
      <c r="D17" s="9">
        <f t="shared" ref="D17:F17" si="1">SUM(D13:D16)</f>
        <v>196.4</v>
      </c>
      <c r="E17" s="9">
        <f t="shared" si="1"/>
        <v>241</v>
      </c>
      <c r="F17" s="9">
        <f t="shared" si="1"/>
        <v>272.60000000000002</v>
      </c>
    </row>
    <row r="18" spans="2:8" x14ac:dyDescent="0.25">
      <c r="H18" t="s">
        <v>51</v>
      </c>
    </row>
    <row r="19" spans="2:8" x14ac:dyDescent="0.25">
      <c r="B19" s="10" t="s">
        <v>42</v>
      </c>
      <c r="C19" s="10" t="e">
        <f>C10-C17</f>
        <v>#REF!</v>
      </c>
      <c r="D19" s="10">
        <f>D10-D17</f>
        <v>1587.6</v>
      </c>
      <c r="E19" s="10">
        <f t="shared" ref="E19:F19" si="2">E10-E17</f>
        <v>457.5</v>
      </c>
      <c r="F19" s="10">
        <f t="shared" si="2"/>
        <v>1196.4000000000001</v>
      </c>
      <c r="H19" t="s">
        <v>52</v>
      </c>
    </row>
    <row r="20" spans="2:8" x14ac:dyDescent="0.25">
      <c r="B20" s="11" t="s">
        <v>43</v>
      </c>
      <c r="C20" s="12" t="e">
        <f>C19/(balance!E8+balance!E9)</f>
        <v>#REF!</v>
      </c>
      <c r="D20" s="12">
        <f>D19/(balance!J8+balance!J9)</f>
        <v>1.323</v>
      </c>
      <c r="E20" s="12">
        <f>E19/(balance!E22+balance!E23)</f>
        <v>0.38124999999999998</v>
      </c>
      <c r="F20" s="12">
        <f>F19/(balance!J22+balance!J23)</f>
        <v>0.54381818181818187</v>
      </c>
    </row>
    <row r="23" spans="2:8" x14ac:dyDescent="0.25">
      <c r="H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2026-03-09T19:11:32Z</dcterms:created>
  <dcterms:modified xsi:type="dcterms:W3CDTF">2026-05-14T02:37:48Z</dcterms:modified>
</cp:coreProperties>
</file>