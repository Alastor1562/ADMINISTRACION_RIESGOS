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6876cc2438bd37/Desktop/TRABAJO/UNI/8VO SEMESTRE/ADMINISTRACION_RIESGOS/Repaso P1/"/>
    </mc:Choice>
  </mc:AlternateContent>
  <xr:revisionPtr revIDLastSave="85" documentId="13_ncr:1_{19C044E8-64D8-4AD9-AA21-7C754337E5B0}" xr6:coauthVersionLast="47" xr6:coauthVersionMax="47" xr10:uidLastSave="{6F3D8E56-F8E5-49D7-92C2-BA8CBB829532}"/>
  <bookViews>
    <workbookView xWindow="-108" yWindow="-108" windowWidth="23256" windowHeight="12456" activeTab="4" xr2:uid="{00000000-000D-0000-FFFF-FFFF00000000}"/>
  </bookViews>
  <sheets>
    <sheet name="3 a 5" sheetId="1" r:id="rId1"/>
    <sheet name="10 a 20" sheetId="2" r:id="rId2"/>
    <sheet name="datos" sheetId="3" r:id="rId3"/>
    <sheet name="Tasas" sheetId="5" r:id="rId4"/>
    <sheet name="FX" sheetId="4" r:id="rId5"/>
    <sheet name="MXNUSD" sheetId="7" r:id="rId6"/>
    <sheet name="BRLUSD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4" l="1"/>
  <c r="D14" i="4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52" i="8"/>
  <c r="K253" i="8"/>
  <c r="K254" i="8"/>
  <c r="K255" i="8"/>
  <c r="K256" i="8"/>
  <c r="K257" i="8"/>
  <c r="K258" i="8"/>
  <c r="K259" i="8"/>
  <c r="K260" i="8"/>
  <c r="K26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78" i="8"/>
  <c r="K279" i="8"/>
  <c r="K280" i="8"/>
  <c r="K281" i="8"/>
  <c r="K282" i="8"/>
  <c r="K283" i="8"/>
  <c r="K284" i="8"/>
  <c r="K285" i="8"/>
  <c r="K286" i="8"/>
  <c r="K287" i="8"/>
  <c r="K288" i="8"/>
  <c r="K289" i="8"/>
  <c r="K290" i="8"/>
  <c r="K291" i="8"/>
  <c r="K292" i="8"/>
  <c r="K293" i="8"/>
  <c r="K294" i="8"/>
  <c r="K295" i="8"/>
  <c r="K296" i="8"/>
  <c r="K297" i="8"/>
  <c r="K298" i="8"/>
  <c r="K299" i="8"/>
  <c r="K300" i="8"/>
  <c r="K301" i="8"/>
  <c r="K302" i="8"/>
  <c r="K303" i="8"/>
  <c r="K304" i="8"/>
  <c r="K305" i="8"/>
  <c r="K306" i="8"/>
  <c r="K307" i="8"/>
  <c r="K308" i="8"/>
  <c r="K309" i="8"/>
  <c r="K310" i="8"/>
  <c r="K311" i="8"/>
  <c r="K312" i="8"/>
  <c r="K313" i="8"/>
  <c r="K314" i="8"/>
  <c r="K315" i="8"/>
  <c r="K316" i="8"/>
  <c r="K317" i="8"/>
  <c r="K318" i="8"/>
  <c r="K319" i="8"/>
  <c r="K320" i="8"/>
  <c r="K321" i="8"/>
  <c r="K322" i="8"/>
  <c r="K323" i="8"/>
  <c r="K324" i="8"/>
  <c r="K325" i="8"/>
  <c r="K326" i="8"/>
  <c r="K327" i="8"/>
  <c r="K328" i="8"/>
  <c r="K329" i="8"/>
  <c r="K330" i="8"/>
  <c r="K331" i="8"/>
  <c r="K332" i="8"/>
  <c r="K333" i="8"/>
  <c r="K334" i="8"/>
  <c r="K335" i="8"/>
  <c r="K336" i="8"/>
  <c r="K337" i="8"/>
  <c r="K338" i="8"/>
  <c r="K339" i="8"/>
  <c r="K340" i="8"/>
  <c r="K341" i="8"/>
  <c r="K342" i="8"/>
  <c r="K343" i="8"/>
  <c r="K344" i="8"/>
  <c r="K345" i="8"/>
  <c r="K346" i="8"/>
  <c r="K347" i="8"/>
  <c r="K348" i="8"/>
  <c r="K349" i="8"/>
  <c r="K350" i="8"/>
  <c r="K351" i="8"/>
  <c r="K352" i="8"/>
  <c r="K353" i="8"/>
  <c r="K354" i="8"/>
  <c r="K355" i="8"/>
  <c r="K356" i="8"/>
  <c r="K357" i="8"/>
  <c r="K358" i="8"/>
  <c r="K359" i="8"/>
  <c r="K360" i="8"/>
  <c r="K361" i="8"/>
  <c r="K362" i="8"/>
  <c r="K363" i="8"/>
  <c r="K364" i="8"/>
  <c r="K365" i="8"/>
  <c r="K366" i="8"/>
  <c r="K367" i="8"/>
  <c r="K368" i="8"/>
  <c r="K369" i="8"/>
  <c r="K370" i="8"/>
  <c r="K371" i="8"/>
  <c r="K372" i="8"/>
  <c r="K373" i="8"/>
  <c r="K374" i="8"/>
  <c r="K375" i="8"/>
  <c r="K376" i="8"/>
  <c r="K377" i="8"/>
  <c r="K378" i="8"/>
  <c r="K379" i="8"/>
  <c r="K380" i="8"/>
  <c r="K381" i="8"/>
  <c r="K382" i="8"/>
  <c r="K383" i="8"/>
  <c r="K384" i="8"/>
  <c r="K385" i="8"/>
  <c r="K386" i="8"/>
  <c r="K387" i="8"/>
  <c r="K388" i="8"/>
  <c r="K389" i="8"/>
  <c r="K390" i="8"/>
  <c r="K391" i="8"/>
  <c r="K392" i="8"/>
  <c r="K393" i="8"/>
  <c r="K394" i="8"/>
  <c r="K395" i="8"/>
  <c r="K396" i="8"/>
  <c r="K397" i="8"/>
  <c r="K398" i="8"/>
  <c r="K399" i="8"/>
  <c r="K400" i="8"/>
  <c r="K401" i="8"/>
  <c r="K402" i="8"/>
  <c r="K403" i="8"/>
  <c r="K404" i="8"/>
  <c r="K405" i="8"/>
  <c r="K406" i="8"/>
  <c r="K407" i="8"/>
  <c r="K408" i="8"/>
  <c r="K409" i="8"/>
  <c r="K410" i="8"/>
  <c r="K411" i="8"/>
  <c r="K412" i="8"/>
  <c r="K413" i="8"/>
  <c r="K414" i="8"/>
  <c r="K415" i="8"/>
  <c r="K416" i="8"/>
  <c r="K417" i="8"/>
  <c r="K418" i="8"/>
  <c r="K419" i="8"/>
  <c r="K420" i="8"/>
  <c r="K421" i="8"/>
  <c r="K422" i="8"/>
  <c r="K423" i="8"/>
  <c r="K424" i="8"/>
  <c r="K425" i="8"/>
  <c r="K426" i="8"/>
  <c r="K427" i="8"/>
  <c r="K428" i="8"/>
  <c r="K429" i="8"/>
  <c r="K430" i="8"/>
  <c r="K431" i="8"/>
  <c r="K432" i="8"/>
  <c r="K433" i="8"/>
  <c r="K434" i="8"/>
  <c r="K435" i="8"/>
  <c r="K436" i="8"/>
  <c r="K437" i="8"/>
  <c r="K438" i="8"/>
  <c r="K439" i="8"/>
  <c r="K440" i="8"/>
  <c r="K441" i="8"/>
  <c r="K442" i="8"/>
  <c r="K443" i="8"/>
  <c r="K444" i="8"/>
  <c r="K445" i="8"/>
  <c r="K446" i="8"/>
  <c r="K447" i="8"/>
  <c r="K448" i="8"/>
  <c r="K449" i="8"/>
  <c r="K450" i="8"/>
  <c r="K451" i="8"/>
  <c r="K452" i="8"/>
  <c r="K453" i="8"/>
  <c r="K454" i="8"/>
  <c r="K455" i="8"/>
  <c r="K456" i="8"/>
  <c r="K457" i="8"/>
  <c r="K458" i="8"/>
  <c r="K459" i="8"/>
  <c r="K460" i="8"/>
  <c r="K461" i="8"/>
  <c r="K462" i="8"/>
  <c r="K463" i="8"/>
  <c r="K464" i="8"/>
  <c r="K465" i="8"/>
  <c r="K466" i="8"/>
  <c r="K467" i="8"/>
  <c r="K468" i="8"/>
  <c r="K469" i="8"/>
  <c r="K470" i="8"/>
  <c r="K471" i="8"/>
  <c r="K472" i="8"/>
  <c r="K473" i="8"/>
  <c r="K474" i="8"/>
  <c r="K475" i="8"/>
  <c r="K476" i="8"/>
  <c r="K477" i="8"/>
  <c r="K478" i="8"/>
  <c r="K479" i="8"/>
  <c r="K480" i="8"/>
  <c r="K481" i="8"/>
  <c r="K482" i="8"/>
  <c r="K483" i="8"/>
  <c r="K484" i="8"/>
  <c r="K485" i="8"/>
  <c r="K486" i="8"/>
  <c r="K487" i="8"/>
  <c r="K488" i="8"/>
  <c r="K489" i="8"/>
  <c r="K490" i="8"/>
  <c r="K491" i="8"/>
  <c r="K492" i="8"/>
  <c r="K493" i="8"/>
  <c r="K494" i="8"/>
  <c r="K495" i="8"/>
  <c r="K496" i="8"/>
  <c r="K497" i="8"/>
  <c r="K498" i="8"/>
  <c r="K499" i="8"/>
  <c r="K500" i="8"/>
  <c r="K501" i="8"/>
  <c r="K502" i="8"/>
  <c r="K503" i="8"/>
  <c r="K504" i="8"/>
  <c r="K505" i="8"/>
  <c r="K506" i="8"/>
  <c r="K507" i="8"/>
  <c r="K508" i="8"/>
  <c r="K509" i="8"/>
  <c r="K510" i="8"/>
  <c r="K511" i="8"/>
  <c r="K512" i="8"/>
  <c r="K513" i="8"/>
  <c r="K514" i="8"/>
  <c r="K515" i="8"/>
  <c r="K516" i="8"/>
  <c r="K517" i="8"/>
  <c r="K518" i="8"/>
  <c r="K519" i="8"/>
  <c r="K520" i="8"/>
  <c r="K521" i="8"/>
  <c r="K522" i="8"/>
  <c r="K523" i="8"/>
  <c r="K524" i="8"/>
  <c r="K525" i="8"/>
  <c r="K526" i="8"/>
  <c r="K527" i="8"/>
  <c r="K528" i="8"/>
  <c r="K529" i="8"/>
  <c r="K530" i="8"/>
  <c r="K531" i="8"/>
  <c r="K532" i="8"/>
  <c r="K533" i="8"/>
  <c r="K534" i="8"/>
  <c r="K535" i="8"/>
  <c r="K536" i="8"/>
  <c r="K537" i="8"/>
  <c r="K538" i="8"/>
  <c r="K539" i="8"/>
  <c r="K540" i="8"/>
  <c r="K541" i="8"/>
  <c r="K542" i="8"/>
  <c r="K543" i="8"/>
  <c r="K544" i="8"/>
  <c r="K545" i="8"/>
  <c r="K546" i="8"/>
  <c r="K547" i="8"/>
  <c r="K548" i="8"/>
  <c r="K549" i="8"/>
  <c r="K550" i="8"/>
  <c r="K551" i="8"/>
  <c r="K552" i="8"/>
  <c r="K553" i="8"/>
  <c r="K554" i="8"/>
  <c r="K555" i="8"/>
  <c r="K556" i="8"/>
  <c r="K557" i="8"/>
  <c r="K558" i="8"/>
  <c r="K559" i="8"/>
  <c r="K560" i="8"/>
  <c r="K561" i="8"/>
  <c r="K562" i="8"/>
  <c r="K563" i="8"/>
  <c r="K564" i="8"/>
  <c r="K565" i="8"/>
  <c r="K566" i="8"/>
  <c r="K567" i="8"/>
  <c r="K568" i="8"/>
  <c r="K569" i="8"/>
  <c r="K570" i="8"/>
  <c r="K571" i="8"/>
  <c r="K572" i="8"/>
  <c r="K573" i="8"/>
  <c r="K574" i="8"/>
  <c r="K575" i="8"/>
  <c r="K576" i="8"/>
  <c r="K577" i="8"/>
  <c r="K578" i="8"/>
  <c r="K579" i="8"/>
  <c r="K580" i="8"/>
  <c r="K581" i="8"/>
  <c r="K582" i="8"/>
  <c r="K583" i="8"/>
  <c r="K584" i="8"/>
  <c r="K585" i="8"/>
  <c r="K586" i="8"/>
  <c r="K587" i="8"/>
  <c r="K588" i="8"/>
  <c r="K589" i="8"/>
  <c r="K590" i="8"/>
  <c r="K591" i="8"/>
  <c r="K592" i="8"/>
  <c r="K593" i="8"/>
  <c r="K594" i="8"/>
  <c r="K595" i="8"/>
  <c r="K596" i="8"/>
  <c r="K597" i="8"/>
  <c r="K598" i="8"/>
  <c r="K599" i="8"/>
  <c r="K600" i="8"/>
  <c r="K601" i="8"/>
  <c r="K602" i="8"/>
  <c r="K603" i="8"/>
  <c r="K604" i="8"/>
  <c r="K605" i="8"/>
  <c r="K606" i="8"/>
  <c r="K607" i="8"/>
  <c r="K608" i="8"/>
  <c r="K609" i="8"/>
  <c r="K610" i="8"/>
  <c r="K611" i="8"/>
  <c r="K612" i="8"/>
  <c r="K613" i="8"/>
  <c r="K614" i="8"/>
  <c r="K615" i="8"/>
  <c r="K616" i="8"/>
  <c r="K617" i="8"/>
  <c r="K618" i="8"/>
  <c r="K619" i="8"/>
  <c r="K620" i="8"/>
  <c r="K621" i="8"/>
  <c r="K622" i="8"/>
  <c r="K623" i="8"/>
  <c r="K624" i="8"/>
  <c r="K625" i="8"/>
  <c r="K626" i="8"/>
  <c r="K627" i="8"/>
  <c r="K628" i="8"/>
  <c r="K629" i="8"/>
  <c r="K630" i="8"/>
  <c r="K631" i="8"/>
  <c r="K632" i="8"/>
  <c r="K633" i="8"/>
  <c r="K634" i="8"/>
  <c r="K635" i="8"/>
  <c r="K636" i="8"/>
  <c r="K637" i="8"/>
  <c r="K638" i="8"/>
  <c r="K639" i="8"/>
  <c r="K640" i="8"/>
  <c r="K641" i="8"/>
  <c r="K642" i="8"/>
  <c r="K643" i="8"/>
  <c r="K644" i="8"/>
  <c r="K645" i="8"/>
  <c r="K646" i="8"/>
  <c r="K647" i="8"/>
  <c r="K648" i="8"/>
  <c r="K649" i="8"/>
  <c r="K650" i="8"/>
  <c r="K651" i="8"/>
  <c r="K652" i="8"/>
  <c r="K653" i="8"/>
  <c r="K654" i="8"/>
  <c r="K655" i="8"/>
  <c r="K656" i="8"/>
  <c r="K657" i="8"/>
  <c r="K658" i="8"/>
  <c r="K659" i="8"/>
  <c r="K660" i="8"/>
  <c r="K661" i="8"/>
  <c r="K662" i="8"/>
  <c r="K663" i="8"/>
  <c r="K664" i="8"/>
  <c r="K665" i="8"/>
  <c r="K666" i="8"/>
  <c r="K667" i="8"/>
  <c r="K668" i="8"/>
  <c r="K669" i="8"/>
  <c r="K670" i="8"/>
  <c r="K671" i="8"/>
  <c r="K672" i="8"/>
  <c r="K673" i="8"/>
  <c r="K674" i="8"/>
  <c r="K675" i="8"/>
  <c r="K676" i="8"/>
  <c r="K677" i="8"/>
  <c r="K678" i="8"/>
  <c r="K679" i="8"/>
  <c r="K680" i="8"/>
  <c r="K681" i="8"/>
  <c r="K682" i="8"/>
  <c r="K683" i="8"/>
  <c r="K684" i="8"/>
  <c r="K685" i="8"/>
  <c r="K686" i="8"/>
  <c r="K687" i="8"/>
  <c r="K688" i="8"/>
  <c r="K689" i="8"/>
  <c r="K690" i="8"/>
  <c r="K691" i="8"/>
  <c r="K692" i="8"/>
  <c r="K693" i="8"/>
  <c r="K694" i="8"/>
  <c r="K695" i="8"/>
  <c r="K696" i="8"/>
  <c r="K697" i="8"/>
  <c r="K698" i="8"/>
  <c r="K699" i="8"/>
  <c r="K700" i="8"/>
  <c r="K701" i="8"/>
  <c r="K702" i="8"/>
  <c r="K703" i="8"/>
  <c r="K704" i="8"/>
  <c r="K705" i="8"/>
  <c r="K706" i="8"/>
  <c r="K707" i="8"/>
  <c r="K708" i="8"/>
  <c r="K709" i="8"/>
  <c r="K710" i="8"/>
  <c r="K711" i="8"/>
  <c r="K712" i="8"/>
  <c r="K713" i="8"/>
  <c r="K714" i="8"/>
  <c r="K715" i="8"/>
  <c r="K716" i="8"/>
  <c r="K717" i="8"/>
  <c r="K718" i="8"/>
  <c r="K719" i="8"/>
  <c r="K720" i="8"/>
  <c r="K721" i="8"/>
  <c r="K722" i="8"/>
  <c r="K723" i="8"/>
  <c r="K724" i="8"/>
  <c r="K725" i="8"/>
  <c r="K726" i="8"/>
  <c r="K727" i="8"/>
  <c r="K728" i="8"/>
  <c r="K729" i="8"/>
  <c r="K730" i="8"/>
  <c r="K731" i="8"/>
  <c r="K732" i="8"/>
  <c r="K733" i="8"/>
  <c r="K734" i="8"/>
  <c r="K735" i="8"/>
  <c r="K736" i="8"/>
  <c r="K737" i="8"/>
  <c r="K738" i="8"/>
  <c r="K739" i="8"/>
  <c r="K740" i="8"/>
  <c r="K741" i="8"/>
  <c r="K742" i="8"/>
  <c r="K743" i="8"/>
  <c r="K744" i="8"/>
  <c r="K745" i="8"/>
  <c r="K746" i="8"/>
  <c r="K747" i="8"/>
  <c r="K748" i="8"/>
  <c r="K749" i="8"/>
  <c r="K750" i="8"/>
  <c r="K751" i="8"/>
  <c r="K752" i="8"/>
  <c r="K753" i="8"/>
  <c r="K754" i="8"/>
  <c r="K755" i="8"/>
  <c r="K756" i="8"/>
  <c r="K757" i="8"/>
  <c r="K758" i="8"/>
  <c r="K759" i="8"/>
  <c r="K760" i="8"/>
  <c r="K761" i="8"/>
  <c r="K762" i="8"/>
  <c r="K763" i="8"/>
  <c r="K764" i="8"/>
  <c r="K765" i="8"/>
  <c r="K766" i="8"/>
  <c r="K767" i="8"/>
  <c r="K768" i="8"/>
  <c r="K769" i="8"/>
  <c r="K770" i="8"/>
  <c r="K771" i="8"/>
  <c r="K772" i="8"/>
  <c r="K773" i="8"/>
  <c r="K774" i="8"/>
  <c r="K775" i="8"/>
  <c r="K776" i="8"/>
  <c r="K777" i="8"/>
  <c r="K778" i="8"/>
  <c r="K779" i="8"/>
  <c r="K780" i="8"/>
  <c r="K781" i="8"/>
  <c r="K782" i="8"/>
  <c r="K783" i="8"/>
  <c r="K784" i="8"/>
  <c r="K785" i="8"/>
  <c r="K786" i="8"/>
  <c r="K787" i="8"/>
  <c r="K788" i="8"/>
  <c r="K789" i="8"/>
  <c r="K790" i="8"/>
  <c r="K791" i="8"/>
  <c r="K792" i="8"/>
  <c r="K793" i="8"/>
  <c r="K794" i="8"/>
  <c r="K795" i="8"/>
  <c r="K796" i="8"/>
  <c r="K797" i="8"/>
  <c r="K798" i="8"/>
  <c r="K799" i="8"/>
  <c r="K800" i="8"/>
  <c r="K801" i="8"/>
  <c r="K802" i="8"/>
  <c r="K803" i="8"/>
  <c r="K804" i="8"/>
  <c r="K805" i="8"/>
  <c r="K806" i="8"/>
  <c r="K807" i="8"/>
  <c r="K808" i="8"/>
  <c r="K809" i="8"/>
  <c r="K810" i="8"/>
  <c r="K811" i="8"/>
  <c r="K812" i="8"/>
  <c r="K813" i="8"/>
  <c r="K814" i="8"/>
  <c r="K815" i="8"/>
  <c r="K816" i="8"/>
  <c r="K817" i="8"/>
  <c r="K818" i="8"/>
  <c r="K819" i="8"/>
  <c r="K820" i="8"/>
  <c r="K821" i="8"/>
  <c r="K822" i="8"/>
  <c r="K823" i="8"/>
  <c r="K824" i="8"/>
  <c r="K825" i="8"/>
  <c r="K826" i="8"/>
  <c r="K827" i="8"/>
  <c r="K828" i="8"/>
  <c r="K829" i="8"/>
  <c r="K830" i="8"/>
  <c r="K831" i="8"/>
  <c r="K832" i="8"/>
  <c r="K833" i="8"/>
  <c r="K834" i="8"/>
  <c r="K835" i="8"/>
  <c r="K836" i="8"/>
  <c r="K837" i="8"/>
  <c r="K838" i="8"/>
  <c r="K839" i="8"/>
  <c r="K840" i="8"/>
  <c r="K841" i="8"/>
  <c r="K842" i="8"/>
  <c r="K843" i="8"/>
  <c r="K844" i="8"/>
  <c r="K845" i="8"/>
  <c r="K846" i="8"/>
  <c r="K847" i="8"/>
  <c r="K848" i="8"/>
  <c r="K849" i="8"/>
  <c r="K850" i="8"/>
  <c r="K851" i="8"/>
  <c r="K852" i="8"/>
  <c r="K853" i="8"/>
  <c r="K854" i="8"/>
  <c r="K855" i="8"/>
  <c r="K856" i="8"/>
  <c r="K857" i="8"/>
  <c r="K858" i="8"/>
  <c r="K859" i="8"/>
  <c r="K860" i="8"/>
  <c r="K861" i="8"/>
  <c r="K862" i="8"/>
  <c r="K863" i="8"/>
  <c r="K864" i="8"/>
  <c r="K865" i="8"/>
  <c r="K866" i="8"/>
  <c r="K867" i="8"/>
  <c r="K868" i="8"/>
  <c r="K869" i="8"/>
  <c r="K870" i="8"/>
  <c r="K871" i="8"/>
  <c r="K872" i="8"/>
  <c r="K873" i="8"/>
  <c r="K874" i="8"/>
  <c r="K875" i="8"/>
  <c r="K876" i="8"/>
  <c r="K877" i="8"/>
  <c r="K878" i="8"/>
  <c r="K879" i="8"/>
  <c r="K880" i="8"/>
  <c r="K881" i="8"/>
  <c r="K882" i="8"/>
  <c r="K883" i="8"/>
  <c r="K884" i="8"/>
  <c r="K885" i="8"/>
  <c r="K886" i="8"/>
  <c r="K887" i="8"/>
  <c r="K888" i="8"/>
  <c r="K889" i="8"/>
  <c r="K890" i="8"/>
  <c r="K891" i="8"/>
  <c r="K892" i="8"/>
  <c r="K893" i="8"/>
  <c r="K894" i="8"/>
  <c r="K895" i="8"/>
  <c r="K896" i="8"/>
  <c r="K897" i="8"/>
  <c r="K898" i="8"/>
  <c r="K899" i="8"/>
  <c r="K900" i="8"/>
  <c r="K901" i="8"/>
  <c r="K902" i="8"/>
  <c r="K903" i="8"/>
  <c r="K904" i="8"/>
  <c r="K905" i="8"/>
  <c r="K906" i="8"/>
  <c r="K907" i="8"/>
  <c r="K908" i="8"/>
  <c r="K909" i="8"/>
  <c r="K910" i="8"/>
  <c r="K911" i="8"/>
  <c r="K912" i="8"/>
  <c r="K913" i="8"/>
  <c r="K914" i="8"/>
  <c r="K915" i="8"/>
  <c r="K916" i="8"/>
  <c r="K917" i="8"/>
  <c r="K918" i="8"/>
  <c r="K919" i="8"/>
  <c r="K920" i="8"/>
  <c r="K921" i="8"/>
  <c r="K922" i="8"/>
  <c r="K923" i="8"/>
  <c r="K924" i="8"/>
  <c r="K925" i="8"/>
  <c r="K926" i="8"/>
  <c r="K927" i="8"/>
  <c r="K928" i="8"/>
  <c r="K929" i="8"/>
  <c r="K930" i="8"/>
  <c r="K931" i="8"/>
  <c r="K932" i="8"/>
  <c r="K933" i="8"/>
  <c r="K934" i="8"/>
  <c r="K935" i="8"/>
  <c r="K936" i="8"/>
  <c r="K937" i="8"/>
  <c r="K938" i="8"/>
  <c r="K939" i="8"/>
  <c r="K940" i="8"/>
  <c r="K941" i="8"/>
  <c r="K942" i="8"/>
  <c r="K943" i="8"/>
  <c r="K944" i="8"/>
  <c r="K945" i="8"/>
  <c r="K946" i="8"/>
  <c r="K947" i="8"/>
  <c r="K948" i="8"/>
  <c r="K949" i="8"/>
  <c r="K950" i="8"/>
  <c r="K951" i="8"/>
  <c r="K952" i="8"/>
  <c r="K953" i="8"/>
  <c r="K954" i="8"/>
  <c r="K955" i="8"/>
  <c r="K956" i="8"/>
  <c r="K957" i="8"/>
  <c r="K958" i="8"/>
  <c r="K959" i="8"/>
  <c r="K960" i="8"/>
  <c r="K961" i="8"/>
  <c r="K962" i="8"/>
  <c r="K963" i="8"/>
  <c r="K964" i="8"/>
  <c r="K965" i="8"/>
  <c r="K966" i="8"/>
  <c r="K967" i="8"/>
  <c r="K968" i="8"/>
  <c r="K969" i="8"/>
  <c r="K970" i="8"/>
  <c r="K971" i="8"/>
  <c r="K972" i="8"/>
  <c r="K973" i="8"/>
  <c r="K974" i="8"/>
  <c r="K975" i="8"/>
  <c r="K976" i="8"/>
  <c r="K977" i="8"/>
  <c r="K978" i="8"/>
  <c r="K979" i="8"/>
  <c r="K980" i="8"/>
  <c r="K981" i="8"/>
  <c r="K982" i="8"/>
  <c r="K983" i="8"/>
  <c r="K984" i="8"/>
  <c r="K985" i="8"/>
  <c r="K986" i="8"/>
  <c r="K987" i="8"/>
  <c r="K988" i="8"/>
  <c r="K989" i="8"/>
  <c r="K990" i="8"/>
  <c r="K991" i="8"/>
  <c r="K992" i="8"/>
  <c r="K993" i="8"/>
  <c r="K994" i="8"/>
  <c r="K995" i="8"/>
  <c r="K996" i="8"/>
  <c r="K997" i="8"/>
  <c r="K998" i="8"/>
  <c r="K999" i="8"/>
  <c r="K1000" i="8"/>
  <c r="K1001" i="8"/>
  <c r="K1002" i="8"/>
  <c r="K1003" i="8"/>
  <c r="K1004" i="8"/>
  <c r="K1005" i="8"/>
  <c r="K1006" i="8"/>
  <c r="K1007" i="8"/>
  <c r="K1008" i="8"/>
  <c r="K1009" i="8"/>
  <c r="K1010" i="8"/>
  <c r="K1011" i="8"/>
  <c r="K1012" i="8"/>
  <c r="K1013" i="8"/>
  <c r="K1014" i="8"/>
  <c r="K1015" i="8"/>
  <c r="K1016" i="8"/>
  <c r="K1017" i="8"/>
  <c r="K1018" i="8"/>
  <c r="K1019" i="8"/>
  <c r="K1020" i="8"/>
  <c r="K1021" i="8"/>
  <c r="K1022" i="8"/>
  <c r="K1023" i="8"/>
  <c r="K1024" i="8"/>
  <c r="K1025" i="8"/>
  <c r="K1026" i="8"/>
  <c r="K1027" i="8"/>
  <c r="K1028" i="8"/>
  <c r="K1029" i="8"/>
  <c r="K1030" i="8"/>
  <c r="K1031" i="8"/>
  <c r="K1032" i="8"/>
  <c r="K1033" i="8"/>
  <c r="K1034" i="8"/>
  <c r="K1035" i="8"/>
  <c r="K1036" i="8"/>
  <c r="K1037" i="8"/>
  <c r="K1038" i="8"/>
  <c r="K1039" i="8"/>
  <c r="K1040" i="8"/>
  <c r="K1041" i="8"/>
  <c r="K1042" i="8"/>
  <c r="K1043" i="8"/>
  <c r="K1044" i="8"/>
  <c r="K1045" i="8"/>
  <c r="K1046" i="8"/>
  <c r="K1047" i="8"/>
  <c r="K1048" i="8"/>
  <c r="K1049" i="8"/>
  <c r="K1050" i="8"/>
  <c r="K1051" i="8"/>
  <c r="K1052" i="8"/>
  <c r="K1053" i="8"/>
  <c r="K1054" i="8"/>
  <c r="K1055" i="8"/>
  <c r="K1056" i="8"/>
  <c r="K1057" i="8"/>
  <c r="K1058" i="8"/>
  <c r="K1059" i="8"/>
  <c r="K1060" i="8"/>
  <c r="K1061" i="8"/>
  <c r="K1062" i="8"/>
  <c r="K1063" i="8"/>
  <c r="K1064" i="8"/>
  <c r="K1065" i="8"/>
  <c r="K1066" i="8"/>
  <c r="K1067" i="8"/>
  <c r="K1068" i="8"/>
  <c r="K1069" i="8"/>
  <c r="K1070" i="8"/>
  <c r="K1071" i="8"/>
  <c r="K1072" i="8"/>
  <c r="K1073" i="8"/>
  <c r="K1074" i="8"/>
  <c r="K1075" i="8"/>
  <c r="K1076" i="8"/>
  <c r="K1077" i="8"/>
  <c r="K1078" i="8"/>
  <c r="K1079" i="8"/>
  <c r="K1080" i="8"/>
  <c r="K1081" i="8"/>
  <c r="K1082" i="8"/>
  <c r="K1083" i="8"/>
  <c r="K1084" i="8"/>
  <c r="K1085" i="8"/>
  <c r="K1086" i="8"/>
  <c r="K1087" i="8"/>
  <c r="K1088" i="8"/>
  <c r="K1089" i="8"/>
  <c r="K1090" i="8"/>
  <c r="K1091" i="8"/>
  <c r="K1092" i="8"/>
  <c r="K1093" i="8"/>
  <c r="K1094" i="8"/>
  <c r="K1095" i="8"/>
  <c r="K1096" i="8"/>
  <c r="K1097" i="8"/>
  <c r="K1098" i="8"/>
  <c r="K1099" i="8"/>
  <c r="K1100" i="8"/>
  <c r="K1101" i="8"/>
  <c r="K1102" i="8"/>
  <c r="K1103" i="8"/>
  <c r="K1104" i="8"/>
  <c r="K1105" i="8"/>
  <c r="K1106" i="8"/>
  <c r="K1107" i="8"/>
  <c r="K1108" i="8"/>
  <c r="K1109" i="8"/>
  <c r="K1110" i="8"/>
  <c r="K1111" i="8"/>
  <c r="K1112" i="8"/>
  <c r="K1113" i="8"/>
  <c r="K1114" i="8"/>
  <c r="K1115" i="8"/>
  <c r="K1116" i="8"/>
  <c r="K1117" i="8"/>
  <c r="K1118" i="8"/>
  <c r="K1119" i="8"/>
  <c r="K1120" i="8"/>
  <c r="K1121" i="8"/>
  <c r="K1122" i="8"/>
  <c r="K1123" i="8"/>
  <c r="K1124" i="8"/>
  <c r="K1125" i="8"/>
  <c r="K1126" i="8"/>
  <c r="K1127" i="8"/>
  <c r="K1128" i="8"/>
  <c r="K1129" i="8"/>
  <c r="K1130" i="8"/>
  <c r="K1131" i="8"/>
  <c r="K1132" i="8"/>
  <c r="K1133" i="8"/>
  <c r="K1134" i="8"/>
  <c r="K1135" i="8"/>
  <c r="K1136" i="8"/>
  <c r="K1137" i="8"/>
  <c r="K1138" i="8"/>
  <c r="K1139" i="8"/>
  <c r="K1140" i="8"/>
  <c r="K1141" i="8"/>
  <c r="K1142" i="8"/>
  <c r="K1143" i="8"/>
  <c r="K1144" i="8"/>
  <c r="K1145" i="8"/>
  <c r="K1146" i="8"/>
  <c r="K1147" i="8"/>
  <c r="K1148" i="8"/>
  <c r="K1149" i="8"/>
  <c r="K1150" i="8"/>
  <c r="K1151" i="8"/>
  <c r="K1152" i="8"/>
  <c r="K1153" i="8"/>
  <c r="K1154" i="8"/>
  <c r="K1155" i="8"/>
  <c r="K1156" i="8"/>
  <c r="K1157" i="8"/>
  <c r="K1158" i="8"/>
  <c r="K1159" i="8"/>
  <c r="K1160" i="8"/>
  <c r="K1161" i="8"/>
  <c r="K1162" i="8"/>
  <c r="K1163" i="8"/>
  <c r="K1164" i="8"/>
  <c r="K1165" i="8"/>
  <c r="K1166" i="8"/>
  <c r="K1167" i="8"/>
  <c r="K1168" i="8"/>
  <c r="K1169" i="8"/>
  <c r="K1170" i="8"/>
  <c r="K1171" i="8"/>
  <c r="K1172" i="8"/>
  <c r="K1173" i="8"/>
  <c r="K1174" i="8"/>
  <c r="K1175" i="8"/>
  <c r="K1176" i="8"/>
  <c r="K1177" i="8"/>
  <c r="K1178" i="8"/>
  <c r="K1179" i="8"/>
  <c r="K1180" i="8"/>
  <c r="K1181" i="8"/>
  <c r="K1182" i="8"/>
  <c r="K1183" i="8"/>
  <c r="K1184" i="8"/>
  <c r="K1185" i="8"/>
  <c r="K1186" i="8"/>
  <c r="K1187" i="8"/>
  <c r="K1188" i="8"/>
  <c r="K1189" i="8"/>
  <c r="K1190" i="8"/>
  <c r="K1191" i="8"/>
  <c r="K1192" i="8"/>
  <c r="K1193" i="8"/>
  <c r="K1194" i="8"/>
  <c r="K1195" i="8"/>
  <c r="K1196" i="8"/>
  <c r="K1197" i="8"/>
  <c r="K1198" i="8"/>
  <c r="K1199" i="8"/>
  <c r="K1200" i="8"/>
  <c r="K1201" i="8"/>
  <c r="K1202" i="8"/>
  <c r="K1203" i="8"/>
  <c r="K1204" i="8"/>
  <c r="K1205" i="8"/>
  <c r="K1206" i="8"/>
  <c r="K1207" i="8"/>
  <c r="K1208" i="8"/>
  <c r="K1209" i="8"/>
  <c r="K1210" i="8"/>
  <c r="K1211" i="8"/>
  <c r="K1212" i="8"/>
  <c r="K1213" i="8"/>
  <c r="K1214" i="8"/>
  <c r="K1215" i="8"/>
  <c r="K1216" i="8"/>
  <c r="K1217" i="8"/>
  <c r="K1218" i="8"/>
  <c r="K1219" i="8"/>
  <c r="K1220" i="8"/>
  <c r="K1221" i="8"/>
  <c r="K1222" i="8"/>
  <c r="K1223" i="8"/>
  <c r="K1224" i="8"/>
  <c r="K1225" i="8"/>
  <c r="K1226" i="8"/>
  <c r="K1227" i="8"/>
  <c r="K1228" i="8"/>
  <c r="K1229" i="8"/>
  <c r="K1230" i="8"/>
  <c r="K1231" i="8"/>
  <c r="K1232" i="8"/>
  <c r="K1233" i="8"/>
  <c r="K1234" i="8"/>
  <c r="K1235" i="8"/>
  <c r="K1236" i="8"/>
  <c r="K1237" i="8"/>
  <c r="K1238" i="8"/>
  <c r="K1239" i="8"/>
  <c r="K1240" i="8"/>
  <c r="K1241" i="8"/>
  <c r="K1242" i="8"/>
  <c r="K1243" i="8"/>
  <c r="K1244" i="8"/>
  <c r="K1245" i="8"/>
  <c r="K1246" i="8"/>
  <c r="K1247" i="8"/>
  <c r="K1248" i="8"/>
  <c r="K1249" i="8"/>
  <c r="K1250" i="8"/>
  <c r="K1251" i="8"/>
  <c r="K1252" i="8"/>
  <c r="K1253" i="8"/>
  <c r="K1254" i="8"/>
  <c r="K1255" i="8"/>
  <c r="K1256" i="8"/>
  <c r="K1257" i="8"/>
  <c r="K1258" i="8"/>
  <c r="K1259" i="8"/>
  <c r="K1260" i="8"/>
  <c r="K1261" i="8"/>
  <c r="K1262" i="8"/>
  <c r="K1263" i="8"/>
  <c r="K1264" i="8"/>
  <c r="K1265" i="8"/>
  <c r="K1266" i="8"/>
  <c r="K1267" i="8"/>
  <c r="K1268" i="8"/>
  <c r="K1269" i="8"/>
  <c r="K1270" i="8"/>
  <c r="K1271" i="8"/>
  <c r="K1272" i="8"/>
  <c r="K1273" i="8"/>
  <c r="K1274" i="8"/>
  <c r="K1275" i="8"/>
  <c r="K1276" i="8"/>
  <c r="K1277" i="8"/>
  <c r="K1278" i="8"/>
  <c r="K1279" i="8"/>
  <c r="K1280" i="8"/>
  <c r="K1281" i="8"/>
  <c r="K1282" i="8"/>
  <c r="K1283" i="8"/>
  <c r="K1284" i="8"/>
  <c r="K1285" i="8"/>
  <c r="K1286" i="8"/>
  <c r="K1287" i="8"/>
  <c r="K1288" i="8"/>
  <c r="K1289" i="8"/>
  <c r="K1290" i="8"/>
  <c r="K1291" i="8"/>
  <c r="K1292" i="8"/>
  <c r="K1293" i="8"/>
  <c r="K1294" i="8"/>
  <c r="K1295" i="8"/>
  <c r="K1296" i="8"/>
  <c r="K1297" i="8"/>
  <c r="K1298" i="8"/>
  <c r="K1299" i="8"/>
  <c r="K1300" i="8"/>
  <c r="K1301" i="8"/>
  <c r="K1302" i="8"/>
  <c r="K1303" i="8"/>
  <c r="K1304" i="8"/>
  <c r="K1305" i="8"/>
  <c r="K1306" i="8"/>
  <c r="K1307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1008" i="8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4" i="8"/>
  <c r="L1165" i="8"/>
  <c r="L1166" i="8"/>
  <c r="L1167" i="8"/>
  <c r="L1168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1200" i="8"/>
  <c r="L1201" i="8"/>
  <c r="L1202" i="8"/>
  <c r="L1203" i="8"/>
  <c r="L1204" i="8"/>
  <c r="L1205" i="8"/>
  <c r="L1206" i="8"/>
  <c r="L1207" i="8"/>
  <c r="L1208" i="8"/>
  <c r="L1209" i="8"/>
  <c r="L1210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4" i="8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K1002" i="7"/>
  <c r="K1003" i="7"/>
  <c r="K1004" i="7"/>
  <c r="K1005" i="7"/>
  <c r="K1006" i="7"/>
  <c r="K1007" i="7"/>
  <c r="K1008" i="7"/>
  <c r="K1009" i="7"/>
  <c r="K1010" i="7"/>
  <c r="K1011" i="7"/>
  <c r="K1012" i="7"/>
  <c r="K1013" i="7"/>
  <c r="K1014" i="7"/>
  <c r="K1015" i="7"/>
  <c r="K1016" i="7"/>
  <c r="K1017" i="7"/>
  <c r="K1018" i="7"/>
  <c r="K1019" i="7"/>
  <c r="K1020" i="7"/>
  <c r="K1021" i="7"/>
  <c r="K1022" i="7"/>
  <c r="K1023" i="7"/>
  <c r="K1024" i="7"/>
  <c r="K1025" i="7"/>
  <c r="K1026" i="7"/>
  <c r="K1027" i="7"/>
  <c r="K1028" i="7"/>
  <c r="K1029" i="7"/>
  <c r="K1030" i="7"/>
  <c r="K1031" i="7"/>
  <c r="K1032" i="7"/>
  <c r="K1033" i="7"/>
  <c r="K1034" i="7"/>
  <c r="K1035" i="7"/>
  <c r="K1036" i="7"/>
  <c r="K1037" i="7"/>
  <c r="K1038" i="7"/>
  <c r="K1039" i="7"/>
  <c r="K1040" i="7"/>
  <c r="K1041" i="7"/>
  <c r="K1042" i="7"/>
  <c r="K1043" i="7"/>
  <c r="K1044" i="7"/>
  <c r="K1045" i="7"/>
  <c r="K1046" i="7"/>
  <c r="K1047" i="7"/>
  <c r="K1048" i="7"/>
  <c r="K1049" i="7"/>
  <c r="K1050" i="7"/>
  <c r="K1051" i="7"/>
  <c r="K1052" i="7"/>
  <c r="K1053" i="7"/>
  <c r="K1054" i="7"/>
  <c r="K1055" i="7"/>
  <c r="K1056" i="7"/>
  <c r="K1057" i="7"/>
  <c r="K1058" i="7"/>
  <c r="K1059" i="7"/>
  <c r="K1060" i="7"/>
  <c r="K1061" i="7"/>
  <c r="K1062" i="7"/>
  <c r="K1063" i="7"/>
  <c r="K1064" i="7"/>
  <c r="K1065" i="7"/>
  <c r="K1066" i="7"/>
  <c r="K1067" i="7"/>
  <c r="K1068" i="7"/>
  <c r="K1069" i="7"/>
  <c r="K1070" i="7"/>
  <c r="K1071" i="7"/>
  <c r="K1072" i="7"/>
  <c r="K1073" i="7"/>
  <c r="K1074" i="7"/>
  <c r="K1075" i="7"/>
  <c r="K1076" i="7"/>
  <c r="K1077" i="7"/>
  <c r="K1078" i="7"/>
  <c r="K1079" i="7"/>
  <c r="K1080" i="7"/>
  <c r="K1081" i="7"/>
  <c r="K1082" i="7"/>
  <c r="K1083" i="7"/>
  <c r="K1084" i="7"/>
  <c r="K1085" i="7"/>
  <c r="K1086" i="7"/>
  <c r="K1087" i="7"/>
  <c r="K1088" i="7"/>
  <c r="K1089" i="7"/>
  <c r="K1090" i="7"/>
  <c r="K1091" i="7"/>
  <c r="K1092" i="7"/>
  <c r="K1093" i="7"/>
  <c r="K1094" i="7"/>
  <c r="K1095" i="7"/>
  <c r="K1096" i="7"/>
  <c r="K1097" i="7"/>
  <c r="K1098" i="7"/>
  <c r="K1099" i="7"/>
  <c r="K1100" i="7"/>
  <c r="K1101" i="7"/>
  <c r="K1102" i="7"/>
  <c r="K1103" i="7"/>
  <c r="K1104" i="7"/>
  <c r="K1105" i="7"/>
  <c r="K1106" i="7"/>
  <c r="K1107" i="7"/>
  <c r="K1108" i="7"/>
  <c r="K1109" i="7"/>
  <c r="K1110" i="7"/>
  <c r="K1111" i="7"/>
  <c r="K1112" i="7"/>
  <c r="K1113" i="7"/>
  <c r="K1114" i="7"/>
  <c r="K1115" i="7"/>
  <c r="K1116" i="7"/>
  <c r="K1117" i="7"/>
  <c r="K1118" i="7"/>
  <c r="K1119" i="7"/>
  <c r="K1120" i="7"/>
  <c r="K1121" i="7"/>
  <c r="K1122" i="7"/>
  <c r="K1123" i="7"/>
  <c r="K1124" i="7"/>
  <c r="K1125" i="7"/>
  <c r="K1126" i="7"/>
  <c r="K1127" i="7"/>
  <c r="K1128" i="7"/>
  <c r="K1129" i="7"/>
  <c r="K1130" i="7"/>
  <c r="K1131" i="7"/>
  <c r="K1132" i="7"/>
  <c r="K1133" i="7"/>
  <c r="K1134" i="7"/>
  <c r="K1135" i="7"/>
  <c r="K1136" i="7"/>
  <c r="K1137" i="7"/>
  <c r="K1138" i="7"/>
  <c r="K1139" i="7"/>
  <c r="K1140" i="7"/>
  <c r="K1141" i="7"/>
  <c r="K1142" i="7"/>
  <c r="K1143" i="7"/>
  <c r="K1144" i="7"/>
  <c r="K1145" i="7"/>
  <c r="K1146" i="7"/>
  <c r="K1147" i="7"/>
  <c r="K1148" i="7"/>
  <c r="K1149" i="7"/>
  <c r="K1150" i="7"/>
  <c r="K1151" i="7"/>
  <c r="K1152" i="7"/>
  <c r="K1153" i="7"/>
  <c r="K1154" i="7"/>
  <c r="K1155" i="7"/>
  <c r="K1156" i="7"/>
  <c r="K1157" i="7"/>
  <c r="K1158" i="7"/>
  <c r="K1159" i="7"/>
  <c r="K1160" i="7"/>
  <c r="K1161" i="7"/>
  <c r="K1162" i="7"/>
  <c r="K1163" i="7"/>
  <c r="K1164" i="7"/>
  <c r="K1165" i="7"/>
  <c r="K1166" i="7"/>
  <c r="K1167" i="7"/>
  <c r="K1168" i="7"/>
  <c r="K1169" i="7"/>
  <c r="K1170" i="7"/>
  <c r="K1171" i="7"/>
  <c r="K1172" i="7"/>
  <c r="K1173" i="7"/>
  <c r="K1174" i="7"/>
  <c r="K1175" i="7"/>
  <c r="K1176" i="7"/>
  <c r="K1177" i="7"/>
  <c r="K1178" i="7"/>
  <c r="K1179" i="7"/>
  <c r="K1180" i="7"/>
  <c r="K1181" i="7"/>
  <c r="K1182" i="7"/>
  <c r="K1183" i="7"/>
  <c r="K1184" i="7"/>
  <c r="K1185" i="7"/>
  <c r="K1186" i="7"/>
  <c r="K1187" i="7"/>
  <c r="K1188" i="7"/>
  <c r="K1189" i="7"/>
  <c r="K1190" i="7"/>
  <c r="K1191" i="7"/>
  <c r="K1192" i="7"/>
  <c r="K1193" i="7"/>
  <c r="K1194" i="7"/>
  <c r="K1195" i="7"/>
  <c r="K1196" i="7"/>
  <c r="K1197" i="7"/>
  <c r="K1198" i="7"/>
  <c r="K1199" i="7"/>
  <c r="K1200" i="7"/>
  <c r="K1201" i="7"/>
  <c r="K1202" i="7"/>
  <c r="K1203" i="7"/>
  <c r="K1204" i="7"/>
  <c r="K1205" i="7"/>
  <c r="K1206" i="7"/>
  <c r="K1207" i="7"/>
  <c r="K1208" i="7"/>
  <c r="K1209" i="7"/>
  <c r="K1210" i="7"/>
  <c r="K1211" i="7"/>
  <c r="K1212" i="7"/>
  <c r="K1213" i="7"/>
  <c r="K1214" i="7"/>
  <c r="K1215" i="7"/>
  <c r="K1216" i="7"/>
  <c r="K1217" i="7"/>
  <c r="K1218" i="7"/>
  <c r="K1219" i="7"/>
  <c r="K1220" i="7"/>
  <c r="K1221" i="7"/>
  <c r="K1222" i="7"/>
  <c r="K1223" i="7"/>
  <c r="K1224" i="7"/>
  <c r="K1225" i="7"/>
  <c r="K1226" i="7"/>
  <c r="K1227" i="7"/>
  <c r="K1228" i="7"/>
  <c r="K1229" i="7"/>
  <c r="K1230" i="7"/>
  <c r="K1231" i="7"/>
  <c r="K1232" i="7"/>
  <c r="K1233" i="7"/>
  <c r="K1234" i="7"/>
  <c r="K1235" i="7"/>
  <c r="K1236" i="7"/>
  <c r="K1237" i="7"/>
  <c r="K1238" i="7"/>
  <c r="K1239" i="7"/>
  <c r="K1240" i="7"/>
  <c r="K1241" i="7"/>
  <c r="K1242" i="7"/>
  <c r="K1243" i="7"/>
  <c r="K1244" i="7"/>
  <c r="K1245" i="7"/>
  <c r="K1246" i="7"/>
  <c r="K1247" i="7"/>
  <c r="K1248" i="7"/>
  <c r="K1249" i="7"/>
  <c r="K1250" i="7"/>
  <c r="K1251" i="7"/>
  <c r="K1252" i="7"/>
  <c r="K1253" i="7"/>
  <c r="K1254" i="7"/>
  <c r="K1255" i="7"/>
  <c r="K1256" i="7"/>
  <c r="K1257" i="7"/>
  <c r="K1258" i="7"/>
  <c r="K1259" i="7"/>
  <c r="K1260" i="7"/>
  <c r="K1261" i="7"/>
  <c r="K1262" i="7"/>
  <c r="K1263" i="7"/>
  <c r="K1264" i="7"/>
  <c r="K1265" i="7"/>
  <c r="K1266" i="7"/>
  <c r="K1267" i="7"/>
  <c r="K1268" i="7"/>
  <c r="K1269" i="7"/>
  <c r="K1270" i="7"/>
  <c r="K1271" i="7"/>
  <c r="K1272" i="7"/>
  <c r="K1273" i="7"/>
  <c r="K1274" i="7"/>
  <c r="K1275" i="7"/>
  <c r="K1276" i="7"/>
  <c r="K1277" i="7"/>
  <c r="K1278" i="7"/>
  <c r="K1279" i="7"/>
  <c r="K1280" i="7"/>
  <c r="K1281" i="7"/>
  <c r="K1282" i="7"/>
  <c r="K1283" i="7"/>
  <c r="K1284" i="7"/>
  <c r="K1285" i="7"/>
  <c r="K1286" i="7"/>
  <c r="K1287" i="7"/>
  <c r="K1288" i="7"/>
  <c r="K1289" i="7"/>
  <c r="K1290" i="7"/>
  <c r="K1291" i="7"/>
  <c r="K1292" i="7"/>
  <c r="K1293" i="7"/>
  <c r="K1294" i="7"/>
  <c r="K1295" i="7"/>
  <c r="K1296" i="7"/>
  <c r="K1297" i="7"/>
  <c r="K1298" i="7"/>
  <c r="K1299" i="7"/>
  <c r="K1300" i="7"/>
  <c r="K1301" i="7"/>
  <c r="K1302" i="7"/>
  <c r="K1303" i="7"/>
  <c r="K1304" i="7"/>
  <c r="K1305" i="7"/>
  <c r="K1306" i="7"/>
  <c r="K1307" i="7"/>
  <c r="K4" i="7"/>
  <c r="K4" i="8"/>
  <c r="K9" i="3"/>
  <c r="K7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3" i="3"/>
  <c r="L3" i="3"/>
  <c r="K3" i="3"/>
  <c r="L2" i="3"/>
  <c r="K2" i="3"/>
  <c r="G4" i="3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G76" i="3"/>
  <c r="H76" i="3"/>
  <c r="G77" i="3"/>
  <c r="H77" i="3"/>
  <c r="G78" i="3"/>
  <c r="H78" i="3"/>
  <c r="G79" i="3"/>
  <c r="H79" i="3"/>
  <c r="G80" i="3"/>
  <c r="H80" i="3"/>
  <c r="G81" i="3"/>
  <c r="H81" i="3"/>
  <c r="G82" i="3"/>
  <c r="H82" i="3"/>
  <c r="G83" i="3"/>
  <c r="H83" i="3"/>
  <c r="G84" i="3"/>
  <c r="H84" i="3"/>
  <c r="G85" i="3"/>
  <c r="H85" i="3"/>
  <c r="G86" i="3"/>
  <c r="H86" i="3"/>
  <c r="G87" i="3"/>
  <c r="H87" i="3"/>
  <c r="G88" i="3"/>
  <c r="H88" i="3"/>
  <c r="G89" i="3"/>
  <c r="H89" i="3"/>
  <c r="G90" i="3"/>
  <c r="H90" i="3"/>
  <c r="G91" i="3"/>
  <c r="H91" i="3"/>
  <c r="G92" i="3"/>
  <c r="H92" i="3"/>
  <c r="G93" i="3"/>
  <c r="H93" i="3"/>
  <c r="G94" i="3"/>
  <c r="H94" i="3"/>
  <c r="G95" i="3"/>
  <c r="H95" i="3"/>
  <c r="G96" i="3"/>
  <c r="H96" i="3"/>
  <c r="G97" i="3"/>
  <c r="H97" i="3"/>
  <c r="G98" i="3"/>
  <c r="H98" i="3"/>
  <c r="G99" i="3"/>
  <c r="H99" i="3"/>
  <c r="G100" i="3"/>
  <c r="H100" i="3"/>
  <c r="G101" i="3"/>
  <c r="H101" i="3"/>
  <c r="G102" i="3"/>
  <c r="H102" i="3"/>
  <c r="G103" i="3"/>
  <c r="H103" i="3"/>
  <c r="G104" i="3"/>
  <c r="H104" i="3"/>
  <c r="G105" i="3"/>
  <c r="H105" i="3"/>
  <c r="G106" i="3"/>
  <c r="H106" i="3"/>
  <c r="G107" i="3"/>
  <c r="H107" i="3"/>
  <c r="G108" i="3"/>
  <c r="H108" i="3"/>
  <c r="G109" i="3"/>
  <c r="H109" i="3"/>
  <c r="G110" i="3"/>
  <c r="H110" i="3"/>
  <c r="G111" i="3"/>
  <c r="H111" i="3"/>
  <c r="G112" i="3"/>
  <c r="H112" i="3"/>
  <c r="G113" i="3"/>
  <c r="H113" i="3"/>
  <c r="G114" i="3"/>
  <c r="H114" i="3"/>
  <c r="G115" i="3"/>
  <c r="H115" i="3"/>
  <c r="G116" i="3"/>
  <c r="H116" i="3"/>
  <c r="G117" i="3"/>
  <c r="H117" i="3"/>
  <c r="G118" i="3"/>
  <c r="H118" i="3"/>
  <c r="G119" i="3"/>
  <c r="H119" i="3"/>
  <c r="G120" i="3"/>
  <c r="H120" i="3"/>
  <c r="G121" i="3"/>
  <c r="H121" i="3"/>
  <c r="G122" i="3"/>
  <c r="H122" i="3"/>
  <c r="G123" i="3"/>
  <c r="H123" i="3"/>
  <c r="G124" i="3"/>
  <c r="H124" i="3"/>
  <c r="G125" i="3"/>
  <c r="H125" i="3"/>
  <c r="G126" i="3"/>
  <c r="H126" i="3"/>
  <c r="G127" i="3"/>
  <c r="H127" i="3"/>
  <c r="G128" i="3"/>
  <c r="H128" i="3"/>
  <c r="G129" i="3"/>
  <c r="H129" i="3"/>
  <c r="G130" i="3"/>
  <c r="H130" i="3"/>
  <c r="G131" i="3"/>
  <c r="H131" i="3"/>
  <c r="G132" i="3"/>
  <c r="H132" i="3"/>
  <c r="G133" i="3"/>
  <c r="H133" i="3"/>
  <c r="G134" i="3"/>
  <c r="H134" i="3"/>
  <c r="G135" i="3"/>
  <c r="H135" i="3"/>
  <c r="G136" i="3"/>
  <c r="H136" i="3"/>
  <c r="G137" i="3"/>
  <c r="H137" i="3"/>
  <c r="G138" i="3"/>
  <c r="H138" i="3"/>
  <c r="G139" i="3"/>
  <c r="H139" i="3"/>
  <c r="G140" i="3"/>
  <c r="H140" i="3"/>
  <c r="G141" i="3"/>
  <c r="H141" i="3"/>
  <c r="G142" i="3"/>
  <c r="H142" i="3"/>
  <c r="G143" i="3"/>
  <c r="H143" i="3"/>
  <c r="G144" i="3"/>
  <c r="H144" i="3"/>
  <c r="G145" i="3"/>
  <c r="H145" i="3"/>
  <c r="G146" i="3"/>
  <c r="H146" i="3"/>
  <c r="G147" i="3"/>
  <c r="H147" i="3"/>
  <c r="G148" i="3"/>
  <c r="H148" i="3"/>
  <c r="G149" i="3"/>
  <c r="H149" i="3"/>
  <c r="G150" i="3"/>
  <c r="H150" i="3"/>
  <c r="G151" i="3"/>
  <c r="H151" i="3"/>
  <c r="G152" i="3"/>
  <c r="H152" i="3"/>
  <c r="G153" i="3"/>
  <c r="H153" i="3"/>
  <c r="G154" i="3"/>
  <c r="H154" i="3"/>
  <c r="G155" i="3"/>
  <c r="H155" i="3"/>
  <c r="G156" i="3"/>
  <c r="H156" i="3"/>
  <c r="G157" i="3"/>
  <c r="H157" i="3"/>
  <c r="G158" i="3"/>
  <c r="H158" i="3"/>
  <c r="G159" i="3"/>
  <c r="H159" i="3"/>
  <c r="G160" i="3"/>
  <c r="H160" i="3"/>
  <c r="G161" i="3"/>
  <c r="H161" i="3"/>
  <c r="G162" i="3"/>
  <c r="H162" i="3"/>
  <c r="G163" i="3"/>
  <c r="H163" i="3"/>
  <c r="G164" i="3"/>
  <c r="H164" i="3"/>
  <c r="G165" i="3"/>
  <c r="H165" i="3"/>
  <c r="G166" i="3"/>
  <c r="H166" i="3"/>
  <c r="G167" i="3"/>
  <c r="H167" i="3"/>
  <c r="G168" i="3"/>
  <c r="H168" i="3"/>
  <c r="G169" i="3"/>
  <c r="H169" i="3"/>
  <c r="G170" i="3"/>
  <c r="H170" i="3"/>
  <c r="G171" i="3"/>
  <c r="H171" i="3"/>
  <c r="G172" i="3"/>
  <c r="H172" i="3"/>
  <c r="G173" i="3"/>
  <c r="H173" i="3"/>
  <c r="G174" i="3"/>
  <c r="H174" i="3"/>
  <c r="G175" i="3"/>
  <c r="H175" i="3"/>
  <c r="G176" i="3"/>
  <c r="H176" i="3"/>
  <c r="G177" i="3"/>
  <c r="H177" i="3"/>
  <c r="G178" i="3"/>
  <c r="H178" i="3"/>
  <c r="G179" i="3"/>
  <c r="H179" i="3"/>
  <c r="G180" i="3"/>
  <c r="H180" i="3"/>
  <c r="G181" i="3"/>
  <c r="H181" i="3"/>
  <c r="G182" i="3"/>
  <c r="H182" i="3"/>
  <c r="G183" i="3"/>
  <c r="H183" i="3"/>
  <c r="G184" i="3"/>
  <c r="H184" i="3"/>
  <c r="G185" i="3"/>
  <c r="H185" i="3"/>
  <c r="G186" i="3"/>
  <c r="H186" i="3"/>
  <c r="G187" i="3"/>
  <c r="H187" i="3"/>
  <c r="G188" i="3"/>
  <c r="H188" i="3"/>
  <c r="G189" i="3"/>
  <c r="H189" i="3"/>
  <c r="G190" i="3"/>
  <c r="H190" i="3"/>
  <c r="G191" i="3"/>
  <c r="H191" i="3"/>
  <c r="G192" i="3"/>
  <c r="H192" i="3"/>
  <c r="G193" i="3"/>
  <c r="H193" i="3"/>
  <c r="G194" i="3"/>
  <c r="H194" i="3"/>
  <c r="G195" i="3"/>
  <c r="H195" i="3"/>
  <c r="G196" i="3"/>
  <c r="H196" i="3"/>
  <c r="G197" i="3"/>
  <c r="H197" i="3"/>
  <c r="G198" i="3"/>
  <c r="H198" i="3"/>
  <c r="G199" i="3"/>
  <c r="H199" i="3"/>
  <c r="G200" i="3"/>
  <c r="H200" i="3"/>
  <c r="G201" i="3"/>
  <c r="H201" i="3"/>
  <c r="G202" i="3"/>
  <c r="H202" i="3"/>
  <c r="G203" i="3"/>
  <c r="H203" i="3"/>
  <c r="G204" i="3"/>
  <c r="H204" i="3"/>
  <c r="G205" i="3"/>
  <c r="H205" i="3"/>
  <c r="G206" i="3"/>
  <c r="H206" i="3"/>
  <c r="G207" i="3"/>
  <c r="H207" i="3"/>
  <c r="G208" i="3"/>
  <c r="H208" i="3"/>
  <c r="G209" i="3"/>
  <c r="H209" i="3"/>
  <c r="G210" i="3"/>
  <c r="H210" i="3"/>
  <c r="G211" i="3"/>
  <c r="H211" i="3"/>
  <c r="G212" i="3"/>
  <c r="H212" i="3"/>
  <c r="G213" i="3"/>
  <c r="H213" i="3"/>
  <c r="G214" i="3"/>
  <c r="H214" i="3"/>
  <c r="G215" i="3"/>
  <c r="H215" i="3"/>
  <c r="G216" i="3"/>
  <c r="H216" i="3"/>
  <c r="G217" i="3"/>
  <c r="H217" i="3"/>
  <c r="G218" i="3"/>
  <c r="H218" i="3"/>
  <c r="G219" i="3"/>
  <c r="H219" i="3"/>
  <c r="G220" i="3"/>
  <c r="H220" i="3"/>
  <c r="G221" i="3"/>
  <c r="H221" i="3"/>
  <c r="G222" i="3"/>
  <c r="H222" i="3"/>
  <c r="G223" i="3"/>
  <c r="H223" i="3"/>
  <c r="G224" i="3"/>
  <c r="H224" i="3"/>
  <c r="G225" i="3"/>
  <c r="H225" i="3"/>
  <c r="G226" i="3"/>
  <c r="H226" i="3"/>
  <c r="G227" i="3"/>
  <c r="H227" i="3"/>
  <c r="G228" i="3"/>
  <c r="H228" i="3"/>
  <c r="G229" i="3"/>
  <c r="H229" i="3"/>
  <c r="G230" i="3"/>
  <c r="H230" i="3"/>
  <c r="G231" i="3"/>
  <c r="H231" i="3"/>
  <c r="G232" i="3"/>
  <c r="H232" i="3"/>
  <c r="G233" i="3"/>
  <c r="H233" i="3"/>
  <c r="G234" i="3"/>
  <c r="H234" i="3"/>
  <c r="G235" i="3"/>
  <c r="H235" i="3"/>
  <c r="G236" i="3"/>
  <c r="H236" i="3"/>
  <c r="G237" i="3"/>
  <c r="H237" i="3"/>
  <c r="G238" i="3"/>
  <c r="H238" i="3"/>
  <c r="G239" i="3"/>
  <c r="H239" i="3"/>
  <c r="G240" i="3"/>
  <c r="H240" i="3"/>
  <c r="G241" i="3"/>
  <c r="H241" i="3"/>
  <c r="G242" i="3"/>
  <c r="H242" i="3"/>
  <c r="G243" i="3"/>
  <c r="H243" i="3"/>
  <c r="G244" i="3"/>
  <c r="H244" i="3"/>
  <c r="G245" i="3"/>
  <c r="H245" i="3"/>
  <c r="G246" i="3"/>
  <c r="H246" i="3"/>
  <c r="G247" i="3"/>
  <c r="H247" i="3"/>
  <c r="G248" i="3"/>
  <c r="H248" i="3"/>
  <c r="G249" i="3"/>
  <c r="H249" i="3"/>
  <c r="G250" i="3"/>
  <c r="H250" i="3"/>
  <c r="G251" i="3"/>
  <c r="H251" i="3"/>
  <c r="G252" i="3"/>
  <c r="H252" i="3"/>
  <c r="G253" i="3"/>
  <c r="H253" i="3"/>
  <c r="H3" i="3"/>
  <c r="G3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</calcChain>
</file>

<file path=xl/sharedStrings.xml><?xml version="1.0" encoding="utf-8"?>
<sst xmlns="http://schemas.openxmlformats.org/spreadsheetml/2006/main" count="2926" uniqueCount="565">
  <si>
    <t>BANXICO</t>
  </si>
  <si>
    <t>Bonos (3 - 5 años)</t>
  </si>
  <si>
    <t>Tasa de rendimiento ponderado por monto operado diario, en por ciento anual.  |  Consulta del 2025-02-03 al 2026-02-17  |  '--' Indica que en la fecha de operación de que se trate, la serie del  'Bono M' no había sido emitida y colocada aún, o bien, ya es una serie vencida | ' * ' Indica que no se encuentra en la canasta para esa fecha.</t>
  </si>
  <si>
    <t>Fecha de operación</t>
  </si>
  <si>
    <t>02 mar 2028</t>
  </si>
  <si>
    <t>01 mar 2029</t>
  </si>
  <si>
    <t>31 may 2029</t>
  </si>
  <si>
    <t>28 feb 2030</t>
  </si>
  <si>
    <t>04/02/2025</t>
  </si>
  <si>
    <t>9.53</t>
  </si>
  <si>
    <t>9.62</t>
  </si>
  <si>
    <t>9.68</t>
  </si>
  <si>
    <t>*</t>
  </si>
  <si>
    <t>05/02/2025</t>
  </si>
  <si>
    <t>9.45</t>
  </si>
  <si>
    <t>9.57</t>
  </si>
  <si>
    <t>9.60</t>
  </si>
  <si>
    <t>06/02/2025</t>
  </si>
  <si>
    <t>9.35</t>
  </si>
  <si>
    <t>9.47</t>
  </si>
  <si>
    <t>9.54</t>
  </si>
  <si>
    <t>07/02/2025</t>
  </si>
  <si>
    <t>9.28</t>
  </si>
  <si>
    <t>9.41</t>
  </si>
  <si>
    <t>9.44</t>
  </si>
  <si>
    <t>10/02/2025</t>
  </si>
  <si>
    <t>9.32</t>
  </si>
  <si>
    <t>11/02/2025</t>
  </si>
  <si>
    <t>9.31</t>
  </si>
  <si>
    <t>9.46</t>
  </si>
  <si>
    <t>12/02/2025</t>
  </si>
  <si>
    <t>9.50</t>
  </si>
  <si>
    <t>9.52</t>
  </si>
  <si>
    <t>13/02/2025</t>
  </si>
  <si>
    <t>9.36</t>
  </si>
  <si>
    <t>9.51</t>
  </si>
  <si>
    <t>9.56</t>
  </si>
  <si>
    <t>14/02/2025</t>
  </si>
  <si>
    <t>9.33</t>
  </si>
  <si>
    <t>9.49</t>
  </si>
  <si>
    <t>17/02/2025</t>
  </si>
  <si>
    <t>18/02/2025</t>
  </si>
  <si>
    <t>9.34</t>
  </si>
  <si>
    <t>19/02/2025</t>
  </si>
  <si>
    <t>9.30</t>
  </si>
  <si>
    <t>20/02/2025</t>
  </si>
  <si>
    <t>9.27</t>
  </si>
  <si>
    <t>21/02/2025</t>
  </si>
  <si>
    <t>9.24</t>
  </si>
  <si>
    <t>9.39</t>
  </si>
  <si>
    <t>24/02/2025</t>
  </si>
  <si>
    <t>9.20</t>
  </si>
  <si>
    <t>9.37</t>
  </si>
  <si>
    <t>25/02/2025</t>
  </si>
  <si>
    <t>9.12</t>
  </si>
  <si>
    <t>26/02/2025</t>
  </si>
  <si>
    <t>9.10</t>
  </si>
  <si>
    <t>9.21</t>
  </si>
  <si>
    <t>9.25</t>
  </si>
  <si>
    <t>27/02/2025</t>
  </si>
  <si>
    <t>9.07</t>
  </si>
  <si>
    <t>9.18</t>
  </si>
  <si>
    <t>9.22</t>
  </si>
  <si>
    <t>28/02/2025</t>
  </si>
  <si>
    <t>9.16</t>
  </si>
  <si>
    <t>9.26</t>
  </si>
  <si>
    <t>03/03/2025</t>
  </si>
  <si>
    <t>9.14</t>
  </si>
  <si>
    <t>9.17</t>
  </si>
  <si>
    <t>9.23</t>
  </si>
  <si>
    <t>04/03/2025</t>
  </si>
  <si>
    <t>9.15</t>
  </si>
  <si>
    <t>05/03/2025</t>
  </si>
  <si>
    <t>06/03/2025</t>
  </si>
  <si>
    <t>9.11</t>
  </si>
  <si>
    <t>9.13</t>
  </si>
  <si>
    <t>07/03/2025</t>
  </si>
  <si>
    <t>9.08</t>
  </si>
  <si>
    <t>9.19</t>
  </si>
  <si>
    <t>10/03/2025</t>
  </si>
  <si>
    <t>9.09</t>
  </si>
  <si>
    <t>11/03/2025</t>
  </si>
  <si>
    <t>12/03/2025</t>
  </si>
  <si>
    <t>13/03/2025</t>
  </si>
  <si>
    <t>14/03/2025</t>
  </si>
  <si>
    <t>9.03</t>
  </si>
  <si>
    <t>18/03/2025</t>
  </si>
  <si>
    <t>9.02</t>
  </si>
  <si>
    <t>19/03/2025</t>
  </si>
  <si>
    <t>8.96</t>
  </si>
  <si>
    <t>9.01</t>
  </si>
  <si>
    <t>9.06</t>
  </si>
  <si>
    <t>20/03/2025</t>
  </si>
  <si>
    <t>8.94</t>
  </si>
  <si>
    <t>9.04</t>
  </si>
  <si>
    <t>21/03/2025</t>
  </si>
  <si>
    <t>8.97</t>
  </si>
  <si>
    <t>24/03/2025</t>
  </si>
  <si>
    <t>9.00</t>
  </si>
  <si>
    <t>25/03/2025</t>
  </si>
  <si>
    <t>26/03/2025</t>
  </si>
  <si>
    <t>27/03/2025</t>
  </si>
  <si>
    <t>8.93</t>
  </si>
  <si>
    <t>8.99</t>
  </si>
  <si>
    <t>28/03/2025</t>
  </si>
  <si>
    <t>8.84</t>
  </si>
  <si>
    <t>8.89</t>
  </si>
  <si>
    <t>8.98</t>
  </si>
  <si>
    <t>31/03/2025</t>
  </si>
  <si>
    <t>8.82</t>
  </si>
  <si>
    <t>01/04/2025</t>
  </si>
  <si>
    <t>8.76</t>
  </si>
  <si>
    <t>8.81</t>
  </si>
  <si>
    <t>02/04/2025</t>
  </si>
  <si>
    <t>8.73</t>
  </si>
  <si>
    <t>8.75</t>
  </si>
  <si>
    <t>03/04/2025</t>
  </si>
  <si>
    <t>8.52</t>
  </si>
  <si>
    <t>8.69</t>
  </si>
  <si>
    <t>04/04/2025</t>
  </si>
  <si>
    <t>8.56</t>
  </si>
  <si>
    <t>8.53</t>
  </si>
  <si>
    <t>8.62</t>
  </si>
  <si>
    <t>07/04/2025</t>
  </si>
  <si>
    <t>8.78</t>
  </si>
  <si>
    <t>8.65</t>
  </si>
  <si>
    <t>08/04/2025</t>
  </si>
  <si>
    <t>8.77</t>
  </si>
  <si>
    <t>8.90</t>
  </si>
  <si>
    <t>09/04/2025</t>
  </si>
  <si>
    <t>10/04/2025</t>
  </si>
  <si>
    <t>8.80</t>
  </si>
  <si>
    <t>11/04/2025</t>
  </si>
  <si>
    <t>8.88</t>
  </si>
  <si>
    <t>8.86</t>
  </si>
  <si>
    <t>14/04/2025</t>
  </si>
  <si>
    <t>8.87</t>
  </si>
  <si>
    <t>15/04/2025</t>
  </si>
  <si>
    <t>16/04/2025</t>
  </si>
  <si>
    <t>8.74</t>
  </si>
  <si>
    <t>8.91</t>
  </si>
  <si>
    <t>21/04/2025</t>
  </si>
  <si>
    <t>22/04/2025</t>
  </si>
  <si>
    <t>8.79</t>
  </si>
  <si>
    <t>23/04/2025</t>
  </si>
  <si>
    <t>24/04/2025</t>
  </si>
  <si>
    <t>25/04/2025</t>
  </si>
  <si>
    <t>8.70</t>
  </si>
  <si>
    <t>8.72</t>
  </si>
  <si>
    <t>28/04/2025</t>
  </si>
  <si>
    <t>29/04/2025</t>
  </si>
  <si>
    <t>8.67</t>
  </si>
  <si>
    <t>8.71</t>
  </si>
  <si>
    <t>30/04/2025</t>
  </si>
  <si>
    <t>8.66</t>
  </si>
  <si>
    <t>02/05/2025</t>
  </si>
  <si>
    <t>8.68</t>
  </si>
  <si>
    <t>05/05/2025</t>
  </si>
  <si>
    <t>06/05/2025</t>
  </si>
  <si>
    <t>8.64</t>
  </si>
  <si>
    <t>8.83</t>
  </si>
  <si>
    <t>07/05/2025</t>
  </si>
  <si>
    <t>8.60</t>
  </si>
  <si>
    <t>8.63</t>
  </si>
  <si>
    <t>08/05/2025</t>
  </si>
  <si>
    <t>09/05/2025</t>
  </si>
  <si>
    <t>12/05/2025</t>
  </si>
  <si>
    <t>13/05/2025</t>
  </si>
  <si>
    <t>8.85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</si>
  <si>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</si>
  <si>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</si>
  <si>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</si>
  <si>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</si>
  <si>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</si>
  <si>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</si>
  <si>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</si>
  <si>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</si>
  <si>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</si>
  <si>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8.92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</si>
  <si>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</si>
  <si>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</si>
  <si>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</si>
  <si>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</si>
  <si>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</si>
  <si>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</si>
  <si>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</si>
  <si>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8.55</t>
  </si>
  <si>
    <t>05/06/2025</t>
  </si>
  <si>
    <t>8.48</t>
  </si>
  <si>
    <t>06/06/2025</t>
  </si>
  <si>
    <t>8.47</t>
  </si>
  <si>
    <t>8.49</t>
  </si>
  <si>
    <t>09/06/2025</t>
  </si>
  <si>
    <t>8.54</t>
  </si>
  <si>
    <t>10/06/2025</t>
  </si>
  <si>
    <t>8.58</t>
  </si>
  <si>
    <t>11/06/2025</t>
  </si>
  <si>
    <t>12/06/2025</t>
  </si>
  <si>
    <t>13/06/2025</t>
  </si>
  <si>
    <t>16/06/2025</t>
  </si>
  <si>
    <t>17/06/2025</t>
  </si>
  <si>
    <t>18/06/2025</t>
  </si>
  <si>
    <t>8.59</t>
  </si>
  <si>
    <t>19/06/2025</t>
  </si>
  <si>
    <t>20/06/2025</t>
  </si>
  <si>
    <t>23/06/2025</t>
  </si>
  <si>
    <t>24/06/2025</t>
  </si>
  <si>
    <t>8.61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</si>
  <si>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</si>
  <si>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</si>
  <si>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</si>
  <si>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</si>
  <si>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</si>
  <si>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</si>
  <si>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</si>
  <si>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</si>
  <si>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8.57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</si>
  <si>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</si>
  <si>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</si>
  <si>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</si>
  <si>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</si>
  <si>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</si>
  <si>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</si>
  <si>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</si>
  <si>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</si>
  <si>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</si>
  <si>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</si>
  <si>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</si>
  <si>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</si>
  <si>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</si>
  <si>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</si>
  <si>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</si>
  <si>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</si>
  <si>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</si>
  <si>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</si>
  <si>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</si>
  <si>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</si>
  <si>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</si>
  <si>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8.45</t>
  </si>
  <si>
    <t>05/08/2025</t>
  </si>
  <si>
    <t>06/08/2025</t>
  </si>
  <si>
    <t>8.42</t>
  </si>
  <si>
    <t>07/08/2025</t>
  </si>
  <si>
    <t>8.36</t>
  </si>
  <si>
    <t>8.51</t>
  </si>
  <si>
    <t>08/08/2025</t>
  </si>
  <si>
    <t>8.37</t>
  </si>
  <si>
    <t>8.38</t>
  </si>
  <si>
    <t>11/08/2025</t>
  </si>
  <si>
    <t>8.43</t>
  </si>
  <si>
    <t>12/08/2025</t>
  </si>
  <si>
    <t>8.35</t>
  </si>
  <si>
    <t>8.40</t>
  </si>
  <si>
    <t>13/08/2025</t>
  </si>
  <si>
    <t>8.29</t>
  </si>
  <si>
    <t>8.34</t>
  </si>
  <si>
    <t>14/08/2025</t>
  </si>
  <si>
    <t>8.33</t>
  </si>
  <si>
    <t>8.32</t>
  </si>
  <si>
    <t>15/08/2025</t>
  </si>
  <si>
    <t>18/08/2025</t>
  </si>
  <si>
    <t>19/08/2025</t>
  </si>
  <si>
    <t>20/08/2025</t>
  </si>
  <si>
    <t>21/08/2025</t>
  </si>
  <si>
    <t>8.39</t>
  </si>
  <si>
    <t>22/08/2025</t>
  </si>
  <si>
    <t>8.44</t>
  </si>
  <si>
    <t>25/08/2025</t>
  </si>
  <si>
    <t>8.27</t>
  </si>
  <si>
    <t>8.41</t>
  </si>
  <si>
    <t>26/08/2025</t>
  </si>
  <si>
    <t>8.26</t>
  </si>
  <si>
    <t>8.28</t>
  </si>
  <si>
    <t>27/08/2025</t>
  </si>
  <si>
    <t>8.25</t>
  </si>
  <si>
    <t>28/08/2025</t>
  </si>
  <si>
    <t>8.23</t>
  </si>
  <si>
    <t>29/08/2025</t>
  </si>
  <si>
    <t>8.21</t>
  </si>
  <si>
    <t>01/09/2025</t>
  </si>
  <si>
    <t>02/09/2025</t>
  </si>
  <si>
    <t>8.22</t>
  </si>
  <si>
    <t>03/09/2025</t>
  </si>
  <si>
    <t>8.24</t>
  </si>
  <si>
    <t>04/09/2025</t>
  </si>
  <si>
    <t>8.20</t>
  </si>
  <si>
    <t>05/09/2025</t>
  </si>
  <si>
    <t>8.14</t>
  </si>
  <si>
    <t>8.19</t>
  </si>
  <si>
    <t>08/09/2025</t>
  </si>
  <si>
    <t>8.12</t>
  </si>
  <si>
    <t>8.13</t>
  </si>
  <si>
    <t>09/09/2025</t>
  </si>
  <si>
    <t>8.15</t>
  </si>
  <si>
    <t>10/09/2025</t>
  </si>
  <si>
    <t>11/09/2025</t>
  </si>
  <si>
    <t>8.06</t>
  </si>
  <si>
    <t>8.09</t>
  </si>
  <si>
    <t>12/09/2025</t>
  </si>
  <si>
    <t>15/09/2025</t>
  </si>
  <si>
    <t>8.08</t>
  </si>
  <si>
    <t>17/09/2025</t>
  </si>
  <si>
    <t>8.11</t>
  </si>
  <si>
    <t>8.10</t>
  </si>
  <si>
    <t>18/09/2025</t>
  </si>
  <si>
    <t>19/09/2025</t>
  </si>
  <si>
    <t>8.03</t>
  </si>
  <si>
    <t>22/09/2025</t>
  </si>
  <si>
    <t>8.01</t>
  </si>
  <si>
    <t>8.04</t>
  </si>
  <si>
    <t>8.18</t>
  </si>
  <si>
    <t>23/09/2025</t>
  </si>
  <si>
    <t>7.97</t>
  </si>
  <si>
    <t>8.00</t>
  </si>
  <si>
    <t>8.17</t>
  </si>
  <si>
    <t>24/09/2025</t>
  </si>
  <si>
    <t>7.99</t>
  </si>
  <si>
    <t>8.16</t>
  </si>
  <si>
    <t>25/09/2025</t>
  </si>
  <si>
    <t>7.98</t>
  </si>
  <si>
    <t>26/09/2025</t>
  </si>
  <si>
    <t>8.05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</si>
  <si>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</si>
  <si>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</si>
  <si>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</si>
  <si>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</si>
  <si>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</si>
  <si>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</si>
  <si>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</si>
  <si>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8.02</t>
  </si>
  <si>
    <t>08/10/2025</t>
  </si>
  <si>
    <t>09/10/2025</t>
  </si>
  <si>
    <t>10/10/2025</t>
  </si>
  <si>
    <t>7.96</t>
  </si>
  <si>
    <t>13/10/2025</t>
  </si>
  <si>
    <t>7.93</t>
  </si>
  <si>
    <t>7.95</t>
  </si>
  <si>
    <t>14/10/2025</t>
  </si>
  <si>
    <t>7.90</t>
  </si>
  <si>
    <t>15/10/2025</t>
  </si>
  <si>
    <t>7.92</t>
  </si>
  <si>
    <t>16/10/2025</t>
  </si>
  <si>
    <t>7.87</t>
  </si>
  <si>
    <t>17/10/2025</t>
  </si>
  <si>
    <t>7.86</t>
  </si>
  <si>
    <t>20/10/2025</t>
  </si>
  <si>
    <t>7.89</t>
  </si>
  <si>
    <t>21/10/2025</t>
  </si>
  <si>
    <t>7.88</t>
  </si>
  <si>
    <t>22/10/2025</t>
  </si>
  <si>
    <t>7.82</t>
  </si>
  <si>
    <t>7.85</t>
  </si>
  <si>
    <t>23/10/2025</t>
  </si>
  <si>
    <t>7.80</t>
  </si>
  <si>
    <t>24/10/2025</t>
  </si>
  <si>
    <t>7.81</t>
  </si>
  <si>
    <t>27/10/2025</t>
  </si>
  <si>
    <t>7.84</t>
  </si>
  <si>
    <t>28/10/2025</t>
  </si>
  <si>
    <t>8.07</t>
  </si>
  <si>
    <t>29/10/2025</t>
  </si>
  <si>
    <t>7.83</t>
  </si>
  <si>
    <t>30/10/2025</t>
  </si>
  <si>
    <t>7.91</t>
  </si>
  <si>
    <t>31/10/2025</t>
  </si>
  <si>
    <t>03/11/2025</t>
  </si>
  <si>
    <t>7.94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</si>
  <si>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</si>
  <si>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</si>
  <si>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</si>
  <si>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</si>
  <si>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</si>
  <si>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</si>
  <si>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</si>
  <si>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</si>
  <si>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</si>
  <si>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18/11/2025</t>
  </si>
  <si>
    <t>19/11/2025</t>
  </si>
  <si>
    <t>20/11/2025</t>
  </si>
  <si>
    <t>21/11/2025</t>
  </si>
  <si>
    <t>24/11/2025</t>
  </si>
  <si>
    <t>8.30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</si>
  <si>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</si>
  <si>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</si>
  <si>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</si>
  <si>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</si>
  <si>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</si>
  <si>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</si>
  <si>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</si>
  <si>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</si>
  <si>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</si>
  <si>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</si>
  <si>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</si>
  <si>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8.46</t>
  </si>
  <si>
    <t>10/12/2025</t>
  </si>
  <si>
    <t>11/12/2025</t>
  </si>
  <si>
    <t>15/12/2025</t>
  </si>
  <si>
    <t>16/12/2025</t>
  </si>
  <si>
    <t>8.31</t>
  </si>
  <si>
    <t>17/12/2025</t>
  </si>
  <si>
    <t>8.50</t>
  </si>
  <si>
    <t>18/12/2025</t>
  </si>
  <si>
    <t>19/12/2025</t>
  </si>
  <si>
    <t>22/12/2025</t>
  </si>
  <si>
    <t>23/12/2025</t>
  </si>
  <si>
    <t>24/12/2025</t>
  </si>
  <si>
    <t>26/12/2025</t>
  </si>
  <si>
    <t>29/12/2025</t>
  </si>
  <si>
    <t>30/12/2025</t>
  </si>
  <si>
    <t>31/12/2025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</si>
  <si>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</si>
  <si>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</si>
  <si>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</si>
  <si>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</si>
  <si>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</si>
  <si>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</si>
  <si>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</si>
  <si>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</si>
  <si>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</si>
  <si>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</si>
  <si>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</si>
  <si>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</si>
  <si>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</si>
  <si>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</si>
  <si>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</si>
  <si>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</si>
  <si>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</si>
  <si>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</si>
  <si>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</si>
  <si>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</si>
  <si>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</si>
  <si>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03/02/2026</t>
  </si>
  <si>
    <t>04/02/2026</t>
  </si>
  <si>
    <t>05/02/2026</t>
  </si>
  <si>
    <t>06/02/2026</t>
  </si>
  <si>
    <t>09/02/2026</t>
  </si>
  <si>
    <t>7.75</t>
  </si>
  <si>
    <t>10/02/2026</t>
  </si>
  <si>
    <t>7.73</t>
  </si>
  <si>
    <t>11/02/2026</t>
  </si>
  <si>
    <t>7.70</t>
  </si>
  <si>
    <t>7.79</t>
  </si>
  <si>
    <t>12/02/2026</t>
  </si>
  <si>
    <t>7.68</t>
  </si>
  <si>
    <t>7.78</t>
  </si>
  <si>
    <t>13/02/2026</t>
  </si>
  <si>
    <t>7.67</t>
  </si>
  <si>
    <t>16/02/2026</t>
  </si>
  <si>
    <t>7.66</t>
  </si>
  <si>
    <t>7.74</t>
  </si>
  <si>
    <t>17/02/2026</t>
  </si>
  <si>
    <t>7.76</t>
  </si>
  <si>
    <t>8.95</t>
  </si>
  <si>
    <t>9.29</t>
  </si>
  <si>
    <t>9.05</t>
  </si>
  <si>
    <t>9.48</t>
  </si>
  <si>
    <t>9.55</t>
  </si>
  <si>
    <t>9.38</t>
  </si>
  <si>
    <t>9.40</t>
  </si>
  <si>
    <t>9.43</t>
  </si>
  <si>
    <t>9.63</t>
  </si>
  <si>
    <t>9.66</t>
  </si>
  <si>
    <t>9.67</t>
  </si>
  <si>
    <t>9.64</t>
  </si>
  <si>
    <t>9.70</t>
  </si>
  <si>
    <t>9.71</t>
  </si>
  <si>
    <t>9.74</t>
  </si>
  <si>
    <t>9.77</t>
  </si>
  <si>
    <t>9.84</t>
  </si>
  <si>
    <t>9.59</t>
  </si>
  <si>
    <t>9.88</t>
  </si>
  <si>
    <t>9.89</t>
  </si>
  <si>
    <t>9.65</t>
  </si>
  <si>
    <t>9.42</t>
  </si>
  <si>
    <t>9.94</t>
  </si>
  <si>
    <t>9.93</t>
  </si>
  <si>
    <t>9.69</t>
  </si>
  <si>
    <t>9.92</t>
  </si>
  <si>
    <t>9.91</t>
  </si>
  <si>
    <t>9.90</t>
  </si>
  <si>
    <t>9.85</t>
  </si>
  <si>
    <t>9.86</t>
  </si>
  <si>
    <t>9.80</t>
  </si>
  <si>
    <t>9.61</t>
  </si>
  <si>
    <t>9.87</t>
  </si>
  <si>
    <t>9.83</t>
  </si>
  <si>
    <t>N/E</t>
  </si>
  <si>
    <t>10.01</t>
  </si>
  <si>
    <t>9.98</t>
  </si>
  <si>
    <t>9.97</t>
  </si>
  <si>
    <t>10.00</t>
  </si>
  <si>
    <t>9.76</t>
  </si>
  <si>
    <t>9.73</t>
  </si>
  <si>
    <t>9.75</t>
  </si>
  <si>
    <t>9.99</t>
  </si>
  <si>
    <t>9.72</t>
  </si>
  <si>
    <t>9.96</t>
  </si>
  <si>
    <t>10.04</t>
  </si>
  <si>
    <t>9.78</t>
  </si>
  <si>
    <t>9.82</t>
  </si>
  <si>
    <t>10.06</t>
  </si>
  <si>
    <t>10.15</t>
  </si>
  <si>
    <t>10.10</t>
  </si>
  <si>
    <t>10.12</t>
  </si>
  <si>
    <t>10.08</t>
  </si>
  <si>
    <t>9.79</t>
  </si>
  <si>
    <t>9.58</t>
  </si>
  <si>
    <t>10.09</t>
  </si>
  <si>
    <t>9.81</t>
  </si>
  <si>
    <t>10.05</t>
  </si>
  <si>
    <t>--</t>
  </si>
  <si>
    <t>9.95</t>
  </si>
  <si>
    <t>10.02</t>
  </si>
  <si>
    <t>10.11</t>
  </si>
  <si>
    <t>10.24</t>
  </si>
  <si>
    <t>10.32</t>
  </si>
  <si>
    <t>10.03</t>
  </si>
  <si>
    <t>10.40</t>
  </si>
  <si>
    <t>10.14</t>
  </si>
  <si>
    <t>10.36</t>
  </si>
  <si>
    <t>10.33</t>
  </si>
  <si>
    <t>10.29</t>
  </si>
  <si>
    <t>10.26</t>
  </si>
  <si>
    <t>10.28</t>
  </si>
  <si>
    <t>10.19</t>
  </si>
  <si>
    <t>10.17</t>
  </si>
  <si>
    <t>10.18</t>
  </si>
  <si>
    <t>10.41</t>
  </si>
  <si>
    <t>13 nov 2042</t>
  </si>
  <si>
    <t>18 nov 2038</t>
  </si>
  <si>
    <t>20 nov 2036</t>
  </si>
  <si>
    <t>21 feb 2036</t>
  </si>
  <si>
    <t>Bonos (10 - 20 años)</t>
  </si>
  <si>
    <t>fecha numerica</t>
  </si>
  <si>
    <t>Estas a carg del Latin FX trading desk de un banco en NY</t>
  </si>
  <si>
    <t>MXNUSD</t>
  </si>
  <si>
    <t>BRLUSD</t>
  </si>
  <si>
    <t>Largo</t>
  </si>
  <si>
    <t>300 millones de pesos</t>
  </si>
  <si>
    <t>100 millones de reales brasileños</t>
  </si>
  <si>
    <t>utilizar método histórico, 1 años para el VaR y 5 años para el costo de liquidez</t>
  </si>
  <si>
    <t>¿Qué tanto se modifica tu L-VaR si tu posición en MXN fuera short en vez de long?</t>
  </si>
  <si>
    <t>Tienes un portafolio de bonos que se compone de la siguiente forma:</t>
  </si>
  <si>
    <t>Mbono marzo 2029</t>
  </si>
  <si>
    <t>Mbono noviembre 2036</t>
  </si>
  <si>
    <t>260 mil títulos</t>
  </si>
  <si>
    <t>100 mil títulos</t>
  </si>
  <si>
    <t>Al cierre del 17-feb-2026 tienes las siguientes posiciones</t>
  </si>
  <si>
    <t>Calcular tu L-VaR para el 18-feb-2026 con un nivel de confianza del 95% para el VaR y 99% para el costo de liquidez</t>
  </si>
  <si>
    <t>Con datos al cierre del 17-feb-2026 calcula el valor del portafolio y de cada posición así como su PV01</t>
  </si>
  <si>
    <t>Calcula el VaR para el 18-feb-2026 con un nivel de confianza del 95%, método histórico, 1 año</t>
  </si>
  <si>
    <t>var al 95</t>
  </si>
  <si>
    <t>Price History: MXNUSD</t>
  </si>
  <si>
    <t>Date</t>
  </si>
  <si>
    <t>Bid</t>
  </si>
  <si>
    <t>Ask</t>
  </si>
  <si>
    <t>Mid</t>
  </si>
  <si>
    <t>Change</t>
  </si>
  <si>
    <t>% Change</t>
  </si>
  <si>
    <t>Cumulative Change %</t>
  </si>
  <si>
    <t>High</t>
  </si>
  <si>
    <t>Low</t>
  </si>
  <si>
    <t>Price History: BRLUSD</t>
  </si>
  <si>
    <t>Mid Return</t>
  </si>
  <si>
    <t>%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</si>
</sst>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7" formatCode="mm/dd/yy"/>
    <numFmt numFmtId="168" formatCode="#,##0.000000"/>
  </numFmts>
  <fonts count="7" x14ac:knownFonts="1">
    <font>
      <sz val="11"/>
      <color indexed="8"/>
      <name val="Aptos Narrow"/>
      <family val="2"/>
      <scheme val="minor"/>
    </font>
    <font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color indexed="8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FFF0F0F0"/>
        <bgColor indexed="64"/>
      </patternFill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43" fontId="4" fillId="0" borderId="0" applyFont="0" applyFill="0" applyBorder="0" applyAlignment="0" applyProtection="0"/>
    <xf numFmtId="0" fontId="4" fillId="2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2" borderId="0"/>
  </cellStyleXfs>
  <cellXfs count="34">
    <xf numFmtId="0" fontId="0" fillId="0" borderId="0" xfId="0"/>
    <xf numFmtId="0" fontId="1" fillId="0" borderId="0" xfId="0" applyFont="1"/>
    <xf numFmtId="0" fontId="3" fillId="3" borderId="1" xfId="0" applyFont="1" applyFill="1" applyBorder="1"/>
    <xf numFmtId="0" fontId="0" fillId="0" borderId="1" xfId="0" applyBorder="1"/>
    <xf numFmtId="0" fontId="4" fillId="2" borderId="0" xfId="2"/>
    <xf numFmtId="0" fontId="4" fillId="2" borderId="1" xfId="2" applyBorder="1"/>
    <xf numFmtId="0" fontId="3" fillId="3" borderId="1" xfId="2" applyFont="1" applyFill="1" applyBorder="1"/>
    <xf numFmtId="0" fontId="1" fillId="2" borderId="0" xfId="2" applyFont="1"/>
    <xf numFmtId="0" fontId="3" fillId="3" borderId="2" xfId="2" applyFont="1" applyFill="1" applyBorder="1"/>
    <xf numFmtId="164" fontId="0" fillId="0" borderId="0" xfId="1" applyNumberFormat="1" applyFont="1"/>
    <xf numFmtId="0" fontId="2" fillId="0" borderId="0" xfId="0" applyFont="1" applyAlignment="1">
      <alignment wrapText="1"/>
    </xf>
    <xf numFmtId="0" fontId="0" fillId="0" borderId="0" xfId="0"/>
    <xf numFmtId="0" fontId="2" fillId="2" borderId="0" xfId="2" applyFont="1" applyAlignment="1">
      <alignment wrapText="1"/>
    </xf>
    <xf numFmtId="0" fontId="4" fillId="2" borderId="0" xfId="2"/>
    <xf numFmtId="11" fontId="0" fillId="0" borderId="0" xfId="0" applyNumberFormat="1"/>
    <xf numFmtId="10" fontId="0" fillId="0" borderId="0" xfId="4" applyNumberFormat="1" applyFont="1"/>
    <xf numFmtId="44" fontId="0" fillId="0" borderId="0" xfId="3" applyFont="1"/>
    <xf numFmtId="0" fontId="5" fillId="0" borderId="0" xfId="0" applyFont="1"/>
    <xf numFmtId="0" fontId="5" fillId="5" borderId="0" xfId="0" applyFont="1" applyFill="1" applyAlignment="1">
      <alignment horizontal="left"/>
    </xf>
    <xf numFmtId="167" fontId="0" fillId="4" borderId="0" xfId="0" applyNumberFormat="1" applyFill="1"/>
    <xf numFmtId="168" fontId="0" fillId="4" borderId="0" xfId="0" applyNumberFormat="1" applyFill="1" applyAlignment="1">
      <alignment horizontal="right"/>
    </xf>
    <xf numFmtId="4" fontId="0" fillId="4" borderId="0" xfId="0" applyNumberFormat="1" applyFill="1" applyAlignment="1">
      <alignment horizontal="right"/>
    </xf>
    <xf numFmtId="167" fontId="0" fillId="0" borderId="0" xfId="0" applyNumberFormat="1"/>
    <xf numFmtId="168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6" fillId="2" borderId="0" xfId="5"/>
    <xf numFmtId="0" fontId="5" fillId="2" borderId="0" xfId="5" applyFont="1"/>
    <xf numFmtId="0" fontId="5" fillId="5" borderId="0" xfId="5" applyFont="1" applyFill="1" applyAlignment="1">
      <alignment horizontal="left"/>
    </xf>
    <xf numFmtId="167" fontId="6" fillId="4" borderId="0" xfId="5" applyNumberFormat="1" applyFill="1"/>
    <xf numFmtId="168" fontId="6" fillId="4" borderId="0" xfId="5" applyNumberFormat="1" applyFill="1" applyAlignment="1">
      <alignment horizontal="right"/>
    </xf>
    <xf numFmtId="4" fontId="6" fillId="4" borderId="0" xfId="5" applyNumberFormat="1" applyFill="1" applyAlignment="1">
      <alignment horizontal="right"/>
    </xf>
    <xf numFmtId="167" fontId="6" fillId="2" borderId="0" xfId="5" applyNumberFormat="1"/>
    <xf numFmtId="168" fontId="6" fillId="2" borderId="0" xfId="5" applyNumberFormat="1" applyAlignment="1">
      <alignment horizontal="right"/>
    </xf>
    <xf numFmtId="4" fontId="6" fillId="2" borderId="0" xfId="5" applyNumberFormat="1" applyAlignment="1">
      <alignment horizontal="right"/>
    </xf>
  </cellXfs>
  <cellStyles count="6">
    <cellStyle name="Millares" xfId="1" builtinId="3"/>
    <cellStyle name="Moneda" xfId="3" builtinId="4"/>
    <cellStyle name="Normal" xfId="0" builtinId="0"/>
    <cellStyle name="Normal 2" xfId="2" xr:uid="{09FC27B4-78E9-40F9-8E1E-A1320D155249}"/>
    <cellStyle name="Normal 3" xfId="5" xr:uid="{09C90A13-2239-4004-8560-266093D25C6B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7"/>
  <sheetViews>
    <sheetView topLeftCell="A2" workbookViewId="0">
      <selection activeCell="A6" sqref="A6:C267"/>
    </sheetView>
  </sheetViews>
  <sheetFormatPr baseColWidth="10" defaultColWidth="8.77734375" defaultRowHeight="14.4" x14ac:dyDescent="0.3"/>
  <cols>
    <col min="1" max="1" width="21.6640625" bestFit="1" customWidth="1"/>
    <col min="2" max="3" width="12.33203125" bestFit="1" customWidth="1"/>
    <col min="4" max="4" width="12.6640625" bestFit="1" customWidth="1"/>
    <col min="5" max="5" width="11.77734375" bestFit="1" customWidth="1"/>
  </cols>
  <sheetData>
    <row r="1" spans="1:5" x14ac:dyDescent="0.3">
      <c r="A1" t="s">
        <v>0</v>
      </c>
    </row>
    <row r="2" spans="1:5" ht="18" x14ac:dyDescent="0.35">
      <c r="A2" s="1" t="s">
        <v>1</v>
      </c>
    </row>
    <row r="4" spans="1:5" ht="105" customHeight="1" x14ac:dyDescent="0.3">
      <c r="A4" s="10" t="s">
        <v>2</v>
      </c>
      <c r="B4" s="11"/>
      <c r="C4" s="11"/>
      <c r="D4" s="11"/>
      <c r="E4" s="11"/>
    </row>
    <row r="6" spans="1:5" x14ac:dyDescent="0.3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</row>
    <row r="7" spans="1:5" x14ac:dyDescent="0.3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</row>
    <row r="8" spans="1:5" x14ac:dyDescent="0.3">
      <c r="A8" s="3" t="s">
        <v>13</v>
      </c>
      <c r="B8" s="3" t="s">
        <v>14</v>
      </c>
      <c r="C8" s="3" t="s">
        <v>15</v>
      </c>
      <c r="D8" s="3" t="s">
        <v>16</v>
      </c>
      <c r="E8" s="3" t="s">
        <v>12</v>
      </c>
    </row>
    <row r="9" spans="1:5" x14ac:dyDescent="0.3">
      <c r="A9" s="3" t="s">
        <v>17</v>
      </c>
      <c r="B9" s="3" t="s">
        <v>18</v>
      </c>
      <c r="C9" s="3" t="s">
        <v>19</v>
      </c>
      <c r="D9" s="3" t="s">
        <v>20</v>
      </c>
      <c r="E9" s="3" t="s">
        <v>12</v>
      </c>
    </row>
    <row r="10" spans="1:5" x14ac:dyDescent="0.3">
      <c r="A10" s="3" t="s">
        <v>21</v>
      </c>
      <c r="B10" s="3" t="s">
        <v>22</v>
      </c>
      <c r="C10" s="3" t="s">
        <v>23</v>
      </c>
      <c r="D10" s="3" t="s">
        <v>24</v>
      </c>
      <c r="E10" s="3" t="s">
        <v>12</v>
      </c>
    </row>
    <row r="11" spans="1:5" x14ac:dyDescent="0.3">
      <c r="A11" s="3" t="s">
        <v>25</v>
      </c>
      <c r="B11" s="3" t="s">
        <v>26</v>
      </c>
      <c r="C11" s="3" t="s">
        <v>24</v>
      </c>
      <c r="D11" s="3" t="s">
        <v>19</v>
      </c>
      <c r="E11" s="3" t="s">
        <v>12</v>
      </c>
    </row>
    <row r="12" spans="1:5" x14ac:dyDescent="0.3">
      <c r="A12" s="3" t="s">
        <v>27</v>
      </c>
      <c r="B12" s="3" t="s">
        <v>28</v>
      </c>
      <c r="C12" s="3" t="s">
        <v>19</v>
      </c>
      <c r="D12" s="3" t="s">
        <v>29</v>
      </c>
      <c r="E12" s="3" t="s">
        <v>12</v>
      </c>
    </row>
    <row r="13" spans="1:5" x14ac:dyDescent="0.3">
      <c r="A13" s="3" t="s">
        <v>30</v>
      </c>
      <c r="B13" s="3" t="s">
        <v>18</v>
      </c>
      <c r="C13" s="3" t="s">
        <v>31</v>
      </c>
      <c r="D13" s="3" t="s">
        <v>32</v>
      </c>
      <c r="E13" s="3" t="s">
        <v>12</v>
      </c>
    </row>
    <row r="14" spans="1:5" x14ac:dyDescent="0.3">
      <c r="A14" s="3" t="s">
        <v>33</v>
      </c>
      <c r="B14" s="3" t="s">
        <v>34</v>
      </c>
      <c r="C14" s="3" t="s">
        <v>35</v>
      </c>
      <c r="D14" s="3" t="s">
        <v>36</v>
      </c>
      <c r="E14" s="3" t="s">
        <v>12</v>
      </c>
    </row>
    <row r="15" spans="1:5" x14ac:dyDescent="0.3">
      <c r="A15" s="3" t="s">
        <v>37</v>
      </c>
      <c r="B15" s="3" t="s">
        <v>38</v>
      </c>
      <c r="C15" s="3" t="s">
        <v>39</v>
      </c>
      <c r="D15" s="3" t="s">
        <v>9</v>
      </c>
      <c r="E15" s="3" t="s">
        <v>12</v>
      </c>
    </row>
    <row r="16" spans="1:5" x14ac:dyDescent="0.3">
      <c r="A16" s="3" t="s">
        <v>40</v>
      </c>
      <c r="B16" s="3" t="s">
        <v>38</v>
      </c>
      <c r="C16" s="3" t="s">
        <v>31</v>
      </c>
      <c r="D16" s="3" t="s">
        <v>35</v>
      </c>
      <c r="E16" s="3" t="s">
        <v>12</v>
      </c>
    </row>
    <row r="17" spans="1:5" x14ac:dyDescent="0.3">
      <c r="A17" s="3" t="s">
        <v>41</v>
      </c>
      <c r="B17" s="3" t="s">
        <v>42</v>
      </c>
      <c r="C17" s="3" t="s">
        <v>19</v>
      </c>
      <c r="D17" s="3" t="s">
        <v>9</v>
      </c>
      <c r="E17" s="3" t="s">
        <v>12</v>
      </c>
    </row>
    <row r="18" spans="1:5" x14ac:dyDescent="0.3">
      <c r="A18" s="3" t="s">
        <v>43</v>
      </c>
      <c r="B18" s="3" t="s">
        <v>44</v>
      </c>
      <c r="C18" s="3" t="s">
        <v>29</v>
      </c>
      <c r="D18" s="3" t="s">
        <v>39</v>
      </c>
      <c r="E18" s="3" t="s">
        <v>12</v>
      </c>
    </row>
    <row r="19" spans="1:5" x14ac:dyDescent="0.3">
      <c r="A19" s="3" t="s">
        <v>45</v>
      </c>
      <c r="B19" s="3" t="s">
        <v>46</v>
      </c>
      <c r="C19" s="3" t="s">
        <v>14</v>
      </c>
      <c r="D19" s="3" t="s">
        <v>35</v>
      </c>
      <c r="E19" s="3" t="s">
        <v>12</v>
      </c>
    </row>
    <row r="20" spans="1:5" x14ac:dyDescent="0.3">
      <c r="A20" s="3" t="s">
        <v>47</v>
      </c>
      <c r="B20" s="3" t="s">
        <v>48</v>
      </c>
      <c r="C20" s="3" t="s">
        <v>49</v>
      </c>
      <c r="D20" s="3" t="s">
        <v>19</v>
      </c>
      <c r="E20" s="3" t="s">
        <v>12</v>
      </c>
    </row>
    <row r="21" spans="1:5" x14ac:dyDescent="0.3">
      <c r="A21" s="3" t="s">
        <v>50</v>
      </c>
      <c r="B21" s="3" t="s">
        <v>51</v>
      </c>
      <c r="C21" s="3" t="s">
        <v>26</v>
      </c>
      <c r="D21" s="3" t="s">
        <v>52</v>
      </c>
      <c r="E21" s="3" t="s">
        <v>12</v>
      </c>
    </row>
    <row r="22" spans="1:5" x14ac:dyDescent="0.3">
      <c r="A22" s="3" t="s">
        <v>53</v>
      </c>
      <c r="B22" s="3" t="s">
        <v>54</v>
      </c>
      <c r="C22" s="3" t="s">
        <v>48</v>
      </c>
      <c r="D22" s="3" t="s">
        <v>26</v>
      </c>
      <c r="E22" s="3" t="s">
        <v>12</v>
      </c>
    </row>
    <row r="23" spans="1:5" x14ac:dyDescent="0.3">
      <c r="A23" s="3" t="s">
        <v>55</v>
      </c>
      <c r="B23" s="3" t="s">
        <v>56</v>
      </c>
      <c r="C23" s="3" t="s">
        <v>57</v>
      </c>
      <c r="D23" s="3" t="s">
        <v>58</v>
      </c>
      <c r="E23" s="3" t="s">
        <v>12</v>
      </c>
    </row>
    <row r="24" spans="1:5" x14ac:dyDescent="0.3">
      <c r="A24" s="3" t="s">
        <v>59</v>
      </c>
      <c r="B24" s="3" t="s">
        <v>60</v>
      </c>
      <c r="C24" s="3" t="s">
        <v>61</v>
      </c>
      <c r="D24" s="3" t="s">
        <v>62</v>
      </c>
      <c r="E24" s="3" t="s">
        <v>12</v>
      </c>
    </row>
    <row r="25" spans="1:5" x14ac:dyDescent="0.3">
      <c r="A25" s="3" t="s">
        <v>63</v>
      </c>
      <c r="B25" s="3" t="s">
        <v>60</v>
      </c>
      <c r="C25" s="3" t="s">
        <v>64</v>
      </c>
      <c r="D25" s="3" t="s">
        <v>62</v>
      </c>
      <c r="E25" s="3" t="s">
        <v>65</v>
      </c>
    </row>
    <row r="26" spans="1:5" x14ac:dyDescent="0.3">
      <c r="A26" s="3" t="s">
        <v>66</v>
      </c>
      <c r="B26" s="3" t="s">
        <v>12</v>
      </c>
      <c r="C26" s="3" t="s">
        <v>67</v>
      </c>
      <c r="D26" s="3" t="s">
        <v>68</v>
      </c>
      <c r="E26" s="3" t="s">
        <v>69</v>
      </c>
    </row>
    <row r="27" spans="1:5" x14ac:dyDescent="0.3">
      <c r="A27" s="3" t="s">
        <v>70</v>
      </c>
      <c r="B27" s="3" t="s">
        <v>12</v>
      </c>
      <c r="C27" s="3" t="s">
        <v>71</v>
      </c>
      <c r="D27" s="3" t="s">
        <v>71</v>
      </c>
      <c r="E27" s="3" t="s">
        <v>48</v>
      </c>
    </row>
    <row r="28" spans="1:5" x14ac:dyDescent="0.3">
      <c r="A28" s="3" t="s">
        <v>72</v>
      </c>
      <c r="B28" s="3" t="s">
        <v>12</v>
      </c>
      <c r="C28" s="3" t="s">
        <v>56</v>
      </c>
      <c r="D28" s="3" t="s">
        <v>61</v>
      </c>
      <c r="E28" s="3" t="s">
        <v>48</v>
      </c>
    </row>
    <row r="29" spans="1:5" x14ac:dyDescent="0.3">
      <c r="A29" s="3" t="s">
        <v>73</v>
      </c>
      <c r="B29" s="3" t="s">
        <v>12</v>
      </c>
      <c r="C29" s="3" t="s">
        <v>74</v>
      </c>
      <c r="D29" s="3" t="s">
        <v>75</v>
      </c>
      <c r="E29" s="3" t="s">
        <v>51</v>
      </c>
    </row>
    <row r="30" spans="1:5" x14ac:dyDescent="0.3">
      <c r="A30" s="3" t="s">
        <v>76</v>
      </c>
      <c r="B30" s="3" t="s">
        <v>12</v>
      </c>
      <c r="C30" s="3" t="s">
        <v>77</v>
      </c>
      <c r="D30" s="3" t="s">
        <v>74</v>
      </c>
      <c r="E30" s="3" t="s">
        <v>78</v>
      </c>
    </row>
    <row r="31" spans="1:5" x14ac:dyDescent="0.3">
      <c r="A31" s="3" t="s">
        <v>79</v>
      </c>
      <c r="B31" s="3" t="s">
        <v>12</v>
      </c>
      <c r="C31" s="3" t="s">
        <v>80</v>
      </c>
      <c r="D31" s="3" t="s">
        <v>74</v>
      </c>
      <c r="E31" s="3" t="s">
        <v>51</v>
      </c>
    </row>
    <row r="32" spans="1:5" x14ac:dyDescent="0.3">
      <c r="A32" s="3" t="s">
        <v>81</v>
      </c>
      <c r="B32" s="3" t="s">
        <v>12</v>
      </c>
      <c r="C32" s="3" t="s">
        <v>56</v>
      </c>
      <c r="D32" s="3" t="s">
        <v>54</v>
      </c>
      <c r="E32" s="3" t="s">
        <v>57</v>
      </c>
    </row>
    <row r="33" spans="1:5" x14ac:dyDescent="0.3">
      <c r="A33" s="3" t="s">
        <v>82</v>
      </c>
      <c r="B33" s="3" t="s">
        <v>12</v>
      </c>
      <c r="C33" s="3" t="s">
        <v>54</v>
      </c>
      <c r="D33" s="3" t="s">
        <v>75</v>
      </c>
      <c r="E33" s="3" t="s">
        <v>57</v>
      </c>
    </row>
    <row r="34" spans="1:5" x14ac:dyDescent="0.3">
      <c r="A34" s="3" t="s">
        <v>83</v>
      </c>
      <c r="B34" s="3" t="s">
        <v>12</v>
      </c>
      <c r="C34" s="3" t="s">
        <v>56</v>
      </c>
      <c r="D34" s="3" t="s">
        <v>61</v>
      </c>
      <c r="E34" s="3" t="s">
        <v>62</v>
      </c>
    </row>
    <row r="35" spans="1:5" x14ac:dyDescent="0.3">
      <c r="A35" s="3" t="s">
        <v>84</v>
      </c>
      <c r="B35" s="3" t="s">
        <v>12</v>
      </c>
      <c r="C35" s="3" t="s">
        <v>85</v>
      </c>
      <c r="D35" s="3" t="s">
        <v>80</v>
      </c>
      <c r="E35" s="3" t="s">
        <v>71</v>
      </c>
    </row>
    <row r="36" spans="1:5" x14ac:dyDescent="0.3">
      <c r="A36" s="3" t="s">
        <v>86</v>
      </c>
      <c r="B36" s="3" t="s">
        <v>12</v>
      </c>
      <c r="C36" s="3" t="s">
        <v>87</v>
      </c>
      <c r="D36" s="3" t="s">
        <v>77</v>
      </c>
      <c r="E36" s="3" t="s">
        <v>67</v>
      </c>
    </row>
    <row r="37" spans="1:5" x14ac:dyDescent="0.3">
      <c r="A37" s="3" t="s">
        <v>88</v>
      </c>
      <c r="B37" s="3" t="s">
        <v>12</v>
      </c>
      <c r="C37" s="3" t="s">
        <v>89</v>
      </c>
      <c r="D37" s="3" t="s">
        <v>90</v>
      </c>
      <c r="E37" s="3" t="s">
        <v>91</v>
      </c>
    </row>
    <row r="38" spans="1:5" x14ac:dyDescent="0.3">
      <c r="A38" s="3" t="s">
        <v>92</v>
      </c>
      <c r="B38" s="3" t="s">
        <v>12</v>
      </c>
      <c r="C38" s="3" t="s">
        <v>93</v>
      </c>
      <c r="D38" s="3" t="s">
        <v>93</v>
      </c>
      <c r="E38" s="3" t="s">
        <v>94</v>
      </c>
    </row>
    <row r="39" spans="1:5" x14ac:dyDescent="0.3">
      <c r="A39" s="3" t="s">
        <v>95</v>
      </c>
      <c r="B39" s="3" t="s">
        <v>12</v>
      </c>
      <c r="C39" s="3" t="s">
        <v>96</v>
      </c>
      <c r="D39" s="3" t="s">
        <v>96</v>
      </c>
      <c r="E39" s="3" t="s">
        <v>60</v>
      </c>
    </row>
    <row r="40" spans="1:5" x14ac:dyDescent="0.3">
      <c r="A40" s="3" t="s">
        <v>97</v>
      </c>
      <c r="B40" s="3" t="s">
        <v>12</v>
      </c>
      <c r="C40" s="3" t="s">
        <v>98</v>
      </c>
      <c r="D40" s="3" t="s">
        <v>90</v>
      </c>
      <c r="E40" s="3" t="s">
        <v>74</v>
      </c>
    </row>
    <row r="41" spans="1:5" x14ac:dyDescent="0.3">
      <c r="A41" s="3" t="s">
        <v>99</v>
      </c>
      <c r="B41" s="3" t="s">
        <v>12</v>
      </c>
      <c r="C41" s="3" t="s">
        <v>98</v>
      </c>
      <c r="D41" s="3" t="s">
        <v>87</v>
      </c>
      <c r="E41" s="3" t="s">
        <v>74</v>
      </c>
    </row>
    <row r="42" spans="1:5" x14ac:dyDescent="0.3">
      <c r="A42" s="3" t="s">
        <v>100</v>
      </c>
      <c r="B42" s="3" t="s">
        <v>12</v>
      </c>
      <c r="C42" s="3" t="s">
        <v>98</v>
      </c>
      <c r="D42" s="3" t="s">
        <v>85</v>
      </c>
      <c r="E42" s="3" t="s">
        <v>54</v>
      </c>
    </row>
    <row r="43" spans="1:5" x14ac:dyDescent="0.3">
      <c r="A43" s="3" t="s">
        <v>101</v>
      </c>
      <c r="B43" s="3" t="s">
        <v>12</v>
      </c>
      <c r="C43" s="3" t="s">
        <v>102</v>
      </c>
      <c r="D43" s="3" t="s">
        <v>103</v>
      </c>
      <c r="E43" s="3" t="s">
        <v>60</v>
      </c>
    </row>
    <row r="44" spans="1:5" x14ac:dyDescent="0.3">
      <c r="A44" s="3" t="s">
        <v>104</v>
      </c>
      <c r="B44" s="3" t="s">
        <v>12</v>
      </c>
      <c r="C44" s="3" t="s">
        <v>105</v>
      </c>
      <c r="D44" s="3" t="s">
        <v>106</v>
      </c>
      <c r="E44" s="3" t="s">
        <v>107</v>
      </c>
    </row>
    <row r="45" spans="1:5" x14ac:dyDescent="0.3">
      <c r="A45" s="3" t="s">
        <v>108</v>
      </c>
      <c r="B45" s="3" t="s">
        <v>12</v>
      </c>
      <c r="C45" s="3" t="s">
        <v>109</v>
      </c>
      <c r="D45" s="3" t="s">
        <v>105</v>
      </c>
      <c r="E45" s="3" t="s">
        <v>102</v>
      </c>
    </row>
    <row r="46" spans="1:5" x14ac:dyDescent="0.3">
      <c r="A46" s="3" t="s">
        <v>110</v>
      </c>
      <c r="B46" s="3" t="s">
        <v>12</v>
      </c>
      <c r="C46" s="3" t="s">
        <v>111</v>
      </c>
      <c r="D46" s="3" t="s">
        <v>112</v>
      </c>
      <c r="E46" s="3" t="s">
        <v>106</v>
      </c>
    </row>
    <row r="47" spans="1:5" x14ac:dyDescent="0.3">
      <c r="A47" s="3" t="s">
        <v>113</v>
      </c>
      <c r="B47" s="3" t="s">
        <v>12</v>
      </c>
      <c r="C47" s="3" t="s">
        <v>114</v>
      </c>
      <c r="D47" s="3" t="s">
        <v>115</v>
      </c>
      <c r="E47" s="3" t="s">
        <v>112</v>
      </c>
    </row>
    <row r="48" spans="1:5" x14ac:dyDescent="0.3">
      <c r="A48" s="3" t="s">
        <v>116</v>
      </c>
      <c r="B48" s="3" t="s">
        <v>12</v>
      </c>
      <c r="C48" s="3" t="s">
        <v>117</v>
      </c>
      <c r="D48" s="3" t="s">
        <v>118</v>
      </c>
      <c r="E48" s="3" t="s">
        <v>118</v>
      </c>
    </row>
    <row r="49" spans="1:5" x14ac:dyDescent="0.3">
      <c r="A49" s="3" t="s">
        <v>119</v>
      </c>
      <c r="B49" s="3" t="s">
        <v>12</v>
      </c>
      <c r="C49" s="3" t="s">
        <v>120</v>
      </c>
      <c r="D49" s="3" t="s">
        <v>121</v>
      </c>
      <c r="E49" s="3" t="s">
        <v>122</v>
      </c>
    </row>
    <row r="50" spans="1:5" x14ac:dyDescent="0.3">
      <c r="A50" s="3" t="s">
        <v>123</v>
      </c>
      <c r="B50" s="3" t="s">
        <v>12</v>
      </c>
      <c r="C50" s="3" t="s">
        <v>124</v>
      </c>
      <c r="D50" s="3" t="s">
        <v>125</v>
      </c>
      <c r="E50" s="3" t="s">
        <v>111</v>
      </c>
    </row>
    <row r="51" spans="1:5" x14ac:dyDescent="0.3">
      <c r="A51" s="3" t="s">
        <v>126</v>
      </c>
      <c r="B51" s="3" t="s">
        <v>12</v>
      </c>
      <c r="C51" s="3" t="s">
        <v>127</v>
      </c>
      <c r="D51" s="3" t="s">
        <v>124</v>
      </c>
      <c r="E51" s="3" t="s">
        <v>128</v>
      </c>
    </row>
    <row r="52" spans="1:5" x14ac:dyDescent="0.3">
      <c r="A52" s="3" t="s">
        <v>129</v>
      </c>
      <c r="B52" s="3" t="s">
        <v>12</v>
      </c>
      <c r="C52" s="3" t="s">
        <v>109</v>
      </c>
      <c r="D52" s="3" t="s">
        <v>112</v>
      </c>
      <c r="E52" s="3" t="s">
        <v>102</v>
      </c>
    </row>
    <row r="53" spans="1:5" x14ac:dyDescent="0.3">
      <c r="A53" s="3" t="s">
        <v>130</v>
      </c>
      <c r="B53" s="3" t="s">
        <v>12</v>
      </c>
      <c r="C53" s="3" t="s">
        <v>131</v>
      </c>
      <c r="D53" s="3" t="s">
        <v>131</v>
      </c>
      <c r="E53" s="3" t="s">
        <v>128</v>
      </c>
    </row>
    <row r="54" spans="1:5" x14ac:dyDescent="0.3">
      <c r="A54" s="3" t="s">
        <v>132</v>
      </c>
      <c r="B54" s="3" t="s">
        <v>12</v>
      </c>
      <c r="C54" s="3" t="s">
        <v>133</v>
      </c>
      <c r="D54" s="3" t="s">
        <v>134</v>
      </c>
      <c r="E54" s="3" t="s">
        <v>103</v>
      </c>
    </row>
    <row r="55" spans="1:5" x14ac:dyDescent="0.3">
      <c r="A55" s="3" t="s">
        <v>135</v>
      </c>
      <c r="B55" s="3" t="s">
        <v>12</v>
      </c>
      <c r="C55" s="3" t="s">
        <v>105</v>
      </c>
      <c r="D55" s="3" t="s">
        <v>136</v>
      </c>
      <c r="E55" s="3" t="s">
        <v>87</v>
      </c>
    </row>
    <row r="56" spans="1:5" x14ac:dyDescent="0.3">
      <c r="A56" s="3" t="s">
        <v>137</v>
      </c>
      <c r="B56" s="3" t="s">
        <v>12</v>
      </c>
      <c r="C56" s="3" t="s">
        <v>115</v>
      </c>
      <c r="D56" s="3" t="s">
        <v>109</v>
      </c>
      <c r="E56" s="3" t="s">
        <v>89</v>
      </c>
    </row>
    <row r="57" spans="1:5" x14ac:dyDescent="0.3">
      <c r="A57" s="3" t="s">
        <v>138</v>
      </c>
      <c r="B57" s="3" t="s">
        <v>12</v>
      </c>
      <c r="C57" s="3" t="s">
        <v>139</v>
      </c>
      <c r="D57" s="3" t="s">
        <v>111</v>
      </c>
      <c r="E57" s="3" t="s">
        <v>140</v>
      </c>
    </row>
    <row r="58" spans="1:5" x14ac:dyDescent="0.3">
      <c r="A58" s="3" t="s">
        <v>141</v>
      </c>
      <c r="B58" s="3" t="s">
        <v>12</v>
      </c>
      <c r="C58" s="3" t="s">
        <v>115</v>
      </c>
      <c r="D58" s="3" t="s">
        <v>114</v>
      </c>
      <c r="E58" s="3" t="s">
        <v>133</v>
      </c>
    </row>
    <row r="59" spans="1:5" x14ac:dyDescent="0.3">
      <c r="A59" s="3" t="s">
        <v>142</v>
      </c>
      <c r="B59" s="3" t="s">
        <v>12</v>
      </c>
      <c r="C59" s="3" t="s">
        <v>111</v>
      </c>
      <c r="D59" s="3" t="s">
        <v>143</v>
      </c>
      <c r="E59" s="3" t="s">
        <v>89</v>
      </c>
    </row>
    <row r="60" spans="1:5" x14ac:dyDescent="0.3">
      <c r="A60" s="3" t="s">
        <v>144</v>
      </c>
      <c r="B60" s="3" t="s">
        <v>12</v>
      </c>
      <c r="C60" s="3" t="s">
        <v>111</v>
      </c>
      <c r="D60" s="3" t="s">
        <v>143</v>
      </c>
      <c r="E60" s="3" t="s">
        <v>106</v>
      </c>
    </row>
    <row r="61" spans="1:5" x14ac:dyDescent="0.3">
      <c r="A61" s="3" t="s">
        <v>145</v>
      </c>
      <c r="B61" s="3" t="s">
        <v>12</v>
      </c>
      <c r="C61" s="3" t="s">
        <v>115</v>
      </c>
      <c r="D61" s="3" t="s">
        <v>124</v>
      </c>
      <c r="E61" s="3" t="s">
        <v>136</v>
      </c>
    </row>
    <row r="62" spans="1:5" x14ac:dyDescent="0.3">
      <c r="A62" s="3" t="s">
        <v>146</v>
      </c>
      <c r="B62" s="3" t="s">
        <v>12</v>
      </c>
      <c r="C62" s="3" t="s">
        <v>147</v>
      </c>
      <c r="D62" s="3" t="s">
        <v>148</v>
      </c>
      <c r="E62" s="3" t="s">
        <v>112</v>
      </c>
    </row>
    <row r="63" spans="1:5" x14ac:dyDescent="0.3">
      <c r="A63" s="3" t="s">
        <v>149</v>
      </c>
      <c r="B63" s="3" t="s">
        <v>12</v>
      </c>
      <c r="C63" s="3" t="s">
        <v>118</v>
      </c>
      <c r="D63" s="3" t="s">
        <v>147</v>
      </c>
      <c r="E63" s="3" t="s">
        <v>143</v>
      </c>
    </row>
    <row r="64" spans="1:5" x14ac:dyDescent="0.3">
      <c r="A64" s="3" t="s">
        <v>150</v>
      </c>
      <c r="B64" s="3" t="s">
        <v>12</v>
      </c>
      <c r="C64" s="3" t="s">
        <v>151</v>
      </c>
      <c r="D64" s="3" t="s">
        <v>152</v>
      </c>
      <c r="E64" s="3" t="s">
        <v>112</v>
      </c>
    </row>
    <row r="65" spans="1:5" x14ac:dyDescent="0.3">
      <c r="A65" s="3" t="s">
        <v>153</v>
      </c>
      <c r="B65" s="3" t="s">
        <v>12</v>
      </c>
      <c r="C65" s="3" t="s">
        <v>154</v>
      </c>
      <c r="D65" s="3" t="s">
        <v>118</v>
      </c>
      <c r="E65" s="3" t="s">
        <v>124</v>
      </c>
    </row>
    <row r="66" spans="1:5" x14ac:dyDescent="0.3">
      <c r="A66" s="3" t="s">
        <v>155</v>
      </c>
      <c r="B66" s="3" t="s">
        <v>12</v>
      </c>
      <c r="C66" s="3" t="s">
        <v>156</v>
      </c>
      <c r="D66" s="3" t="s">
        <v>147</v>
      </c>
      <c r="E66" s="3" t="s">
        <v>109</v>
      </c>
    </row>
    <row r="67" spans="1:5" x14ac:dyDescent="0.3">
      <c r="A67" s="3" t="s">
        <v>157</v>
      </c>
      <c r="B67" s="3" t="s">
        <v>12</v>
      </c>
      <c r="C67" s="3" t="s">
        <v>152</v>
      </c>
      <c r="D67" s="3" t="s">
        <v>147</v>
      </c>
      <c r="E67" s="3" t="s">
        <v>134</v>
      </c>
    </row>
    <row r="68" spans="1:5" x14ac:dyDescent="0.3">
      <c r="A68" s="3" t="s">
        <v>158</v>
      </c>
      <c r="B68" s="3" t="s">
        <v>12</v>
      </c>
      <c r="C68" s="3" t="s">
        <v>159</v>
      </c>
      <c r="D68" s="3" t="s">
        <v>156</v>
      </c>
      <c r="E68" s="3" t="s">
        <v>160</v>
      </c>
    </row>
    <row r="69" spans="1:5" x14ac:dyDescent="0.3">
      <c r="A69" s="3" t="s">
        <v>161</v>
      </c>
      <c r="B69" s="3" t="s">
        <v>12</v>
      </c>
      <c r="C69" s="3" t="s">
        <v>162</v>
      </c>
      <c r="D69" s="3" t="s">
        <v>163</v>
      </c>
      <c r="E69" s="3" t="s">
        <v>114</v>
      </c>
    </row>
    <row r="70" spans="1:5" x14ac:dyDescent="0.3">
      <c r="A70" s="3" t="s">
        <v>164</v>
      </c>
      <c r="B70" s="3" t="s">
        <v>12</v>
      </c>
      <c r="C70" s="3" t="s">
        <v>122</v>
      </c>
      <c r="D70" s="3" t="s">
        <v>122</v>
      </c>
      <c r="E70" s="3" t="s">
        <v>152</v>
      </c>
    </row>
    <row r="71" spans="1:5" x14ac:dyDescent="0.3">
      <c r="A71" s="3" t="s">
        <v>165</v>
      </c>
      <c r="B71" s="3" t="s">
        <v>12</v>
      </c>
      <c r="C71" s="3" t="s">
        <v>151</v>
      </c>
      <c r="D71" s="3" t="s">
        <v>156</v>
      </c>
      <c r="E71" s="3" t="s">
        <v>127</v>
      </c>
    </row>
    <row r="72" spans="1:5" x14ac:dyDescent="0.3">
      <c r="A72" s="3" t="s">
        <v>166</v>
      </c>
      <c r="B72" s="3" t="s">
        <v>12</v>
      </c>
      <c r="C72" s="3" t="s">
        <v>147</v>
      </c>
      <c r="D72" s="3" t="s">
        <v>152</v>
      </c>
      <c r="E72" s="3" t="s">
        <v>112</v>
      </c>
    </row>
    <row r="73" spans="1:5" x14ac:dyDescent="0.3">
      <c r="A73" s="3" t="s">
        <v>167</v>
      </c>
      <c r="B73" s="3" t="s">
        <v>12</v>
      </c>
      <c r="C73" s="3" t="s">
        <v>111</v>
      </c>
      <c r="D73" s="3" t="s">
        <v>127</v>
      </c>
      <c r="E73" s="3" t="s">
        <v>168</v>
      </c>
    </row>
    <row r="74" spans="1:5" x14ac:dyDescent="0.3">
      <c r="A74" s="3" t="s">
        <v>169</v>
      </c>
      <c r="B74" s="3" t="s">
        <v>12</v>
      </c>
      <c r="C74" s="3" t="s">
        <v>160</v>
      </c>
      <c r="D74" s="3" t="s">
        <v>109</v>
      </c>
      <c r="E74" s="3" t="s">
        <v>140</v>
      </c>
    </row>
    <row r="75" spans="1:5" x14ac:dyDescent="0.3">
      <c r="A75" s="3" t="s">
        <v>170</v>
      </c>
      <c r="B75" s="3" t="s">
        <v>12</v>
      </c>
      <c r="C75" s="3" t="s">
        <v>112</v>
      </c>
      <c r="D75" s="3" t="s">
        <v>134</v>
      </c>
      <c r="E75" s="3" t="s">
        <v>107</v>
      </c>
    </row>
    <row r="76" spans="1:5" x14ac:dyDescent="0.3">
      <c r="A76" s="3" t="s">
        <v>171</v>
      </c>
      <c r="B76" s="3" t="s">
        <v>12</v>
      </c>
      <c r="C76" s="3" t="s">
        <v>114</v>
      </c>
      <c r="D76" s="3" t="s">
        <v>111</v>
      </c>
      <c r="E76" s="3" t="s">
        <v>136</v>
      </c>
    </row>
    <row r="77" spans="1:5" x14ac:dyDescent="0.3">
      <c r="A77" s="3" t="s">
        <v>172</v>
      </c>
      <c r="B77" s="3" t="s">
        <v>12</v>
      </c>
      <c r="C77" s="3" t="s">
        <v>114</v>
      </c>
      <c r="D77" s="3" t="s">
        <v>111</v>
      </c>
      <c r="E77" s="3" t="s">
        <v>133</v>
      </c>
    </row>
    <row r="78" spans="1:5" x14ac:dyDescent="0.3">
      <c r="A78" s="3" t="s">
        <v>173</v>
      </c>
      <c r="B78" s="3" t="s">
        <v>12</v>
      </c>
      <c r="C78" s="3" t="s">
        <v>148</v>
      </c>
      <c r="D78" s="3" t="s">
        <v>111</v>
      </c>
      <c r="E78" s="3" t="s">
        <v>134</v>
      </c>
    </row>
    <row r="79" spans="1:5" x14ac:dyDescent="0.3">
      <c r="A79" s="3" t="s">
        <v>174</v>
      </c>
      <c r="B79" s="3" t="s">
        <v>12</v>
      </c>
      <c r="C79" s="3" t="s">
        <v>139</v>
      </c>
      <c r="D79" s="3" t="s">
        <v>124</v>
      </c>
      <c r="E79" s="3" t="s">
        <v>133</v>
      </c>
    </row>
    <row r="80" spans="1:5" x14ac:dyDescent="0.3">
      <c r="A80" s="3" t="s">
        <v>175</v>
      </c>
      <c r="B80" s="3" t="s">
        <v>12</v>
      </c>
      <c r="C80" s="3" t="s">
        <v>115</v>
      </c>
      <c r="D80" s="3" t="s">
        <v>131</v>
      </c>
      <c r="E80" s="3" t="s">
        <v>128</v>
      </c>
    </row>
    <row r="81" spans="1:5" x14ac:dyDescent="0.3">
      <c r="A81" s="3" t="s">
        <v>176</v>
      </c>
      <c r="B81" s="3" t="s">
        <v>12</v>
      </c>
      <c r="C81" s="3" t="s">
        <v>152</v>
      </c>
      <c r="D81" s="3" t="s">
        <v>127</v>
      </c>
      <c r="E81" s="3" t="s">
        <v>133</v>
      </c>
    </row>
    <row r="82" spans="1:5" x14ac:dyDescent="0.3">
      <c r="A82" s="3" t="s">
        <v>177</v>
      </c>
      <c r="B82" s="3" t="s">
        <v>12</v>
      </c>
      <c r="C82" s="3" t="s">
        <v>139</v>
      </c>
      <c r="D82" s="3" t="s">
        <v>143</v>
      </c>
      <c r="E82" s="3" t="s">
        <v>178</v>
      </c>
    </row>
    <row r="83" spans="1:5" x14ac:dyDescent="0.3">
      <c r="A83" s="3" t="s">
        <v>179</v>
      </c>
      <c r="B83" s="3" t="s">
        <v>12</v>
      </c>
      <c r="C83" s="3" t="s">
        <v>148</v>
      </c>
      <c r="D83" s="3" t="s">
        <v>143</v>
      </c>
      <c r="E83" s="3" t="s">
        <v>128</v>
      </c>
    </row>
    <row r="84" spans="1:5" x14ac:dyDescent="0.3">
      <c r="A84" s="3" t="s">
        <v>180</v>
      </c>
      <c r="B84" s="3" t="s">
        <v>12</v>
      </c>
      <c r="C84" s="3" t="s">
        <v>148</v>
      </c>
      <c r="D84" s="3" t="s">
        <v>111</v>
      </c>
      <c r="E84" s="3" t="s">
        <v>133</v>
      </c>
    </row>
    <row r="85" spans="1:5" x14ac:dyDescent="0.3">
      <c r="A85" s="3" t="s">
        <v>181</v>
      </c>
      <c r="B85" s="3" t="s">
        <v>12</v>
      </c>
      <c r="C85" s="3" t="s">
        <v>151</v>
      </c>
      <c r="D85" s="3" t="s">
        <v>114</v>
      </c>
      <c r="E85" s="3" t="s">
        <v>168</v>
      </c>
    </row>
    <row r="86" spans="1:5" x14ac:dyDescent="0.3">
      <c r="A86" s="3" t="s">
        <v>182</v>
      </c>
      <c r="B86" s="3" t="s">
        <v>12</v>
      </c>
      <c r="C86" s="3" t="s">
        <v>122</v>
      </c>
      <c r="D86" s="3" t="s">
        <v>156</v>
      </c>
      <c r="E86" s="3" t="s">
        <v>131</v>
      </c>
    </row>
    <row r="87" spans="1:5" x14ac:dyDescent="0.3">
      <c r="A87" s="3" t="s">
        <v>183</v>
      </c>
      <c r="B87" s="3" t="s">
        <v>12</v>
      </c>
      <c r="C87" s="3" t="s">
        <v>122</v>
      </c>
      <c r="D87" s="3" t="s">
        <v>156</v>
      </c>
      <c r="E87" s="3" t="s">
        <v>112</v>
      </c>
    </row>
    <row r="88" spans="1:5" x14ac:dyDescent="0.3">
      <c r="A88" s="3" t="s">
        <v>184</v>
      </c>
      <c r="B88" s="3" t="s">
        <v>12</v>
      </c>
      <c r="C88" s="3" t="s">
        <v>162</v>
      </c>
      <c r="D88" s="3" t="s">
        <v>156</v>
      </c>
      <c r="E88" s="3" t="s">
        <v>124</v>
      </c>
    </row>
    <row r="89" spans="1:5" x14ac:dyDescent="0.3">
      <c r="A89" s="3" t="s">
        <v>185</v>
      </c>
      <c r="B89" s="3" t="s">
        <v>12</v>
      </c>
      <c r="C89" s="3" t="s">
        <v>186</v>
      </c>
      <c r="D89" s="3" t="s">
        <v>122</v>
      </c>
      <c r="E89" s="3" t="s">
        <v>114</v>
      </c>
    </row>
    <row r="90" spans="1:5" x14ac:dyDescent="0.3">
      <c r="A90" s="3" t="s">
        <v>187</v>
      </c>
      <c r="B90" s="3" t="s">
        <v>12</v>
      </c>
      <c r="C90" s="3" t="s">
        <v>188</v>
      </c>
      <c r="D90" s="3" t="s">
        <v>117</v>
      </c>
      <c r="E90" s="3" t="s">
        <v>163</v>
      </c>
    </row>
    <row r="91" spans="1:5" x14ac:dyDescent="0.3">
      <c r="A91" s="3" t="s">
        <v>189</v>
      </c>
      <c r="B91" s="3" t="s">
        <v>12</v>
      </c>
      <c r="C91" s="3" t="s">
        <v>190</v>
      </c>
      <c r="D91" s="3" t="s">
        <v>191</v>
      </c>
      <c r="E91" s="3" t="s">
        <v>122</v>
      </c>
    </row>
    <row r="92" spans="1:5" x14ac:dyDescent="0.3">
      <c r="A92" s="3" t="s">
        <v>192</v>
      </c>
      <c r="B92" s="3" t="s">
        <v>12</v>
      </c>
      <c r="C92" s="3" t="s">
        <v>193</v>
      </c>
      <c r="D92" s="3" t="s">
        <v>193</v>
      </c>
      <c r="E92" s="3" t="s">
        <v>125</v>
      </c>
    </row>
    <row r="93" spans="1:5" x14ac:dyDescent="0.3">
      <c r="A93" s="3" t="s">
        <v>194</v>
      </c>
      <c r="B93" s="3" t="s">
        <v>12</v>
      </c>
      <c r="C93" s="3" t="s">
        <v>195</v>
      </c>
      <c r="D93" s="3" t="s">
        <v>195</v>
      </c>
      <c r="E93" s="3" t="s">
        <v>154</v>
      </c>
    </row>
    <row r="94" spans="1:5" x14ac:dyDescent="0.3">
      <c r="A94" s="3" t="s">
        <v>196</v>
      </c>
      <c r="B94" s="3" t="s">
        <v>12</v>
      </c>
      <c r="C94" s="3" t="s">
        <v>125</v>
      </c>
      <c r="D94" s="3" t="s">
        <v>163</v>
      </c>
      <c r="E94" s="3" t="s">
        <v>148</v>
      </c>
    </row>
    <row r="95" spans="1:5" x14ac:dyDescent="0.3">
      <c r="A95" s="3" t="s">
        <v>197</v>
      </c>
      <c r="B95" s="3" t="s">
        <v>12</v>
      </c>
      <c r="C95" s="3" t="s">
        <v>122</v>
      </c>
      <c r="D95" s="3" t="s">
        <v>159</v>
      </c>
      <c r="E95" s="3" t="s">
        <v>139</v>
      </c>
    </row>
    <row r="96" spans="1:5" x14ac:dyDescent="0.3">
      <c r="A96" s="3" t="s">
        <v>198</v>
      </c>
      <c r="B96" s="3" t="s">
        <v>12</v>
      </c>
      <c r="C96" s="3" t="s">
        <v>125</v>
      </c>
      <c r="D96" s="3" t="s">
        <v>163</v>
      </c>
      <c r="E96" s="3" t="s">
        <v>115</v>
      </c>
    </row>
    <row r="97" spans="1:5" x14ac:dyDescent="0.3">
      <c r="A97" s="3" t="s">
        <v>199</v>
      </c>
      <c r="B97" s="3" t="s">
        <v>12</v>
      </c>
      <c r="C97" s="3" t="s">
        <v>125</v>
      </c>
      <c r="D97" s="3" t="s">
        <v>156</v>
      </c>
      <c r="E97" s="3" t="s">
        <v>143</v>
      </c>
    </row>
    <row r="98" spans="1:5" x14ac:dyDescent="0.3">
      <c r="A98" s="3" t="s">
        <v>200</v>
      </c>
      <c r="B98" s="3" t="s">
        <v>12</v>
      </c>
      <c r="C98" s="3" t="s">
        <v>159</v>
      </c>
      <c r="D98" s="3" t="s">
        <v>156</v>
      </c>
      <c r="E98" s="3" t="s">
        <v>124</v>
      </c>
    </row>
    <row r="99" spans="1:5" x14ac:dyDescent="0.3">
      <c r="A99" s="3" t="s">
        <v>201</v>
      </c>
      <c r="B99" s="3" t="s">
        <v>12</v>
      </c>
      <c r="C99" s="3" t="s">
        <v>202</v>
      </c>
      <c r="D99" s="3" t="s">
        <v>159</v>
      </c>
      <c r="E99" s="3" t="s">
        <v>114</v>
      </c>
    </row>
    <row r="100" spans="1:5" x14ac:dyDescent="0.3">
      <c r="A100" s="3" t="s">
        <v>203</v>
      </c>
      <c r="B100" s="3" t="s">
        <v>12</v>
      </c>
      <c r="C100" s="3" t="s">
        <v>162</v>
      </c>
      <c r="D100" s="3" t="s">
        <v>162</v>
      </c>
      <c r="E100" s="3" t="s">
        <v>118</v>
      </c>
    </row>
    <row r="101" spans="1:5" x14ac:dyDescent="0.3">
      <c r="A101" s="3" t="s">
        <v>204</v>
      </c>
      <c r="B101" s="3" t="s">
        <v>12</v>
      </c>
      <c r="C101" s="3" t="s">
        <v>159</v>
      </c>
      <c r="D101" s="3" t="s">
        <v>159</v>
      </c>
      <c r="E101" s="3" t="s">
        <v>148</v>
      </c>
    </row>
    <row r="102" spans="1:5" x14ac:dyDescent="0.3">
      <c r="A102" s="3" t="s">
        <v>205</v>
      </c>
      <c r="B102" s="3" t="s">
        <v>12</v>
      </c>
      <c r="C102" s="3" t="s">
        <v>154</v>
      </c>
      <c r="D102" s="3" t="s">
        <v>118</v>
      </c>
      <c r="E102" s="3" t="s">
        <v>111</v>
      </c>
    </row>
    <row r="103" spans="1:5" x14ac:dyDescent="0.3">
      <c r="A103" s="3" t="s">
        <v>206</v>
      </c>
      <c r="B103" s="3" t="s">
        <v>12</v>
      </c>
      <c r="C103" s="3" t="s">
        <v>207</v>
      </c>
      <c r="D103" s="3" t="s">
        <v>154</v>
      </c>
      <c r="E103" s="3" t="s">
        <v>115</v>
      </c>
    </row>
    <row r="104" spans="1:5" x14ac:dyDescent="0.3">
      <c r="A104" s="3" t="s">
        <v>208</v>
      </c>
      <c r="B104" s="3" t="s">
        <v>12</v>
      </c>
      <c r="C104" s="3" t="s">
        <v>120</v>
      </c>
      <c r="D104" s="3" t="s">
        <v>207</v>
      </c>
      <c r="E104" s="3" t="s">
        <v>147</v>
      </c>
    </row>
    <row r="105" spans="1:5" x14ac:dyDescent="0.3">
      <c r="A105" s="3" t="s">
        <v>209</v>
      </c>
      <c r="B105" s="3" t="s">
        <v>12</v>
      </c>
      <c r="C105" s="3" t="s">
        <v>193</v>
      </c>
      <c r="D105" s="3" t="s">
        <v>120</v>
      </c>
      <c r="E105" s="3" t="s">
        <v>154</v>
      </c>
    </row>
    <row r="106" spans="1:5" x14ac:dyDescent="0.3">
      <c r="A106" s="3" t="s">
        <v>210</v>
      </c>
      <c r="B106" s="3" t="s">
        <v>12</v>
      </c>
      <c r="C106" s="3" t="s">
        <v>193</v>
      </c>
      <c r="D106" s="3" t="s">
        <v>120</v>
      </c>
      <c r="E106" s="3" t="s">
        <v>125</v>
      </c>
    </row>
    <row r="107" spans="1:5" x14ac:dyDescent="0.3">
      <c r="A107" s="3" t="s">
        <v>211</v>
      </c>
      <c r="B107" s="3" t="s">
        <v>12</v>
      </c>
      <c r="C107" s="3" t="s">
        <v>120</v>
      </c>
      <c r="D107" s="3" t="s">
        <v>202</v>
      </c>
      <c r="E107" s="3" t="s">
        <v>118</v>
      </c>
    </row>
    <row r="108" spans="1:5" x14ac:dyDescent="0.3">
      <c r="A108" s="3" t="s">
        <v>212</v>
      </c>
      <c r="B108" s="3" t="s">
        <v>12</v>
      </c>
      <c r="C108" s="3" t="s">
        <v>193</v>
      </c>
      <c r="D108" s="3" t="s">
        <v>186</v>
      </c>
      <c r="E108" s="3" t="s">
        <v>163</v>
      </c>
    </row>
    <row r="109" spans="1:5" x14ac:dyDescent="0.3">
      <c r="A109" s="3" t="s">
        <v>213</v>
      </c>
      <c r="B109" s="3" t="s">
        <v>12</v>
      </c>
      <c r="C109" s="3" t="s">
        <v>186</v>
      </c>
      <c r="D109" s="3" t="s">
        <v>120</v>
      </c>
      <c r="E109" s="3" t="s">
        <v>163</v>
      </c>
    </row>
    <row r="110" spans="1:5" x14ac:dyDescent="0.3">
      <c r="A110" s="3" t="s">
        <v>214</v>
      </c>
      <c r="B110" s="3" t="s">
        <v>12</v>
      </c>
      <c r="C110" s="3" t="s">
        <v>117</v>
      </c>
      <c r="D110" s="3" t="s">
        <v>186</v>
      </c>
      <c r="E110" s="3" t="s">
        <v>162</v>
      </c>
    </row>
    <row r="111" spans="1:5" x14ac:dyDescent="0.3">
      <c r="A111" s="3" t="s">
        <v>215</v>
      </c>
      <c r="B111" s="3" t="s">
        <v>12</v>
      </c>
      <c r="C111" s="3" t="s">
        <v>186</v>
      </c>
      <c r="D111" s="3" t="s">
        <v>216</v>
      </c>
      <c r="E111" s="3" t="s">
        <v>159</v>
      </c>
    </row>
    <row r="112" spans="1:5" x14ac:dyDescent="0.3">
      <c r="A112" s="3" t="s">
        <v>217</v>
      </c>
      <c r="B112" s="3" t="s">
        <v>12</v>
      </c>
      <c r="C112" s="3" t="s">
        <v>120</v>
      </c>
      <c r="D112" s="3" t="s">
        <v>162</v>
      </c>
      <c r="E112" s="3" t="s">
        <v>154</v>
      </c>
    </row>
    <row r="113" spans="1:5" x14ac:dyDescent="0.3">
      <c r="A113" s="3" t="s">
        <v>218</v>
      </c>
      <c r="B113" s="3" t="s">
        <v>12</v>
      </c>
      <c r="C113" s="3" t="s">
        <v>195</v>
      </c>
      <c r="D113" s="3" t="s">
        <v>162</v>
      </c>
      <c r="E113" s="3" t="s">
        <v>154</v>
      </c>
    </row>
    <row r="114" spans="1:5" x14ac:dyDescent="0.3">
      <c r="A114" s="3" t="s">
        <v>219</v>
      </c>
      <c r="B114" s="3" t="s">
        <v>12</v>
      </c>
      <c r="C114" s="3" t="s">
        <v>120</v>
      </c>
      <c r="D114" s="3" t="s">
        <v>195</v>
      </c>
      <c r="E114" s="3" t="s">
        <v>156</v>
      </c>
    </row>
    <row r="115" spans="1:5" x14ac:dyDescent="0.3">
      <c r="A115" s="3" t="s">
        <v>220</v>
      </c>
      <c r="B115" s="3" t="s">
        <v>12</v>
      </c>
      <c r="C115" s="3" t="s">
        <v>117</v>
      </c>
      <c r="D115" s="3" t="s">
        <v>121</v>
      </c>
      <c r="E115" s="3" t="s">
        <v>163</v>
      </c>
    </row>
    <row r="116" spans="1:5" x14ac:dyDescent="0.3">
      <c r="A116" s="3" t="s">
        <v>221</v>
      </c>
      <c r="B116" s="3" t="s">
        <v>12</v>
      </c>
      <c r="C116" s="3" t="s">
        <v>121</v>
      </c>
      <c r="D116" s="3" t="s">
        <v>193</v>
      </c>
      <c r="E116" s="3" t="s">
        <v>154</v>
      </c>
    </row>
    <row r="117" spans="1:5" x14ac:dyDescent="0.3">
      <c r="A117" s="3" t="s">
        <v>222</v>
      </c>
      <c r="B117" s="3" t="s">
        <v>12</v>
      </c>
      <c r="C117" s="3" t="s">
        <v>216</v>
      </c>
      <c r="D117" s="3" t="s">
        <v>195</v>
      </c>
      <c r="E117" s="3" t="s">
        <v>147</v>
      </c>
    </row>
    <row r="118" spans="1:5" x14ac:dyDescent="0.3">
      <c r="A118" s="3" t="s">
        <v>223</v>
      </c>
      <c r="B118" s="3" t="s">
        <v>12</v>
      </c>
      <c r="C118" s="3" t="s">
        <v>216</v>
      </c>
      <c r="D118" s="3" t="s">
        <v>216</v>
      </c>
      <c r="E118" s="3" t="s">
        <v>147</v>
      </c>
    </row>
    <row r="119" spans="1:5" x14ac:dyDescent="0.3">
      <c r="A119" s="3" t="s">
        <v>224</v>
      </c>
      <c r="B119" s="3" t="s">
        <v>12</v>
      </c>
      <c r="C119" s="3" t="s">
        <v>162</v>
      </c>
      <c r="D119" s="3" t="s">
        <v>207</v>
      </c>
      <c r="E119" s="3" t="s">
        <v>114</v>
      </c>
    </row>
    <row r="120" spans="1:5" x14ac:dyDescent="0.3">
      <c r="A120" s="3" t="s">
        <v>225</v>
      </c>
      <c r="B120" s="3" t="s">
        <v>12</v>
      </c>
      <c r="C120" s="3" t="s">
        <v>162</v>
      </c>
      <c r="D120" s="3" t="s">
        <v>162</v>
      </c>
      <c r="E120" s="3" t="s">
        <v>114</v>
      </c>
    </row>
    <row r="121" spans="1:5" x14ac:dyDescent="0.3">
      <c r="A121" s="3" t="s">
        <v>226</v>
      </c>
      <c r="B121" s="3" t="s">
        <v>12</v>
      </c>
      <c r="C121" s="3" t="s">
        <v>207</v>
      </c>
      <c r="D121" s="3" t="s">
        <v>122</v>
      </c>
      <c r="E121" s="3" t="s">
        <v>114</v>
      </c>
    </row>
    <row r="122" spans="1:5" x14ac:dyDescent="0.3">
      <c r="A122" s="3" t="s">
        <v>227</v>
      </c>
      <c r="B122" s="3" t="s">
        <v>12</v>
      </c>
      <c r="C122" s="3" t="s">
        <v>207</v>
      </c>
      <c r="D122" s="3" t="s">
        <v>163</v>
      </c>
      <c r="E122" s="3" t="s">
        <v>139</v>
      </c>
    </row>
    <row r="123" spans="1:5" x14ac:dyDescent="0.3">
      <c r="A123" s="3" t="s">
        <v>228</v>
      </c>
      <c r="B123" s="3" t="s">
        <v>12</v>
      </c>
      <c r="C123" s="3" t="s">
        <v>162</v>
      </c>
      <c r="D123" s="3" t="s">
        <v>163</v>
      </c>
      <c r="E123" s="3" t="s">
        <v>115</v>
      </c>
    </row>
    <row r="124" spans="1:5" x14ac:dyDescent="0.3">
      <c r="A124" s="3" t="s">
        <v>229</v>
      </c>
      <c r="B124" s="3" t="s">
        <v>12</v>
      </c>
      <c r="C124" s="3" t="s">
        <v>162</v>
      </c>
      <c r="D124" s="3" t="s">
        <v>163</v>
      </c>
      <c r="E124" s="3" t="s">
        <v>139</v>
      </c>
    </row>
    <row r="125" spans="1:5" x14ac:dyDescent="0.3">
      <c r="A125" s="3" t="s">
        <v>230</v>
      </c>
      <c r="B125" s="3" t="s">
        <v>12</v>
      </c>
      <c r="C125" s="3" t="s">
        <v>125</v>
      </c>
      <c r="D125" s="3" t="s">
        <v>163</v>
      </c>
      <c r="E125" s="3" t="s">
        <v>111</v>
      </c>
    </row>
    <row r="126" spans="1:5" x14ac:dyDescent="0.3">
      <c r="A126" s="3" t="s">
        <v>231</v>
      </c>
      <c r="B126" s="3" t="s">
        <v>12</v>
      </c>
      <c r="C126" s="3" t="s">
        <v>151</v>
      </c>
      <c r="D126" s="3" t="s">
        <v>156</v>
      </c>
      <c r="E126" s="3" t="s">
        <v>131</v>
      </c>
    </row>
    <row r="127" spans="1:5" x14ac:dyDescent="0.3">
      <c r="A127" s="3" t="s">
        <v>232</v>
      </c>
      <c r="B127" s="3" t="s">
        <v>12</v>
      </c>
      <c r="C127" s="3" t="s">
        <v>118</v>
      </c>
      <c r="D127" s="3" t="s">
        <v>152</v>
      </c>
      <c r="E127" s="3" t="s">
        <v>109</v>
      </c>
    </row>
    <row r="128" spans="1:5" x14ac:dyDescent="0.3">
      <c r="A128" s="3" t="s">
        <v>233</v>
      </c>
      <c r="B128" s="3" t="s">
        <v>12</v>
      </c>
      <c r="C128" s="3" t="s">
        <v>125</v>
      </c>
      <c r="D128" s="3" t="s">
        <v>147</v>
      </c>
      <c r="E128" s="3" t="s">
        <v>124</v>
      </c>
    </row>
    <row r="129" spans="1:5" x14ac:dyDescent="0.3">
      <c r="A129" s="3" t="s">
        <v>234</v>
      </c>
      <c r="B129" s="3" t="s">
        <v>12</v>
      </c>
      <c r="C129" s="3" t="s">
        <v>162</v>
      </c>
      <c r="D129" s="3" t="s">
        <v>163</v>
      </c>
      <c r="E129" s="3" t="s">
        <v>114</v>
      </c>
    </row>
    <row r="130" spans="1:5" x14ac:dyDescent="0.3">
      <c r="A130" s="3" t="s">
        <v>235</v>
      </c>
      <c r="B130" s="3" t="s">
        <v>12</v>
      </c>
      <c r="C130" s="3" t="s">
        <v>202</v>
      </c>
      <c r="D130" s="3" t="s">
        <v>207</v>
      </c>
      <c r="E130" s="3" t="s">
        <v>139</v>
      </c>
    </row>
    <row r="131" spans="1:5" x14ac:dyDescent="0.3">
      <c r="A131" s="3" t="s">
        <v>236</v>
      </c>
      <c r="B131" s="3" t="s">
        <v>12</v>
      </c>
      <c r="C131" s="3" t="s">
        <v>186</v>
      </c>
      <c r="D131" s="3" t="s">
        <v>216</v>
      </c>
      <c r="E131" s="3" t="s">
        <v>125</v>
      </c>
    </row>
    <row r="132" spans="1:5" x14ac:dyDescent="0.3">
      <c r="A132" s="3" t="s">
        <v>237</v>
      </c>
      <c r="B132" s="3" t="s">
        <v>12</v>
      </c>
      <c r="C132" s="3" t="s">
        <v>238</v>
      </c>
      <c r="D132" s="3" t="s">
        <v>188</v>
      </c>
      <c r="E132" s="3" t="s">
        <v>162</v>
      </c>
    </row>
    <row r="133" spans="1:5" x14ac:dyDescent="0.3">
      <c r="A133" s="3" t="s">
        <v>239</v>
      </c>
      <c r="B133" s="3" t="s">
        <v>12</v>
      </c>
      <c r="C133" s="3" t="s">
        <v>238</v>
      </c>
      <c r="D133" s="3" t="s">
        <v>238</v>
      </c>
      <c r="E133" s="3" t="s">
        <v>202</v>
      </c>
    </row>
    <row r="134" spans="1:5" x14ac:dyDescent="0.3">
      <c r="A134" s="3" t="s">
        <v>240</v>
      </c>
      <c r="B134" s="3" t="s">
        <v>12</v>
      </c>
      <c r="C134" s="3" t="s">
        <v>241</v>
      </c>
      <c r="D134" s="3" t="s">
        <v>238</v>
      </c>
      <c r="E134" s="3" t="s">
        <v>216</v>
      </c>
    </row>
    <row r="135" spans="1:5" x14ac:dyDescent="0.3">
      <c r="A135" s="3" t="s">
        <v>242</v>
      </c>
      <c r="B135" s="3" t="s">
        <v>12</v>
      </c>
      <c r="C135" s="3" t="s">
        <v>243</v>
      </c>
      <c r="D135" s="3" t="s">
        <v>241</v>
      </c>
      <c r="E135" s="3" t="s">
        <v>244</v>
      </c>
    </row>
    <row r="136" spans="1:5" x14ac:dyDescent="0.3">
      <c r="A136" s="3" t="s">
        <v>245</v>
      </c>
      <c r="B136" s="3" t="s">
        <v>12</v>
      </c>
      <c r="C136" s="3" t="s">
        <v>246</v>
      </c>
      <c r="D136" s="3" t="s">
        <v>247</v>
      </c>
      <c r="E136" s="3" t="s">
        <v>193</v>
      </c>
    </row>
    <row r="137" spans="1:5" x14ac:dyDescent="0.3">
      <c r="A137" s="3" t="s">
        <v>248</v>
      </c>
      <c r="B137" s="3" t="s">
        <v>12</v>
      </c>
      <c r="C137" s="3" t="s">
        <v>247</v>
      </c>
      <c r="D137" s="3" t="s">
        <v>249</v>
      </c>
      <c r="E137" s="3" t="s">
        <v>120</v>
      </c>
    </row>
    <row r="138" spans="1:5" x14ac:dyDescent="0.3">
      <c r="A138" s="3" t="s">
        <v>250</v>
      </c>
      <c r="B138" s="3" t="s">
        <v>12</v>
      </c>
      <c r="C138" s="3" t="s">
        <v>251</v>
      </c>
      <c r="D138" s="3" t="s">
        <v>252</v>
      </c>
      <c r="E138" s="3" t="s">
        <v>121</v>
      </c>
    </row>
    <row r="139" spans="1:5" x14ac:dyDescent="0.3">
      <c r="A139" s="3" t="s">
        <v>253</v>
      </c>
      <c r="B139" s="3" t="s">
        <v>12</v>
      </c>
      <c r="C139" s="3" t="s">
        <v>254</v>
      </c>
      <c r="D139" s="3" t="s">
        <v>255</v>
      </c>
      <c r="E139" s="3" t="s">
        <v>190</v>
      </c>
    </row>
    <row r="140" spans="1:5" x14ac:dyDescent="0.3">
      <c r="A140" s="3" t="s">
        <v>256</v>
      </c>
      <c r="B140" s="3" t="s">
        <v>12</v>
      </c>
      <c r="C140" s="3" t="s">
        <v>257</v>
      </c>
      <c r="D140" s="3" t="s">
        <v>258</v>
      </c>
      <c r="E140" s="3" t="s">
        <v>190</v>
      </c>
    </row>
    <row r="141" spans="1:5" x14ac:dyDescent="0.3">
      <c r="A141" s="3" t="s">
        <v>259</v>
      </c>
      <c r="B141" s="3" t="s">
        <v>12</v>
      </c>
      <c r="C141" s="3" t="s">
        <v>247</v>
      </c>
      <c r="D141" s="3" t="s">
        <v>251</v>
      </c>
      <c r="E141" s="3" t="s">
        <v>117</v>
      </c>
    </row>
    <row r="142" spans="1:5" x14ac:dyDescent="0.3">
      <c r="A142" s="3" t="s">
        <v>260</v>
      </c>
      <c r="B142" s="3" t="s">
        <v>12</v>
      </c>
      <c r="C142" s="3" t="s">
        <v>243</v>
      </c>
      <c r="D142" s="3" t="s">
        <v>247</v>
      </c>
      <c r="E142" s="3" t="s">
        <v>121</v>
      </c>
    </row>
    <row r="143" spans="1:5" x14ac:dyDescent="0.3">
      <c r="A143" s="3" t="s">
        <v>261</v>
      </c>
      <c r="B143" s="3" t="s">
        <v>12</v>
      </c>
      <c r="C143" s="3" t="s">
        <v>255</v>
      </c>
      <c r="D143" s="3" t="s">
        <v>246</v>
      </c>
      <c r="E143" s="3" t="s">
        <v>244</v>
      </c>
    </row>
    <row r="144" spans="1:5" x14ac:dyDescent="0.3">
      <c r="A144" s="3" t="s">
        <v>262</v>
      </c>
      <c r="B144" s="3" t="s">
        <v>12</v>
      </c>
      <c r="C144" s="3" t="s">
        <v>243</v>
      </c>
      <c r="D144" s="3" t="s">
        <v>246</v>
      </c>
      <c r="E144" s="3" t="s">
        <v>244</v>
      </c>
    </row>
    <row r="145" spans="1:5" x14ac:dyDescent="0.3">
      <c r="A145" s="3" t="s">
        <v>263</v>
      </c>
      <c r="B145" s="3" t="s">
        <v>12</v>
      </c>
      <c r="C145" s="3" t="s">
        <v>247</v>
      </c>
      <c r="D145" s="3" t="s">
        <v>264</v>
      </c>
      <c r="E145" s="3" t="s">
        <v>186</v>
      </c>
    </row>
    <row r="146" spans="1:5" x14ac:dyDescent="0.3">
      <c r="A146" s="3" t="s">
        <v>265</v>
      </c>
      <c r="B146" s="3" t="s">
        <v>12</v>
      </c>
      <c r="C146" s="3" t="s">
        <v>243</v>
      </c>
      <c r="D146" s="3" t="s">
        <v>252</v>
      </c>
      <c r="E146" s="3" t="s">
        <v>266</v>
      </c>
    </row>
    <row r="147" spans="1:5" x14ac:dyDescent="0.3">
      <c r="A147" s="3" t="s">
        <v>267</v>
      </c>
      <c r="B147" s="3" t="s">
        <v>12</v>
      </c>
      <c r="C147" s="3" t="s">
        <v>268</v>
      </c>
      <c r="D147" s="3" t="s">
        <v>254</v>
      </c>
      <c r="E147" s="3" t="s">
        <v>269</v>
      </c>
    </row>
    <row r="148" spans="1:5" x14ac:dyDescent="0.3">
      <c r="A148" s="3" t="s">
        <v>270</v>
      </c>
      <c r="B148" s="3" t="s">
        <v>12</v>
      </c>
      <c r="C148" s="3" t="s">
        <v>271</v>
      </c>
      <c r="D148" s="3" t="s">
        <v>272</v>
      </c>
      <c r="E148" s="3" t="s">
        <v>252</v>
      </c>
    </row>
    <row r="149" spans="1:5" x14ac:dyDescent="0.3">
      <c r="A149" s="3" t="s">
        <v>273</v>
      </c>
      <c r="B149" s="3" t="s">
        <v>12</v>
      </c>
      <c r="C149" s="3" t="s">
        <v>274</v>
      </c>
      <c r="D149" s="3" t="s">
        <v>271</v>
      </c>
      <c r="E149" s="3" t="s">
        <v>264</v>
      </c>
    </row>
    <row r="150" spans="1:5" x14ac:dyDescent="0.3">
      <c r="A150" s="3" t="s">
        <v>275</v>
      </c>
      <c r="B150" s="3" t="s">
        <v>12</v>
      </c>
      <c r="C150" s="3" t="s">
        <v>276</v>
      </c>
      <c r="D150" s="3" t="s">
        <v>274</v>
      </c>
      <c r="E150" s="3" t="s">
        <v>246</v>
      </c>
    </row>
    <row r="151" spans="1:5" x14ac:dyDescent="0.3">
      <c r="A151" s="3" t="s">
        <v>277</v>
      </c>
      <c r="B151" s="3" t="s">
        <v>12</v>
      </c>
      <c r="C151" s="3" t="s">
        <v>278</v>
      </c>
      <c r="D151" s="3" t="s">
        <v>278</v>
      </c>
      <c r="E151" s="3" t="s">
        <v>251</v>
      </c>
    </row>
    <row r="152" spans="1:5" x14ac:dyDescent="0.3">
      <c r="A152" s="3" t="s">
        <v>279</v>
      </c>
      <c r="B152" s="3" t="s">
        <v>12</v>
      </c>
      <c r="C152" s="3" t="s">
        <v>278</v>
      </c>
      <c r="D152" s="3" t="s">
        <v>276</v>
      </c>
      <c r="E152" s="3" t="s">
        <v>257</v>
      </c>
    </row>
    <row r="153" spans="1:5" x14ac:dyDescent="0.3">
      <c r="A153" s="3" t="s">
        <v>280</v>
      </c>
      <c r="B153" s="3" t="s">
        <v>12</v>
      </c>
      <c r="C153" s="3" t="s">
        <v>278</v>
      </c>
      <c r="D153" s="3" t="s">
        <v>281</v>
      </c>
      <c r="E153" s="3" t="s">
        <v>251</v>
      </c>
    </row>
    <row r="154" spans="1:5" x14ac:dyDescent="0.3">
      <c r="A154" s="3" t="s">
        <v>282</v>
      </c>
      <c r="B154" s="3" t="s">
        <v>12</v>
      </c>
      <c r="C154" s="3" t="s">
        <v>276</v>
      </c>
      <c r="D154" s="3" t="s">
        <v>283</v>
      </c>
      <c r="E154" s="3" t="s">
        <v>243</v>
      </c>
    </row>
    <row r="155" spans="1:5" x14ac:dyDescent="0.3">
      <c r="A155" s="3" t="s">
        <v>284</v>
      </c>
      <c r="B155" s="3" t="s">
        <v>12</v>
      </c>
      <c r="C155" s="3" t="s">
        <v>285</v>
      </c>
      <c r="D155" s="3" t="s">
        <v>276</v>
      </c>
      <c r="E155" s="3" t="s">
        <v>255</v>
      </c>
    </row>
    <row r="156" spans="1:5" x14ac:dyDescent="0.3">
      <c r="A156" s="3" t="s">
        <v>286</v>
      </c>
      <c r="B156" s="3" t="s">
        <v>12</v>
      </c>
      <c r="C156" s="3" t="s">
        <v>287</v>
      </c>
      <c r="D156" s="3" t="s">
        <v>288</v>
      </c>
      <c r="E156" s="3" t="s">
        <v>254</v>
      </c>
    </row>
    <row r="157" spans="1:5" x14ac:dyDescent="0.3">
      <c r="A157" s="3" t="s">
        <v>289</v>
      </c>
      <c r="B157" s="3" t="s">
        <v>12</v>
      </c>
      <c r="C157" s="3" t="s">
        <v>290</v>
      </c>
      <c r="D157" s="3" t="s">
        <v>291</v>
      </c>
      <c r="E157" s="3" t="s">
        <v>271</v>
      </c>
    </row>
    <row r="158" spans="1:5" x14ac:dyDescent="0.3">
      <c r="A158" s="3" t="s">
        <v>292</v>
      </c>
      <c r="B158" s="3" t="s">
        <v>12</v>
      </c>
      <c r="C158" s="3" t="s">
        <v>293</v>
      </c>
      <c r="D158" s="3" t="s">
        <v>287</v>
      </c>
      <c r="E158" s="3" t="s">
        <v>254</v>
      </c>
    </row>
    <row r="159" spans="1:5" x14ac:dyDescent="0.3">
      <c r="A159" s="3" t="s">
        <v>294</v>
      </c>
      <c r="B159" s="3" t="s">
        <v>12</v>
      </c>
      <c r="C159" s="3" t="s">
        <v>291</v>
      </c>
      <c r="D159" s="3" t="s">
        <v>293</v>
      </c>
      <c r="E159" s="3" t="s">
        <v>283</v>
      </c>
    </row>
    <row r="160" spans="1:5" x14ac:dyDescent="0.3">
      <c r="A160" s="3" t="s">
        <v>295</v>
      </c>
      <c r="B160" s="3" t="s">
        <v>12</v>
      </c>
      <c r="C160" s="3" t="s">
        <v>296</v>
      </c>
      <c r="D160" s="3" t="s">
        <v>297</v>
      </c>
      <c r="E160" s="3" t="s">
        <v>288</v>
      </c>
    </row>
    <row r="161" spans="1:5" x14ac:dyDescent="0.3">
      <c r="A161" s="3" t="s">
        <v>298</v>
      </c>
      <c r="B161" s="3" t="s">
        <v>12</v>
      </c>
      <c r="C161" s="3" t="s">
        <v>296</v>
      </c>
      <c r="D161" s="3" t="s">
        <v>296</v>
      </c>
      <c r="E161" s="3" t="s">
        <v>281</v>
      </c>
    </row>
    <row r="162" spans="1:5" x14ac:dyDescent="0.3">
      <c r="A162" s="3" t="s">
        <v>299</v>
      </c>
      <c r="B162" s="3" t="s">
        <v>12</v>
      </c>
      <c r="C162" s="3" t="s">
        <v>297</v>
      </c>
      <c r="D162" s="3" t="s">
        <v>300</v>
      </c>
      <c r="E162" s="3" t="s">
        <v>276</v>
      </c>
    </row>
    <row r="163" spans="1:5" x14ac:dyDescent="0.3">
      <c r="A163" s="3" t="s">
        <v>301</v>
      </c>
      <c r="B163" s="3" t="s">
        <v>12</v>
      </c>
      <c r="C163" s="3" t="s">
        <v>302</v>
      </c>
      <c r="D163" s="3" t="s">
        <v>303</v>
      </c>
      <c r="E163" s="3" t="s">
        <v>274</v>
      </c>
    </row>
    <row r="164" spans="1:5" x14ac:dyDescent="0.3">
      <c r="A164" s="3" t="s">
        <v>304</v>
      </c>
      <c r="B164" s="3" t="s">
        <v>12</v>
      </c>
      <c r="C164" s="3" t="s">
        <v>303</v>
      </c>
      <c r="D164" s="3" t="s">
        <v>302</v>
      </c>
      <c r="E164" s="3" t="s">
        <v>278</v>
      </c>
    </row>
    <row r="165" spans="1:5" x14ac:dyDescent="0.3">
      <c r="A165" s="3" t="s">
        <v>305</v>
      </c>
      <c r="B165" s="3" t="s">
        <v>12</v>
      </c>
      <c r="C165" s="3" t="s">
        <v>306</v>
      </c>
      <c r="D165" s="3" t="s">
        <v>306</v>
      </c>
      <c r="E165" s="3" t="s">
        <v>285</v>
      </c>
    </row>
    <row r="166" spans="1:5" x14ac:dyDescent="0.3">
      <c r="A166" s="3" t="s">
        <v>307</v>
      </c>
      <c r="B166" s="3" t="s">
        <v>12</v>
      </c>
      <c r="C166" s="3" t="s">
        <v>308</v>
      </c>
      <c r="D166" s="3" t="s">
        <v>309</v>
      </c>
      <c r="E166" s="3" t="s">
        <v>310</v>
      </c>
    </row>
    <row r="167" spans="1:5" x14ac:dyDescent="0.3">
      <c r="A167" s="3" t="s">
        <v>311</v>
      </c>
      <c r="B167" s="3" t="s">
        <v>12</v>
      </c>
      <c r="C167" s="3" t="s">
        <v>312</v>
      </c>
      <c r="D167" s="3" t="s">
        <v>313</v>
      </c>
      <c r="E167" s="3" t="s">
        <v>314</v>
      </c>
    </row>
    <row r="168" spans="1:5" x14ac:dyDescent="0.3">
      <c r="A168" s="3" t="s">
        <v>315</v>
      </c>
      <c r="B168" s="3" t="s">
        <v>12</v>
      </c>
      <c r="C168" s="3" t="s">
        <v>316</v>
      </c>
      <c r="D168" s="3" t="s">
        <v>313</v>
      </c>
      <c r="E168" s="3" t="s">
        <v>317</v>
      </c>
    </row>
    <row r="169" spans="1:5" x14ac:dyDescent="0.3">
      <c r="A169" s="3" t="s">
        <v>318</v>
      </c>
      <c r="B169" s="3" t="s">
        <v>12</v>
      </c>
      <c r="C169" s="3" t="s">
        <v>319</v>
      </c>
      <c r="D169" s="3" t="s">
        <v>313</v>
      </c>
      <c r="E169" s="3" t="s">
        <v>310</v>
      </c>
    </row>
    <row r="170" spans="1:5" x14ac:dyDescent="0.3">
      <c r="A170" s="3" t="s">
        <v>320</v>
      </c>
      <c r="B170" s="3" t="s">
        <v>12</v>
      </c>
      <c r="C170" s="3" t="s">
        <v>321</v>
      </c>
      <c r="D170" s="3" t="s">
        <v>308</v>
      </c>
      <c r="E170" s="3" t="s">
        <v>285</v>
      </c>
    </row>
    <row r="171" spans="1:5" x14ac:dyDescent="0.3">
      <c r="A171" s="3" t="s">
        <v>322</v>
      </c>
      <c r="B171" s="3" t="s">
        <v>12</v>
      </c>
      <c r="C171" s="3" t="s">
        <v>296</v>
      </c>
      <c r="D171" s="3" t="s">
        <v>300</v>
      </c>
      <c r="E171" s="3" t="s">
        <v>278</v>
      </c>
    </row>
    <row r="172" spans="1:5" x14ac:dyDescent="0.3">
      <c r="A172" s="3" t="s">
        <v>323</v>
      </c>
      <c r="B172" s="3" t="s">
        <v>12</v>
      </c>
      <c r="C172" s="3" t="s">
        <v>306</v>
      </c>
      <c r="D172" s="3" t="s">
        <v>296</v>
      </c>
      <c r="E172" s="3" t="s">
        <v>310</v>
      </c>
    </row>
    <row r="173" spans="1:5" x14ac:dyDescent="0.3">
      <c r="A173" s="3" t="s">
        <v>324</v>
      </c>
      <c r="B173" s="3" t="s">
        <v>12</v>
      </c>
      <c r="C173" s="3" t="s">
        <v>319</v>
      </c>
      <c r="D173" s="3" t="s">
        <v>321</v>
      </c>
      <c r="E173" s="3" t="s">
        <v>285</v>
      </c>
    </row>
    <row r="174" spans="1:5" x14ac:dyDescent="0.3">
      <c r="A174" s="3" t="s">
        <v>325</v>
      </c>
      <c r="B174" s="3" t="s">
        <v>12</v>
      </c>
      <c r="C174" s="3" t="s">
        <v>312</v>
      </c>
      <c r="D174" s="3" t="s">
        <v>313</v>
      </c>
      <c r="E174" s="3" t="s">
        <v>310</v>
      </c>
    </row>
    <row r="175" spans="1:5" x14ac:dyDescent="0.3">
      <c r="A175" s="3" t="s">
        <v>326</v>
      </c>
      <c r="B175" s="3" t="s">
        <v>12</v>
      </c>
      <c r="C175" s="3" t="s">
        <v>306</v>
      </c>
      <c r="D175" s="3" t="s">
        <v>309</v>
      </c>
      <c r="E175" s="3" t="s">
        <v>285</v>
      </c>
    </row>
    <row r="176" spans="1:5" x14ac:dyDescent="0.3">
      <c r="A176" s="3" t="s">
        <v>327</v>
      </c>
      <c r="B176" s="3" t="s">
        <v>12</v>
      </c>
      <c r="C176" s="3" t="s">
        <v>306</v>
      </c>
      <c r="D176" s="3" t="s">
        <v>309</v>
      </c>
      <c r="E176" s="3" t="s">
        <v>285</v>
      </c>
    </row>
    <row r="177" spans="1:5" x14ac:dyDescent="0.3">
      <c r="A177" s="3" t="s">
        <v>328</v>
      </c>
      <c r="B177" s="3" t="s">
        <v>12</v>
      </c>
      <c r="C177" s="3" t="s">
        <v>329</v>
      </c>
      <c r="D177" s="3" t="s">
        <v>309</v>
      </c>
      <c r="E177" s="3" t="s">
        <v>285</v>
      </c>
    </row>
    <row r="178" spans="1:5" x14ac:dyDescent="0.3">
      <c r="A178" s="3" t="s">
        <v>330</v>
      </c>
      <c r="B178" s="3" t="s">
        <v>12</v>
      </c>
      <c r="C178" s="3" t="s">
        <v>309</v>
      </c>
      <c r="D178" s="3" t="s">
        <v>321</v>
      </c>
      <c r="E178" s="3" t="s">
        <v>281</v>
      </c>
    </row>
    <row r="179" spans="1:5" x14ac:dyDescent="0.3">
      <c r="A179" s="3" t="s">
        <v>331</v>
      </c>
      <c r="B179" s="3" t="s">
        <v>12</v>
      </c>
      <c r="C179" s="3" t="s">
        <v>329</v>
      </c>
      <c r="D179" s="3" t="s">
        <v>321</v>
      </c>
      <c r="E179" s="3" t="s">
        <v>278</v>
      </c>
    </row>
    <row r="180" spans="1:5" x14ac:dyDescent="0.3">
      <c r="A180" s="3" t="s">
        <v>332</v>
      </c>
      <c r="B180" s="3" t="s">
        <v>12</v>
      </c>
      <c r="C180" s="3" t="s">
        <v>333</v>
      </c>
      <c r="D180" s="3" t="s">
        <v>313</v>
      </c>
      <c r="E180" s="3" t="s">
        <v>293</v>
      </c>
    </row>
    <row r="181" spans="1:5" x14ac:dyDescent="0.3">
      <c r="A181" s="3" t="s">
        <v>334</v>
      </c>
      <c r="B181" s="3" t="s">
        <v>12</v>
      </c>
      <c r="C181" s="3" t="s">
        <v>335</v>
      </c>
      <c r="D181" s="3" t="s">
        <v>336</v>
      </c>
      <c r="E181" s="3" t="s">
        <v>293</v>
      </c>
    </row>
    <row r="182" spans="1:5" x14ac:dyDescent="0.3">
      <c r="A182" s="3" t="s">
        <v>337</v>
      </c>
      <c r="B182" s="3" t="s">
        <v>12</v>
      </c>
      <c r="C182" s="3" t="s">
        <v>338</v>
      </c>
      <c r="D182" s="3" t="s">
        <v>336</v>
      </c>
      <c r="E182" s="3" t="s">
        <v>291</v>
      </c>
    </row>
    <row r="183" spans="1:5" x14ac:dyDescent="0.3">
      <c r="A183" s="3" t="s">
        <v>339</v>
      </c>
      <c r="B183" s="3" t="s">
        <v>12</v>
      </c>
      <c r="C183" s="3" t="s">
        <v>340</v>
      </c>
      <c r="D183" s="3" t="s">
        <v>336</v>
      </c>
      <c r="E183" s="3" t="s">
        <v>300</v>
      </c>
    </row>
    <row r="184" spans="1:5" x14ac:dyDescent="0.3">
      <c r="A184" s="3" t="s">
        <v>341</v>
      </c>
      <c r="B184" s="3" t="s">
        <v>12</v>
      </c>
      <c r="C184" s="3" t="s">
        <v>342</v>
      </c>
      <c r="D184" s="3" t="s">
        <v>338</v>
      </c>
      <c r="E184" s="3" t="s">
        <v>300</v>
      </c>
    </row>
    <row r="185" spans="1:5" x14ac:dyDescent="0.3">
      <c r="A185" s="3" t="s">
        <v>343</v>
      </c>
      <c r="B185" s="3" t="s">
        <v>12</v>
      </c>
      <c r="C185" s="3" t="s">
        <v>344</v>
      </c>
      <c r="D185" s="3" t="s">
        <v>342</v>
      </c>
      <c r="E185" s="3" t="s">
        <v>297</v>
      </c>
    </row>
    <row r="186" spans="1:5" x14ac:dyDescent="0.3">
      <c r="A186" s="3" t="s">
        <v>345</v>
      </c>
      <c r="B186" s="3" t="s">
        <v>12</v>
      </c>
      <c r="C186" s="3" t="s">
        <v>342</v>
      </c>
      <c r="D186" s="3" t="s">
        <v>346</v>
      </c>
      <c r="E186" s="3" t="s">
        <v>303</v>
      </c>
    </row>
    <row r="187" spans="1:5" x14ac:dyDescent="0.3">
      <c r="A187" s="3" t="s">
        <v>347</v>
      </c>
      <c r="B187" s="3" t="s">
        <v>12</v>
      </c>
      <c r="C187" s="3" t="s">
        <v>342</v>
      </c>
      <c r="D187" s="3" t="s">
        <v>348</v>
      </c>
      <c r="E187" s="3" t="s">
        <v>300</v>
      </c>
    </row>
    <row r="188" spans="1:5" x14ac:dyDescent="0.3">
      <c r="A188" s="3" t="s">
        <v>349</v>
      </c>
      <c r="B188" s="3" t="s">
        <v>12</v>
      </c>
      <c r="C188" s="3" t="s">
        <v>350</v>
      </c>
      <c r="D188" s="3" t="s">
        <v>351</v>
      </c>
      <c r="E188" s="3" t="s">
        <v>296</v>
      </c>
    </row>
    <row r="189" spans="1:5" x14ac:dyDescent="0.3">
      <c r="A189" s="3" t="s">
        <v>352</v>
      </c>
      <c r="B189" s="3" t="s">
        <v>12</v>
      </c>
      <c r="C189" s="3" t="s">
        <v>353</v>
      </c>
      <c r="D189" s="3" t="s">
        <v>351</v>
      </c>
      <c r="E189" s="3" t="s">
        <v>309</v>
      </c>
    </row>
    <row r="190" spans="1:5" x14ac:dyDescent="0.3">
      <c r="A190" s="3" t="s">
        <v>354</v>
      </c>
      <c r="B190" s="3" t="s">
        <v>12</v>
      </c>
      <c r="C190" s="3" t="s">
        <v>355</v>
      </c>
      <c r="D190" s="3" t="s">
        <v>342</v>
      </c>
      <c r="E190" s="3" t="s">
        <v>300</v>
      </c>
    </row>
    <row r="191" spans="1:5" x14ac:dyDescent="0.3">
      <c r="A191" s="3" t="s">
        <v>356</v>
      </c>
      <c r="B191" s="3" t="s">
        <v>12</v>
      </c>
      <c r="C191" s="3" t="s">
        <v>357</v>
      </c>
      <c r="D191" s="3" t="s">
        <v>348</v>
      </c>
      <c r="E191" s="3" t="s">
        <v>297</v>
      </c>
    </row>
    <row r="192" spans="1:5" x14ac:dyDescent="0.3">
      <c r="A192" s="3" t="s">
        <v>358</v>
      </c>
      <c r="B192" s="3" t="s">
        <v>12</v>
      </c>
      <c r="C192" s="3" t="s">
        <v>350</v>
      </c>
      <c r="D192" s="3" t="s">
        <v>344</v>
      </c>
      <c r="E192" s="3" t="s">
        <v>359</v>
      </c>
    </row>
    <row r="193" spans="1:5" x14ac:dyDescent="0.3">
      <c r="A193" s="3" t="s">
        <v>360</v>
      </c>
      <c r="B193" s="3" t="s">
        <v>12</v>
      </c>
      <c r="C193" s="3" t="s">
        <v>361</v>
      </c>
      <c r="D193" s="3" t="s">
        <v>348</v>
      </c>
      <c r="E193" s="3" t="s">
        <v>297</v>
      </c>
    </row>
    <row r="194" spans="1:5" x14ac:dyDescent="0.3">
      <c r="A194" s="3" t="s">
        <v>362</v>
      </c>
      <c r="B194" s="3" t="s">
        <v>12</v>
      </c>
      <c r="C194" s="3" t="s">
        <v>348</v>
      </c>
      <c r="D194" s="3" t="s">
        <v>363</v>
      </c>
      <c r="E194" s="3" t="s">
        <v>290</v>
      </c>
    </row>
    <row r="195" spans="1:5" x14ac:dyDescent="0.3">
      <c r="A195" s="3" t="s">
        <v>364</v>
      </c>
      <c r="B195" s="3" t="s">
        <v>12</v>
      </c>
      <c r="C195" s="3" t="s">
        <v>342</v>
      </c>
      <c r="D195" s="3" t="s">
        <v>363</v>
      </c>
      <c r="E195" s="3" t="s">
        <v>302</v>
      </c>
    </row>
    <row r="196" spans="1:5" x14ac:dyDescent="0.3">
      <c r="A196" s="3" t="s">
        <v>365</v>
      </c>
      <c r="B196" s="3" t="s">
        <v>12</v>
      </c>
      <c r="C196" s="3" t="s">
        <v>338</v>
      </c>
      <c r="D196" s="3" t="s">
        <v>366</v>
      </c>
      <c r="E196" s="3" t="s">
        <v>290</v>
      </c>
    </row>
    <row r="197" spans="1:5" x14ac:dyDescent="0.3">
      <c r="A197" s="3" t="s">
        <v>367</v>
      </c>
      <c r="B197" s="3" t="s">
        <v>12</v>
      </c>
      <c r="C197" s="3" t="s">
        <v>340</v>
      </c>
      <c r="D197" s="3" t="s">
        <v>366</v>
      </c>
      <c r="E197" s="3" t="s">
        <v>291</v>
      </c>
    </row>
    <row r="198" spans="1:5" x14ac:dyDescent="0.3">
      <c r="A198" s="3" t="s">
        <v>368</v>
      </c>
      <c r="B198" s="3" t="s">
        <v>12</v>
      </c>
      <c r="C198" s="3" t="s">
        <v>340</v>
      </c>
      <c r="D198" s="3" t="s">
        <v>312</v>
      </c>
      <c r="E198" s="3" t="s">
        <v>287</v>
      </c>
    </row>
    <row r="199" spans="1:5" x14ac:dyDescent="0.3">
      <c r="A199" s="3" t="s">
        <v>369</v>
      </c>
      <c r="B199" s="3" t="s">
        <v>12</v>
      </c>
      <c r="C199" s="3" t="s">
        <v>366</v>
      </c>
      <c r="D199" s="3" t="s">
        <v>312</v>
      </c>
      <c r="E199" s="3" t="s">
        <v>317</v>
      </c>
    </row>
    <row r="200" spans="1:5" x14ac:dyDescent="0.3">
      <c r="A200" s="3" t="s">
        <v>370</v>
      </c>
      <c r="B200" s="3" t="s">
        <v>12</v>
      </c>
      <c r="C200" s="3" t="s">
        <v>313</v>
      </c>
      <c r="D200" s="3" t="s">
        <v>296</v>
      </c>
      <c r="E200" s="3" t="s">
        <v>276</v>
      </c>
    </row>
    <row r="201" spans="1:5" x14ac:dyDescent="0.3">
      <c r="A201" s="3" t="s">
        <v>371</v>
      </c>
      <c r="B201" s="3" t="s">
        <v>12</v>
      </c>
      <c r="C201" s="3" t="s">
        <v>309</v>
      </c>
      <c r="D201" s="3" t="s">
        <v>296</v>
      </c>
      <c r="E201" s="3" t="s">
        <v>271</v>
      </c>
    </row>
    <row r="202" spans="1:5" x14ac:dyDescent="0.3">
      <c r="A202" s="3" t="s">
        <v>372</v>
      </c>
      <c r="B202" s="3" t="s">
        <v>12</v>
      </c>
      <c r="C202" s="3" t="s">
        <v>306</v>
      </c>
      <c r="D202" s="3" t="s">
        <v>359</v>
      </c>
      <c r="E202" s="3" t="s">
        <v>271</v>
      </c>
    </row>
    <row r="203" spans="1:5" x14ac:dyDescent="0.3">
      <c r="A203" s="3" t="s">
        <v>373</v>
      </c>
      <c r="B203" s="3" t="s">
        <v>12</v>
      </c>
      <c r="C203" s="3" t="s">
        <v>309</v>
      </c>
      <c r="D203" s="3" t="s">
        <v>296</v>
      </c>
      <c r="E203" s="3" t="s">
        <v>272</v>
      </c>
    </row>
    <row r="204" spans="1:5" x14ac:dyDescent="0.3">
      <c r="A204" s="3" t="s">
        <v>374</v>
      </c>
      <c r="B204" s="3" t="s">
        <v>12</v>
      </c>
      <c r="C204" s="3" t="s">
        <v>308</v>
      </c>
      <c r="D204" s="3" t="s">
        <v>296</v>
      </c>
      <c r="E204" s="3" t="s">
        <v>271</v>
      </c>
    </row>
    <row r="205" spans="1:5" x14ac:dyDescent="0.3">
      <c r="A205" s="3" t="s">
        <v>375</v>
      </c>
      <c r="B205" s="3" t="s">
        <v>12</v>
      </c>
      <c r="C205" s="3" t="s">
        <v>329</v>
      </c>
      <c r="D205" s="3" t="s">
        <v>359</v>
      </c>
      <c r="E205" s="3" t="s">
        <v>268</v>
      </c>
    </row>
    <row r="206" spans="1:5" x14ac:dyDescent="0.3">
      <c r="A206" s="3" t="s">
        <v>376</v>
      </c>
      <c r="B206" s="3" t="s">
        <v>12</v>
      </c>
      <c r="C206" s="3" t="s">
        <v>308</v>
      </c>
      <c r="D206" s="3" t="s">
        <v>296</v>
      </c>
      <c r="E206" s="3" t="s">
        <v>272</v>
      </c>
    </row>
    <row r="207" spans="1:5" x14ac:dyDescent="0.3">
      <c r="A207" s="3" t="s">
        <v>377</v>
      </c>
      <c r="B207" s="3" t="s">
        <v>12</v>
      </c>
      <c r="C207" s="3" t="s">
        <v>313</v>
      </c>
      <c r="D207" s="3" t="s">
        <v>321</v>
      </c>
      <c r="E207" s="3" t="s">
        <v>268</v>
      </c>
    </row>
    <row r="208" spans="1:5" x14ac:dyDescent="0.3">
      <c r="A208" s="3" t="s">
        <v>378</v>
      </c>
      <c r="B208" s="3" t="s">
        <v>12</v>
      </c>
      <c r="C208" s="3" t="s">
        <v>308</v>
      </c>
      <c r="D208" s="3" t="s">
        <v>321</v>
      </c>
      <c r="E208" s="3" t="s">
        <v>272</v>
      </c>
    </row>
    <row r="209" spans="1:5" x14ac:dyDescent="0.3">
      <c r="A209" s="3" t="s">
        <v>379</v>
      </c>
      <c r="B209" s="3" t="s">
        <v>12</v>
      </c>
      <c r="C209" s="3" t="s">
        <v>313</v>
      </c>
      <c r="D209" s="3" t="s">
        <v>321</v>
      </c>
      <c r="E209" s="3" t="s">
        <v>272</v>
      </c>
    </row>
    <row r="210" spans="1:5" x14ac:dyDescent="0.3">
      <c r="A210" s="3" t="s">
        <v>380</v>
      </c>
      <c r="B210" s="3" t="s">
        <v>12</v>
      </c>
      <c r="C210" s="3" t="s">
        <v>329</v>
      </c>
      <c r="D210" s="3" t="s">
        <v>300</v>
      </c>
      <c r="E210" s="3" t="s">
        <v>381</v>
      </c>
    </row>
    <row r="211" spans="1:5" x14ac:dyDescent="0.3">
      <c r="A211" s="3" t="s">
        <v>382</v>
      </c>
      <c r="B211" s="3" t="s">
        <v>12</v>
      </c>
      <c r="C211" s="3" t="s">
        <v>309</v>
      </c>
      <c r="D211" s="3" t="s">
        <v>300</v>
      </c>
      <c r="E211" s="3" t="s">
        <v>254</v>
      </c>
    </row>
    <row r="212" spans="1:5" x14ac:dyDescent="0.3">
      <c r="A212" s="3" t="s">
        <v>383</v>
      </c>
      <c r="B212" s="3" t="s">
        <v>12</v>
      </c>
      <c r="C212" s="3" t="s">
        <v>308</v>
      </c>
      <c r="D212" s="3" t="s">
        <v>359</v>
      </c>
      <c r="E212" s="3" t="s">
        <v>268</v>
      </c>
    </row>
    <row r="213" spans="1:5" x14ac:dyDescent="0.3">
      <c r="A213" s="3" t="s">
        <v>384</v>
      </c>
      <c r="B213" s="3" t="s">
        <v>12</v>
      </c>
      <c r="C213" s="3" t="s">
        <v>319</v>
      </c>
      <c r="D213" s="3" t="s">
        <v>329</v>
      </c>
      <c r="E213" s="3" t="s">
        <v>293</v>
      </c>
    </row>
    <row r="214" spans="1:5" x14ac:dyDescent="0.3">
      <c r="A214" s="3" t="s">
        <v>385</v>
      </c>
      <c r="B214" s="3" t="s">
        <v>12</v>
      </c>
      <c r="C214" s="3" t="s">
        <v>336</v>
      </c>
      <c r="D214" s="3" t="s">
        <v>329</v>
      </c>
      <c r="E214" s="3" t="s">
        <v>285</v>
      </c>
    </row>
    <row r="215" spans="1:5" x14ac:dyDescent="0.3">
      <c r="A215" s="3" t="s">
        <v>386</v>
      </c>
      <c r="B215" s="3" t="s">
        <v>12</v>
      </c>
      <c r="C215" s="3" t="s">
        <v>336</v>
      </c>
      <c r="D215" s="3" t="s">
        <v>306</v>
      </c>
      <c r="E215" s="3" t="s">
        <v>278</v>
      </c>
    </row>
    <row r="216" spans="1:5" x14ac:dyDescent="0.3">
      <c r="A216" s="3" t="s">
        <v>387</v>
      </c>
      <c r="B216" s="3" t="s">
        <v>12</v>
      </c>
      <c r="C216" s="3" t="s">
        <v>333</v>
      </c>
      <c r="D216" s="3" t="s">
        <v>308</v>
      </c>
      <c r="E216" s="3" t="s">
        <v>281</v>
      </c>
    </row>
    <row r="217" spans="1:5" x14ac:dyDescent="0.3">
      <c r="A217" s="3" t="s">
        <v>388</v>
      </c>
      <c r="B217" s="3" t="s">
        <v>12</v>
      </c>
      <c r="C217" s="3" t="s">
        <v>336</v>
      </c>
      <c r="D217" s="3" t="s">
        <v>313</v>
      </c>
      <c r="E217" s="3" t="s">
        <v>285</v>
      </c>
    </row>
    <row r="218" spans="1:5" x14ac:dyDescent="0.3">
      <c r="A218" s="3" t="s">
        <v>389</v>
      </c>
      <c r="B218" s="3" t="s">
        <v>12</v>
      </c>
      <c r="C218" s="3" t="s">
        <v>366</v>
      </c>
      <c r="D218" s="3" t="s">
        <v>316</v>
      </c>
      <c r="E218" s="3" t="s">
        <v>310</v>
      </c>
    </row>
    <row r="219" spans="1:5" x14ac:dyDescent="0.3">
      <c r="A219" s="3" t="s">
        <v>390</v>
      </c>
      <c r="B219" s="3" t="s">
        <v>12</v>
      </c>
      <c r="C219" s="3" t="s">
        <v>312</v>
      </c>
      <c r="D219" s="3" t="s">
        <v>296</v>
      </c>
      <c r="E219" s="3" t="s">
        <v>283</v>
      </c>
    </row>
    <row r="220" spans="1:5" x14ac:dyDescent="0.3">
      <c r="A220" s="3" t="s">
        <v>391</v>
      </c>
      <c r="B220" s="3" t="s">
        <v>12</v>
      </c>
      <c r="C220" s="3" t="s">
        <v>308</v>
      </c>
      <c r="D220" s="3" t="s">
        <v>297</v>
      </c>
      <c r="E220" s="3" t="s">
        <v>257</v>
      </c>
    </row>
    <row r="221" spans="1:5" x14ac:dyDescent="0.3">
      <c r="A221" s="3" t="s">
        <v>392</v>
      </c>
      <c r="B221" s="3" t="s">
        <v>12</v>
      </c>
      <c r="C221" s="3" t="s">
        <v>302</v>
      </c>
      <c r="D221" s="3" t="s">
        <v>310</v>
      </c>
      <c r="E221" s="3" t="s">
        <v>393</v>
      </c>
    </row>
    <row r="222" spans="1:5" x14ac:dyDescent="0.3">
      <c r="A222" s="3" t="s">
        <v>394</v>
      </c>
      <c r="B222" s="3" t="s">
        <v>12</v>
      </c>
      <c r="C222" s="3" t="s">
        <v>268</v>
      </c>
      <c r="D222" s="3" t="s">
        <v>258</v>
      </c>
      <c r="E222" s="3" t="s">
        <v>117</v>
      </c>
    </row>
    <row r="223" spans="1:5" x14ac:dyDescent="0.3">
      <c r="A223" s="3" t="s">
        <v>395</v>
      </c>
      <c r="B223" s="3" t="s">
        <v>12</v>
      </c>
      <c r="C223" s="3" t="s">
        <v>268</v>
      </c>
      <c r="D223" s="3" t="s">
        <v>255</v>
      </c>
      <c r="E223" s="3" t="s">
        <v>193</v>
      </c>
    </row>
    <row r="224" spans="1:5" x14ac:dyDescent="0.3">
      <c r="A224" s="3" t="s">
        <v>396</v>
      </c>
      <c r="B224" s="3" t="s">
        <v>12</v>
      </c>
      <c r="C224" s="3" t="s">
        <v>258</v>
      </c>
      <c r="D224" s="3" t="s">
        <v>243</v>
      </c>
      <c r="E224" s="3" t="s">
        <v>216</v>
      </c>
    </row>
    <row r="225" spans="1:5" x14ac:dyDescent="0.3">
      <c r="A225" s="3" t="s">
        <v>397</v>
      </c>
      <c r="B225" s="3" t="s">
        <v>12</v>
      </c>
      <c r="C225" s="3" t="s">
        <v>398</v>
      </c>
      <c r="D225" s="3" t="s">
        <v>246</v>
      </c>
      <c r="E225" s="3" t="s">
        <v>195</v>
      </c>
    </row>
    <row r="226" spans="1:5" x14ac:dyDescent="0.3">
      <c r="A226" s="3" t="s">
        <v>399</v>
      </c>
      <c r="B226" s="3" t="s">
        <v>12</v>
      </c>
      <c r="C226" s="3" t="s">
        <v>281</v>
      </c>
      <c r="D226" s="3" t="s">
        <v>271</v>
      </c>
      <c r="E226" s="3" t="s">
        <v>400</v>
      </c>
    </row>
    <row r="227" spans="1:5" x14ac:dyDescent="0.3">
      <c r="A227" s="3" t="s">
        <v>401</v>
      </c>
      <c r="B227" s="3" t="s">
        <v>12</v>
      </c>
      <c r="C227" s="3" t="s">
        <v>317</v>
      </c>
      <c r="D227" s="3" t="s">
        <v>278</v>
      </c>
      <c r="E227" s="3" t="s">
        <v>241</v>
      </c>
    </row>
    <row r="228" spans="1:5" x14ac:dyDescent="0.3">
      <c r="A228" s="3" t="s">
        <v>402</v>
      </c>
      <c r="B228" s="3" t="s">
        <v>12</v>
      </c>
      <c r="C228" s="3" t="s">
        <v>290</v>
      </c>
      <c r="D228" s="3" t="s">
        <v>310</v>
      </c>
      <c r="E228" s="3" t="s">
        <v>243</v>
      </c>
    </row>
    <row r="229" spans="1:5" x14ac:dyDescent="0.3">
      <c r="A229" s="3" t="s">
        <v>403</v>
      </c>
      <c r="B229" s="3" t="s">
        <v>12</v>
      </c>
      <c r="C229" s="3" t="s">
        <v>290</v>
      </c>
      <c r="D229" s="3" t="s">
        <v>276</v>
      </c>
      <c r="E229" s="3" t="s">
        <v>264</v>
      </c>
    </row>
    <row r="230" spans="1:5" x14ac:dyDescent="0.3">
      <c r="A230" s="3" t="s">
        <v>404</v>
      </c>
      <c r="B230" s="3" t="s">
        <v>12</v>
      </c>
      <c r="C230" s="3" t="s">
        <v>278</v>
      </c>
      <c r="D230" s="3" t="s">
        <v>274</v>
      </c>
      <c r="E230" s="3" t="s">
        <v>238</v>
      </c>
    </row>
    <row r="231" spans="1:5" x14ac:dyDescent="0.3">
      <c r="A231" s="3" t="s">
        <v>405</v>
      </c>
      <c r="B231" s="3" t="s">
        <v>12</v>
      </c>
      <c r="C231" s="3" t="s">
        <v>310</v>
      </c>
      <c r="D231" s="3" t="s">
        <v>283</v>
      </c>
      <c r="E231" s="3" t="s">
        <v>249</v>
      </c>
    </row>
    <row r="232" spans="1:5" x14ac:dyDescent="0.3">
      <c r="A232" s="3" t="s">
        <v>406</v>
      </c>
      <c r="B232" s="3" t="s">
        <v>12</v>
      </c>
      <c r="C232" s="3" t="s">
        <v>310</v>
      </c>
      <c r="D232" s="3" t="s">
        <v>283</v>
      </c>
      <c r="E232" s="3" t="s">
        <v>249</v>
      </c>
    </row>
    <row r="233" spans="1:5" x14ac:dyDescent="0.3">
      <c r="A233" s="3" t="s">
        <v>407</v>
      </c>
      <c r="B233" s="3" t="s">
        <v>12</v>
      </c>
      <c r="C233" s="3" t="s">
        <v>310</v>
      </c>
      <c r="D233" s="3" t="s">
        <v>283</v>
      </c>
      <c r="E233" s="3" t="s">
        <v>266</v>
      </c>
    </row>
    <row r="234" spans="1:5" x14ac:dyDescent="0.3">
      <c r="A234" s="3" t="s">
        <v>408</v>
      </c>
      <c r="B234" s="3" t="s">
        <v>12</v>
      </c>
      <c r="C234" s="3" t="s">
        <v>314</v>
      </c>
      <c r="D234" s="3" t="s">
        <v>276</v>
      </c>
      <c r="E234" s="3" t="s">
        <v>238</v>
      </c>
    </row>
    <row r="235" spans="1:5" x14ac:dyDescent="0.3">
      <c r="A235" s="3" t="s">
        <v>409</v>
      </c>
      <c r="B235" s="3" t="s">
        <v>12</v>
      </c>
      <c r="C235" s="3" t="s">
        <v>317</v>
      </c>
      <c r="D235" s="3" t="s">
        <v>285</v>
      </c>
      <c r="E235" s="3" t="s">
        <v>241</v>
      </c>
    </row>
    <row r="236" spans="1:5" x14ac:dyDescent="0.3">
      <c r="A236" s="3" t="s">
        <v>410</v>
      </c>
      <c r="B236" s="3" t="s">
        <v>12</v>
      </c>
      <c r="C236" s="3" t="s">
        <v>290</v>
      </c>
      <c r="D236" s="3" t="s">
        <v>317</v>
      </c>
      <c r="E236" s="3" t="s">
        <v>252</v>
      </c>
    </row>
    <row r="237" spans="1:5" x14ac:dyDescent="0.3">
      <c r="A237" s="3" t="s">
        <v>411</v>
      </c>
      <c r="B237" s="3" t="s">
        <v>12</v>
      </c>
      <c r="C237" s="3" t="s">
        <v>290</v>
      </c>
      <c r="D237" s="3" t="s">
        <v>293</v>
      </c>
      <c r="E237" s="3" t="s">
        <v>251</v>
      </c>
    </row>
    <row r="238" spans="1:5" x14ac:dyDescent="0.3">
      <c r="A238" s="3" t="s">
        <v>412</v>
      </c>
      <c r="B238" s="3" t="s">
        <v>12</v>
      </c>
      <c r="C238" s="3" t="s">
        <v>296</v>
      </c>
      <c r="D238" s="3" t="s">
        <v>300</v>
      </c>
      <c r="E238" s="3" t="s">
        <v>258</v>
      </c>
    </row>
    <row r="239" spans="1:5" x14ac:dyDescent="0.3">
      <c r="A239" s="3" t="s">
        <v>413</v>
      </c>
      <c r="B239" s="3" t="s">
        <v>12</v>
      </c>
      <c r="C239" s="3" t="s">
        <v>319</v>
      </c>
      <c r="D239" s="3" t="s">
        <v>329</v>
      </c>
      <c r="E239" s="3" t="s">
        <v>274</v>
      </c>
    </row>
    <row r="240" spans="1:5" x14ac:dyDescent="0.3">
      <c r="A240" s="3" t="s">
        <v>414</v>
      </c>
      <c r="B240" s="3" t="s">
        <v>12</v>
      </c>
      <c r="C240" s="3" t="s">
        <v>312</v>
      </c>
      <c r="D240" s="3" t="s">
        <v>308</v>
      </c>
      <c r="E240" s="3" t="s">
        <v>278</v>
      </c>
    </row>
    <row r="241" spans="1:5" x14ac:dyDescent="0.3">
      <c r="A241" s="3" t="s">
        <v>415</v>
      </c>
      <c r="B241" s="3" t="s">
        <v>12</v>
      </c>
      <c r="C241" s="3" t="s">
        <v>309</v>
      </c>
      <c r="D241" s="3" t="s">
        <v>300</v>
      </c>
      <c r="E241" s="3" t="s">
        <v>283</v>
      </c>
    </row>
    <row r="242" spans="1:5" x14ac:dyDescent="0.3">
      <c r="A242" s="3" t="s">
        <v>416</v>
      </c>
      <c r="B242" s="3" t="s">
        <v>12</v>
      </c>
      <c r="C242" s="3" t="s">
        <v>296</v>
      </c>
      <c r="D242" s="3" t="s">
        <v>297</v>
      </c>
      <c r="E242" s="3" t="s">
        <v>272</v>
      </c>
    </row>
    <row r="243" spans="1:5" x14ac:dyDescent="0.3">
      <c r="A243" s="3" t="s">
        <v>417</v>
      </c>
      <c r="B243" s="3" t="s">
        <v>12</v>
      </c>
      <c r="C243" s="3" t="s">
        <v>329</v>
      </c>
      <c r="D243" s="3" t="s">
        <v>359</v>
      </c>
      <c r="E243" s="3" t="s">
        <v>268</v>
      </c>
    </row>
    <row r="244" spans="1:5" x14ac:dyDescent="0.3">
      <c r="A244" s="3" t="s">
        <v>418</v>
      </c>
      <c r="B244" s="3" t="s">
        <v>12</v>
      </c>
      <c r="C244" s="3" t="s">
        <v>308</v>
      </c>
      <c r="D244" s="3" t="s">
        <v>296</v>
      </c>
      <c r="E244" s="3" t="s">
        <v>274</v>
      </c>
    </row>
    <row r="245" spans="1:5" x14ac:dyDescent="0.3">
      <c r="A245" s="3" t="s">
        <v>419</v>
      </c>
      <c r="B245" s="3" t="s">
        <v>12</v>
      </c>
      <c r="C245" s="3" t="s">
        <v>329</v>
      </c>
      <c r="D245" s="3" t="s">
        <v>300</v>
      </c>
      <c r="E245" s="3" t="s">
        <v>276</v>
      </c>
    </row>
    <row r="246" spans="1:5" x14ac:dyDescent="0.3">
      <c r="A246" s="3" t="s">
        <v>420</v>
      </c>
      <c r="B246" s="3" t="s">
        <v>12</v>
      </c>
      <c r="C246" s="3" t="s">
        <v>321</v>
      </c>
      <c r="D246" s="3" t="s">
        <v>303</v>
      </c>
      <c r="E246" s="3" t="s">
        <v>271</v>
      </c>
    </row>
    <row r="247" spans="1:5" x14ac:dyDescent="0.3">
      <c r="A247" s="3" t="s">
        <v>421</v>
      </c>
      <c r="B247" s="3" t="s">
        <v>12</v>
      </c>
      <c r="C247" s="3" t="s">
        <v>303</v>
      </c>
      <c r="D247" s="3" t="s">
        <v>293</v>
      </c>
      <c r="E247" s="3" t="s">
        <v>257</v>
      </c>
    </row>
    <row r="248" spans="1:5" x14ac:dyDescent="0.3">
      <c r="A248" s="3" t="s">
        <v>422</v>
      </c>
      <c r="B248" s="3" t="s">
        <v>12</v>
      </c>
      <c r="C248" s="3" t="s">
        <v>287</v>
      </c>
      <c r="D248" s="3" t="s">
        <v>278</v>
      </c>
      <c r="E248" s="3" t="s">
        <v>264</v>
      </c>
    </row>
    <row r="249" spans="1:5" x14ac:dyDescent="0.3">
      <c r="A249" s="3" t="s">
        <v>423</v>
      </c>
      <c r="B249" s="3" t="s">
        <v>12</v>
      </c>
      <c r="C249" s="3" t="s">
        <v>293</v>
      </c>
      <c r="D249" s="3" t="s">
        <v>278</v>
      </c>
      <c r="E249" s="3" t="s">
        <v>238</v>
      </c>
    </row>
    <row r="250" spans="1:5" x14ac:dyDescent="0.3">
      <c r="A250" s="3" t="s">
        <v>424</v>
      </c>
      <c r="B250" s="3" t="s">
        <v>12</v>
      </c>
      <c r="C250" s="3" t="s">
        <v>297</v>
      </c>
      <c r="D250" s="3" t="s">
        <v>290</v>
      </c>
      <c r="E250" s="3" t="s">
        <v>258</v>
      </c>
    </row>
    <row r="251" spans="1:5" x14ac:dyDescent="0.3">
      <c r="A251" s="3" t="s">
        <v>425</v>
      </c>
      <c r="B251" s="3" t="s">
        <v>12</v>
      </c>
      <c r="C251" s="3" t="s">
        <v>306</v>
      </c>
      <c r="D251" s="3" t="s">
        <v>359</v>
      </c>
      <c r="E251" s="3" t="s">
        <v>274</v>
      </c>
    </row>
    <row r="252" spans="1:5" x14ac:dyDescent="0.3">
      <c r="A252" s="3" t="s">
        <v>426</v>
      </c>
      <c r="B252" s="3" t="s">
        <v>12</v>
      </c>
      <c r="C252" s="3" t="s">
        <v>329</v>
      </c>
      <c r="D252" s="3" t="s">
        <v>300</v>
      </c>
      <c r="E252" s="3" t="s">
        <v>398</v>
      </c>
    </row>
    <row r="253" spans="1:5" x14ac:dyDescent="0.3">
      <c r="A253" s="3" t="s">
        <v>427</v>
      </c>
      <c r="B253" s="3" t="s">
        <v>12</v>
      </c>
      <c r="C253" s="3" t="s">
        <v>316</v>
      </c>
      <c r="D253" s="3" t="s">
        <v>306</v>
      </c>
      <c r="E253" s="3" t="s">
        <v>271</v>
      </c>
    </row>
    <row r="254" spans="1:5" x14ac:dyDescent="0.3">
      <c r="A254" s="3" t="s">
        <v>428</v>
      </c>
      <c r="B254" s="3" t="s">
        <v>12</v>
      </c>
      <c r="C254" s="3" t="s">
        <v>336</v>
      </c>
      <c r="D254" s="3" t="s">
        <v>313</v>
      </c>
      <c r="E254" s="3" t="s">
        <v>285</v>
      </c>
    </row>
    <row r="255" spans="1:5" x14ac:dyDescent="0.3">
      <c r="A255" s="3" t="s">
        <v>429</v>
      </c>
      <c r="B255" s="3" t="s">
        <v>12</v>
      </c>
      <c r="C255" s="3" t="s">
        <v>346</v>
      </c>
      <c r="D255" s="3" t="s">
        <v>312</v>
      </c>
      <c r="E255" s="3" t="s">
        <v>314</v>
      </c>
    </row>
    <row r="256" spans="1:5" x14ac:dyDescent="0.3">
      <c r="A256" s="3" t="s">
        <v>430</v>
      </c>
      <c r="B256" s="3" t="s">
        <v>12</v>
      </c>
      <c r="C256" s="3" t="s">
        <v>348</v>
      </c>
      <c r="D256" s="3" t="s">
        <v>340</v>
      </c>
      <c r="E256" s="3" t="s">
        <v>287</v>
      </c>
    </row>
    <row r="257" spans="1:5" x14ac:dyDescent="0.3">
      <c r="A257" s="3" t="s">
        <v>431</v>
      </c>
      <c r="B257" s="3" t="s">
        <v>12</v>
      </c>
      <c r="C257" s="3" t="s">
        <v>346</v>
      </c>
      <c r="D257" s="3" t="s">
        <v>336</v>
      </c>
      <c r="E257" s="3" t="s">
        <v>317</v>
      </c>
    </row>
    <row r="258" spans="1:5" x14ac:dyDescent="0.3">
      <c r="A258" s="3" t="s">
        <v>432</v>
      </c>
      <c r="B258" s="3" t="s">
        <v>12</v>
      </c>
      <c r="C258" s="3" t="s">
        <v>338</v>
      </c>
      <c r="D258" s="3" t="s">
        <v>333</v>
      </c>
      <c r="E258" s="3" t="s">
        <v>288</v>
      </c>
    </row>
    <row r="259" spans="1:5" x14ac:dyDescent="0.3">
      <c r="A259" s="3" t="s">
        <v>433</v>
      </c>
      <c r="B259" s="3" t="s">
        <v>12</v>
      </c>
      <c r="C259" s="3" t="s">
        <v>348</v>
      </c>
      <c r="D259" s="3" t="s">
        <v>319</v>
      </c>
      <c r="E259" s="3" t="s">
        <v>314</v>
      </c>
    </row>
    <row r="260" spans="1:5" x14ac:dyDescent="0.3">
      <c r="A260" s="3" t="s">
        <v>434</v>
      </c>
      <c r="B260" s="3" t="s">
        <v>12</v>
      </c>
      <c r="C260" s="3" t="s">
        <v>361</v>
      </c>
      <c r="D260" s="3" t="s">
        <v>340</v>
      </c>
      <c r="E260" s="3" t="s">
        <v>290</v>
      </c>
    </row>
    <row r="261" spans="1:5" x14ac:dyDescent="0.3">
      <c r="A261" s="3" t="s">
        <v>435</v>
      </c>
      <c r="B261" s="3" t="s">
        <v>12</v>
      </c>
      <c r="C261" s="3" t="s">
        <v>436</v>
      </c>
      <c r="D261" s="3" t="s">
        <v>350</v>
      </c>
      <c r="E261" s="3" t="s">
        <v>321</v>
      </c>
    </row>
    <row r="262" spans="1:5" x14ac:dyDescent="0.3">
      <c r="A262" s="3" t="s">
        <v>437</v>
      </c>
      <c r="B262" s="3" t="s">
        <v>12</v>
      </c>
      <c r="C262" s="3" t="s">
        <v>438</v>
      </c>
      <c r="D262" s="3" t="s">
        <v>350</v>
      </c>
      <c r="E262" s="3" t="s">
        <v>306</v>
      </c>
    </row>
    <row r="263" spans="1:5" x14ac:dyDescent="0.3">
      <c r="A263" s="3" t="s">
        <v>439</v>
      </c>
      <c r="B263" s="3" t="s">
        <v>12</v>
      </c>
      <c r="C263" s="3" t="s">
        <v>440</v>
      </c>
      <c r="D263" s="3" t="s">
        <v>441</v>
      </c>
      <c r="E263" s="3" t="s">
        <v>313</v>
      </c>
    </row>
    <row r="264" spans="1:5" x14ac:dyDescent="0.3">
      <c r="A264" s="3" t="s">
        <v>442</v>
      </c>
      <c r="B264" s="3" t="s">
        <v>12</v>
      </c>
      <c r="C264" s="3" t="s">
        <v>443</v>
      </c>
      <c r="D264" s="3" t="s">
        <v>444</v>
      </c>
      <c r="E264" s="3" t="s">
        <v>366</v>
      </c>
    </row>
    <row r="265" spans="1:5" x14ac:dyDescent="0.3">
      <c r="A265" s="3" t="s">
        <v>445</v>
      </c>
      <c r="B265" s="3" t="s">
        <v>12</v>
      </c>
      <c r="C265" s="3" t="s">
        <v>446</v>
      </c>
      <c r="D265" s="3" t="s">
        <v>436</v>
      </c>
      <c r="E265" s="3" t="s">
        <v>335</v>
      </c>
    </row>
    <row r="266" spans="1:5" x14ac:dyDescent="0.3">
      <c r="A266" s="3" t="s">
        <v>447</v>
      </c>
      <c r="B266" s="3" t="s">
        <v>12</v>
      </c>
      <c r="C266" s="3" t="s">
        <v>448</v>
      </c>
      <c r="D266" s="3" t="s">
        <v>449</v>
      </c>
      <c r="E266" s="3" t="s">
        <v>333</v>
      </c>
    </row>
    <row r="267" spans="1:5" x14ac:dyDescent="0.3">
      <c r="A267" s="3" t="s">
        <v>450</v>
      </c>
      <c r="B267" s="3" t="s">
        <v>12</v>
      </c>
      <c r="C267" s="3" t="s">
        <v>446</v>
      </c>
      <c r="D267" s="3" t="s">
        <v>451</v>
      </c>
      <c r="E267" s="3" t="s">
        <v>313</v>
      </c>
    </row>
  </sheetData>
  <mergeCells count="1"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971F4-2B98-4417-8286-1A9B56646557}">
  <dimension ref="A1:E267"/>
  <sheetViews>
    <sheetView topLeftCell="A2" workbookViewId="0">
      <selection activeCell="A6" sqref="A6:C267"/>
    </sheetView>
  </sheetViews>
  <sheetFormatPr baseColWidth="10" defaultColWidth="8.77734375" defaultRowHeight="14.4" x14ac:dyDescent="0.3"/>
  <cols>
    <col min="1" max="1" width="24.5546875" style="4" bestFit="1" customWidth="1"/>
    <col min="2" max="2" width="11.77734375" style="4" bestFit="1" customWidth="1"/>
    <col min="3" max="5" width="12.21875" style="4" bestFit="1" customWidth="1"/>
    <col min="6" max="16384" width="8.77734375" style="4"/>
  </cols>
  <sheetData>
    <row r="1" spans="1:5" x14ac:dyDescent="0.3">
      <c r="A1" s="4" t="s">
        <v>0</v>
      </c>
    </row>
    <row r="2" spans="1:5" ht="18" x14ac:dyDescent="0.35">
      <c r="A2" s="7" t="s">
        <v>532</v>
      </c>
    </row>
    <row r="4" spans="1:5" ht="105" customHeight="1" x14ac:dyDescent="0.3">
      <c r="A4" s="12" t="s">
        <v>2</v>
      </c>
      <c r="B4" s="13"/>
      <c r="C4" s="13"/>
      <c r="D4" s="13"/>
      <c r="E4" s="13"/>
    </row>
    <row r="6" spans="1:5" x14ac:dyDescent="0.3">
      <c r="A6" s="6" t="s">
        <v>3</v>
      </c>
      <c r="B6" s="6" t="s">
        <v>531</v>
      </c>
      <c r="C6" s="6" t="s">
        <v>530</v>
      </c>
      <c r="D6" s="6" t="s">
        <v>529</v>
      </c>
      <c r="E6" s="6" t="s">
        <v>528</v>
      </c>
    </row>
    <row r="7" spans="1:5" x14ac:dyDescent="0.3">
      <c r="A7" s="5" t="s">
        <v>8</v>
      </c>
      <c r="B7" s="5" t="s">
        <v>510</v>
      </c>
      <c r="C7" s="5" t="s">
        <v>497</v>
      </c>
      <c r="D7" s="5" t="s">
        <v>513</v>
      </c>
      <c r="E7" s="5" t="s">
        <v>527</v>
      </c>
    </row>
    <row r="8" spans="1:5" x14ac:dyDescent="0.3">
      <c r="A8" s="5" t="s">
        <v>13</v>
      </c>
      <c r="B8" s="5" t="s">
        <v>510</v>
      </c>
      <c r="C8" s="5" t="s">
        <v>511</v>
      </c>
      <c r="D8" s="5" t="s">
        <v>507</v>
      </c>
      <c r="E8" s="5" t="s">
        <v>515</v>
      </c>
    </row>
    <row r="9" spans="1:5" x14ac:dyDescent="0.3">
      <c r="A9" s="5" t="s">
        <v>17</v>
      </c>
      <c r="B9" s="5" t="s">
        <v>510</v>
      </c>
      <c r="C9" s="5" t="s">
        <v>508</v>
      </c>
      <c r="D9" s="5" t="s">
        <v>487</v>
      </c>
      <c r="E9" s="5" t="s">
        <v>522</v>
      </c>
    </row>
    <row r="10" spans="1:5" x14ac:dyDescent="0.3">
      <c r="A10" s="5" t="s">
        <v>21</v>
      </c>
      <c r="B10" s="5" t="s">
        <v>510</v>
      </c>
      <c r="C10" s="5" t="s">
        <v>492</v>
      </c>
      <c r="D10" s="5" t="s">
        <v>477</v>
      </c>
      <c r="E10" s="5" t="s">
        <v>526</v>
      </c>
    </row>
    <row r="11" spans="1:5" x14ac:dyDescent="0.3">
      <c r="A11" s="5" t="s">
        <v>25</v>
      </c>
      <c r="B11" s="5" t="s">
        <v>510</v>
      </c>
      <c r="C11" s="5" t="s">
        <v>465</v>
      </c>
      <c r="D11" s="5" t="s">
        <v>475</v>
      </c>
      <c r="E11" s="5" t="s">
        <v>525</v>
      </c>
    </row>
    <row r="12" spans="1:5" x14ac:dyDescent="0.3">
      <c r="A12" s="5" t="s">
        <v>27</v>
      </c>
      <c r="B12" s="5" t="s">
        <v>510</v>
      </c>
      <c r="C12" s="5" t="s">
        <v>495</v>
      </c>
      <c r="D12" s="5" t="s">
        <v>511</v>
      </c>
      <c r="E12" s="5" t="s">
        <v>524</v>
      </c>
    </row>
    <row r="13" spans="1:5" x14ac:dyDescent="0.3">
      <c r="A13" s="5" t="s">
        <v>30</v>
      </c>
      <c r="B13" s="5" t="s">
        <v>510</v>
      </c>
      <c r="C13" s="5" t="s">
        <v>505</v>
      </c>
      <c r="D13" s="5" t="s">
        <v>497</v>
      </c>
      <c r="E13" s="5" t="s">
        <v>523</v>
      </c>
    </row>
    <row r="14" spans="1:5" x14ac:dyDescent="0.3">
      <c r="A14" s="5" t="s">
        <v>33</v>
      </c>
      <c r="B14" s="5" t="s">
        <v>510</v>
      </c>
      <c r="C14" s="5" t="s">
        <v>481</v>
      </c>
      <c r="D14" s="5" t="s">
        <v>497</v>
      </c>
      <c r="E14" s="5" t="s">
        <v>522</v>
      </c>
    </row>
    <row r="15" spans="1:5" x14ac:dyDescent="0.3">
      <c r="A15" s="5" t="s">
        <v>37</v>
      </c>
      <c r="B15" s="5" t="s">
        <v>510</v>
      </c>
      <c r="C15" s="5" t="s">
        <v>485</v>
      </c>
      <c r="D15" s="5" t="s">
        <v>512</v>
      </c>
      <c r="E15" s="5" t="s">
        <v>522</v>
      </c>
    </row>
    <row r="16" spans="1:5" x14ac:dyDescent="0.3">
      <c r="A16" s="5" t="s">
        <v>40</v>
      </c>
      <c r="B16" s="5" t="s">
        <v>510</v>
      </c>
      <c r="C16" s="5" t="s">
        <v>499</v>
      </c>
      <c r="D16" s="5" t="s">
        <v>509</v>
      </c>
      <c r="E16" s="5" t="s">
        <v>521</v>
      </c>
    </row>
    <row r="17" spans="1:5" x14ac:dyDescent="0.3">
      <c r="A17" s="5" t="s">
        <v>41</v>
      </c>
      <c r="B17" s="5" t="s">
        <v>510</v>
      </c>
      <c r="C17" s="5" t="s">
        <v>468</v>
      </c>
      <c r="D17" s="5" t="s">
        <v>507</v>
      </c>
      <c r="E17" s="5" t="s">
        <v>520</v>
      </c>
    </row>
    <row r="18" spans="1:5" x14ac:dyDescent="0.3">
      <c r="A18" s="5" t="s">
        <v>43</v>
      </c>
      <c r="B18" s="5" t="s">
        <v>510</v>
      </c>
      <c r="C18" s="5" t="s">
        <v>480</v>
      </c>
      <c r="D18" s="5" t="s">
        <v>501</v>
      </c>
      <c r="E18" s="5" t="s">
        <v>519</v>
      </c>
    </row>
    <row r="19" spans="1:5" x14ac:dyDescent="0.3">
      <c r="A19" s="5" t="s">
        <v>45</v>
      </c>
      <c r="B19" s="5" t="s">
        <v>510</v>
      </c>
      <c r="C19" s="5" t="s">
        <v>478</v>
      </c>
      <c r="D19" s="5" t="s">
        <v>518</v>
      </c>
      <c r="E19" s="5" t="s">
        <v>517</v>
      </c>
    </row>
    <row r="20" spans="1:5" x14ac:dyDescent="0.3">
      <c r="A20" s="5" t="s">
        <v>47</v>
      </c>
      <c r="B20" s="5" t="s">
        <v>510</v>
      </c>
      <c r="C20" s="5" t="s">
        <v>484</v>
      </c>
      <c r="D20" s="5" t="s">
        <v>516</v>
      </c>
      <c r="E20" s="5" t="s">
        <v>515</v>
      </c>
    </row>
    <row r="21" spans="1:5" x14ac:dyDescent="0.3">
      <c r="A21" s="5" t="s">
        <v>50</v>
      </c>
      <c r="B21" s="5" t="s">
        <v>510</v>
      </c>
      <c r="C21" s="5" t="s">
        <v>491</v>
      </c>
      <c r="D21" s="5" t="s">
        <v>494</v>
      </c>
      <c r="E21" s="5" t="s">
        <v>514</v>
      </c>
    </row>
    <row r="22" spans="1:5" x14ac:dyDescent="0.3">
      <c r="A22" s="5" t="s">
        <v>53</v>
      </c>
      <c r="B22" s="5" t="s">
        <v>510</v>
      </c>
      <c r="C22" s="5" t="s">
        <v>476</v>
      </c>
      <c r="D22" s="5" t="s">
        <v>477</v>
      </c>
      <c r="E22" s="5" t="s">
        <v>513</v>
      </c>
    </row>
    <row r="23" spans="1:5" x14ac:dyDescent="0.3">
      <c r="A23" s="5" t="s">
        <v>55</v>
      </c>
      <c r="B23" s="5" t="s">
        <v>510</v>
      </c>
      <c r="C23" s="5" t="s">
        <v>15</v>
      </c>
      <c r="D23" s="5" t="s">
        <v>508</v>
      </c>
      <c r="E23" s="5" t="s">
        <v>512</v>
      </c>
    </row>
    <row r="24" spans="1:5" x14ac:dyDescent="0.3">
      <c r="A24" s="5" t="s">
        <v>59</v>
      </c>
      <c r="B24" s="5" t="s">
        <v>510</v>
      </c>
      <c r="C24" s="5" t="s">
        <v>455</v>
      </c>
      <c r="D24" s="5" t="s">
        <v>495</v>
      </c>
      <c r="E24" s="5" t="s">
        <v>474</v>
      </c>
    </row>
    <row r="25" spans="1:5" x14ac:dyDescent="0.3">
      <c r="A25" s="5" t="s">
        <v>63</v>
      </c>
      <c r="B25" s="5" t="s">
        <v>510</v>
      </c>
      <c r="C25" s="5" t="s">
        <v>19</v>
      </c>
      <c r="D25" s="5" t="s">
        <v>464</v>
      </c>
      <c r="E25" s="5" t="s">
        <v>474</v>
      </c>
    </row>
    <row r="26" spans="1:5" x14ac:dyDescent="0.3">
      <c r="A26" s="5" t="s">
        <v>66</v>
      </c>
      <c r="B26" s="5" t="s">
        <v>510</v>
      </c>
      <c r="C26" s="5" t="s">
        <v>24</v>
      </c>
      <c r="D26" s="5" t="s">
        <v>464</v>
      </c>
      <c r="E26" s="5" t="s">
        <v>511</v>
      </c>
    </row>
    <row r="27" spans="1:5" x14ac:dyDescent="0.3">
      <c r="A27" s="5" t="s">
        <v>70</v>
      </c>
      <c r="B27" s="5" t="s">
        <v>510</v>
      </c>
      <c r="C27" s="5" t="s">
        <v>14</v>
      </c>
      <c r="D27" s="5" t="s">
        <v>466</v>
      </c>
      <c r="E27" s="5" t="s">
        <v>509</v>
      </c>
    </row>
    <row r="28" spans="1:5" x14ac:dyDescent="0.3">
      <c r="A28" s="5" t="s">
        <v>72</v>
      </c>
      <c r="B28" s="5" t="s">
        <v>486</v>
      </c>
      <c r="C28" s="5" t="s">
        <v>35</v>
      </c>
      <c r="D28" s="5" t="s">
        <v>482</v>
      </c>
      <c r="E28" s="5" t="s">
        <v>497</v>
      </c>
    </row>
    <row r="29" spans="1:5" x14ac:dyDescent="0.3">
      <c r="A29" s="5" t="s">
        <v>73</v>
      </c>
      <c r="B29" s="5" t="s">
        <v>486</v>
      </c>
      <c r="C29" s="5" t="s">
        <v>24</v>
      </c>
      <c r="D29" s="5" t="s">
        <v>493</v>
      </c>
      <c r="E29" s="5" t="s">
        <v>497</v>
      </c>
    </row>
    <row r="30" spans="1:5" x14ac:dyDescent="0.3">
      <c r="A30" s="5" t="s">
        <v>76</v>
      </c>
      <c r="B30" s="5" t="s">
        <v>486</v>
      </c>
      <c r="C30" s="5" t="s">
        <v>14</v>
      </c>
      <c r="D30" s="5" t="s">
        <v>493</v>
      </c>
      <c r="E30" s="5" t="s">
        <v>487</v>
      </c>
    </row>
    <row r="31" spans="1:5" x14ac:dyDescent="0.3">
      <c r="A31" s="5" t="s">
        <v>79</v>
      </c>
      <c r="B31" s="5" t="s">
        <v>486</v>
      </c>
      <c r="C31" s="5" t="s">
        <v>19</v>
      </c>
      <c r="D31" s="5" t="s">
        <v>467</v>
      </c>
      <c r="E31" s="5" t="s">
        <v>509</v>
      </c>
    </row>
    <row r="32" spans="1:5" x14ac:dyDescent="0.3">
      <c r="A32" s="5" t="s">
        <v>81</v>
      </c>
      <c r="B32" s="5" t="s">
        <v>486</v>
      </c>
      <c r="C32" s="5" t="s">
        <v>35</v>
      </c>
      <c r="D32" s="5" t="s">
        <v>508</v>
      </c>
      <c r="E32" s="5" t="s">
        <v>507</v>
      </c>
    </row>
    <row r="33" spans="1:5" x14ac:dyDescent="0.3">
      <c r="A33" s="5" t="s">
        <v>82</v>
      </c>
      <c r="B33" s="5" t="s">
        <v>486</v>
      </c>
      <c r="C33" s="5" t="s">
        <v>36</v>
      </c>
      <c r="D33" s="5" t="s">
        <v>505</v>
      </c>
      <c r="E33" s="5" t="s">
        <v>500</v>
      </c>
    </row>
    <row r="34" spans="1:5" x14ac:dyDescent="0.3">
      <c r="A34" s="5" t="s">
        <v>83</v>
      </c>
      <c r="B34" s="5" t="s">
        <v>486</v>
      </c>
      <c r="C34" s="5" t="s">
        <v>456</v>
      </c>
      <c r="D34" s="5" t="s">
        <v>491</v>
      </c>
      <c r="E34" s="5" t="s">
        <v>487</v>
      </c>
    </row>
    <row r="35" spans="1:5" x14ac:dyDescent="0.3">
      <c r="A35" s="5" t="s">
        <v>84</v>
      </c>
      <c r="B35" s="5" t="s">
        <v>486</v>
      </c>
      <c r="C35" s="5" t="s">
        <v>29</v>
      </c>
      <c r="D35" s="5" t="s">
        <v>462</v>
      </c>
      <c r="E35" s="5" t="s">
        <v>474</v>
      </c>
    </row>
    <row r="36" spans="1:5" x14ac:dyDescent="0.3">
      <c r="A36" s="5" t="s">
        <v>86</v>
      </c>
      <c r="B36" s="5" t="s">
        <v>486</v>
      </c>
      <c r="C36" s="5" t="s">
        <v>14</v>
      </c>
      <c r="D36" s="5" t="s">
        <v>461</v>
      </c>
      <c r="E36" s="5" t="s">
        <v>475</v>
      </c>
    </row>
    <row r="37" spans="1:5" x14ac:dyDescent="0.3">
      <c r="A37" s="5" t="s">
        <v>88</v>
      </c>
      <c r="B37" s="5" t="s">
        <v>486</v>
      </c>
      <c r="C37" s="5" t="s">
        <v>457</v>
      </c>
      <c r="D37" s="5" t="s">
        <v>506</v>
      </c>
      <c r="E37" s="5" t="s">
        <v>480</v>
      </c>
    </row>
    <row r="38" spans="1:5" x14ac:dyDescent="0.3">
      <c r="A38" s="5" t="s">
        <v>92</v>
      </c>
      <c r="B38" s="5" t="s">
        <v>486</v>
      </c>
      <c r="C38" s="5" t="s">
        <v>42</v>
      </c>
      <c r="D38" s="5" t="s">
        <v>15</v>
      </c>
      <c r="E38" s="5" t="s">
        <v>485</v>
      </c>
    </row>
    <row r="39" spans="1:5" x14ac:dyDescent="0.3">
      <c r="A39" s="5" t="s">
        <v>95</v>
      </c>
      <c r="B39" s="5" t="s">
        <v>486</v>
      </c>
      <c r="C39" s="5" t="s">
        <v>49</v>
      </c>
      <c r="D39" s="5" t="s">
        <v>463</v>
      </c>
      <c r="E39" s="5" t="s">
        <v>477</v>
      </c>
    </row>
    <row r="40" spans="1:5" x14ac:dyDescent="0.3">
      <c r="A40" s="5" t="s">
        <v>97</v>
      </c>
      <c r="B40" s="5" t="s">
        <v>486</v>
      </c>
      <c r="C40" s="5" t="s">
        <v>29</v>
      </c>
      <c r="D40" s="5" t="s">
        <v>495</v>
      </c>
      <c r="E40" s="5" t="s">
        <v>494</v>
      </c>
    </row>
    <row r="41" spans="1:5" x14ac:dyDescent="0.3">
      <c r="A41" s="5" t="s">
        <v>99</v>
      </c>
      <c r="B41" s="5" t="s">
        <v>486</v>
      </c>
      <c r="C41" s="5" t="s">
        <v>19</v>
      </c>
      <c r="D41" s="5" t="s">
        <v>465</v>
      </c>
      <c r="E41" s="5" t="s">
        <v>488</v>
      </c>
    </row>
    <row r="42" spans="1:5" x14ac:dyDescent="0.3">
      <c r="A42" s="5" t="s">
        <v>100</v>
      </c>
      <c r="B42" s="5" t="s">
        <v>486</v>
      </c>
      <c r="C42" s="5" t="s">
        <v>19</v>
      </c>
      <c r="D42" s="5" t="s">
        <v>492</v>
      </c>
      <c r="E42" s="5" t="s">
        <v>490</v>
      </c>
    </row>
    <row r="43" spans="1:5" x14ac:dyDescent="0.3">
      <c r="A43" s="5" t="s">
        <v>101</v>
      </c>
      <c r="B43" s="5" t="s">
        <v>486</v>
      </c>
      <c r="C43" s="5" t="s">
        <v>14</v>
      </c>
      <c r="D43" s="5" t="s">
        <v>492</v>
      </c>
      <c r="E43" s="5" t="s">
        <v>489</v>
      </c>
    </row>
    <row r="44" spans="1:5" x14ac:dyDescent="0.3">
      <c r="A44" s="5" t="s">
        <v>104</v>
      </c>
      <c r="B44" s="5" t="s">
        <v>486</v>
      </c>
      <c r="C44" s="5" t="s">
        <v>457</v>
      </c>
      <c r="D44" s="5" t="s">
        <v>463</v>
      </c>
      <c r="E44" s="5" t="s">
        <v>471</v>
      </c>
    </row>
    <row r="45" spans="1:5" x14ac:dyDescent="0.3">
      <c r="A45" s="5" t="s">
        <v>108</v>
      </c>
      <c r="B45" s="5" t="s">
        <v>486</v>
      </c>
      <c r="C45" s="5" t="s">
        <v>18</v>
      </c>
      <c r="D45" s="5" t="s">
        <v>463</v>
      </c>
      <c r="E45" s="5" t="s">
        <v>479</v>
      </c>
    </row>
    <row r="46" spans="1:5" x14ac:dyDescent="0.3">
      <c r="A46" s="5" t="s">
        <v>110</v>
      </c>
      <c r="B46" s="5" t="s">
        <v>486</v>
      </c>
      <c r="C46" s="5" t="s">
        <v>26</v>
      </c>
      <c r="D46" s="5" t="s">
        <v>15</v>
      </c>
      <c r="E46" s="5" t="s">
        <v>468</v>
      </c>
    </row>
    <row r="47" spans="1:5" x14ac:dyDescent="0.3">
      <c r="A47" s="5" t="s">
        <v>113</v>
      </c>
      <c r="B47" s="5" t="s">
        <v>486</v>
      </c>
      <c r="C47" s="5" t="s">
        <v>65</v>
      </c>
      <c r="D47" s="5" t="s">
        <v>32</v>
      </c>
      <c r="E47" s="5" t="s">
        <v>505</v>
      </c>
    </row>
    <row r="48" spans="1:5" x14ac:dyDescent="0.3">
      <c r="A48" s="5" t="s">
        <v>116</v>
      </c>
      <c r="B48" s="5" t="s">
        <v>486</v>
      </c>
      <c r="C48" s="5" t="s">
        <v>67</v>
      </c>
      <c r="D48" s="5" t="s">
        <v>26</v>
      </c>
      <c r="E48" s="5" t="s">
        <v>15</v>
      </c>
    </row>
    <row r="49" spans="1:5" x14ac:dyDescent="0.3">
      <c r="A49" s="5" t="s">
        <v>119</v>
      </c>
      <c r="B49" s="5" t="s">
        <v>486</v>
      </c>
      <c r="C49" s="5" t="s">
        <v>91</v>
      </c>
      <c r="D49" s="5" t="s">
        <v>38</v>
      </c>
      <c r="E49" s="5" t="s">
        <v>10</v>
      </c>
    </row>
    <row r="50" spans="1:5" x14ac:dyDescent="0.3">
      <c r="A50" s="5" t="s">
        <v>123</v>
      </c>
      <c r="B50" s="5" t="s">
        <v>486</v>
      </c>
      <c r="C50" s="5" t="s">
        <v>48</v>
      </c>
      <c r="D50" s="5" t="s">
        <v>16</v>
      </c>
      <c r="E50" s="5" t="s">
        <v>468</v>
      </c>
    </row>
    <row r="51" spans="1:5" x14ac:dyDescent="0.3">
      <c r="A51" s="5" t="s">
        <v>126</v>
      </c>
      <c r="B51" s="5" t="s">
        <v>486</v>
      </c>
      <c r="C51" s="5" t="s">
        <v>23</v>
      </c>
      <c r="D51" s="5" t="s">
        <v>464</v>
      </c>
      <c r="E51" s="5" t="s">
        <v>488</v>
      </c>
    </row>
    <row r="52" spans="1:5" x14ac:dyDescent="0.3">
      <c r="A52" s="5" t="s">
        <v>129</v>
      </c>
      <c r="B52" s="5" t="s">
        <v>486</v>
      </c>
      <c r="C52" s="5" t="s">
        <v>14</v>
      </c>
      <c r="D52" s="5" t="s">
        <v>492</v>
      </c>
      <c r="E52" s="5" t="s">
        <v>504</v>
      </c>
    </row>
    <row r="53" spans="1:5" x14ac:dyDescent="0.3">
      <c r="A53" s="5" t="s">
        <v>130</v>
      </c>
      <c r="B53" s="5" t="s">
        <v>486</v>
      </c>
      <c r="C53" s="5" t="s">
        <v>23</v>
      </c>
      <c r="D53" s="5" t="s">
        <v>495</v>
      </c>
      <c r="E53" s="5" t="s">
        <v>487</v>
      </c>
    </row>
    <row r="54" spans="1:5" x14ac:dyDescent="0.3">
      <c r="A54" s="5" t="s">
        <v>132</v>
      </c>
      <c r="B54" s="5" t="s">
        <v>486</v>
      </c>
      <c r="C54" s="5" t="s">
        <v>456</v>
      </c>
      <c r="D54" s="5" t="s">
        <v>485</v>
      </c>
      <c r="E54" s="5" t="s">
        <v>503</v>
      </c>
    </row>
    <row r="55" spans="1:5" x14ac:dyDescent="0.3">
      <c r="A55" s="5" t="s">
        <v>135</v>
      </c>
      <c r="B55" s="5" t="s">
        <v>486</v>
      </c>
      <c r="C55" s="5" t="s">
        <v>460</v>
      </c>
      <c r="D55" s="5" t="s">
        <v>484</v>
      </c>
      <c r="E55" s="5" t="s">
        <v>501</v>
      </c>
    </row>
    <row r="56" spans="1:5" x14ac:dyDescent="0.3">
      <c r="A56" s="5" t="s">
        <v>137</v>
      </c>
      <c r="B56" s="5" t="s">
        <v>486</v>
      </c>
      <c r="C56" s="5" t="s">
        <v>36</v>
      </c>
      <c r="D56" s="5" t="s">
        <v>485</v>
      </c>
      <c r="E56" s="5" t="s">
        <v>502</v>
      </c>
    </row>
    <row r="57" spans="1:5" x14ac:dyDescent="0.3">
      <c r="A57" s="5" t="s">
        <v>138</v>
      </c>
      <c r="B57" s="5" t="s">
        <v>486</v>
      </c>
      <c r="C57" s="5" t="s">
        <v>35</v>
      </c>
      <c r="D57" s="5" t="s">
        <v>468</v>
      </c>
      <c r="E57" s="5" t="s">
        <v>502</v>
      </c>
    </row>
    <row r="58" spans="1:5" x14ac:dyDescent="0.3">
      <c r="A58" s="5" t="s">
        <v>141</v>
      </c>
      <c r="B58" s="5" t="s">
        <v>486</v>
      </c>
      <c r="C58" s="5" t="s">
        <v>20</v>
      </c>
      <c r="D58" s="5" t="s">
        <v>478</v>
      </c>
      <c r="E58" s="5" t="s">
        <v>501</v>
      </c>
    </row>
    <row r="59" spans="1:5" x14ac:dyDescent="0.3">
      <c r="A59" s="5" t="s">
        <v>142</v>
      </c>
      <c r="B59" s="5" t="s">
        <v>486</v>
      </c>
      <c r="C59" s="5" t="s">
        <v>469</v>
      </c>
      <c r="D59" s="5" t="s">
        <v>479</v>
      </c>
      <c r="E59" s="5" t="s">
        <v>501</v>
      </c>
    </row>
    <row r="60" spans="1:5" x14ac:dyDescent="0.3">
      <c r="A60" s="5" t="s">
        <v>144</v>
      </c>
      <c r="B60" s="5" t="s">
        <v>486</v>
      </c>
      <c r="C60" s="5" t="s">
        <v>9</v>
      </c>
      <c r="D60" s="5" t="s">
        <v>485</v>
      </c>
      <c r="E60" s="5" t="s">
        <v>500</v>
      </c>
    </row>
    <row r="61" spans="1:5" x14ac:dyDescent="0.3">
      <c r="A61" s="5" t="s">
        <v>145</v>
      </c>
      <c r="B61" s="5" t="s">
        <v>486</v>
      </c>
      <c r="C61" s="5" t="s">
        <v>19</v>
      </c>
      <c r="D61" s="5" t="s">
        <v>466</v>
      </c>
      <c r="E61" s="5" t="s">
        <v>487</v>
      </c>
    </row>
    <row r="62" spans="1:5" x14ac:dyDescent="0.3">
      <c r="A62" s="5" t="s">
        <v>146</v>
      </c>
      <c r="B62" s="5" t="s">
        <v>486</v>
      </c>
      <c r="C62" s="5" t="s">
        <v>52</v>
      </c>
      <c r="D62" s="5" t="s">
        <v>461</v>
      </c>
      <c r="E62" s="5" t="s">
        <v>477</v>
      </c>
    </row>
    <row r="63" spans="1:5" x14ac:dyDescent="0.3">
      <c r="A63" s="5" t="s">
        <v>149</v>
      </c>
      <c r="B63" s="5" t="s">
        <v>486</v>
      </c>
      <c r="C63" s="5" t="s">
        <v>38</v>
      </c>
      <c r="D63" s="5" t="s">
        <v>461</v>
      </c>
      <c r="E63" s="5" t="s">
        <v>479</v>
      </c>
    </row>
    <row r="64" spans="1:5" x14ac:dyDescent="0.3">
      <c r="A64" s="5" t="s">
        <v>150</v>
      </c>
      <c r="B64" s="5" t="s">
        <v>486</v>
      </c>
      <c r="C64" s="5" t="s">
        <v>38</v>
      </c>
      <c r="D64" s="5" t="s">
        <v>461</v>
      </c>
      <c r="E64" s="5" t="s">
        <v>470</v>
      </c>
    </row>
    <row r="65" spans="1:5" x14ac:dyDescent="0.3">
      <c r="A65" s="5" t="s">
        <v>153</v>
      </c>
      <c r="B65" s="5" t="s">
        <v>486</v>
      </c>
      <c r="C65" s="5" t="s">
        <v>42</v>
      </c>
      <c r="D65" s="5" t="s">
        <v>495</v>
      </c>
      <c r="E65" s="5" t="s">
        <v>474</v>
      </c>
    </row>
    <row r="66" spans="1:5" x14ac:dyDescent="0.3">
      <c r="A66" s="5" t="s">
        <v>155</v>
      </c>
      <c r="B66" s="5" t="s">
        <v>486</v>
      </c>
      <c r="C66" s="5" t="s">
        <v>49</v>
      </c>
      <c r="D66" s="5" t="s">
        <v>491</v>
      </c>
      <c r="E66" s="5" t="s">
        <v>496</v>
      </c>
    </row>
    <row r="67" spans="1:5" x14ac:dyDescent="0.3">
      <c r="A67" s="5" t="s">
        <v>157</v>
      </c>
      <c r="B67" s="5" t="s">
        <v>486</v>
      </c>
      <c r="C67" s="5" t="s">
        <v>459</v>
      </c>
      <c r="D67" s="5" t="s">
        <v>467</v>
      </c>
      <c r="E67" s="5" t="s">
        <v>489</v>
      </c>
    </row>
    <row r="68" spans="1:5" x14ac:dyDescent="0.3">
      <c r="A68" s="5" t="s">
        <v>158</v>
      </c>
      <c r="B68" s="5" t="s">
        <v>486</v>
      </c>
      <c r="C68" s="5" t="s">
        <v>29</v>
      </c>
      <c r="D68" s="5" t="s">
        <v>492</v>
      </c>
      <c r="E68" s="5" t="s">
        <v>494</v>
      </c>
    </row>
    <row r="69" spans="1:5" x14ac:dyDescent="0.3">
      <c r="A69" s="5" t="s">
        <v>161</v>
      </c>
      <c r="B69" s="5" t="s">
        <v>486</v>
      </c>
      <c r="C69" s="5" t="s">
        <v>457</v>
      </c>
      <c r="D69" s="5" t="s">
        <v>461</v>
      </c>
      <c r="E69" s="5" t="s">
        <v>475</v>
      </c>
    </row>
    <row r="70" spans="1:5" x14ac:dyDescent="0.3">
      <c r="A70" s="5" t="s">
        <v>164</v>
      </c>
      <c r="B70" s="5" t="s">
        <v>486</v>
      </c>
      <c r="C70" s="5" t="s">
        <v>42</v>
      </c>
      <c r="D70" s="5" t="s">
        <v>472</v>
      </c>
      <c r="E70" s="5" t="s">
        <v>479</v>
      </c>
    </row>
    <row r="71" spans="1:5" x14ac:dyDescent="0.3">
      <c r="A71" s="5" t="s">
        <v>165</v>
      </c>
      <c r="B71" s="5" t="s">
        <v>486</v>
      </c>
      <c r="C71" s="5" t="s">
        <v>34</v>
      </c>
      <c r="D71" s="5" t="s">
        <v>495</v>
      </c>
      <c r="E71" s="5" t="s">
        <v>488</v>
      </c>
    </row>
    <row r="72" spans="1:5" x14ac:dyDescent="0.3">
      <c r="A72" s="5" t="s">
        <v>166</v>
      </c>
      <c r="B72" s="5" t="s">
        <v>486</v>
      </c>
      <c r="C72" s="5" t="s">
        <v>23</v>
      </c>
      <c r="D72" s="5" t="s">
        <v>492</v>
      </c>
      <c r="E72" s="5" t="s">
        <v>488</v>
      </c>
    </row>
    <row r="73" spans="1:5" x14ac:dyDescent="0.3">
      <c r="A73" s="5" t="s">
        <v>167</v>
      </c>
      <c r="B73" s="5" t="s">
        <v>486</v>
      </c>
      <c r="C73" s="5" t="s">
        <v>473</v>
      </c>
      <c r="D73" s="5" t="s">
        <v>495</v>
      </c>
      <c r="E73" s="5" t="s">
        <v>496</v>
      </c>
    </row>
    <row r="74" spans="1:5" x14ac:dyDescent="0.3">
      <c r="A74" s="5" t="s">
        <v>169</v>
      </c>
      <c r="B74" s="5" t="s">
        <v>486</v>
      </c>
      <c r="C74" s="5" t="s">
        <v>29</v>
      </c>
      <c r="D74" s="5" t="s">
        <v>499</v>
      </c>
      <c r="E74" s="5" t="s">
        <v>490</v>
      </c>
    </row>
    <row r="75" spans="1:5" x14ac:dyDescent="0.3">
      <c r="A75" s="5" t="s">
        <v>170</v>
      </c>
      <c r="B75" s="5" t="s">
        <v>486</v>
      </c>
      <c r="C75" s="5" t="s">
        <v>35</v>
      </c>
      <c r="D75" s="5" t="s">
        <v>498</v>
      </c>
      <c r="E75" s="5" t="s">
        <v>497</v>
      </c>
    </row>
    <row r="76" spans="1:5" x14ac:dyDescent="0.3">
      <c r="A76" s="5" t="s">
        <v>171</v>
      </c>
      <c r="B76" s="5" t="s">
        <v>486</v>
      </c>
      <c r="C76" s="5" t="s">
        <v>24</v>
      </c>
      <c r="D76" s="5" t="s">
        <v>491</v>
      </c>
      <c r="E76" s="5" t="s">
        <v>496</v>
      </c>
    </row>
    <row r="77" spans="1:5" x14ac:dyDescent="0.3">
      <c r="A77" s="5" t="s">
        <v>172</v>
      </c>
      <c r="B77" s="5" t="s">
        <v>486</v>
      </c>
      <c r="C77" s="5" t="s">
        <v>459</v>
      </c>
      <c r="D77" s="5" t="s">
        <v>466</v>
      </c>
      <c r="E77" s="5" t="s">
        <v>496</v>
      </c>
    </row>
    <row r="78" spans="1:5" x14ac:dyDescent="0.3">
      <c r="A78" s="5" t="s">
        <v>173</v>
      </c>
      <c r="B78" s="5" t="s">
        <v>486</v>
      </c>
      <c r="C78" s="5" t="s">
        <v>473</v>
      </c>
      <c r="D78" s="5" t="s">
        <v>495</v>
      </c>
      <c r="E78" s="5" t="s">
        <v>474</v>
      </c>
    </row>
    <row r="79" spans="1:5" x14ac:dyDescent="0.3">
      <c r="A79" s="5" t="s">
        <v>174</v>
      </c>
      <c r="B79" s="5" t="s">
        <v>486</v>
      </c>
      <c r="C79" s="5" t="s">
        <v>23</v>
      </c>
      <c r="D79" s="5" t="s">
        <v>493</v>
      </c>
      <c r="E79" s="5" t="s">
        <v>490</v>
      </c>
    </row>
    <row r="80" spans="1:5" x14ac:dyDescent="0.3">
      <c r="A80" s="5" t="s">
        <v>175</v>
      </c>
      <c r="B80" s="5" t="s">
        <v>486</v>
      </c>
      <c r="C80" s="5" t="s">
        <v>14</v>
      </c>
      <c r="D80" s="5" t="s">
        <v>491</v>
      </c>
      <c r="E80" s="5" t="s">
        <v>487</v>
      </c>
    </row>
    <row r="81" spans="1:5" x14ac:dyDescent="0.3">
      <c r="A81" s="5" t="s">
        <v>176</v>
      </c>
      <c r="B81" s="5" t="s">
        <v>486</v>
      </c>
      <c r="C81" s="5" t="s">
        <v>473</v>
      </c>
      <c r="D81" s="5" t="s">
        <v>466</v>
      </c>
      <c r="E81" s="5" t="s">
        <v>494</v>
      </c>
    </row>
    <row r="82" spans="1:5" x14ac:dyDescent="0.3">
      <c r="A82" s="5" t="s">
        <v>177</v>
      </c>
      <c r="B82" s="5" t="s">
        <v>486</v>
      </c>
      <c r="C82" s="5" t="s">
        <v>29</v>
      </c>
      <c r="D82" s="5" t="s">
        <v>493</v>
      </c>
      <c r="E82" s="5" t="s">
        <v>490</v>
      </c>
    </row>
    <row r="83" spans="1:5" x14ac:dyDescent="0.3">
      <c r="A83" s="5" t="s">
        <v>179</v>
      </c>
      <c r="B83" s="5" t="s">
        <v>486</v>
      </c>
      <c r="C83" s="5" t="s">
        <v>29</v>
      </c>
      <c r="D83" s="5" t="s">
        <v>492</v>
      </c>
      <c r="E83" s="5" t="s">
        <v>488</v>
      </c>
    </row>
    <row r="84" spans="1:5" x14ac:dyDescent="0.3">
      <c r="A84" s="5" t="s">
        <v>180</v>
      </c>
      <c r="B84" s="5" t="s">
        <v>486</v>
      </c>
      <c r="C84" s="5" t="s">
        <v>23</v>
      </c>
      <c r="D84" s="5" t="s">
        <v>491</v>
      </c>
      <c r="E84" s="5" t="s">
        <v>490</v>
      </c>
    </row>
    <row r="85" spans="1:5" x14ac:dyDescent="0.3">
      <c r="A85" s="5" t="s">
        <v>181</v>
      </c>
      <c r="B85" s="5" t="s">
        <v>486</v>
      </c>
      <c r="C85" s="5" t="s">
        <v>49</v>
      </c>
      <c r="D85" s="5" t="s">
        <v>464</v>
      </c>
      <c r="E85" s="5" t="s">
        <v>489</v>
      </c>
    </row>
    <row r="86" spans="1:5" x14ac:dyDescent="0.3">
      <c r="A86" s="5" t="s">
        <v>182</v>
      </c>
      <c r="B86" s="5" t="s">
        <v>486</v>
      </c>
      <c r="C86" s="5" t="s">
        <v>42</v>
      </c>
      <c r="D86" s="5" t="s">
        <v>464</v>
      </c>
      <c r="E86" s="5" t="s">
        <v>488</v>
      </c>
    </row>
    <row r="87" spans="1:5" x14ac:dyDescent="0.3">
      <c r="A87" s="5" t="s">
        <v>183</v>
      </c>
      <c r="B87" s="5" t="s">
        <v>486</v>
      </c>
      <c r="C87" s="5" t="s">
        <v>34</v>
      </c>
      <c r="D87" s="5" t="s">
        <v>466</v>
      </c>
      <c r="E87" s="5" t="s">
        <v>487</v>
      </c>
    </row>
    <row r="88" spans="1:5" x14ac:dyDescent="0.3">
      <c r="A88" s="5" t="s">
        <v>184</v>
      </c>
      <c r="B88" s="5" t="s">
        <v>486</v>
      </c>
      <c r="C88" s="5" t="s">
        <v>18</v>
      </c>
      <c r="D88" s="5" t="s">
        <v>476</v>
      </c>
      <c r="E88" s="5" t="s">
        <v>474</v>
      </c>
    </row>
    <row r="89" spans="1:5" x14ac:dyDescent="0.3">
      <c r="A89" s="5" t="s">
        <v>185</v>
      </c>
      <c r="B89" s="5" t="s">
        <v>486</v>
      </c>
      <c r="C89" s="5" t="s">
        <v>453</v>
      </c>
      <c r="D89" s="5" t="s">
        <v>460</v>
      </c>
      <c r="E89" s="5" t="s">
        <v>479</v>
      </c>
    </row>
    <row r="90" spans="1:5" x14ac:dyDescent="0.3">
      <c r="A90" s="5" t="s">
        <v>187</v>
      </c>
      <c r="B90" s="5" t="s">
        <v>486</v>
      </c>
      <c r="C90" s="5" t="s">
        <v>69</v>
      </c>
      <c r="D90" s="5" t="s">
        <v>483</v>
      </c>
      <c r="E90" s="5" t="s">
        <v>471</v>
      </c>
    </row>
    <row r="91" spans="1:5" x14ac:dyDescent="0.3">
      <c r="A91" s="5" t="s">
        <v>189</v>
      </c>
      <c r="B91" s="5" t="s">
        <v>486</v>
      </c>
      <c r="C91" s="5" t="s">
        <v>62</v>
      </c>
      <c r="D91" s="5" t="s">
        <v>483</v>
      </c>
      <c r="E91" s="5" t="s">
        <v>471</v>
      </c>
    </row>
    <row r="92" spans="1:5" x14ac:dyDescent="0.3">
      <c r="A92" s="5" t="s">
        <v>192</v>
      </c>
      <c r="B92" s="5" t="s">
        <v>486</v>
      </c>
      <c r="C92" s="5" t="s">
        <v>62</v>
      </c>
      <c r="D92" s="5" t="s">
        <v>469</v>
      </c>
      <c r="E92" s="5" t="s">
        <v>484</v>
      </c>
    </row>
    <row r="93" spans="1:5" x14ac:dyDescent="0.3">
      <c r="A93" s="5" t="s">
        <v>194</v>
      </c>
      <c r="B93" s="5" t="s">
        <v>486</v>
      </c>
      <c r="C93" s="5" t="s">
        <v>51</v>
      </c>
      <c r="D93" s="5" t="s">
        <v>20</v>
      </c>
      <c r="E93" s="5" t="s">
        <v>485</v>
      </c>
    </row>
    <row r="94" spans="1:5" x14ac:dyDescent="0.3">
      <c r="A94" s="5" t="s">
        <v>196</v>
      </c>
      <c r="B94" s="5" t="s">
        <v>453</v>
      </c>
      <c r="C94" s="5" t="s">
        <v>58</v>
      </c>
      <c r="D94" s="5" t="s">
        <v>16</v>
      </c>
      <c r="E94" s="5" t="s">
        <v>484</v>
      </c>
    </row>
    <row r="95" spans="1:5" x14ac:dyDescent="0.3">
      <c r="A95" s="5" t="s">
        <v>197</v>
      </c>
      <c r="B95" s="5" t="s">
        <v>44</v>
      </c>
      <c r="C95" s="5" t="s">
        <v>46</v>
      </c>
      <c r="D95" s="5" t="s">
        <v>469</v>
      </c>
      <c r="E95" s="5" t="s">
        <v>468</v>
      </c>
    </row>
    <row r="96" spans="1:5" x14ac:dyDescent="0.3">
      <c r="A96" s="5" t="s">
        <v>198</v>
      </c>
      <c r="B96" s="5" t="s">
        <v>18</v>
      </c>
      <c r="C96" s="5" t="s">
        <v>28</v>
      </c>
      <c r="D96" s="5" t="s">
        <v>16</v>
      </c>
      <c r="E96" s="5" t="s">
        <v>481</v>
      </c>
    </row>
    <row r="97" spans="1:5" x14ac:dyDescent="0.3">
      <c r="A97" s="5" t="s">
        <v>199</v>
      </c>
      <c r="B97" s="5" t="s">
        <v>34</v>
      </c>
      <c r="C97" s="5" t="s">
        <v>18</v>
      </c>
      <c r="D97" s="5" t="s">
        <v>462</v>
      </c>
      <c r="E97" s="5" t="s">
        <v>478</v>
      </c>
    </row>
    <row r="98" spans="1:5" x14ac:dyDescent="0.3">
      <c r="A98" s="5" t="s">
        <v>200</v>
      </c>
      <c r="B98" s="5" t="s">
        <v>52</v>
      </c>
      <c r="C98" s="5" t="s">
        <v>34</v>
      </c>
      <c r="D98" s="5" t="s">
        <v>462</v>
      </c>
      <c r="E98" s="5" t="s">
        <v>478</v>
      </c>
    </row>
    <row r="99" spans="1:5" x14ac:dyDescent="0.3">
      <c r="A99" s="5" t="s">
        <v>201</v>
      </c>
      <c r="B99" s="5" t="s">
        <v>34</v>
      </c>
      <c r="C99" s="5" t="s">
        <v>42</v>
      </c>
      <c r="D99" s="5" t="s">
        <v>463</v>
      </c>
      <c r="E99" s="5" t="s">
        <v>470</v>
      </c>
    </row>
    <row r="100" spans="1:5" x14ac:dyDescent="0.3">
      <c r="A100" s="5" t="s">
        <v>203</v>
      </c>
      <c r="B100" s="5" t="s">
        <v>457</v>
      </c>
      <c r="C100" s="5" t="s">
        <v>38</v>
      </c>
      <c r="D100" s="5" t="s">
        <v>463</v>
      </c>
      <c r="E100" s="5" t="s">
        <v>481</v>
      </c>
    </row>
    <row r="101" spans="1:5" x14ac:dyDescent="0.3">
      <c r="A101" s="5" t="s">
        <v>204</v>
      </c>
      <c r="B101" s="5" t="s">
        <v>459</v>
      </c>
      <c r="C101" s="5" t="s">
        <v>38</v>
      </c>
      <c r="D101" s="5" t="s">
        <v>476</v>
      </c>
      <c r="E101" s="5" t="s">
        <v>471</v>
      </c>
    </row>
    <row r="102" spans="1:5" x14ac:dyDescent="0.3">
      <c r="A102" s="5" t="s">
        <v>205</v>
      </c>
      <c r="B102" s="5" t="s">
        <v>29</v>
      </c>
      <c r="C102" s="5" t="s">
        <v>49</v>
      </c>
      <c r="D102" s="5" t="s">
        <v>465</v>
      </c>
      <c r="E102" s="5" t="s">
        <v>474</v>
      </c>
    </row>
    <row r="103" spans="1:5" x14ac:dyDescent="0.3">
      <c r="A103" s="5" t="s">
        <v>206</v>
      </c>
      <c r="B103" s="5" t="s">
        <v>458</v>
      </c>
      <c r="C103" s="5" t="s">
        <v>34</v>
      </c>
      <c r="D103" s="5" t="s">
        <v>463</v>
      </c>
      <c r="E103" s="5" t="s">
        <v>478</v>
      </c>
    </row>
    <row r="104" spans="1:5" x14ac:dyDescent="0.3">
      <c r="A104" s="5" t="s">
        <v>208</v>
      </c>
      <c r="B104" s="5" t="s">
        <v>18</v>
      </c>
      <c r="C104" s="5" t="s">
        <v>26</v>
      </c>
      <c r="D104" s="5" t="s">
        <v>483</v>
      </c>
      <c r="E104" s="5" t="s">
        <v>480</v>
      </c>
    </row>
    <row r="105" spans="1:5" x14ac:dyDescent="0.3">
      <c r="A105" s="5" t="s">
        <v>209</v>
      </c>
      <c r="B105" s="5" t="s">
        <v>26</v>
      </c>
      <c r="C105" s="5" t="s">
        <v>22</v>
      </c>
      <c r="D105" s="5" t="s">
        <v>469</v>
      </c>
      <c r="E105" s="5" t="s">
        <v>485</v>
      </c>
    </row>
    <row r="106" spans="1:5" x14ac:dyDescent="0.3">
      <c r="A106" s="5" t="s">
        <v>210</v>
      </c>
      <c r="B106" s="5" t="s">
        <v>34</v>
      </c>
      <c r="C106" s="5" t="s">
        <v>453</v>
      </c>
      <c r="D106" s="5" t="s">
        <v>469</v>
      </c>
      <c r="E106" s="5" t="s">
        <v>485</v>
      </c>
    </row>
    <row r="107" spans="1:5" x14ac:dyDescent="0.3">
      <c r="A107" s="5" t="s">
        <v>211</v>
      </c>
      <c r="B107" s="5" t="s">
        <v>26</v>
      </c>
      <c r="C107" s="5" t="s">
        <v>38</v>
      </c>
      <c r="D107" s="5" t="s">
        <v>16</v>
      </c>
      <c r="E107" s="5" t="s">
        <v>484</v>
      </c>
    </row>
    <row r="108" spans="1:5" x14ac:dyDescent="0.3">
      <c r="A108" s="5" t="s">
        <v>212</v>
      </c>
      <c r="B108" s="5" t="s">
        <v>44</v>
      </c>
      <c r="C108" s="5" t="s">
        <v>58</v>
      </c>
      <c r="D108" s="5" t="s">
        <v>9</v>
      </c>
      <c r="E108" s="5" t="s">
        <v>467</v>
      </c>
    </row>
    <row r="109" spans="1:5" x14ac:dyDescent="0.3">
      <c r="A109" s="5" t="s">
        <v>213</v>
      </c>
      <c r="B109" s="5" t="s">
        <v>44</v>
      </c>
      <c r="C109" s="5" t="s">
        <v>48</v>
      </c>
      <c r="D109" s="5" t="s">
        <v>32</v>
      </c>
      <c r="E109" s="5" t="s">
        <v>466</v>
      </c>
    </row>
    <row r="110" spans="1:5" x14ac:dyDescent="0.3">
      <c r="A110" s="5" t="s">
        <v>214</v>
      </c>
      <c r="B110" s="5" t="s">
        <v>44</v>
      </c>
      <c r="C110" s="5" t="s">
        <v>62</v>
      </c>
      <c r="D110" s="5" t="s">
        <v>35</v>
      </c>
      <c r="E110" s="5" t="s">
        <v>466</v>
      </c>
    </row>
    <row r="111" spans="1:5" x14ac:dyDescent="0.3">
      <c r="A111" s="5" t="s">
        <v>215</v>
      </c>
      <c r="B111" s="5" t="s">
        <v>28</v>
      </c>
      <c r="C111" s="5" t="s">
        <v>65</v>
      </c>
      <c r="D111" s="5" t="s">
        <v>20</v>
      </c>
      <c r="E111" s="5" t="s">
        <v>467</v>
      </c>
    </row>
    <row r="112" spans="1:5" x14ac:dyDescent="0.3">
      <c r="A112" s="5" t="s">
        <v>217</v>
      </c>
      <c r="B112" s="5" t="s">
        <v>52</v>
      </c>
      <c r="C112" s="5" t="s">
        <v>65</v>
      </c>
      <c r="D112" s="5" t="s">
        <v>483</v>
      </c>
      <c r="E112" s="5" t="s">
        <v>482</v>
      </c>
    </row>
    <row r="113" spans="1:5" x14ac:dyDescent="0.3">
      <c r="A113" s="5" t="s">
        <v>218</v>
      </c>
      <c r="B113" s="5" t="s">
        <v>458</v>
      </c>
      <c r="C113" s="5" t="s">
        <v>44</v>
      </c>
      <c r="D113" s="5" t="s">
        <v>472</v>
      </c>
      <c r="E113" s="5" t="s">
        <v>481</v>
      </c>
    </row>
    <row r="114" spans="1:5" x14ac:dyDescent="0.3">
      <c r="A114" s="5" t="s">
        <v>219</v>
      </c>
      <c r="B114" s="5" t="s">
        <v>457</v>
      </c>
      <c r="C114" s="5" t="s">
        <v>38</v>
      </c>
      <c r="D114" s="5" t="s">
        <v>10</v>
      </c>
      <c r="E114" s="5" t="s">
        <v>470</v>
      </c>
    </row>
    <row r="115" spans="1:5" x14ac:dyDescent="0.3">
      <c r="A115" s="5" t="s">
        <v>220</v>
      </c>
      <c r="B115" s="5" t="s">
        <v>49</v>
      </c>
      <c r="C115" s="5" t="s">
        <v>453</v>
      </c>
      <c r="D115" s="5" t="s">
        <v>460</v>
      </c>
      <c r="E115" s="5" t="s">
        <v>480</v>
      </c>
    </row>
    <row r="116" spans="1:5" x14ac:dyDescent="0.3">
      <c r="A116" s="5" t="s">
        <v>221</v>
      </c>
      <c r="B116" s="5" t="s">
        <v>459</v>
      </c>
      <c r="C116" s="5" t="s">
        <v>38</v>
      </c>
      <c r="D116" s="5" t="s">
        <v>472</v>
      </c>
      <c r="E116" s="5" t="s">
        <v>470</v>
      </c>
    </row>
    <row r="117" spans="1:5" x14ac:dyDescent="0.3">
      <c r="A117" s="5" t="s">
        <v>222</v>
      </c>
      <c r="B117" s="5" t="s">
        <v>24</v>
      </c>
      <c r="C117" s="5" t="s">
        <v>457</v>
      </c>
      <c r="D117" s="5" t="s">
        <v>476</v>
      </c>
      <c r="E117" s="5" t="s">
        <v>477</v>
      </c>
    </row>
    <row r="118" spans="1:5" x14ac:dyDescent="0.3">
      <c r="A118" s="5" t="s">
        <v>223</v>
      </c>
      <c r="B118" s="5" t="s">
        <v>459</v>
      </c>
      <c r="C118" s="5" t="s">
        <v>18</v>
      </c>
      <c r="D118" s="5" t="s">
        <v>461</v>
      </c>
      <c r="E118" s="5" t="s">
        <v>471</v>
      </c>
    </row>
    <row r="119" spans="1:5" x14ac:dyDescent="0.3">
      <c r="A119" s="5" t="s">
        <v>224</v>
      </c>
      <c r="B119" s="5" t="s">
        <v>459</v>
      </c>
      <c r="C119" s="5" t="s">
        <v>52</v>
      </c>
      <c r="D119" s="5" t="s">
        <v>461</v>
      </c>
      <c r="E119" s="5" t="s">
        <v>479</v>
      </c>
    </row>
    <row r="120" spans="1:5" x14ac:dyDescent="0.3">
      <c r="A120" s="5" t="s">
        <v>225</v>
      </c>
      <c r="B120" s="5" t="s">
        <v>14</v>
      </c>
      <c r="C120" s="5" t="s">
        <v>18</v>
      </c>
      <c r="D120" s="5" t="s">
        <v>461</v>
      </c>
      <c r="E120" s="5" t="s">
        <v>471</v>
      </c>
    </row>
    <row r="121" spans="1:5" x14ac:dyDescent="0.3">
      <c r="A121" s="5" t="s">
        <v>226</v>
      </c>
      <c r="B121" s="5" t="s">
        <v>455</v>
      </c>
      <c r="C121" s="5" t="s">
        <v>34</v>
      </c>
      <c r="D121" s="5" t="s">
        <v>462</v>
      </c>
      <c r="E121" s="5" t="s">
        <v>478</v>
      </c>
    </row>
    <row r="122" spans="1:5" x14ac:dyDescent="0.3">
      <c r="A122" s="5" t="s">
        <v>227</v>
      </c>
      <c r="B122" s="5" t="s">
        <v>19</v>
      </c>
      <c r="C122" s="5" t="s">
        <v>49</v>
      </c>
      <c r="D122" s="5" t="s">
        <v>11</v>
      </c>
      <c r="E122" s="5" t="s">
        <v>477</v>
      </c>
    </row>
    <row r="123" spans="1:5" x14ac:dyDescent="0.3">
      <c r="A123" s="5" t="s">
        <v>228</v>
      </c>
      <c r="B123" s="5" t="s">
        <v>29</v>
      </c>
      <c r="C123" s="5" t="s">
        <v>457</v>
      </c>
      <c r="D123" s="5" t="s">
        <v>462</v>
      </c>
      <c r="E123" s="5" t="s">
        <v>477</v>
      </c>
    </row>
    <row r="124" spans="1:5" x14ac:dyDescent="0.3">
      <c r="A124" s="5" t="s">
        <v>229</v>
      </c>
      <c r="B124" s="5" t="s">
        <v>19</v>
      </c>
      <c r="C124" s="5" t="s">
        <v>23</v>
      </c>
      <c r="D124" s="5" t="s">
        <v>476</v>
      </c>
      <c r="E124" s="5" t="s">
        <v>475</v>
      </c>
    </row>
    <row r="125" spans="1:5" x14ac:dyDescent="0.3">
      <c r="A125" s="5" t="s">
        <v>230</v>
      </c>
      <c r="B125" s="5" t="s">
        <v>35</v>
      </c>
      <c r="C125" s="5" t="s">
        <v>457</v>
      </c>
      <c r="D125" s="5" t="s">
        <v>461</v>
      </c>
      <c r="E125" s="5" t="s">
        <v>477</v>
      </c>
    </row>
    <row r="126" spans="1:5" x14ac:dyDescent="0.3">
      <c r="A126" s="5" t="s">
        <v>231</v>
      </c>
      <c r="B126" s="5" t="s">
        <v>455</v>
      </c>
      <c r="C126" s="5" t="s">
        <v>49</v>
      </c>
      <c r="D126" s="5" t="s">
        <v>462</v>
      </c>
      <c r="E126" s="5" t="s">
        <v>477</v>
      </c>
    </row>
    <row r="127" spans="1:5" x14ac:dyDescent="0.3">
      <c r="A127" s="5" t="s">
        <v>232</v>
      </c>
      <c r="B127" s="5" t="s">
        <v>39</v>
      </c>
      <c r="C127" s="5" t="s">
        <v>49</v>
      </c>
      <c r="D127" s="5" t="s">
        <v>476</v>
      </c>
      <c r="E127" s="5" t="s">
        <v>475</v>
      </c>
    </row>
    <row r="128" spans="1:5" x14ac:dyDescent="0.3">
      <c r="A128" s="5" t="s">
        <v>233</v>
      </c>
      <c r="B128" s="5" t="s">
        <v>459</v>
      </c>
      <c r="C128" s="5" t="s">
        <v>49</v>
      </c>
      <c r="D128" s="5" t="s">
        <v>11</v>
      </c>
      <c r="E128" s="5" t="s">
        <v>474</v>
      </c>
    </row>
    <row r="129" spans="1:5" x14ac:dyDescent="0.3">
      <c r="A129" s="5" t="s">
        <v>234</v>
      </c>
      <c r="B129" s="5" t="s">
        <v>473</v>
      </c>
      <c r="C129" s="5" t="s">
        <v>18</v>
      </c>
      <c r="D129" s="5" t="s">
        <v>472</v>
      </c>
      <c r="E129" s="5" t="s">
        <v>471</v>
      </c>
    </row>
    <row r="130" spans="1:5" x14ac:dyDescent="0.3">
      <c r="A130" s="5" t="s">
        <v>235</v>
      </c>
      <c r="B130" s="5" t="s">
        <v>23</v>
      </c>
      <c r="C130" s="5" t="s">
        <v>18</v>
      </c>
      <c r="D130" s="5" t="s">
        <v>460</v>
      </c>
      <c r="E130" s="5" t="s">
        <v>470</v>
      </c>
    </row>
    <row r="131" spans="1:5" x14ac:dyDescent="0.3">
      <c r="A131" s="5" t="s">
        <v>236</v>
      </c>
      <c r="B131" s="5" t="s">
        <v>42</v>
      </c>
      <c r="C131" s="5" t="s">
        <v>453</v>
      </c>
      <c r="D131" s="5" t="s">
        <v>469</v>
      </c>
      <c r="E131" s="5" t="s">
        <v>468</v>
      </c>
    </row>
    <row r="132" spans="1:5" x14ac:dyDescent="0.3">
      <c r="A132" s="5" t="s">
        <v>237</v>
      </c>
      <c r="B132" s="5" t="s">
        <v>453</v>
      </c>
      <c r="C132" s="5" t="s">
        <v>51</v>
      </c>
      <c r="D132" s="5" t="s">
        <v>35</v>
      </c>
      <c r="E132" s="5" t="s">
        <v>467</v>
      </c>
    </row>
    <row r="133" spans="1:5" x14ac:dyDescent="0.3">
      <c r="A133" s="5" t="s">
        <v>239</v>
      </c>
      <c r="B133" s="5" t="s">
        <v>58</v>
      </c>
      <c r="C133" s="5" t="s">
        <v>68</v>
      </c>
      <c r="D133" s="5" t="s">
        <v>455</v>
      </c>
      <c r="E133" s="5" t="s">
        <v>466</v>
      </c>
    </row>
    <row r="134" spans="1:5" x14ac:dyDescent="0.3">
      <c r="A134" s="5" t="s">
        <v>240</v>
      </c>
      <c r="B134" s="5" t="s">
        <v>62</v>
      </c>
      <c r="C134" s="5" t="s">
        <v>67</v>
      </c>
      <c r="D134" s="5" t="s">
        <v>29</v>
      </c>
      <c r="E134" s="5" t="s">
        <v>464</v>
      </c>
    </row>
    <row r="135" spans="1:5" x14ac:dyDescent="0.3">
      <c r="A135" s="5" t="s">
        <v>242</v>
      </c>
      <c r="B135" s="5" t="s">
        <v>78</v>
      </c>
      <c r="C135" s="5" t="s">
        <v>74</v>
      </c>
      <c r="D135" s="5" t="s">
        <v>459</v>
      </c>
      <c r="E135" s="5" t="s">
        <v>11</v>
      </c>
    </row>
    <row r="136" spans="1:5" x14ac:dyDescent="0.3">
      <c r="A136" s="5" t="s">
        <v>245</v>
      </c>
      <c r="B136" s="5" t="s">
        <v>64</v>
      </c>
      <c r="C136" s="5" t="s">
        <v>80</v>
      </c>
      <c r="D136" s="5" t="s">
        <v>458</v>
      </c>
      <c r="E136" s="5" t="s">
        <v>465</v>
      </c>
    </row>
    <row r="137" spans="1:5" x14ac:dyDescent="0.3">
      <c r="A137" s="5" t="s">
        <v>248</v>
      </c>
      <c r="B137" s="5" t="s">
        <v>61</v>
      </c>
      <c r="C137" s="5" t="s">
        <v>56</v>
      </c>
      <c r="D137" s="5" t="s">
        <v>24</v>
      </c>
      <c r="E137" s="5" t="s">
        <v>464</v>
      </c>
    </row>
    <row r="138" spans="1:5" x14ac:dyDescent="0.3">
      <c r="A138" s="5" t="s">
        <v>250</v>
      </c>
      <c r="B138" s="5" t="s">
        <v>71</v>
      </c>
      <c r="C138" s="5" t="s">
        <v>60</v>
      </c>
      <c r="D138" s="5" t="s">
        <v>458</v>
      </c>
      <c r="E138" s="5" t="s">
        <v>462</v>
      </c>
    </row>
    <row r="139" spans="1:5" x14ac:dyDescent="0.3">
      <c r="A139" s="5" t="s">
        <v>253</v>
      </c>
      <c r="B139" s="5" t="s">
        <v>77</v>
      </c>
      <c r="C139" s="5" t="s">
        <v>94</v>
      </c>
      <c r="D139" s="5" t="s">
        <v>34</v>
      </c>
      <c r="E139" s="5" t="s">
        <v>16</v>
      </c>
    </row>
    <row r="140" spans="1:5" x14ac:dyDescent="0.3">
      <c r="A140" s="5" t="s">
        <v>256</v>
      </c>
      <c r="B140" s="5" t="s">
        <v>74</v>
      </c>
      <c r="C140" s="5" t="s">
        <v>107</v>
      </c>
      <c r="D140" s="5" t="s">
        <v>42</v>
      </c>
      <c r="E140" s="5" t="s">
        <v>10</v>
      </c>
    </row>
    <row r="141" spans="1:5" x14ac:dyDescent="0.3">
      <c r="A141" s="5" t="s">
        <v>259</v>
      </c>
      <c r="B141" s="5" t="s">
        <v>67</v>
      </c>
      <c r="C141" s="5" t="s">
        <v>90</v>
      </c>
      <c r="D141" s="5" t="s">
        <v>34</v>
      </c>
      <c r="E141" s="5" t="s">
        <v>463</v>
      </c>
    </row>
    <row r="142" spans="1:5" x14ac:dyDescent="0.3">
      <c r="A142" s="5" t="s">
        <v>260</v>
      </c>
      <c r="B142" s="5" t="s">
        <v>64</v>
      </c>
      <c r="C142" s="5" t="s">
        <v>91</v>
      </c>
      <c r="D142" s="5" t="s">
        <v>49</v>
      </c>
      <c r="E142" s="5" t="s">
        <v>462</v>
      </c>
    </row>
    <row r="143" spans="1:5" x14ac:dyDescent="0.3">
      <c r="A143" s="5" t="s">
        <v>261</v>
      </c>
      <c r="B143" s="5" t="s">
        <v>67</v>
      </c>
      <c r="C143" s="5" t="s">
        <v>91</v>
      </c>
      <c r="D143" s="5" t="s">
        <v>457</v>
      </c>
      <c r="E143" s="5" t="s">
        <v>461</v>
      </c>
    </row>
    <row r="144" spans="1:5" x14ac:dyDescent="0.3">
      <c r="A144" s="5" t="s">
        <v>262</v>
      </c>
      <c r="B144" s="5" t="s">
        <v>67</v>
      </c>
      <c r="C144" s="5" t="s">
        <v>77</v>
      </c>
      <c r="D144" s="5" t="s">
        <v>49</v>
      </c>
      <c r="E144" s="5" t="s">
        <v>461</v>
      </c>
    </row>
    <row r="145" spans="1:5" x14ac:dyDescent="0.3">
      <c r="A145" s="5" t="s">
        <v>263</v>
      </c>
      <c r="B145" s="5" t="s">
        <v>64</v>
      </c>
      <c r="C145" s="5" t="s">
        <v>74</v>
      </c>
      <c r="D145" s="5" t="s">
        <v>458</v>
      </c>
      <c r="E145" s="5" t="s">
        <v>11</v>
      </c>
    </row>
    <row r="146" spans="1:5" x14ac:dyDescent="0.3">
      <c r="A146" s="5" t="s">
        <v>265</v>
      </c>
      <c r="B146" s="5" t="s">
        <v>56</v>
      </c>
      <c r="C146" s="5" t="s">
        <v>80</v>
      </c>
      <c r="D146" s="5" t="s">
        <v>23</v>
      </c>
      <c r="E146" s="5" t="s">
        <v>460</v>
      </c>
    </row>
    <row r="147" spans="1:5" x14ac:dyDescent="0.3">
      <c r="A147" s="5" t="s">
        <v>267</v>
      </c>
      <c r="B147" s="5" t="s">
        <v>85</v>
      </c>
      <c r="C147" s="5" t="s">
        <v>103</v>
      </c>
      <c r="D147" s="5" t="s">
        <v>22</v>
      </c>
      <c r="E147" s="5" t="s">
        <v>36</v>
      </c>
    </row>
    <row r="148" spans="1:5" x14ac:dyDescent="0.3">
      <c r="A148" s="5" t="s">
        <v>270</v>
      </c>
      <c r="B148" s="5" t="s">
        <v>85</v>
      </c>
      <c r="C148" s="5" t="s">
        <v>90</v>
      </c>
      <c r="D148" s="5" t="s">
        <v>44</v>
      </c>
      <c r="E148" s="5" t="s">
        <v>36</v>
      </c>
    </row>
    <row r="149" spans="1:5" x14ac:dyDescent="0.3">
      <c r="A149" s="5" t="s">
        <v>273</v>
      </c>
      <c r="B149" s="5" t="s">
        <v>85</v>
      </c>
      <c r="C149" s="5" t="s">
        <v>90</v>
      </c>
      <c r="D149" s="5" t="s">
        <v>22</v>
      </c>
      <c r="E149" s="5" t="s">
        <v>456</v>
      </c>
    </row>
    <row r="150" spans="1:5" x14ac:dyDescent="0.3">
      <c r="A150" s="5" t="s">
        <v>275</v>
      </c>
      <c r="B150" s="5" t="s">
        <v>98</v>
      </c>
      <c r="C150" s="5" t="s">
        <v>103</v>
      </c>
      <c r="D150" s="5" t="s">
        <v>46</v>
      </c>
      <c r="E150" s="5" t="s">
        <v>9</v>
      </c>
    </row>
    <row r="151" spans="1:5" x14ac:dyDescent="0.3">
      <c r="A151" s="5" t="s">
        <v>277</v>
      </c>
      <c r="B151" s="5" t="s">
        <v>103</v>
      </c>
      <c r="C151" s="5" t="s">
        <v>93</v>
      </c>
      <c r="D151" s="5" t="s">
        <v>48</v>
      </c>
      <c r="E151" s="5" t="s">
        <v>32</v>
      </c>
    </row>
    <row r="152" spans="1:5" x14ac:dyDescent="0.3">
      <c r="A152" s="5" t="s">
        <v>279</v>
      </c>
      <c r="B152" s="5" t="s">
        <v>452</v>
      </c>
      <c r="C152" s="5" t="s">
        <v>140</v>
      </c>
      <c r="D152" s="5" t="s">
        <v>62</v>
      </c>
      <c r="E152" s="5" t="s">
        <v>455</v>
      </c>
    </row>
    <row r="153" spans="1:5" x14ac:dyDescent="0.3">
      <c r="A153" s="5" t="s">
        <v>280</v>
      </c>
      <c r="B153" s="5" t="s">
        <v>96</v>
      </c>
      <c r="C153" s="5" t="s">
        <v>178</v>
      </c>
      <c r="D153" s="5" t="s">
        <v>51</v>
      </c>
      <c r="E153" s="5" t="s">
        <v>31</v>
      </c>
    </row>
    <row r="154" spans="1:5" x14ac:dyDescent="0.3">
      <c r="A154" s="5" t="s">
        <v>282</v>
      </c>
      <c r="B154" s="5" t="s">
        <v>107</v>
      </c>
      <c r="C154" s="5" t="s">
        <v>93</v>
      </c>
      <c r="D154" s="5" t="s">
        <v>69</v>
      </c>
      <c r="E154" s="5" t="s">
        <v>35</v>
      </c>
    </row>
    <row r="155" spans="1:5" x14ac:dyDescent="0.3">
      <c r="A155" s="5" t="s">
        <v>284</v>
      </c>
      <c r="B155" s="5" t="s">
        <v>93</v>
      </c>
      <c r="C155" s="5" t="s">
        <v>178</v>
      </c>
      <c r="D155" s="5" t="s">
        <v>57</v>
      </c>
      <c r="E155" s="5" t="s">
        <v>29</v>
      </c>
    </row>
    <row r="156" spans="1:5" x14ac:dyDescent="0.3">
      <c r="A156" s="5" t="s">
        <v>286</v>
      </c>
      <c r="B156" s="5" t="s">
        <v>128</v>
      </c>
      <c r="C156" s="5" t="s">
        <v>134</v>
      </c>
      <c r="D156" s="5" t="s">
        <v>71</v>
      </c>
      <c r="E156" s="5" t="s">
        <v>18</v>
      </c>
    </row>
    <row r="157" spans="1:5" x14ac:dyDescent="0.3">
      <c r="A157" s="5" t="s">
        <v>289</v>
      </c>
      <c r="B157" s="5" t="s">
        <v>136</v>
      </c>
      <c r="C157" s="5" t="s">
        <v>168</v>
      </c>
      <c r="D157" s="5" t="s">
        <v>80</v>
      </c>
      <c r="E157" s="5" t="s">
        <v>18</v>
      </c>
    </row>
    <row r="158" spans="1:5" x14ac:dyDescent="0.3">
      <c r="A158" s="5" t="s">
        <v>292</v>
      </c>
      <c r="B158" s="5" t="s">
        <v>133</v>
      </c>
      <c r="C158" s="5" t="s">
        <v>160</v>
      </c>
      <c r="D158" s="5" t="s">
        <v>454</v>
      </c>
      <c r="E158" s="5" t="s">
        <v>38</v>
      </c>
    </row>
    <row r="159" spans="1:5" x14ac:dyDescent="0.3">
      <c r="A159" s="5" t="s">
        <v>294</v>
      </c>
      <c r="B159" s="5" t="s">
        <v>134</v>
      </c>
      <c r="C159" s="5" t="s">
        <v>109</v>
      </c>
      <c r="D159" s="5" t="s">
        <v>60</v>
      </c>
      <c r="E159" s="5" t="s">
        <v>22</v>
      </c>
    </row>
    <row r="160" spans="1:5" x14ac:dyDescent="0.3">
      <c r="A160" s="5" t="s">
        <v>295</v>
      </c>
      <c r="B160" s="5" t="s">
        <v>131</v>
      </c>
      <c r="C160" s="5" t="s">
        <v>143</v>
      </c>
      <c r="D160" s="5" t="s">
        <v>96</v>
      </c>
      <c r="E160" s="5" t="s">
        <v>57</v>
      </c>
    </row>
    <row r="161" spans="1:5" x14ac:dyDescent="0.3">
      <c r="A161" s="5" t="s">
        <v>298</v>
      </c>
      <c r="B161" s="5" t="s">
        <v>111</v>
      </c>
      <c r="C161" s="5" t="s">
        <v>147</v>
      </c>
      <c r="D161" s="5" t="s">
        <v>133</v>
      </c>
      <c r="E161" s="5" t="s">
        <v>64</v>
      </c>
    </row>
    <row r="162" spans="1:5" x14ac:dyDescent="0.3">
      <c r="A162" s="5" t="s">
        <v>299</v>
      </c>
      <c r="B162" s="5" t="s">
        <v>143</v>
      </c>
      <c r="C162" s="5" t="s">
        <v>111</v>
      </c>
      <c r="D162" s="5" t="s">
        <v>93</v>
      </c>
      <c r="E162" s="5" t="s">
        <v>78</v>
      </c>
    </row>
    <row r="163" spans="1:5" x14ac:dyDescent="0.3">
      <c r="A163" s="5" t="s">
        <v>301</v>
      </c>
      <c r="B163" s="5" t="s">
        <v>143</v>
      </c>
      <c r="C163" s="5" t="s">
        <v>124</v>
      </c>
      <c r="D163" s="5" t="s">
        <v>107</v>
      </c>
      <c r="E163" s="5" t="s">
        <v>69</v>
      </c>
    </row>
    <row r="164" spans="1:5" x14ac:dyDescent="0.3">
      <c r="A164" s="5" t="s">
        <v>304</v>
      </c>
      <c r="B164" s="5" t="s">
        <v>124</v>
      </c>
      <c r="C164" s="5" t="s">
        <v>115</v>
      </c>
      <c r="D164" s="5" t="s">
        <v>452</v>
      </c>
      <c r="E164" s="5" t="s">
        <v>51</v>
      </c>
    </row>
    <row r="165" spans="1:5" x14ac:dyDescent="0.3">
      <c r="A165" s="5" t="s">
        <v>305</v>
      </c>
      <c r="B165" s="5" t="s">
        <v>114</v>
      </c>
      <c r="C165" s="5" t="s">
        <v>114</v>
      </c>
      <c r="D165" s="5" t="s">
        <v>128</v>
      </c>
      <c r="E165" s="5" t="s">
        <v>78</v>
      </c>
    </row>
    <row r="166" spans="1:5" x14ac:dyDescent="0.3">
      <c r="A166" s="5" t="s">
        <v>307</v>
      </c>
      <c r="B166" s="5" t="s">
        <v>124</v>
      </c>
      <c r="C166" s="5" t="s">
        <v>111</v>
      </c>
      <c r="D166" s="5" t="s">
        <v>89</v>
      </c>
      <c r="E166" s="5" t="s">
        <v>57</v>
      </c>
    </row>
    <row r="167" spans="1:5" x14ac:dyDescent="0.3">
      <c r="A167" s="5" t="s">
        <v>311</v>
      </c>
      <c r="B167" s="5" t="s">
        <v>139</v>
      </c>
      <c r="C167" s="5" t="s">
        <v>139</v>
      </c>
      <c r="D167" s="5" t="s">
        <v>452</v>
      </c>
      <c r="E167" s="5" t="s">
        <v>51</v>
      </c>
    </row>
    <row r="168" spans="1:5" x14ac:dyDescent="0.3">
      <c r="A168" s="5" t="s">
        <v>315</v>
      </c>
      <c r="B168" s="5" t="s">
        <v>148</v>
      </c>
      <c r="C168" s="5" t="s">
        <v>148</v>
      </c>
      <c r="D168" s="5" t="s">
        <v>178</v>
      </c>
      <c r="E168" s="5" t="s">
        <v>61</v>
      </c>
    </row>
    <row r="169" spans="1:5" x14ac:dyDescent="0.3">
      <c r="A169" s="5" t="s">
        <v>318</v>
      </c>
      <c r="B169" s="5" t="s">
        <v>139</v>
      </c>
      <c r="C169" s="5" t="s">
        <v>114</v>
      </c>
      <c r="D169" s="5" t="s">
        <v>128</v>
      </c>
      <c r="E169" s="5" t="s">
        <v>51</v>
      </c>
    </row>
    <row r="170" spans="1:5" x14ac:dyDescent="0.3">
      <c r="A170" s="5" t="s">
        <v>320</v>
      </c>
      <c r="B170" s="5" t="s">
        <v>131</v>
      </c>
      <c r="C170" s="5" t="s">
        <v>111</v>
      </c>
      <c r="D170" s="5" t="s">
        <v>89</v>
      </c>
      <c r="E170" s="5" t="s">
        <v>65</v>
      </c>
    </row>
    <row r="171" spans="1:5" x14ac:dyDescent="0.3">
      <c r="A171" s="5" t="s">
        <v>322</v>
      </c>
      <c r="B171" s="5" t="s">
        <v>112</v>
      </c>
      <c r="C171" s="5" t="s">
        <v>131</v>
      </c>
      <c r="D171" s="5" t="s">
        <v>90</v>
      </c>
      <c r="E171" s="5" t="s">
        <v>65</v>
      </c>
    </row>
    <row r="172" spans="1:5" x14ac:dyDescent="0.3">
      <c r="A172" s="5" t="s">
        <v>323</v>
      </c>
      <c r="B172" s="5" t="s">
        <v>131</v>
      </c>
      <c r="C172" s="5" t="s">
        <v>112</v>
      </c>
      <c r="D172" s="5" t="s">
        <v>98</v>
      </c>
      <c r="E172" s="5" t="s">
        <v>65</v>
      </c>
    </row>
    <row r="173" spans="1:5" x14ac:dyDescent="0.3">
      <c r="A173" s="5" t="s">
        <v>324</v>
      </c>
      <c r="B173" s="5" t="s">
        <v>109</v>
      </c>
      <c r="C173" s="5" t="s">
        <v>109</v>
      </c>
      <c r="D173" s="5" t="s">
        <v>90</v>
      </c>
      <c r="E173" s="5" t="s">
        <v>44</v>
      </c>
    </row>
    <row r="174" spans="1:5" x14ac:dyDescent="0.3">
      <c r="A174" s="5" t="s">
        <v>325</v>
      </c>
      <c r="B174" s="5" t="s">
        <v>160</v>
      </c>
      <c r="C174" s="5" t="s">
        <v>160</v>
      </c>
      <c r="D174" s="5" t="s">
        <v>85</v>
      </c>
      <c r="E174" s="5" t="s">
        <v>44</v>
      </c>
    </row>
    <row r="175" spans="1:5" x14ac:dyDescent="0.3">
      <c r="A175" s="5" t="s">
        <v>326</v>
      </c>
      <c r="B175" s="5" t="s">
        <v>136</v>
      </c>
      <c r="C175" s="5" t="s">
        <v>168</v>
      </c>
      <c r="D175" s="5" t="s">
        <v>60</v>
      </c>
      <c r="E175" s="5" t="s">
        <v>44</v>
      </c>
    </row>
    <row r="176" spans="1:5" x14ac:dyDescent="0.3">
      <c r="A176" s="5" t="s">
        <v>327</v>
      </c>
      <c r="B176" s="5" t="s">
        <v>168</v>
      </c>
      <c r="C176" s="5" t="s">
        <v>160</v>
      </c>
      <c r="D176" s="5" t="s">
        <v>94</v>
      </c>
      <c r="E176" s="5" t="s">
        <v>44</v>
      </c>
    </row>
    <row r="177" spans="1:5" x14ac:dyDescent="0.3">
      <c r="A177" s="5" t="s">
        <v>328</v>
      </c>
      <c r="B177" s="5" t="s">
        <v>168</v>
      </c>
      <c r="C177" s="5" t="s">
        <v>109</v>
      </c>
      <c r="D177" s="5" t="s">
        <v>87</v>
      </c>
      <c r="E177" s="5" t="s">
        <v>453</v>
      </c>
    </row>
    <row r="178" spans="1:5" x14ac:dyDescent="0.3">
      <c r="A178" s="5" t="s">
        <v>330</v>
      </c>
      <c r="B178" s="5" t="s">
        <v>168</v>
      </c>
      <c r="C178" s="5" t="s">
        <v>109</v>
      </c>
      <c r="D178" s="5" t="s">
        <v>85</v>
      </c>
      <c r="E178" s="5" t="s">
        <v>44</v>
      </c>
    </row>
    <row r="179" spans="1:5" x14ac:dyDescent="0.3">
      <c r="A179" s="5" t="s">
        <v>331</v>
      </c>
      <c r="B179" s="5" t="s">
        <v>160</v>
      </c>
      <c r="C179" s="5" t="s">
        <v>112</v>
      </c>
      <c r="D179" s="5" t="s">
        <v>87</v>
      </c>
      <c r="E179" s="5" t="s">
        <v>46</v>
      </c>
    </row>
    <row r="180" spans="1:5" x14ac:dyDescent="0.3">
      <c r="A180" s="5" t="s">
        <v>332</v>
      </c>
      <c r="B180" s="5" t="s">
        <v>111</v>
      </c>
      <c r="C180" s="5" t="s">
        <v>114</v>
      </c>
      <c r="D180" s="5" t="s">
        <v>89</v>
      </c>
      <c r="E180" s="5" t="s">
        <v>69</v>
      </c>
    </row>
    <row r="181" spans="1:5" x14ac:dyDescent="0.3">
      <c r="A181" s="5" t="s">
        <v>334</v>
      </c>
      <c r="B181" s="5" t="s">
        <v>115</v>
      </c>
      <c r="C181" s="5" t="s">
        <v>148</v>
      </c>
      <c r="D181" s="5" t="s">
        <v>89</v>
      </c>
      <c r="E181" s="5" t="s">
        <v>62</v>
      </c>
    </row>
    <row r="182" spans="1:5" x14ac:dyDescent="0.3">
      <c r="A182" s="5" t="s">
        <v>337</v>
      </c>
      <c r="B182" s="5" t="s">
        <v>114</v>
      </c>
      <c r="C182" s="5" t="s">
        <v>152</v>
      </c>
      <c r="D182" s="5" t="s">
        <v>452</v>
      </c>
      <c r="E182" s="5" t="s">
        <v>51</v>
      </c>
    </row>
    <row r="183" spans="1:5" x14ac:dyDescent="0.3">
      <c r="A183" s="5" t="s">
        <v>339</v>
      </c>
      <c r="B183" s="5" t="s">
        <v>114</v>
      </c>
      <c r="C183" s="5" t="s">
        <v>147</v>
      </c>
      <c r="D183" s="5" t="s">
        <v>102</v>
      </c>
      <c r="E183" s="5" t="s">
        <v>71</v>
      </c>
    </row>
    <row r="184" spans="1:5" x14ac:dyDescent="0.3">
      <c r="A184" s="5" t="s">
        <v>341</v>
      </c>
      <c r="B184" s="5" t="s">
        <v>147</v>
      </c>
      <c r="C184" s="5" t="s">
        <v>151</v>
      </c>
      <c r="D184" s="5" t="s">
        <v>133</v>
      </c>
      <c r="E184" s="5" t="s">
        <v>75</v>
      </c>
    </row>
    <row r="185" spans="1:5" x14ac:dyDescent="0.3">
      <c r="A185" s="5" t="s">
        <v>343</v>
      </c>
      <c r="B185" s="5" t="s">
        <v>152</v>
      </c>
      <c r="C185" s="5" t="s">
        <v>156</v>
      </c>
      <c r="D185" s="5" t="s">
        <v>136</v>
      </c>
      <c r="E185" s="5" t="s">
        <v>71</v>
      </c>
    </row>
    <row r="186" spans="1:5" x14ac:dyDescent="0.3">
      <c r="A186" s="5" t="s">
        <v>345</v>
      </c>
      <c r="B186" s="5" t="s">
        <v>111</v>
      </c>
      <c r="C186" s="5" t="s">
        <v>148</v>
      </c>
      <c r="D186" s="5" t="s">
        <v>140</v>
      </c>
      <c r="E186" s="5" t="s">
        <v>57</v>
      </c>
    </row>
    <row r="187" spans="1:5" x14ac:dyDescent="0.3">
      <c r="A187" s="5" t="s">
        <v>347</v>
      </c>
      <c r="B187" s="5" t="s">
        <v>115</v>
      </c>
      <c r="C187" s="5" t="s">
        <v>114</v>
      </c>
      <c r="D187" s="5" t="s">
        <v>93</v>
      </c>
      <c r="E187" s="5" t="s">
        <v>57</v>
      </c>
    </row>
    <row r="188" spans="1:5" x14ac:dyDescent="0.3">
      <c r="A188" s="5" t="s">
        <v>349</v>
      </c>
      <c r="B188" s="5" t="s">
        <v>152</v>
      </c>
      <c r="C188" s="5" t="s">
        <v>118</v>
      </c>
      <c r="D188" s="5" t="s">
        <v>93</v>
      </c>
      <c r="E188" s="5" t="s">
        <v>48</v>
      </c>
    </row>
    <row r="189" spans="1:5" x14ac:dyDescent="0.3">
      <c r="A189" s="5" t="s">
        <v>352</v>
      </c>
      <c r="B189" s="5" t="s">
        <v>152</v>
      </c>
      <c r="C189" s="5" t="s">
        <v>147</v>
      </c>
      <c r="D189" s="5" t="s">
        <v>452</v>
      </c>
      <c r="E189" s="5" t="s">
        <v>65</v>
      </c>
    </row>
    <row r="190" spans="1:5" x14ac:dyDescent="0.3">
      <c r="A190" s="5" t="s">
        <v>354</v>
      </c>
      <c r="B190" s="5" t="s">
        <v>111</v>
      </c>
      <c r="C190" s="5" t="s">
        <v>114</v>
      </c>
      <c r="D190" s="5" t="s">
        <v>98</v>
      </c>
      <c r="E190" s="5" t="s">
        <v>26</v>
      </c>
    </row>
    <row r="191" spans="1:5" x14ac:dyDescent="0.3">
      <c r="A191" s="5" t="s">
        <v>356</v>
      </c>
      <c r="B191" s="5" t="s">
        <v>131</v>
      </c>
      <c r="C191" s="5" t="s">
        <v>124</v>
      </c>
      <c r="D191" s="5" t="s">
        <v>91</v>
      </c>
      <c r="E191" s="5" t="s">
        <v>42</v>
      </c>
    </row>
    <row r="192" spans="1:5" x14ac:dyDescent="0.3">
      <c r="A192" s="5" t="s">
        <v>358</v>
      </c>
      <c r="B192" s="5" t="s">
        <v>111</v>
      </c>
      <c r="C192" s="5" t="s">
        <v>115</v>
      </c>
      <c r="D192" s="5" t="s">
        <v>103</v>
      </c>
      <c r="E192" s="5" t="s">
        <v>46</v>
      </c>
    </row>
    <row r="193" spans="1:5" x14ac:dyDescent="0.3">
      <c r="A193" s="5" t="s">
        <v>360</v>
      </c>
      <c r="B193" s="5" t="s">
        <v>124</v>
      </c>
      <c r="C193" s="5" t="s">
        <v>111</v>
      </c>
      <c r="D193" s="5" t="s">
        <v>98</v>
      </c>
      <c r="E193" s="5" t="s">
        <v>44</v>
      </c>
    </row>
    <row r="194" spans="1:5" x14ac:dyDescent="0.3">
      <c r="A194" s="5" t="s">
        <v>362</v>
      </c>
      <c r="B194" s="5" t="s">
        <v>105</v>
      </c>
      <c r="C194" s="5" t="s">
        <v>109</v>
      </c>
      <c r="D194" s="5" t="s">
        <v>77</v>
      </c>
      <c r="E194" s="5" t="s">
        <v>52</v>
      </c>
    </row>
    <row r="195" spans="1:5" x14ac:dyDescent="0.3">
      <c r="A195" s="5" t="s">
        <v>364</v>
      </c>
      <c r="B195" s="5" t="s">
        <v>105</v>
      </c>
      <c r="C195" s="5" t="s">
        <v>105</v>
      </c>
      <c r="D195" s="5" t="s">
        <v>74</v>
      </c>
      <c r="E195" s="5" t="s">
        <v>52</v>
      </c>
    </row>
    <row r="196" spans="1:5" x14ac:dyDescent="0.3">
      <c r="A196" s="5" t="s">
        <v>365</v>
      </c>
      <c r="B196" s="5" t="s">
        <v>168</v>
      </c>
      <c r="C196" s="5" t="s">
        <v>105</v>
      </c>
      <c r="D196" s="5" t="s">
        <v>67</v>
      </c>
      <c r="E196" s="5" t="s">
        <v>52</v>
      </c>
    </row>
    <row r="197" spans="1:5" x14ac:dyDescent="0.3">
      <c r="A197" s="5" t="s">
        <v>367</v>
      </c>
      <c r="B197" s="5" t="s">
        <v>168</v>
      </c>
      <c r="C197" s="5" t="s">
        <v>160</v>
      </c>
      <c r="D197" s="5" t="s">
        <v>74</v>
      </c>
      <c r="E197" s="5" t="s">
        <v>457</v>
      </c>
    </row>
    <row r="198" spans="1:5" x14ac:dyDescent="0.3">
      <c r="A198" s="5" t="s">
        <v>368</v>
      </c>
      <c r="B198" s="5" t="s">
        <v>136</v>
      </c>
      <c r="C198" s="5" t="s">
        <v>168</v>
      </c>
      <c r="D198" s="5" t="s">
        <v>75</v>
      </c>
      <c r="E198" s="5" t="s">
        <v>459</v>
      </c>
    </row>
    <row r="199" spans="1:5" x14ac:dyDescent="0.3">
      <c r="A199" s="5" t="s">
        <v>369</v>
      </c>
      <c r="B199" s="5" t="s">
        <v>136</v>
      </c>
      <c r="C199" s="5" t="s">
        <v>136</v>
      </c>
      <c r="D199" s="5" t="s">
        <v>71</v>
      </c>
      <c r="E199" s="5" t="s">
        <v>458</v>
      </c>
    </row>
    <row r="200" spans="1:5" x14ac:dyDescent="0.3">
      <c r="A200" s="5" t="s">
        <v>370</v>
      </c>
      <c r="B200" s="5" t="s">
        <v>133</v>
      </c>
      <c r="C200" s="5" t="s">
        <v>136</v>
      </c>
      <c r="D200" s="5" t="s">
        <v>71</v>
      </c>
      <c r="E200" s="5" t="s">
        <v>24</v>
      </c>
    </row>
    <row r="201" spans="1:5" x14ac:dyDescent="0.3">
      <c r="A201" s="5" t="s">
        <v>371</v>
      </c>
      <c r="B201" s="5" t="s">
        <v>102</v>
      </c>
      <c r="C201" s="5" t="s">
        <v>102</v>
      </c>
      <c r="D201" s="5" t="s">
        <v>62</v>
      </c>
      <c r="E201" s="5" t="s">
        <v>455</v>
      </c>
    </row>
    <row r="202" spans="1:5" x14ac:dyDescent="0.3">
      <c r="A202" s="5" t="s">
        <v>372</v>
      </c>
      <c r="B202" s="5" t="s">
        <v>89</v>
      </c>
      <c r="C202" s="5" t="s">
        <v>89</v>
      </c>
      <c r="D202" s="5" t="s">
        <v>65</v>
      </c>
      <c r="E202" s="5" t="s">
        <v>35</v>
      </c>
    </row>
    <row r="203" spans="1:5" x14ac:dyDescent="0.3">
      <c r="A203" s="5" t="s">
        <v>373</v>
      </c>
      <c r="B203" s="5" t="s">
        <v>89</v>
      </c>
      <c r="C203" s="5" t="s">
        <v>89</v>
      </c>
      <c r="D203" s="5" t="s">
        <v>51</v>
      </c>
      <c r="E203" s="5" t="s">
        <v>455</v>
      </c>
    </row>
    <row r="204" spans="1:5" x14ac:dyDescent="0.3">
      <c r="A204" s="5" t="s">
        <v>374</v>
      </c>
      <c r="B204" s="5" t="s">
        <v>178</v>
      </c>
      <c r="C204" s="5" t="s">
        <v>178</v>
      </c>
      <c r="D204" s="5" t="s">
        <v>68</v>
      </c>
      <c r="E204" s="5" t="s">
        <v>23</v>
      </c>
    </row>
    <row r="205" spans="1:5" x14ac:dyDescent="0.3">
      <c r="A205" s="5" t="s">
        <v>375</v>
      </c>
      <c r="B205" s="5" t="s">
        <v>140</v>
      </c>
      <c r="C205" s="5" t="s">
        <v>178</v>
      </c>
      <c r="D205" s="5" t="s">
        <v>71</v>
      </c>
      <c r="E205" s="5" t="s">
        <v>49</v>
      </c>
    </row>
    <row r="206" spans="1:5" x14ac:dyDescent="0.3">
      <c r="A206" s="5" t="s">
        <v>376</v>
      </c>
      <c r="B206" s="5" t="s">
        <v>140</v>
      </c>
      <c r="C206" s="5" t="s">
        <v>178</v>
      </c>
      <c r="D206" s="5" t="s">
        <v>75</v>
      </c>
      <c r="E206" s="5" t="s">
        <v>18</v>
      </c>
    </row>
    <row r="207" spans="1:5" x14ac:dyDescent="0.3">
      <c r="A207" s="5" t="s">
        <v>377</v>
      </c>
      <c r="B207" s="5" t="s">
        <v>128</v>
      </c>
      <c r="C207" s="5" t="s">
        <v>140</v>
      </c>
      <c r="D207" s="5" t="s">
        <v>75</v>
      </c>
      <c r="E207" s="5" t="s">
        <v>34</v>
      </c>
    </row>
    <row r="208" spans="1:5" x14ac:dyDescent="0.3">
      <c r="A208" s="5" t="s">
        <v>378</v>
      </c>
      <c r="B208" s="5" t="s">
        <v>178</v>
      </c>
      <c r="C208" s="5" t="s">
        <v>93</v>
      </c>
      <c r="D208" s="5" t="s">
        <v>71</v>
      </c>
      <c r="E208" s="5" t="s">
        <v>34</v>
      </c>
    </row>
    <row r="209" spans="1:5" x14ac:dyDescent="0.3">
      <c r="A209" s="5" t="s">
        <v>379</v>
      </c>
      <c r="B209" s="5" t="s">
        <v>452</v>
      </c>
      <c r="C209" s="5" t="s">
        <v>89</v>
      </c>
      <c r="D209" s="5" t="s">
        <v>64</v>
      </c>
      <c r="E209" s="5" t="s">
        <v>457</v>
      </c>
    </row>
    <row r="210" spans="1:5" x14ac:dyDescent="0.3">
      <c r="A210" s="5" t="s">
        <v>380</v>
      </c>
      <c r="B210" s="5" t="s">
        <v>103</v>
      </c>
      <c r="C210" s="5" t="s">
        <v>103</v>
      </c>
      <c r="D210" s="5" t="s">
        <v>78</v>
      </c>
      <c r="E210" s="5" t="s">
        <v>458</v>
      </c>
    </row>
    <row r="211" spans="1:5" x14ac:dyDescent="0.3">
      <c r="A211" s="5" t="s">
        <v>382</v>
      </c>
      <c r="B211" s="5" t="s">
        <v>96</v>
      </c>
      <c r="C211" s="5" t="s">
        <v>96</v>
      </c>
      <c r="D211" s="5" t="s">
        <v>61</v>
      </c>
      <c r="E211" s="5" t="s">
        <v>457</v>
      </c>
    </row>
    <row r="212" spans="1:5" x14ac:dyDescent="0.3">
      <c r="A212" s="5" t="s">
        <v>383</v>
      </c>
      <c r="B212" s="5" t="s">
        <v>93</v>
      </c>
      <c r="C212" s="5" t="s">
        <v>93</v>
      </c>
      <c r="D212" s="5" t="s">
        <v>75</v>
      </c>
      <c r="E212" s="5" t="s">
        <v>42</v>
      </c>
    </row>
    <row r="213" spans="1:5" x14ac:dyDescent="0.3">
      <c r="A213" s="5" t="s">
        <v>384</v>
      </c>
      <c r="B213" s="5" t="s">
        <v>128</v>
      </c>
      <c r="C213" s="5" t="s">
        <v>128</v>
      </c>
      <c r="D213" s="5" t="s">
        <v>74</v>
      </c>
      <c r="E213" s="5" t="s">
        <v>28</v>
      </c>
    </row>
    <row r="214" spans="1:5" x14ac:dyDescent="0.3">
      <c r="A214" s="5" t="s">
        <v>385</v>
      </c>
      <c r="B214" s="5" t="s">
        <v>128</v>
      </c>
      <c r="C214" s="5" t="s">
        <v>136</v>
      </c>
      <c r="D214" s="5" t="s">
        <v>54</v>
      </c>
      <c r="E214" s="5" t="s">
        <v>44</v>
      </c>
    </row>
    <row r="215" spans="1:5" x14ac:dyDescent="0.3">
      <c r="A215" s="5" t="s">
        <v>386</v>
      </c>
      <c r="B215" s="5" t="s">
        <v>452</v>
      </c>
      <c r="C215" s="5" t="s">
        <v>106</v>
      </c>
      <c r="D215" s="5" t="s">
        <v>71</v>
      </c>
      <c r="E215" s="5" t="s">
        <v>26</v>
      </c>
    </row>
    <row r="216" spans="1:5" x14ac:dyDescent="0.3">
      <c r="A216" s="5" t="s">
        <v>387</v>
      </c>
      <c r="B216" s="5" t="s">
        <v>140</v>
      </c>
      <c r="C216" s="5" t="s">
        <v>140</v>
      </c>
      <c r="D216" s="5" t="s">
        <v>67</v>
      </c>
      <c r="E216" s="5" t="s">
        <v>26</v>
      </c>
    </row>
    <row r="217" spans="1:5" x14ac:dyDescent="0.3">
      <c r="A217" s="5" t="s">
        <v>388</v>
      </c>
      <c r="B217" s="5" t="s">
        <v>136</v>
      </c>
      <c r="C217" s="5" t="s">
        <v>136</v>
      </c>
      <c r="D217" s="5" t="s">
        <v>94</v>
      </c>
      <c r="E217" s="5" t="s">
        <v>58</v>
      </c>
    </row>
    <row r="218" spans="1:5" x14ac:dyDescent="0.3">
      <c r="A218" s="5" t="s">
        <v>389</v>
      </c>
      <c r="B218" s="5" t="s">
        <v>134</v>
      </c>
      <c r="C218" s="5" t="s">
        <v>160</v>
      </c>
      <c r="D218" s="5" t="s">
        <v>87</v>
      </c>
      <c r="E218" s="5" t="s">
        <v>57</v>
      </c>
    </row>
    <row r="219" spans="1:5" x14ac:dyDescent="0.3">
      <c r="A219" s="5" t="s">
        <v>390</v>
      </c>
      <c r="B219" s="5" t="s">
        <v>133</v>
      </c>
      <c r="C219" s="5" t="s">
        <v>136</v>
      </c>
      <c r="D219" s="5" t="s">
        <v>80</v>
      </c>
      <c r="E219" s="5" t="s">
        <v>58</v>
      </c>
    </row>
    <row r="220" spans="1:5" x14ac:dyDescent="0.3">
      <c r="A220" s="5" t="s">
        <v>391</v>
      </c>
      <c r="B220" s="5" t="s">
        <v>128</v>
      </c>
      <c r="C220" s="5" t="s">
        <v>140</v>
      </c>
      <c r="D220" s="5" t="s">
        <v>67</v>
      </c>
      <c r="E220" s="5" t="s">
        <v>28</v>
      </c>
    </row>
    <row r="221" spans="1:5" x14ac:dyDescent="0.3">
      <c r="A221" s="5" t="s">
        <v>392</v>
      </c>
      <c r="B221" s="5" t="s">
        <v>107</v>
      </c>
      <c r="C221" s="5" t="s">
        <v>90</v>
      </c>
      <c r="D221" s="5" t="s">
        <v>46</v>
      </c>
      <c r="E221" s="5" t="s">
        <v>458</v>
      </c>
    </row>
    <row r="222" spans="1:5" x14ac:dyDescent="0.3">
      <c r="A222" s="5" t="s">
        <v>394</v>
      </c>
      <c r="B222" s="5" t="s">
        <v>54</v>
      </c>
      <c r="C222" s="5" t="s">
        <v>74</v>
      </c>
      <c r="D222" s="5" t="s">
        <v>26</v>
      </c>
      <c r="E222" s="5" t="s">
        <v>14</v>
      </c>
    </row>
    <row r="223" spans="1:5" x14ac:dyDescent="0.3">
      <c r="A223" s="5" t="s">
        <v>395</v>
      </c>
      <c r="B223" s="5" t="s">
        <v>74</v>
      </c>
      <c r="C223" s="5" t="s">
        <v>56</v>
      </c>
      <c r="D223" s="5" t="s">
        <v>28</v>
      </c>
      <c r="E223" s="5" t="s">
        <v>455</v>
      </c>
    </row>
    <row r="224" spans="1:5" x14ac:dyDescent="0.3">
      <c r="A224" s="5" t="s">
        <v>396</v>
      </c>
      <c r="B224" s="5" t="s">
        <v>56</v>
      </c>
      <c r="C224" s="5" t="s">
        <v>56</v>
      </c>
      <c r="D224" s="5" t="s">
        <v>42</v>
      </c>
      <c r="E224" s="5" t="s">
        <v>29</v>
      </c>
    </row>
    <row r="225" spans="1:5" x14ac:dyDescent="0.3">
      <c r="A225" s="5" t="s">
        <v>397</v>
      </c>
      <c r="B225" s="5" t="s">
        <v>71</v>
      </c>
      <c r="C225" s="5" t="s">
        <v>75</v>
      </c>
      <c r="D225" s="5" t="s">
        <v>458</v>
      </c>
      <c r="E225" s="5" t="s">
        <v>35</v>
      </c>
    </row>
    <row r="226" spans="1:5" x14ac:dyDescent="0.3">
      <c r="A226" s="5" t="s">
        <v>399</v>
      </c>
      <c r="B226" s="5" t="s">
        <v>74</v>
      </c>
      <c r="C226" s="5" t="s">
        <v>80</v>
      </c>
      <c r="D226" s="5" t="s">
        <v>22</v>
      </c>
      <c r="E226" s="5" t="s">
        <v>24</v>
      </c>
    </row>
    <row r="227" spans="1:5" x14ac:dyDescent="0.3">
      <c r="A227" s="5" t="s">
        <v>401</v>
      </c>
      <c r="B227" s="5" t="s">
        <v>77</v>
      </c>
      <c r="C227" s="5" t="s">
        <v>60</v>
      </c>
      <c r="D227" s="5" t="s">
        <v>46</v>
      </c>
      <c r="E227" s="5" t="s">
        <v>458</v>
      </c>
    </row>
    <row r="228" spans="1:5" x14ac:dyDescent="0.3">
      <c r="A228" s="5" t="s">
        <v>402</v>
      </c>
      <c r="B228" s="5" t="s">
        <v>91</v>
      </c>
      <c r="C228" s="5" t="s">
        <v>91</v>
      </c>
      <c r="D228" s="5" t="s">
        <v>453</v>
      </c>
      <c r="E228" s="5" t="s">
        <v>459</v>
      </c>
    </row>
    <row r="229" spans="1:5" x14ac:dyDescent="0.3">
      <c r="A229" s="5" t="s">
        <v>403</v>
      </c>
      <c r="B229" s="5" t="s">
        <v>80</v>
      </c>
      <c r="C229" s="5" t="s">
        <v>56</v>
      </c>
      <c r="D229" s="5" t="s">
        <v>18</v>
      </c>
      <c r="E229" s="5" t="s">
        <v>29</v>
      </c>
    </row>
    <row r="230" spans="1:5" x14ac:dyDescent="0.3">
      <c r="A230" s="5" t="s">
        <v>404</v>
      </c>
      <c r="B230" s="5" t="s">
        <v>61</v>
      </c>
      <c r="C230" s="5" t="s">
        <v>71</v>
      </c>
      <c r="D230" s="5" t="s">
        <v>49</v>
      </c>
      <c r="E230" s="5" t="s">
        <v>20</v>
      </c>
    </row>
    <row r="231" spans="1:5" x14ac:dyDescent="0.3">
      <c r="A231" s="5" t="s">
        <v>405</v>
      </c>
      <c r="B231" s="5" t="s">
        <v>67</v>
      </c>
      <c r="C231" s="5" t="s">
        <v>75</v>
      </c>
      <c r="D231" s="5" t="s">
        <v>52</v>
      </c>
      <c r="E231" s="5" t="s">
        <v>32</v>
      </c>
    </row>
    <row r="232" spans="1:5" x14ac:dyDescent="0.3">
      <c r="A232" s="5" t="s">
        <v>406</v>
      </c>
      <c r="B232" s="5" t="s">
        <v>64</v>
      </c>
      <c r="C232" s="5" t="s">
        <v>71</v>
      </c>
      <c r="D232" s="5" t="s">
        <v>457</v>
      </c>
      <c r="E232" s="5" t="s">
        <v>9</v>
      </c>
    </row>
    <row r="233" spans="1:5" x14ac:dyDescent="0.3">
      <c r="A233" s="5" t="s">
        <v>407</v>
      </c>
      <c r="B233" s="5" t="s">
        <v>61</v>
      </c>
      <c r="C233" s="5" t="s">
        <v>68</v>
      </c>
      <c r="D233" s="5" t="s">
        <v>23</v>
      </c>
      <c r="E233" s="5" t="s">
        <v>456</v>
      </c>
    </row>
    <row r="234" spans="1:5" x14ac:dyDescent="0.3">
      <c r="A234" s="5" t="s">
        <v>408</v>
      </c>
      <c r="B234" s="5" t="s">
        <v>61</v>
      </c>
      <c r="C234" s="5" t="s">
        <v>61</v>
      </c>
      <c r="D234" s="5" t="s">
        <v>458</v>
      </c>
      <c r="E234" s="5" t="s">
        <v>20</v>
      </c>
    </row>
    <row r="235" spans="1:5" x14ac:dyDescent="0.3">
      <c r="A235" s="5" t="s">
        <v>409</v>
      </c>
      <c r="B235" s="5" t="s">
        <v>56</v>
      </c>
      <c r="C235" s="5" t="s">
        <v>56</v>
      </c>
      <c r="D235" s="5" t="s">
        <v>52</v>
      </c>
      <c r="E235" s="5" t="s">
        <v>31</v>
      </c>
    </row>
    <row r="236" spans="1:5" x14ac:dyDescent="0.3">
      <c r="A236" s="5" t="s">
        <v>410</v>
      </c>
      <c r="B236" s="5" t="s">
        <v>60</v>
      </c>
      <c r="C236" s="5" t="s">
        <v>454</v>
      </c>
      <c r="D236" s="5" t="s">
        <v>42</v>
      </c>
      <c r="E236" s="5" t="s">
        <v>19</v>
      </c>
    </row>
    <row r="237" spans="1:5" x14ac:dyDescent="0.3">
      <c r="A237" s="5" t="s">
        <v>411</v>
      </c>
      <c r="B237" s="5" t="s">
        <v>454</v>
      </c>
      <c r="C237" s="5" t="s">
        <v>94</v>
      </c>
      <c r="D237" s="5" t="s">
        <v>28</v>
      </c>
      <c r="E237" s="5" t="s">
        <v>24</v>
      </c>
    </row>
    <row r="238" spans="1:5" x14ac:dyDescent="0.3">
      <c r="A238" s="5" t="s">
        <v>412</v>
      </c>
      <c r="B238" s="5" t="s">
        <v>93</v>
      </c>
      <c r="C238" s="5" t="s">
        <v>452</v>
      </c>
      <c r="D238" s="5" t="s">
        <v>51</v>
      </c>
      <c r="E238" s="5" t="s">
        <v>42</v>
      </c>
    </row>
    <row r="239" spans="1:5" x14ac:dyDescent="0.3">
      <c r="A239" s="5" t="s">
        <v>413</v>
      </c>
      <c r="B239" s="5" t="s">
        <v>133</v>
      </c>
      <c r="C239" s="5" t="s">
        <v>136</v>
      </c>
      <c r="D239" s="5" t="s">
        <v>56</v>
      </c>
      <c r="E239" s="5" t="s">
        <v>65</v>
      </c>
    </row>
    <row r="240" spans="1:5" x14ac:dyDescent="0.3">
      <c r="A240" s="5" t="s">
        <v>414</v>
      </c>
      <c r="B240" s="5" t="s">
        <v>106</v>
      </c>
      <c r="C240" s="5" t="s">
        <v>105</v>
      </c>
      <c r="D240" s="5" t="s">
        <v>60</v>
      </c>
      <c r="E240" s="5" t="s">
        <v>46</v>
      </c>
    </row>
    <row r="241" spans="1:5" x14ac:dyDescent="0.3">
      <c r="A241" s="5" t="s">
        <v>415</v>
      </c>
      <c r="B241" s="5" t="s">
        <v>93</v>
      </c>
      <c r="C241" s="5" t="s">
        <v>128</v>
      </c>
      <c r="D241" s="5" t="s">
        <v>54</v>
      </c>
      <c r="E241" s="5" t="s">
        <v>453</v>
      </c>
    </row>
    <row r="242" spans="1:5" x14ac:dyDescent="0.3">
      <c r="A242" s="5" t="s">
        <v>416</v>
      </c>
      <c r="B242" s="5" t="s">
        <v>96</v>
      </c>
      <c r="C242" s="5" t="s">
        <v>93</v>
      </c>
      <c r="D242" s="5" t="s">
        <v>68</v>
      </c>
      <c r="E242" s="5" t="s">
        <v>42</v>
      </c>
    </row>
    <row r="243" spans="1:5" x14ac:dyDescent="0.3">
      <c r="A243" s="5" t="s">
        <v>417</v>
      </c>
      <c r="B243" s="5" t="s">
        <v>96</v>
      </c>
      <c r="C243" s="5" t="s">
        <v>102</v>
      </c>
      <c r="D243" s="5" t="s">
        <v>68</v>
      </c>
      <c r="E243" s="5" t="s">
        <v>52</v>
      </c>
    </row>
    <row r="244" spans="1:5" x14ac:dyDescent="0.3">
      <c r="A244" s="5" t="s">
        <v>418</v>
      </c>
      <c r="B244" s="5" t="s">
        <v>107</v>
      </c>
      <c r="C244" s="5" t="s">
        <v>93</v>
      </c>
      <c r="D244" s="5" t="s">
        <v>62</v>
      </c>
      <c r="E244" s="5" t="s">
        <v>458</v>
      </c>
    </row>
    <row r="245" spans="1:5" x14ac:dyDescent="0.3">
      <c r="A245" s="5" t="s">
        <v>419</v>
      </c>
      <c r="B245" s="5" t="s">
        <v>107</v>
      </c>
      <c r="C245" s="5" t="s">
        <v>102</v>
      </c>
      <c r="D245" s="5" t="s">
        <v>48</v>
      </c>
      <c r="E245" s="5" t="s">
        <v>23</v>
      </c>
    </row>
    <row r="246" spans="1:5" x14ac:dyDescent="0.3">
      <c r="A246" s="5" t="s">
        <v>420</v>
      </c>
      <c r="B246" s="5" t="s">
        <v>87</v>
      </c>
      <c r="C246" s="5" t="s">
        <v>103</v>
      </c>
      <c r="D246" s="5" t="s">
        <v>44</v>
      </c>
      <c r="E246" s="5" t="s">
        <v>29</v>
      </c>
    </row>
    <row r="247" spans="1:5" x14ac:dyDescent="0.3">
      <c r="A247" s="5" t="s">
        <v>421</v>
      </c>
      <c r="B247" s="5" t="s">
        <v>56</v>
      </c>
      <c r="C247" s="5" t="s">
        <v>91</v>
      </c>
      <c r="D247" s="5" t="s">
        <v>38</v>
      </c>
      <c r="E247" s="5" t="s">
        <v>455</v>
      </c>
    </row>
    <row r="248" spans="1:5" x14ac:dyDescent="0.3">
      <c r="A248" s="5" t="s">
        <v>422</v>
      </c>
      <c r="B248" s="5" t="s">
        <v>64</v>
      </c>
      <c r="C248" s="5" t="s">
        <v>56</v>
      </c>
      <c r="D248" s="5" t="s">
        <v>457</v>
      </c>
      <c r="E248" s="5" t="s">
        <v>456</v>
      </c>
    </row>
    <row r="249" spans="1:5" x14ac:dyDescent="0.3">
      <c r="A249" s="5" t="s">
        <v>423</v>
      </c>
      <c r="B249" s="5" t="s">
        <v>71</v>
      </c>
      <c r="C249" s="5" t="s">
        <v>75</v>
      </c>
      <c r="D249" s="5" t="s">
        <v>42</v>
      </c>
      <c r="E249" s="5" t="s">
        <v>455</v>
      </c>
    </row>
    <row r="250" spans="1:5" x14ac:dyDescent="0.3">
      <c r="A250" s="5" t="s">
        <v>424</v>
      </c>
      <c r="B250" s="5" t="s">
        <v>98</v>
      </c>
      <c r="C250" s="5" t="s">
        <v>98</v>
      </c>
      <c r="D250" s="5" t="s">
        <v>51</v>
      </c>
      <c r="E250" s="5" t="s">
        <v>52</v>
      </c>
    </row>
    <row r="251" spans="1:5" x14ac:dyDescent="0.3">
      <c r="A251" s="5" t="s">
        <v>425</v>
      </c>
      <c r="B251" s="5" t="s">
        <v>93</v>
      </c>
      <c r="C251" s="5" t="s">
        <v>178</v>
      </c>
      <c r="D251" s="5" t="s">
        <v>67</v>
      </c>
      <c r="E251" s="5" t="s">
        <v>44</v>
      </c>
    </row>
    <row r="252" spans="1:5" x14ac:dyDescent="0.3">
      <c r="A252" s="5" t="s">
        <v>426</v>
      </c>
      <c r="B252" s="5" t="s">
        <v>89</v>
      </c>
      <c r="C252" s="5" t="s">
        <v>140</v>
      </c>
      <c r="D252" s="5" t="s">
        <v>61</v>
      </c>
      <c r="E252" s="5" t="s">
        <v>28</v>
      </c>
    </row>
    <row r="253" spans="1:5" x14ac:dyDescent="0.3">
      <c r="A253" s="5" t="s">
        <v>427</v>
      </c>
      <c r="B253" s="5" t="s">
        <v>102</v>
      </c>
      <c r="C253" s="5" t="s">
        <v>102</v>
      </c>
      <c r="D253" s="5" t="s">
        <v>64</v>
      </c>
      <c r="E253" s="5" t="s">
        <v>38</v>
      </c>
    </row>
    <row r="254" spans="1:5" x14ac:dyDescent="0.3">
      <c r="A254" s="5" t="s">
        <v>428</v>
      </c>
      <c r="B254" s="5" t="s">
        <v>128</v>
      </c>
      <c r="C254" s="5" t="s">
        <v>134</v>
      </c>
      <c r="D254" s="5" t="s">
        <v>54</v>
      </c>
      <c r="E254" s="5" t="s">
        <v>44</v>
      </c>
    </row>
    <row r="255" spans="1:5" x14ac:dyDescent="0.3">
      <c r="A255" s="5" t="s">
        <v>429</v>
      </c>
      <c r="B255" s="5" t="s">
        <v>133</v>
      </c>
      <c r="C255" s="5" t="s">
        <v>168</v>
      </c>
      <c r="D255" s="5" t="s">
        <v>454</v>
      </c>
      <c r="E255" s="5" t="s">
        <v>22</v>
      </c>
    </row>
    <row r="256" spans="1:5" x14ac:dyDescent="0.3">
      <c r="A256" s="5" t="s">
        <v>430</v>
      </c>
      <c r="B256" s="5" t="s">
        <v>105</v>
      </c>
      <c r="C256" s="5" t="s">
        <v>131</v>
      </c>
      <c r="D256" s="5" t="s">
        <v>454</v>
      </c>
      <c r="E256" s="5" t="s">
        <v>48</v>
      </c>
    </row>
    <row r="257" spans="1:5" x14ac:dyDescent="0.3">
      <c r="A257" s="5" t="s">
        <v>431</v>
      </c>
      <c r="B257" s="5" t="s">
        <v>136</v>
      </c>
      <c r="C257" s="5" t="s">
        <v>109</v>
      </c>
      <c r="D257" s="5" t="s">
        <v>77</v>
      </c>
      <c r="E257" s="5" t="s">
        <v>46</v>
      </c>
    </row>
    <row r="258" spans="1:5" x14ac:dyDescent="0.3">
      <c r="A258" s="5" t="s">
        <v>432</v>
      </c>
      <c r="B258" s="5" t="s">
        <v>133</v>
      </c>
      <c r="C258" s="5" t="s">
        <v>168</v>
      </c>
      <c r="D258" s="5" t="s">
        <v>74</v>
      </c>
      <c r="E258" s="5" t="s">
        <v>453</v>
      </c>
    </row>
    <row r="259" spans="1:5" x14ac:dyDescent="0.3">
      <c r="A259" s="5" t="s">
        <v>433</v>
      </c>
      <c r="B259" s="5" t="s">
        <v>133</v>
      </c>
      <c r="C259" s="5" t="s">
        <v>133</v>
      </c>
      <c r="D259" s="5" t="s">
        <v>54</v>
      </c>
      <c r="E259" s="5" t="s">
        <v>22</v>
      </c>
    </row>
    <row r="260" spans="1:5" x14ac:dyDescent="0.3">
      <c r="A260" s="5" t="s">
        <v>434</v>
      </c>
      <c r="B260" s="5" t="s">
        <v>109</v>
      </c>
      <c r="C260" s="5" t="s">
        <v>109</v>
      </c>
      <c r="D260" s="5" t="s">
        <v>87</v>
      </c>
      <c r="E260" s="5" t="s">
        <v>51</v>
      </c>
    </row>
    <row r="261" spans="1:5" x14ac:dyDescent="0.3">
      <c r="A261" s="5" t="s">
        <v>435</v>
      </c>
      <c r="B261" s="5" t="s">
        <v>143</v>
      </c>
      <c r="C261" s="5" t="s">
        <v>127</v>
      </c>
      <c r="D261" s="5" t="s">
        <v>90</v>
      </c>
      <c r="E261" s="5" t="s">
        <v>68</v>
      </c>
    </row>
    <row r="262" spans="1:5" x14ac:dyDescent="0.3">
      <c r="A262" s="5" t="s">
        <v>437</v>
      </c>
      <c r="B262" s="5" t="s">
        <v>127</v>
      </c>
      <c r="C262" s="5" t="s">
        <v>115</v>
      </c>
      <c r="D262" s="5" t="s">
        <v>107</v>
      </c>
      <c r="E262" s="5" t="s">
        <v>64</v>
      </c>
    </row>
    <row r="263" spans="1:5" x14ac:dyDescent="0.3">
      <c r="A263" s="5" t="s">
        <v>439</v>
      </c>
      <c r="B263" s="5" t="s">
        <v>139</v>
      </c>
      <c r="C263" s="5" t="s">
        <v>148</v>
      </c>
      <c r="D263" s="5" t="s">
        <v>96</v>
      </c>
      <c r="E263" s="5" t="s">
        <v>71</v>
      </c>
    </row>
    <row r="264" spans="1:5" x14ac:dyDescent="0.3">
      <c r="A264" s="5" t="s">
        <v>442</v>
      </c>
      <c r="B264" s="5" t="s">
        <v>114</v>
      </c>
      <c r="C264" s="5" t="s">
        <v>148</v>
      </c>
      <c r="D264" s="5" t="s">
        <v>452</v>
      </c>
      <c r="E264" s="5" t="s">
        <v>75</v>
      </c>
    </row>
    <row r="265" spans="1:5" x14ac:dyDescent="0.3">
      <c r="A265" s="5" t="s">
        <v>445</v>
      </c>
      <c r="B265" s="5" t="s">
        <v>147</v>
      </c>
      <c r="C265" s="5" t="s">
        <v>118</v>
      </c>
      <c r="D265" s="5" t="s">
        <v>96</v>
      </c>
      <c r="E265" s="5" t="s">
        <v>67</v>
      </c>
    </row>
    <row r="266" spans="1:5" x14ac:dyDescent="0.3">
      <c r="A266" s="5" t="s">
        <v>447</v>
      </c>
      <c r="B266" s="5" t="s">
        <v>114</v>
      </c>
      <c r="C266" s="5" t="s">
        <v>152</v>
      </c>
      <c r="D266" s="5" t="s">
        <v>107</v>
      </c>
      <c r="E266" s="5" t="s">
        <v>68</v>
      </c>
    </row>
    <row r="267" spans="1:5" x14ac:dyDescent="0.3">
      <c r="A267" s="5" t="s">
        <v>450</v>
      </c>
      <c r="B267" s="5" t="s">
        <v>111</v>
      </c>
      <c r="C267" s="5" t="s">
        <v>114</v>
      </c>
      <c r="D267" s="5" t="s">
        <v>98</v>
      </c>
      <c r="E267" s="5" t="s">
        <v>68</v>
      </c>
    </row>
  </sheetData>
  <mergeCells count="1">
    <mergeCell ref="A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DE0A0-BB5C-481F-B9AB-A3D72488F3E8}">
  <dimension ref="A1:L253"/>
  <sheetViews>
    <sheetView workbookViewId="0">
      <selection activeCell="C27" sqref="C27"/>
    </sheetView>
  </sheetViews>
  <sheetFormatPr baseColWidth="10" defaultRowHeight="14.4" x14ac:dyDescent="0.3"/>
  <cols>
    <col min="4" max="4" width="13.6640625" bestFit="1" customWidth="1"/>
  </cols>
  <sheetData>
    <row r="1" spans="1:12" x14ac:dyDescent="0.3">
      <c r="A1" s="2" t="s">
        <v>3</v>
      </c>
      <c r="B1" s="2" t="s">
        <v>5</v>
      </c>
      <c r="C1" s="6" t="s">
        <v>530</v>
      </c>
      <c r="D1" s="8" t="s">
        <v>533</v>
      </c>
    </row>
    <row r="2" spans="1:12" x14ac:dyDescent="0.3">
      <c r="A2" s="3" t="s">
        <v>40</v>
      </c>
      <c r="B2" s="3">
        <v>9.5</v>
      </c>
      <c r="C2" s="5">
        <v>9.82</v>
      </c>
      <c r="D2" s="9">
        <f t="shared" ref="D2:D57" si="0">A2+0</f>
        <v>45705</v>
      </c>
      <c r="E2">
        <v>96.684982967085105</v>
      </c>
      <c r="F2" s="14">
        <v>101.19538379550301</v>
      </c>
      <c r="K2" s="14">
        <f>E253*260000</f>
        <v>26567245.571920563</v>
      </c>
      <c r="L2" s="14">
        <f>F253*100000</f>
        <v>10870347.557008</v>
      </c>
    </row>
    <row r="3" spans="1:12" x14ac:dyDescent="0.3">
      <c r="A3" s="3" t="s">
        <v>41</v>
      </c>
      <c r="B3" s="3">
        <v>9.4700000000000006</v>
      </c>
      <c r="C3" s="5">
        <v>9.84</v>
      </c>
      <c r="D3" s="9">
        <f t="shared" si="0"/>
        <v>45706</v>
      </c>
      <c r="E3">
        <v>96.783798411256399</v>
      </c>
      <c r="F3" s="14">
        <v>101.056297008711</v>
      </c>
      <c r="G3" s="15">
        <f>E3/E2-1</f>
        <v>1.0220350786527277E-3</v>
      </c>
      <c r="H3" s="15">
        <f>F3/F2-1</f>
        <v>-1.3744380580943405E-3</v>
      </c>
      <c r="I3" s="15">
        <f>SUMPRODUCT(G3:H3,$K$3:$L$3)</f>
        <v>3.2619718603606255E-4</v>
      </c>
      <c r="K3" s="15">
        <f>K2/(K2+L2)</f>
        <v>0.70964085432596014</v>
      </c>
      <c r="L3" s="15">
        <f>L2/(K2+L2)</f>
        <v>0.29035914567403981</v>
      </c>
    </row>
    <row r="4" spans="1:12" x14ac:dyDescent="0.3">
      <c r="A4" s="3" t="s">
        <v>43</v>
      </c>
      <c r="B4" s="3">
        <v>9.4600000000000009</v>
      </c>
      <c r="C4" s="5">
        <v>9.85</v>
      </c>
      <c r="D4" s="9">
        <f t="shared" si="0"/>
        <v>45707</v>
      </c>
      <c r="E4">
        <v>96.818166100021202</v>
      </c>
      <c r="F4" s="14">
        <v>100.986726978552</v>
      </c>
      <c r="G4" s="15">
        <f t="shared" ref="G4:G67" si="1">E4/E3-1</f>
        <v>3.5509754038343111E-4</v>
      </c>
      <c r="H4" s="15">
        <f t="shared" ref="H4:H67" si="2">F4/F3-1</f>
        <v>-6.8842845243977102E-4</v>
      </c>
      <c r="I4" s="15">
        <f t="shared" ref="I4:I67" si="3">SUMPRODUCT(G4:H4,$K$3:$L$3)</f>
        <v>5.2100224618631928E-5</v>
      </c>
    </row>
    <row r="5" spans="1:12" x14ac:dyDescent="0.3">
      <c r="A5" s="3" t="s">
        <v>45</v>
      </c>
      <c r="B5" s="3">
        <v>9.4499999999999993</v>
      </c>
      <c r="C5" s="5">
        <v>9.91</v>
      </c>
      <c r="D5" s="9">
        <f t="shared" si="0"/>
        <v>45708</v>
      </c>
      <c r="E5">
        <v>96.852516846633407</v>
      </c>
      <c r="F5" s="14">
        <v>100.572246511543</v>
      </c>
      <c r="G5" s="15">
        <f t="shared" si="1"/>
        <v>3.5479650148206865E-4</v>
      </c>
      <c r="H5" s="15">
        <f t="shared" si="2"/>
        <v>-4.1043063718366746E-3</v>
      </c>
      <c r="I5" s="15">
        <f t="shared" si="3"/>
        <v>-9.3994479928741778E-4</v>
      </c>
    </row>
    <row r="6" spans="1:12" x14ac:dyDescent="0.3">
      <c r="A6" s="3" t="s">
        <v>47</v>
      </c>
      <c r="B6" s="3">
        <v>9.39</v>
      </c>
      <c r="C6" s="5">
        <v>9.8699999999999992</v>
      </c>
      <c r="D6" s="9">
        <f t="shared" si="0"/>
        <v>45709</v>
      </c>
      <c r="E6">
        <v>97.048056538549304</v>
      </c>
      <c r="F6" s="14">
        <v>100.847861154912</v>
      </c>
      <c r="G6" s="15">
        <f t="shared" si="1"/>
        <v>2.0189428037842294E-3</v>
      </c>
      <c r="H6" s="15">
        <f t="shared" si="2"/>
        <v>2.7404642227750742E-3</v>
      </c>
      <c r="I6" s="15">
        <f t="shared" si="3"/>
        <v>2.228443146587932E-3</v>
      </c>
      <c r="K6" t="s">
        <v>551</v>
      </c>
    </row>
    <row r="7" spans="1:12" x14ac:dyDescent="0.3">
      <c r="A7" s="3" t="s">
        <v>50</v>
      </c>
      <c r="B7" s="3">
        <v>9.32</v>
      </c>
      <c r="C7" s="5">
        <v>9.76</v>
      </c>
      <c r="D7" s="9">
        <f t="shared" si="0"/>
        <v>45712</v>
      </c>
      <c r="E7">
        <v>97.280014934187193</v>
      </c>
      <c r="F7" s="14">
        <v>101.61086748966</v>
      </c>
      <c r="G7" s="15">
        <f t="shared" si="1"/>
        <v>2.3901395237704293E-3</v>
      </c>
      <c r="H7" s="15">
        <f t="shared" si="2"/>
        <v>7.5659148940794285E-3</v>
      </c>
      <c r="I7" s="15">
        <f t="shared" si="3"/>
        <v>3.8929732384940874E-3</v>
      </c>
      <c r="K7" s="15">
        <f>PERCENTILE(I3:I253,0.05)</f>
        <v>-2.0453577791086719E-3</v>
      </c>
    </row>
    <row r="8" spans="1:12" x14ac:dyDescent="0.3">
      <c r="A8" s="3" t="s">
        <v>53</v>
      </c>
      <c r="B8" s="3">
        <v>9.24</v>
      </c>
      <c r="C8" s="5">
        <v>9.69</v>
      </c>
      <c r="D8" s="9">
        <f t="shared" si="0"/>
        <v>45713</v>
      </c>
      <c r="E8">
        <v>97.540697386423801</v>
      </c>
      <c r="F8" s="14">
        <v>102.100700078716</v>
      </c>
      <c r="G8" s="15">
        <f t="shared" si="1"/>
        <v>2.6797122966415454E-3</v>
      </c>
      <c r="H8" s="15">
        <f t="shared" si="2"/>
        <v>4.8206712643787952E-3</v>
      </c>
      <c r="I8" s="15">
        <f t="shared" si="3"/>
        <v>3.3013593134369073E-3</v>
      </c>
    </row>
    <row r="9" spans="1:12" x14ac:dyDescent="0.3">
      <c r="A9" s="3" t="s">
        <v>55</v>
      </c>
      <c r="B9" s="3">
        <v>9.2100000000000009</v>
      </c>
      <c r="C9" s="5">
        <v>9.57</v>
      </c>
      <c r="D9" s="9">
        <f t="shared" si="0"/>
        <v>45714</v>
      </c>
      <c r="E9">
        <v>97.639670862270705</v>
      </c>
      <c r="F9" s="14">
        <v>102.948181045366</v>
      </c>
      <c r="G9" s="15">
        <f t="shared" si="1"/>
        <v>1.014689032361682E-3</v>
      </c>
      <c r="H9" s="15">
        <f t="shared" si="2"/>
        <v>8.300442269216779E-3</v>
      </c>
      <c r="I9" s="15">
        <f t="shared" si="3"/>
        <v>3.1301741178067981E-3</v>
      </c>
      <c r="K9" s="16">
        <f>K7*SUM(K2:L2)</f>
        <v>-76573.272337359405</v>
      </c>
    </row>
    <row r="10" spans="1:12" x14ac:dyDescent="0.3">
      <c r="A10" s="3" t="s">
        <v>59</v>
      </c>
      <c r="B10" s="3">
        <v>9.18</v>
      </c>
      <c r="C10" s="5">
        <v>9.48</v>
      </c>
      <c r="D10" s="9">
        <f t="shared" si="0"/>
        <v>45715</v>
      </c>
      <c r="E10">
        <v>97.738657212776999</v>
      </c>
      <c r="F10" s="14">
        <v>103.589956298785</v>
      </c>
      <c r="G10" s="15">
        <f t="shared" si="1"/>
        <v>1.013792341085562E-3</v>
      </c>
      <c r="H10" s="15">
        <f t="shared" si="2"/>
        <v>6.2339639894772869E-3</v>
      </c>
      <c r="I10" s="15">
        <f t="shared" si="3"/>
        <v>2.5295169211844272E-3</v>
      </c>
    </row>
    <row r="11" spans="1:12" x14ac:dyDescent="0.3">
      <c r="A11" s="3" t="s">
        <v>63</v>
      </c>
      <c r="B11" s="3">
        <v>9.16</v>
      </c>
      <c r="C11" s="5">
        <v>9.4700000000000006</v>
      </c>
      <c r="D11" s="9">
        <f t="shared" si="0"/>
        <v>45716</v>
      </c>
      <c r="E11">
        <v>97.805201047398</v>
      </c>
      <c r="F11" s="14">
        <v>103.66108699218699</v>
      </c>
      <c r="G11" s="15">
        <f t="shared" si="1"/>
        <v>6.8083434455346037E-4</v>
      </c>
      <c r="H11" s="15">
        <f t="shared" si="2"/>
        <v>6.8665627386543804E-4</v>
      </c>
      <c r="I11" s="15">
        <f t="shared" si="3"/>
        <v>6.8252479497466086E-4</v>
      </c>
    </row>
    <row r="12" spans="1:12" x14ac:dyDescent="0.3">
      <c r="A12" s="3" t="s">
        <v>66</v>
      </c>
      <c r="B12" s="3">
        <v>9.14</v>
      </c>
      <c r="C12" s="5">
        <v>9.44</v>
      </c>
      <c r="D12" s="9">
        <f t="shared" si="0"/>
        <v>45719</v>
      </c>
      <c r="E12">
        <v>97.895679011348903</v>
      </c>
      <c r="F12" s="14">
        <v>103.874818208205</v>
      </c>
      <c r="G12" s="15">
        <f t="shared" si="1"/>
        <v>9.250833593916763E-4</v>
      </c>
      <c r="H12" s="15">
        <f t="shared" si="2"/>
        <v>2.0618268843168863E-3</v>
      </c>
      <c r="I12" s="15">
        <f t="shared" si="3"/>
        <v>1.2551472381394568E-3</v>
      </c>
    </row>
    <row r="13" spans="1:12" x14ac:dyDescent="0.3">
      <c r="A13" s="3" t="s">
        <v>70</v>
      </c>
      <c r="B13" s="3">
        <v>9.15</v>
      </c>
      <c r="C13" s="5">
        <v>9.4499999999999993</v>
      </c>
      <c r="D13" s="9">
        <f t="shared" si="0"/>
        <v>45720</v>
      </c>
      <c r="E13">
        <v>97.863460662970695</v>
      </c>
      <c r="F13" s="14">
        <v>103.802376021545</v>
      </c>
      <c r="G13" s="15">
        <f t="shared" si="1"/>
        <v>-3.2910899340587996E-4</v>
      </c>
      <c r="H13" s="15">
        <f t="shared" si="2"/>
        <v>-6.9739892603037923E-4</v>
      </c>
      <c r="I13" s="15">
        <f t="shared" si="3"/>
        <v>-4.3604534360307918E-4</v>
      </c>
    </row>
    <row r="14" spans="1:12" x14ac:dyDescent="0.3">
      <c r="A14" s="3" t="s">
        <v>72</v>
      </c>
      <c r="B14" s="3">
        <v>9.1</v>
      </c>
      <c r="C14" s="5">
        <v>9.51</v>
      </c>
      <c r="D14" s="9">
        <f t="shared" si="0"/>
        <v>45721</v>
      </c>
      <c r="E14">
        <v>98.025690158366999</v>
      </c>
      <c r="F14" s="14">
        <v>103.372133829516</v>
      </c>
      <c r="G14" s="15">
        <f t="shared" si="1"/>
        <v>1.6577126365375783E-3</v>
      </c>
      <c r="H14" s="15">
        <f t="shared" si="2"/>
        <v>-4.1448202682730084E-3</v>
      </c>
      <c r="I14" s="15">
        <f t="shared" si="3"/>
        <v>-2.7105860448728251E-5</v>
      </c>
    </row>
    <row r="15" spans="1:12" x14ac:dyDescent="0.3">
      <c r="A15" s="3" t="s">
        <v>73</v>
      </c>
      <c r="B15" s="3">
        <v>9.11</v>
      </c>
      <c r="C15" s="5">
        <v>9.44</v>
      </c>
      <c r="D15" s="9">
        <f t="shared" si="0"/>
        <v>45722</v>
      </c>
      <c r="E15">
        <v>97.993395146486293</v>
      </c>
      <c r="F15" s="14">
        <v>103.87310702104</v>
      </c>
      <c r="G15" s="15">
        <f t="shared" si="1"/>
        <v>-3.2945457286281954E-4</v>
      </c>
      <c r="H15" s="15">
        <f t="shared" si="2"/>
        <v>4.8463079261786834E-3</v>
      </c>
      <c r="I15" s="15">
        <f t="shared" si="3"/>
        <v>1.1733754045706044E-3</v>
      </c>
    </row>
    <row r="16" spans="1:12" x14ac:dyDescent="0.3">
      <c r="A16" s="3" t="s">
        <v>76</v>
      </c>
      <c r="B16" s="3">
        <v>9.08</v>
      </c>
      <c r="C16" s="5">
        <v>9.4499999999999993</v>
      </c>
      <c r="D16" s="9">
        <f t="shared" si="0"/>
        <v>45723</v>
      </c>
      <c r="E16">
        <v>98.090767691346798</v>
      </c>
      <c r="F16" s="14">
        <v>103.80071517453599</v>
      </c>
      <c r="G16" s="15">
        <f t="shared" si="1"/>
        <v>9.9366436600090147E-4</v>
      </c>
      <c r="H16" s="15">
        <f t="shared" si="2"/>
        <v>-6.96925783584601E-4</v>
      </c>
      <c r="I16" s="15">
        <f t="shared" si="3"/>
        <v>5.0278605448230774E-4</v>
      </c>
    </row>
    <row r="17" spans="1:9" x14ac:dyDescent="0.3">
      <c r="A17" s="3" t="s">
        <v>79</v>
      </c>
      <c r="B17" s="3">
        <v>9.09</v>
      </c>
      <c r="C17" s="5">
        <v>9.4700000000000006</v>
      </c>
      <c r="D17" s="9">
        <f t="shared" si="0"/>
        <v>45726</v>
      </c>
      <c r="E17">
        <v>98.058701186286399</v>
      </c>
      <c r="F17" s="14">
        <v>103.655712371237</v>
      </c>
      <c r="G17" s="15">
        <f t="shared" si="1"/>
        <v>-3.2690645424759968E-4</v>
      </c>
      <c r="H17" s="15">
        <f t="shared" si="2"/>
        <v>-1.3969345303178615E-3</v>
      </c>
      <c r="I17" s="15">
        <f t="shared" si="3"/>
        <v>-6.3759889226259743E-4</v>
      </c>
    </row>
    <row r="18" spans="1:9" x14ac:dyDescent="0.3">
      <c r="A18" s="3" t="s">
        <v>81</v>
      </c>
      <c r="B18" s="3">
        <v>9.1</v>
      </c>
      <c r="C18" s="5">
        <v>9.51</v>
      </c>
      <c r="D18" s="9">
        <f t="shared" si="0"/>
        <v>45727</v>
      </c>
      <c r="E18">
        <v>98.026492440245903</v>
      </c>
      <c r="F18" s="14">
        <v>103.369268975731</v>
      </c>
      <c r="G18" s="15">
        <f t="shared" si="1"/>
        <v>-3.2846392671781466E-4</v>
      </c>
      <c r="H18" s="15">
        <f t="shared" si="2"/>
        <v>-2.7634115762006362E-3</v>
      </c>
      <c r="I18" s="15">
        <f t="shared" si="3"/>
        <v>-1.0354732459826581E-3</v>
      </c>
    </row>
    <row r="19" spans="1:9" x14ac:dyDescent="0.3">
      <c r="A19" s="3" t="s">
        <v>82</v>
      </c>
      <c r="B19" s="3">
        <v>9.1199999999999992</v>
      </c>
      <c r="C19" s="5">
        <v>9.56</v>
      </c>
      <c r="D19" s="9">
        <f t="shared" si="0"/>
        <v>45728</v>
      </c>
      <c r="E19">
        <v>97.962042961528297</v>
      </c>
      <c r="F19" s="14">
        <v>103.012975430681</v>
      </c>
      <c r="G19" s="15">
        <f t="shared" si="1"/>
        <v>-6.5747000747673479E-4</v>
      </c>
      <c r="H19" s="15">
        <f t="shared" si="2"/>
        <v>-3.4468033737731218E-3</v>
      </c>
      <c r="I19" s="15">
        <f t="shared" si="3"/>
        <v>-1.4673784607146473E-3</v>
      </c>
    </row>
    <row r="20" spans="1:9" x14ac:dyDescent="0.3">
      <c r="A20" s="3" t="s">
        <v>83</v>
      </c>
      <c r="B20" s="3">
        <v>9.1</v>
      </c>
      <c r="C20" s="5">
        <v>9.5500000000000007</v>
      </c>
      <c r="D20" s="9">
        <f t="shared" si="0"/>
        <v>45729</v>
      </c>
      <c r="E20">
        <v>98.026805822216105</v>
      </c>
      <c r="F20" s="14">
        <v>103.08360000056</v>
      </c>
      <c r="G20" s="15">
        <f t="shared" si="1"/>
        <v>6.6110157291476845E-4</v>
      </c>
      <c r="H20" s="15">
        <f t="shared" si="2"/>
        <v>6.8558906859772506E-4</v>
      </c>
      <c r="I20" s="15">
        <f t="shared" si="3"/>
        <v>6.6821174124096839E-4</v>
      </c>
    </row>
    <row r="21" spans="1:9" x14ac:dyDescent="0.3">
      <c r="A21" s="3" t="s">
        <v>84</v>
      </c>
      <c r="B21" s="3">
        <v>9.0299999999999994</v>
      </c>
      <c r="C21" s="5">
        <v>9.4600000000000009</v>
      </c>
      <c r="D21" s="9">
        <f t="shared" si="0"/>
        <v>45730</v>
      </c>
      <c r="E21">
        <v>98.253247896336205</v>
      </c>
      <c r="F21" s="14">
        <v>103.725385937353</v>
      </c>
      <c r="G21" s="15">
        <f t="shared" si="1"/>
        <v>2.3100015574391008E-3</v>
      </c>
      <c r="H21" s="15">
        <f t="shared" si="2"/>
        <v>6.225878188087286E-3</v>
      </c>
      <c r="I21" s="15">
        <f t="shared" si="3"/>
        <v>3.4470121504790452E-3</v>
      </c>
    </row>
    <row r="22" spans="1:9" x14ac:dyDescent="0.3">
      <c r="A22" s="3" t="s">
        <v>86</v>
      </c>
      <c r="B22" s="3">
        <v>9.02</v>
      </c>
      <c r="C22" s="5">
        <v>9.4499999999999993</v>
      </c>
      <c r="D22" s="9">
        <f t="shared" si="0"/>
        <v>45734</v>
      </c>
      <c r="E22">
        <v>98.285773848452294</v>
      </c>
      <c r="F22" s="14">
        <v>103.79516066416799</v>
      </c>
      <c r="G22" s="15">
        <f t="shared" si="1"/>
        <v>3.3104200433564657E-4</v>
      </c>
      <c r="H22" s="15">
        <f t="shared" si="2"/>
        <v>6.7268707833134656E-4</v>
      </c>
      <c r="I22" s="15">
        <f t="shared" si="3"/>
        <v>4.3024177614478206E-4</v>
      </c>
    </row>
    <row r="23" spans="1:9" x14ac:dyDescent="0.3">
      <c r="A23" s="3" t="s">
        <v>88</v>
      </c>
      <c r="B23" s="3">
        <v>8.9600000000000009</v>
      </c>
      <c r="C23" s="5">
        <v>9.3800000000000008</v>
      </c>
      <c r="D23" s="9">
        <f t="shared" si="0"/>
        <v>45735</v>
      </c>
      <c r="E23">
        <v>98.4798303855939</v>
      </c>
      <c r="F23" s="14">
        <v>104.298160497976</v>
      </c>
      <c r="G23" s="15">
        <f t="shared" si="1"/>
        <v>1.9744112453223828E-3</v>
      </c>
      <c r="H23" s="15">
        <f t="shared" si="2"/>
        <v>4.8460817497597564E-3</v>
      </c>
      <c r="I23" s="15">
        <f t="shared" si="3"/>
        <v>2.8082270396481571E-3</v>
      </c>
    </row>
    <row r="24" spans="1:9" x14ac:dyDescent="0.3">
      <c r="A24" s="3" t="s">
        <v>92</v>
      </c>
      <c r="B24" s="3">
        <v>8.94</v>
      </c>
      <c r="C24" s="5">
        <v>9.34</v>
      </c>
      <c r="D24" s="9">
        <f t="shared" si="0"/>
        <v>45736</v>
      </c>
      <c r="E24">
        <v>98.544516732660497</v>
      </c>
      <c r="F24" s="14">
        <v>104.586810004291</v>
      </c>
      <c r="G24" s="15">
        <f t="shared" si="1"/>
        <v>6.5684868478466107E-4</v>
      </c>
      <c r="H24" s="15">
        <f t="shared" si="2"/>
        <v>2.7675416798995656E-3</v>
      </c>
      <c r="I24" s="15">
        <f t="shared" si="3"/>
        <v>1.2697076996264051E-3</v>
      </c>
    </row>
    <row r="25" spans="1:9" x14ac:dyDescent="0.3">
      <c r="A25" s="3" t="s">
        <v>95</v>
      </c>
      <c r="B25" s="3">
        <v>8.9700000000000006</v>
      </c>
      <c r="C25" s="5">
        <v>9.39</v>
      </c>
      <c r="D25" s="9">
        <f t="shared" si="0"/>
        <v>45737</v>
      </c>
      <c r="E25">
        <v>98.447403113578005</v>
      </c>
      <c r="F25" s="14">
        <v>104.22500384423</v>
      </c>
      <c r="G25" s="15">
        <f t="shared" si="1"/>
        <v>-9.8547968270978892E-4</v>
      </c>
      <c r="H25" s="15">
        <f t="shared" si="2"/>
        <v>-3.4593861314456964E-3</v>
      </c>
      <c r="I25" s="15">
        <f t="shared" si="3"/>
        <v>-1.7038010456422448E-3</v>
      </c>
    </row>
    <row r="26" spans="1:9" x14ac:dyDescent="0.3">
      <c r="A26" s="3" t="s">
        <v>97</v>
      </c>
      <c r="B26" s="3">
        <v>9</v>
      </c>
      <c r="C26" s="5">
        <v>9.4600000000000009</v>
      </c>
      <c r="D26" s="9">
        <f t="shared" si="0"/>
        <v>45740</v>
      </c>
      <c r="E26">
        <v>98.350602606873096</v>
      </c>
      <c r="F26" s="14">
        <v>103.72088847488401</v>
      </c>
      <c r="G26" s="15">
        <f t="shared" si="1"/>
        <v>-9.8327130674269458E-4</v>
      </c>
      <c r="H26" s="15">
        <f t="shared" si="2"/>
        <v>-4.836798759915828E-3</v>
      </c>
      <c r="I26" s="15">
        <f t="shared" si="3"/>
        <v>-2.1021782458775038E-3</v>
      </c>
    </row>
    <row r="27" spans="1:9" x14ac:dyDescent="0.3">
      <c r="A27" s="3" t="s">
        <v>99</v>
      </c>
      <c r="B27" s="3">
        <v>9</v>
      </c>
      <c r="C27" s="5">
        <v>9.4700000000000006</v>
      </c>
      <c r="D27" s="9">
        <f t="shared" si="0"/>
        <v>45741</v>
      </c>
      <c r="E27">
        <v>98.350651884497395</v>
      </c>
      <c r="F27" s="14">
        <v>103.64895814683599</v>
      </c>
      <c r="G27" s="15">
        <f t="shared" si="1"/>
        <v>5.0104039006626522E-7</v>
      </c>
      <c r="H27" s="15">
        <f t="shared" si="2"/>
        <v>-6.9349895768999748E-4</v>
      </c>
      <c r="I27" s="15">
        <f t="shared" si="3"/>
        <v>-2.0100820615024631E-4</v>
      </c>
    </row>
    <row r="28" spans="1:9" x14ac:dyDescent="0.3">
      <c r="A28" s="3" t="s">
        <v>100</v>
      </c>
      <c r="B28" s="3">
        <v>9</v>
      </c>
      <c r="C28" s="5">
        <v>9.4700000000000006</v>
      </c>
      <c r="D28" s="9">
        <f t="shared" si="0"/>
        <v>45742</v>
      </c>
      <c r="E28">
        <v>98.350706822889194</v>
      </c>
      <c r="F28" s="14">
        <v>103.648563784419</v>
      </c>
      <c r="G28" s="15">
        <f t="shared" si="1"/>
        <v>5.5859712921879634E-7</v>
      </c>
      <c r="H28" s="15">
        <f t="shared" si="2"/>
        <v>-3.8047890114079053E-6</v>
      </c>
      <c r="I28" s="15">
        <f t="shared" si="3"/>
        <v>-7.0835194281951858E-7</v>
      </c>
    </row>
    <row r="29" spans="1:9" x14ac:dyDescent="0.3">
      <c r="A29" s="3" t="s">
        <v>101</v>
      </c>
      <c r="B29" s="3">
        <v>8.93</v>
      </c>
      <c r="C29" s="5">
        <v>9.4499999999999993</v>
      </c>
      <c r="D29" s="9">
        <f t="shared" si="0"/>
        <v>45743</v>
      </c>
      <c r="E29">
        <v>98.576325835623194</v>
      </c>
      <c r="F29" s="14">
        <v>103.791242920485</v>
      </c>
      <c r="G29" s="15">
        <f t="shared" si="1"/>
        <v>2.2940253305987479E-3</v>
      </c>
      <c r="H29" s="15">
        <f t="shared" si="2"/>
        <v>1.3765664554963308E-3</v>
      </c>
      <c r="I29" s="15">
        <f t="shared" si="3"/>
        <v>2.0276327554329442E-3</v>
      </c>
    </row>
    <row r="30" spans="1:9" x14ac:dyDescent="0.3">
      <c r="A30" s="3" t="s">
        <v>104</v>
      </c>
      <c r="B30" s="3">
        <v>8.84</v>
      </c>
      <c r="C30" s="5">
        <v>9.3800000000000008</v>
      </c>
      <c r="D30" s="9">
        <f t="shared" si="0"/>
        <v>45744</v>
      </c>
      <c r="E30">
        <v>98.867043128007694</v>
      </c>
      <c r="F30" s="14">
        <v>104.29367005856599</v>
      </c>
      <c r="G30" s="15">
        <f t="shared" si="1"/>
        <v>2.9491593434844976E-3</v>
      </c>
      <c r="H30" s="15">
        <f t="shared" si="2"/>
        <v>4.8407469064215558E-3</v>
      </c>
      <c r="I30" s="15">
        <f t="shared" si="3"/>
        <v>3.4983990922265408E-3</v>
      </c>
    </row>
    <row r="31" spans="1:9" x14ac:dyDescent="0.3">
      <c r="A31" s="3" t="s">
        <v>108</v>
      </c>
      <c r="B31" s="3">
        <v>8.82</v>
      </c>
      <c r="C31" s="5">
        <v>9.35</v>
      </c>
      <c r="D31" s="9">
        <f t="shared" si="0"/>
        <v>45747</v>
      </c>
      <c r="E31">
        <v>98.931054047798099</v>
      </c>
      <c r="F31" s="14">
        <v>104.508738369496</v>
      </c>
      <c r="G31" s="15">
        <f t="shared" si="1"/>
        <v>6.4744446445641479E-4</v>
      </c>
      <c r="H31" s="15">
        <f t="shared" si="2"/>
        <v>2.0621415547965594E-3</v>
      </c>
      <c r="I31" s="15">
        <f t="shared" si="3"/>
        <v>1.0582147029951292E-3</v>
      </c>
    </row>
    <row r="32" spans="1:9" x14ac:dyDescent="0.3">
      <c r="A32" s="3" t="s">
        <v>110</v>
      </c>
      <c r="B32" s="3">
        <v>8.76</v>
      </c>
      <c r="C32" s="5">
        <v>9.32</v>
      </c>
      <c r="D32" s="9">
        <f t="shared" si="0"/>
        <v>45748</v>
      </c>
      <c r="E32">
        <v>99.124970218120694</v>
      </c>
      <c r="F32" s="14">
        <v>104.72529724966</v>
      </c>
      <c r="G32" s="15">
        <f t="shared" si="1"/>
        <v>1.9601142653236092E-3</v>
      </c>
      <c r="H32" s="15">
        <f t="shared" si="2"/>
        <v>2.0721605058358072E-3</v>
      </c>
      <c r="I32" s="15">
        <f t="shared" si="3"/>
        <v>1.992647915994719E-3</v>
      </c>
    </row>
    <row r="33" spans="1:9" x14ac:dyDescent="0.3">
      <c r="A33" s="3" t="s">
        <v>113</v>
      </c>
      <c r="B33" s="3">
        <v>8.73</v>
      </c>
      <c r="C33" s="5">
        <v>9.26</v>
      </c>
      <c r="D33" s="9">
        <f t="shared" si="0"/>
        <v>45749</v>
      </c>
      <c r="E33">
        <v>99.221824500836604</v>
      </c>
      <c r="F33" s="14">
        <v>105.160681138152</v>
      </c>
      <c r="G33" s="15">
        <f t="shared" si="1"/>
        <v>9.7709267909773523E-4</v>
      </c>
      <c r="H33" s="15">
        <f t="shared" si="2"/>
        <v>4.1573898563789236E-3</v>
      </c>
      <c r="I33" s="15">
        <f t="shared" si="3"/>
        <v>1.9005210504826613E-3</v>
      </c>
    </row>
    <row r="34" spans="1:9" x14ac:dyDescent="0.3">
      <c r="A34" s="3" t="s">
        <v>116</v>
      </c>
      <c r="B34" s="3">
        <v>8.52</v>
      </c>
      <c r="C34" s="5">
        <v>9.14</v>
      </c>
      <c r="D34" s="9">
        <f t="shared" si="0"/>
        <v>45750</v>
      </c>
      <c r="E34">
        <v>99.904724576156198</v>
      </c>
      <c r="F34" s="14">
        <v>106.039333225565</v>
      </c>
      <c r="G34" s="15">
        <f t="shared" si="1"/>
        <v>6.8825591421555199E-3</v>
      </c>
      <c r="H34" s="15">
        <f t="shared" si="2"/>
        <v>8.3553289870641478E-3</v>
      </c>
      <c r="I34" s="15">
        <f t="shared" si="3"/>
        <v>7.3101913360976763E-3</v>
      </c>
    </row>
    <row r="35" spans="1:9" x14ac:dyDescent="0.3">
      <c r="A35" s="3" t="s">
        <v>119</v>
      </c>
      <c r="B35" s="3">
        <v>8.56</v>
      </c>
      <c r="C35" s="5">
        <v>9.06</v>
      </c>
      <c r="D35" s="9">
        <f t="shared" si="0"/>
        <v>45751</v>
      </c>
      <c r="E35">
        <v>99.773421825996294</v>
      </c>
      <c r="F35" s="14">
        <v>106.630366702787</v>
      </c>
      <c r="G35" s="15">
        <f t="shared" si="1"/>
        <v>-1.3142796871414841E-3</v>
      </c>
      <c r="H35" s="15">
        <f t="shared" si="2"/>
        <v>5.5737192911686773E-3</v>
      </c>
      <c r="I35" s="15">
        <f t="shared" si="3"/>
        <v>6.8571381160431361E-4</v>
      </c>
    </row>
    <row r="36" spans="1:9" x14ac:dyDescent="0.3">
      <c r="A36" s="3" t="s">
        <v>123</v>
      </c>
      <c r="B36" s="3">
        <v>8.7799999999999994</v>
      </c>
      <c r="C36" s="5">
        <v>9.24</v>
      </c>
      <c r="D36" s="9">
        <f t="shared" si="0"/>
        <v>45754</v>
      </c>
      <c r="E36">
        <v>99.0584388231688</v>
      </c>
      <c r="F36" s="14">
        <v>105.303723879144</v>
      </c>
      <c r="G36" s="15">
        <f t="shared" si="1"/>
        <v>-7.1660667715137683E-3</v>
      </c>
      <c r="H36" s="15">
        <f t="shared" si="2"/>
        <v>-1.2441510468971573E-2</v>
      </c>
      <c r="I36" s="15">
        <f t="shared" si="3"/>
        <v>-8.6978400965591132E-3</v>
      </c>
    </row>
    <row r="37" spans="1:9" x14ac:dyDescent="0.3">
      <c r="A37" s="3" t="s">
        <v>126</v>
      </c>
      <c r="B37" s="3">
        <v>8.77</v>
      </c>
      <c r="C37" s="5">
        <v>9.41</v>
      </c>
      <c r="D37" s="9">
        <f t="shared" si="0"/>
        <v>45755</v>
      </c>
      <c r="E37">
        <v>99.090413913214206</v>
      </c>
      <c r="F37" s="14">
        <v>104.073369304092</v>
      </c>
      <c r="G37" s="15">
        <f t="shared" si="1"/>
        <v>3.2279016735259347E-4</v>
      </c>
      <c r="H37" s="15">
        <f t="shared" si="2"/>
        <v>-1.1683865771585311E-2</v>
      </c>
      <c r="I37" s="15">
        <f t="shared" si="3"/>
        <v>-3.1634521934795524E-3</v>
      </c>
    </row>
    <row r="38" spans="1:9" x14ac:dyDescent="0.3">
      <c r="A38" s="3" t="s">
        <v>129</v>
      </c>
      <c r="B38" s="3">
        <v>8.82</v>
      </c>
      <c r="C38" s="5">
        <v>9.4499999999999993</v>
      </c>
      <c r="D38" s="9">
        <f t="shared" si="0"/>
        <v>45756</v>
      </c>
      <c r="E38">
        <v>98.929100546396896</v>
      </c>
      <c r="F38" s="14">
        <v>103.78658276006</v>
      </c>
      <c r="G38" s="15">
        <f t="shared" si="1"/>
        <v>-1.6279411947819344E-3</v>
      </c>
      <c r="H38" s="15">
        <f t="shared" si="2"/>
        <v>-2.7556189056783253E-3</v>
      </c>
      <c r="I38" s="15">
        <f t="shared" si="3"/>
        <v>-1.9553727315134673E-3</v>
      </c>
    </row>
    <row r="39" spans="1:9" x14ac:dyDescent="0.3">
      <c r="A39" s="3" t="s">
        <v>130</v>
      </c>
      <c r="B39" s="3">
        <v>8.8000000000000007</v>
      </c>
      <c r="C39" s="5">
        <v>9.41</v>
      </c>
      <c r="D39" s="9">
        <f t="shared" si="0"/>
        <v>45757</v>
      </c>
      <c r="E39">
        <v>98.9932456490871</v>
      </c>
      <c r="F39" s="14">
        <v>104.072661599309</v>
      </c>
      <c r="G39" s="15">
        <f t="shared" si="1"/>
        <v>6.4839468200883488E-4</v>
      </c>
      <c r="H39" s="15">
        <f t="shared" si="2"/>
        <v>2.7564144771041743E-3</v>
      </c>
      <c r="I39" s="15">
        <f t="shared" si="3"/>
        <v>1.2604775087766821E-3</v>
      </c>
    </row>
    <row r="40" spans="1:9" x14ac:dyDescent="0.3">
      <c r="A40" s="3" t="s">
        <v>132</v>
      </c>
      <c r="B40" s="3">
        <v>8.8800000000000008</v>
      </c>
      <c r="C40" s="5">
        <v>9.5500000000000007</v>
      </c>
      <c r="D40" s="9">
        <f t="shared" si="0"/>
        <v>45758</v>
      </c>
      <c r="E40">
        <v>98.736142064709398</v>
      </c>
      <c r="F40" s="14">
        <v>103.07487307354501</v>
      </c>
      <c r="G40" s="15">
        <f t="shared" si="1"/>
        <v>-2.5971830976134758E-3</v>
      </c>
      <c r="H40" s="15">
        <f t="shared" si="2"/>
        <v>-9.5874220033459467E-3</v>
      </c>
      <c r="I40" s="15">
        <f t="shared" si="3"/>
        <v>-4.6268628943393906E-3</v>
      </c>
    </row>
    <row r="41" spans="1:9" x14ac:dyDescent="0.3">
      <c r="A41" s="3" t="s">
        <v>135</v>
      </c>
      <c r="B41" s="3">
        <v>8.84</v>
      </c>
      <c r="C41" s="5">
        <v>9.6300000000000008</v>
      </c>
      <c r="D41" s="9">
        <f t="shared" si="0"/>
        <v>45761</v>
      </c>
      <c r="E41">
        <v>98.864071914252605</v>
      </c>
      <c r="F41" s="14">
        <v>102.510538351132</v>
      </c>
      <c r="G41" s="15">
        <f t="shared" si="1"/>
        <v>1.2956739737650658E-3</v>
      </c>
      <c r="H41" s="15">
        <f t="shared" si="2"/>
        <v>-5.4749979853028208E-3</v>
      </c>
      <c r="I41" s="15">
        <f t="shared" si="3"/>
        <v>-6.7025255190906313E-4</v>
      </c>
    </row>
    <row r="42" spans="1:9" x14ac:dyDescent="0.3">
      <c r="A42" s="3" t="s">
        <v>137</v>
      </c>
      <c r="B42" s="3">
        <v>8.75</v>
      </c>
      <c r="C42" s="5">
        <v>9.56</v>
      </c>
      <c r="D42" s="9">
        <f t="shared" si="0"/>
        <v>45762</v>
      </c>
      <c r="E42">
        <v>99.152793952244295</v>
      </c>
      <c r="F42" s="14">
        <v>103.003440432682</v>
      </c>
      <c r="G42" s="15">
        <f t="shared" si="1"/>
        <v>2.9203939550670466E-3</v>
      </c>
      <c r="H42" s="15">
        <f t="shared" si="2"/>
        <v>4.808306438325971E-3</v>
      </c>
      <c r="I42" s="15">
        <f t="shared" si="3"/>
        <v>3.4685666108134625E-3</v>
      </c>
    </row>
    <row r="43" spans="1:9" x14ac:dyDescent="0.3">
      <c r="A43" s="3" t="s">
        <v>138</v>
      </c>
      <c r="B43" s="3">
        <v>8.74</v>
      </c>
      <c r="C43" s="5">
        <v>9.51</v>
      </c>
      <c r="D43" s="9">
        <f t="shared" si="0"/>
        <v>45763</v>
      </c>
      <c r="E43">
        <v>99.1846470552086</v>
      </c>
      <c r="F43" s="14">
        <v>103.357394629073</v>
      </c>
      <c r="G43" s="15">
        <f t="shared" si="1"/>
        <v>3.2125270196270428E-4</v>
      </c>
      <c r="H43" s="15">
        <f t="shared" si="2"/>
        <v>3.4363337273410899E-3</v>
      </c>
      <c r="I43" s="15">
        <f t="shared" si="3"/>
        <v>1.2257449671969841E-3</v>
      </c>
    </row>
    <row r="44" spans="1:9" x14ac:dyDescent="0.3">
      <c r="A44" s="3" t="s">
        <v>141</v>
      </c>
      <c r="B44" s="3">
        <v>8.75</v>
      </c>
      <c r="C44" s="5">
        <v>9.5399999999999991</v>
      </c>
      <c r="D44" s="9">
        <f t="shared" si="0"/>
        <v>45768</v>
      </c>
      <c r="E44">
        <v>99.151156065676005</v>
      </c>
      <c r="F44" s="14">
        <v>103.143951635467</v>
      </c>
      <c r="G44" s="15">
        <f t="shared" si="1"/>
        <v>-3.3766304087312626E-4</v>
      </c>
      <c r="H44" s="15">
        <f t="shared" si="2"/>
        <v>-2.0650964971784536E-3</v>
      </c>
      <c r="I44" s="15">
        <f t="shared" si="3"/>
        <v>-8.3923914345469483E-4</v>
      </c>
    </row>
    <row r="45" spans="1:9" x14ac:dyDescent="0.3">
      <c r="A45" s="3" t="s">
        <v>142</v>
      </c>
      <c r="B45" s="3">
        <v>8.76</v>
      </c>
      <c r="C45" s="5">
        <v>9.59</v>
      </c>
      <c r="D45" s="9">
        <f t="shared" si="0"/>
        <v>45769</v>
      </c>
      <c r="E45">
        <v>99.118887126760896</v>
      </c>
      <c r="F45" s="14">
        <v>102.791020426979</v>
      </c>
      <c r="G45" s="15">
        <f t="shared" si="1"/>
        <v>-3.2545196844435687E-4</v>
      </c>
      <c r="H45" s="15">
        <f t="shared" si="2"/>
        <v>-3.4217344099374269E-3</v>
      </c>
      <c r="I45" s="15">
        <f t="shared" si="3"/>
        <v>-1.2244858929218148E-3</v>
      </c>
    </row>
    <row r="46" spans="1:9" x14ac:dyDescent="0.3">
      <c r="A46" s="3" t="s">
        <v>144</v>
      </c>
      <c r="B46" s="3">
        <v>8.76</v>
      </c>
      <c r="C46" s="5">
        <v>9.5299999999999994</v>
      </c>
      <c r="D46" s="9">
        <f t="shared" si="0"/>
        <v>45770</v>
      </c>
      <c r="E46">
        <v>99.118657276261601</v>
      </c>
      <c r="F46" s="14">
        <v>103.21444310803901</v>
      </c>
      <c r="G46" s="15">
        <f t="shared" si="1"/>
        <v>-2.3189374492860182E-6</v>
      </c>
      <c r="H46" s="15">
        <f t="shared" si="2"/>
        <v>4.1192574925432712E-3</v>
      </c>
      <c r="I46" s="15">
        <f t="shared" si="3"/>
        <v>1.1944184735936119E-3</v>
      </c>
    </row>
    <row r="47" spans="1:9" x14ac:dyDescent="0.3">
      <c r="A47" s="3" t="s">
        <v>145</v>
      </c>
      <c r="B47" s="3">
        <v>8.75</v>
      </c>
      <c r="C47" s="5">
        <v>9.4700000000000006</v>
      </c>
      <c r="D47" s="9">
        <f t="shared" si="0"/>
        <v>45771</v>
      </c>
      <c r="E47">
        <v>99.150410477570105</v>
      </c>
      <c r="F47" s="14">
        <v>103.640179564818</v>
      </c>
      <c r="G47" s="15">
        <f t="shared" si="1"/>
        <v>3.2035544246733494E-4</v>
      </c>
      <c r="H47" s="15">
        <f t="shared" si="2"/>
        <v>4.1247759902494074E-3</v>
      </c>
      <c r="I47" s="15">
        <f t="shared" si="3"/>
        <v>1.4250037425061002E-3</v>
      </c>
    </row>
    <row r="48" spans="1:9" x14ac:dyDescent="0.3">
      <c r="A48" s="3" t="s">
        <v>146</v>
      </c>
      <c r="B48" s="3">
        <v>8.6999999999999993</v>
      </c>
      <c r="C48" s="5">
        <v>9.3699999999999992</v>
      </c>
      <c r="D48" s="9">
        <f t="shared" si="0"/>
        <v>45772</v>
      </c>
      <c r="E48">
        <v>99.3101578905179</v>
      </c>
      <c r="F48" s="14">
        <v>104.35510626748599</v>
      </c>
      <c r="G48" s="15">
        <f t="shared" si="1"/>
        <v>1.6111623963870336E-3</v>
      </c>
      <c r="H48" s="15">
        <f t="shared" si="2"/>
        <v>6.8981615592518253E-3</v>
      </c>
      <c r="I48" s="15">
        <f t="shared" si="3"/>
        <v>3.1462909564958178E-3</v>
      </c>
    </row>
    <row r="49" spans="1:9" x14ac:dyDescent="0.3">
      <c r="A49" s="3" t="s">
        <v>149</v>
      </c>
      <c r="B49" s="3">
        <v>8.69</v>
      </c>
      <c r="C49" s="5">
        <v>9.33</v>
      </c>
      <c r="D49" s="9">
        <f t="shared" si="0"/>
        <v>45775</v>
      </c>
      <c r="E49">
        <v>99.341174817653794</v>
      </c>
      <c r="F49" s="14">
        <v>104.642119345024</v>
      </c>
      <c r="G49" s="15">
        <f t="shared" si="1"/>
        <v>3.1232381253576413E-4</v>
      </c>
      <c r="H49" s="15">
        <f t="shared" si="2"/>
        <v>2.7503501055552437E-3</v>
      </c>
      <c r="I49" s="15">
        <f t="shared" si="3"/>
        <v>1.0202270441077464E-3</v>
      </c>
    </row>
    <row r="50" spans="1:9" x14ac:dyDescent="0.3">
      <c r="A50" s="3" t="s">
        <v>150</v>
      </c>
      <c r="B50" s="3">
        <v>8.67</v>
      </c>
      <c r="C50" s="5">
        <v>9.33</v>
      </c>
      <c r="D50" s="9">
        <f t="shared" si="0"/>
        <v>45776</v>
      </c>
      <c r="E50">
        <v>99.404803981008698</v>
      </c>
      <c r="F50" s="14">
        <v>104.641817350202</v>
      </c>
      <c r="G50" s="15">
        <f t="shared" si="1"/>
        <v>6.4051148450472439E-4</v>
      </c>
      <c r="H50" s="15">
        <f t="shared" si="2"/>
        <v>-2.8859776912693036E-6</v>
      </c>
      <c r="I50" s="15">
        <f t="shared" si="3"/>
        <v>4.5369514705265027E-4</v>
      </c>
    </row>
    <row r="51" spans="1:9" x14ac:dyDescent="0.3">
      <c r="A51" s="3" t="s">
        <v>153</v>
      </c>
      <c r="B51" s="3">
        <v>8.66</v>
      </c>
      <c r="C51" s="5">
        <v>9.34</v>
      </c>
      <c r="D51" s="9">
        <f t="shared" si="0"/>
        <v>45777</v>
      </c>
      <c r="E51">
        <v>99.436422023059393</v>
      </c>
      <c r="F51" s="14">
        <v>104.569482014434</v>
      </c>
      <c r="G51" s="15">
        <f t="shared" si="1"/>
        <v>3.1807358180335754E-4</v>
      </c>
      <c r="H51" s="15">
        <f t="shared" si="2"/>
        <v>-6.9126605022462595E-4</v>
      </c>
      <c r="I51" s="15">
        <f t="shared" si="3"/>
        <v>2.5002588552762531E-5</v>
      </c>
    </row>
    <row r="52" spans="1:9" x14ac:dyDescent="0.3">
      <c r="A52" s="3" t="s">
        <v>155</v>
      </c>
      <c r="B52" s="3">
        <v>8.68</v>
      </c>
      <c r="C52" s="5">
        <v>9.39</v>
      </c>
      <c r="D52" s="9">
        <f t="shared" si="0"/>
        <v>45779</v>
      </c>
      <c r="E52">
        <v>99.371808479572707</v>
      </c>
      <c r="F52" s="14">
        <v>104.20986749104701</v>
      </c>
      <c r="G52" s="15">
        <f t="shared" si="1"/>
        <v>-6.4979755075766921E-4</v>
      </c>
      <c r="H52" s="15">
        <f t="shared" si="2"/>
        <v>-3.4390007147339086E-3</v>
      </c>
      <c r="I52" s="15">
        <f t="shared" si="3"/>
        <v>-1.4596681985611388E-3</v>
      </c>
    </row>
    <row r="53" spans="1:9" x14ac:dyDescent="0.3">
      <c r="A53" s="3" t="s">
        <v>157</v>
      </c>
      <c r="B53" s="3">
        <v>8.7100000000000009</v>
      </c>
      <c r="C53" s="5">
        <v>9.43</v>
      </c>
      <c r="D53" s="9">
        <f t="shared" si="0"/>
        <v>45782</v>
      </c>
      <c r="E53">
        <v>99.275306528859105</v>
      </c>
      <c r="F53" s="14">
        <v>103.923358970351</v>
      </c>
      <c r="G53" s="15">
        <f t="shared" si="1"/>
        <v>-9.7112000063315218E-4</v>
      </c>
      <c r="H53" s="15">
        <f t="shared" si="2"/>
        <v>-2.7493415699872958E-3</v>
      </c>
      <c r="I53" s="15">
        <f t="shared" si="3"/>
        <v>-1.4874428963299715E-3</v>
      </c>
    </row>
    <row r="54" spans="1:9" x14ac:dyDescent="0.3">
      <c r="A54" s="3" t="s">
        <v>158</v>
      </c>
      <c r="B54" s="3">
        <v>8.64</v>
      </c>
      <c r="C54" s="5">
        <v>9.4600000000000009</v>
      </c>
      <c r="D54" s="9">
        <f t="shared" si="0"/>
        <v>45783</v>
      </c>
      <c r="E54">
        <v>99.498023910534798</v>
      </c>
      <c r="F54" s="14">
        <v>103.709533138298</v>
      </c>
      <c r="G54" s="15">
        <f t="shared" si="1"/>
        <v>2.2434318206909776E-3</v>
      </c>
      <c r="H54" s="15">
        <f t="shared" si="2"/>
        <v>-2.0575338804629251E-3</v>
      </c>
      <c r="I54" s="15">
        <f t="shared" si="3"/>
        <v>9.9460709413058245E-4</v>
      </c>
    </row>
    <row r="55" spans="1:9" x14ac:dyDescent="0.3">
      <c r="A55" s="3" t="s">
        <v>161</v>
      </c>
      <c r="B55" s="3">
        <v>8.6</v>
      </c>
      <c r="C55" s="5">
        <v>9.3800000000000008</v>
      </c>
      <c r="D55" s="9">
        <f t="shared" si="0"/>
        <v>45784</v>
      </c>
      <c r="E55">
        <v>99.625256118595999</v>
      </c>
      <c r="F55" s="14">
        <v>104.280507533304</v>
      </c>
      <c r="G55" s="15">
        <f t="shared" si="1"/>
        <v>1.278741054953958E-3</v>
      </c>
      <c r="H55" s="15">
        <f t="shared" si="2"/>
        <v>5.5055150450307178E-3</v>
      </c>
      <c r="I55" s="15">
        <f t="shared" si="3"/>
        <v>2.5060235396698982E-3</v>
      </c>
    </row>
    <row r="56" spans="1:9" x14ac:dyDescent="0.3">
      <c r="A56" s="3" t="s">
        <v>164</v>
      </c>
      <c r="B56" s="3">
        <v>8.6199999999999992</v>
      </c>
      <c r="C56" s="5">
        <v>9.34</v>
      </c>
      <c r="D56" s="9">
        <f t="shared" si="0"/>
        <v>45785</v>
      </c>
      <c r="E56">
        <v>99.561011594295294</v>
      </c>
      <c r="F56" s="14">
        <v>104.567456209482</v>
      </c>
      <c r="G56" s="15">
        <f t="shared" si="1"/>
        <v>-6.4486182323308938E-4</v>
      </c>
      <c r="H56" s="15">
        <f t="shared" si="2"/>
        <v>2.7517000345089748E-3</v>
      </c>
      <c r="I56" s="15">
        <f t="shared" si="3"/>
        <v>3.4136097600992601E-4</v>
      </c>
    </row>
    <row r="57" spans="1:9" x14ac:dyDescent="0.3">
      <c r="A57" s="3" t="s">
        <v>165</v>
      </c>
      <c r="B57" s="3">
        <v>8.67</v>
      </c>
      <c r="C57" s="5">
        <v>9.36</v>
      </c>
      <c r="D57" s="9">
        <f t="shared" si="0"/>
        <v>45786</v>
      </c>
      <c r="E57">
        <v>99.401435481445006</v>
      </c>
      <c r="F57" s="14">
        <v>104.423551331997</v>
      </c>
      <c r="G57" s="15">
        <f t="shared" si="1"/>
        <v>-1.6027972224764708E-3</v>
      </c>
      <c r="H57" s="15">
        <f t="shared" si="2"/>
        <v>-1.3761918162827902E-3</v>
      </c>
      <c r="I57" s="15">
        <f t="shared" si="3"/>
        <v>-1.5370002703289549E-3</v>
      </c>
    </row>
    <row r="58" spans="1:9" x14ac:dyDescent="0.3">
      <c r="A58" s="3" t="s">
        <v>166</v>
      </c>
      <c r="B58" s="3">
        <v>8.6999999999999993</v>
      </c>
      <c r="C58" s="5">
        <v>9.41</v>
      </c>
      <c r="D58" s="9">
        <f t="shared" ref="D58:D121" si="4">A58+0</f>
        <v>45789</v>
      </c>
      <c r="E58">
        <v>99.305349821532801</v>
      </c>
      <c r="F58" s="14">
        <v>104.06513848334301</v>
      </c>
      <c r="G58" s="15">
        <f t="shared" si="1"/>
        <v>-9.6664257861889258E-4</v>
      </c>
      <c r="H58" s="15">
        <f t="shared" si="2"/>
        <v>-3.4322989793220682E-3</v>
      </c>
      <c r="I58" s="15">
        <f t="shared" si="3"/>
        <v>-1.6825684646527947E-3</v>
      </c>
    </row>
    <row r="59" spans="1:9" x14ac:dyDescent="0.3">
      <c r="A59" s="3" t="s">
        <v>167</v>
      </c>
      <c r="B59" s="3">
        <v>8.76</v>
      </c>
      <c r="C59" s="5">
        <v>9.42</v>
      </c>
      <c r="D59" s="9">
        <f t="shared" si="4"/>
        <v>45790</v>
      </c>
      <c r="E59">
        <v>99.115206025291499</v>
      </c>
      <c r="F59" s="14">
        <v>103.99366307577201</v>
      </c>
      <c r="G59" s="15">
        <f t="shared" si="1"/>
        <v>-1.9147386981972492E-3</v>
      </c>
      <c r="H59" s="15">
        <f t="shared" si="2"/>
        <v>-6.8683334892638559E-4</v>
      </c>
      <c r="I59" s="15">
        <f t="shared" si="3"/>
        <v>-1.5582051500143777E-3</v>
      </c>
    </row>
    <row r="60" spans="1:9" x14ac:dyDescent="0.3">
      <c r="A60" s="3" t="s">
        <v>169</v>
      </c>
      <c r="B60" s="3">
        <v>8.83</v>
      </c>
      <c r="C60" s="5">
        <v>9.4600000000000009</v>
      </c>
      <c r="D60" s="9">
        <f t="shared" si="4"/>
        <v>45791</v>
      </c>
      <c r="E60">
        <v>98.894226653760001</v>
      </c>
      <c r="F60" s="14">
        <v>103.70885725542701</v>
      </c>
      <c r="G60" s="15">
        <f t="shared" si="1"/>
        <v>-2.2295203772780825E-3</v>
      </c>
      <c r="H60" s="15">
        <f t="shared" si="2"/>
        <v>-2.7386843767344127E-3</v>
      </c>
      <c r="I60" s="15">
        <f t="shared" si="3"/>
        <v>-2.3773608011681997E-3</v>
      </c>
    </row>
    <row r="61" spans="1:9" x14ac:dyDescent="0.3">
      <c r="A61" s="3" t="s">
        <v>170</v>
      </c>
      <c r="B61" s="3">
        <v>8.81</v>
      </c>
      <c r="C61" s="5">
        <v>9.51</v>
      </c>
      <c r="D61" s="9">
        <f t="shared" si="4"/>
        <v>45792</v>
      </c>
      <c r="E61">
        <v>98.957253409977895</v>
      </c>
      <c r="F61" s="14">
        <v>103.354495466693</v>
      </c>
      <c r="G61" s="15">
        <f t="shared" si="1"/>
        <v>6.3731481958551051E-4</v>
      </c>
      <c r="H61" s="15">
        <f t="shared" si="2"/>
        <v>-3.416890303412079E-3</v>
      </c>
      <c r="I61" s="15">
        <f t="shared" si="3"/>
        <v>-5.3986071631538513E-4</v>
      </c>
    </row>
    <row r="62" spans="1:9" x14ac:dyDescent="0.3">
      <c r="A62" s="3" t="s">
        <v>171</v>
      </c>
      <c r="B62" s="3">
        <v>8.73</v>
      </c>
      <c r="C62" s="5">
        <v>9.44</v>
      </c>
      <c r="D62" s="9">
        <f t="shared" si="4"/>
        <v>45793</v>
      </c>
      <c r="E62">
        <v>99.209605420580004</v>
      </c>
      <c r="F62" s="14">
        <v>103.850933561227</v>
      </c>
      <c r="G62" s="15">
        <f t="shared" si="1"/>
        <v>2.550111304692626E-3</v>
      </c>
      <c r="H62" s="15">
        <f t="shared" si="2"/>
        <v>4.8032559424953103E-3</v>
      </c>
      <c r="I62" s="15">
        <f t="shared" si="3"/>
        <v>3.2043324568050572E-3</v>
      </c>
    </row>
    <row r="63" spans="1:9" x14ac:dyDescent="0.3">
      <c r="A63" s="3" t="s">
        <v>172</v>
      </c>
      <c r="B63" s="3">
        <v>8.73</v>
      </c>
      <c r="C63" s="5">
        <v>9.43</v>
      </c>
      <c r="D63" s="9">
        <f t="shared" si="4"/>
        <v>45796</v>
      </c>
      <c r="E63">
        <v>99.209155005467196</v>
      </c>
      <c r="F63" s="14">
        <v>103.92193290964801</v>
      </c>
      <c r="G63" s="15">
        <f t="shared" si="1"/>
        <v>-4.5400353211322297E-6</v>
      </c>
      <c r="H63" s="15">
        <f t="shared" si="2"/>
        <v>6.8366596222424469E-4</v>
      </c>
      <c r="I63" s="15">
        <f t="shared" si="3"/>
        <v>1.9528687017389377E-4</v>
      </c>
    </row>
    <row r="64" spans="1:9" x14ac:dyDescent="0.3">
      <c r="A64" s="3" t="s">
        <v>173</v>
      </c>
      <c r="B64" s="3">
        <v>8.7200000000000006</v>
      </c>
      <c r="C64" s="5">
        <v>9.42</v>
      </c>
      <c r="D64" s="9">
        <f t="shared" si="4"/>
        <v>45797</v>
      </c>
      <c r="E64">
        <v>99.240540747652702</v>
      </c>
      <c r="F64" s="14">
        <v>104.020875588918</v>
      </c>
      <c r="G64" s="15">
        <f t="shared" si="1"/>
        <v>3.1635933381135573E-4</v>
      </c>
      <c r="H64" s="15">
        <f t="shared" si="2"/>
        <v>9.5208659519463446E-4</v>
      </c>
      <c r="I64" s="15">
        <f t="shared" si="3"/>
        <v>5.0094855830830148E-4</v>
      </c>
    </row>
    <row r="65" spans="1:9" x14ac:dyDescent="0.3">
      <c r="A65" s="3" t="s">
        <v>174</v>
      </c>
      <c r="B65" s="3">
        <v>8.74</v>
      </c>
      <c r="C65" s="5">
        <v>9.41</v>
      </c>
      <c r="D65" s="9">
        <f t="shared" si="4"/>
        <v>45798</v>
      </c>
      <c r="E65">
        <v>99.177388327988794</v>
      </c>
      <c r="F65" s="14">
        <v>104.09039248109001</v>
      </c>
      <c r="G65" s="15">
        <f t="shared" si="1"/>
        <v>-6.363570692796694E-4</v>
      </c>
      <c r="H65" s="15">
        <f t="shared" si="2"/>
        <v>6.6829751026831197E-4</v>
      </c>
      <c r="I65" s="15">
        <f t="shared" si="3"/>
        <v>-2.5753868016239383E-4</v>
      </c>
    </row>
    <row r="66" spans="1:9" x14ac:dyDescent="0.3">
      <c r="A66" s="3" t="s">
        <v>175</v>
      </c>
      <c r="B66" s="3">
        <v>8.75</v>
      </c>
      <c r="C66" s="5">
        <v>9.4499999999999993</v>
      </c>
      <c r="D66" s="9">
        <f t="shared" si="4"/>
        <v>45799</v>
      </c>
      <c r="E66">
        <v>99.145816669559593</v>
      </c>
      <c r="F66" s="14">
        <v>103.80398709131001</v>
      </c>
      <c r="G66" s="15">
        <f t="shared" si="1"/>
        <v>-3.1833524719149242E-4</v>
      </c>
      <c r="H66" s="15">
        <f t="shared" si="2"/>
        <v>-2.7515064834828795E-3</v>
      </c>
      <c r="I66" s="15">
        <f t="shared" si="3"/>
        <v>-1.0248287686397068E-3</v>
      </c>
    </row>
    <row r="67" spans="1:9" x14ac:dyDescent="0.3">
      <c r="A67" s="3" t="s">
        <v>176</v>
      </c>
      <c r="B67" s="3">
        <v>8.7100000000000009</v>
      </c>
      <c r="C67" s="5">
        <v>9.42</v>
      </c>
      <c r="D67" s="9">
        <f t="shared" si="4"/>
        <v>45800</v>
      </c>
      <c r="E67">
        <v>99.271578845635403</v>
      </c>
      <c r="F67" s="14">
        <v>104.01562865376199</v>
      </c>
      <c r="G67" s="15">
        <f t="shared" si="1"/>
        <v>1.2684567064988883E-3</v>
      </c>
      <c r="H67" s="15">
        <f t="shared" si="2"/>
        <v>2.0388577393064544E-3</v>
      </c>
      <c r="I67" s="15">
        <f t="shared" si="3"/>
        <v>1.492149692211291E-3</v>
      </c>
    </row>
    <row r="68" spans="1:9" x14ac:dyDescent="0.3">
      <c r="A68" s="3" t="s">
        <v>177</v>
      </c>
      <c r="B68" s="3">
        <v>8.74</v>
      </c>
      <c r="C68" s="5">
        <v>9.4600000000000009</v>
      </c>
      <c r="D68" s="9">
        <f t="shared" si="4"/>
        <v>45803</v>
      </c>
      <c r="E68">
        <v>99.176896351811394</v>
      </c>
      <c r="F68" s="14">
        <v>103.726209903211</v>
      </c>
      <c r="G68" s="15">
        <f t="shared" ref="G68:G131" si="5">E68/E67-1</f>
        <v>-9.5377241829952553E-4</v>
      </c>
      <c r="H68" s="15">
        <f t="shared" ref="H68:H131" si="6">F68/F67-1</f>
        <v>-2.7824544666684714E-3</v>
      </c>
      <c r="I68" s="15">
        <f t="shared" ref="I68:I131" si="7">SUMPRODUCT(G68:H68,$K$3:$L$3)</f>
        <v>-1.4847469755733856E-3</v>
      </c>
    </row>
    <row r="69" spans="1:9" x14ac:dyDescent="0.3">
      <c r="A69" s="3" t="s">
        <v>179</v>
      </c>
      <c r="B69" s="3">
        <v>8.7200000000000006</v>
      </c>
      <c r="C69" s="5">
        <v>9.4600000000000009</v>
      </c>
      <c r="D69" s="9">
        <f t="shared" si="4"/>
        <v>45804</v>
      </c>
      <c r="E69">
        <v>99.239585408138495</v>
      </c>
      <c r="F69" s="14">
        <v>103.724530257841</v>
      </c>
      <c r="G69" s="15">
        <f t="shared" si="5"/>
        <v>6.3209334666747274E-4</v>
      </c>
      <c r="H69" s="15">
        <f t="shared" si="6"/>
        <v>-1.6193066068592721E-5</v>
      </c>
      <c r="I69" s="15">
        <f t="shared" si="7"/>
        <v>4.4385745771334073E-4</v>
      </c>
    </row>
    <row r="70" spans="1:9" x14ac:dyDescent="0.3">
      <c r="A70" s="3" t="s">
        <v>180</v>
      </c>
      <c r="B70" s="3">
        <v>8.7200000000000006</v>
      </c>
      <c r="C70" s="5">
        <v>9.41</v>
      </c>
      <c r="D70" s="9">
        <f t="shared" si="4"/>
        <v>45805</v>
      </c>
      <c r="E70">
        <v>99.239470717119204</v>
      </c>
      <c r="F70" s="14">
        <v>104.07822185067501</v>
      </c>
      <c r="G70" s="15">
        <f t="shared" si="5"/>
        <v>-1.1556982913996094E-6</v>
      </c>
      <c r="H70" s="15">
        <f t="shared" si="6"/>
        <v>3.4099126981321781E-3</v>
      </c>
      <c r="I70" s="15">
        <f t="shared" si="7"/>
        <v>9.8927920712986732E-4</v>
      </c>
    </row>
    <row r="71" spans="1:9" x14ac:dyDescent="0.3">
      <c r="A71" s="3" t="s">
        <v>181</v>
      </c>
      <c r="B71" s="3">
        <v>8.67</v>
      </c>
      <c r="C71" s="5">
        <v>9.39</v>
      </c>
      <c r="D71" s="9">
        <f t="shared" si="4"/>
        <v>45806</v>
      </c>
      <c r="E71">
        <v>99.396311933705704</v>
      </c>
      <c r="F71" s="14">
        <v>104.21910906172199</v>
      </c>
      <c r="G71" s="15">
        <f t="shared" si="5"/>
        <v>1.5804318125958172E-3</v>
      </c>
      <c r="H71" s="15">
        <f t="shared" si="6"/>
        <v>1.3536665840536699E-3</v>
      </c>
      <c r="I71" s="15">
        <f t="shared" si="7"/>
        <v>1.514588454567741E-3</v>
      </c>
    </row>
    <row r="72" spans="1:9" x14ac:dyDescent="0.3">
      <c r="A72" s="3" t="s">
        <v>182</v>
      </c>
      <c r="B72" s="3">
        <v>8.6199999999999992</v>
      </c>
      <c r="C72" s="5">
        <v>9.34</v>
      </c>
      <c r="D72" s="9">
        <f t="shared" si="4"/>
        <v>45807</v>
      </c>
      <c r="E72">
        <v>99.553272528320406</v>
      </c>
      <c r="F72" s="14">
        <v>104.57502316749</v>
      </c>
      <c r="G72" s="15">
        <f t="shared" si="5"/>
        <v>1.5791390199606514E-3</v>
      </c>
      <c r="H72" s="15">
        <f t="shared" si="6"/>
        <v>3.4150561156420789E-3</v>
      </c>
      <c r="I72" s="15">
        <f t="shared" si="7"/>
        <v>2.112214339391075E-3</v>
      </c>
    </row>
    <row r="73" spans="1:9" x14ac:dyDescent="0.3">
      <c r="A73" s="3" t="s">
        <v>183</v>
      </c>
      <c r="B73" s="3">
        <v>8.6199999999999992</v>
      </c>
      <c r="C73" s="5">
        <v>9.36</v>
      </c>
      <c r="D73" s="9">
        <f t="shared" si="4"/>
        <v>45810</v>
      </c>
      <c r="E73">
        <v>99.5524174442168</v>
      </c>
      <c r="F73" s="14">
        <v>104.426544469999</v>
      </c>
      <c r="G73" s="15">
        <f t="shared" si="5"/>
        <v>-8.5892114030095001E-6</v>
      </c>
      <c r="H73" s="15">
        <f t="shared" si="6"/>
        <v>-1.4198294486934548E-3</v>
      </c>
      <c r="I73" s="15">
        <f t="shared" si="7"/>
        <v>-4.1835572104349241E-4</v>
      </c>
    </row>
    <row r="74" spans="1:9" x14ac:dyDescent="0.3">
      <c r="A74" s="3" t="s">
        <v>184</v>
      </c>
      <c r="B74" s="3">
        <v>8.6</v>
      </c>
      <c r="C74" s="5">
        <v>9.35</v>
      </c>
      <c r="D74" s="9">
        <f t="shared" si="4"/>
        <v>45811</v>
      </c>
      <c r="E74">
        <v>99.614938403560402</v>
      </c>
      <c r="F74" s="14">
        <v>104.496375479736</v>
      </c>
      <c r="G74" s="15">
        <f t="shared" si="5"/>
        <v>6.2802050365706741E-4</v>
      </c>
      <c r="H74" s="15">
        <f t="shared" si="6"/>
        <v>6.6870937931939878E-4</v>
      </c>
      <c r="I74" s="15">
        <f t="shared" si="7"/>
        <v>6.3983489083281912E-4</v>
      </c>
    </row>
    <row r="75" spans="1:9" x14ac:dyDescent="0.3">
      <c r="A75" s="3" t="s">
        <v>185</v>
      </c>
      <c r="B75" s="3">
        <v>8.5500000000000007</v>
      </c>
      <c r="C75" s="5">
        <v>9.2899999999999991</v>
      </c>
      <c r="D75" s="9">
        <f t="shared" si="4"/>
        <v>45812</v>
      </c>
      <c r="E75">
        <v>99.771735606514099</v>
      </c>
      <c r="F75" s="14">
        <v>104.925364194753</v>
      </c>
      <c r="G75" s="15">
        <f t="shared" si="5"/>
        <v>1.5740330262363766E-3</v>
      </c>
      <c r="H75" s="15">
        <f t="shared" si="6"/>
        <v>4.1052975574276118E-3</v>
      </c>
      <c r="I75" s="15">
        <f t="shared" si="7"/>
        <v>2.3090088329880626E-3</v>
      </c>
    </row>
    <row r="76" spans="1:9" x14ac:dyDescent="0.3">
      <c r="A76" s="3" t="s">
        <v>187</v>
      </c>
      <c r="B76" s="3">
        <v>8.48</v>
      </c>
      <c r="C76" s="5">
        <v>9.23</v>
      </c>
      <c r="D76" s="9">
        <f t="shared" si="4"/>
        <v>45813</v>
      </c>
      <c r="E76">
        <v>99.991659684095396</v>
      </c>
      <c r="F76" s="14">
        <v>105.35670340260999</v>
      </c>
      <c r="G76" s="15">
        <f t="shared" si="5"/>
        <v>2.2042723447113222E-3</v>
      </c>
      <c r="H76" s="15">
        <f t="shared" si="6"/>
        <v>4.1109145645314982E-3</v>
      </c>
      <c r="I76" s="15">
        <f t="shared" si="7"/>
        <v>2.7578833507643629E-3</v>
      </c>
    </row>
    <row r="77" spans="1:9" x14ac:dyDescent="0.3">
      <c r="A77" s="3" t="s">
        <v>189</v>
      </c>
      <c r="B77" s="3">
        <v>8.4700000000000006</v>
      </c>
      <c r="C77" s="5">
        <v>9.2200000000000006</v>
      </c>
      <c r="D77" s="9">
        <f t="shared" si="4"/>
        <v>45814</v>
      </c>
      <c r="E77" s="14">
        <v>100.02263328734</v>
      </c>
      <c r="F77" s="14">
        <v>105.42728823732099</v>
      </c>
      <c r="G77" s="15">
        <f t="shared" si="5"/>
        <v>3.0976186756426216E-4</v>
      </c>
      <c r="H77" s="15">
        <f t="shared" si="6"/>
        <v>6.6996054765744439E-4</v>
      </c>
      <c r="I77" s="15">
        <f t="shared" si="7"/>
        <v>4.1434884858903529E-4</v>
      </c>
    </row>
    <row r="78" spans="1:9" x14ac:dyDescent="0.3">
      <c r="A78" s="3" t="s">
        <v>192</v>
      </c>
      <c r="B78" s="3">
        <v>8.5399999999999991</v>
      </c>
      <c r="C78" s="5">
        <v>9.2200000000000006</v>
      </c>
      <c r="D78" s="9">
        <f t="shared" si="4"/>
        <v>45817</v>
      </c>
      <c r="E78">
        <v>99.801152199632199</v>
      </c>
      <c r="F78" s="14">
        <v>105.421800585859</v>
      </c>
      <c r="G78" s="15">
        <f t="shared" si="5"/>
        <v>-2.214309705999673E-3</v>
      </c>
      <c r="H78" s="15">
        <f t="shared" si="6"/>
        <v>-5.2051528155017124E-5</v>
      </c>
      <c r="I78" s="15">
        <f t="shared" si="7"/>
        <v>-1.5864782687539925E-3</v>
      </c>
    </row>
    <row r="79" spans="1:9" x14ac:dyDescent="0.3">
      <c r="A79" s="3" t="s">
        <v>194</v>
      </c>
      <c r="B79" s="3">
        <v>8.58</v>
      </c>
      <c r="C79" s="5">
        <v>9.1999999999999993</v>
      </c>
      <c r="D79" s="9">
        <f t="shared" si="4"/>
        <v>45818</v>
      </c>
      <c r="E79">
        <v>99.675469452457705</v>
      </c>
      <c r="F79" s="14">
        <v>105.56494611448601</v>
      </c>
      <c r="G79" s="15">
        <f t="shared" si="5"/>
        <v>-1.2593316249805975E-3</v>
      </c>
      <c r="H79" s="15">
        <f t="shared" si="6"/>
        <v>1.3578361195833999E-3</v>
      </c>
      <c r="I79" s="15">
        <f t="shared" si="7"/>
        <v>-4.9941303458334138E-4</v>
      </c>
    </row>
    <row r="80" spans="1:9" x14ac:dyDescent="0.3">
      <c r="A80" s="3" t="s">
        <v>196</v>
      </c>
      <c r="B80" s="3">
        <v>8.65</v>
      </c>
      <c r="C80" s="5">
        <v>9.25</v>
      </c>
      <c r="D80" s="9">
        <f t="shared" si="4"/>
        <v>45819</v>
      </c>
      <c r="E80">
        <v>99.456503791508894</v>
      </c>
      <c r="F80" s="14">
        <v>105.201275240089</v>
      </c>
      <c r="G80" s="15">
        <f t="shared" si="5"/>
        <v>-2.1967858506375393E-3</v>
      </c>
      <c r="H80" s="15">
        <f t="shared" si="6"/>
        <v>-3.4449965427216789E-3</v>
      </c>
      <c r="I80" s="15">
        <f t="shared" si="7"/>
        <v>-2.5592152408122921E-3</v>
      </c>
    </row>
    <row r="81" spans="1:9" x14ac:dyDescent="0.3">
      <c r="A81" s="3" t="s">
        <v>197</v>
      </c>
      <c r="B81" s="3">
        <v>8.6199999999999992</v>
      </c>
      <c r="C81" s="5">
        <v>9.27</v>
      </c>
      <c r="D81" s="9">
        <f t="shared" si="4"/>
        <v>45820</v>
      </c>
      <c r="E81">
        <v>99.549915181544307</v>
      </c>
      <c r="F81" s="14">
        <v>105.055263497049</v>
      </c>
      <c r="G81" s="15">
        <f t="shared" si="5"/>
        <v>9.3921851738554274E-4</v>
      </c>
      <c r="H81" s="15">
        <f t="shared" si="6"/>
        <v>-1.3879275009430758E-3</v>
      </c>
      <c r="I81" s="15">
        <f t="shared" si="7"/>
        <v>2.6351038764490164E-4</v>
      </c>
    </row>
    <row r="82" spans="1:9" x14ac:dyDescent="0.3">
      <c r="A82" s="3" t="s">
        <v>198</v>
      </c>
      <c r="B82" s="3">
        <v>8.65</v>
      </c>
      <c r="C82" s="5">
        <v>9.31</v>
      </c>
      <c r="D82" s="9">
        <f t="shared" si="4"/>
        <v>45821</v>
      </c>
      <c r="E82">
        <v>99.456173259078199</v>
      </c>
      <c r="F82" s="14">
        <v>104.765897785063</v>
      </c>
      <c r="G82" s="15">
        <f t="shared" si="5"/>
        <v>-9.4165748202956756E-4</v>
      </c>
      <c r="H82" s="15">
        <f t="shared" si="6"/>
        <v>-2.7544142230828683E-3</v>
      </c>
      <c r="I82" s="15">
        <f t="shared" si="7"/>
        <v>-1.4680079806766604E-3</v>
      </c>
    </row>
    <row r="83" spans="1:9" x14ac:dyDescent="0.3">
      <c r="A83" s="3" t="s">
        <v>199</v>
      </c>
      <c r="B83" s="3">
        <v>8.65</v>
      </c>
      <c r="C83" s="5">
        <v>9.35</v>
      </c>
      <c r="D83" s="9">
        <f t="shared" si="4"/>
        <v>45824</v>
      </c>
      <c r="E83">
        <v>99.455717936849197</v>
      </c>
      <c r="F83" s="14">
        <v>104.474392271651</v>
      </c>
      <c r="G83" s="15">
        <f t="shared" si="5"/>
        <v>-4.5781193271920984E-6</v>
      </c>
      <c r="H83" s="15">
        <f t="shared" si="6"/>
        <v>-2.7824465744574756E-3</v>
      </c>
      <c r="I83" s="15">
        <f t="shared" si="7"/>
        <v>-8.11157630753686E-4</v>
      </c>
    </row>
    <row r="84" spans="1:9" x14ac:dyDescent="0.3">
      <c r="A84" s="3" t="s">
        <v>200</v>
      </c>
      <c r="B84" s="3">
        <v>8.64</v>
      </c>
      <c r="C84" s="5">
        <v>9.36</v>
      </c>
      <c r="D84" s="9">
        <f t="shared" si="4"/>
        <v>45825</v>
      </c>
      <c r="E84">
        <v>99.486661037898699</v>
      </c>
      <c r="F84" s="14">
        <v>104.401321780597</v>
      </c>
      <c r="G84" s="15">
        <f t="shared" si="5"/>
        <v>3.1112440482461423E-4</v>
      </c>
      <c r="H84" s="15">
        <f t="shared" si="6"/>
        <v>-6.9941053941713349E-4</v>
      </c>
      <c r="I84" s="15">
        <f t="shared" si="7"/>
        <v>1.7706341740816888E-5</v>
      </c>
    </row>
    <row r="85" spans="1:9" x14ac:dyDescent="0.3">
      <c r="A85" s="3" t="s">
        <v>201</v>
      </c>
      <c r="B85" s="3">
        <v>8.59</v>
      </c>
      <c r="C85" s="5">
        <v>9.34</v>
      </c>
      <c r="D85" s="9">
        <f t="shared" si="4"/>
        <v>45826</v>
      </c>
      <c r="E85">
        <v>99.642008695420998</v>
      </c>
      <c r="F85" s="14">
        <v>104.542590315122</v>
      </c>
      <c r="G85" s="15">
        <f t="shared" si="5"/>
        <v>1.5614923237108336E-3</v>
      </c>
      <c r="H85" s="15">
        <f t="shared" si="6"/>
        <v>1.3531297508078133E-3</v>
      </c>
      <c r="I85" s="15">
        <f t="shared" si="7"/>
        <v>1.5009923450522678E-3</v>
      </c>
    </row>
    <row r="86" spans="1:9" x14ac:dyDescent="0.3">
      <c r="A86" s="3" t="s">
        <v>203</v>
      </c>
      <c r="B86" s="3">
        <v>8.6</v>
      </c>
      <c r="C86" s="5">
        <v>9.33</v>
      </c>
      <c r="D86" s="9">
        <f t="shared" si="4"/>
        <v>45827</v>
      </c>
      <c r="E86">
        <v>99.610656694618996</v>
      </c>
      <c r="F86" s="14">
        <v>104.612488903599</v>
      </c>
      <c r="G86" s="15">
        <f t="shared" si="5"/>
        <v>-3.1464641482525924E-4</v>
      </c>
      <c r="H86" s="15">
        <f t="shared" si="6"/>
        <v>6.686135121227732E-4</v>
      </c>
      <c r="I86" s="15">
        <f t="shared" si="7"/>
        <v>-2.9147902461109732E-5</v>
      </c>
    </row>
    <row r="87" spans="1:9" x14ac:dyDescent="0.3">
      <c r="A87" s="3" t="s">
        <v>204</v>
      </c>
      <c r="B87" s="3">
        <v>8.64</v>
      </c>
      <c r="C87" s="5">
        <v>9.33</v>
      </c>
      <c r="D87" s="9">
        <f t="shared" si="4"/>
        <v>45828</v>
      </c>
      <c r="E87">
        <v>99.486212200604399</v>
      </c>
      <c r="F87" s="14">
        <v>104.61084348721801</v>
      </c>
      <c r="G87" s="15">
        <f t="shared" si="5"/>
        <v>-1.249309041261637E-3</v>
      </c>
      <c r="H87" s="15">
        <f t="shared" si="6"/>
        <v>-1.572868018184792E-5</v>
      </c>
      <c r="I87" s="15">
        <f t="shared" si="7"/>
        <v>-8.9112770149823582E-4</v>
      </c>
    </row>
    <row r="88" spans="1:9" x14ac:dyDescent="0.3">
      <c r="A88" s="3" t="s">
        <v>205</v>
      </c>
      <c r="B88" s="3">
        <v>8.66</v>
      </c>
      <c r="C88" s="5">
        <v>9.39</v>
      </c>
      <c r="D88" s="9">
        <f t="shared" si="4"/>
        <v>45831</v>
      </c>
      <c r="E88">
        <v>99.423889126769694</v>
      </c>
      <c r="F88" s="14">
        <v>104.17794403912799</v>
      </c>
      <c r="G88" s="15">
        <f t="shared" si="5"/>
        <v>-6.2644935872158136E-4</v>
      </c>
      <c r="H88" s="15">
        <f t="shared" si="6"/>
        <v>-4.1381890601321913E-3</v>
      </c>
      <c r="I88" s="15">
        <f t="shared" si="7"/>
        <v>-1.6461150982527738E-3</v>
      </c>
    </row>
    <row r="89" spans="1:9" x14ac:dyDescent="0.3">
      <c r="A89" s="3" t="s">
        <v>206</v>
      </c>
      <c r="B89" s="3">
        <v>8.61</v>
      </c>
      <c r="C89" s="5">
        <v>9.36</v>
      </c>
      <c r="D89" s="9">
        <f t="shared" si="4"/>
        <v>45832</v>
      </c>
      <c r="E89">
        <v>99.578604016697497</v>
      </c>
      <c r="F89" s="14">
        <v>104.39005128341</v>
      </c>
      <c r="G89" s="15">
        <f t="shared" si="5"/>
        <v>1.5561138403119568E-3</v>
      </c>
      <c r="H89" s="15">
        <f t="shared" si="6"/>
        <v>2.0360091211086839E-3</v>
      </c>
      <c r="I89" s="15">
        <f t="shared" si="7"/>
        <v>1.6954558240570977E-3</v>
      </c>
    </row>
    <row r="90" spans="1:9" x14ac:dyDescent="0.3">
      <c r="A90" s="3" t="s">
        <v>208</v>
      </c>
      <c r="B90" s="3">
        <v>8.56</v>
      </c>
      <c r="C90" s="5">
        <v>9.32</v>
      </c>
      <c r="D90" s="9">
        <f t="shared" si="4"/>
        <v>45833</v>
      </c>
      <c r="E90">
        <v>99.733425831749003</v>
      </c>
      <c r="F90" s="14">
        <v>104.674264052098</v>
      </c>
      <c r="G90" s="15">
        <f t="shared" si="5"/>
        <v>1.5547698883742189E-3</v>
      </c>
      <c r="H90" s="15">
        <f t="shared" si="6"/>
        <v>2.7226039760857024E-3</v>
      </c>
      <c r="I90" s="15">
        <f t="shared" si="7"/>
        <v>1.8938611963711469E-3</v>
      </c>
    </row>
    <row r="91" spans="1:9" x14ac:dyDescent="0.3">
      <c r="A91" s="3" t="s">
        <v>209</v>
      </c>
      <c r="B91" s="3">
        <v>8.5399999999999991</v>
      </c>
      <c r="C91" s="5">
        <v>9.2799999999999994</v>
      </c>
      <c r="D91" s="9">
        <f t="shared" si="4"/>
        <v>45834</v>
      </c>
      <c r="E91">
        <v>99.795200316702903</v>
      </c>
      <c r="F91" s="14">
        <v>104.95948767728299</v>
      </c>
      <c r="G91" s="15">
        <f t="shared" si="5"/>
        <v>6.1939599927218758E-4</v>
      </c>
      <c r="H91" s="15">
        <f t="shared" si="6"/>
        <v>2.7248686940186673E-3</v>
      </c>
      <c r="I91" s="15">
        <f t="shared" si="7"/>
        <v>1.2307392521587939E-3</v>
      </c>
    </row>
    <row r="92" spans="1:9" x14ac:dyDescent="0.3">
      <c r="A92" s="3" t="s">
        <v>210</v>
      </c>
      <c r="B92" s="3">
        <v>8.5399999999999991</v>
      </c>
      <c r="C92" s="5">
        <v>9.2899999999999991</v>
      </c>
      <c r="D92" s="9">
        <f t="shared" si="4"/>
        <v>45835</v>
      </c>
      <c r="E92">
        <v>99.794897814176295</v>
      </c>
      <c r="F92" s="14">
        <v>104.886036977693</v>
      </c>
      <c r="G92" s="15">
        <f t="shared" si="5"/>
        <v>-3.0312332220949756E-6</v>
      </c>
      <c r="H92" s="15">
        <f t="shared" si="6"/>
        <v>-6.9980047745499263E-4</v>
      </c>
      <c r="I92" s="15">
        <f t="shared" si="7"/>
        <v>-2.0534455570950553E-4</v>
      </c>
    </row>
    <row r="93" spans="1:9" x14ac:dyDescent="0.3">
      <c r="A93" s="3" t="s">
        <v>211</v>
      </c>
      <c r="B93" s="3">
        <v>8.56</v>
      </c>
      <c r="C93" s="5">
        <v>9.33</v>
      </c>
      <c r="D93" s="9">
        <f t="shared" si="4"/>
        <v>45838</v>
      </c>
      <c r="E93">
        <v>99.732136577292707</v>
      </c>
      <c r="F93" s="14">
        <v>104.594745785675</v>
      </c>
      <c r="G93" s="15">
        <f t="shared" si="5"/>
        <v>-6.2890226112011227E-4</v>
      </c>
      <c r="H93" s="15">
        <f t="shared" si="6"/>
        <v>-2.7772161139041351E-3</v>
      </c>
      <c r="I93" s="15">
        <f t="shared" si="7"/>
        <v>-1.252684836054186E-3</v>
      </c>
    </row>
    <row r="94" spans="1:9" x14ac:dyDescent="0.3">
      <c r="A94" s="3" t="s">
        <v>212</v>
      </c>
      <c r="B94" s="3">
        <v>8.5399999999999991</v>
      </c>
      <c r="C94" s="5">
        <v>9.25</v>
      </c>
      <c r="D94" s="9">
        <f t="shared" si="4"/>
        <v>45839</v>
      </c>
      <c r="E94">
        <v>99.793740790313194</v>
      </c>
      <c r="F94" s="14">
        <v>105.167002341005</v>
      </c>
      <c r="G94" s="15">
        <f t="shared" si="5"/>
        <v>6.1769671376432633E-4</v>
      </c>
      <c r="H94" s="15">
        <f t="shared" si="6"/>
        <v>5.4711787961376768E-3</v>
      </c>
      <c r="I94" s="15">
        <f t="shared" si="7"/>
        <v>2.026949624746512E-3</v>
      </c>
    </row>
    <row r="95" spans="1:9" x14ac:dyDescent="0.3">
      <c r="A95" s="3" t="s">
        <v>213</v>
      </c>
      <c r="B95" s="3">
        <v>8.5500000000000007</v>
      </c>
      <c r="C95" s="5">
        <v>9.24</v>
      </c>
      <c r="D95" s="9">
        <f t="shared" si="4"/>
        <v>45840</v>
      </c>
      <c r="E95">
        <v>99.762555556421006</v>
      </c>
      <c r="F95" s="14">
        <v>105.237380179862</v>
      </c>
      <c r="G95" s="15">
        <f t="shared" si="5"/>
        <v>-3.1249689254275737E-4</v>
      </c>
      <c r="H95" s="15">
        <f t="shared" si="6"/>
        <v>6.6920076916132665E-4</v>
      </c>
      <c r="I95" s="15">
        <f t="shared" si="7"/>
        <v>-2.7451998180156971E-5</v>
      </c>
    </row>
    <row r="96" spans="1:9" x14ac:dyDescent="0.3">
      <c r="A96" s="3" t="s">
        <v>214</v>
      </c>
      <c r="B96" s="3">
        <v>8.52</v>
      </c>
      <c r="C96" s="5">
        <v>9.2200000000000006</v>
      </c>
      <c r="D96" s="9">
        <f t="shared" si="4"/>
        <v>45841</v>
      </c>
      <c r="E96">
        <v>99.855008439974696</v>
      </c>
      <c r="F96" s="14">
        <v>105.379962960729</v>
      </c>
      <c r="G96" s="15">
        <f t="shared" si="5"/>
        <v>9.2672930277326593E-4</v>
      </c>
      <c r="H96" s="15">
        <f t="shared" si="6"/>
        <v>1.3548682095974041E-3</v>
      </c>
      <c r="I96" s="15">
        <f t="shared" si="7"/>
        <v>1.0510433499885399E-3</v>
      </c>
    </row>
    <row r="97" spans="1:9" x14ac:dyDescent="0.3">
      <c r="A97" s="3" t="s">
        <v>215</v>
      </c>
      <c r="B97" s="3">
        <v>8.5500000000000007</v>
      </c>
      <c r="C97" s="5">
        <v>9.26</v>
      </c>
      <c r="D97" s="9">
        <f t="shared" si="4"/>
        <v>45842</v>
      </c>
      <c r="E97">
        <v>99.762058945136303</v>
      </c>
      <c r="F97" s="14">
        <v>105.090146275512</v>
      </c>
      <c r="G97" s="15">
        <f t="shared" si="5"/>
        <v>-9.3084459448289358E-4</v>
      </c>
      <c r="H97" s="15">
        <f t="shared" si="6"/>
        <v>-2.7502067477952474E-3</v>
      </c>
      <c r="I97" s="15">
        <f t="shared" si="7"/>
        <v>-1.45911303499035E-3</v>
      </c>
    </row>
    <row r="98" spans="1:9" x14ac:dyDescent="0.3">
      <c r="A98" s="3" t="s">
        <v>217</v>
      </c>
      <c r="B98" s="3">
        <v>8.56</v>
      </c>
      <c r="C98" s="5">
        <v>9.26</v>
      </c>
      <c r="D98" s="9">
        <f t="shared" si="4"/>
        <v>45845</v>
      </c>
      <c r="E98">
        <v>99.730555186019899</v>
      </c>
      <c r="F98" s="14">
        <v>105.085314223669</v>
      </c>
      <c r="G98" s="15">
        <f t="shared" si="5"/>
        <v>-3.1578898280082424E-4</v>
      </c>
      <c r="H98" s="15">
        <f t="shared" si="6"/>
        <v>-4.5980065822015526E-5</v>
      </c>
      <c r="I98" s="15">
        <f t="shared" si="7"/>
        <v>-2.3744749617161939E-4</v>
      </c>
    </row>
    <row r="99" spans="1:9" x14ac:dyDescent="0.3">
      <c r="A99" s="3" t="s">
        <v>218</v>
      </c>
      <c r="B99" s="3">
        <v>8.58</v>
      </c>
      <c r="C99" s="5">
        <v>9.3000000000000007</v>
      </c>
      <c r="D99" s="9">
        <f t="shared" si="4"/>
        <v>45846</v>
      </c>
      <c r="E99">
        <v>99.668827802939006</v>
      </c>
      <c r="F99" s="14">
        <v>104.79680763621</v>
      </c>
      <c r="G99" s="15">
        <f t="shared" si="5"/>
        <v>-6.1894153668107244E-4</v>
      </c>
      <c r="H99" s="15">
        <f t="shared" si="6"/>
        <v>-2.7454510612674454E-3</v>
      </c>
      <c r="I99" s="15">
        <f t="shared" si="7"/>
        <v>-1.2363930255076803E-3</v>
      </c>
    </row>
    <row r="100" spans="1:9" x14ac:dyDescent="0.3">
      <c r="A100" s="3" t="s">
        <v>219</v>
      </c>
      <c r="B100" s="3">
        <v>8.56</v>
      </c>
      <c r="C100" s="5">
        <v>9.33</v>
      </c>
      <c r="D100" s="9">
        <f t="shared" si="4"/>
        <v>45847</v>
      </c>
      <c r="E100">
        <v>99.730151317665602</v>
      </c>
      <c r="F100" s="14">
        <v>104.580812907397</v>
      </c>
      <c r="G100" s="15">
        <f t="shared" si="5"/>
        <v>6.1527275958184191E-4</v>
      </c>
      <c r="H100" s="15">
        <f t="shared" si="6"/>
        <v>-2.0610811883010616E-3</v>
      </c>
      <c r="I100" s="15">
        <f t="shared" si="7"/>
        <v>-1.6183108624678161E-4</v>
      </c>
    </row>
    <row r="101" spans="1:9" x14ac:dyDescent="0.3">
      <c r="A101" s="3" t="s">
        <v>220</v>
      </c>
      <c r="B101" s="3">
        <v>8.52</v>
      </c>
      <c r="C101" s="5">
        <v>9.2899999999999991</v>
      </c>
      <c r="D101" s="9">
        <f t="shared" si="4"/>
        <v>45848</v>
      </c>
      <c r="E101">
        <v>99.8529849233921</v>
      </c>
      <c r="F101" s="14">
        <v>104.865316784114</v>
      </c>
      <c r="G101" s="15">
        <f t="shared" si="5"/>
        <v>1.2316596746679842E-3</v>
      </c>
      <c r="H101" s="15">
        <f t="shared" si="6"/>
        <v>2.7204213546219158E-3</v>
      </c>
      <c r="I101" s="15">
        <f t="shared" si="7"/>
        <v>1.6639352441716561E-3</v>
      </c>
    </row>
    <row r="102" spans="1:9" x14ac:dyDescent="0.3">
      <c r="A102" s="3" t="s">
        <v>221</v>
      </c>
      <c r="B102" s="3">
        <v>8.5299999999999994</v>
      </c>
      <c r="C102" s="5">
        <v>9.33</v>
      </c>
      <c r="D102" s="9">
        <f t="shared" si="4"/>
        <v>45849</v>
      </c>
      <c r="E102">
        <v>99.821962444695302</v>
      </c>
      <c r="F102" s="14">
        <v>104.57778824652</v>
      </c>
      <c r="G102" s="15">
        <f t="shared" si="5"/>
        <v>-3.106815356656023E-4</v>
      </c>
      <c r="H102" s="15">
        <f t="shared" si="6"/>
        <v>-2.7418840319334281E-3</v>
      </c>
      <c r="I102" s="15">
        <f t="shared" si="7"/>
        <v>-1.0166034154425211E-3</v>
      </c>
    </row>
    <row r="103" spans="1:9" x14ac:dyDescent="0.3">
      <c r="A103" s="3" t="s">
        <v>222</v>
      </c>
      <c r="B103" s="3">
        <v>8.57</v>
      </c>
      <c r="C103" s="5">
        <v>9.3800000000000008</v>
      </c>
      <c r="D103" s="9">
        <f t="shared" si="4"/>
        <v>45852</v>
      </c>
      <c r="E103">
        <v>99.698586541109293</v>
      </c>
      <c r="F103" s="14">
        <v>104.217483960699</v>
      </c>
      <c r="G103" s="15">
        <f t="shared" si="5"/>
        <v>-1.2359595079526331E-3</v>
      </c>
      <c r="H103" s="15">
        <f t="shared" si="6"/>
        <v>-3.4453232551797663E-3</v>
      </c>
      <c r="I103" s="15">
        <f t="shared" si="7"/>
        <v>-1.8774684780806985E-3</v>
      </c>
    </row>
    <row r="104" spans="1:9" x14ac:dyDescent="0.3">
      <c r="A104" s="3" t="s">
        <v>223</v>
      </c>
      <c r="B104" s="3">
        <v>8.57</v>
      </c>
      <c r="C104" s="5">
        <v>9.35</v>
      </c>
      <c r="D104" s="9">
        <f t="shared" si="4"/>
        <v>45853</v>
      </c>
      <c r="E104">
        <v>99.698439124220997</v>
      </c>
      <c r="F104" s="14">
        <v>104.42930937855</v>
      </c>
      <c r="G104" s="15">
        <f t="shared" si="5"/>
        <v>-1.478625659689925E-6</v>
      </c>
      <c r="H104" s="15">
        <f t="shared" si="6"/>
        <v>2.0325324484986584E-3</v>
      </c>
      <c r="I104" s="15">
        <f t="shared" si="7"/>
        <v>5.8911509212446406E-4</v>
      </c>
    </row>
    <row r="105" spans="1:9" x14ac:dyDescent="0.3">
      <c r="A105" s="3" t="s">
        <v>224</v>
      </c>
      <c r="B105" s="3">
        <v>8.6</v>
      </c>
      <c r="C105" s="5">
        <v>9.3699999999999992</v>
      </c>
      <c r="D105" s="9">
        <f t="shared" si="4"/>
        <v>45854</v>
      </c>
      <c r="E105">
        <v>99.606540195830405</v>
      </c>
      <c r="F105" s="14">
        <v>104.28563248358201</v>
      </c>
      <c r="G105" s="15">
        <f t="shared" si="5"/>
        <v>-9.2176897851015127E-4</v>
      </c>
      <c r="H105" s="15">
        <f t="shared" si="6"/>
        <v>-1.3758292171326403E-3</v>
      </c>
      <c r="I105" s="15">
        <f t="shared" si="7"/>
        <v>-1.0536095214811279E-3</v>
      </c>
    </row>
    <row r="106" spans="1:9" x14ac:dyDescent="0.3">
      <c r="A106" s="3" t="s">
        <v>225</v>
      </c>
      <c r="B106" s="3">
        <v>8.6</v>
      </c>
      <c r="C106" s="5">
        <v>9.35</v>
      </c>
      <c r="D106" s="9">
        <f t="shared" si="4"/>
        <v>45855</v>
      </c>
      <c r="E106">
        <v>99.606462962296007</v>
      </c>
      <c r="F106" s="14">
        <v>104.426402349989</v>
      </c>
      <c r="G106" s="15">
        <f t="shared" si="5"/>
        <v>-7.7538617693218015E-7</v>
      </c>
      <c r="H106" s="15">
        <f t="shared" si="6"/>
        <v>1.3498490928667284E-3</v>
      </c>
      <c r="I106" s="15">
        <f t="shared" si="7"/>
        <v>3.9139078368463019E-4</v>
      </c>
    </row>
    <row r="107" spans="1:9" x14ac:dyDescent="0.3">
      <c r="A107" s="3" t="s">
        <v>226</v>
      </c>
      <c r="B107" s="3">
        <v>8.61</v>
      </c>
      <c r="C107" s="5">
        <v>9.36</v>
      </c>
      <c r="D107" s="9">
        <f t="shared" si="4"/>
        <v>45856</v>
      </c>
      <c r="E107">
        <v>99.575868237696895</v>
      </c>
      <c r="F107" s="14">
        <v>104.35383483174699</v>
      </c>
      <c r="G107" s="15">
        <f t="shared" si="5"/>
        <v>-3.0715601868824827E-4</v>
      </c>
      <c r="H107" s="15">
        <f t="shared" si="6"/>
        <v>-6.949154295174953E-4</v>
      </c>
      <c r="I107" s="15">
        <f t="shared" si="7"/>
        <v>-4.1974550994369742E-4</v>
      </c>
    </row>
    <row r="108" spans="1:9" x14ac:dyDescent="0.3">
      <c r="A108" s="3" t="s">
        <v>227</v>
      </c>
      <c r="B108" s="3">
        <v>8.61</v>
      </c>
      <c r="C108" s="5">
        <v>9.39</v>
      </c>
      <c r="D108" s="9">
        <f t="shared" si="4"/>
        <v>45859</v>
      </c>
      <c r="E108">
        <v>99.575744506941703</v>
      </c>
      <c r="F108" s="14">
        <v>104.136690338341</v>
      </c>
      <c r="G108" s="15">
        <f t="shared" si="5"/>
        <v>-1.2425777187186071E-6</v>
      </c>
      <c r="H108" s="15">
        <f t="shared" si="6"/>
        <v>-2.0808482386498461E-3</v>
      </c>
      <c r="I108" s="15">
        <f t="shared" si="7"/>
        <v>-6.050751007655778E-4</v>
      </c>
    </row>
    <row r="109" spans="1:9" x14ac:dyDescent="0.3">
      <c r="A109" s="3" t="s">
        <v>228</v>
      </c>
      <c r="B109" s="3">
        <v>8.6</v>
      </c>
      <c r="C109" s="5">
        <v>9.3800000000000008</v>
      </c>
      <c r="D109" s="9">
        <f t="shared" si="4"/>
        <v>45860</v>
      </c>
      <c r="E109">
        <v>99.606157600576097</v>
      </c>
      <c r="F109" s="14">
        <v>104.20619647464601</v>
      </c>
      <c r="G109" s="15">
        <f t="shared" si="5"/>
        <v>3.0542672600630816E-4</v>
      </c>
      <c r="H109" s="15">
        <f t="shared" si="6"/>
        <v>6.6745098273424119E-4</v>
      </c>
      <c r="I109" s="15">
        <f t="shared" si="7"/>
        <v>4.1054377990311006E-4</v>
      </c>
    </row>
    <row r="110" spans="1:9" x14ac:dyDescent="0.3">
      <c r="A110" s="3" t="s">
        <v>229</v>
      </c>
      <c r="B110" s="3">
        <v>8.6</v>
      </c>
      <c r="C110" s="5">
        <v>9.41</v>
      </c>
      <c r="D110" s="9">
        <f t="shared" si="4"/>
        <v>45861</v>
      </c>
      <c r="E110">
        <v>99.606112698053195</v>
      </c>
      <c r="F110" s="14">
        <v>103.992391329078</v>
      </c>
      <c r="G110" s="15">
        <f t="shared" si="5"/>
        <v>-4.5080067323510775E-7</v>
      </c>
      <c r="H110" s="15">
        <f t="shared" si="6"/>
        <v>-2.0517507864326046E-3</v>
      </c>
      <c r="I110" s="15">
        <f t="shared" si="7"/>
        <v>-5.9606451205949571E-4</v>
      </c>
    </row>
    <row r="111" spans="1:9" x14ac:dyDescent="0.3">
      <c r="A111" s="3" t="s">
        <v>230</v>
      </c>
      <c r="B111" s="3">
        <v>8.65</v>
      </c>
      <c r="C111" s="5">
        <v>9.3800000000000008</v>
      </c>
      <c r="D111" s="9">
        <f t="shared" si="4"/>
        <v>45862</v>
      </c>
      <c r="E111">
        <v>99.454168571457998</v>
      </c>
      <c r="F111" s="14">
        <v>104.203440314254</v>
      </c>
      <c r="G111" s="15">
        <f t="shared" si="5"/>
        <v>-1.525449819086977E-3</v>
      </c>
      <c r="H111" s="15">
        <f t="shared" si="6"/>
        <v>2.029465641463446E-3</v>
      </c>
      <c r="I111" s="15">
        <f t="shared" si="7"/>
        <v>-4.9324760301812018E-4</v>
      </c>
    </row>
    <row r="112" spans="1:9" x14ac:dyDescent="0.3">
      <c r="A112" s="3" t="s">
        <v>231</v>
      </c>
      <c r="B112" s="3">
        <v>8.67</v>
      </c>
      <c r="C112" s="5">
        <v>9.39</v>
      </c>
      <c r="D112" s="9">
        <f t="shared" si="4"/>
        <v>45863</v>
      </c>
      <c r="E112">
        <v>99.393591495006802</v>
      </c>
      <c r="F112" s="14">
        <v>104.131217364572</v>
      </c>
      <c r="G112" s="15">
        <f t="shared" si="5"/>
        <v>-6.0909539862752382E-4</v>
      </c>
      <c r="H112" s="15">
        <f t="shared" si="6"/>
        <v>-6.9309563546260389E-4</v>
      </c>
      <c r="I112" s="15">
        <f t="shared" si="7"/>
        <v>-6.3348563563137461E-4</v>
      </c>
    </row>
    <row r="113" spans="1:9" x14ac:dyDescent="0.3">
      <c r="A113" s="3" t="s">
        <v>232</v>
      </c>
      <c r="B113" s="3">
        <v>8.69</v>
      </c>
      <c r="C113" s="5">
        <v>9.39</v>
      </c>
      <c r="D113" s="9">
        <f t="shared" si="4"/>
        <v>45866</v>
      </c>
      <c r="E113">
        <v>99.333460753282907</v>
      </c>
      <c r="F113" s="14">
        <v>104.127181808939</v>
      </c>
      <c r="G113" s="15">
        <f t="shared" si="5"/>
        <v>-6.0497604341946953E-4</v>
      </c>
      <c r="H113" s="15">
        <f t="shared" si="6"/>
        <v>-3.8754522756256904E-5</v>
      </c>
      <c r="I113" s="15">
        <f t="shared" si="7"/>
        <v>-4.4056844641744339E-4</v>
      </c>
    </row>
    <row r="114" spans="1:9" x14ac:dyDescent="0.3">
      <c r="A114" s="3" t="s">
        <v>233</v>
      </c>
      <c r="B114" s="3">
        <v>8.65</v>
      </c>
      <c r="C114" s="5">
        <v>9.39</v>
      </c>
      <c r="D114" s="9">
        <f t="shared" si="4"/>
        <v>45867</v>
      </c>
      <c r="E114">
        <v>99.454548845112299</v>
      </c>
      <c r="F114" s="14">
        <v>104.12584980862501</v>
      </c>
      <c r="G114" s="15">
        <f t="shared" si="5"/>
        <v>1.2190060721848361E-3</v>
      </c>
      <c r="H114" s="15">
        <f t="shared" si="6"/>
        <v>-1.2792051900856194E-5</v>
      </c>
      <c r="I114" s="15">
        <f t="shared" si="7"/>
        <v>8.6134222123242959E-4</v>
      </c>
    </row>
    <row r="115" spans="1:9" x14ac:dyDescent="0.3">
      <c r="A115" s="3" t="s">
        <v>234</v>
      </c>
      <c r="B115" s="3">
        <v>8.6</v>
      </c>
      <c r="C115" s="5">
        <v>9.35</v>
      </c>
      <c r="D115" s="9">
        <f t="shared" si="4"/>
        <v>45868</v>
      </c>
      <c r="E115">
        <v>99.605949448440299</v>
      </c>
      <c r="F115" s="14">
        <v>104.408144735017</v>
      </c>
      <c r="G115" s="15">
        <f t="shared" si="5"/>
        <v>1.5223094879630583E-3</v>
      </c>
      <c r="H115" s="15">
        <f t="shared" si="6"/>
        <v>2.7110936132654917E-3</v>
      </c>
      <c r="I115" s="15">
        <f t="shared" si="7"/>
        <v>1.8674838309767337E-3</v>
      </c>
    </row>
    <row r="116" spans="1:9" x14ac:dyDescent="0.3">
      <c r="A116" s="3" t="s">
        <v>235</v>
      </c>
      <c r="B116" s="3">
        <v>8.59</v>
      </c>
      <c r="C116" s="5">
        <v>9.35</v>
      </c>
      <c r="D116" s="9">
        <f t="shared" si="4"/>
        <v>45869</v>
      </c>
      <c r="E116">
        <v>99.636223468142006</v>
      </c>
      <c r="F116" s="14">
        <v>104.406786174006</v>
      </c>
      <c r="G116" s="15">
        <f t="shared" si="5"/>
        <v>3.0393786585380944E-4</v>
      </c>
      <c r="H116" s="15">
        <f t="shared" si="6"/>
        <v>-1.3012021374825267E-5</v>
      </c>
      <c r="I116" s="15">
        <f t="shared" si="7"/>
        <v>2.1190856737661977E-4</v>
      </c>
    </row>
    <row r="117" spans="1:9" x14ac:dyDescent="0.3">
      <c r="A117" s="3" t="s">
        <v>236</v>
      </c>
      <c r="B117" s="3">
        <v>8.5500000000000007</v>
      </c>
      <c r="C117" s="5">
        <v>9.2899999999999991</v>
      </c>
      <c r="D117" s="9">
        <f t="shared" si="4"/>
        <v>45870</v>
      </c>
      <c r="E117">
        <v>99.757343698433402</v>
      </c>
      <c r="F117" s="14">
        <v>104.83274520275</v>
      </c>
      <c r="G117" s="15">
        <f t="shared" si="5"/>
        <v>1.2156244594128118E-3</v>
      </c>
      <c r="H117" s="15">
        <f t="shared" si="6"/>
        <v>4.0798021311956312E-3</v>
      </c>
      <c r="I117" s="15">
        <f t="shared" si="7"/>
        <v>2.0472646412503315E-3</v>
      </c>
    </row>
    <row r="118" spans="1:9" x14ac:dyDescent="0.3">
      <c r="A118" s="3" t="s">
        <v>237</v>
      </c>
      <c r="B118" s="3">
        <v>8.4499999999999993</v>
      </c>
      <c r="C118" s="5">
        <v>9.1999999999999993</v>
      </c>
      <c r="D118" s="9">
        <f t="shared" si="4"/>
        <v>45873</v>
      </c>
      <c r="E118" s="14">
        <v>100.060119934328</v>
      </c>
      <c r="F118" s="14">
        <v>105.47376754649299</v>
      </c>
      <c r="G118" s="15">
        <f t="shared" si="5"/>
        <v>3.0351272865674073E-3</v>
      </c>
      <c r="H118" s="15">
        <f t="shared" si="6"/>
        <v>6.1147148489075764E-3</v>
      </c>
      <c r="I118" s="15">
        <f t="shared" si="7"/>
        <v>3.9293137001968972E-3</v>
      </c>
    </row>
    <row r="119" spans="1:9" x14ac:dyDescent="0.3">
      <c r="A119" s="3" t="s">
        <v>239</v>
      </c>
      <c r="B119" s="3">
        <v>8.4499999999999993</v>
      </c>
      <c r="C119" s="5">
        <v>9.17</v>
      </c>
      <c r="D119" s="9">
        <f t="shared" si="4"/>
        <v>45874</v>
      </c>
      <c r="E119" s="14">
        <v>100.05984348382199</v>
      </c>
      <c r="F119" s="14">
        <v>105.688545821855</v>
      </c>
      <c r="G119" s="15">
        <f t="shared" si="5"/>
        <v>-2.7628440399940501E-6</v>
      </c>
      <c r="H119" s="15">
        <f t="shared" si="6"/>
        <v>2.0363193650718703E-3</v>
      </c>
      <c r="I119" s="15">
        <f t="shared" si="7"/>
        <v>5.8930332415686065E-4</v>
      </c>
    </row>
    <row r="120" spans="1:9" x14ac:dyDescent="0.3">
      <c r="A120" s="3" t="s">
        <v>240</v>
      </c>
      <c r="B120" s="3">
        <v>8.42</v>
      </c>
      <c r="C120" s="5">
        <v>9.14</v>
      </c>
      <c r="D120" s="9">
        <f t="shared" si="4"/>
        <v>45875</v>
      </c>
      <c r="E120" s="14">
        <v>100.15058206341099</v>
      </c>
      <c r="F120" s="14">
        <v>105.903878291941</v>
      </c>
      <c r="G120" s="15">
        <f t="shared" si="5"/>
        <v>9.0684310938060619E-4</v>
      </c>
      <c r="H120" s="15">
        <f t="shared" si="6"/>
        <v>2.0374248544299256E-3</v>
      </c>
      <c r="I120" s="15">
        <f t="shared" si="7"/>
        <v>1.2351178589877917E-3</v>
      </c>
    </row>
    <row r="121" spans="1:9" x14ac:dyDescent="0.3">
      <c r="A121" s="3" t="s">
        <v>242</v>
      </c>
      <c r="B121" s="3">
        <v>8.36</v>
      </c>
      <c r="C121" s="5">
        <v>9.11</v>
      </c>
      <c r="D121" s="9">
        <f t="shared" si="4"/>
        <v>45876</v>
      </c>
      <c r="E121" s="14">
        <v>100.332459410369</v>
      </c>
      <c r="F121" s="14">
        <v>106.119766229258</v>
      </c>
      <c r="G121" s="15">
        <f t="shared" si="5"/>
        <v>1.8160388408212658E-3</v>
      </c>
      <c r="H121" s="15">
        <f t="shared" si="6"/>
        <v>2.038527207869345E-3</v>
      </c>
      <c r="I121" s="15">
        <f t="shared" si="7"/>
        <v>1.8806403729997581E-3</v>
      </c>
    </row>
    <row r="122" spans="1:9" x14ac:dyDescent="0.3">
      <c r="A122" s="3" t="s">
        <v>245</v>
      </c>
      <c r="B122" s="3">
        <v>8.3699999999999992</v>
      </c>
      <c r="C122" s="5">
        <v>9.09</v>
      </c>
      <c r="D122" s="9">
        <f t="shared" ref="D122:D185" si="8">A122+0</f>
        <v>45877</v>
      </c>
      <c r="E122" s="14">
        <v>100.30164045115301</v>
      </c>
      <c r="F122" s="14">
        <v>106.263476474455</v>
      </c>
      <c r="G122" s="15">
        <f t="shared" si="5"/>
        <v>-3.0716838196842566E-4</v>
      </c>
      <c r="H122" s="15">
        <f t="shared" si="6"/>
        <v>1.3542269296611398E-3</v>
      </c>
      <c r="I122" s="15">
        <f t="shared" si="7"/>
        <v>1.752329413431901E-4</v>
      </c>
    </row>
    <row r="123" spans="1:9" x14ac:dyDescent="0.3">
      <c r="A123" s="3" t="s">
        <v>248</v>
      </c>
      <c r="B123" s="3">
        <v>8.3800000000000008</v>
      </c>
      <c r="C123" s="5">
        <v>9.1</v>
      </c>
      <c r="D123" s="9">
        <f t="shared" si="8"/>
        <v>45880</v>
      </c>
      <c r="E123" s="14">
        <v>100.270098933227</v>
      </c>
      <c r="F123" s="14">
        <v>106.18615553021201</v>
      </c>
      <c r="G123" s="15">
        <f t="shared" si="5"/>
        <v>-3.1446662072653897E-4</v>
      </c>
      <c r="H123" s="15">
        <f t="shared" si="6"/>
        <v>-7.2763424281141464E-4</v>
      </c>
      <c r="I123" s="15">
        <f t="shared" si="7"/>
        <v>-4.3443361849527802E-4</v>
      </c>
    </row>
    <row r="124" spans="1:9" x14ac:dyDescent="0.3">
      <c r="A124" s="3" t="s">
        <v>250</v>
      </c>
      <c r="B124" s="3">
        <v>8.35</v>
      </c>
      <c r="C124" s="5">
        <v>9.07</v>
      </c>
      <c r="D124" s="9">
        <f t="shared" si="8"/>
        <v>45881</v>
      </c>
      <c r="E124" s="14">
        <v>100.36059794677</v>
      </c>
      <c r="F124" s="14">
        <v>106.402691978843</v>
      </c>
      <c r="G124" s="15">
        <f t="shared" si="5"/>
        <v>9.0255235115765942E-4</v>
      </c>
      <c r="H124" s="15">
        <f t="shared" si="6"/>
        <v>2.0392154471529089E-3</v>
      </c>
      <c r="I124" s="15">
        <f t="shared" si="7"/>
        <v>1.2325928766300492E-3</v>
      </c>
    </row>
    <row r="125" spans="1:9" x14ac:dyDescent="0.3">
      <c r="A125" s="3" t="s">
        <v>253</v>
      </c>
      <c r="B125" s="3">
        <v>8.2899999999999991</v>
      </c>
      <c r="C125" s="5">
        <v>9.0399999999999991</v>
      </c>
      <c r="D125" s="9">
        <f t="shared" si="8"/>
        <v>45882</v>
      </c>
      <c r="E125" s="14">
        <v>100.542104094181</v>
      </c>
      <c r="F125" s="14">
        <v>106.619785923508</v>
      </c>
      <c r="G125" s="15">
        <f t="shared" si="5"/>
        <v>1.8085399163052518E-3</v>
      </c>
      <c r="H125" s="15">
        <f t="shared" si="6"/>
        <v>2.0403050019466296E-3</v>
      </c>
      <c r="I125" s="15">
        <f t="shared" si="7"/>
        <v>1.8758350285691529E-3</v>
      </c>
    </row>
    <row r="126" spans="1:9" x14ac:dyDescent="0.3">
      <c r="A126" s="3" t="s">
        <v>256</v>
      </c>
      <c r="B126" s="3">
        <v>8.33</v>
      </c>
      <c r="C126" s="5">
        <v>8.98</v>
      </c>
      <c r="D126" s="9">
        <f t="shared" si="8"/>
        <v>45883</v>
      </c>
      <c r="E126" s="14">
        <v>100.42028857</v>
      </c>
      <c r="F126" s="14">
        <v>107.057301036197</v>
      </c>
      <c r="G126" s="15">
        <f t="shared" si="5"/>
        <v>-1.2115871781128718E-3</v>
      </c>
      <c r="H126" s="15">
        <f t="shared" si="6"/>
        <v>4.1035077016837729E-3</v>
      </c>
      <c r="I126" s="15">
        <f t="shared" si="7"/>
        <v>3.3169923036134531E-4</v>
      </c>
    </row>
    <row r="127" spans="1:9" x14ac:dyDescent="0.3">
      <c r="A127" s="3" t="s">
        <v>259</v>
      </c>
      <c r="B127" s="3">
        <v>8.3800000000000008</v>
      </c>
      <c r="C127" s="5">
        <v>9.01</v>
      </c>
      <c r="D127" s="9">
        <f t="shared" si="8"/>
        <v>45884</v>
      </c>
      <c r="E127" s="14">
        <v>100.268601459561</v>
      </c>
      <c r="F127" s="14">
        <v>106.83582176106501</v>
      </c>
      <c r="G127" s="15">
        <f t="shared" si="5"/>
        <v>-1.5105225507618947E-3</v>
      </c>
      <c r="H127" s="15">
        <f t="shared" si="6"/>
        <v>-2.0687918805006866E-3</v>
      </c>
      <c r="I127" s="15">
        <f t="shared" si="7"/>
        <v>-1.6726211564008688E-3</v>
      </c>
    </row>
    <row r="128" spans="1:9" x14ac:dyDescent="0.3">
      <c r="A128" s="3" t="s">
        <v>260</v>
      </c>
      <c r="B128" s="3">
        <v>8.36</v>
      </c>
      <c r="C128" s="5">
        <v>9.06</v>
      </c>
      <c r="D128" s="9">
        <f t="shared" si="8"/>
        <v>45887</v>
      </c>
      <c r="E128" s="14">
        <v>100.327863505671</v>
      </c>
      <c r="F128" s="14">
        <v>106.466162801737</v>
      </c>
      <c r="G128" s="15">
        <f t="shared" si="5"/>
        <v>5.9103293800211176E-4</v>
      </c>
      <c r="H128" s="15">
        <f t="shared" si="6"/>
        <v>-3.4600656711822886E-3</v>
      </c>
      <c r="I128" s="15">
        <f t="shared" si="7"/>
        <v>-5.8524059320196162E-4</v>
      </c>
    </row>
    <row r="129" spans="1:9" x14ac:dyDescent="0.3">
      <c r="A129" s="3" t="s">
        <v>261</v>
      </c>
      <c r="B129" s="3">
        <v>8.34</v>
      </c>
      <c r="C129" s="5">
        <v>9.06</v>
      </c>
      <c r="D129" s="9">
        <f t="shared" si="8"/>
        <v>45888</v>
      </c>
      <c r="E129" s="14">
        <v>100.38781115687701</v>
      </c>
      <c r="F129" s="14">
        <v>106.464625295781</v>
      </c>
      <c r="G129" s="15">
        <f t="shared" si="5"/>
        <v>5.9751747033476299E-4</v>
      </c>
      <c r="H129" s="15">
        <f t="shared" si="6"/>
        <v>-1.4441263924025449E-5</v>
      </c>
      <c r="I129" s="15">
        <f t="shared" si="7"/>
        <v>4.1982965506761439E-4</v>
      </c>
    </row>
    <row r="130" spans="1:9" x14ac:dyDescent="0.3">
      <c r="A130" s="3" t="s">
        <v>262</v>
      </c>
      <c r="B130" s="3">
        <v>8.36</v>
      </c>
      <c r="C130" s="5">
        <v>9.08</v>
      </c>
      <c r="D130" s="9">
        <f t="shared" si="8"/>
        <v>45889</v>
      </c>
      <c r="E130" s="14">
        <v>100.32709502696601</v>
      </c>
      <c r="F130" s="14">
        <v>106.317677668173</v>
      </c>
      <c r="G130" s="15">
        <f t="shared" si="5"/>
        <v>-6.0481575612914007E-4</v>
      </c>
      <c r="H130" s="15">
        <f t="shared" si="6"/>
        <v>-1.3802483895448692E-3</v>
      </c>
      <c r="I130" s="15">
        <f t="shared" si="7"/>
        <v>-8.2996971309550198E-4</v>
      </c>
    </row>
    <row r="131" spans="1:9" x14ac:dyDescent="0.3">
      <c r="A131" s="3" t="s">
        <v>263</v>
      </c>
      <c r="B131" s="3">
        <v>8.3800000000000008</v>
      </c>
      <c r="C131" s="5">
        <v>9.11</v>
      </c>
      <c r="D131" s="9">
        <f t="shared" si="8"/>
        <v>45890</v>
      </c>
      <c r="E131" s="14">
        <v>100.266510848338</v>
      </c>
      <c r="F131" s="14">
        <v>106.098592791473</v>
      </c>
      <c r="G131" s="15">
        <f t="shared" si="5"/>
        <v>-6.0386656876409983E-4</v>
      </c>
      <c r="H131" s="15">
        <f t="shared" si="6"/>
        <v>-2.0606627374216702E-3</v>
      </c>
      <c r="I131" s="15">
        <f t="shared" si="7"/>
        <v>-1.0268606597167262E-3</v>
      </c>
    </row>
    <row r="132" spans="1:9" x14ac:dyDescent="0.3">
      <c r="A132" s="3" t="s">
        <v>265</v>
      </c>
      <c r="B132" s="3">
        <v>8.36</v>
      </c>
      <c r="C132" s="5">
        <v>9.09</v>
      </c>
      <c r="D132" s="9">
        <f t="shared" si="8"/>
        <v>45891</v>
      </c>
      <c r="E132" s="14">
        <v>100.32634722982201</v>
      </c>
      <c r="F132" s="14">
        <v>106.242093031325</v>
      </c>
      <c r="G132" s="15">
        <f t="shared" ref="G132:G195" si="9">E132/E131-1</f>
        <v>5.9677334912455748E-4</v>
      </c>
      <c r="H132" s="15">
        <f t="shared" ref="H132:H195" si="10">F132/F131-1</f>
        <v>1.3525178428523965E-3</v>
      </c>
      <c r="I132" s="15">
        <f t="shared" ref="I132:I195" si="11">SUMPRODUCT(G132:H132,$K$3:$L$3)</f>
        <v>8.1621067467123245E-4</v>
      </c>
    </row>
    <row r="133" spans="1:9" x14ac:dyDescent="0.3">
      <c r="A133" s="3" t="s">
        <v>267</v>
      </c>
      <c r="B133" s="3">
        <v>8.27</v>
      </c>
      <c r="C133" s="5">
        <v>8.99</v>
      </c>
      <c r="D133" s="9">
        <f t="shared" si="8"/>
        <v>45894</v>
      </c>
      <c r="E133" s="14">
        <v>100.59600961181199</v>
      </c>
      <c r="F133" s="14">
        <v>106.966262949072</v>
      </c>
      <c r="G133" s="15">
        <f t="shared" si="9"/>
        <v>2.6878520890654123E-3</v>
      </c>
      <c r="H133" s="15">
        <f t="shared" si="10"/>
        <v>6.8162241262839096E-3</v>
      </c>
      <c r="I133" s="15">
        <f t="shared" si="11"/>
        <v>3.8865626668167703E-3</v>
      </c>
    </row>
    <row r="134" spans="1:9" x14ac:dyDescent="0.3">
      <c r="A134" s="3" t="s">
        <v>270</v>
      </c>
      <c r="B134" s="3">
        <v>8.26</v>
      </c>
      <c r="C134" s="5">
        <v>9.01</v>
      </c>
      <c r="D134" s="9">
        <f t="shared" si="8"/>
        <v>45895</v>
      </c>
      <c r="E134" s="14">
        <v>100.625590934974</v>
      </c>
      <c r="F134" s="14">
        <v>106.818449951414</v>
      </c>
      <c r="G134" s="15">
        <f t="shared" si="9"/>
        <v>2.9406060216663477E-4</v>
      </c>
      <c r="H134" s="15">
        <f t="shared" si="10"/>
        <v>-1.3818655862398721E-3</v>
      </c>
      <c r="I134" s="15">
        <f t="shared" si="11"/>
        <v>-1.9255989411182846E-4</v>
      </c>
    </row>
    <row r="135" spans="1:9" x14ac:dyDescent="0.3">
      <c r="A135" s="3" t="s">
        <v>273</v>
      </c>
      <c r="B135" s="3">
        <v>8.25</v>
      </c>
      <c r="C135" s="5">
        <v>9.01</v>
      </c>
      <c r="D135" s="9">
        <f t="shared" si="8"/>
        <v>45896</v>
      </c>
      <c r="E135" s="14">
        <v>100.65514700176099</v>
      </c>
      <c r="F135" s="14">
        <v>106.81690836001</v>
      </c>
      <c r="G135" s="15">
        <f t="shared" si="9"/>
        <v>2.9372316239206775E-4</v>
      </c>
      <c r="H135" s="15">
        <f t="shared" si="10"/>
        <v>-1.4431883300081161E-5</v>
      </c>
      <c r="I135" s="15">
        <f t="shared" si="11"/>
        <v>2.0424752658975068E-4</v>
      </c>
    </row>
    <row r="136" spans="1:9" x14ac:dyDescent="0.3">
      <c r="A136" s="3" t="s">
        <v>275</v>
      </c>
      <c r="B136" s="3">
        <v>8.23</v>
      </c>
      <c r="C136" s="5">
        <v>8.99</v>
      </c>
      <c r="D136" s="9">
        <f t="shared" si="8"/>
        <v>45897</v>
      </c>
      <c r="E136" s="14">
        <v>100.71478734876101</v>
      </c>
      <c r="F136" s="14">
        <v>106.96157207964499</v>
      </c>
      <c r="G136" s="15">
        <f t="shared" si="9"/>
        <v>5.9252158261680066E-4</v>
      </c>
      <c r="H136" s="15">
        <f t="shared" si="10"/>
        <v>1.3543147976855519E-3</v>
      </c>
      <c r="I136" s="15">
        <f t="shared" si="11"/>
        <v>8.1371520972444334E-4</v>
      </c>
    </row>
    <row r="137" spans="1:9" x14ac:dyDescent="0.3">
      <c r="A137" s="3" t="s">
        <v>277</v>
      </c>
      <c r="B137" s="3">
        <v>8.2100000000000009</v>
      </c>
      <c r="C137" s="5">
        <v>8.94</v>
      </c>
      <c r="D137" s="9">
        <f t="shared" si="8"/>
        <v>45898</v>
      </c>
      <c r="E137" s="14">
        <v>100.774394030216</v>
      </c>
      <c r="F137" s="14">
        <v>107.326664880794</v>
      </c>
      <c r="G137" s="15">
        <f t="shared" si="9"/>
        <v>5.9183644253346657E-4</v>
      </c>
      <c r="H137" s="15">
        <f t="shared" si="10"/>
        <v>3.413308107300006E-3</v>
      </c>
      <c r="I137" s="15">
        <f t="shared" si="11"/>
        <v>1.4110765446585898E-3</v>
      </c>
    </row>
    <row r="138" spans="1:9" x14ac:dyDescent="0.3">
      <c r="A138" s="3" t="s">
        <v>279</v>
      </c>
      <c r="B138" s="3">
        <v>8.2100000000000009</v>
      </c>
      <c r="C138" s="5">
        <v>8.91</v>
      </c>
      <c r="D138" s="9">
        <f t="shared" si="8"/>
        <v>45901</v>
      </c>
      <c r="E138" s="14">
        <v>100.866930932751</v>
      </c>
      <c r="F138" s="14">
        <v>107.542594303719</v>
      </c>
      <c r="G138" s="15">
        <f t="shared" si="9"/>
        <v>9.1825808952283872E-4</v>
      </c>
      <c r="H138" s="15">
        <f t="shared" si="10"/>
        <v>2.0118898054348744E-3</v>
      </c>
      <c r="I138" s="15">
        <f t="shared" si="11"/>
        <v>1.2358040602370914E-3</v>
      </c>
    </row>
    <row r="139" spans="1:9" x14ac:dyDescent="0.3">
      <c r="A139" s="3" t="s">
        <v>280</v>
      </c>
      <c r="B139" s="3">
        <v>8.2100000000000009</v>
      </c>
      <c r="C139" s="5">
        <v>8.92</v>
      </c>
      <c r="D139" s="9">
        <f t="shared" si="8"/>
        <v>45902</v>
      </c>
      <c r="E139" s="14">
        <v>100.86574142047</v>
      </c>
      <c r="F139" s="14">
        <v>107.467350349104</v>
      </c>
      <c r="G139" s="15">
        <f t="shared" si="9"/>
        <v>-1.1792886628003707E-5</v>
      </c>
      <c r="H139" s="15">
        <f t="shared" si="10"/>
        <v>-6.9966653773012588E-4</v>
      </c>
      <c r="I139" s="15">
        <f t="shared" si="11"/>
        <v>-2.1152329229369844E-4</v>
      </c>
    </row>
    <row r="140" spans="1:9" x14ac:dyDescent="0.3">
      <c r="A140" s="3" t="s">
        <v>282</v>
      </c>
      <c r="B140" s="3">
        <v>8.23</v>
      </c>
      <c r="C140" s="5">
        <v>8.94</v>
      </c>
      <c r="D140" s="9">
        <f t="shared" si="8"/>
        <v>45903</v>
      </c>
      <c r="E140" s="14">
        <v>100.804551292477</v>
      </c>
      <c r="F140" s="14">
        <v>107.318724864122</v>
      </c>
      <c r="G140" s="15">
        <f t="shared" si="9"/>
        <v>-6.0664926595765944E-4</v>
      </c>
      <c r="H140" s="15">
        <f t="shared" si="10"/>
        <v>-1.3829826872923112E-3</v>
      </c>
      <c r="I140" s="15">
        <f t="shared" si="11"/>
        <v>-8.3206477493459326E-4</v>
      </c>
    </row>
    <row r="141" spans="1:9" x14ac:dyDescent="0.3">
      <c r="A141" s="3" t="s">
        <v>284</v>
      </c>
      <c r="B141" s="3">
        <v>8.1999999999999993</v>
      </c>
      <c r="C141" s="5">
        <v>8.92</v>
      </c>
      <c r="D141" s="9">
        <f t="shared" si="8"/>
        <v>45904</v>
      </c>
      <c r="E141" s="14">
        <v>100.893376588644</v>
      </c>
      <c r="F141" s="14">
        <v>107.464160474609</v>
      </c>
      <c r="G141" s="15">
        <f t="shared" si="9"/>
        <v>8.8116354894807181E-4</v>
      </c>
      <c r="H141" s="15">
        <f t="shared" si="10"/>
        <v>1.3551746041629009E-3</v>
      </c>
      <c r="I141" s="15">
        <f t="shared" si="11"/>
        <v>1.0187969939802997E-3</v>
      </c>
    </row>
    <row r="142" spans="1:9" x14ac:dyDescent="0.3">
      <c r="A142" s="3" t="s">
        <v>286</v>
      </c>
      <c r="B142" s="3">
        <v>8.14</v>
      </c>
      <c r="C142" s="5">
        <v>8.86</v>
      </c>
      <c r="D142" s="9">
        <f t="shared" si="8"/>
        <v>45905</v>
      </c>
      <c r="E142" s="14">
        <v>101.072288052179</v>
      </c>
      <c r="F142" s="14">
        <v>107.90517885798</v>
      </c>
      <c r="G142" s="15">
        <f t="shared" si="9"/>
        <v>1.7732726327956971E-3</v>
      </c>
      <c r="H142" s="15">
        <f t="shared" si="10"/>
        <v>4.1038647808093742E-3</v>
      </c>
      <c r="I142" s="15">
        <f t="shared" si="11"/>
        <v>2.4499813778075738E-3</v>
      </c>
    </row>
    <row r="143" spans="1:9" x14ac:dyDescent="0.3">
      <c r="A143" s="3" t="s">
        <v>289</v>
      </c>
      <c r="B143" s="3">
        <v>8.1199999999999992</v>
      </c>
      <c r="C143" s="5">
        <v>8.85</v>
      </c>
      <c r="D143" s="9">
        <f t="shared" si="8"/>
        <v>45908</v>
      </c>
      <c r="E143" s="14">
        <v>101.128372350448</v>
      </c>
      <c r="F143" s="14">
        <v>107.974229854984</v>
      </c>
      <c r="G143" s="15">
        <f t="shared" si="9"/>
        <v>5.5489293207688917E-4</v>
      </c>
      <c r="H143" s="15">
        <f t="shared" si="10"/>
        <v>6.3992291875880625E-4</v>
      </c>
      <c r="I143" s="15">
        <f t="shared" si="11"/>
        <v>5.7958216636652552E-4</v>
      </c>
    </row>
    <row r="144" spans="1:9" x14ac:dyDescent="0.3">
      <c r="A144" s="3" t="s">
        <v>292</v>
      </c>
      <c r="B144" s="3">
        <v>8.15</v>
      </c>
      <c r="C144" s="5">
        <v>8.83</v>
      </c>
      <c r="D144" s="9">
        <f t="shared" si="8"/>
        <v>45909</v>
      </c>
      <c r="E144" s="14">
        <v>101.037109830733</v>
      </c>
      <c r="F144" s="14">
        <v>108.120725127122</v>
      </c>
      <c r="G144" s="15">
        <f t="shared" si="9"/>
        <v>-9.0244228789471137E-4</v>
      </c>
      <c r="H144" s="15">
        <f t="shared" si="10"/>
        <v>1.3567614451592824E-3</v>
      </c>
      <c r="I144" s="15">
        <f t="shared" si="11"/>
        <v>-2.464618220615522E-4</v>
      </c>
    </row>
    <row r="145" spans="1:9" x14ac:dyDescent="0.3">
      <c r="A145" s="3" t="s">
        <v>294</v>
      </c>
      <c r="B145" s="3">
        <v>8.1300000000000008</v>
      </c>
      <c r="C145" s="5">
        <v>8.82</v>
      </c>
      <c r="D145" s="9">
        <f t="shared" si="8"/>
        <v>45910</v>
      </c>
      <c r="E145" s="14">
        <v>101.095737940638</v>
      </c>
      <c r="F145" s="14">
        <v>108.193228227429</v>
      </c>
      <c r="G145" s="15">
        <f t="shared" si="9"/>
        <v>5.8026313305292732E-4</v>
      </c>
      <c r="H145" s="15">
        <f t="shared" si="10"/>
        <v>6.7057541670911824E-4</v>
      </c>
      <c r="I145" s="15">
        <f t="shared" si="11"/>
        <v>6.0648613057921047E-4</v>
      </c>
    </row>
    <row r="146" spans="1:9" x14ac:dyDescent="0.3">
      <c r="A146" s="3" t="s">
        <v>295</v>
      </c>
      <c r="B146" s="3">
        <v>8.06</v>
      </c>
      <c r="C146" s="5">
        <v>8.7899999999999991</v>
      </c>
      <c r="D146" s="9">
        <f t="shared" si="8"/>
        <v>45911</v>
      </c>
      <c r="E146" s="14">
        <v>101.304281419139</v>
      </c>
      <c r="F146" s="14">
        <v>108.414429877092</v>
      </c>
      <c r="G146" s="15">
        <f t="shared" si="9"/>
        <v>2.0628315569886091E-3</v>
      </c>
      <c r="H146" s="15">
        <f t="shared" si="10"/>
        <v>2.0445054952793473E-3</v>
      </c>
      <c r="I146" s="15">
        <f t="shared" si="11"/>
        <v>2.0575104173671381E-3</v>
      </c>
    </row>
    <row r="147" spans="1:9" x14ac:dyDescent="0.3">
      <c r="A147" s="3" t="s">
        <v>298</v>
      </c>
      <c r="B147" s="3">
        <v>8.06</v>
      </c>
      <c r="C147" s="5">
        <v>8.6999999999999993</v>
      </c>
      <c r="D147" s="9">
        <f t="shared" si="8"/>
        <v>45912</v>
      </c>
      <c r="E147" s="14">
        <v>101.30283721833101</v>
      </c>
      <c r="F147" s="14">
        <v>109.08500072787101</v>
      </c>
      <c r="G147" s="15">
        <f t="shared" si="9"/>
        <v>-1.4256068823215173E-5</v>
      </c>
      <c r="H147" s="15">
        <f t="shared" si="10"/>
        <v>6.185254597005363E-3</v>
      </c>
      <c r="I147" s="15">
        <f t="shared" si="11"/>
        <v>1.7858285517038685E-3</v>
      </c>
    </row>
    <row r="148" spans="1:9" x14ac:dyDescent="0.3">
      <c r="A148" s="3" t="s">
        <v>299</v>
      </c>
      <c r="B148" s="3">
        <v>8.09</v>
      </c>
      <c r="C148" s="5">
        <v>8.76</v>
      </c>
      <c r="D148" s="9">
        <f t="shared" si="8"/>
        <v>45915</v>
      </c>
      <c r="E148" s="14">
        <v>101.20877698087899</v>
      </c>
      <c r="F148" s="14">
        <v>108.63105160015699</v>
      </c>
      <c r="G148" s="15">
        <f t="shared" si="9"/>
        <v>-9.2850545981537635E-4</v>
      </c>
      <c r="H148" s="15">
        <f t="shared" si="10"/>
        <v>-4.1614257201726401E-3</v>
      </c>
      <c r="I148" s="15">
        <f t="shared" si="11"/>
        <v>-1.8672134246450057E-3</v>
      </c>
    </row>
    <row r="149" spans="1:9" x14ac:dyDescent="0.3">
      <c r="A149" s="3" t="s">
        <v>301</v>
      </c>
      <c r="B149" s="3">
        <v>8.11</v>
      </c>
      <c r="C149" s="5">
        <v>8.7799999999999994</v>
      </c>
      <c r="D149" s="9">
        <f t="shared" si="8"/>
        <v>45917</v>
      </c>
      <c r="E149" s="14">
        <v>101.146353224246</v>
      </c>
      <c r="F149" s="14">
        <v>108.47872873491499</v>
      </c>
      <c r="G149" s="15">
        <f t="shared" si="9"/>
        <v>-6.1678204692450223E-4</v>
      </c>
      <c r="H149" s="15">
        <f t="shared" si="10"/>
        <v>-1.4022037253460518E-3</v>
      </c>
      <c r="I149" s="15">
        <f t="shared" si="11"/>
        <v>-8.4483641446485378E-4</v>
      </c>
    </row>
    <row r="150" spans="1:9" x14ac:dyDescent="0.3">
      <c r="A150" s="3" t="s">
        <v>304</v>
      </c>
      <c r="B150" s="3">
        <v>8.1</v>
      </c>
      <c r="C150" s="5">
        <v>8.75</v>
      </c>
      <c r="D150" s="9">
        <f t="shared" si="8"/>
        <v>45918</v>
      </c>
      <c r="E150" s="14">
        <v>101.174865211206</v>
      </c>
      <c r="F150" s="14">
        <v>108.70051730340001</v>
      </c>
      <c r="G150" s="15">
        <f t="shared" si="9"/>
        <v>2.8188843246557127E-4</v>
      </c>
      <c r="H150" s="15">
        <f t="shared" si="10"/>
        <v>2.0445350998441469E-3</v>
      </c>
      <c r="I150" s="15">
        <f t="shared" si="11"/>
        <v>7.9368901293080788E-4</v>
      </c>
    </row>
    <row r="151" spans="1:9" x14ac:dyDescent="0.3">
      <c r="A151" s="3" t="s">
        <v>305</v>
      </c>
      <c r="B151" s="3">
        <v>8.0299999999999994</v>
      </c>
      <c r="C151" s="5">
        <v>8.73</v>
      </c>
      <c r="D151" s="9">
        <f t="shared" si="8"/>
        <v>45919</v>
      </c>
      <c r="E151" s="14">
        <v>101.382472489573</v>
      </c>
      <c r="F151" s="14">
        <v>108.848117088393</v>
      </c>
      <c r="G151" s="15">
        <f t="shared" si="9"/>
        <v>2.0519649611947521E-3</v>
      </c>
      <c r="H151" s="15">
        <f t="shared" si="10"/>
        <v>1.3578572453434301E-3</v>
      </c>
      <c r="I151" s="15">
        <f t="shared" si="11"/>
        <v>1.850424437814403E-3</v>
      </c>
    </row>
    <row r="152" spans="1:9" x14ac:dyDescent="0.3">
      <c r="A152" s="3" t="s">
        <v>307</v>
      </c>
      <c r="B152" s="3">
        <v>8.01</v>
      </c>
      <c r="C152" s="5">
        <v>8.76</v>
      </c>
      <c r="D152" s="9">
        <f t="shared" si="8"/>
        <v>45922</v>
      </c>
      <c r="E152" s="14">
        <v>101.43775630451999</v>
      </c>
      <c r="F152" s="14">
        <v>108.619261902269</v>
      </c>
      <c r="G152" s="15">
        <f t="shared" si="9"/>
        <v>5.4529953343429582E-4</v>
      </c>
      <c r="H152" s="15">
        <f t="shared" si="10"/>
        <v>-2.1025185574697902E-3</v>
      </c>
      <c r="I152" s="15">
        <f t="shared" si="11"/>
        <v>-2.2351866534088175E-4</v>
      </c>
    </row>
    <row r="153" spans="1:9" x14ac:dyDescent="0.3">
      <c r="A153" s="3" t="s">
        <v>311</v>
      </c>
      <c r="B153" s="3">
        <v>7.97</v>
      </c>
      <c r="C153" s="5">
        <v>8.74</v>
      </c>
      <c r="D153" s="9">
        <f t="shared" si="8"/>
        <v>45923</v>
      </c>
      <c r="E153" s="14">
        <v>101.55565113398001</v>
      </c>
      <c r="F153" s="14">
        <v>108.76666327058101</v>
      </c>
      <c r="G153" s="15">
        <f t="shared" si="9"/>
        <v>1.1622381424336581E-3</v>
      </c>
      <c r="H153" s="15">
        <f t="shared" si="10"/>
        <v>1.357046307722376E-3</v>
      </c>
      <c r="I153" s="15">
        <f t="shared" si="11"/>
        <v>1.2188024748772174E-3</v>
      </c>
    </row>
    <row r="154" spans="1:9" x14ac:dyDescent="0.3">
      <c r="A154" s="3" t="s">
        <v>315</v>
      </c>
      <c r="B154" s="3">
        <v>7.99</v>
      </c>
      <c r="C154" s="5">
        <v>8.7200000000000006</v>
      </c>
      <c r="D154" s="9">
        <f t="shared" si="8"/>
        <v>45924</v>
      </c>
      <c r="E154" s="14">
        <v>101.494404947495</v>
      </c>
      <c r="F154" s="14">
        <v>108.914302497957</v>
      </c>
      <c r="G154" s="15">
        <f t="shared" si="9"/>
        <v>-6.0308004331743881E-4</v>
      </c>
      <c r="H154" s="15">
        <f t="shared" si="10"/>
        <v>1.3573941034552561E-3</v>
      </c>
      <c r="I154" s="15">
        <f t="shared" si="11"/>
        <v>-3.3838444944476944E-5</v>
      </c>
    </row>
    <row r="155" spans="1:9" x14ac:dyDescent="0.3">
      <c r="A155" s="3" t="s">
        <v>318</v>
      </c>
      <c r="B155" s="3">
        <v>7.98</v>
      </c>
      <c r="C155" s="5">
        <v>8.73</v>
      </c>
      <c r="D155" s="9">
        <f t="shared" si="8"/>
        <v>45925</v>
      </c>
      <c r="E155" s="14">
        <v>101.52269077179101</v>
      </c>
      <c r="F155" s="14">
        <v>108.837925738547</v>
      </c>
      <c r="G155" s="15">
        <f t="shared" si="9"/>
        <v>2.786934344867209E-4</v>
      </c>
      <c r="H155" s="15">
        <f t="shared" si="10"/>
        <v>-7.0125555283639951E-4</v>
      </c>
      <c r="I155" s="15">
        <f t="shared" si="11"/>
        <v>-5.8437162765608008E-6</v>
      </c>
    </row>
    <row r="156" spans="1:9" x14ac:dyDescent="0.3">
      <c r="A156" s="3" t="s">
        <v>320</v>
      </c>
      <c r="B156" s="3">
        <v>8.0500000000000007</v>
      </c>
      <c r="C156" s="5">
        <v>8.76</v>
      </c>
      <c r="D156" s="9">
        <f t="shared" si="8"/>
        <v>45926</v>
      </c>
      <c r="E156" s="14">
        <v>101.312842066328</v>
      </c>
      <c r="F156" s="14">
        <v>108.612658752643</v>
      </c>
      <c r="G156" s="15">
        <f t="shared" si="9"/>
        <v>-2.0670128408506461E-3</v>
      </c>
      <c r="H156" s="15">
        <f t="shared" si="10"/>
        <v>-2.0697471435200399E-3</v>
      </c>
      <c r="I156" s="15">
        <f t="shared" si="11"/>
        <v>-2.0678067706377452E-3</v>
      </c>
    </row>
    <row r="157" spans="1:9" x14ac:dyDescent="0.3">
      <c r="A157" s="3" t="s">
        <v>322</v>
      </c>
      <c r="B157" s="3">
        <v>8.06</v>
      </c>
      <c r="C157" s="5">
        <v>8.8000000000000007</v>
      </c>
      <c r="D157" s="9">
        <f t="shared" si="8"/>
        <v>45929</v>
      </c>
      <c r="E157" s="14">
        <v>101.279027061381</v>
      </c>
      <c r="F157" s="14">
        <v>108.31076714418801</v>
      </c>
      <c r="G157" s="15">
        <f t="shared" si="9"/>
        <v>-3.3376820013464314E-4</v>
      </c>
      <c r="H157" s="15">
        <f t="shared" si="10"/>
        <v>-2.7795250749043099E-3</v>
      </c>
      <c r="I157" s="15">
        <f t="shared" si="11"/>
        <v>-1.0439160768191732E-3</v>
      </c>
    </row>
    <row r="158" spans="1:9" x14ac:dyDescent="0.3">
      <c r="A158" s="3" t="s">
        <v>323</v>
      </c>
      <c r="B158" s="3">
        <v>8.0299999999999994</v>
      </c>
      <c r="C158" s="5">
        <v>8.81</v>
      </c>
      <c r="D158" s="9">
        <f t="shared" si="8"/>
        <v>45930</v>
      </c>
      <c r="E158" s="14">
        <v>101.36660033631</v>
      </c>
      <c r="F158" s="14">
        <v>108.23513158522201</v>
      </c>
      <c r="G158" s="15">
        <f t="shared" si="9"/>
        <v>8.6467334323736544E-4</v>
      </c>
      <c r="H158" s="15">
        <f t="shared" si="10"/>
        <v>-6.9831985277424291E-4</v>
      </c>
      <c r="I158" s="15">
        <f t="shared" si="11"/>
        <v>4.108439741490978E-4</v>
      </c>
    </row>
    <row r="159" spans="1:9" x14ac:dyDescent="0.3">
      <c r="A159" s="3" t="s">
        <v>324</v>
      </c>
      <c r="B159" s="3">
        <v>7.98</v>
      </c>
      <c r="C159" s="5">
        <v>8.82</v>
      </c>
      <c r="D159" s="9">
        <f t="shared" si="8"/>
        <v>45931</v>
      </c>
      <c r="E159" s="14">
        <v>101.51351444436</v>
      </c>
      <c r="F159" s="14">
        <v>108.15959489986901</v>
      </c>
      <c r="G159" s="15">
        <f t="shared" si="9"/>
        <v>1.4493344707484646E-3</v>
      </c>
      <c r="H159" s="15">
        <f t="shared" si="10"/>
        <v>-6.9789433658629108E-4</v>
      </c>
      <c r="I159" s="15">
        <f t="shared" si="11"/>
        <v>8.2586694868405728E-4</v>
      </c>
    </row>
    <row r="160" spans="1:9" x14ac:dyDescent="0.3">
      <c r="A160" s="3" t="s">
        <v>325</v>
      </c>
      <c r="B160" s="3">
        <v>7.97</v>
      </c>
      <c r="C160" s="5">
        <v>8.83</v>
      </c>
      <c r="D160" s="9">
        <f t="shared" si="8"/>
        <v>45932</v>
      </c>
      <c r="E160" s="14">
        <v>101.54167881427</v>
      </c>
      <c r="F160" s="14">
        <v>108.08415697395399</v>
      </c>
      <c r="G160" s="15">
        <f t="shared" si="9"/>
        <v>2.7744453597300378E-4</v>
      </c>
      <c r="H160" s="15">
        <f t="shared" si="10"/>
        <v>-6.9746864330300085E-4</v>
      </c>
      <c r="I160" s="15">
        <f t="shared" si="11"/>
        <v>-5.6304218679389506E-6</v>
      </c>
    </row>
    <row r="161" spans="1:9" x14ac:dyDescent="0.3">
      <c r="A161" s="3" t="s">
        <v>326</v>
      </c>
      <c r="B161" s="3">
        <v>8.0299999999999994</v>
      </c>
      <c r="C161" s="5">
        <v>8.85</v>
      </c>
      <c r="D161" s="9">
        <f t="shared" si="8"/>
        <v>45933</v>
      </c>
      <c r="E161" s="14">
        <v>101.362372876243</v>
      </c>
      <c r="F161" s="14">
        <v>107.935063336749</v>
      </c>
      <c r="G161" s="15">
        <f t="shared" si="9"/>
        <v>-1.765835862877263E-3</v>
      </c>
      <c r="H161" s="15">
        <f t="shared" si="10"/>
        <v>-1.3794217522641317E-3</v>
      </c>
      <c r="I161" s="15">
        <f t="shared" si="11"/>
        <v>-1.6536369918432403E-3</v>
      </c>
    </row>
    <row r="162" spans="1:9" x14ac:dyDescent="0.3">
      <c r="A162" s="3" t="s">
        <v>327</v>
      </c>
      <c r="B162" s="3">
        <v>8.0299999999999994</v>
      </c>
      <c r="C162" s="5">
        <v>8.83</v>
      </c>
      <c r="D162" s="9">
        <f t="shared" si="8"/>
        <v>45936</v>
      </c>
      <c r="E162" s="14">
        <v>101.358188887854</v>
      </c>
      <c r="F162" s="14">
        <v>108.078129738878</v>
      </c>
      <c r="G162" s="15">
        <f t="shared" si="9"/>
        <v>-4.127753001703649E-5</v>
      </c>
      <c r="H162" s="15">
        <f t="shared" si="10"/>
        <v>1.3254858773987799E-3</v>
      </c>
      <c r="I162" s="15">
        <f t="shared" si="11"/>
        <v>3.5557472529875958E-4</v>
      </c>
    </row>
    <row r="163" spans="1:9" x14ac:dyDescent="0.3">
      <c r="A163" s="3" t="s">
        <v>328</v>
      </c>
      <c r="B163" s="3">
        <v>8.02</v>
      </c>
      <c r="C163" s="5">
        <v>8.82</v>
      </c>
      <c r="D163" s="9">
        <f t="shared" si="8"/>
        <v>45937</v>
      </c>
      <c r="E163" s="14">
        <v>101.386323863957</v>
      </c>
      <c r="F163" s="14">
        <v>108.15048330699599</v>
      </c>
      <c r="G163" s="15">
        <f t="shared" si="9"/>
        <v>2.7757970433084367E-4</v>
      </c>
      <c r="H163" s="15">
        <f t="shared" si="10"/>
        <v>6.6945614522384567E-4</v>
      </c>
      <c r="I163" s="15">
        <f t="shared" si="11"/>
        <v>3.9136461291831907E-4</v>
      </c>
    </row>
    <row r="164" spans="1:9" x14ac:dyDescent="0.3">
      <c r="A164" s="3" t="s">
        <v>330</v>
      </c>
      <c r="B164" s="3">
        <v>8.0399999999999991</v>
      </c>
      <c r="C164" s="5">
        <v>8.82</v>
      </c>
      <c r="D164" s="9">
        <f t="shared" si="8"/>
        <v>45938</v>
      </c>
      <c r="E164" s="14">
        <v>101.325935098001</v>
      </c>
      <c r="F164" s="14">
        <v>108.148986270778</v>
      </c>
      <c r="G164" s="15">
        <f t="shared" si="9"/>
        <v>-5.9563029464448913E-4</v>
      </c>
      <c r="H164" s="15">
        <f t="shared" si="10"/>
        <v>-1.3842159297117185E-5</v>
      </c>
      <c r="I164" s="15">
        <f t="shared" si="11"/>
        <v>-4.2670278870173353E-4</v>
      </c>
    </row>
    <row r="165" spans="1:9" x14ac:dyDescent="0.3">
      <c r="A165" s="3" t="s">
        <v>331</v>
      </c>
      <c r="B165" s="3">
        <v>8.02</v>
      </c>
      <c r="C165" s="5">
        <v>8.81</v>
      </c>
      <c r="D165" s="9">
        <f t="shared" si="8"/>
        <v>45939</v>
      </c>
      <c r="E165" s="14">
        <v>101.38352688751</v>
      </c>
      <c r="F165" s="14">
        <v>108.22138555884101</v>
      </c>
      <c r="G165" s="15">
        <f t="shared" si="9"/>
        <v>5.6838152495997107E-4</v>
      </c>
      <c r="H165" s="15">
        <f t="shared" si="10"/>
        <v>6.694402838112179E-4</v>
      </c>
      <c r="I165" s="15">
        <f t="shared" si="11"/>
        <v>5.9772485984289784E-4</v>
      </c>
    </row>
    <row r="166" spans="1:9" x14ac:dyDescent="0.3">
      <c r="A166" s="3" t="s">
        <v>332</v>
      </c>
      <c r="B166" s="3">
        <v>7.96</v>
      </c>
      <c r="C166" s="5">
        <v>8.73</v>
      </c>
      <c r="D166" s="9">
        <f t="shared" si="8"/>
        <v>45940</v>
      </c>
      <c r="E166" s="14">
        <v>101.559104387853</v>
      </c>
      <c r="F166" s="14">
        <v>108.81340243644701</v>
      </c>
      <c r="G166" s="15">
        <f t="shared" si="9"/>
        <v>1.7318148789380317E-3</v>
      </c>
      <c r="H166" s="15">
        <f t="shared" si="10"/>
        <v>5.4704241176446455E-3</v>
      </c>
      <c r="I166" s="15">
        <f t="shared" si="11"/>
        <v>2.8173542634979563E-3</v>
      </c>
    </row>
    <row r="167" spans="1:9" x14ac:dyDescent="0.3">
      <c r="A167" s="3" t="s">
        <v>334</v>
      </c>
      <c r="B167" s="3">
        <v>7.93</v>
      </c>
      <c r="C167" s="5">
        <v>8.7200000000000006</v>
      </c>
      <c r="D167" s="9">
        <f t="shared" si="8"/>
        <v>45943</v>
      </c>
      <c r="E167" s="14">
        <v>101.64302411121101</v>
      </c>
      <c r="F167" s="14">
        <v>108.88312667066</v>
      </c>
      <c r="G167" s="15">
        <f t="shared" si="9"/>
        <v>8.2631413366462958E-4</v>
      </c>
      <c r="H167" s="15">
        <f t="shared" si="10"/>
        <v>6.407688083618357E-4</v>
      </c>
      <c r="I167" s="15">
        <f t="shared" si="11"/>
        <v>7.7243935152589843E-4</v>
      </c>
    </row>
    <row r="168" spans="1:9" x14ac:dyDescent="0.3">
      <c r="A168" s="3" t="s">
        <v>337</v>
      </c>
      <c r="B168" s="3">
        <v>7.9</v>
      </c>
      <c r="C168" s="5">
        <v>8.7100000000000009</v>
      </c>
      <c r="D168" s="9">
        <f t="shared" si="8"/>
        <v>45944</v>
      </c>
      <c r="E168" s="14">
        <v>101.729936081597</v>
      </c>
      <c r="F168" s="14">
        <v>108.956068729452</v>
      </c>
      <c r="G168" s="15">
        <f t="shared" si="9"/>
        <v>8.5507068631596184E-4</v>
      </c>
      <c r="H168" s="15">
        <f t="shared" si="10"/>
        <v>6.699115007289258E-4</v>
      </c>
      <c r="I168" s="15">
        <f t="shared" si="11"/>
        <v>8.0130802337520903E-4</v>
      </c>
    </row>
    <row r="169" spans="1:9" x14ac:dyDescent="0.3">
      <c r="A169" s="3" t="s">
        <v>339</v>
      </c>
      <c r="B169" s="3">
        <v>7.92</v>
      </c>
      <c r="C169" s="5">
        <v>8.6999999999999993</v>
      </c>
      <c r="D169" s="9">
        <f t="shared" si="8"/>
        <v>45945</v>
      </c>
      <c r="E169" s="14">
        <v>101.66936832128</v>
      </c>
      <c r="F169" s="14">
        <v>109.029062083818</v>
      </c>
      <c r="G169" s="15">
        <f t="shared" si="9"/>
        <v>-5.9537794527286803E-4</v>
      </c>
      <c r="H169" s="15">
        <f t="shared" si="10"/>
        <v>6.699338110964792E-4</v>
      </c>
      <c r="I169" s="15">
        <f t="shared" si="11"/>
        <v>-2.2798310468214554E-4</v>
      </c>
    </row>
    <row r="170" spans="1:9" x14ac:dyDescent="0.3">
      <c r="A170" s="3" t="s">
        <v>341</v>
      </c>
      <c r="B170" s="3">
        <v>7.87</v>
      </c>
      <c r="C170" s="5">
        <v>8.67</v>
      </c>
      <c r="D170" s="9">
        <f t="shared" si="8"/>
        <v>45946</v>
      </c>
      <c r="E170" s="14">
        <v>101.81514566097501</v>
      </c>
      <c r="F170" s="14">
        <v>109.2515897059</v>
      </c>
      <c r="G170" s="15">
        <f t="shared" si="9"/>
        <v>1.433837370114599E-3</v>
      </c>
      <c r="H170" s="15">
        <f t="shared" si="10"/>
        <v>2.0409936381085014E-3</v>
      </c>
      <c r="I170" s="15">
        <f t="shared" si="11"/>
        <v>1.6101307453799468E-3</v>
      </c>
    </row>
    <row r="171" spans="1:9" x14ac:dyDescent="0.3">
      <c r="A171" s="3" t="s">
        <v>343</v>
      </c>
      <c r="B171" s="3">
        <v>7.86</v>
      </c>
      <c r="C171" s="5">
        <v>8.68</v>
      </c>
      <c r="D171" s="9">
        <f t="shared" si="8"/>
        <v>45947</v>
      </c>
      <c r="E171" s="14">
        <v>101.842954312972</v>
      </c>
      <c r="F171" s="14">
        <v>109.17520257385399</v>
      </c>
      <c r="G171" s="15">
        <f t="shared" si="9"/>
        <v>2.7312883379448927E-4</v>
      </c>
      <c r="H171" s="15">
        <f t="shared" si="10"/>
        <v>-6.9918554276082734E-4</v>
      </c>
      <c r="I171" s="15">
        <f t="shared" si="11"/>
        <v>-9.1915379086991375E-6</v>
      </c>
    </row>
    <row r="172" spans="1:9" x14ac:dyDescent="0.3">
      <c r="A172" s="3" t="s">
        <v>345</v>
      </c>
      <c r="B172" s="3">
        <v>7.87</v>
      </c>
      <c r="C172" s="5">
        <v>8.7200000000000006</v>
      </c>
      <c r="D172" s="9">
        <f t="shared" si="8"/>
        <v>45950</v>
      </c>
      <c r="E172" s="14">
        <v>101.80848706911701</v>
      </c>
      <c r="F172" s="14">
        <v>108.872193195322</v>
      </c>
      <c r="G172" s="15">
        <f t="shared" si="9"/>
        <v>-3.3843523184795554E-4</v>
      </c>
      <c r="H172" s="15">
        <f t="shared" si="10"/>
        <v>-2.7754414133284167E-3</v>
      </c>
      <c r="I172" s="15">
        <f t="shared" si="11"/>
        <v>-1.0460422647049763E-3</v>
      </c>
    </row>
    <row r="173" spans="1:9" x14ac:dyDescent="0.3">
      <c r="A173" s="3" t="s">
        <v>347</v>
      </c>
      <c r="B173" s="3">
        <v>7.87</v>
      </c>
      <c r="C173" s="5">
        <v>8.73</v>
      </c>
      <c r="D173" s="9">
        <f t="shared" si="8"/>
        <v>45951</v>
      </c>
      <c r="E173" s="14">
        <v>101.806834123028</v>
      </c>
      <c r="F173" s="14">
        <v>108.796287977361</v>
      </c>
      <c r="G173" s="15">
        <f t="shared" si="9"/>
        <v>-1.6235837861811042E-5</v>
      </c>
      <c r="H173" s="15">
        <f t="shared" si="10"/>
        <v>-6.9719563584813571E-4</v>
      </c>
      <c r="I173" s="15">
        <f t="shared" si="11"/>
        <v>-2.1395874304348702E-4</v>
      </c>
    </row>
    <row r="174" spans="1:9" x14ac:dyDescent="0.3">
      <c r="A174" s="3" t="s">
        <v>349</v>
      </c>
      <c r="B174" s="3">
        <v>7.82</v>
      </c>
      <c r="C174" s="5">
        <v>8.69</v>
      </c>
      <c r="D174" s="9">
        <f t="shared" si="8"/>
        <v>45952</v>
      </c>
      <c r="E174" s="14">
        <v>101.952164820082</v>
      </c>
      <c r="F174" s="14">
        <v>109.092606378551</v>
      </c>
      <c r="G174" s="15">
        <f t="shared" si="9"/>
        <v>1.427514157628984E-3</v>
      </c>
      <c r="H174" s="15">
        <f t="shared" si="10"/>
        <v>2.7236076404706377E-3</v>
      </c>
      <c r="I174" s="15">
        <f t="shared" si="11"/>
        <v>1.8038467540205773E-3</v>
      </c>
    </row>
    <row r="175" spans="1:9" x14ac:dyDescent="0.3">
      <c r="A175" s="3" t="s">
        <v>352</v>
      </c>
      <c r="B175" s="3">
        <v>7.8</v>
      </c>
      <c r="C175" s="5">
        <v>8.6999999999999993</v>
      </c>
      <c r="D175" s="9">
        <f t="shared" si="8"/>
        <v>45953</v>
      </c>
      <c r="E175" s="14">
        <v>102.00923803488899</v>
      </c>
      <c r="F175" s="14">
        <v>109.016492965643</v>
      </c>
      <c r="G175" s="15">
        <f t="shared" si="9"/>
        <v>5.5980385416742884E-4</v>
      </c>
      <c r="H175" s="15">
        <f t="shared" si="10"/>
        <v>-6.976954299166005E-4</v>
      </c>
      <c r="I175" s="15">
        <f t="shared" si="11"/>
        <v>1.9467743635507339E-4</v>
      </c>
    </row>
    <row r="176" spans="1:9" x14ac:dyDescent="0.3">
      <c r="A176" s="3" t="s">
        <v>354</v>
      </c>
      <c r="B176" s="3">
        <v>7.81</v>
      </c>
      <c r="C176" s="5">
        <v>8.73</v>
      </c>
      <c r="D176" s="9">
        <f t="shared" si="8"/>
        <v>45954</v>
      </c>
      <c r="E176" s="14">
        <v>101.97805555614499</v>
      </c>
      <c r="F176" s="14">
        <v>108.791748343226</v>
      </c>
      <c r="G176" s="15">
        <f t="shared" si="9"/>
        <v>-3.0568289053722886E-4</v>
      </c>
      <c r="H176" s="15">
        <f t="shared" si="10"/>
        <v>-2.0615653311083504E-3</v>
      </c>
      <c r="I176" s="15">
        <f t="shared" si="11"/>
        <v>-8.1551941588550768E-4</v>
      </c>
    </row>
    <row r="177" spans="1:9" x14ac:dyDescent="0.3">
      <c r="A177" s="3" t="s">
        <v>356</v>
      </c>
      <c r="B177" s="3">
        <v>7.84</v>
      </c>
      <c r="C177" s="5">
        <v>8.7799999999999994</v>
      </c>
      <c r="D177" s="9">
        <f t="shared" si="8"/>
        <v>45957</v>
      </c>
      <c r="E177" s="14">
        <v>101.88485329501</v>
      </c>
      <c r="F177" s="14">
        <v>108.416827124466</v>
      </c>
      <c r="G177" s="15">
        <f t="shared" si="9"/>
        <v>-9.1394428562796559E-4</v>
      </c>
      <c r="H177" s="15">
        <f t="shared" si="10"/>
        <v>-3.4462284545438981E-3</v>
      </c>
      <c r="I177" s="15">
        <f t="shared" si="11"/>
        <v>-1.6492161535182916E-3</v>
      </c>
    </row>
    <row r="178" spans="1:9" x14ac:dyDescent="0.3">
      <c r="A178" s="3" t="s">
        <v>358</v>
      </c>
      <c r="B178" s="3">
        <v>7.82</v>
      </c>
      <c r="C178" s="5">
        <v>8.75</v>
      </c>
      <c r="D178" s="9">
        <f t="shared" si="8"/>
        <v>45958</v>
      </c>
      <c r="E178" s="14">
        <v>101.941738130914</v>
      </c>
      <c r="F178" s="14">
        <v>108.63742398818</v>
      </c>
      <c r="G178" s="15">
        <f t="shared" si="9"/>
        <v>5.5832475647088486E-4</v>
      </c>
      <c r="H178" s="15">
        <f t="shared" si="10"/>
        <v>2.0347105662921194E-3</v>
      </c>
      <c r="I178" s="15">
        <f t="shared" si="11"/>
        <v>9.8700687889585401E-4</v>
      </c>
    </row>
    <row r="179" spans="1:9" x14ac:dyDescent="0.3">
      <c r="A179" s="3" t="s">
        <v>360</v>
      </c>
      <c r="B179" s="3">
        <v>7.83</v>
      </c>
      <c r="C179" s="5">
        <v>8.76</v>
      </c>
      <c r="D179" s="9">
        <f t="shared" si="8"/>
        <v>45959</v>
      </c>
      <c r="E179" s="14">
        <v>101.91074834302999</v>
      </c>
      <c r="F179" s="14">
        <v>108.56190900699499</v>
      </c>
      <c r="G179" s="15">
        <f t="shared" si="9"/>
        <v>-3.0399509025647031E-4</v>
      </c>
      <c r="H179" s="15">
        <f t="shared" si="10"/>
        <v>-6.9511019695411846E-4</v>
      </c>
      <c r="I179" s="15">
        <f t="shared" si="11"/>
        <v>-4.1755893849741038E-4</v>
      </c>
    </row>
    <row r="180" spans="1:9" x14ac:dyDescent="0.3">
      <c r="A180" s="3" t="s">
        <v>362</v>
      </c>
      <c r="B180" s="3">
        <v>7.88</v>
      </c>
      <c r="C180" s="5">
        <v>8.82</v>
      </c>
      <c r="D180" s="9">
        <f t="shared" si="8"/>
        <v>45960</v>
      </c>
      <c r="E180" s="14">
        <v>101.762973287232</v>
      </c>
      <c r="F180" s="14">
        <v>108.11761368046101</v>
      </c>
      <c r="G180" s="15">
        <f t="shared" si="9"/>
        <v>-1.4500438687838901E-3</v>
      </c>
      <c r="H180" s="15">
        <f t="shared" si="10"/>
        <v>-4.092552632851798E-3</v>
      </c>
      <c r="I180" s="15">
        <f t="shared" si="11"/>
        <v>-2.2173204559548104E-3</v>
      </c>
    </row>
    <row r="181" spans="1:9" x14ac:dyDescent="0.3">
      <c r="A181" s="3" t="s">
        <v>364</v>
      </c>
      <c r="B181" s="3">
        <v>7.87</v>
      </c>
      <c r="C181" s="5">
        <v>8.84</v>
      </c>
      <c r="D181" s="9">
        <f t="shared" si="8"/>
        <v>45961</v>
      </c>
      <c r="E181" s="14">
        <v>101.79056237803201</v>
      </c>
      <c r="F181" s="14">
        <v>107.969210084716</v>
      </c>
      <c r="G181" s="15">
        <f t="shared" si="9"/>
        <v>2.7111128840684451E-4</v>
      </c>
      <c r="H181" s="15">
        <f t="shared" si="10"/>
        <v>-1.3726125715612936E-3</v>
      </c>
      <c r="I181" s="15">
        <f t="shared" si="11"/>
        <v>-2.0615896729753915E-4</v>
      </c>
    </row>
    <row r="182" spans="1:9" x14ac:dyDescent="0.3">
      <c r="A182" s="3" t="s">
        <v>365</v>
      </c>
      <c r="B182" s="3">
        <v>7.9</v>
      </c>
      <c r="C182" s="5">
        <v>8.84</v>
      </c>
      <c r="D182" s="9">
        <f t="shared" si="8"/>
        <v>45964</v>
      </c>
      <c r="E182" s="14">
        <v>101.69847223574401</v>
      </c>
      <c r="F182" s="14">
        <v>107.965254953948</v>
      </c>
      <c r="G182" s="15">
        <f t="shared" si="9"/>
        <v>-9.0470216625770927E-4</v>
      </c>
      <c r="H182" s="15">
        <f t="shared" si="10"/>
        <v>-3.6632024675298247E-5</v>
      </c>
      <c r="I182" s="15">
        <f t="shared" si="11"/>
        <v>-6.526500615626976E-4</v>
      </c>
    </row>
    <row r="183" spans="1:9" x14ac:dyDescent="0.3">
      <c r="A183" s="3" t="s">
        <v>367</v>
      </c>
      <c r="B183" s="3">
        <v>7.92</v>
      </c>
      <c r="C183" s="5">
        <v>8.83</v>
      </c>
      <c r="D183" s="9">
        <f t="shared" si="8"/>
        <v>45965</v>
      </c>
      <c r="E183" s="14">
        <v>101.63884234753</v>
      </c>
      <c r="F183" s="14">
        <v>108.037391046644</v>
      </c>
      <c r="G183" s="15">
        <f t="shared" si="9"/>
        <v>-5.8634005903035469E-4</v>
      </c>
      <c r="H183" s="15">
        <f t="shared" si="10"/>
        <v>6.6814173436413604E-4</v>
      </c>
      <c r="I183" s="15">
        <f t="shared" si="11"/>
        <v>-2.2208979723669302E-4</v>
      </c>
    </row>
    <row r="184" spans="1:9" x14ac:dyDescent="0.3">
      <c r="A184" s="3" t="s">
        <v>368</v>
      </c>
      <c r="B184" s="3">
        <v>7.92</v>
      </c>
      <c r="C184" s="5">
        <v>8.85</v>
      </c>
      <c r="D184" s="9">
        <f t="shared" si="8"/>
        <v>45966</v>
      </c>
      <c r="E184" s="14">
        <v>101.637365843274</v>
      </c>
      <c r="F184" s="14">
        <v>107.889287434198</v>
      </c>
      <c r="G184" s="15">
        <f t="shared" si="9"/>
        <v>-1.452696844927992E-5</v>
      </c>
      <c r="H184" s="15">
        <f t="shared" si="10"/>
        <v>-1.3708551364598476E-3</v>
      </c>
      <c r="I184" s="15">
        <f t="shared" si="11"/>
        <v>-4.0834925656646389E-4</v>
      </c>
    </row>
    <row r="185" spans="1:9" x14ac:dyDescent="0.3">
      <c r="A185" s="3" t="s">
        <v>369</v>
      </c>
      <c r="B185" s="3">
        <v>7.94</v>
      </c>
      <c r="C185" s="5">
        <v>8.8699999999999992</v>
      </c>
      <c r="D185" s="9">
        <f t="shared" si="8"/>
        <v>45967</v>
      </c>
      <c r="E185" s="14">
        <v>101.577913559103</v>
      </c>
      <c r="F185" s="14">
        <v>107.741510271481</v>
      </c>
      <c r="G185" s="15">
        <f t="shared" si="9"/>
        <v>-5.8494514962814659E-4</v>
      </c>
      <c r="H185" s="15">
        <f t="shared" si="10"/>
        <v>-1.3697111755152092E-3</v>
      </c>
      <c r="I185" s="15">
        <f t="shared" si="11"/>
        <v>-8.1280914245872543E-4</v>
      </c>
    </row>
    <row r="186" spans="1:9" x14ac:dyDescent="0.3">
      <c r="A186" s="3" t="s">
        <v>370</v>
      </c>
      <c r="B186" s="3">
        <v>8</v>
      </c>
      <c r="C186" s="5">
        <v>8.8699999999999992</v>
      </c>
      <c r="D186" s="9">
        <f t="shared" ref="D186:D249" si="12">A186+0</f>
        <v>45968</v>
      </c>
      <c r="E186" s="14">
        <v>101.402919328469</v>
      </c>
      <c r="F186" s="14">
        <v>107.740259143046</v>
      </c>
      <c r="G186" s="15">
        <f t="shared" si="9"/>
        <v>-1.7227586637933445E-3</v>
      </c>
      <c r="H186" s="15">
        <f t="shared" si="10"/>
        <v>-1.1612315734654821E-5</v>
      </c>
      <c r="I186" s="15">
        <f t="shared" si="11"/>
        <v>-1.2259116720477702E-3</v>
      </c>
    </row>
    <row r="187" spans="1:9" x14ac:dyDescent="0.3">
      <c r="A187" s="3" t="s">
        <v>371</v>
      </c>
      <c r="B187" s="3">
        <v>8.0399999999999991</v>
      </c>
      <c r="C187" s="5">
        <v>8.93</v>
      </c>
      <c r="D187" s="9">
        <f t="shared" si="12"/>
        <v>45971</v>
      </c>
      <c r="E187" s="14">
        <v>101.283798424865</v>
      </c>
      <c r="F187" s="14">
        <v>107.298969008032</v>
      </c>
      <c r="G187" s="15">
        <f t="shared" si="9"/>
        <v>-1.1747285422635256E-3</v>
      </c>
      <c r="H187" s="15">
        <f t="shared" si="10"/>
        <v>-4.0958703693863008E-3</v>
      </c>
      <c r="I187" s="15">
        <f t="shared" si="11"/>
        <v>-2.0229087875795982E-3</v>
      </c>
    </row>
    <row r="188" spans="1:9" x14ac:dyDescent="0.3">
      <c r="A188" s="3" t="s">
        <v>372</v>
      </c>
      <c r="B188" s="3">
        <v>8.0299999999999994</v>
      </c>
      <c r="C188" s="5">
        <v>8.9600000000000009</v>
      </c>
      <c r="D188" s="9">
        <f t="shared" si="12"/>
        <v>45972</v>
      </c>
      <c r="E188" s="14">
        <v>101.311382164384</v>
      </c>
      <c r="F188" s="14">
        <v>107.07997311311701</v>
      </c>
      <c r="G188" s="15">
        <f t="shared" si="9"/>
        <v>2.7234108463525253E-4</v>
      </c>
      <c r="H188" s="15">
        <f t="shared" si="10"/>
        <v>-2.040987876580691E-3</v>
      </c>
      <c r="I188" s="15">
        <f t="shared" si="11"/>
        <v>-3.9935513620642288E-4</v>
      </c>
    </row>
    <row r="189" spans="1:9" x14ac:dyDescent="0.3">
      <c r="A189" s="3" t="s">
        <v>373</v>
      </c>
      <c r="B189" s="3">
        <v>8.0399999999999991</v>
      </c>
      <c r="C189" s="5">
        <v>8.9600000000000009</v>
      </c>
      <c r="D189" s="9">
        <f t="shared" si="12"/>
        <v>45973</v>
      </c>
      <c r="E189" s="14">
        <v>101.28141513164501</v>
      </c>
      <c r="F189" s="14">
        <v>107.078860857012</v>
      </c>
      <c r="G189" s="15">
        <f t="shared" si="9"/>
        <v>-2.9579137209256867E-4</v>
      </c>
      <c r="H189" s="15">
        <f t="shared" si="10"/>
        <v>-1.0387153383306647E-5</v>
      </c>
      <c r="I189" s="15">
        <f t="shared" si="11"/>
        <v>-2.1292164697638051E-4</v>
      </c>
    </row>
    <row r="190" spans="1:9" x14ac:dyDescent="0.3">
      <c r="A190" s="3" t="s">
        <v>374</v>
      </c>
      <c r="B190" s="3">
        <v>8.01</v>
      </c>
      <c r="C190" s="5">
        <v>8.92</v>
      </c>
      <c r="D190" s="9">
        <f t="shared" si="12"/>
        <v>45974</v>
      </c>
      <c r="E190" s="14">
        <v>101.36646797586801</v>
      </c>
      <c r="F190" s="14">
        <v>107.36824982960199</v>
      </c>
      <c r="G190" s="15">
        <f t="shared" si="9"/>
        <v>8.397675339788524E-4</v>
      </c>
      <c r="H190" s="15">
        <f t="shared" si="10"/>
        <v>2.7025779904068514E-3</v>
      </c>
      <c r="I190" s="15">
        <f t="shared" si="11"/>
        <v>1.3806515866599542E-3</v>
      </c>
    </row>
    <row r="191" spans="1:9" x14ac:dyDescent="0.3">
      <c r="A191" s="3" t="s">
        <v>375</v>
      </c>
      <c r="B191" s="3">
        <v>8.02</v>
      </c>
      <c r="C191" s="5">
        <v>8.92</v>
      </c>
      <c r="D191" s="9">
        <f t="shared" si="12"/>
        <v>45975</v>
      </c>
      <c r="E191" s="14">
        <v>101.336490492278</v>
      </c>
      <c r="F191" s="14">
        <v>107.367102623454</v>
      </c>
      <c r="G191" s="15">
        <f t="shared" si="9"/>
        <v>-2.9573372919666774E-4</v>
      </c>
      <c r="H191" s="15">
        <f t="shared" si="10"/>
        <v>-1.0684780182290687E-5</v>
      </c>
      <c r="I191" s="15">
        <f t="shared" si="11"/>
        <v>-2.1296715988557027E-4</v>
      </c>
    </row>
    <row r="192" spans="1:9" x14ac:dyDescent="0.3">
      <c r="A192" s="3" t="s">
        <v>376</v>
      </c>
      <c r="B192" s="3">
        <v>8.01</v>
      </c>
      <c r="C192" s="5">
        <v>8.92</v>
      </c>
      <c r="D192" s="9">
        <f t="shared" si="12"/>
        <v>45979</v>
      </c>
      <c r="E192" s="14">
        <v>101.360302449353</v>
      </c>
      <c r="F192" s="14">
        <v>107.36257697347099</v>
      </c>
      <c r="G192" s="15">
        <f t="shared" si="9"/>
        <v>2.3497909745362477E-4</v>
      </c>
      <c r="H192" s="15">
        <f t="shared" si="10"/>
        <v>-4.215117920136624E-5</v>
      </c>
      <c r="I192" s="15">
        <f t="shared" si="11"/>
        <v>1.5451178708367129E-4</v>
      </c>
    </row>
    <row r="193" spans="1:9" x14ac:dyDescent="0.3">
      <c r="A193" s="3" t="s">
        <v>377</v>
      </c>
      <c r="B193" s="3">
        <v>8</v>
      </c>
      <c r="C193" s="5">
        <v>8.91</v>
      </c>
      <c r="D193" s="9">
        <f t="shared" si="12"/>
        <v>45980</v>
      </c>
      <c r="E193" s="14">
        <v>101.38772273188999</v>
      </c>
      <c r="F193" s="14">
        <v>107.434181243738</v>
      </c>
      <c r="G193" s="15">
        <f t="shared" si="9"/>
        <v>2.7052289579243549E-4</v>
      </c>
      <c r="H193" s="15">
        <f t="shared" si="10"/>
        <v>6.6693881877188943E-4</v>
      </c>
      <c r="I193" s="15">
        <f t="shared" si="11"/>
        <v>3.8562588452033567E-4</v>
      </c>
    </row>
    <row r="194" spans="1:9" x14ac:dyDescent="0.3">
      <c r="A194" s="3" t="s">
        <v>378</v>
      </c>
      <c r="B194" s="3">
        <v>8.01</v>
      </c>
      <c r="C194" s="5">
        <v>8.94</v>
      </c>
      <c r="D194" s="9">
        <f t="shared" si="12"/>
        <v>45981</v>
      </c>
      <c r="E194" s="14">
        <v>101.357870234893</v>
      </c>
      <c r="F194" s="14">
        <v>107.32624890516399</v>
      </c>
      <c r="G194" s="15">
        <f t="shared" si="9"/>
        <v>-2.944389734044206E-4</v>
      </c>
      <c r="H194" s="15">
        <f t="shared" si="10"/>
        <v>-1.0046368606759781E-3</v>
      </c>
      <c r="I194" s="15">
        <f t="shared" si="11"/>
        <v>-5.0065142521209802E-4</v>
      </c>
    </row>
    <row r="195" spans="1:9" x14ac:dyDescent="0.3">
      <c r="A195" s="3" t="s">
        <v>379</v>
      </c>
      <c r="B195" s="3">
        <v>8</v>
      </c>
      <c r="C195" s="5">
        <v>8.9600000000000009</v>
      </c>
      <c r="D195" s="9">
        <f t="shared" si="12"/>
        <v>45982</v>
      </c>
      <c r="E195" s="14">
        <v>101.38525779097201</v>
      </c>
      <c r="F195" s="14">
        <v>107.179479861792</v>
      </c>
      <c r="G195" s="15">
        <f t="shared" si="9"/>
        <v>2.7020650705789073E-4</v>
      </c>
      <c r="H195" s="15">
        <f t="shared" si="10"/>
        <v>-1.3675037082649943E-3</v>
      </c>
      <c r="I195" s="15">
        <f t="shared" si="11"/>
        <v>-2.0531763192491E-4</v>
      </c>
    </row>
    <row r="196" spans="1:9" x14ac:dyDescent="0.3">
      <c r="A196" s="3" t="s">
        <v>380</v>
      </c>
      <c r="B196" s="3">
        <v>8.02</v>
      </c>
      <c r="C196" s="5">
        <v>8.99</v>
      </c>
      <c r="D196" s="9">
        <f t="shared" si="12"/>
        <v>45985</v>
      </c>
      <c r="E196" s="14">
        <v>101.324541437802</v>
      </c>
      <c r="F196" s="14">
        <v>106.95726066493501</v>
      </c>
      <c r="G196" s="15">
        <f t="shared" ref="G196:G253" si="13">E196/E195-1</f>
        <v>-5.9886767063499491E-4</v>
      </c>
      <c r="H196" s="15">
        <f t="shared" ref="H196:H253" si="14">F196/F195-1</f>
        <v>-2.0733371457255512E-3</v>
      </c>
      <c r="I196" s="15">
        <f t="shared" ref="I196:I253" si="15">SUMPRODUCT(G196:H196,$K$3:$L$3)</f>
        <v>-1.0269933677447387E-3</v>
      </c>
    </row>
    <row r="197" spans="1:9" x14ac:dyDescent="0.3">
      <c r="A197" s="3" t="s">
        <v>382</v>
      </c>
      <c r="B197" s="3">
        <v>8.0399999999999991</v>
      </c>
      <c r="C197" s="5">
        <v>8.9700000000000006</v>
      </c>
      <c r="D197" s="9">
        <f t="shared" si="12"/>
        <v>45986</v>
      </c>
      <c r="E197" s="14">
        <v>101.26640019205701</v>
      </c>
      <c r="F197" s="14">
        <v>107.099932662725</v>
      </c>
      <c r="G197" s="15">
        <f t="shared" si="13"/>
        <v>-5.7381207869255935E-4</v>
      </c>
      <c r="H197" s="15">
        <f t="shared" si="14"/>
        <v>1.333915967022925E-3</v>
      </c>
      <c r="I197" s="15">
        <f t="shared" si="15"/>
        <v>-1.9885793160205677E-5</v>
      </c>
    </row>
    <row r="198" spans="1:9" x14ac:dyDescent="0.3">
      <c r="A198" s="3" t="s">
        <v>383</v>
      </c>
      <c r="B198" s="3">
        <v>8.01</v>
      </c>
      <c r="C198" s="5">
        <v>8.94</v>
      </c>
      <c r="D198" s="9">
        <f t="shared" si="12"/>
        <v>45987</v>
      </c>
      <c r="E198" s="14">
        <v>101.350690259364</v>
      </c>
      <c r="F198" s="14">
        <v>107.315275768161</v>
      </c>
      <c r="G198" s="15">
        <f t="shared" si="13"/>
        <v>8.3235966862793553E-4</v>
      </c>
      <c r="H198" s="15">
        <f t="shared" si="14"/>
        <v>2.0106745175476615E-3</v>
      </c>
      <c r="I198" s="15">
        <f t="shared" si="15"/>
        <v>1.1744941614953023E-3</v>
      </c>
    </row>
    <row r="199" spans="1:9" x14ac:dyDescent="0.3">
      <c r="A199" s="3" t="s">
        <v>384</v>
      </c>
      <c r="B199" s="3">
        <v>7.98</v>
      </c>
      <c r="C199" s="5">
        <v>8.9</v>
      </c>
      <c r="D199" s="9">
        <f t="shared" si="12"/>
        <v>45988</v>
      </c>
      <c r="E199" s="14">
        <v>101.434946669464</v>
      </c>
      <c r="F199" s="14">
        <v>107.60385992075</v>
      </c>
      <c r="G199" s="15">
        <f t="shared" si="13"/>
        <v>8.3133533559931472E-4</v>
      </c>
      <c r="H199" s="15">
        <f t="shared" si="14"/>
        <v>2.6891246425386761E-3</v>
      </c>
      <c r="I199" s="15">
        <f t="shared" si="15"/>
        <v>1.3707614516045943E-3</v>
      </c>
    </row>
    <row r="200" spans="1:9" x14ac:dyDescent="0.3">
      <c r="A200" s="3" t="s">
        <v>385</v>
      </c>
      <c r="B200" s="3">
        <v>7.95</v>
      </c>
      <c r="C200" s="5">
        <v>8.8699999999999992</v>
      </c>
      <c r="D200" s="9">
        <f t="shared" si="12"/>
        <v>45989</v>
      </c>
      <c r="E200" s="14">
        <v>101.519169049369</v>
      </c>
      <c r="F200" s="14">
        <v>107.82048024676</v>
      </c>
      <c r="G200" s="15">
        <f t="shared" si="13"/>
        <v>8.3030930335525888E-4</v>
      </c>
      <c r="H200" s="15">
        <f t="shared" si="14"/>
        <v>2.0131278391828378E-3</v>
      </c>
      <c r="I200" s="15">
        <f t="shared" si="15"/>
        <v>1.1737514829055734E-3</v>
      </c>
    </row>
    <row r="201" spans="1:9" x14ac:dyDescent="0.3">
      <c r="A201" s="3" t="s">
        <v>386</v>
      </c>
      <c r="B201" s="3">
        <v>7.95</v>
      </c>
      <c r="C201" s="5">
        <v>8.89</v>
      </c>
      <c r="D201" s="9">
        <f t="shared" si="12"/>
        <v>45992</v>
      </c>
      <c r="E201" s="14">
        <v>101.51528949771399</v>
      </c>
      <c r="F201" s="14">
        <v>107.669240534604</v>
      </c>
      <c r="G201" s="15">
        <f t="shared" si="13"/>
        <v>-3.8214966605165657E-5</v>
      </c>
      <c r="H201" s="15">
        <f t="shared" si="14"/>
        <v>-1.4026992998905641E-3</v>
      </c>
      <c r="I201" s="15">
        <f t="shared" si="15"/>
        <v>-4.3440547190352576E-4</v>
      </c>
    </row>
    <row r="202" spans="1:9" x14ac:dyDescent="0.3">
      <c r="A202" s="3" t="s">
        <v>387</v>
      </c>
      <c r="B202" s="3">
        <v>7.96</v>
      </c>
      <c r="C202" s="5">
        <v>8.91</v>
      </c>
      <c r="D202" s="9">
        <f t="shared" si="12"/>
        <v>45993</v>
      </c>
      <c r="E202" s="14">
        <v>101.485594598712</v>
      </c>
      <c r="F202" s="14">
        <v>107.522056558991</v>
      </c>
      <c r="G202" s="15">
        <f t="shared" si="13"/>
        <v>-2.9251651794448552E-4</v>
      </c>
      <c r="H202" s="15">
        <f t="shared" si="14"/>
        <v>-1.3670011498381207E-3</v>
      </c>
      <c r="I202" s="15">
        <f t="shared" si="15"/>
        <v>-6.0450295770100664E-4</v>
      </c>
    </row>
    <row r="203" spans="1:9" x14ac:dyDescent="0.3">
      <c r="A203" s="3" t="s">
        <v>388</v>
      </c>
      <c r="B203" s="3">
        <v>7.95</v>
      </c>
      <c r="C203" s="5">
        <v>8.8699999999999992</v>
      </c>
      <c r="D203" s="9">
        <f t="shared" si="12"/>
        <v>45994</v>
      </c>
      <c r="E203" s="14">
        <v>101.512727168013</v>
      </c>
      <c r="F203" s="14">
        <v>107.811185005007</v>
      </c>
      <c r="G203" s="15">
        <f t="shared" si="13"/>
        <v>2.6735389794274589E-4</v>
      </c>
      <c r="H203" s="15">
        <f t="shared" si="14"/>
        <v>2.6890152148213442E-3</v>
      </c>
      <c r="I203" s="15">
        <f t="shared" si="15"/>
        <v>9.7050540902348585E-4</v>
      </c>
    </row>
    <row r="204" spans="1:9" x14ac:dyDescent="0.3">
      <c r="A204" s="3" t="s">
        <v>389</v>
      </c>
      <c r="B204" s="3">
        <v>7.94</v>
      </c>
      <c r="C204" s="5">
        <v>8.83</v>
      </c>
      <c r="D204" s="9">
        <f t="shared" si="12"/>
        <v>45995</v>
      </c>
      <c r="E204" s="14">
        <v>101.539831499616</v>
      </c>
      <c r="F204" s="14">
        <v>108.101305847864</v>
      </c>
      <c r="G204" s="15">
        <f t="shared" si="13"/>
        <v>2.6700426989956227E-4</v>
      </c>
      <c r="H204" s="15">
        <f t="shared" si="14"/>
        <v>2.6910087561278218E-3</v>
      </c>
      <c r="I204" s="15">
        <f t="shared" si="15"/>
        <v>9.7083614163083942E-4</v>
      </c>
    </row>
    <row r="205" spans="1:9" x14ac:dyDescent="0.3">
      <c r="A205" s="3" t="s">
        <v>390</v>
      </c>
      <c r="B205" s="3">
        <v>7.97</v>
      </c>
      <c r="C205" s="5">
        <v>8.8699999999999992</v>
      </c>
      <c r="D205" s="9">
        <f t="shared" si="12"/>
        <v>45996</v>
      </c>
      <c r="E205" s="14">
        <v>101.45349983483</v>
      </c>
      <c r="F205" s="14">
        <v>107.80751042199201</v>
      </c>
      <c r="G205" s="15">
        <f t="shared" si="13"/>
        <v>-8.5022462132333665E-4</v>
      </c>
      <c r="H205" s="15">
        <f t="shared" si="14"/>
        <v>-2.7177786944171389E-3</v>
      </c>
      <c r="I205" s="15">
        <f t="shared" si="15"/>
        <v>-1.3924860264869264E-3</v>
      </c>
    </row>
    <row r="206" spans="1:9" x14ac:dyDescent="0.3">
      <c r="A206" s="3" t="s">
        <v>391</v>
      </c>
      <c r="B206" s="3">
        <v>8.01</v>
      </c>
      <c r="C206" s="5">
        <v>8.91</v>
      </c>
      <c r="D206" s="9">
        <f t="shared" si="12"/>
        <v>45999</v>
      </c>
      <c r="E206" s="14">
        <v>101.336856073665</v>
      </c>
      <c r="F206" s="14">
        <v>107.511336892721</v>
      </c>
      <c r="G206" s="15">
        <f t="shared" si="13"/>
        <v>-1.1497263411799352E-3</v>
      </c>
      <c r="H206" s="15">
        <f t="shared" si="14"/>
        <v>-2.7472439360828327E-3</v>
      </c>
      <c r="I206" s="15">
        <f t="shared" si="15"/>
        <v>-1.6135801852351873E-3</v>
      </c>
    </row>
    <row r="207" spans="1:9" x14ac:dyDescent="0.3">
      <c r="A207" s="3" t="s">
        <v>392</v>
      </c>
      <c r="B207" s="3">
        <v>8.11</v>
      </c>
      <c r="C207" s="5">
        <v>9.01</v>
      </c>
      <c r="D207" s="9">
        <f t="shared" si="12"/>
        <v>46000</v>
      </c>
      <c r="E207" s="14">
        <v>101.05414420906899</v>
      </c>
      <c r="F207" s="14">
        <v>106.78757812300699</v>
      </c>
      <c r="G207" s="15">
        <f t="shared" si="13"/>
        <v>-2.7898227313317703E-3</v>
      </c>
      <c r="H207" s="15">
        <f t="shared" si="14"/>
        <v>-6.7319297725429994E-3</v>
      </c>
      <c r="I207" s="15">
        <f t="shared" si="15"/>
        <v>-3.9344495639734795E-3</v>
      </c>
    </row>
    <row r="208" spans="1:9" x14ac:dyDescent="0.3">
      <c r="A208" s="3" t="s">
        <v>394</v>
      </c>
      <c r="B208" s="3">
        <v>8.27</v>
      </c>
      <c r="C208" s="5">
        <v>9.11</v>
      </c>
      <c r="D208" s="9">
        <f t="shared" si="12"/>
        <v>46001</v>
      </c>
      <c r="E208" s="14">
        <v>100.60504714538899</v>
      </c>
      <c r="F208" s="14">
        <v>106.070652365158</v>
      </c>
      <c r="G208" s="15">
        <f t="shared" si="13"/>
        <v>-4.4441231697620598E-3</v>
      </c>
      <c r="H208" s="15">
        <f t="shared" si="14"/>
        <v>-6.7135688480843836E-3</v>
      </c>
      <c r="I208" s="15">
        <f t="shared" si="15"/>
        <v>-5.103077478073371E-3</v>
      </c>
    </row>
    <row r="209" spans="1:9" x14ac:dyDescent="0.3">
      <c r="A209" s="3" t="s">
        <v>395</v>
      </c>
      <c r="B209" s="3">
        <v>8.27</v>
      </c>
      <c r="C209" s="5">
        <v>9.1</v>
      </c>
      <c r="D209" s="9">
        <f t="shared" si="12"/>
        <v>46002</v>
      </c>
      <c r="E209" s="14">
        <v>100.604488213689</v>
      </c>
      <c r="F209" s="14">
        <v>106.14033962364201</v>
      </c>
      <c r="G209" s="15">
        <f t="shared" si="13"/>
        <v>-5.5557023813657125E-6</v>
      </c>
      <c r="H209" s="15">
        <f t="shared" si="14"/>
        <v>6.5698906276256963E-4</v>
      </c>
      <c r="I209" s="15">
        <f t="shared" si="15"/>
        <v>1.868202295966347E-4</v>
      </c>
    </row>
    <row r="210" spans="1:9" x14ac:dyDescent="0.3">
      <c r="A210" s="3" t="s">
        <v>396</v>
      </c>
      <c r="B210" s="3">
        <v>8.32</v>
      </c>
      <c r="C210" s="5">
        <v>9.1</v>
      </c>
      <c r="D210" s="9">
        <f t="shared" si="12"/>
        <v>46006</v>
      </c>
      <c r="E210" s="14">
        <v>100.46327477064</v>
      </c>
      <c r="F210" s="14">
        <v>106.134223671412</v>
      </c>
      <c r="G210" s="15">
        <f t="shared" si="13"/>
        <v>-1.4036495344924571E-3</v>
      </c>
      <c r="H210" s="15">
        <f t="shared" si="14"/>
        <v>-5.7621374226712874E-5</v>
      </c>
      <c r="I210" s="15">
        <f t="shared" si="15"/>
        <v>-1.012817947824496E-3</v>
      </c>
    </row>
    <row r="211" spans="1:9" x14ac:dyDescent="0.3">
      <c r="A211" s="3" t="s">
        <v>397</v>
      </c>
      <c r="B211" s="3">
        <v>8.31</v>
      </c>
      <c r="C211" s="5">
        <v>9.1300000000000008</v>
      </c>
      <c r="D211" s="9">
        <f t="shared" si="12"/>
        <v>46007</v>
      </c>
      <c r="E211" s="14">
        <v>100.490612843176</v>
      </c>
      <c r="F211" s="14">
        <v>105.919401781799</v>
      </c>
      <c r="G211" s="15">
        <f t="shared" si="13"/>
        <v>2.7212006176791093E-4</v>
      </c>
      <c r="H211" s="15">
        <f t="shared" si="14"/>
        <v>-2.0240586135352734E-3</v>
      </c>
      <c r="I211" s="15">
        <f t="shared" si="15"/>
        <v>-3.9459641670807011E-4</v>
      </c>
    </row>
    <row r="212" spans="1:9" x14ac:dyDescent="0.3">
      <c r="A212" s="3" t="s">
        <v>399</v>
      </c>
      <c r="B212" s="3">
        <v>8.2200000000000006</v>
      </c>
      <c r="C212" s="5">
        <v>9.09</v>
      </c>
      <c r="D212" s="9">
        <f t="shared" si="12"/>
        <v>46008</v>
      </c>
      <c r="E212" s="14">
        <v>100.740299179274</v>
      </c>
      <c r="F212" s="14">
        <v>106.20242722709099</v>
      </c>
      <c r="G212" s="15">
        <f t="shared" si="13"/>
        <v>2.4846732349783629E-3</v>
      </c>
      <c r="H212" s="15">
        <f t="shared" si="14"/>
        <v>2.6720831172655224E-3</v>
      </c>
      <c r="I212" s="15">
        <f t="shared" si="15"/>
        <v>2.5390894082901348E-3</v>
      </c>
    </row>
    <row r="213" spans="1:9" x14ac:dyDescent="0.3">
      <c r="A213" s="3" t="s">
        <v>401</v>
      </c>
      <c r="B213" s="3">
        <v>8.16</v>
      </c>
      <c r="C213" s="5">
        <v>9.07</v>
      </c>
      <c r="D213" s="9">
        <f t="shared" si="12"/>
        <v>46009</v>
      </c>
      <c r="E213" s="14">
        <v>100.906724792285</v>
      </c>
      <c r="F213" s="14">
        <v>106.34353670426199</v>
      </c>
      <c r="G213" s="15">
        <f t="shared" si="13"/>
        <v>1.6520261937562619E-3</v>
      </c>
      <c r="H213" s="15">
        <f t="shared" si="14"/>
        <v>1.3286841069015676E-3</v>
      </c>
      <c r="I213" s="15">
        <f t="shared" si="15"/>
        <v>1.5581408616566715E-3</v>
      </c>
    </row>
    <row r="214" spans="1:9" x14ac:dyDescent="0.3">
      <c r="A214" s="3" t="s">
        <v>402</v>
      </c>
      <c r="B214" s="3">
        <v>8.1199999999999992</v>
      </c>
      <c r="C214" s="5">
        <v>9.06</v>
      </c>
      <c r="D214" s="9">
        <f t="shared" si="12"/>
        <v>46010</v>
      </c>
      <c r="E214" s="14">
        <v>101.017448501592</v>
      </c>
      <c r="F214" s="14">
        <v>106.413408287698</v>
      </c>
      <c r="G214" s="15">
        <f t="shared" si="13"/>
        <v>1.0972877133303971E-3</v>
      </c>
      <c r="H214" s="15">
        <f t="shared" si="14"/>
        <v>6.5703648384696223E-4</v>
      </c>
      <c r="I214" s="15">
        <f t="shared" si="15"/>
        <v>9.6945674245564129E-4</v>
      </c>
    </row>
    <row r="215" spans="1:9" x14ac:dyDescent="0.3">
      <c r="A215" s="3" t="s">
        <v>403</v>
      </c>
      <c r="B215" s="3">
        <v>8.1199999999999992</v>
      </c>
      <c r="C215" s="5">
        <v>9.1</v>
      </c>
      <c r="D215" s="9">
        <f t="shared" si="12"/>
        <v>46013</v>
      </c>
      <c r="E215" s="14">
        <v>101.01496912541801</v>
      </c>
      <c r="F215" s="14">
        <v>106.123769368865</v>
      </c>
      <c r="G215" s="15">
        <f t="shared" si="13"/>
        <v>-2.4544038785045963E-5</v>
      </c>
      <c r="H215" s="15">
        <f t="shared" si="14"/>
        <v>-2.7218272912558072E-3</v>
      </c>
      <c r="I215" s="15">
        <f t="shared" si="15"/>
        <v>-8.0772489961335159E-4</v>
      </c>
    </row>
    <row r="216" spans="1:9" x14ac:dyDescent="0.3">
      <c r="A216" s="3" t="s">
        <v>404</v>
      </c>
      <c r="B216" s="3">
        <v>8.2100000000000009</v>
      </c>
      <c r="C216" s="5">
        <v>9.15</v>
      </c>
      <c r="D216" s="9">
        <f t="shared" si="12"/>
        <v>46014</v>
      </c>
      <c r="E216" s="14">
        <v>100.76431624929199</v>
      </c>
      <c r="F216" s="14">
        <v>105.767487077192</v>
      </c>
      <c r="G216" s="15">
        <f t="shared" si="13"/>
        <v>-2.4813438869124571E-3</v>
      </c>
      <c r="H216" s="15">
        <f t="shared" si="14"/>
        <v>-3.3572336696280347E-3</v>
      </c>
      <c r="I216" s="15">
        <f t="shared" si="15"/>
        <v>-2.7356664959263723E-3</v>
      </c>
    </row>
    <row r="217" spans="1:9" x14ac:dyDescent="0.3">
      <c r="A217" s="3" t="s">
        <v>405</v>
      </c>
      <c r="B217" s="3">
        <v>8.18</v>
      </c>
      <c r="C217" s="5">
        <v>9.1300000000000008</v>
      </c>
      <c r="D217" s="9">
        <f t="shared" si="12"/>
        <v>46015</v>
      </c>
      <c r="E217" s="14">
        <v>100.84682672445101</v>
      </c>
      <c r="F217" s="14">
        <v>105.907789184257</v>
      </c>
      <c r="G217" s="15">
        <f t="shared" si="13"/>
        <v>8.1884617720096031E-4</v>
      </c>
      <c r="H217" s="15">
        <f t="shared" si="14"/>
        <v>1.3265145172882686E-3</v>
      </c>
      <c r="I217" s="15">
        <f t="shared" si="15"/>
        <v>9.6625232271446899E-4</v>
      </c>
    </row>
    <row r="218" spans="1:9" x14ac:dyDescent="0.3">
      <c r="A218" s="3" t="s">
        <v>406</v>
      </c>
      <c r="B218" s="3">
        <v>8.18</v>
      </c>
      <c r="C218" s="5">
        <v>9.15</v>
      </c>
      <c r="D218" s="9">
        <f t="shared" si="12"/>
        <v>46017</v>
      </c>
      <c r="E218" s="14">
        <v>100.84547560435099</v>
      </c>
      <c r="F218" s="14">
        <v>105.763284362498</v>
      </c>
      <c r="G218" s="15">
        <f t="shared" si="13"/>
        <v>-1.3397745312282439E-5</v>
      </c>
      <c r="H218" s="15">
        <f t="shared" si="14"/>
        <v>-1.3644399800244456E-3</v>
      </c>
      <c r="I218" s="15">
        <f t="shared" si="15"/>
        <v>-4.0568521435285169E-4</v>
      </c>
    </row>
    <row r="219" spans="1:9" x14ac:dyDescent="0.3">
      <c r="A219" s="3" t="s">
        <v>407</v>
      </c>
      <c r="B219" s="3">
        <v>8.18</v>
      </c>
      <c r="C219" s="5">
        <v>9.17</v>
      </c>
      <c r="D219" s="9">
        <f t="shared" si="12"/>
        <v>46020</v>
      </c>
      <c r="E219" s="14">
        <v>100.84348703164601</v>
      </c>
      <c r="F219" s="14">
        <v>105.617796920337</v>
      </c>
      <c r="G219" s="15">
        <f t="shared" si="13"/>
        <v>-1.9719007650742526E-5</v>
      </c>
      <c r="H219" s="15">
        <f t="shared" si="14"/>
        <v>-1.3755949717139115E-3</v>
      </c>
      <c r="I219" s="15">
        <f t="shared" si="15"/>
        <v>-4.1340999421608939E-4</v>
      </c>
    </row>
    <row r="220" spans="1:9" x14ac:dyDescent="0.3">
      <c r="A220" s="3" t="s">
        <v>408</v>
      </c>
      <c r="B220" s="3">
        <v>8.17</v>
      </c>
      <c r="C220" s="5">
        <v>9.18</v>
      </c>
      <c r="D220" s="9">
        <f t="shared" si="12"/>
        <v>46021</v>
      </c>
      <c r="E220" s="14">
        <v>100.87043486653</v>
      </c>
      <c r="F220" s="14">
        <v>105.545885905109</v>
      </c>
      <c r="G220" s="15">
        <f t="shared" si="13"/>
        <v>2.6722434613501989E-4</v>
      </c>
      <c r="H220" s="15">
        <f t="shared" si="14"/>
        <v>-6.8086077654350152E-4</v>
      </c>
      <c r="I220" s="15">
        <f t="shared" si="15"/>
        <v>-8.0608401121828107E-6</v>
      </c>
    </row>
    <row r="221" spans="1:9" x14ac:dyDescent="0.3">
      <c r="A221" s="3" t="s">
        <v>409</v>
      </c>
      <c r="B221" s="3">
        <v>8.16</v>
      </c>
      <c r="C221" s="5">
        <v>9.1</v>
      </c>
      <c r="D221" s="9">
        <f t="shared" si="12"/>
        <v>46022</v>
      </c>
      <c r="E221" s="14">
        <v>100.897354306792</v>
      </c>
      <c r="F221" s="14">
        <v>106.11079382560899</v>
      </c>
      <c r="G221" s="15">
        <f t="shared" si="13"/>
        <v>2.6687146037995824E-4</v>
      </c>
      <c r="H221" s="15">
        <f t="shared" si="14"/>
        <v>5.3522495515161417E-3</v>
      </c>
      <c r="I221" s="15">
        <f t="shared" si="15"/>
        <v>1.7434574983517398E-3</v>
      </c>
    </row>
    <row r="222" spans="1:9" x14ac:dyDescent="0.3">
      <c r="A222" s="3" t="s">
        <v>410</v>
      </c>
      <c r="B222" s="3">
        <v>8.1199999999999992</v>
      </c>
      <c r="C222" s="5">
        <v>9.0500000000000007</v>
      </c>
      <c r="D222" s="9">
        <f t="shared" si="12"/>
        <v>46024</v>
      </c>
      <c r="E222" s="14">
        <v>101.00626418671899</v>
      </c>
      <c r="F222" s="14">
        <v>106.46387999585799</v>
      </c>
      <c r="G222" s="15">
        <f t="shared" si="13"/>
        <v>1.0794126434261475E-3</v>
      </c>
      <c r="H222" s="15">
        <f t="shared" si="14"/>
        <v>3.3275235960377181E-3</v>
      </c>
      <c r="I222" s="15">
        <f t="shared" si="15"/>
        <v>1.7321722190068948E-3</v>
      </c>
    </row>
    <row r="223" spans="1:9" x14ac:dyDescent="0.3">
      <c r="A223" s="3" t="s">
        <v>411</v>
      </c>
      <c r="B223" s="3">
        <v>8.1199999999999992</v>
      </c>
      <c r="C223" s="5">
        <v>9.0399999999999991</v>
      </c>
      <c r="D223" s="9">
        <f t="shared" si="12"/>
        <v>46027</v>
      </c>
      <c r="E223" s="14">
        <v>101.003995545797</v>
      </c>
      <c r="F223" s="14">
        <v>106.530887938067</v>
      </c>
      <c r="G223" s="15">
        <f t="shared" si="13"/>
        <v>-2.2460398275914173E-5</v>
      </c>
      <c r="H223" s="15">
        <f t="shared" si="14"/>
        <v>6.2939601874001383E-4</v>
      </c>
      <c r="I223" s="15">
        <f t="shared" si="15"/>
        <v>1.668120740709713E-4</v>
      </c>
    </row>
    <row r="224" spans="1:9" x14ac:dyDescent="0.3">
      <c r="A224" s="3" t="s">
        <v>412</v>
      </c>
      <c r="B224" s="3">
        <v>8.06</v>
      </c>
      <c r="C224" s="5">
        <v>8.9499999999999993</v>
      </c>
      <c r="D224" s="9">
        <f t="shared" si="12"/>
        <v>46028</v>
      </c>
      <c r="E224" s="14">
        <v>101.168425103868</v>
      </c>
      <c r="F224" s="14">
        <v>107.174368125228</v>
      </c>
      <c r="G224" s="15">
        <f t="shared" si="13"/>
        <v>1.6279510249319618E-3</v>
      </c>
      <c r="H224" s="15">
        <f t="shared" si="14"/>
        <v>6.0403156269108749E-3</v>
      </c>
      <c r="I224" s="15">
        <f t="shared" si="15"/>
        <v>2.9091214411649333E-3</v>
      </c>
    </row>
    <row r="225" spans="1:9" x14ac:dyDescent="0.3">
      <c r="A225" s="3" t="s">
        <v>413</v>
      </c>
      <c r="B225" s="3">
        <v>7.98</v>
      </c>
      <c r="C225" s="5">
        <v>8.8699999999999992</v>
      </c>
      <c r="D225" s="9">
        <f t="shared" si="12"/>
        <v>46029</v>
      </c>
      <c r="E225" s="14">
        <v>101.388136311997</v>
      </c>
      <c r="F225" s="14">
        <v>107.750481181743</v>
      </c>
      <c r="G225" s="15">
        <f t="shared" si="13"/>
        <v>2.1717369614424609E-3</v>
      </c>
      <c r="H225" s="15">
        <f t="shared" si="14"/>
        <v>5.375474253711765E-3</v>
      </c>
      <c r="I225" s="15">
        <f t="shared" si="15"/>
        <v>3.1019713845898376E-3</v>
      </c>
    </row>
    <row r="226" spans="1:9" x14ac:dyDescent="0.3">
      <c r="A226" s="3" t="s">
        <v>414</v>
      </c>
      <c r="B226" s="3">
        <v>7.97</v>
      </c>
      <c r="C226" s="5">
        <v>8.84</v>
      </c>
      <c r="D226" s="9">
        <f t="shared" si="12"/>
        <v>46030</v>
      </c>
      <c r="E226" s="14">
        <v>101.414689632798</v>
      </c>
      <c r="F226" s="14">
        <v>107.96653687044</v>
      </c>
      <c r="G226" s="15">
        <f t="shared" si="13"/>
        <v>2.618977107862186E-4</v>
      </c>
      <c r="H226" s="15">
        <f t="shared" si="14"/>
        <v>2.0051482492460249E-3</v>
      </c>
      <c r="I226" s="15">
        <f t="shared" si="15"/>
        <v>7.680664478292178E-4</v>
      </c>
    </row>
    <row r="227" spans="1:9" x14ac:dyDescent="0.3">
      <c r="A227" s="3" t="s">
        <v>415</v>
      </c>
      <c r="B227" s="3">
        <v>8.0399999999999991</v>
      </c>
      <c r="C227" s="5">
        <v>8.9</v>
      </c>
      <c r="D227" s="9">
        <f t="shared" si="12"/>
        <v>46031</v>
      </c>
      <c r="E227" s="14">
        <v>101.22083057560199</v>
      </c>
      <c r="F227" s="14">
        <v>107.53019777847901</v>
      </c>
      <c r="G227" s="15">
        <f t="shared" si="13"/>
        <v>-1.9115480991751532E-3</v>
      </c>
      <c r="H227" s="15">
        <f t="shared" si="14"/>
        <v>-4.0414289891005373E-3</v>
      </c>
      <c r="I227" s="15">
        <f t="shared" si="15"/>
        <v>-2.5299784947613512E-3</v>
      </c>
    </row>
    <row r="228" spans="1:9" x14ac:dyDescent="0.3">
      <c r="A228" s="3" t="s">
        <v>416</v>
      </c>
      <c r="B228" s="3">
        <v>8.06</v>
      </c>
      <c r="C228" s="5">
        <v>8.94</v>
      </c>
      <c r="D228" s="9">
        <f t="shared" si="12"/>
        <v>46034</v>
      </c>
      <c r="E228" s="14">
        <v>101.16327486367901</v>
      </c>
      <c r="F228" s="14">
        <v>107.23715945679299</v>
      </c>
      <c r="G228" s="15">
        <f t="shared" si="13"/>
        <v>-5.6861528991303256E-4</v>
      </c>
      <c r="H228" s="15">
        <f t="shared" si="14"/>
        <v>-2.7251723491636959E-3</v>
      </c>
      <c r="I228" s="15">
        <f t="shared" si="15"/>
        <v>-1.1947913552343746E-3</v>
      </c>
    </row>
    <row r="229" spans="1:9" x14ac:dyDescent="0.3">
      <c r="A229" s="3" t="s">
        <v>417</v>
      </c>
      <c r="B229" s="3">
        <v>8.02</v>
      </c>
      <c r="C229" s="5">
        <v>8.93</v>
      </c>
      <c r="D229" s="9">
        <f t="shared" si="12"/>
        <v>46035</v>
      </c>
      <c r="E229" s="14">
        <v>101.27212921871001</v>
      </c>
      <c r="F229" s="14">
        <v>107.30762206337501</v>
      </c>
      <c r="G229" s="15">
        <f t="shared" si="13"/>
        <v>1.0760264056071112E-3</v>
      </c>
      <c r="H229" s="15">
        <f t="shared" si="14"/>
        <v>6.5707266901648964E-4</v>
      </c>
      <c r="I229" s="15">
        <f t="shared" si="15"/>
        <v>9.5437935657371152E-4</v>
      </c>
    </row>
    <row r="230" spans="1:9" x14ac:dyDescent="0.3">
      <c r="A230" s="3" t="s">
        <v>418</v>
      </c>
      <c r="B230" s="3">
        <v>8.01</v>
      </c>
      <c r="C230" s="5">
        <v>8.94</v>
      </c>
      <c r="D230" s="9">
        <f t="shared" si="12"/>
        <v>46036</v>
      </c>
      <c r="E230" s="14">
        <v>101.298631286686</v>
      </c>
      <c r="F230" s="14">
        <v>107.234145163089</v>
      </c>
      <c r="G230" s="15">
        <f t="shared" si="13"/>
        <v>2.6169162414624303E-4</v>
      </c>
      <c r="H230" s="15">
        <f t="shared" si="14"/>
        <v>-6.847314186368969E-4</v>
      </c>
      <c r="I230" s="15">
        <f t="shared" si="15"/>
        <v>-1.3110962002494742E-5</v>
      </c>
    </row>
    <row r="231" spans="1:9" x14ac:dyDescent="0.3">
      <c r="A231" s="3" t="s">
        <v>419</v>
      </c>
      <c r="B231" s="3">
        <v>8.02</v>
      </c>
      <c r="C231" s="5">
        <v>8.93</v>
      </c>
      <c r="D231" s="9">
        <f t="shared" si="12"/>
        <v>46037</v>
      </c>
      <c r="E231" s="14">
        <v>101.270288086074</v>
      </c>
      <c r="F231" s="14">
        <v>107.304597679342</v>
      </c>
      <c r="G231" s="15">
        <f t="shared" si="13"/>
        <v>-2.7979845583292473E-4</v>
      </c>
      <c r="H231" s="15">
        <f t="shared" si="14"/>
        <v>6.5699704274080339E-4</v>
      </c>
      <c r="I231" s="15">
        <f t="shared" si="15"/>
        <v>-7.7913151957708445E-6</v>
      </c>
    </row>
    <row r="232" spans="1:9" x14ac:dyDescent="0.3">
      <c r="A232" s="3" t="s">
        <v>420</v>
      </c>
      <c r="B232" s="3">
        <v>8.0500000000000007</v>
      </c>
      <c r="C232" s="5">
        <v>8.99</v>
      </c>
      <c r="D232" s="9">
        <f t="shared" si="12"/>
        <v>46038</v>
      </c>
      <c r="E232" s="14">
        <v>101.187285530222</v>
      </c>
      <c r="F232" s="14">
        <v>106.87244646632701</v>
      </c>
      <c r="G232" s="15">
        <f t="shared" si="13"/>
        <v>-8.1961409827779885E-4</v>
      </c>
      <c r="H232" s="15">
        <f t="shared" si="14"/>
        <v>-4.0273317486952953E-3</v>
      </c>
      <c r="I232" s="15">
        <f t="shared" si="15"/>
        <v>-1.7510042548165615E-3</v>
      </c>
    </row>
    <row r="233" spans="1:9" x14ac:dyDescent="0.3">
      <c r="A233" s="3" t="s">
        <v>421</v>
      </c>
      <c r="B233" s="3">
        <v>8.1</v>
      </c>
      <c r="C233" s="5">
        <v>9.06</v>
      </c>
      <c r="D233" s="9">
        <f t="shared" si="12"/>
        <v>46041</v>
      </c>
      <c r="E233" s="14">
        <v>101.048465827708</v>
      </c>
      <c r="F233" s="14">
        <v>106.368965444434</v>
      </c>
      <c r="G233" s="15">
        <f t="shared" si="13"/>
        <v>-1.3719085533976383E-3</v>
      </c>
      <c r="H233" s="15">
        <f t="shared" si="14"/>
        <v>-4.7110460978512236E-3</v>
      </c>
      <c r="I233" s="15">
        <f t="shared" si="15"/>
        <v>-2.3414576780932924E-3</v>
      </c>
    </row>
    <row r="234" spans="1:9" x14ac:dyDescent="0.3">
      <c r="A234" s="3" t="s">
        <v>422</v>
      </c>
      <c r="B234" s="3">
        <v>8.14</v>
      </c>
      <c r="C234" s="5">
        <v>9.1</v>
      </c>
      <c r="D234" s="9">
        <f t="shared" si="12"/>
        <v>46042</v>
      </c>
      <c r="E234" s="14">
        <v>100.938952790824</v>
      </c>
      <c r="F234" s="14">
        <v>106.083840575764</v>
      </c>
      <c r="G234" s="15">
        <f t="shared" si="13"/>
        <v>-1.0837674376048545E-3</v>
      </c>
      <c r="H234" s="15">
        <f t="shared" si="14"/>
        <v>-2.6805268574219276E-3</v>
      </c>
      <c r="I234" s="15">
        <f t="shared" si="15"/>
        <v>-1.5474011385899153E-3</v>
      </c>
    </row>
    <row r="235" spans="1:9" x14ac:dyDescent="0.3">
      <c r="A235" s="3" t="s">
        <v>423</v>
      </c>
      <c r="B235" s="3">
        <v>8.15</v>
      </c>
      <c r="C235" s="5">
        <v>9.1300000000000008</v>
      </c>
      <c r="D235" s="9">
        <f t="shared" si="12"/>
        <v>46043</v>
      </c>
      <c r="E235" s="14">
        <v>100.91117150147799</v>
      </c>
      <c r="F235" s="14">
        <v>105.87042600750701</v>
      </c>
      <c r="G235" s="15">
        <f t="shared" si="13"/>
        <v>-2.7522862658957425E-4</v>
      </c>
      <c r="H235" s="15">
        <f t="shared" si="14"/>
        <v>-2.0117537892547777E-3</v>
      </c>
      <c r="I235" s="15">
        <f t="shared" si="15"/>
        <v>-7.7944458926251575E-4</v>
      </c>
    </row>
    <row r="236" spans="1:9" x14ac:dyDescent="0.3">
      <c r="A236" s="3" t="s">
        <v>424</v>
      </c>
      <c r="B236" s="3">
        <v>8.09</v>
      </c>
      <c r="C236" s="5">
        <v>9</v>
      </c>
      <c r="D236" s="9">
        <f t="shared" si="12"/>
        <v>46044</v>
      </c>
      <c r="E236" s="14">
        <v>101.073501257671</v>
      </c>
      <c r="F236" s="14">
        <v>106.79249553120999</v>
      </c>
      <c r="G236" s="15">
        <f t="shared" si="13"/>
        <v>1.6086400918517985E-3</v>
      </c>
      <c r="H236" s="15">
        <f t="shared" si="14"/>
        <v>8.7094154474980368E-3</v>
      </c>
      <c r="I236" s="15">
        <f t="shared" si="15"/>
        <v>3.6704151577405162E-3</v>
      </c>
    </row>
    <row r="237" spans="1:9" x14ac:dyDescent="0.3">
      <c r="A237" s="3" t="s">
        <v>425</v>
      </c>
      <c r="B237" s="3">
        <v>8.0299999999999994</v>
      </c>
      <c r="C237" s="5">
        <v>8.92</v>
      </c>
      <c r="D237" s="9">
        <f t="shared" si="12"/>
        <v>46045</v>
      </c>
      <c r="E237" s="14">
        <v>101.235901408399</v>
      </c>
      <c r="F237" s="14">
        <v>107.364678074827</v>
      </c>
      <c r="G237" s="15">
        <f t="shared" si="13"/>
        <v>1.6067529936851788E-3</v>
      </c>
      <c r="H237" s="15">
        <f t="shared" si="14"/>
        <v>5.357890933916698E-3</v>
      </c>
      <c r="I237" s="15">
        <f t="shared" si="15"/>
        <v>2.6959302013162801E-3</v>
      </c>
    </row>
    <row r="238" spans="1:9" x14ac:dyDescent="0.3">
      <c r="A238" s="3" t="s">
        <v>426</v>
      </c>
      <c r="B238" s="3">
        <v>8.02</v>
      </c>
      <c r="C238" s="5">
        <v>8.91</v>
      </c>
      <c r="D238" s="9">
        <f t="shared" si="12"/>
        <v>46048</v>
      </c>
      <c r="E238" s="14">
        <v>101.260514575429</v>
      </c>
      <c r="F238" s="14">
        <v>107.43226209142701</v>
      </c>
      <c r="G238" s="15">
        <f t="shared" si="13"/>
        <v>2.4312686198846301E-4</v>
      </c>
      <c r="H238" s="15">
        <f t="shared" si="14"/>
        <v>6.294809225144693E-4</v>
      </c>
      <c r="I238" s="15">
        <f t="shared" si="15"/>
        <v>3.5530829693049043E-4</v>
      </c>
    </row>
    <row r="239" spans="1:9" x14ac:dyDescent="0.3">
      <c r="A239" s="3" t="s">
        <v>427</v>
      </c>
      <c r="B239" s="3">
        <v>7.99</v>
      </c>
      <c r="C239" s="5">
        <v>8.93</v>
      </c>
      <c r="D239" s="9">
        <f t="shared" si="12"/>
        <v>46049</v>
      </c>
      <c r="E239" s="14">
        <v>101.341105403227</v>
      </c>
      <c r="F239" s="14">
        <v>107.2869843953</v>
      </c>
      <c r="G239" s="15">
        <f t="shared" si="13"/>
        <v>7.9587614319276412E-4</v>
      </c>
      <c r="H239" s="15">
        <f t="shared" si="14"/>
        <v>-1.3522725231586152E-3</v>
      </c>
      <c r="I239" s="15">
        <f t="shared" si="15"/>
        <v>1.7214153165014958E-4</v>
      </c>
    </row>
    <row r="240" spans="1:9" x14ac:dyDescent="0.3">
      <c r="A240" s="3" t="s">
        <v>428</v>
      </c>
      <c r="B240" s="3">
        <v>7.95</v>
      </c>
      <c r="C240" s="5">
        <v>8.86</v>
      </c>
      <c r="D240" s="9">
        <f t="shared" si="12"/>
        <v>46050</v>
      </c>
      <c r="E240" s="14">
        <v>101.448823798261</v>
      </c>
      <c r="F240" s="14">
        <v>107.79000239275901</v>
      </c>
      <c r="G240" s="15">
        <f t="shared" si="13"/>
        <v>1.0629289527226415E-3</v>
      </c>
      <c r="H240" s="15">
        <f t="shared" si="14"/>
        <v>4.688527693216038E-3</v>
      </c>
      <c r="I240" s="15">
        <f t="shared" si="15"/>
        <v>2.1156547055691788E-3</v>
      </c>
    </row>
    <row r="241" spans="1:9" x14ac:dyDescent="0.3">
      <c r="A241" s="3" t="s">
        <v>429</v>
      </c>
      <c r="B241" s="3">
        <v>7.89</v>
      </c>
      <c r="C241" s="5">
        <v>8.85</v>
      </c>
      <c r="D241" s="9">
        <f t="shared" si="12"/>
        <v>46051</v>
      </c>
      <c r="E241" s="14">
        <v>101.610916964273</v>
      </c>
      <c r="F241" s="14">
        <v>107.860815873763</v>
      </c>
      <c r="G241" s="15">
        <f t="shared" si="13"/>
        <v>1.5977826054871525E-3</v>
      </c>
      <c r="H241" s="15">
        <f t="shared" si="14"/>
        <v>6.5695778302310437E-4</v>
      </c>
      <c r="I241" s="15">
        <f t="shared" si="15"/>
        <v>1.3246055138075611E-3</v>
      </c>
    </row>
    <row r="242" spans="1:9" x14ac:dyDescent="0.3">
      <c r="A242" s="3" t="s">
        <v>430</v>
      </c>
      <c r="B242" s="3">
        <v>7.88</v>
      </c>
      <c r="C242" s="5">
        <v>8.8000000000000007</v>
      </c>
      <c r="D242" s="9">
        <f t="shared" si="12"/>
        <v>46052</v>
      </c>
      <c r="E242" s="14">
        <v>101.63697854054401</v>
      </c>
      <c r="F242" s="14">
        <v>108.22181605670499</v>
      </c>
      <c r="G242" s="15">
        <f t="shared" si="13"/>
        <v>2.5648401815092647E-4</v>
      </c>
      <c r="H242" s="15">
        <f t="shared" si="14"/>
        <v>3.3469075865744102E-3</v>
      </c>
      <c r="I242" s="15">
        <f t="shared" si="15"/>
        <v>1.1538167652492867E-3</v>
      </c>
    </row>
    <row r="243" spans="1:9" x14ac:dyDescent="0.3">
      <c r="A243" s="3" t="s">
        <v>431</v>
      </c>
      <c r="B243" s="3">
        <v>7.89</v>
      </c>
      <c r="C243" s="5">
        <v>8.82</v>
      </c>
      <c r="D243" s="9">
        <f t="shared" si="12"/>
        <v>46056</v>
      </c>
      <c r="E243" s="14">
        <v>101.605311964973</v>
      </c>
      <c r="F243" s="14">
        <v>108.070508132895</v>
      </c>
      <c r="G243" s="15">
        <f t="shared" si="13"/>
        <v>-3.1156549541044853E-4</v>
      </c>
      <c r="H243" s="15">
        <f t="shared" si="14"/>
        <v>-1.3981277465415776E-3</v>
      </c>
      <c r="I243" s="15">
        <f t="shared" si="15"/>
        <v>-6.2705878237054465E-4</v>
      </c>
    </row>
    <row r="244" spans="1:9" x14ac:dyDescent="0.3">
      <c r="A244" s="3" t="s">
        <v>432</v>
      </c>
      <c r="B244" s="3">
        <v>7.9</v>
      </c>
      <c r="C244" s="5">
        <v>8.85</v>
      </c>
      <c r="D244" s="9">
        <f t="shared" si="12"/>
        <v>46057</v>
      </c>
      <c r="E244" s="14">
        <v>101.577133032039</v>
      </c>
      <c r="F244" s="14">
        <v>107.851868435307</v>
      </c>
      <c r="G244" s="15">
        <f t="shared" si="13"/>
        <v>-2.7733720205214141E-4</v>
      </c>
      <c r="H244" s="15">
        <f t="shared" si="14"/>
        <v>-2.0231208436546355E-3</v>
      </c>
      <c r="I244" s="15">
        <f t="shared" si="15"/>
        <v>-7.8424144875955575E-4</v>
      </c>
    </row>
    <row r="245" spans="1:9" x14ac:dyDescent="0.3">
      <c r="A245" s="3" t="s">
        <v>433</v>
      </c>
      <c r="B245" s="3">
        <v>7.88</v>
      </c>
      <c r="C245" s="5">
        <v>8.8800000000000008</v>
      </c>
      <c r="D245" s="9">
        <f t="shared" si="12"/>
        <v>46058</v>
      </c>
      <c r="E245" s="14">
        <v>101.63016274905399</v>
      </c>
      <c r="F245" s="14">
        <v>107.63389841924</v>
      </c>
      <c r="G245" s="15">
        <f t="shared" si="13"/>
        <v>5.2206353371153646E-4</v>
      </c>
      <c r="H245" s="15">
        <f t="shared" si="14"/>
        <v>-2.0210128876695377E-3</v>
      </c>
      <c r="I245" s="15">
        <f t="shared" si="15"/>
        <v>-2.1634196338446665E-4</v>
      </c>
    </row>
    <row r="246" spans="1:9" x14ac:dyDescent="0.3">
      <c r="A246" s="3" t="s">
        <v>434</v>
      </c>
      <c r="B246" s="3">
        <v>7.83</v>
      </c>
      <c r="C246" s="5">
        <v>8.82</v>
      </c>
      <c r="D246" s="9">
        <f t="shared" si="12"/>
        <v>46059</v>
      </c>
      <c r="E246" s="14">
        <v>101.764362286224</v>
      </c>
      <c r="F246" s="14">
        <v>108.06599390450801</v>
      </c>
      <c r="G246" s="15">
        <f t="shared" si="13"/>
        <v>1.320469568678817E-3</v>
      </c>
      <c r="H246" s="15">
        <f t="shared" si="14"/>
        <v>4.0144925679916899E-3</v>
      </c>
      <c r="I246" s="15">
        <f t="shared" si="15"/>
        <v>2.1027037851855169E-3</v>
      </c>
    </row>
    <row r="247" spans="1:9" x14ac:dyDescent="0.3">
      <c r="A247" s="3" t="s">
        <v>435</v>
      </c>
      <c r="B247" s="3">
        <v>7.75</v>
      </c>
      <c r="C247" s="5">
        <v>8.77</v>
      </c>
      <c r="D247" s="9">
        <f t="shared" si="12"/>
        <v>46062</v>
      </c>
      <c r="E247" s="14">
        <v>101.977138506521</v>
      </c>
      <c r="F247" s="14">
        <v>108.424440210158</v>
      </c>
      <c r="G247" s="15">
        <f t="shared" si="13"/>
        <v>2.0908716520873227E-3</v>
      </c>
      <c r="H247" s="15">
        <f t="shared" si="14"/>
        <v>3.3169204547984776E-3</v>
      </c>
      <c r="I247" s="15">
        <f t="shared" si="15"/>
        <v>2.4468661349972129E-3</v>
      </c>
    </row>
    <row r="248" spans="1:9" x14ac:dyDescent="0.3">
      <c r="A248" s="3" t="s">
        <v>437</v>
      </c>
      <c r="B248" s="3">
        <v>7.73</v>
      </c>
      <c r="C248" s="5">
        <v>8.75</v>
      </c>
      <c r="D248" s="9">
        <f t="shared" si="12"/>
        <v>46063</v>
      </c>
      <c r="E248" s="14">
        <v>102.029902158591</v>
      </c>
      <c r="F248" s="14">
        <v>108.56850780348501</v>
      </c>
      <c r="G248" s="15">
        <f t="shared" si="13"/>
        <v>5.1740667411093177E-4</v>
      </c>
      <c r="H248" s="15">
        <f t="shared" si="14"/>
        <v>1.3287372574648515E-3</v>
      </c>
      <c r="I248" s="15">
        <f t="shared" si="15"/>
        <v>7.5298392915279619E-4</v>
      </c>
    </row>
    <row r="249" spans="1:9" x14ac:dyDescent="0.3">
      <c r="A249" s="3" t="s">
        <v>439</v>
      </c>
      <c r="B249" s="3">
        <v>7.7</v>
      </c>
      <c r="C249" s="5">
        <v>8.7200000000000006</v>
      </c>
      <c r="D249" s="9">
        <f t="shared" si="12"/>
        <v>46064</v>
      </c>
      <c r="E249" s="14">
        <v>102.10970217280899</v>
      </c>
      <c r="F249" s="14">
        <v>108.785819537999</v>
      </c>
      <c r="G249" s="15">
        <f t="shared" si="13"/>
        <v>7.8212379439457358E-4</v>
      </c>
      <c r="H249" s="15">
        <f t="shared" si="14"/>
        <v>2.0016092963839327E-3</v>
      </c>
      <c r="I249" s="15">
        <f t="shared" si="15"/>
        <v>1.1362125629140814E-3</v>
      </c>
    </row>
    <row r="250" spans="1:9" x14ac:dyDescent="0.3">
      <c r="A250" s="3" t="s">
        <v>442</v>
      </c>
      <c r="B250" s="3">
        <v>7.68</v>
      </c>
      <c r="C250" s="5">
        <v>8.7200000000000006</v>
      </c>
      <c r="D250" s="9">
        <f t="shared" ref="D250:D253" si="16">A250+0</f>
        <v>46065</v>
      </c>
      <c r="E250" s="14">
        <v>102.162361896703</v>
      </c>
      <c r="F250" s="14">
        <v>108.78423803067101</v>
      </c>
      <c r="G250" s="15">
        <f t="shared" si="13"/>
        <v>5.1571714316511752E-4</v>
      </c>
      <c r="H250" s="15">
        <f t="shared" si="14"/>
        <v>-1.4537807728198793E-5</v>
      </c>
      <c r="I250" s="15">
        <f t="shared" si="15"/>
        <v>3.6175276863430422E-4</v>
      </c>
    </row>
    <row r="251" spans="1:9" x14ac:dyDescent="0.3">
      <c r="A251" s="3" t="s">
        <v>445</v>
      </c>
      <c r="B251" s="3">
        <v>7.67</v>
      </c>
      <c r="C251" s="5">
        <v>8.69</v>
      </c>
      <c r="D251" s="9">
        <f t="shared" si="16"/>
        <v>46066</v>
      </c>
      <c r="E251" s="14">
        <v>102.187895188468</v>
      </c>
      <c r="F251" s="14">
        <v>109.00205140212501</v>
      </c>
      <c r="G251" s="15">
        <f t="shared" si="13"/>
        <v>2.4992855774819134E-4</v>
      </c>
      <c r="H251" s="15">
        <f t="shared" si="14"/>
        <v>2.002251202904759E-3</v>
      </c>
      <c r="I251" s="15">
        <f t="shared" si="15"/>
        <v>7.5873146394112587E-4</v>
      </c>
    </row>
    <row r="252" spans="1:9" x14ac:dyDescent="0.3">
      <c r="A252" s="3" t="s">
        <v>447</v>
      </c>
      <c r="B252" s="3">
        <v>7.66</v>
      </c>
      <c r="C252" s="5">
        <v>8.7100000000000009</v>
      </c>
      <c r="D252" s="9">
        <f t="shared" si="16"/>
        <v>46069</v>
      </c>
      <c r="E252" s="14">
        <v>102.21026082442501</v>
      </c>
      <c r="F252" s="14">
        <v>108.85100006608999</v>
      </c>
      <c r="G252" s="15">
        <f t="shared" si="13"/>
        <v>2.1886776232893368E-4</v>
      </c>
      <c r="H252" s="15">
        <f t="shared" si="14"/>
        <v>-1.3857659933184108E-3</v>
      </c>
      <c r="I252" s="15">
        <f t="shared" si="15"/>
        <v>-2.4705232408055524E-4</v>
      </c>
    </row>
    <row r="253" spans="1:9" x14ac:dyDescent="0.3">
      <c r="A253" s="3" t="s">
        <v>450</v>
      </c>
      <c r="B253" s="3">
        <v>7.67</v>
      </c>
      <c r="C253" s="5">
        <v>8.73</v>
      </c>
      <c r="D253" s="9">
        <f t="shared" si="16"/>
        <v>46070</v>
      </c>
      <c r="E253" s="14">
        <v>102.18171373815601</v>
      </c>
      <c r="F253" s="14">
        <v>108.70347557008</v>
      </c>
      <c r="G253" s="15">
        <f t="shared" si="13"/>
        <v>-2.7929765601553136E-4</v>
      </c>
      <c r="H253" s="15">
        <f t="shared" si="14"/>
        <v>-1.3552883843089836E-3</v>
      </c>
      <c r="I253" s="15">
        <f t="shared" si="15"/>
        <v>-5.9172140463600604E-4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EB41-6D82-4BA8-B44C-F7003E0F5F29}">
  <dimension ref="C2:D9"/>
  <sheetViews>
    <sheetView workbookViewId="0">
      <selection activeCell="F13" sqref="F13"/>
    </sheetView>
  </sheetViews>
  <sheetFormatPr baseColWidth="10" defaultRowHeight="14.4" x14ac:dyDescent="0.3"/>
  <cols>
    <col min="3" max="3" width="20.21875" customWidth="1"/>
    <col min="4" max="4" width="12.44140625" customWidth="1"/>
  </cols>
  <sheetData>
    <row r="2" spans="3:4" x14ac:dyDescent="0.3">
      <c r="C2" t="s">
        <v>542</v>
      </c>
    </row>
    <row r="4" spans="3:4" x14ac:dyDescent="0.3">
      <c r="C4" t="s">
        <v>543</v>
      </c>
      <c r="D4" t="s">
        <v>545</v>
      </c>
    </row>
    <row r="5" spans="3:4" x14ac:dyDescent="0.3">
      <c r="C5" t="s">
        <v>544</v>
      </c>
      <c r="D5" t="s">
        <v>546</v>
      </c>
    </row>
    <row r="7" spans="3:4" x14ac:dyDescent="0.3">
      <c r="C7" t="s">
        <v>549</v>
      </c>
    </row>
    <row r="9" spans="3:4" x14ac:dyDescent="0.3">
      <c r="C9" t="s">
        <v>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070C-7BC0-449D-B586-BC1B76B4352E}">
  <dimension ref="D3:L1308"/>
  <sheetViews>
    <sheetView tabSelected="1" workbookViewId="0">
      <selection activeCell="E22" sqref="E22"/>
    </sheetView>
  </sheetViews>
  <sheetFormatPr baseColWidth="10" defaultRowHeight="14.4" x14ac:dyDescent="0.3"/>
  <cols>
    <col min="12" max="12" width="8.33203125" bestFit="1" customWidth="1"/>
  </cols>
  <sheetData>
    <row r="3" spans="4:12" x14ac:dyDescent="0.3">
      <c r="D3" t="s">
        <v>534</v>
      </c>
      <c r="L3" s="18" t="s">
        <v>553</v>
      </c>
    </row>
    <row r="4" spans="4:12" x14ac:dyDescent="0.3">
      <c r="D4" t="s">
        <v>547</v>
      </c>
      <c r="L4" s="19">
        <v>46071</v>
      </c>
    </row>
    <row r="5" spans="4:12" x14ac:dyDescent="0.3">
      <c r="L5" s="22">
        <v>46070</v>
      </c>
    </row>
    <row r="6" spans="4:12" x14ac:dyDescent="0.3">
      <c r="D6" t="s">
        <v>535</v>
      </c>
      <c r="E6" t="s">
        <v>537</v>
      </c>
      <c r="F6" t="s">
        <v>538</v>
      </c>
      <c r="L6" s="19">
        <v>46069</v>
      </c>
    </row>
    <row r="7" spans="4:12" x14ac:dyDescent="0.3">
      <c r="D7" t="s">
        <v>536</v>
      </c>
      <c r="E7" t="s">
        <v>537</v>
      </c>
      <c r="F7" t="s">
        <v>539</v>
      </c>
      <c r="L7" s="22">
        <v>46066</v>
      </c>
    </row>
    <row r="8" spans="4:12" x14ac:dyDescent="0.3">
      <c r="L8" s="19">
        <v>46065</v>
      </c>
    </row>
    <row r="9" spans="4:12" x14ac:dyDescent="0.3">
      <c r="D9" t="s">
        <v>548</v>
      </c>
      <c r="L9" s="22">
        <v>46064</v>
      </c>
    </row>
    <row r="10" spans="4:12" x14ac:dyDescent="0.3">
      <c r="D10" t="s">
        <v>540</v>
      </c>
      <c r="L10" s="19">
        <v>46063</v>
      </c>
    </row>
    <row r="11" spans="4:12" x14ac:dyDescent="0.3">
      <c r="L11" s="22">
        <v>46062</v>
      </c>
    </row>
    <row r="12" spans="4:12" x14ac:dyDescent="0.3">
      <c r="D12" t="s">
        <v>541</v>
      </c>
      <c r="L12" s="19">
        <v>46059</v>
      </c>
    </row>
    <row r="13" spans="4:12" x14ac:dyDescent="0.3">
      <c r="L13" s="22">
        <v>46058</v>
      </c>
    </row>
    <row r="14" spans="4:12" x14ac:dyDescent="0.3">
      <c r="D14">
        <f>300000000*MXNUSD!D4</f>
        <v>17504958.900000002</v>
      </c>
      <c r="E14">
        <f>100000000*BRLUSD!D4</f>
        <v>19211742</v>
      </c>
      <c r="L14" s="19">
        <v>46057</v>
      </c>
    </row>
    <row r="15" spans="4:12" x14ac:dyDescent="0.3">
      <c r="L15" s="22">
        <v>46056</v>
      </c>
    </row>
    <row r="16" spans="4:12" x14ac:dyDescent="0.3">
      <c r="L16" s="19">
        <v>46055</v>
      </c>
    </row>
    <row r="17" spans="12:12" x14ac:dyDescent="0.3">
      <c r="L17" s="22">
        <v>46052</v>
      </c>
    </row>
    <row r="18" spans="12:12" x14ac:dyDescent="0.3">
      <c r="L18" s="19">
        <v>46051</v>
      </c>
    </row>
    <row r="19" spans="12:12" x14ac:dyDescent="0.3">
      <c r="L19" s="22">
        <v>46050</v>
      </c>
    </row>
    <row r="20" spans="12:12" x14ac:dyDescent="0.3">
      <c r="L20" s="19">
        <v>46049</v>
      </c>
    </row>
    <row r="21" spans="12:12" x14ac:dyDescent="0.3">
      <c r="L21" s="22">
        <v>46048</v>
      </c>
    </row>
    <row r="22" spans="12:12" x14ac:dyDescent="0.3">
      <c r="L22" s="19">
        <v>46045</v>
      </c>
    </row>
    <row r="23" spans="12:12" x14ac:dyDescent="0.3">
      <c r="L23" s="22">
        <v>46044</v>
      </c>
    </row>
    <row r="24" spans="12:12" x14ac:dyDescent="0.3">
      <c r="L24" s="19">
        <v>46043</v>
      </c>
    </row>
    <row r="25" spans="12:12" x14ac:dyDescent="0.3">
      <c r="L25" s="22">
        <v>46042</v>
      </c>
    </row>
    <row r="26" spans="12:12" x14ac:dyDescent="0.3">
      <c r="L26" s="19">
        <v>46041</v>
      </c>
    </row>
    <row r="27" spans="12:12" x14ac:dyDescent="0.3">
      <c r="L27" s="22">
        <v>46038</v>
      </c>
    </row>
    <row r="28" spans="12:12" x14ac:dyDescent="0.3">
      <c r="L28" s="19">
        <v>46037</v>
      </c>
    </row>
    <row r="29" spans="12:12" x14ac:dyDescent="0.3">
      <c r="L29" s="22">
        <v>46036</v>
      </c>
    </row>
    <row r="30" spans="12:12" x14ac:dyDescent="0.3">
      <c r="L30" s="19">
        <v>46035</v>
      </c>
    </row>
    <row r="31" spans="12:12" x14ac:dyDescent="0.3">
      <c r="L31" s="22">
        <v>46034</v>
      </c>
    </row>
    <row r="32" spans="12:12" x14ac:dyDescent="0.3">
      <c r="L32" s="19">
        <v>46031</v>
      </c>
    </row>
    <row r="33" spans="12:12" x14ac:dyDescent="0.3">
      <c r="L33" s="22">
        <v>46030</v>
      </c>
    </row>
    <row r="34" spans="12:12" x14ac:dyDescent="0.3">
      <c r="L34" s="19">
        <v>46029</v>
      </c>
    </row>
    <row r="35" spans="12:12" x14ac:dyDescent="0.3">
      <c r="L35" s="22">
        <v>46028</v>
      </c>
    </row>
    <row r="36" spans="12:12" x14ac:dyDescent="0.3">
      <c r="L36" s="19">
        <v>46027</v>
      </c>
    </row>
    <row r="37" spans="12:12" x14ac:dyDescent="0.3">
      <c r="L37" s="22">
        <v>46024</v>
      </c>
    </row>
    <row r="38" spans="12:12" x14ac:dyDescent="0.3">
      <c r="L38" s="19">
        <v>46023</v>
      </c>
    </row>
    <row r="39" spans="12:12" x14ac:dyDescent="0.3">
      <c r="L39" s="22">
        <v>46022</v>
      </c>
    </row>
    <row r="40" spans="12:12" x14ac:dyDescent="0.3">
      <c r="L40" s="19">
        <v>46021</v>
      </c>
    </row>
    <row r="41" spans="12:12" x14ac:dyDescent="0.3">
      <c r="L41" s="22">
        <v>46020</v>
      </c>
    </row>
    <row r="42" spans="12:12" x14ac:dyDescent="0.3">
      <c r="L42" s="19">
        <v>46017</v>
      </c>
    </row>
    <row r="43" spans="12:12" x14ac:dyDescent="0.3">
      <c r="L43" s="22">
        <v>46016</v>
      </c>
    </row>
    <row r="44" spans="12:12" x14ac:dyDescent="0.3">
      <c r="L44" s="19">
        <v>46015</v>
      </c>
    </row>
    <row r="45" spans="12:12" x14ac:dyDescent="0.3">
      <c r="L45" s="22">
        <v>46014</v>
      </c>
    </row>
    <row r="46" spans="12:12" x14ac:dyDescent="0.3">
      <c r="L46" s="19">
        <v>46013</v>
      </c>
    </row>
    <row r="47" spans="12:12" x14ac:dyDescent="0.3">
      <c r="L47" s="22">
        <v>46010</v>
      </c>
    </row>
    <row r="48" spans="12:12" x14ac:dyDescent="0.3">
      <c r="L48" s="19">
        <v>46009</v>
      </c>
    </row>
    <row r="49" spans="12:12" x14ac:dyDescent="0.3">
      <c r="L49" s="22">
        <v>46008</v>
      </c>
    </row>
    <row r="50" spans="12:12" x14ac:dyDescent="0.3">
      <c r="L50" s="19">
        <v>46007</v>
      </c>
    </row>
    <row r="51" spans="12:12" x14ac:dyDescent="0.3">
      <c r="L51" s="22">
        <v>46006</v>
      </c>
    </row>
    <row r="52" spans="12:12" x14ac:dyDescent="0.3">
      <c r="L52" s="19">
        <v>46003</v>
      </c>
    </row>
    <row r="53" spans="12:12" x14ac:dyDescent="0.3">
      <c r="L53" s="22">
        <v>46002</v>
      </c>
    </row>
    <row r="54" spans="12:12" x14ac:dyDescent="0.3">
      <c r="L54" s="19">
        <v>46001</v>
      </c>
    </row>
    <row r="55" spans="12:12" x14ac:dyDescent="0.3">
      <c r="L55" s="22">
        <v>46000</v>
      </c>
    </row>
    <row r="56" spans="12:12" x14ac:dyDescent="0.3">
      <c r="L56" s="19">
        <v>45999</v>
      </c>
    </row>
    <row r="57" spans="12:12" x14ac:dyDescent="0.3">
      <c r="L57" s="22">
        <v>45996</v>
      </c>
    </row>
    <row r="58" spans="12:12" x14ac:dyDescent="0.3">
      <c r="L58" s="19">
        <v>45995</v>
      </c>
    </row>
    <row r="59" spans="12:12" x14ac:dyDescent="0.3">
      <c r="L59" s="22">
        <v>45994</v>
      </c>
    </row>
    <row r="60" spans="12:12" x14ac:dyDescent="0.3">
      <c r="L60" s="19">
        <v>45993</v>
      </c>
    </row>
    <row r="61" spans="12:12" x14ac:dyDescent="0.3">
      <c r="L61" s="22">
        <v>45992</v>
      </c>
    </row>
    <row r="62" spans="12:12" x14ac:dyDescent="0.3">
      <c r="L62" s="19">
        <v>45989</v>
      </c>
    </row>
    <row r="63" spans="12:12" x14ac:dyDescent="0.3">
      <c r="L63" s="22">
        <v>45988</v>
      </c>
    </row>
    <row r="64" spans="12:12" x14ac:dyDescent="0.3">
      <c r="L64" s="19">
        <v>45987</v>
      </c>
    </row>
    <row r="65" spans="12:12" x14ac:dyDescent="0.3">
      <c r="L65" s="22">
        <v>45986</v>
      </c>
    </row>
    <row r="66" spans="12:12" x14ac:dyDescent="0.3">
      <c r="L66" s="19">
        <v>45985</v>
      </c>
    </row>
    <row r="67" spans="12:12" x14ac:dyDescent="0.3">
      <c r="L67" s="22">
        <v>45982</v>
      </c>
    </row>
    <row r="68" spans="12:12" x14ac:dyDescent="0.3">
      <c r="L68" s="19">
        <v>45981</v>
      </c>
    </row>
    <row r="69" spans="12:12" x14ac:dyDescent="0.3">
      <c r="L69" s="22">
        <v>45980</v>
      </c>
    </row>
    <row r="70" spans="12:12" x14ac:dyDescent="0.3">
      <c r="L70" s="19">
        <v>45979</v>
      </c>
    </row>
    <row r="71" spans="12:12" x14ac:dyDescent="0.3">
      <c r="L71" s="22">
        <v>45978</v>
      </c>
    </row>
    <row r="72" spans="12:12" x14ac:dyDescent="0.3">
      <c r="L72" s="19">
        <v>45975</v>
      </c>
    </row>
    <row r="73" spans="12:12" x14ac:dyDescent="0.3">
      <c r="L73" s="22">
        <v>45974</v>
      </c>
    </row>
    <row r="74" spans="12:12" x14ac:dyDescent="0.3">
      <c r="L74" s="19">
        <v>45973</v>
      </c>
    </row>
    <row r="75" spans="12:12" x14ac:dyDescent="0.3">
      <c r="L75" s="22">
        <v>45972</v>
      </c>
    </row>
    <row r="76" spans="12:12" x14ac:dyDescent="0.3">
      <c r="L76" s="19">
        <v>45971</v>
      </c>
    </row>
    <row r="77" spans="12:12" x14ac:dyDescent="0.3">
      <c r="L77" s="22">
        <v>45968</v>
      </c>
    </row>
    <row r="78" spans="12:12" x14ac:dyDescent="0.3">
      <c r="L78" s="19">
        <v>45967</v>
      </c>
    </row>
    <row r="79" spans="12:12" x14ac:dyDescent="0.3">
      <c r="L79" s="22">
        <v>45966</v>
      </c>
    </row>
    <row r="80" spans="12:12" x14ac:dyDescent="0.3">
      <c r="L80" s="19">
        <v>45965</v>
      </c>
    </row>
    <row r="81" spans="12:12" x14ac:dyDescent="0.3">
      <c r="L81" s="22">
        <v>45964</v>
      </c>
    </row>
    <row r="82" spans="12:12" x14ac:dyDescent="0.3">
      <c r="L82" s="19">
        <v>45961</v>
      </c>
    </row>
    <row r="83" spans="12:12" x14ac:dyDescent="0.3">
      <c r="L83" s="22">
        <v>45960</v>
      </c>
    </row>
    <row r="84" spans="12:12" x14ac:dyDescent="0.3">
      <c r="L84" s="19">
        <v>45959</v>
      </c>
    </row>
    <row r="85" spans="12:12" x14ac:dyDescent="0.3">
      <c r="L85" s="22">
        <v>45958</v>
      </c>
    </row>
    <row r="86" spans="12:12" x14ac:dyDescent="0.3">
      <c r="L86" s="19">
        <v>45957</v>
      </c>
    </row>
    <row r="87" spans="12:12" x14ac:dyDescent="0.3">
      <c r="L87" s="22">
        <v>45954</v>
      </c>
    </row>
    <row r="88" spans="12:12" x14ac:dyDescent="0.3">
      <c r="L88" s="19">
        <v>45953</v>
      </c>
    </row>
    <row r="89" spans="12:12" x14ac:dyDescent="0.3">
      <c r="L89" s="22">
        <v>45952</v>
      </c>
    </row>
    <row r="90" spans="12:12" x14ac:dyDescent="0.3">
      <c r="L90" s="19">
        <v>45951</v>
      </c>
    </row>
    <row r="91" spans="12:12" x14ac:dyDescent="0.3">
      <c r="L91" s="22">
        <v>45950</v>
      </c>
    </row>
    <row r="92" spans="12:12" x14ac:dyDescent="0.3">
      <c r="L92" s="19">
        <v>45947</v>
      </c>
    </row>
    <row r="93" spans="12:12" x14ac:dyDescent="0.3">
      <c r="L93" s="22">
        <v>45946</v>
      </c>
    </row>
    <row r="94" spans="12:12" x14ac:dyDescent="0.3">
      <c r="L94" s="19">
        <v>45945</v>
      </c>
    </row>
    <row r="95" spans="12:12" x14ac:dyDescent="0.3">
      <c r="L95" s="22">
        <v>45944</v>
      </c>
    </row>
    <row r="96" spans="12:12" x14ac:dyDescent="0.3">
      <c r="L96" s="19">
        <v>45943</v>
      </c>
    </row>
    <row r="97" spans="12:12" x14ac:dyDescent="0.3">
      <c r="L97" s="22">
        <v>45940</v>
      </c>
    </row>
    <row r="98" spans="12:12" x14ac:dyDescent="0.3">
      <c r="L98" s="19">
        <v>45939</v>
      </c>
    </row>
    <row r="99" spans="12:12" x14ac:dyDescent="0.3">
      <c r="L99" s="22">
        <v>45938</v>
      </c>
    </row>
    <row r="100" spans="12:12" x14ac:dyDescent="0.3">
      <c r="L100" s="19">
        <v>45937</v>
      </c>
    </row>
    <row r="101" spans="12:12" x14ac:dyDescent="0.3">
      <c r="L101" s="22">
        <v>45936</v>
      </c>
    </row>
    <row r="102" spans="12:12" x14ac:dyDescent="0.3">
      <c r="L102" s="19">
        <v>45933</v>
      </c>
    </row>
    <row r="103" spans="12:12" x14ac:dyDescent="0.3">
      <c r="L103" s="22">
        <v>45932</v>
      </c>
    </row>
    <row r="104" spans="12:12" x14ac:dyDescent="0.3">
      <c r="L104" s="19">
        <v>45931</v>
      </c>
    </row>
    <row r="105" spans="12:12" x14ac:dyDescent="0.3">
      <c r="L105" s="22">
        <v>45930</v>
      </c>
    </row>
    <row r="106" spans="12:12" x14ac:dyDescent="0.3">
      <c r="L106" s="19">
        <v>45929</v>
      </c>
    </row>
    <row r="107" spans="12:12" x14ac:dyDescent="0.3">
      <c r="L107" s="22">
        <v>45926</v>
      </c>
    </row>
    <row r="108" spans="12:12" x14ac:dyDescent="0.3">
      <c r="L108" s="19">
        <v>45925</v>
      </c>
    </row>
    <row r="109" spans="12:12" x14ac:dyDescent="0.3">
      <c r="L109" s="22">
        <v>45924</v>
      </c>
    </row>
    <row r="110" spans="12:12" x14ac:dyDescent="0.3">
      <c r="L110" s="19">
        <v>45923</v>
      </c>
    </row>
    <row r="111" spans="12:12" x14ac:dyDescent="0.3">
      <c r="L111" s="22">
        <v>45922</v>
      </c>
    </row>
    <row r="112" spans="12:12" x14ac:dyDescent="0.3">
      <c r="L112" s="19">
        <v>45919</v>
      </c>
    </row>
    <row r="113" spans="12:12" x14ac:dyDescent="0.3">
      <c r="L113" s="22">
        <v>45918</v>
      </c>
    </row>
    <row r="114" spans="12:12" x14ac:dyDescent="0.3">
      <c r="L114" s="19">
        <v>45917</v>
      </c>
    </row>
    <row r="115" spans="12:12" x14ac:dyDescent="0.3">
      <c r="L115" s="22">
        <v>45916</v>
      </c>
    </row>
    <row r="116" spans="12:12" x14ac:dyDescent="0.3">
      <c r="L116" s="19">
        <v>45915</v>
      </c>
    </row>
    <row r="117" spans="12:12" x14ac:dyDescent="0.3">
      <c r="L117" s="22">
        <v>45912</v>
      </c>
    </row>
    <row r="118" spans="12:12" x14ac:dyDescent="0.3">
      <c r="L118" s="19">
        <v>45911</v>
      </c>
    </row>
    <row r="119" spans="12:12" x14ac:dyDescent="0.3">
      <c r="L119" s="22">
        <v>45910</v>
      </c>
    </row>
    <row r="120" spans="12:12" x14ac:dyDescent="0.3">
      <c r="L120" s="19">
        <v>45909</v>
      </c>
    </row>
    <row r="121" spans="12:12" x14ac:dyDescent="0.3">
      <c r="L121" s="22">
        <v>45908</v>
      </c>
    </row>
    <row r="122" spans="12:12" x14ac:dyDescent="0.3">
      <c r="L122" s="19">
        <v>45905</v>
      </c>
    </row>
    <row r="123" spans="12:12" x14ac:dyDescent="0.3">
      <c r="L123" s="22">
        <v>45904</v>
      </c>
    </row>
    <row r="124" spans="12:12" x14ac:dyDescent="0.3">
      <c r="L124" s="19">
        <v>45903</v>
      </c>
    </row>
    <row r="125" spans="12:12" x14ac:dyDescent="0.3">
      <c r="L125" s="22">
        <v>45902</v>
      </c>
    </row>
    <row r="126" spans="12:12" x14ac:dyDescent="0.3">
      <c r="L126" s="19">
        <v>45901</v>
      </c>
    </row>
    <row r="127" spans="12:12" x14ac:dyDescent="0.3">
      <c r="L127" s="22">
        <v>45898</v>
      </c>
    </row>
    <row r="128" spans="12:12" x14ac:dyDescent="0.3">
      <c r="L128" s="19">
        <v>45897</v>
      </c>
    </row>
    <row r="129" spans="12:12" x14ac:dyDescent="0.3">
      <c r="L129" s="22">
        <v>45896</v>
      </c>
    </row>
    <row r="130" spans="12:12" x14ac:dyDescent="0.3">
      <c r="L130" s="19">
        <v>45895</v>
      </c>
    </row>
    <row r="131" spans="12:12" x14ac:dyDescent="0.3">
      <c r="L131" s="22">
        <v>45894</v>
      </c>
    </row>
    <row r="132" spans="12:12" x14ac:dyDescent="0.3">
      <c r="L132" s="19">
        <v>45891</v>
      </c>
    </row>
    <row r="133" spans="12:12" x14ac:dyDescent="0.3">
      <c r="L133" s="22">
        <v>45890</v>
      </c>
    </row>
    <row r="134" spans="12:12" x14ac:dyDescent="0.3">
      <c r="L134" s="19">
        <v>45889</v>
      </c>
    </row>
    <row r="135" spans="12:12" x14ac:dyDescent="0.3">
      <c r="L135" s="22">
        <v>45888</v>
      </c>
    </row>
    <row r="136" spans="12:12" x14ac:dyDescent="0.3">
      <c r="L136" s="19">
        <v>45887</v>
      </c>
    </row>
    <row r="137" spans="12:12" x14ac:dyDescent="0.3">
      <c r="L137" s="22">
        <v>45884</v>
      </c>
    </row>
    <row r="138" spans="12:12" x14ac:dyDescent="0.3">
      <c r="L138" s="19">
        <v>45883</v>
      </c>
    </row>
    <row r="139" spans="12:12" x14ac:dyDescent="0.3">
      <c r="L139" s="22">
        <v>45882</v>
      </c>
    </row>
    <row r="140" spans="12:12" x14ac:dyDescent="0.3">
      <c r="L140" s="19">
        <v>45881</v>
      </c>
    </row>
    <row r="141" spans="12:12" x14ac:dyDescent="0.3">
      <c r="L141" s="22">
        <v>45880</v>
      </c>
    </row>
    <row r="142" spans="12:12" x14ac:dyDescent="0.3">
      <c r="L142" s="19">
        <v>45877</v>
      </c>
    </row>
    <row r="143" spans="12:12" x14ac:dyDescent="0.3">
      <c r="L143" s="22">
        <v>45876</v>
      </c>
    </row>
    <row r="144" spans="12:12" x14ac:dyDescent="0.3">
      <c r="L144" s="19">
        <v>45875</v>
      </c>
    </row>
    <row r="145" spans="12:12" x14ac:dyDescent="0.3">
      <c r="L145" s="22">
        <v>45874</v>
      </c>
    </row>
    <row r="146" spans="12:12" x14ac:dyDescent="0.3">
      <c r="L146" s="19">
        <v>45873</v>
      </c>
    </row>
    <row r="147" spans="12:12" x14ac:dyDescent="0.3">
      <c r="L147" s="22">
        <v>45870</v>
      </c>
    </row>
    <row r="148" spans="12:12" x14ac:dyDescent="0.3">
      <c r="L148" s="19">
        <v>45869</v>
      </c>
    </row>
    <row r="149" spans="12:12" x14ac:dyDescent="0.3">
      <c r="L149" s="22">
        <v>45868</v>
      </c>
    </row>
    <row r="150" spans="12:12" x14ac:dyDescent="0.3">
      <c r="L150" s="19">
        <v>45867</v>
      </c>
    </row>
    <row r="151" spans="12:12" x14ac:dyDescent="0.3">
      <c r="L151" s="22">
        <v>45866</v>
      </c>
    </row>
    <row r="152" spans="12:12" x14ac:dyDescent="0.3">
      <c r="L152" s="19">
        <v>45863</v>
      </c>
    </row>
    <row r="153" spans="12:12" x14ac:dyDescent="0.3">
      <c r="L153" s="22">
        <v>45862</v>
      </c>
    </row>
    <row r="154" spans="12:12" x14ac:dyDescent="0.3">
      <c r="L154" s="19">
        <v>45861</v>
      </c>
    </row>
    <row r="155" spans="12:12" x14ac:dyDescent="0.3">
      <c r="L155" s="22">
        <v>45860</v>
      </c>
    </row>
    <row r="156" spans="12:12" x14ac:dyDescent="0.3">
      <c r="L156" s="19">
        <v>45859</v>
      </c>
    </row>
    <row r="157" spans="12:12" x14ac:dyDescent="0.3">
      <c r="L157" s="22">
        <v>45856</v>
      </c>
    </row>
    <row r="158" spans="12:12" x14ac:dyDescent="0.3">
      <c r="L158" s="19">
        <v>45855</v>
      </c>
    </row>
    <row r="159" spans="12:12" x14ac:dyDescent="0.3">
      <c r="L159" s="22">
        <v>45854</v>
      </c>
    </row>
    <row r="160" spans="12:12" x14ac:dyDescent="0.3">
      <c r="L160" s="19">
        <v>45853</v>
      </c>
    </row>
    <row r="161" spans="12:12" x14ac:dyDescent="0.3">
      <c r="L161" s="22">
        <v>45852</v>
      </c>
    </row>
    <row r="162" spans="12:12" x14ac:dyDescent="0.3">
      <c r="L162" s="19">
        <v>45849</v>
      </c>
    </row>
    <row r="163" spans="12:12" x14ac:dyDescent="0.3">
      <c r="L163" s="22">
        <v>45848</v>
      </c>
    </row>
    <row r="164" spans="12:12" x14ac:dyDescent="0.3">
      <c r="L164" s="19">
        <v>45847</v>
      </c>
    </row>
    <row r="165" spans="12:12" x14ac:dyDescent="0.3">
      <c r="L165" s="22">
        <v>45846</v>
      </c>
    </row>
    <row r="166" spans="12:12" x14ac:dyDescent="0.3">
      <c r="L166" s="19">
        <v>45845</v>
      </c>
    </row>
    <row r="167" spans="12:12" x14ac:dyDescent="0.3">
      <c r="L167" s="22">
        <v>45842</v>
      </c>
    </row>
    <row r="168" spans="12:12" x14ac:dyDescent="0.3">
      <c r="L168" s="19">
        <v>45841</v>
      </c>
    </row>
    <row r="169" spans="12:12" x14ac:dyDescent="0.3">
      <c r="L169" s="22">
        <v>45840</v>
      </c>
    </row>
    <row r="170" spans="12:12" x14ac:dyDescent="0.3">
      <c r="L170" s="19">
        <v>45839</v>
      </c>
    </row>
    <row r="171" spans="12:12" x14ac:dyDescent="0.3">
      <c r="L171" s="22">
        <v>45838</v>
      </c>
    </row>
    <row r="172" spans="12:12" x14ac:dyDescent="0.3">
      <c r="L172" s="19">
        <v>45835</v>
      </c>
    </row>
    <row r="173" spans="12:12" x14ac:dyDescent="0.3">
      <c r="L173" s="22">
        <v>45834</v>
      </c>
    </row>
    <row r="174" spans="12:12" x14ac:dyDescent="0.3">
      <c r="L174" s="19">
        <v>45833</v>
      </c>
    </row>
    <row r="175" spans="12:12" x14ac:dyDescent="0.3">
      <c r="L175" s="22">
        <v>45832</v>
      </c>
    </row>
    <row r="176" spans="12:12" x14ac:dyDescent="0.3">
      <c r="L176" s="19">
        <v>45831</v>
      </c>
    </row>
    <row r="177" spans="12:12" x14ac:dyDescent="0.3">
      <c r="L177" s="22">
        <v>45828</v>
      </c>
    </row>
    <row r="178" spans="12:12" x14ac:dyDescent="0.3">
      <c r="L178" s="19">
        <v>45827</v>
      </c>
    </row>
    <row r="179" spans="12:12" x14ac:dyDescent="0.3">
      <c r="L179" s="22">
        <v>45826</v>
      </c>
    </row>
    <row r="180" spans="12:12" x14ac:dyDescent="0.3">
      <c r="L180" s="19">
        <v>45825</v>
      </c>
    </row>
    <row r="181" spans="12:12" x14ac:dyDescent="0.3">
      <c r="L181" s="22">
        <v>45824</v>
      </c>
    </row>
    <row r="182" spans="12:12" x14ac:dyDescent="0.3">
      <c r="L182" s="19">
        <v>45821</v>
      </c>
    </row>
    <row r="183" spans="12:12" x14ac:dyDescent="0.3">
      <c r="L183" s="22">
        <v>45820</v>
      </c>
    </row>
    <row r="184" spans="12:12" x14ac:dyDescent="0.3">
      <c r="L184" s="19">
        <v>45819</v>
      </c>
    </row>
    <row r="185" spans="12:12" x14ac:dyDescent="0.3">
      <c r="L185" s="22">
        <v>45818</v>
      </c>
    </row>
    <row r="186" spans="12:12" x14ac:dyDescent="0.3">
      <c r="L186" s="19">
        <v>45817</v>
      </c>
    </row>
    <row r="187" spans="12:12" x14ac:dyDescent="0.3">
      <c r="L187" s="22">
        <v>45814</v>
      </c>
    </row>
    <row r="188" spans="12:12" x14ac:dyDescent="0.3">
      <c r="L188" s="19">
        <v>45813</v>
      </c>
    </row>
    <row r="189" spans="12:12" x14ac:dyDescent="0.3">
      <c r="L189" s="22">
        <v>45812</v>
      </c>
    </row>
    <row r="190" spans="12:12" x14ac:dyDescent="0.3">
      <c r="L190" s="19">
        <v>45811</v>
      </c>
    </row>
    <row r="191" spans="12:12" x14ac:dyDescent="0.3">
      <c r="L191" s="22">
        <v>45810</v>
      </c>
    </row>
    <row r="192" spans="12:12" x14ac:dyDescent="0.3">
      <c r="L192" s="19">
        <v>45807</v>
      </c>
    </row>
    <row r="193" spans="12:12" x14ac:dyDescent="0.3">
      <c r="L193" s="22">
        <v>45806</v>
      </c>
    </row>
    <row r="194" spans="12:12" x14ac:dyDescent="0.3">
      <c r="L194" s="19">
        <v>45805</v>
      </c>
    </row>
    <row r="195" spans="12:12" x14ac:dyDescent="0.3">
      <c r="L195" s="22">
        <v>45804</v>
      </c>
    </row>
    <row r="196" spans="12:12" x14ac:dyDescent="0.3">
      <c r="L196" s="19">
        <v>45803</v>
      </c>
    </row>
    <row r="197" spans="12:12" x14ac:dyDescent="0.3">
      <c r="L197" s="22">
        <v>45800</v>
      </c>
    </row>
    <row r="198" spans="12:12" x14ac:dyDescent="0.3">
      <c r="L198" s="19">
        <v>45799</v>
      </c>
    </row>
    <row r="199" spans="12:12" x14ac:dyDescent="0.3">
      <c r="L199" s="22">
        <v>45798</v>
      </c>
    </row>
    <row r="200" spans="12:12" x14ac:dyDescent="0.3">
      <c r="L200" s="19">
        <v>45797</v>
      </c>
    </row>
    <row r="201" spans="12:12" x14ac:dyDescent="0.3">
      <c r="L201" s="22">
        <v>45796</v>
      </c>
    </row>
    <row r="202" spans="12:12" x14ac:dyDescent="0.3">
      <c r="L202" s="19">
        <v>45793</v>
      </c>
    </row>
    <row r="203" spans="12:12" x14ac:dyDescent="0.3">
      <c r="L203" s="22">
        <v>45792</v>
      </c>
    </row>
    <row r="204" spans="12:12" x14ac:dyDescent="0.3">
      <c r="L204" s="19">
        <v>45791</v>
      </c>
    </row>
    <row r="205" spans="12:12" x14ac:dyDescent="0.3">
      <c r="L205" s="22">
        <v>45790</v>
      </c>
    </row>
    <row r="206" spans="12:12" x14ac:dyDescent="0.3">
      <c r="L206" s="19">
        <v>45789</v>
      </c>
    </row>
    <row r="207" spans="12:12" x14ac:dyDescent="0.3">
      <c r="L207" s="22">
        <v>45786</v>
      </c>
    </row>
    <row r="208" spans="12:12" x14ac:dyDescent="0.3">
      <c r="L208" s="19">
        <v>45785</v>
      </c>
    </row>
    <row r="209" spans="12:12" x14ac:dyDescent="0.3">
      <c r="L209" s="22">
        <v>45784</v>
      </c>
    </row>
    <row r="210" spans="12:12" x14ac:dyDescent="0.3">
      <c r="L210" s="19">
        <v>45783</v>
      </c>
    </row>
    <row r="211" spans="12:12" x14ac:dyDescent="0.3">
      <c r="L211" s="22">
        <v>45782</v>
      </c>
    </row>
    <row r="212" spans="12:12" x14ac:dyDescent="0.3">
      <c r="L212" s="19">
        <v>45779</v>
      </c>
    </row>
    <row r="213" spans="12:12" x14ac:dyDescent="0.3">
      <c r="L213" s="22">
        <v>45778</v>
      </c>
    </row>
    <row r="214" spans="12:12" x14ac:dyDescent="0.3">
      <c r="L214" s="19">
        <v>45777</v>
      </c>
    </row>
    <row r="215" spans="12:12" x14ac:dyDescent="0.3">
      <c r="L215" s="22">
        <v>45776</v>
      </c>
    </row>
    <row r="216" spans="12:12" x14ac:dyDescent="0.3">
      <c r="L216" s="19">
        <v>45775</v>
      </c>
    </row>
    <row r="217" spans="12:12" x14ac:dyDescent="0.3">
      <c r="L217" s="22">
        <v>45772</v>
      </c>
    </row>
    <row r="218" spans="12:12" x14ac:dyDescent="0.3">
      <c r="L218" s="19">
        <v>45771</v>
      </c>
    </row>
    <row r="219" spans="12:12" x14ac:dyDescent="0.3">
      <c r="L219" s="22">
        <v>45770</v>
      </c>
    </row>
    <row r="220" spans="12:12" x14ac:dyDescent="0.3">
      <c r="L220" s="19">
        <v>45769</v>
      </c>
    </row>
    <row r="221" spans="12:12" x14ac:dyDescent="0.3">
      <c r="L221" s="22">
        <v>45768</v>
      </c>
    </row>
    <row r="222" spans="12:12" x14ac:dyDescent="0.3">
      <c r="L222" s="19">
        <v>45765</v>
      </c>
    </row>
    <row r="223" spans="12:12" x14ac:dyDescent="0.3">
      <c r="L223" s="22">
        <v>45764</v>
      </c>
    </row>
    <row r="224" spans="12:12" x14ac:dyDescent="0.3">
      <c r="L224" s="19">
        <v>45763</v>
      </c>
    </row>
    <row r="225" spans="12:12" x14ac:dyDescent="0.3">
      <c r="L225" s="22">
        <v>45762</v>
      </c>
    </row>
    <row r="226" spans="12:12" x14ac:dyDescent="0.3">
      <c r="L226" s="19">
        <v>45761</v>
      </c>
    </row>
    <row r="227" spans="12:12" x14ac:dyDescent="0.3">
      <c r="L227" s="22">
        <v>45758</v>
      </c>
    </row>
    <row r="228" spans="12:12" x14ac:dyDescent="0.3">
      <c r="L228" s="19">
        <v>45757</v>
      </c>
    </row>
    <row r="229" spans="12:12" x14ac:dyDescent="0.3">
      <c r="L229" s="22">
        <v>45756</v>
      </c>
    </row>
    <row r="230" spans="12:12" x14ac:dyDescent="0.3">
      <c r="L230" s="19">
        <v>45755</v>
      </c>
    </row>
    <row r="231" spans="12:12" x14ac:dyDescent="0.3">
      <c r="L231" s="22">
        <v>45754</v>
      </c>
    </row>
    <row r="232" spans="12:12" x14ac:dyDescent="0.3">
      <c r="L232" s="19">
        <v>45751</v>
      </c>
    </row>
    <row r="233" spans="12:12" x14ac:dyDescent="0.3">
      <c r="L233" s="22">
        <v>45750</v>
      </c>
    </row>
    <row r="234" spans="12:12" x14ac:dyDescent="0.3">
      <c r="L234" s="19">
        <v>45749</v>
      </c>
    </row>
    <row r="235" spans="12:12" x14ac:dyDescent="0.3">
      <c r="L235" s="22">
        <v>45748</v>
      </c>
    </row>
    <row r="236" spans="12:12" x14ac:dyDescent="0.3">
      <c r="L236" s="19">
        <v>45747</v>
      </c>
    </row>
    <row r="237" spans="12:12" x14ac:dyDescent="0.3">
      <c r="L237" s="22">
        <v>45744</v>
      </c>
    </row>
    <row r="238" spans="12:12" x14ac:dyDescent="0.3">
      <c r="L238" s="19">
        <v>45743</v>
      </c>
    </row>
    <row r="239" spans="12:12" x14ac:dyDescent="0.3">
      <c r="L239" s="22">
        <v>45742</v>
      </c>
    </row>
    <row r="240" spans="12:12" x14ac:dyDescent="0.3">
      <c r="L240" s="19">
        <v>45741</v>
      </c>
    </row>
    <row r="241" spans="12:12" x14ac:dyDescent="0.3">
      <c r="L241" s="22">
        <v>45740</v>
      </c>
    </row>
    <row r="242" spans="12:12" x14ac:dyDescent="0.3">
      <c r="L242" s="19">
        <v>45737</v>
      </c>
    </row>
    <row r="243" spans="12:12" x14ac:dyDescent="0.3">
      <c r="L243" s="22">
        <v>45736</v>
      </c>
    </row>
    <row r="244" spans="12:12" x14ac:dyDescent="0.3">
      <c r="L244" s="19">
        <v>45735</v>
      </c>
    </row>
    <row r="245" spans="12:12" x14ac:dyDescent="0.3">
      <c r="L245" s="22">
        <v>45734</v>
      </c>
    </row>
    <row r="246" spans="12:12" x14ac:dyDescent="0.3">
      <c r="L246" s="19">
        <v>45733</v>
      </c>
    </row>
    <row r="247" spans="12:12" x14ac:dyDescent="0.3">
      <c r="L247" s="22">
        <v>45730</v>
      </c>
    </row>
    <row r="248" spans="12:12" x14ac:dyDescent="0.3">
      <c r="L248" s="19">
        <v>45729</v>
      </c>
    </row>
    <row r="249" spans="12:12" x14ac:dyDescent="0.3">
      <c r="L249" s="22">
        <v>45728</v>
      </c>
    </row>
    <row r="250" spans="12:12" x14ac:dyDescent="0.3">
      <c r="L250" s="19">
        <v>45727</v>
      </c>
    </row>
    <row r="251" spans="12:12" x14ac:dyDescent="0.3">
      <c r="L251" s="22">
        <v>45726</v>
      </c>
    </row>
    <row r="252" spans="12:12" x14ac:dyDescent="0.3">
      <c r="L252" s="19">
        <v>45723</v>
      </c>
    </row>
    <row r="253" spans="12:12" x14ac:dyDescent="0.3">
      <c r="L253" s="22">
        <v>45722</v>
      </c>
    </row>
    <row r="254" spans="12:12" x14ac:dyDescent="0.3">
      <c r="L254" s="19">
        <v>45721</v>
      </c>
    </row>
    <row r="255" spans="12:12" x14ac:dyDescent="0.3">
      <c r="L255" s="22">
        <v>45720</v>
      </c>
    </row>
    <row r="256" spans="12:12" x14ac:dyDescent="0.3">
      <c r="L256" s="19">
        <v>45719</v>
      </c>
    </row>
    <row r="257" spans="12:12" x14ac:dyDescent="0.3">
      <c r="L257" s="22">
        <v>45716</v>
      </c>
    </row>
    <row r="258" spans="12:12" x14ac:dyDescent="0.3">
      <c r="L258" s="19">
        <v>45715</v>
      </c>
    </row>
    <row r="259" spans="12:12" x14ac:dyDescent="0.3">
      <c r="L259" s="22">
        <v>45714</v>
      </c>
    </row>
    <row r="260" spans="12:12" x14ac:dyDescent="0.3">
      <c r="L260" s="19">
        <v>45713</v>
      </c>
    </row>
    <row r="261" spans="12:12" x14ac:dyDescent="0.3">
      <c r="L261" s="22">
        <v>45712</v>
      </c>
    </row>
    <row r="262" spans="12:12" x14ac:dyDescent="0.3">
      <c r="L262" s="19">
        <v>45709</v>
      </c>
    </row>
    <row r="263" spans="12:12" x14ac:dyDescent="0.3">
      <c r="L263" s="22">
        <v>45708</v>
      </c>
    </row>
    <row r="264" spans="12:12" x14ac:dyDescent="0.3">
      <c r="L264" s="19">
        <v>45707</v>
      </c>
    </row>
    <row r="265" spans="12:12" x14ac:dyDescent="0.3">
      <c r="L265" s="22">
        <v>45706</v>
      </c>
    </row>
    <row r="266" spans="12:12" x14ac:dyDescent="0.3">
      <c r="L266" s="19">
        <v>45705</v>
      </c>
    </row>
    <row r="267" spans="12:12" x14ac:dyDescent="0.3">
      <c r="L267" s="22">
        <v>45702</v>
      </c>
    </row>
    <row r="268" spans="12:12" x14ac:dyDescent="0.3">
      <c r="L268" s="19">
        <v>45701</v>
      </c>
    </row>
    <row r="269" spans="12:12" x14ac:dyDescent="0.3">
      <c r="L269" s="22">
        <v>45700</v>
      </c>
    </row>
    <row r="270" spans="12:12" x14ac:dyDescent="0.3">
      <c r="L270" s="19">
        <v>45699</v>
      </c>
    </row>
    <row r="271" spans="12:12" x14ac:dyDescent="0.3">
      <c r="L271" s="22">
        <v>45698</v>
      </c>
    </row>
    <row r="272" spans="12:12" x14ac:dyDescent="0.3">
      <c r="L272" s="19">
        <v>45695</v>
      </c>
    </row>
    <row r="273" spans="12:12" x14ac:dyDescent="0.3">
      <c r="L273" s="22">
        <v>45694</v>
      </c>
    </row>
    <row r="274" spans="12:12" x14ac:dyDescent="0.3">
      <c r="L274" s="19">
        <v>45693</v>
      </c>
    </row>
    <row r="275" spans="12:12" x14ac:dyDescent="0.3">
      <c r="L275" s="22">
        <v>45692</v>
      </c>
    </row>
    <row r="276" spans="12:12" x14ac:dyDescent="0.3">
      <c r="L276" s="19">
        <v>45691</v>
      </c>
    </row>
    <row r="277" spans="12:12" x14ac:dyDescent="0.3">
      <c r="L277" s="22">
        <v>45688</v>
      </c>
    </row>
    <row r="278" spans="12:12" x14ac:dyDescent="0.3">
      <c r="L278" s="19">
        <v>45687</v>
      </c>
    </row>
    <row r="279" spans="12:12" x14ac:dyDescent="0.3">
      <c r="L279" s="22">
        <v>45686</v>
      </c>
    </row>
    <row r="280" spans="12:12" x14ac:dyDescent="0.3">
      <c r="L280" s="19">
        <v>45685</v>
      </c>
    </row>
    <row r="281" spans="12:12" x14ac:dyDescent="0.3">
      <c r="L281" s="22">
        <v>45684</v>
      </c>
    </row>
    <row r="282" spans="12:12" x14ac:dyDescent="0.3">
      <c r="L282" s="19">
        <v>45681</v>
      </c>
    </row>
    <row r="283" spans="12:12" x14ac:dyDescent="0.3">
      <c r="L283" s="22">
        <v>45680</v>
      </c>
    </row>
    <row r="284" spans="12:12" x14ac:dyDescent="0.3">
      <c r="L284" s="19">
        <v>45679</v>
      </c>
    </row>
    <row r="285" spans="12:12" x14ac:dyDescent="0.3">
      <c r="L285" s="22">
        <v>45678</v>
      </c>
    </row>
    <row r="286" spans="12:12" x14ac:dyDescent="0.3">
      <c r="L286" s="19">
        <v>45677</v>
      </c>
    </row>
    <row r="287" spans="12:12" x14ac:dyDescent="0.3">
      <c r="L287" s="22">
        <v>45674</v>
      </c>
    </row>
    <row r="288" spans="12:12" x14ac:dyDescent="0.3">
      <c r="L288" s="19">
        <v>45673</v>
      </c>
    </row>
    <row r="289" spans="12:12" x14ac:dyDescent="0.3">
      <c r="L289" s="22">
        <v>45672</v>
      </c>
    </row>
    <row r="290" spans="12:12" x14ac:dyDescent="0.3">
      <c r="L290" s="19">
        <v>45671</v>
      </c>
    </row>
    <row r="291" spans="12:12" x14ac:dyDescent="0.3">
      <c r="L291" s="22">
        <v>45670</v>
      </c>
    </row>
    <row r="292" spans="12:12" x14ac:dyDescent="0.3">
      <c r="L292" s="19">
        <v>45667</v>
      </c>
    </row>
    <row r="293" spans="12:12" x14ac:dyDescent="0.3">
      <c r="L293" s="22">
        <v>45666</v>
      </c>
    </row>
    <row r="294" spans="12:12" x14ac:dyDescent="0.3">
      <c r="L294" s="19">
        <v>45665</v>
      </c>
    </row>
    <row r="295" spans="12:12" x14ac:dyDescent="0.3">
      <c r="L295" s="22">
        <v>45664</v>
      </c>
    </row>
    <row r="296" spans="12:12" x14ac:dyDescent="0.3">
      <c r="L296" s="19">
        <v>45663</v>
      </c>
    </row>
    <row r="297" spans="12:12" x14ac:dyDescent="0.3">
      <c r="L297" s="22">
        <v>45660</v>
      </c>
    </row>
    <row r="298" spans="12:12" x14ac:dyDescent="0.3">
      <c r="L298" s="19">
        <v>45659</v>
      </c>
    </row>
    <row r="299" spans="12:12" x14ac:dyDescent="0.3">
      <c r="L299" s="22">
        <v>45658</v>
      </c>
    </row>
    <row r="300" spans="12:12" x14ac:dyDescent="0.3">
      <c r="L300" s="19">
        <v>45657</v>
      </c>
    </row>
    <row r="301" spans="12:12" x14ac:dyDescent="0.3">
      <c r="L301" s="22">
        <v>45656</v>
      </c>
    </row>
    <row r="302" spans="12:12" x14ac:dyDescent="0.3">
      <c r="L302" s="19">
        <v>45653</v>
      </c>
    </row>
    <row r="303" spans="12:12" x14ac:dyDescent="0.3">
      <c r="L303" s="22">
        <v>45652</v>
      </c>
    </row>
    <row r="304" spans="12:12" x14ac:dyDescent="0.3">
      <c r="L304" s="19">
        <v>45651</v>
      </c>
    </row>
    <row r="305" spans="12:12" x14ac:dyDescent="0.3">
      <c r="L305" s="22">
        <v>45650</v>
      </c>
    </row>
    <row r="306" spans="12:12" x14ac:dyDescent="0.3">
      <c r="L306" s="19">
        <v>45649</v>
      </c>
    </row>
    <row r="307" spans="12:12" x14ac:dyDescent="0.3">
      <c r="L307" s="22">
        <v>45646</v>
      </c>
    </row>
    <row r="308" spans="12:12" x14ac:dyDescent="0.3">
      <c r="L308" s="19">
        <v>45645</v>
      </c>
    </row>
    <row r="309" spans="12:12" x14ac:dyDescent="0.3">
      <c r="L309" s="22">
        <v>45644</v>
      </c>
    </row>
    <row r="310" spans="12:12" x14ac:dyDescent="0.3">
      <c r="L310" s="19">
        <v>45643</v>
      </c>
    </row>
    <row r="311" spans="12:12" x14ac:dyDescent="0.3">
      <c r="L311" s="22">
        <v>45642</v>
      </c>
    </row>
    <row r="312" spans="12:12" x14ac:dyDescent="0.3">
      <c r="L312" s="19">
        <v>45639</v>
      </c>
    </row>
    <row r="313" spans="12:12" x14ac:dyDescent="0.3">
      <c r="L313" s="22">
        <v>45638</v>
      </c>
    </row>
    <row r="314" spans="12:12" x14ac:dyDescent="0.3">
      <c r="L314" s="19">
        <v>45637</v>
      </c>
    </row>
    <row r="315" spans="12:12" x14ac:dyDescent="0.3">
      <c r="L315" s="22">
        <v>45636</v>
      </c>
    </row>
    <row r="316" spans="12:12" x14ac:dyDescent="0.3">
      <c r="L316" s="19">
        <v>45635</v>
      </c>
    </row>
    <row r="317" spans="12:12" x14ac:dyDescent="0.3">
      <c r="L317" s="22">
        <v>45632</v>
      </c>
    </row>
    <row r="318" spans="12:12" x14ac:dyDescent="0.3">
      <c r="L318" s="19">
        <v>45631</v>
      </c>
    </row>
    <row r="319" spans="12:12" x14ac:dyDescent="0.3">
      <c r="L319" s="22">
        <v>45630</v>
      </c>
    </row>
    <row r="320" spans="12:12" x14ac:dyDescent="0.3">
      <c r="L320" s="19">
        <v>45629</v>
      </c>
    </row>
    <row r="321" spans="12:12" x14ac:dyDescent="0.3">
      <c r="L321" s="22">
        <v>45628</v>
      </c>
    </row>
    <row r="322" spans="12:12" x14ac:dyDescent="0.3">
      <c r="L322" s="19">
        <v>45625</v>
      </c>
    </row>
    <row r="323" spans="12:12" x14ac:dyDescent="0.3">
      <c r="L323" s="22">
        <v>45624</v>
      </c>
    </row>
    <row r="324" spans="12:12" x14ac:dyDescent="0.3">
      <c r="L324" s="19">
        <v>45623</v>
      </c>
    </row>
    <row r="325" spans="12:12" x14ac:dyDescent="0.3">
      <c r="L325" s="22">
        <v>45622</v>
      </c>
    </row>
    <row r="326" spans="12:12" x14ac:dyDescent="0.3">
      <c r="L326" s="19">
        <v>45621</v>
      </c>
    </row>
    <row r="327" spans="12:12" x14ac:dyDescent="0.3">
      <c r="L327" s="22">
        <v>45618</v>
      </c>
    </row>
    <row r="328" spans="12:12" x14ac:dyDescent="0.3">
      <c r="L328" s="19">
        <v>45617</v>
      </c>
    </row>
    <row r="329" spans="12:12" x14ac:dyDescent="0.3">
      <c r="L329" s="22">
        <v>45616</v>
      </c>
    </row>
    <row r="330" spans="12:12" x14ac:dyDescent="0.3">
      <c r="L330" s="19">
        <v>45615</v>
      </c>
    </row>
    <row r="331" spans="12:12" x14ac:dyDescent="0.3">
      <c r="L331" s="22">
        <v>45614</v>
      </c>
    </row>
    <row r="332" spans="12:12" x14ac:dyDescent="0.3">
      <c r="L332" s="19">
        <v>45611</v>
      </c>
    </row>
    <row r="333" spans="12:12" x14ac:dyDescent="0.3">
      <c r="L333" s="22">
        <v>45610</v>
      </c>
    </row>
    <row r="334" spans="12:12" x14ac:dyDescent="0.3">
      <c r="L334" s="19">
        <v>45609</v>
      </c>
    </row>
    <row r="335" spans="12:12" x14ac:dyDescent="0.3">
      <c r="L335" s="22">
        <v>45608</v>
      </c>
    </row>
    <row r="336" spans="12:12" x14ac:dyDescent="0.3">
      <c r="L336" s="19">
        <v>45607</v>
      </c>
    </row>
    <row r="337" spans="12:12" x14ac:dyDescent="0.3">
      <c r="L337" s="22">
        <v>45604</v>
      </c>
    </row>
    <row r="338" spans="12:12" x14ac:dyDescent="0.3">
      <c r="L338" s="19">
        <v>45603</v>
      </c>
    </row>
    <row r="339" spans="12:12" x14ac:dyDescent="0.3">
      <c r="L339" s="22">
        <v>45602</v>
      </c>
    </row>
    <row r="340" spans="12:12" x14ac:dyDescent="0.3">
      <c r="L340" s="19">
        <v>45601</v>
      </c>
    </row>
    <row r="341" spans="12:12" x14ac:dyDescent="0.3">
      <c r="L341" s="22">
        <v>45600</v>
      </c>
    </row>
    <row r="342" spans="12:12" x14ac:dyDescent="0.3">
      <c r="L342" s="19">
        <v>45597</v>
      </c>
    </row>
    <row r="343" spans="12:12" x14ac:dyDescent="0.3">
      <c r="L343" s="22">
        <v>45596</v>
      </c>
    </row>
    <row r="344" spans="12:12" x14ac:dyDescent="0.3">
      <c r="L344" s="19">
        <v>45595</v>
      </c>
    </row>
    <row r="345" spans="12:12" x14ac:dyDescent="0.3">
      <c r="L345" s="22">
        <v>45594</v>
      </c>
    </row>
    <row r="346" spans="12:12" x14ac:dyDescent="0.3">
      <c r="L346" s="19">
        <v>45593</v>
      </c>
    </row>
    <row r="347" spans="12:12" x14ac:dyDescent="0.3">
      <c r="L347" s="22">
        <v>45590</v>
      </c>
    </row>
    <row r="348" spans="12:12" x14ac:dyDescent="0.3">
      <c r="L348" s="19">
        <v>45589</v>
      </c>
    </row>
    <row r="349" spans="12:12" x14ac:dyDescent="0.3">
      <c r="L349" s="22">
        <v>45588</v>
      </c>
    </row>
    <row r="350" spans="12:12" x14ac:dyDescent="0.3">
      <c r="L350" s="19">
        <v>45587</v>
      </c>
    </row>
    <row r="351" spans="12:12" x14ac:dyDescent="0.3">
      <c r="L351" s="22">
        <v>45586</v>
      </c>
    </row>
    <row r="352" spans="12:12" x14ac:dyDescent="0.3">
      <c r="L352" s="19">
        <v>45583</v>
      </c>
    </row>
    <row r="353" spans="12:12" x14ac:dyDescent="0.3">
      <c r="L353" s="22">
        <v>45582</v>
      </c>
    </row>
    <row r="354" spans="12:12" x14ac:dyDescent="0.3">
      <c r="L354" s="19">
        <v>45581</v>
      </c>
    </row>
    <row r="355" spans="12:12" x14ac:dyDescent="0.3">
      <c r="L355" s="22">
        <v>45580</v>
      </c>
    </row>
    <row r="356" spans="12:12" x14ac:dyDescent="0.3">
      <c r="L356" s="19">
        <v>45579</v>
      </c>
    </row>
    <row r="357" spans="12:12" x14ac:dyDescent="0.3">
      <c r="L357" s="22">
        <v>45576</v>
      </c>
    </row>
    <row r="358" spans="12:12" x14ac:dyDescent="0.3">
      <c r="L358" s="19">
        <v>45575</v>
      </c>
    </row>
    <row r="359" spans="12:12" x14ac:dyDescent="0.3">
      <c r="L359" s="22">
        <v>45574</v>
      </c>
    </row>
    <row r="360" spans="12:12" x14ac:dyDescent="0.3">
      <c r="L360" s="19">
        <v>45573</v>
      </c>
    </row>
    <row r="361" spans="12:12" x14ac:dyDescent="0.3">
      <c r="L361" s="22">
        <v>45572</v>
      </c>
    </row>
    <row r="362" spans="12:12" x14ac:dyDescent="0.3">
      <c r="L362" s="19">
        <v>45569</v>
      </c>
    </row>
    <row r="363" spans="12:12" x14ac:dyDescent="0.3">
      <c r="L363" s="22">
        <v>45568</v>
      </c>
    </row>
    <row r="364" spans="12:12" x14ac:dyDescent="0.3">
      <c r="L364" s="19">
        <v>45567</v>
      </c>
    </row>
    <row r="365" spans="12:12" x14ac:dyDescent="0.3">
      <c r="L365" s="22">
        <v>45566</v>
      </c>
    </row>
    <row r="366" spans="12:12" x14ac:dyDescent="0.3">
      <c r="L366" s="19">
        <v>45565</v>
      </c>
    </row>
    <row r="367" spans="12:12" x14ac:dyDescent="0.3">
      <c r="L367" s="22">
        <v>45562</v>
      </c>
    </row>
    <row r="368" spans="12:12" x14ac:dyDescent="0.3">
      <c r="L368" s="19">
        <v>45561</v>
      </c>
    </row>
    <row r="369" spans="12:12" x14ac:dyDescent="0.3">
      <c r="L369" s="22">
        <v>45560</v>
      </c>
    </row>
    <row r="370" spans="12:12" x14ac:dyDescent="0.3">
      <c r="L370" s="19">
        <v>45559</v>
      </c>
    </row>
    <row r="371" spans="12:12" x14ac:dyDescent="0.3">
      <c r="L371" s="22">
        <v>45558</v>
      </c>
    </row>
    <row r="372" spans="12:12" x14ac:dyDescent="0.3">
      <c r="L372" s="19">
        <v>45555</v>
      </c>
    </row>
    <row r="373" spans="12:12" x14ac:dyDescent="0.3">
      <c r="L373" s="22">
        <v>45554</v>
      </c>
    </row>
    <row r="374" spans="12:12" x14ac:dyDescent="0.3">
      <c r="L374" s="19">
        <v>45553</v>
      </c>
    </row>
    <row r="375" spans="12:12" x14ac:dyDescent="0.3">
      <c r="L375" s="22">
        <v>45552</v>
      </c>
    </row>
    <row r="376" spans="12:12" x14ac:dyDescent="0.3">
      <c r="L376" s="19">
        <v>45551</v>
      </c>
    </row>
    <row r="377" spans="12:12" x14ac:dyDescent="0.3">
      <c r="L377" s="22">
        <v>45548</v>
      </c>
    </row>
    <row r="378" spans="12:12" x14ac:dyDescent="0.3">
      <c r="L378" s="19">
        <v>45547</v>
      </c>
    </row>
    <row r="379" spans="12:12" x14ac:dyDescent="0.3">
      <c r="L379" s="22">
        <v>45546</v>
      </c>
    </row>
    <row r="380" spans="12:12" x14ac:dyDescent="0.3">
      <c r="L380" s="19">
        <v>45545</v>
      </c>
    </row>
    <row r="381" spans="12:12" x14ac:dyDescent="0.3">
      <c r="L381" s="22">
        <v>45544</v>
      </c>
    </row>
    <row r="382" spans="12:12" x14ac:dyDescent="0.3">
      <c r="L382" s="19">
        <v>45541</v>
      </c>
    </row>
    <row r="383" spans="12:12" x14ac:dyDescent="0.3">
      <c r="L383" s="22">
        <v>45540</v>
      </c>
    </row>
    <row r="384" spans="12:12" x14ac:dyDescent="0.3">
      <c r="L384" s="19">
        <v>45539</v>
      </c>
    </row>
    <row r="385" spans="12:12" x14ac:dyDescent="0.3">
      <c r="L385" s="22">
        <v>45538</v>
      </c>
    </row>
    <row r="386" spans="12:12" x14ac:dyDescent="0.3">
      <c r="L386" s="19">
        <v>45537</v>
      </c>
    </row>
    <row r="387" spans="12:12" x14ac:dyDescent="0.3">
      <c r="L387" s="22">
        <v>45534</v>
      </c>
    </row>
    <row r="388" spans="12:12" x14ac:dyDescent="0.3">
      <c r="L388" s="19">
        <v>45533</v>
      </c>
    </row>
    <row r="389" spans="12:12" x14ac:dyDescent="0.3">
      <c r="L389" s="22">
        <v>45532</v>
      </c>
    </row>
    <row r="390" spans="12:12" x14ac:dyDescent="0.3">
      <c r="L390" s="19">
        <v>45531</v>
      </c>
    </row>
    <row r="391" spans="12:12" x14ac:dyDescent="0.3">
      <c r="L391" s="22">
        <v>45530</v>
      </c>
    </row>
    <row r="392" spans="12:12" x14ac:dyDescent="0.3">
      <c r="L392" s="19">
        <v>45527</v>
      </c>
    </row>
    <row r="393" spans="12:12" x14ac:dyDescent="0.3">
      <c r="L393" s="22">
        <v>45526</v>
      </c>
    </row>
    <row r="394" spans="12:12" x14ac:dyDescent="0.3">
      <c r="L394" s="19">
        <v>45525</v>
      </c>
    </row>
    <row r="395" spans="12:12" x14ac:dyDescent="0.3">
      <c r="L395" s="22">
        <v>45524</v>
      </c>
    </row>
    <row r="396" spans="12:12" x14ac:dyDescent="0.3">
      <c r="L396" s="19">
        <v>45523</v>
      </c>
    </row>
    <row r="397" spans="12:12" x14ac:dyDescent="0.3">
      <c r="L397" s="22">
        <v>45520</v>
      </c>
    </row>
    <row r="398" spans="12:12" x14ac:dyDescent="0.3">
      <c r="L398" s="19">
        <v>45519</v>
      </c>
    </row>
    <row r="399" spans="12:12" x14ac:dyDescent="0.3">
      <c r="L399" s="22">
        <v>45518</v>
      </c>
    </row>
    <row r="400" spans="12:12" x14ac:dyDescent="0.3">
      <c r="L400" s="19">
        <v>45517</v>
      </c>
    </row>
    <row r="401" spans="12:12" x14ac:dyDescent="0.3">
      <c r="L401" s="22">
        <v>45516</v>
      </c>
    </row>
    <row r="402" spans="12:12" x14ac:dyDescent="0.3">
      <c r="L402" s="19">
        <v>45513</v>
      </c>
    </row>
    <row r="403" spans="12:12" x14ac:dyDescent="0.3">
      <c r="L403" s="22">
        <v>45512</v>
      </c>
    </row>
    <row r="404" spans="12:12" x14ac:dyDescent="0.3">
      <c r="L404" s="19">
        <v>45511</v>
      </c>
    </row>
    <row r="405" spans="12:12" x14ac:dyDescent="0.3">
      <c r="L405" s="22">
        <v>45510</v>
      </c>
    </row>
    <row r="406" spans="12:12" x14ac:dyDescent="0.3">
      <c r="L406" s="19">
        <v>45509</v>
      </c>
    </row>
    <row r="407" spans="12:12" x14ac:dyDescent="0.3">
      <c r="L407" s="22">
        <v>45506</v>
      </c>
    </row>
    <row r="408" spans="12:12" x14ac:dyDescent="0.3">
      <c r="L408" s="19">
        <v>45505</v>
      </c>
    </row>
    <row r="409" spans="12:12" x14ac:dyDescent="0.3">
      <c r="L409" s="22">
        <v>45504</v>
      </c>
    </row>
    <row r="410" spans="12:12" x14ac:dyDescent="0.3">
      <c r="L410" s="19">
        <v>45503</v>
      </c>
    </row>
    <row r="411" spans="12:12" x14ac:dyDescent="0.3">
      <c r="L411" s="22">
        <v>45502</v>
      </c>
    </row>
    <row r="412" spans="12:12" x14ac:dyDescent="0.3">
      <c r="L412" s="19">
        <v>45499</v>
      </c>
    </row>
    <row r="413" spans="12:12" x14ac:dyDescent="0.3">
      <c r="L413" s="22">
        <v>45498</v>
      </c>
    </row>
    <row r="414" spans="12:12" x14ac:dyDescent="0.3">
      <c r="L414" s="19">
        <v>45497</v>
      </c>
    </row>
    <row r="415" spans="12:12" x14ac:dyDescent="0.3">
      <c r="L415" s="22">
        <v>45496</v>
      </c>
    </row>
    <row r="416" spans="12:12" x14ac:dyDescent="0.3">
      <c r="L416" s="19">
        <v>45495</v>
      </c>
    </row>
    <row r="417" spans="12:12" x14ac:dyDescent="0.3">
      <c r="L417" s="22">
        <v>45492</v>
      </c>
    </row>
    <row r="418" spans="12:12" x14ac:dyDescent="0.3">
      <c r="L418" s="19">
        <v>45491</v>
      </c>
    </row>
    <row r="419" spans="12:12" x14ac:dyDescent="0.3">
      <c r="L419" s="22">
        <v>45490</v>
      </c>
    </row>
    <row r="420" spans="12:12" x14ac:dyDescent="0.3">
      <c r="L420" s="19">
        <v>45489</v>
      </c>
    </row>
    <row r="421" spans="12:12" x14ac:dyDescent="0.3">
      <c r="L421" s="22">
        <v>45488</v>
      </c>
    </row>
    <row r="422" spans="12:12" x14ac:dyDescent="0.3">
      <c r="L422" s="19">
        <v>45485</v>
      </c>
    </row>
    <row r="423" spans="12:12" x14ac:dyDescent="0.3">
      <c r="L423" s="22">
        <v>45484</v>
      </c>
    </row>
    <row r="424" spans="12:12" x14ac:dyDescent="0.3">
      <c r="L424" s="19">
        <v>45483</v>
      </c>
    </row>
    <row r="425" spans="12:12" x14ac:dyDescent="0.3">
      <c r="L425" s="22">
        <v>45482</v>
      </c>
    </row>
    <row r="426" spans="12:12" x14ac:dyDescent="0.3">
      <c r="L426" s="19">
        <v>45481</v>
      </c>
    </row>
    <row r="427" spans="12:12" x14ac:dyDescent="0.3">
      <c r="L427" s="22">
        <v>45478</v>
      </c>
    </row>
    <row r="428" spans="12:12" x14ac:dyDescent="0.3">
      <c r="L428" s="19">
        <v>45477</v>
      </c>
    </row>
    <row r="429" spans="12:12" x14ac:dyDescent="0.3">
      <c r="L429" s="22">
        <v>45476</v>
      </c>
    </row>
    <row r="430" spans="12:12" x14ac:dyDescent="0.3">
      <c r="L430" s="19">
        <v>45475</v>
      </c>
    </row>
    <row r="431" spans="12:12" x14ac:dyDescent="0.3">
      <c r="L431" s="22">
        <v>45474</v>
      </c>
    </row>
    <row r="432" spans="12:12" x14ac:dyDescent="0.3">
      <c r="L432" s="19">
        <v>45471</v>
      </c>
    </row>
    <row r="433" spans="12:12" x14ac:dyDescent="0.3">
      <c r="L433" s="22">
        <v>45470</v>
      </c>
    </row>
    <row r="434" spans="12:12" x14ac:dyDescent="0.3">
      <c r="L434" s="19">
        <v>45469</v>
      </c>
    </row>
    <row r="435" spans="12:12" x14ac:dyDescent="0.3">
      <c r="L435" s="22">
        <v>45468</v>
      </c>
    </row>
    <row r="436" spans="12:12" x14ac:dyDescent="0.3">
      <c r="L436" s="19">
        <v>45467</v>
      </c>
    </row>
    <row r="437" spans="12:12" x14ac:dyDescent="0.3">
      <c r="L437" s="22">
        <v>45464</v>
      </c>
    </row>
    <row r="438" spans="12:12" x14ac:dyDescent="0.3">
      <c r="L438" s="19">
        <v>45463</v>
      </c>
    </row>
    <row r="439" spans="12:12" x14ac:dyDescent="0.3">
      <c r="L439" s="22">
        <v>45462</v>
      </c>
    </row>
    <row r="440" spans="12:12" x14ac:dyDescent="0.3">
      <c r="L440" s="19">
        <v>45461</v>
      </c>
    </row>
    <row r="441" spans="12:12" x14ac:dyDescent="0.3">
      <c r="L441" s="22">
        <v>45460</v>
      </c>
    </row>
    <row r="442" spans="12:12" x14ac:dyDescent="0.3">
      <c r="L442" s="19">
        <v>45457</v>
      </c>
    </row>
    <row r="443" spans="12:12" x14ac:dyDescent="0.3">
      <c r="L443" s="22">
        <v>45456</v>
      </c>
    </row>
    <row r="444" spans="12:12" x14ac:dyDescent="0.3">
      <c r="L444" s="19">
        <v>45455</v>
      </c>
    </row>
    <row r="445" spans="12:12" x14ac:dyDescent="0.3">
      <c r="L445" s="22">
        <v>45454</v>
      </c>
    </row>
    <row r="446" spans="12:12" x14ac:dyDescent="0.3">
      <c r="L446" s="19">
        <v>45453</v>
      </c>
    </row>
    <row r="447" spans="12:12" x14ac:dyDescent="0.3">
      <c r="L447" s="22">
        <v>45450</v>
      </c>
    </row>
    <row r="448" spans="12:12" x14ac:dyDescent="0.3">
      <c r="L448" s="19">
        <v>45449</v>
      </c>
    </row>
    <row r="449" spans="12:12" x14ac:dyDescent="0.3">
      <c r="L449" s="22">
        <v>45448</v>
      </c>
    </row>
    <row r="450" spans="12:12" x14ac:dyDescent="0.3">
      <c r="L450" s="19">
        <v>45447</v>
      </c>
    </row>
    <row r="451" spans="12:12" x14ac:dyDescent="0.3">
      <c r="L451" s="22">
        <v>45446</v>
      </c>
    </row>
    <row r="452" spans="12:12" x14ac:dyDescent="0.3">
      <c r="L452" s="19">
        <v>45443</v>
      </c>
    </row>
    <row r="453" spans="12:12" x14ac:dyDescent="0.3">
      <c r="L453" s="22">
        <v>45442</v>
      </c>
    </row>
    <row r="454" spans="12:12" x14ac:dyDescent="0.3">
      <c r="L454" s="19">
        <v>45441</v>
      </c>
    </row>
    <row r="455" spans="12:12" x14ac:dyDescent="0.3">
      <c r="L455" s="22">
        <v>45440</v>
      </c>
    </row>
    <row r="456" spans="12:12" x14ac:dyDescent="0.3">
      <c r="L456" s="19">
        <v>45439</v>
      </c>
    </row>
    <row r="457" spans="12:12" x14ac:dyDescent="0.3">
      <c r="L457" s="22">
        <v>45436</v>
      </c>
    </row>
    <row r="458" spans="12:12" x14ac:dyDescent="0.3">
      <c r="L458" s="19">
        <v>45435</v>
      </c>
    </row>
    <row r="459" spans="12:12" x14ac:dyDescent="0.3">
      <c r="L459" s="22">
        <v>45434</v>
      </c>
    </row>
    <row r="460" spans="12:12" x14ac:dyDescent="0.3">
      <c r="L460" s="19">
        <v>45433</v>
      </c>
    </row>
    <row r="461" spans="12:12" x14ac:dyDescent="0.3">
      <c r="L461" s="22">
        <v>45432</v>
      </c>
    </row>
    <row r="462" spans="12:12" x14ac:dyDescent="0.3">
      <c r="L462" s="19">
        <v>45429</v>
      </c>
    </row>
    <row r="463" spans="12:12" x14ac:dyDescent="0.3">
      <c r="L463" s="22">
        <v>45428</v>
      </c>
    </row>
    <row r="464" spans="12:12" x14ac:dyDescent="0.3">
      <c r="L464" s="19">
        <v>45427</v>
      </c>
    </row>
    <row r="465" spans="12:12" x14ac:dyDescent="0.3">
      <c r="L465" s="22">
        <v>45426</v>
      </c>
    </row>
    <row r="466" spans="12:12" x14ac:dyDescent="0.3">
      <c r="L466" s="19">
        <v>45425</v>
      </c>
    </row>
    <row r="467" spans="12:12" x14ac:dyDescent="0.3">
      <c r="L467" s="22">
        <v>45422</v>
      </c>
    </row>
    <row r="468" spans="12:12" x14ac:dyDescent="0.3">
      <c r="L468" s="19">
        <v>45421</v>
      </c>
    </row>
    <row r="469" spans="12:12" x14ac:dyDescent="0.3">
      <c r="L469" s="22">
        <v>45420</v>
      </c>
    </row>
    <row r="470" spans="12:12" x14ac:dyDescent="0.3">
      <c r="L470" s="19">
        <v>45419</v>
      </c>
    </row>
    <row r="471" spans="12:12" x14ac:dyDescent="0.3">
      <c r="L471" s="22">
        <v>45418</v>
      </c>
    </row>
    <row r="472" spans="12:12" x14ac:dyDescent="0.3">
      <c r="L472" s="19">
        <v>45415</v>
      </c>
    </row>
    <row r="473" spans="12:12" x14ac:dyDescent="0.3">
      <c r="L473" s="22">
        <v>45414</v>
      </c>
    </row>
    <row r="474" spans="12:12" x14ac:dyDescent="0.3">
      <c r="L474" s="19">
        <v>45413</v>
      </c>
    </row>
    <row r="475" spans="12:12" x14ac:dyDescent="0.3">
      <c r="L475" s="22">
        <v>45412</v>
      </c>
    </row>
    <row r="476" spans="12:12" x14ac:dyDescent="0.3">
      <c r="L476" s="19">
        <v>45411</v>
      </c>
    </row>
    <row r="477" spans="12:12" x14ac:dyDescent="0.3">
      <c r="L477" s="22">
        <v>45408</v>
      </c>
    </row>
    <row r="478" spans="12:12" x14ac:dyDescent="0.3">
      <c r="L478" s="19">
        <v>45407</v>
      </c>
    </row>
    <row r="479" spans="12:12" x14ac:dyDescent="0.3">
      <c r="L479" s="22">
        <v>45406</v>
      </c>
    </row>
    <row r="480" spans="12:12" x14ac:dyDescent="0.3">
      <c r="L480" s="19">
        <v>45405</v>
      </c>
    </row>
    <row r="481" spans="12:12" x14ac:dyDescent="0.3">
      <c r="L481" s="22">
        <v>45404</v>
      </c>
    </row>
    <row r="482" spans="12:12" x14ac:dyDescent="0.3">
      <c r="L482" s="19">
        <v>45401</v>
      </c>
    </row>
    <row r="483" spans="12:12" x14ac:dyDescent="0.3">
      <c r="L483" s="22">
        <v>45400</v>
      </c>
    </row>
    <row r="484" spans="12:12" x14ac:dyDescent="0.3">
      <c r="L484" s="19">
        <v>45399</v>
      </c>
    </row>
    <row r="485" spans="12:12" x14ac:dyDescent="0.3">
      <c r="L485" s="22">
        <v>45398</v>
      </c>
    </row>
    <row r="486" spans="12:12" x14ac:dyDescent="0.3">
      <c r="L486" s="19">
        <v>45397</v>
      </c>
    </row>
    <row r="487" spans="12:12" x14ac:dyDescent="0.3">
      <c r="L487" s="22">
        <v>45394</v>
      </c>
    </row>
    <row r="488" spans="12:12" x14ac:dyDescent="0.3">
      <c r="L488" s="19">
        <v>45393</v>
      </c>
    </row>
    <row r="489" spans="12:12" x14ac:dyDescent="0.3">
      <c r="L489" s="22">
        <v>45392</v>
      </c>
    </row>
    <row r="490" spans="12:12" x14ac:dyDescent="0.3">
      <c r="L490" s="19">
        <v>45391</v>
      </c>
    </row>
    <row r="491" spans="12:12" x14ac:dyDescent="0.3">
      <c r="L491" s="22">
        <v>45390</v>
      </c>
    </row>
    <row r="492" spans="12:12" x14ac:dyDescent="0.3">
      <c r="L492" s="19">
        <v>45387</v>
      </c>
    </row>
    <row r="493" spans="12:12" x14ac:dyDescent="0.3">
      <c r="L493" s="22">
        <v>45386</v>
      </c>
    </row>
    <row r="494" spans="12:12" x14ac:dyDescent="0.3">
      <c r="L494" s="19">
        <v>45385</v>
      </c>
    </row>
    <row r="495" spans="12:12" x14ac:dyDescent="0.3">
      <c r="L495" s="22">
        <v>45384</v>
      </c>
    </row>
    <row r="496" spans="12:12" x14ac:dyDescent="0.3">
      <c r="L496" s="19">
        <v>45383</v>
      </c>
    </row>
    <row r="497" spans="12:12" x14ac:dyDescent="0.3">
      <c r="L497" s="22">
        <v>45380</v>
      </c>
    </row>
    <row r="498" spans="12:12" x14ac:dyDescent="0.3">
      <c r="L498" s="19">
        <v>45379</v>
      </c>
    </row>
    <row r="499" spans="12:12" x14ac:dyDescent="0.3">
      <c r="L499" s="22">
        <v>45378</v>
      </c>
    </row>
    <row r="500" spans="12:12" x14ac:dyDescent="0.3">
      <c r="L500" s="19">
        <v>45377</v>
      </c>
    </row>
    <row r="501" spans="12:12" x14ac:dyDescent="0.3">
      <c r="L501" s="22">
        <v>45376</v>
      </c>
    </row>
    <row r="502" spans="12:12" x14ac:dyDescent="0.3">
      <c r="L502" s="19">
        <v>45373</v>
      </c>
    </row>
    <row r="503" spans="12:12" x14ac:dyDescent="0.3">
      <c r="L503" s="22">
        <v>45372</v>
      </c>
    </row>
    <row r="504" spans="12:12" x14ac:dyDescent="0.3">
      <c r="L504" s="19">
        <v>45371</v>
      </c>
    </row>
    <row r="505" spans="12:12" x14ac:dyDescent="0.3">
      <c r="L505" s="22">
        <v>45370</v>
      </c>
    </row>
    <row r="506" spans="12:12" x14ac:dyDescent="0.3">
      <c r="L506" s="19">
        <v>45369</v>
      </c>
    </row>
    <row r="507" spans="12:12" x14ac:dyDescent="0.3">
      <c r="L507" s="22">
        <v>45366</v>
      </c>
    </row>
    <row r="508" spans="12:12" x14ac:dyDescent="0.3">
      <c r="L508" s="19">
        <v>45365</v>
      </c>
    </row>
    <row r="509" spans="12:12" x14ac:dyDescent="0.3">
      <c r="L509" s="22">
        <v>45364</v>
      </c>
    </row>
    <row r="510" spans="12:12" x14ac:dyDescent="0.3">
      <c r="L510" s="19">
        <v>45363</v>
      </c>
    </row>
    <row r="511" spans="12:12" x14ac:dyDescent="0.3">
      <c r="L511" s="22">
        <v>45362</v>
      </c>
    </row>
    <row r="512" spans="12:12" x14ac:dyDescent="0.3">
      <c r="L512" s="19">
        <v>45359</v>
      </c>
    </row>
    <row r="513" spans="12:12" x14ac:dyDescent="0.3">
      <c r="L513" s="22">
        <v>45358</v>
      </c>
    </row>
    <row r="514" spans="12:12" x14ac:dyDescent="0.3">
      <c r="L514" s="19">
        <v>45357</v>
      </c>
    </row>
    <row r="515" spans="12:12" x14ac:dyDescent="0.3">
      <c r="L515" s="22">
        <v>45356</v>
      </c>
    </row>
    <row r="516" spans="12:12" x14ac:dyDescent="0.3">
      <c r="L516" s="19">
        <v>45355</v>
      </c>
    </row>
    <row r="517" spans="12:12" x14ac:dyDescent="0.3">
      <c r="L517" s="22">
        <v>45352</v>
      </c>
    </row>
    <row r="518" spans="12:12" x14ac:dyDescent="0.3">
      <c r="L518" s="19">
        <v>45351</v>
      </c>
    </row>
    <row r="519" spans="12:12" x14ac:dyDescent="0.3">
      <c r="L519" s="22">
        <v>45350</v>
      </c>
    </row>
    <row r="520" spans="12:12" x14ac:dyDescent="0.3">
      <c r="L520" s="19">
        <v>45349</v>
      </c>
    </row>
    <row r="521" spans="12:12" x14ac:dyDescent="0.3">
      <c r="L521" s="22">
        <v>45348</v>
      </c>
    </row>
    <row r="522" spans="12:12" x14ac:dyDescent="0.3">
      <c r="L522" s="19">
        <v>45345</v>
      </c>
    </row>
    <row r="523" spans="12:12" x14ac:dyDescent="0.3">
      <c r="L523" s="22">
        <v>45344</v>
      </c>
    </row>
    <row r="524" spans="12:12" x14ac:dyDescent="0.3">
      <c r="L524" s="19">
        <v>45343</v>
      </c>
    </row>
    <row r="525" spans="12:12" x14ac:dyDescent="0.3">
      <c r="L525" s="22">
        <v>45342</v>
      </c>
    </row>
    <row r="526" spans="12:12" x14ac:dyDescent="0.3">
      <c r="L526" s="19">
        <v>45341</v>
      </c>
    </row>
    <row r="527" spans="12:12" x14ac:dyDescent="0.3">
      <c r="L527" s="22">
        <v>45338</v>
      </c>
    </row>
    <row r="528" spans="12:12" x14ac:dyDescent="0.3">
      <c r="L528" s="19">
        <v>45337</v>
      </c>
    </row>
    <row r="529" spans="12:12" x14ac:dyDescent="0.3">
      <c r="L529" s="22">
        <v>45336</v>
      </c>
    </row>
    <row r="530" spans="12:12" x14ac:dyDescent="0.3">
      <c r="L530" s="19">
        <v>45335</v>
      </c>
    </row>
    <row r="531" spans="12:12" x14ac:dyDescent="0.3">
      <c r="L531" s="22">
        <v>45334</v>
      </c>
    </row>
    <row r="532" spans="12:12" x14ac:dyDescent="0.3">
      <c r="L532" s="19">
        <v>45331</v>
      </c>
    </row>
    <row r="533" spans="12:12" x14ac:dyDescent="0.3">
      <c r="L533" s="22">
        <v>45330</v>
      </c>
    </row>
    <row r="534" spans="12:12" x14ac:dyDescent="0.3">
      <c r="L534" s="19">
        <v>45329</v>
      </c>
    </row>
    <row r="535" spans="12:12" x14ac:dyDescent="0.3">
      <c r="L535" s="22">
        <v>45328</v>
      </c>
    </row>
    <row r="536" spans="12:12" x14ac:dyDescent="0.3">
      <c r="L536" s="19">
        <v>45327</v>
      </c>
    </row>
    <row r="537" spans="12:12" x14ac:dyDescent="0.3">
      <c r="L537" s="22">
        <v>45324</v>
      </c>
    </row>
    <row r="538" spans="12:12" x14ac:dyDescent="0.3">
      <c r="L538" s="19">
        <v>45323</v>
      </c>
    </row>
    <row r="539" spans="12:12" x14ac:dyDescent="0.3">
      <c r="L539" s="22">
        <v>45322</v>
      </c>
    </row>
    <row r="540" spans="12:12" x14ac:dyDescent="0.3">
      <c r="L540" s="19">
        <v>45321</v>
      </c>
    </row>
    <row r="541" spans="12:12" x14ac:dyDescent="0.3">
      <c r="L541" s="22">
        <v>45320</v>
      </c>
    </row>
    <row r="542" spans="12:12" x14ac:dyDescent="0.3">
      <c r="L542" s="19">
        <v>45317</v>
      </c>
    </row>
    <row r="543" spans="12:12" x14ac:dyDescent="0.3">
      <c r="L543" s="22">
        <v>45316</v>
      </c>
    </row>
    <row r="544" spans="12:12" x14ac:dyDescent="0.3">
      <c r="L544" s="19">
        <v>45315</v>
      </c>
    </row>
    <row r="545" spans="12:12" x14ac:dyDescent="0.3">
      <c r="L545" s="22">
        <v>45314</v>
      </c>
    </row>
    <row r="546" spans="12:12" x14ac:dyDescent="0.3">
      <c r="L546" s="19">
        <v>45313</v>
      </c>
    </row>
    <row r="547" spans="12:12" x14ac:dyDescent="0.3">
      <c r="L547" s="22">
        <v>45310</v>
      </c>
    </row>
    <row r="548" spans="12:12" x14ac:dyDescent="0.3">
      <c r="L548" s="19">
        <v>45309</v>
      </c>
    </row>
    <row r="549" spans="12:12" x14ac:dyDescent="0.3">
      <c r="L549" s="22">
        <v>45308</v>
      </c>
    </row>
    <row r="550" spans="12:12" x14ac:dyDescent="0.3">
      <c r="L550" s="19">
        <v>45307</v>
      </c>
    </row>
    <row r="551" spans="12:12" x14ac:dyDescent="0.3">
      <c r="L551" s="22">
        <v>45306</v>
      </c>
    </row>
    <row r="552" spans="12:12" x14ac:dyDescent="0.3">
      <c r="L552" s="19">
        <v>45303</v>
      </c>
    </row>
    <row r="553" spans="12:12" x14ac:dyDescent="0.3">
      <c r="L553" s="22">
        <v>45302</v>
      </c>
    </row>
    <row r="554" spans="12:12" x14ac:dyDescent="0.3">
      <c r="L554" s="19">
        <v>45301</v>
      </c>
    </row>
    <row r="555" spans="12:12" x14ac:dyDescent="0.3">
      <c r="L555" s="22">
        <v>45300</v>
      </c>
    </row>
    <row r="556" spans="12:12" x14ac:dyDescent="0.3">
      <c r="L556" s="19">
        <v>45299</v>
      </c>
    </row>
    <row r="557" spans="12:12" x14ac:dyDescent="0.3">
      <c r="L557" s="22">
        <v>45296</v>
      </c>
    </row>
    <row r="558" spans="12:12" x14ac:dyDescent="0.3">
      <c r="L558" s="19">
        <v>45295</v>
      </c>
    </row>
    <row r="559" spans="12:12" x14ac:dyDescent="0.3">
      <c r="L559" s="22">
        <v>45294</v>
      </c>
    </row>
    <row r="560" spans="12:12" x14ac:dyDescent="0.3">
      <c r="L560" s="19">
        <v>45293</v>
      </c>
    </row>
    <row r="561" spans="12:12" x14ac:dyDescent="0.3">
      <c r="L561" s="22">
        <v>45292</v>
      </c>
    </row>
    <row r="562" spans="12:12" x14ac:dyDescent="0.3">
      <c r="L562" s="19">
        <v>45289</v>
      </c>
    </row>
    <row r="563" spans="12:12" x14ac:dyDescent="0.3">
      <c r="L563" s="22">
        <v>45288</v>
      </c>
    </row>
    <row r="564" spans="12:12" x14ac:dyDescent="0.3">
      <c r="L564" s="19">
        <v>45287</v>
      </c>
    </row>
    <row r="565" spans="12:12" x14ac:dyDescent="0.3">
      <c r="L565" s="22">
        <v>45286</v>
      </c>
    </row>
    <row r="566" spans="12:12" x14ac:dyDescent="0.3">
      <c r="L566" s="19">
        <v>45285</v>
      </c>
    </row>
    <row r="567" spans="12:12" x14ac:dyDescent="0.3">
      <c r="L567" s="22">
        <v>45282</v>
      </c>
    </row>
    <row r="568" spans="12:12" x14ac:dyDescent="0.3">
      <c r="L568" s="19">
        <v>45281</v>
      </c>
    </row>
    <row r="569" spans="12:12" x14ac:dyDescent="0.3">
      <c r="L569" s="22">
        <v>45280</v>
      </c>
    </row>
    <row r="570" spans="12:12" x14ac:dyDescent="0.3">
      <c r="L570" s="19">
        <v>45279</v>
      </c>
    </row>
    <row r="571" spans="12:12" x14ac:dyDescent="0.3">
      <c r="L571" s="22">
        <v>45278</v>
      </c>
    </row>
    <row r="572" spans="12:12" x14ac:dyDescent="0.3">
      <c r="L572" s="19">
        <v>45275</v>
      </c>
    </row>
    <row r="573" spans="12:12" x14ac:dyDescent="0.3">
      <c r="L573" s="22">
        <v>45274</v>
      </c>
    </row>
    <row r="574" spans="12:12" x14ac:dyDescent="0.3">
      <c r="L574" s="19">
        <v>45273</v>
      </c>
    </row>
    <row r="575" spans="12:12" x14ac:dyDescent="0.3">
      <c r="L575" s="22">
        <v>45272</v>
      </c>
    </row>
    <row r="576" spans="12:12" x14ac:dyDescent="0.3">
      <c r="L576" s="19">
        <v>45271</v>
      </c>
    </row>
    <row r="577" spans="12:12" x14ac:dyDescent="0.3">
      <c r="L577" s="22">
        <v>45268</v>
      </c>
    </row>
    <row r="578" spans="12:12" x14ac:dyDescent="0.3">
      <c r="L578" s="19">
        <v>45267</v>
      </c>
    </row>
    <row r="579" spans="12:12" x14ac:dyDescent="0.3">
      <c r="L579" s="22">
        <v>45266</v>
      </c>
    </row>
    <row r="580" spans="12:12" x14ac:dyDescent="0.3">
      <c r="L580" s="19">
        <v>45265</v>
      </c>
    </row>
    <row r="581" spans="12:12" x14ac:dyDescent="0.3">
      <c r="L581" s="22">
        <v>45264</v>
      </c>
    </row>
    <row r="582" spans="12:12" x14ac:dyDescent="0.3">
      <c r="L582" s="19">
        <v>45261</v>
      </c>
    </row>
    <row r="583" spans="12:12" x14ac:dyDescent="0.3">
      <c r="L583" s="22">
        <v>45260</v>
      </c>
    </row>
    <row r="584" spans="12:12" x14ac:dyDescent="0.3">
      <c r="L584" s="19">
        <v>45259</v>
      </c>
    </row>
    <row r="585" spans="12:12" x14ac:dyDescent="0.3">
      <c r="L585" s="22">
        <v>45258</v>
      </c>
    </row>
    <row r="586" spans="12:12" x14ac:dyDescent="0.3">
      <c r="L586" s="19">
        <v>45257</v>
      </c>
    </row>
    <row r="587" spans="12:12" x14ac:dyDescent="0.3">
      <c r="L587" s="22">
        <v>45254</v>
      </c>
    </row>
    <row r="588" spans="12:12" x14ac:dyDescent="0.3">
      <c r="L588" s="19">
        <v>45253</v>
      </c>
    </row>
    <row r="589" spans="12:12" x14ac:dyDescent="0.3">
      <c r="L589" s="22">
        <v>45252</v>
      </c>
    </row>
    <row r="590" spans="12:12" x14ac:dyDescent="0.3">
      <c r="L590" s="19">
        <v>45251</v>
      </c>
    </row>
    <row r="591" spans="12:12" x14ac:dyDescent="0.3">
      <c r="L591" s="22">
        <v>45250</v>
      </c>
    </row>
    <row r="592" spans="12:12" x14ac:dyDescent="0.3">
      <c r="L592" s="19">
        <v>45247</v>
      </c>
    </row>
    <row r="593" spans="12:12" x14ac:dyDescent="0.3">
      <c r="L593" s="22">
        <v>45246</v>
      </c>
    </row>
    <row r="594" spans="12:12" x14ac:dyDescent="0.3">
      <c r="L594" s="19">
        <v>45245</v>
      </c>
    </row>
    <row r="595" spans="12:12" x14ac:dyDescent="0.3">
      <c r="L595" s="22">
        <v>45244</v>
      </c>
    </row>
    <row r="596" spans="12:12" x14ac:dyDescent="0.3">
      <c r="L596" s="19">
        <v>45243</v>
      </c>
    </row>
    <row r="597" spans="12:12" x14ac:dyDescent="0.3">
      <c r="L597" s="22">
        <v>45240</v>
      </c>
    </row>
    <row r="598" spans="12:12" x14ac:dyDescent="0.3">
      <c r="L598" s="19">
        <v>45239</v>
      </c>
    </row>
    <row r="599" spans="12:12" x14ac:dyDescent="0.3">
      <c r="L599" s="22">
        <v>45238</v>
      </c>
    </row>
    <row r="600" spans="12:12" x14ac:dyDescent="0.3">
      <c r="L600" s="19">
        <v>45237</v>
      </c>
    </row>
    <row r="601" spans="12:12" x14ac:dyDescent="0.3">
      <c r="L601" s="22">
        <v>45236</v>
      </c>
    </row>
    <row r="602" spans="12:12" x14ac:dyDescent="0.3">
      <c r="L602" s="19">
        <v>45233</v>
      </c>
    </row>
    <row r="603" spans="12:12" x14ac:dyDescent="0.3">
      <c r="L603" s="22">
        <v>45232</v>
      </c>
    </row>
    <row r="604" spans="12:12" x14ac:dyDescent="0.3">
      <c r="L604" s="19">
        <v>45231</v>
      </c>
    </row>
    <row r="605" spans="12:12" x14ac:dyDescent="0.3">
      <c r="L605" s="22">
        <v>45230</v>
      </c>
    </row>
    <row r="606" spans="12:12" x14ac:dyDescent="0.3">
      <c r="L606" s="19">
        <v>45229</v>
      </c>
    </row>
    <row r="607" spans="12:12" x14ac:dyDescent="0.3">
      <c r="L607" s="22">
        <v>45226</v>
      </c>
    </row>
    <row r="608" spans="12:12" x14ac:dyDescent="0.3">
      <c r="L608" s="19">
        <v>45225</v>
      </c>
    </row>
    <row r="609" spans="12:12" x14ac:dyDescent="0.3">
      <c r="L609" s="22">
        <v>45224</v>
      </c>
    </row>
    <row r="610" spans="12:12" x14ac:dyDescent="0.3">
      <c r="L610" s="19">
        <v>45223</v>
      </c>
    </row>
    <row r="611" spans="12:12" x14ac:dyDescent="0.3">
      <c r="L611" s="22">
        <v>45222</v>
      </c>
    </row>
    <row r="612" spans="12:12" x14ac:dyDescent="0.3">
      <c r="L612" s="19">
        <v>45219</v>
      </c>
    </row>
    <row r="613" spans="12:12" x14ac:dyDescent="0.3">
      <c r="L613" s="22">
        <v>45218</v>
      </c>
    </row>
    <row r="614" spans="12:12" x14ac:dyDescent="0.3">
      <c r="L614" s="19">
        <v>45217</v>
      </c>
    </row>
    <row r="615" spans="12:12" x14ac:dyDescent="0.3">
      <c r="L615" s="22">
        <v>45216</v>
      </c>
    </row>
    <row r="616" spans="12:12" x14ac:dyDescent="0.3">
      <c r="L616" s="19">
        <v>45215</v>
      </c>
    </row>
    <row r="617" spans="12:12" x14ac:dyDescent="0.3">
      <c r="L617" s="22">
        <v>45212</v>
      </c>
    </row>
    <row r="618" spans="12:12" x14ac:dyDescent="0.3">
      <c r="L618" s="19">
        <v>45211</v>
      </c>
    </row>
    <row r="619" spans="12:12" x14ac:dyDescent="0.3">
      <c r="L619" s="22">
        <v>45210</v>
      </c>
    </row>
    <row r="620" spans="12:12" x14ac:dyDescent="0.3">
      <c r="L620" s="19">
        <v>45209</v>
      </c>
    </row>
    <row r="621" spans="12:12" x14ac:dyDescent="0.3">
      <c r="L621" s="22">
        <v>45208</v>
      </c>
    </row>
    <row r="622" spans="12:12" x14ac:dyDescent="0.3">
      <c r="L622" s="19">
        <v>45205</v>
      </c>
    </row>
    <row r="623" spans="12:12" x14ac:dyDescent="0.3">
      <c r="L623" s="22">
        <v>45204</v>
      </c>
    </row>
    <row r="624" spans="12:12" x14ac:dyDescent="0.3">
      <c r="L624" s="19">
        <v>45203</v>
      </c>
    </row>
    <row r="625" spans="12:12" x14ac:dyDescent="0.3">
      <c r="L625" s="22">
        <v>45202</v>
      </c>
    </row>
    <row r="626" spans="12:12" x14ac:dyDescent="0.3">
      <c r="L626" s="19">
        <v>45201</v>
      </c>
    </row>
    <row r="627" spans="12:12" x14ac:dyDescent="0.3">
      <c r="L627" s="22">
        <v>45198</v>
      </c>
    </row>
    <row r="628" spans="12:12" x14ac:dyDescent="0.3">
      <c r="L628" s="19">
        <v>45197</v>
      </c>
    </row>
    <row r="629" spans="12:12" x14ac:dyDescent="0.3">
      <c r="L629" s="22">
        <v>45196</v>
      </c>
    </row>
    <row r="630" spans="12:12" x14ac:dyDescent="0.3">
      <c r="L630" s="19">
        <v>45195</v>
      </c>
    </row>
    <row r="631" spans="12:12" x14ac:dyDescent="0.3">
      <c r="L631" s="22">
        <v>45194</v>
      </c>
    </row>
    <row r="632" spans="12:12" x14ac:dyDescent="0.3">
      <c r="L632" s="19">
        <v>45191</v>
      </c>
    </row>
    <row r="633" spans="12:12" x14ac:dyDescent="0.3">
      <c r="L633" s="22">
        <v>45190</v>
      </c>
    </row>
    <row r="634" spans="12:12" x14ac:dyDescent="0.3">
      <c r="L634" s="19">
        <v>45189</v>
      </c>
    </row>
    <row r="635" spans="12:12" x14ac:dyDescent="0.3">
      <c r="L635" s="22">
        <v>45188</v>
      </c>
    </row>
    <row r="636" spans="12:12" x14ac:dyDescent="0.3">
      <c r="L636" s="19">
        <v>45187</v>
      </c>
    </row>
    <row r="637" spans="12:12" x14ac:dyDescent="0.3">
      <c r="L637" s="22">
        <v>45184</v>
      </c>
    </row>
    <row r="638" spans="12:12" x14ac:dyDescent="0.3">
      <c r="L638" s="19">
        <v>45183</v>
      </c>
    </row>
    <row r="639" spans="12:12" x14ac:dyDescent="0.3">
      <c r="L639" s="22">
        <v>45182</v>
      </c>
    </row>
    <row r="640" spans="12:12" x14ac:dyDescent="0.3">
      <c r="L640" s="19">
        <v>45181</v>
      </c>
    </row>
    <row r="641" spans="12:12" x14ac:dyDescent="0.3">
      <c r="L641" s="22">
        <v>45180</v>
      </c>
    </row>
    <row r="642" spans="12:12" x14ac:dyDescent="0.3">
      <c r="L642" s="19">
        <v>45177</v>
      </c>
    </row>
    <row r="643" spans="12:12" x14ac:dyDescent="0.3">
      <c r="L643" s="22">
        <v>45176</v>
      </c>
    </row>
    <row r="644" spans="12:12" x14ac:dyDescent="0.3">
      <c r="L644" s="19">
        <v>45175</v>
      </c>
    </row>
    <row r="645" spans="12:12" x14ac:dyDescent="0.3">
      <c r="L645" s="22">
        <v>45174</v>
      </c>
    </row>
    <row r="646" spans="12:12" x14ac:dyDescent="0.3">
      <c r="L646" s="19">
        <v>45173</v>
      </c>
    </row>
    <row r="647" spans="12:12" x14ac:dyDescent="0.3">
      <c r="L647" s="22">
        <v>45170</v>
      </c>
    </row>
    <row r="648" spans="12:12" x14ac:dyDescent="0.3">
      <c r="L648" s="19">
        <v>45169</v>
      </c>
    </row>
    <row r="649" spans="12:12" x14ac:dyDescent="0.3">
      <c r="L649" s="22">
        <v>45168</v>
      </c>
    </row>
    <row r="650" spans="12:12" x14ac:dyDescent="0.3">
      <c r="L650" s="19">
        <v>45167</v>
      </c>
    </row>
    <row r="651" spans="12:12" x14ac:dyDescent="0.3">
      <c r="L651" s="22">
        <v>45166</v>
      </c>
    </row>
    <row r="652" spans="12:12" x14ac:dyDescent="0.3">
      <c r="L652" s="19">
        <v>45163</v>
      </c>
    </row>
    <row r="653" spans="12:12" x14ac:dyDescent="0.3">
      <c r="L653" s="22">
        <v>45162</v>
      </c>
    </row>
    <row r="654" spans="12:12" x14ac:dyDescent="0.3">
      <c r="L654" s="19">
        <v>45161</v>
      </c>
    </row>
    <row r="655" spans="12:12" x14ac:dyDescent="0.3">
      <c r="L655" s="22">
        <v>45160</v>
      </c>
    </row>
    <row r="656" spans="12:12" x14ac:dyDescent="0.3">
      <c r="L656" s="19">
        <v>45159</v>
      </c>
    </row>
    <row r="657" spans="12:12" x14ac:dyDescent="0.3">
      <c r="L657" s="22">
        <v>45156</v>
      </c>
    </row>
    <row r="658" spans="12:12" x14ac:dyDescent="0.3">
      <c r="L658" s="19">
        <v>45155</v>
      </c>
    </row>
    <row r="659" spans="12:12" x14ac:dyDescent="0.3">
      <c r="L659" s="22">
        <v>45154</v>
      </c>
    </row>
    <row r="660" spans="12:12" x14ac:dyDescent="0.3">
      <c r="L660" s="19">
        <v>45153</v>
      </c>
    </row>
    <row r="661" spans="12:12" x14ac:dyDescent="0.3">
      <c r="L661" s="22">
        <v>45152</v>
      </c>
    </row>
    <row r="662" spans="12:12" x14ac:dyDescent="0.3">
      <c r="L662" s="19">
        <v>45149</v>
      </c>
    </row>
    <row r="663" spans="12:12" x14ac:dyDescent="0.3">
      <c r="L663" s="22">
        <v>45148</v>
      </c>
    </row>
    <row r="664" spans="12:12" x14ac:dyDescent="0.3">
      <c r="L664" s="19">
        <v>45147</v>
      </c>
    </row>
    <row r="665" spans="12:12" x14ac:dyDescent="0.3">
      <c r="L665" s="22">
        <v>45146</v>
      </c>
    </row>
    <row r="666" spans="12:12" x14ac:dyDescent="0.3">
      <c r="L666" s="19">
        <v>45145</v>
      </c>
    </row>
    <row r="667" spans="12:12" x14ac:dyDescent="0.3">
      <c r="L667" s="22">
        <v>45142</v>
      </c>
    </row>
    <row r="668" spans="12:12" x14ac:dyDescent="0.3">
      <c r="L668" s="19">
        <v>45141</v>
      </c>
    </row>
    <row r="669" spans="12:12" x14ac:dyDescent="0.3">
      <c r="L669" s="22">
        <v>45140</v>
      </c>
    </row>
    <row r="670" spans="12:12" x14ac:dyDescent="0.3">
      <c r="L670" s="19">
        <v>45139</v>
      </c>
    </row>
    <row r="671" spans="12:12" x14ac:dyDescent="0.3">
      <c r="L671" s="22">
        <v>45138</v>
      </c>
    </row>
    <row r="672" spans="12:12" x14ac:dyDescent="0.3">
      <c r="L672" s="19">
        <v>45135</v>
      </c>
    </row>
    <row r="673" spans="12:12" x14ac:dyDescent="0.3">
      <c r="L673" s="22">
        <v>45134</v>
      </c>
    </row>
    <row r="674" spans="12:12" x14ac:dyDescent="0.3">
      <c r="L674" s="19">
        <v>45133</v>
      </c>
    </row>
    <row r="675" spans="12:12" x14ac:dyDescent="0.3">
      <c r="L675" s="22">
        <v>45132</v>
      </c>
    </row>
    <row r="676" spans="12:12" x14ac:dyDescent="0.3">
      <c r="L676" s="19">
        <v>45131</v>
      </c>
    </row>
    <row r="677" spans="12:12" x14ac:dyDescent="0.3">
      <c r="L677" s="22">
        <v>45128</v>
      </c>
    </row>
    <row r="678" spans="12:12" x14ac:dyDescent="0.3">
      <c r="L678" s="19">
        <v>45127</v>
      </c>
    </row>
    <row r="679" spans="12:12" x14ac:dyDescent="0.3">
      <c r="L679" s="22">
        <v>45126</v>
      </c>
    </row>
    <row r="680" spans="12:12" x14ac:dyDescent="0.3">
      <c r="L680" s="19">
        <v>45125</v>
      </c>
    </row>
    <row r="681" spans="12:12" x14ac:dyDescent="0.3">
      <c r="L681" s="22">
        <v>45124</v>
      </c>
    </row>
    <row r="682" spans="12:12" x14ac:dyDescent="0.3">
      <c r="L682" s="19">
        <v>45121</v>
      </c>
    </row>
    <row r="683" spans="12:12" x14ac:dyDescent="0.3">
      <c r="L683" s="22">
        <v>45120</v>
      </c>
    </row>
    <row r="684" spans="12:12" x14ac:dyDescent="0.3">
      <c r="L684" s="19">
        <v>45119</v>
      </c>
    </row>
    <row r="685" spans="12:12" x14ac:dyDescent="0.3">
      <c r="L685" s="22">
        <v>45118</v>
      </c>
    </row>
    <row r="686" spans="12:12" x14ac:dyDescent="0.3">
      <c r="L686" s="19">
        <v>45117</v>
      </c>
    </row>
    <row r="687" spans="12:12" x14ac:dyDescent="0.3">
      <c r="L687" s="22">
        <v>45114</v>
      </c>
    </row>
    <row r="688" spans="12:12" x14ac:dyDescent="0.3">
      <c r="L688" s="19">
        <v>45113</v>
      </c>
    </row>
    <row r="689" spans="12:12" x14ac:dyDescent="0.3">
      <c r="L689" s="22">
        <v>45112</v>
      </c>
    </row>
    <row r="690" spans="12:12" x14ac:dyDescent="0.3">
      <c r="L690" s="19">
        <v>45111</v>
      </c>
    </row>
    <row r="691" spans="12:12" x14ac:dyDescent="0.3">
      <c r="L691" s="22">
        <v>45110</v>
      </c>
    </row>
    <row r="692" spans="12:12" x14ac:dyDescent="0.3">
      <c r="L692" s="19">
        <v>45107</v>
      </c>
    </row>
    <row r="693" spans="12:12" x14ac:dyDescent="0.3">
      <c r="L693" s="22">
        <v>45106</v>
      </c>
    </row>
    <row r="694" spans="12:12" x14ac:dyDescent="0.3">
      <c r="L694" s="19">
        <v>45105</v>
      </c>
    </row>
    <row r="695" spans="12:12" x14ac:dyDescent="0.3">
      <c r="L695" s="22">
        <v>45104</v>
      </c>
    </row>
    <row r="696" spans="12:12" x14ac:dyDescent="0.3">
      <c r="L696" s="19">
        <v>45103</v>
      </c>
    </row>
    <row r="697" spans="12:12" x14ac:dyDescent="0.3">
      <c r="L697" s="22">
        <v>45100</v>
      </c>
    </row>
    <row r="698" spans="12:12" x14ac:dyDescent="0.3">
      <c r="L698" s="19">
        <v>45099</v>
      </c>
    </row>
    <row r="699" spans="12:12" x14ac:dyDescent="0.3">
      <c r="L699" s="22">
        <v>45098</v>
      </c>
    </row>
    <row r="700" spans="12:12" x14ac:dyDescent="0.3">
      <c r="L700" s="19">
        <v>45097</v>
      </c>
    </row>
    <row r="701" spans="12:12" x14ac:dyDescent="0.3">
      <c r="L701" s="22">
        <v>45096</v>
      </c>
    </row>
    <row r="702" spans="12:12" x14ac:dyDescent="0.3">
      <c r="L702" s="19">
        <v>45093</v>
      </c>
    </row>
    <row r="703" spans="12:12" x14ac:dyDescent="0.3">
      <c r="L703" s="22">
        <v>45092</v>
      </c>
    </row>
    <row r="704" spans="12:12" x14ac:dyDescent="0.3">
      <c r="L704" s="19">
        <v>45091</v>
      </c>
    </row>
    <row r="705" spans="12:12" x14ac:dyDescent="0.3">
      <c r="L705" s="22">
        <v>45090</v>
      </c>
    </row>
    <row r="706" spans="12:12" x14ac:dyDescent="0.3">
      <c r="L706" s="19">
        <v>45089</v>
      </c>
    </row>
    <row r="707" spans="12:12" x14ac:dyDescent="0.3">
      <c r="L707" s="22">
        <v>45086</v>
      </c>
    </row>
    <row r="708" spans="12:12" x14ac:dyDescent="0.3">
      <c r="L708" s="19">
        <v>45085</v>
      </c>
    </row>
    <row r="709" spans="12:12" x14ac:dyDescent="0.3">
      <c r="L709" s="22">
        <v>45084</v>
      </c>
    </row>
    <row r="710" spans="12:12" x14ac:dyDescent="0.3">
      <c r="L710" s="19">
        <v>45083</v>
      </c>
    </row>
    <row r="711" spans="12:12" x14ac:dyDescent="0.3">
      <c r="L711" s="22">
        <v>45082</v>
      </c>
    </row>
    <row r="712" spans="12:12" x14ac:dyDescent="0.3">
      <c r="L712" s="19">
        <v>45079</v>
      </c>
    </row>
    <row r="713" spans="12:12" x14ac:dyDescent="0.3">
      <c r="L713" s="22">
        <v>45078</v>
      </c>
    </row>
    <row r="714" spans="12:12" x14ac:dyDescent="0.3">
      <c r="L714" s="19">
        <v>45077</v>
      </c>
    </row>
    <row r="715" spans="12:12" x14ac:dyDescent="0.3">
      <c r="L715" s="22">
        <v>45076</v>
      </c>
    </row>
    <row r="716" spans="12:12" x14ac:dyDescent="0.3">
      <c r="L716" s="19">
        <v>45075</v>
      </c>
    </row>
    <row r="717" spans="12:12" x14ac:dyDescent="0.3">
      <c r="L717" s="22">
        <v>45072</v>
      </c>
    </row>
    <row r="718" spans="12:12" x14ac:dyDescent="0.3">
      <c r="L718" s="19">
        <v>45071</v>
      </c>
    </row>
    <row r="719" spans="12:12" x14ac:dyDescent="0.3">
      <c r="L719" s="22">
        <v>45070</v>
      </c>
    </row>
    <row r="720" spans="12:12" x14ac:dyDescent="0.3">
      <c r="L720" s="19">
        <v>45069</v>
      </c>
    </row>
    <row r="721" spans="12:12" x14ac:dyDescent="0.3">
      <c r="L721" s="22">
        <v>45068</v>
      </c>
    </row>
    <row r="722" spans="12:12" x14ac:dyDescent="0.3">
      <c r="L722" s="19">
        <v>45065</v>
      </c>
    </row>
    <row r="723" spans="12:12" x14ac:dyDescent="0.3">
      <c r="L723" s="22">
        <v>45064</v>
      </c>
    </row>
    <row r="724" spans="12:12" x14ac:dyDescent="0.3">
      <c r="L724" s="19">
        <v>45063</v>
      </c>
    </row>
    <row r="725" spans="12:12" x14ac:dyDescent="0.3">
      <c r="L725" s="22">
        <v>45062</v>
      </c>
    </row>
    <row r="726" spans="12:12" x14ac:dyDescent="0.3">
      <c r="L726" s="19">
        <v>45061</v>
      </c>
    </row>
    <row r="727" spans="12:12" x14ac:dyDescent="0.3">
      <c r="L727" s="22">
        <v>45058</v>
      </c>
    </row>
    <row r="728" spans="12:12" x14ac:dyDescent="0.3">
      <c r="L728" s="19">
        <v>45057</v>
      </c>
    </row>
    <row r="729" spans="12:12" x14ac:dyDescent="0.3">
      <c r="L729" s="22">
        <v>45056</v>
      </c>
    </row>
    <row r="730" spans="12:12" x14ac:dyDescent="0.3">
      <c r="L730" s="19">
        <v>45055</v>
      </c>
    </row>
    <row r="731" spans="12:12" x14ac:dyDescent="0.3">
      <c r="L731" s="22">
        <v>45054</v>
      </c>
    </row>
    <row r="732" spans="12:12" x14ac:dyDescent="0.3">
      <c r="L732" s="19">
        <v>45051</v>
      </c>
    </row>
    <row r="733" spans="12:12" x14ac:dyDescent="0.3">
      <c r="L733" s="22">
        <v>45050</v>
      </c>
    </row>
    <row r="734" spans="12:12" x14ac:dyDescent="0.3">
      <c r="L734" s="19">
        <v>45049</v>
      </c>
    </row>
    <row r="735" spans="12:12" x14ac:dyDescent="0.3">
      <c r="L735" s="22">
        <v>45048</v>
      </c>
    </row>
    <row r="736" spans="12:12" x14ac:dyDescent="0.3">
      <c r="L736" s="19">
        <v>45047</v>
      </c>
    </row>
    <row r="737" spans="12:12" x14ac:dyDescent="0.3">
      <c r="L737" s="22">
        <v>45044</v>
      </c>
    </row>
    <row r="738" spans="12:12" x14ac:dyDescent="0.3">
      <c r="L738" s="19">
        <v>45043</v>
      </c>
    </row>
    <row r="739" spans="12:12" x14ac:dyDescent="0.3">
      <c r="L739" s="22">
        <v>45042</v>
      </c>
    </row>
    <row r="740" spans="12:12" x14ac:dyDescent="0.3">
      <c r="L740" s="19">
        <v>45041</v>
      </c>
    </row>
    <row r="741" spans="12:12" x14ac:dyDescent="0.3">
      <c r="L741" s="22">
        <v>45040</v>
      </c>
    </row>
    <row r="742" spans="12:12" x14ac:dyDescent="0.3">
      <c r="L742" s="19">
        <v>45037</v>
      </c>
    </row>
    <row r="743" spans="12:12" x14ac:dyDescent="0.3">
      <c r="L743" s="22">
        <v>45036</v>
      </c>
    </row>
    <row r="744" spans="12:12" x14ac:dyDescent="0.3">
      <c r="L744" s="19">
        <v>45035</v>
      </c>
    </row>
    <row r="745" spans="12:12" x14ac:dyDescent="0.3">
      <c r="L745" s="22">
        <v>45034</v>
      </c>
    </row>
    <row r="746" spans="12:12" x14ac:dyDescent="0.3">
      <c r="L746" s="19">
        <v>45033</v>
      </c>
    </row>
    <row r="747" spans="12:12" x14ac:dyDescent="0.3">
      <c r="L747" s="22">
        <v>45030</v>
      </c>
    </row>
    <row r="748" spans="12:12" x14ac:dyDescent="0.3">
      <c r="L748" s="19">
        <v>45029</v>
      </c>
    </row>
    <row r="749" spans="12:12" x14ac:dyDescent="0.3">
      <c r="L749" s="22">
        <v>45028</v>
      </c>
    </row>
    <row r="750" spans="12:12" x14ac:dyDescent="0.3">
      <c r="L750" s="19">
        <v>45027</v>
      </c>
    </row>
    <row r="751" spans="12:12" x14ac:dyDescent="0.3">
      <c r="L751" s="22">
        <v>45026</v>
      </c>
    </row>
    <row r="752" spans="12:12" x14ac:dyDescent="0.3">
      <c r="L752" s="19">
        <v>45023</v>
      </c>
    </row>
    <row r="753" spans="12:12" x14ac:dyDescent="0.3">
      <c r="L753" s="22">
        <v>45022</v>
      </c>
    </row>
    <row r="754" spans="12:12" x14ac:dyDescent="0.3">
      <c r="L754" s="19">
        <v>45021</v>
      </c>
    </row>
    <row r="755" spans="12:12" x14ac:dyDescent="0.3">
      <c r="L755" s="22">
        <v>45020</v>
      </c>
    </row>
    <row r="756" spans="12:12" x14ac:dyDescent="0.3">
      <c r="L756" s="19">
        <v>45019</v>
      </c>
    </row>
    <row r="757" spans="12:12" x14ac:dyDescent="0.3">
      <c r="L757" s="22">
        <v>45016</v>
      </c>
    </row>
    <row r="758" spans="12:12" x14ac:dyDescent="0.3">
      <c r="L758" s="19">
        <v>45015</v>
      </c>
    </row>
    <row r="759" spans="12:12" x14ac:dyDescent="0.3">
      <c r="L759" s="22">
        <v>45014</v>
      </c>
    </row>
    <row r="760" spans="12:12" x14ac:dyDescent="0.3">
      <c r="L760" s="19">
        <v>45013</v>
      </c>
    </row>
    <row r="761" spans="12:12" x14ac:dyDescent="0.3">
      <c r="L761" s="22">
        <v>45012</v>
      </c>
    </row>
    <row r="762" spans="12:12" x14ac:dyDescent="0.3">
      <c r="L762" s="19">
        <v>45009</v>
      </c>
    </row>
    <row r="763" spans="12:12" x14ac:dyDescent="0.3">
      <c r="L763" s="22">
        <v>45008</v>
      </c>
    </row>
    <row r="764" spans="12:12" x14ac:dyDescent="0.3">
      <c r="L764" s="19">
        <v>45007</v>
      </c>
    </row>
    <row r="765" spans="12:12" x14ac:dyDescent="0.3">
      <c r="L765" s="22">
        <v>45006</v>
      </c>
    </row>
    <row r="766" spans="12:12" x14ac:dyDescent="0.3">
      <c r="L766" s="19">
        <v>45005</v>
      </c>
    </row>
    <row r="767" spans="12:12" x14ac:dyDescent="0.3">
      <c r="L767" s="22">
        <v>45002</v>
      </c>
    </row>
    <row r="768" spans="12:12" x14ac:dyDescent="0.3">
      <c r="L768" s="19">
        <v>45001</v>
      </c>
    </row>
    <row r="769" spans="12:12" x14ac:dyDescent="0.3">
      <c r="L769" s="22">
        <v>45000</v>
      </c>
    </row>
    <row r="770" spans="12:12" x14ac:dyDescent="0.3">
      <c r="L770" s="19">
        <v>44999</v>
      </c>
    </row>
    <row r="771" spans="12:12" x14ac:dyDescent="0.3">
      <c r="L771" s="22">
        <v>44998</v>
      </c>
    </row>
    <row r="772" spans="12:12" x14ac:dyDescent="0.3">
      <c r="L772" s="19">
        <v>44995</v>
      </c>
    </row>
    <row r="773" spans="12:12" x14ac:dyDescent="0.3">
      <c r="L773" s="22">
        <v>44994</v>
      </c>
    </row>
    <row r="774" spans="12:12" x14ac:dyDescent="0.3">
      <c r="L774" s="19">
        <v>44993</v>
      </c>
    </row>
    <row r="775" spans="12:12" x14ac:dyDescent="0.3">
      <c r="L775" s="22">
        <v>44992</v>
      </c>
    </row>
    <row r="776" spans="12:12" x14ac:dyDescent="0.3">
      <c r="L776" s="19">
        <v>44991</v>
      </c>
    </row>
    <row r="777" spans="12:12" x14ac:dyDescent="0.3">
      <c r="L777" s="22">
        <v>44988</v>
      </c>
    </row>
    <row r="778" spans="12:12" x14ac:dyDescent="0.3">
      <c r="L778" s="19">
        <v>44987</v>
      </c>
    </row>
    <row r="779" spans="12:12" x14ac:dyDescent="0.3">
      <c r="L779" s="22">
        <v>44986</v>
      </c>
    </row>
    <row r="780" spans="12:12" x14ac:dyDescent="0.3">
      <c r="L780" s="19">
        <v>44985</v>
      </c>
    </row>
    <row r="781" spans="12:12" x14ac:dyDescent="0.3">
      <c r="L781" s="22">
        <v>44984</v>
      </c>
    </row>
    <row r="782" spans="12:12" x14ac:dyDescent="0.3">
      <c r="L782" s="19">
        <v>44981</v>
      </c>
    </row>
    <row r="783" spans="12:12" x14ac:dyDescent="0.3">
      <c r="L783" s="22">
        <v>44980</v>
      </c>
    </row>
    <row r="784" spans="12:12" x14ac:dyDescent="0.3">
      <c r="L784" s="19">
        <v>44979</v>
      </c>
    </row>
    <row r="785" spans="12:12" x14ac:dyDescent="0.3">
      <c r="L785" s="22">
        <v>44978</v>
      </c>
    </row>
    <row r="786" spans="12:12" x14ac:dyDescent="0.3">
      <c r="L786" s="19">
        <v>44977</v>
      </c>
    </row>
    <row r="787" spans="12:12" x14ac:dyDescent="0.3">
      <c r="L787" s="22">
        <v>44974</v>
      </c>
    </row>
    <row r="788" spans="12:12" x14ac:dyDescent="0.3">
      <c r="L788" s="19">
        <v>44973</v>
      </c>
    </row>
    <row r="789" spans="12:12" x14ac:dyDescent="0.3">
      <c r="L789" s="22">
        <v>44972</v>
      </c>
    </row>
    <row r="790" spans="12:12" x14ac:dyDescent="0.3">
      <c r="L790" s="19">
        <v>44971</v>
      </c>
    </row>
    <row r="791" spans="12:12" x14ac:dyDescent="0.3">
      <c r="L791" s="22">
        <v>44970</v>
      </c>
    </row>
    <row r="792" spans="12:12" x14ac:dyDescent="0.3">
      <c r="L792" s="19">
        <v>44967</v>
      </c>
    </row>
    <row r="793" spans="12:12" x14ac:dyDescent="0.3">
      <c r="L793" s="22">
        <v>44966</v>
      </c>
    </row>
    <row r="794" spans="12:12" x14ac:dyDescent="0.3">
      <c r="L794" s="19">
        <v>44965</v>
      </c>
    </row>
    <row r="795" spans="12:12" x14ac:dyDescent="0.3">
      <c r="L795" s="22">
        <v>44964</v>
      </c>
    </row>
    <row r="796" spans="12:12" x14ac:dyDescent="0.3">
      <c r="L796" s="19">
        <v>44963</v>
      </c>
    </row>
    <row r="797" spans="12:12" x14ac:dyDescent="0.3">
      <c r="L797" s="22">
        <v>44960</v>
      </c>
    </row>
    <row r="798" spans="12:12" x14ac:dyDescent="0.3">
      <c r="L798" s="19">
        <v>44959</v>
      </c>
    </row>
    <row r="799" spans="12:12" x14ac:dyDescent="0.3">
      <c r="L799" s="22">
        <v>44958</v>
      </c>
    </row>
    <row r="800" spans="12:12" x14ac:dyDescent="0.3">
      <c r="L800" s="19">
        <v>44957</v>
      </c>
    </row>
    <row r="801" spans="12:12" x14ac:dyDescent="0.3">
      <c r="L801" s="22">
        <v>44956</v>
      </c>
    </row>
    <row r="802" spans="12:12" x14ac:dyDescent="0.3">
      <c r="L802" s="19">
        <v>44953</v>
      </c>
    </row>
    <row r="803" spans="12:12" x14ac:dyDescent="0.3">
      <c r="L803" s="22">
        <v>44952</v>
      </c>
    </row>
    <row r="804" spans="12:12" x14ac:dyDescent="0.3">
      <c r="L804" s="19">
        <v>44951</v>
      </c>
    </row>
    <row r="805" spans="12:12" x14ac:dyDescent="0.3">
      <c r="L805" s="22">
        <v>44950</v>
      </c>
    </row>
    <row r="806" spans="12:12" x14ac:dyDescent="0.3">
      <c r="L806" s="19">
        <v>44949</v>
      </c>
    </row>
    <row r="807" spans="12:12" x14ac:dyDescent="0.3">
      <c r="L807" s="22">
        <v>44946</v>
      </c>
    </row>
    <row r="808" spans="12:12" x14ac:dyDescent="0.3">
      <c r="L808" s="19">
        <v>44945</v>
      </c>
    </row>
    <row r="809" spans="12:12" x14ac:dyDescent="0.3">
      <c r="L809" s="22">
        <v>44944</v>
      </c>
    </row>
    <row r="810" spans="12:12" x14ac:dyDescent="0.3">
      <c r="L810" s="19">
        <v>44943</v>
      </c>
    </row>
    <row r="811" spans="12:12" x14ac:dyDescent="0.3">
      <c r="L811" s="22">
        <v>44942</v>
      </c>
    </row>
    <row r="812" spans="12:12" x14ac:dyDescent="0.3">
      <c r="L812" s="19">
        <v>44939</v>
      </c>
    </row>
    <row r="813" spans="12:12" x14ac:dyDescent="0.3">
      <c r="L813" s="22">
        <v>44938</v>
      </c>
    </row>
    <row r="814" spans="12:12" x14ac:dyDescent="0.3">
      <c r="L814" s="19">
        <v>44937</v>
      </c>
    </row>
    <row r="815" spans="12:12" x14ac:dyDescent="0.3">
      <c r="L815" s="22">
        <v>44936</v>
      </c>
    </row>
    <row r="816" spans="12:12" x14ac:dyDescent="0.3">
      <c r="L816" s="19">
        <v>44935</v>
      </c>
    </row>
    <row r="817" spans="12:12" x14ac:dyDescent="0.3">
      <c r="L817" s="22">
        <v>44932</v>
      </c>
    </row>
    <row r="818" spans="12:12" x14ac:dyDescent="0.3">
      <c r="L818" s="19">
        <v>44931</v>
      </c>
    </row>
    <row r="819" spans="12:12" x14ac:dyDescent="0.3">
      <c r="L819" s="22">
        <v>44930</v>
      </c>
    </row>
    <row r="820" spans="12:12" x14ac:dyDescent="0.3">
      <c r="L820" s="19">
        <v>44929</v>
      </c>
    </row>
    <row r="821" spans="12:12" x14ac:dyDescent="0.3">
      <c r="L821" s="22">
        <v>44928</v>
      </c>
    </row>
    <row r="822" spans="12:12" x14ac:dyDescent="0.3">
      <c r="L822" s="19">
        <v>44925</v>
      </c>
    </row>
    <row r="823" spans="12:12" x14ac:dyDescent="0.3">
      <c r="L823" s="22">
        <v>44924</v>
      </c>
    </row>
    <row r="824" spans="12:12" x14ac:dyDescent="0.3">
      <c r="L824" s="19">
        <v>44923</v>
      </c>
    </row>
    <row r="825" spans="12:12" x14ac:dyDescent="0.3">
      <c r="L825" s="22">
        <v>44922</v>
      </c>
    </row>
    <row r="826" spans="12:12" x14ac:dyDescent="0.3">
      <c r="L826" s="19">
        <v>44921</v>
      </c>
    </row>
    <row r="827" spans="12:12" x14ac:dyDescent="0.3">
      <c r="L827" s="22">
        <v>44918</v>
      </c>
    </row>
    <row r="828" spans="12:12" x14ac:dyDescent="0.3">
      <c r="L828" s="19">
        <v>44917</v>
      </c>
    </row>
    <row r="829" spans="12:12" x14ac:dyDescent="0.3">
      <c r="L829" s="22">
        <v>44916</v>
      </c>
    </row>
    <row r="830" spans="12:12" x14ac:dyDescent="0.3">
      <c r="L830" s="19">
        <v>44915</v>
      </c>
    </row>
    <row r="831" spans="12:12" x14ac:dyDescent="0.3">
      <c r="L831" s="22">
        <v>44914</v>
      </c>
    </row>
    <row r="832" spans="12:12" x14ac:dyDescent="0.3">
      <c r="L832" s="19">
        <v>44911</v>
      </c>
    </row>
    <row r="833" spans="12:12" x14ac:dyDescent="0.3">
      <c r="L833" s="22">
        <v>44910</v>
      </c>
    </row>
    <row r="834" spans="12:12" x14ac:dyDescent="0.3">
      <c r="L834" s="19">
        <v>44909</v>
      </c>
    </row>
    <row r="835" spans="12:12" x14ac:dyDescent="0.3">
      <c r="L835" s="22">
        <v>44908</v>
      </c>
    </row>
    <row r="836" spans="12:12" x14ac:dyDescent="0.3">
      <c r="L836" s="19">
        <v>44907</v>
      </c>
    </row>
    <row r="837" spans="12:12" x14ac:dyDescent="0.3">
      <c r="L837" s="22">
        <v>44904</v>
      </c>
    </row>
    <row r="838" spans="12:12" x14ac:dyDescent="0.3">
      <c r="L838" s="19">
        <v>44903</v>
      </c>
    </row>
    <row r="839" spans="12:12" x14ac:dyDescent="0.3">
      <c r="L839" s="22">
        <v>44902</v>
      </c>
    </row>
    <row r="840" spans="12:12" x14ac:dyDescent="0.3">
      <c r="L840" s="19">
        <v>44901</v>
      </c>
    </row>
    <row r="841" spans="12:12" x14ac:dyDescent="0.3">
      <c r="L841" s="22">
        <v>44900</v>
      </c>
    </row>
    <row r="842" spans="12:12" x14ac:dyDescent="0.3">
      <c r="L842" s="19">
        <v>44897</v>
      </c>
    </row>
    <row r="843" spans="12:12" x14ac:dyDescent="0.3">
      <c r="L843" s="22">
        <v>44896</v>
      </c>
    </row>
    <row r="844" spans="12:12" x14ac:dyDescent="0.3">
      <c r="L844" s="19">
        <v>44895</v>
      </c>
    </row>
    <row r="845" spans="12:12" x14ac:dyDescent="0.3">
      <c r="L845" s="22">
        <v>44894</v>
      </c>
    </row>
    <row r="846" spans="12:12" x14ac:dyDescent="0.3">
      <c r="L846" s="19">
        <v>44893</v>
      </c>
    </row>
    <row r="847" spans="12:12" x14ac:dyDescent="0.3">
      <c r="L847" s="22">
        <v>44890</v>
      </c>
    </row>
    <row r="848" spans="12:12" x14ac:dyDescent="0.3">
      <c r="L848" s="19">
        <v>44889</v>
      </c>
    </row>
    <row r="849" spans="12:12" x14ac:dyDescent="0.3">
      <c r="L849" s="22">
        <v>44888</v>
      </c>
    </row>
    <row r="850" spans="12:12" x14ac:dyDescent="0.3">
      <c r="L850" s="19">
        <v>44887</v>
      </c>
    </row>
    <row r="851" spans="12:12" x14ac:dyDescent="0.3">
      <c r="L851" s="22">
        <v>44886</v>
      </c>
    </row>
    <row r="852" spans="12:12" x14ac:dyDescent="0.3">
      <c r="L852" s="19">
        <v>44883</v>
      </c>
    </row>
    <row r="853" spans="12:12" x14ac:dyDescent="0.3">
      <c r="L853" s="22">
        <v>44882</v>
      </c>
    </row>
    <row r="854" spans="12:12" x14ac:dyDescent="0.3">
      <c r="L854" s="19">
        <v>44881</v>
      </c>
    </row>
    <row r="855" spans="12:12" x14ac:dyDescent="0.3">
      <c r="L855" s="22">
        <v>44880</v>
      </c>
    </row>
    <row r="856" spans="12:12" x14ac:dyDescent="0.3">
      <c r="L856" s="19">
        <v>44879</v>
      </c>
    </row>
    <row r="857" spans="12:12" x14ac:dyDescent="0.3">
      <c r="L857" s="22">
        <v>44876</v>
      </c>
    </row>
    <row r="858" spans="12:12" x14ac:dyDescent="0.3">
      <c r="L858" s="19">
        <v>44875</v>
      </c>
    </row>
    <row r="859" spans="12:12" x14ac:dyDescent="0.3">
      <c r="L859" s="22">
        <v>44874</v>
      </c>
    </row>
    <row r="860" spans="12:12" x14ac:dyDescent="0.3">
      <c r="L860" s="19">
        <v>44873</v>
      </c>
    </row>
    <row r="861" spans="12:12" x14ac:dyDescent="0.3">
      <c r="L861" s="22">
        <v>44872</v>
      </c>
    </row>
    <row r="862" spans="12:12" x14ac:dyDescent="0.3">
      <c r="L862" s="19">
        <v>44869</v>
      </c>
    </row>
    <row r="863" spans="12:12" x14ac:dyDescent="0.3">
      <c r="L863" s="22">
        <v>44868</v>
      </c>
    </row>
    <row r="864" spans="12:12" x14ac:dyDescent="0.3">
      <c r="L864" s="19">
        <v>44867</v>
      </c>
    </row>
    <row r="865" spans="12:12" x14ac:dyDescent="0.3">
      <c r="L865" s="22">
        <v>44866</v>
      </c>
    </row>
    <row r="866" spans="12:12" x14ac:dyDescent="0.3">
      <c r="L866" s="19">
        <v>44865</v>
      </c>
    </row>
    <row r="867" spans="12:12" x14ac:dyDescent="0.3">
      <c r="L867" s="22">
        <v>44862</v>
      </c>
    </row>
    <row r="868" spans="12:12" x14ac:dyDescent="0.3">
      <c r="L868" s="19">
        <v>44861</v>
      </c>
    </row>
    <row r="869" spans="12:12" x14ac:dyDescent="0.3">
      <c r="L869" s="22">
        <v>44860</v>
      </c>
    </row>
    <row r="870" spans="12:12" x14ac:dyDescent="0.3">
      <c r="L870" s="19">
        <v>44859</v>
      </c>
    </row>
    <row r="871" spans="12:12" x14ac:dyDescent="0.3">
      <c r="L871" s="22">
        <v>44858</v>
      </c>
    </row>
    <row r="872" spans="12:12" x14ac:dyDescent="0.3">
      <c r="L872" s="19">
        <v>44855</v>
      </c>
    </row>
    <row r="873" spans="12:12" x14ac:dyDescent="0.3">
      <c r="L873" s="22">
        <v>44854</v>
      </c>
    </row>
    <row r="874" spans="12:12" x14ac:dyDescent="0.3">
      <c r="L874" s="19">
        <v>44853</v>
      </c>
    </row>
    <row r="875" spans="12:12" x14ac:dyDescent="0.3">
      <c r="L875" s="22">
        <v>44852</v>
      </c>
    </row>
    <row r="876" spans="12:12" x14ac:dyDescent="0.3">
      <c r="L876" s="19">
        <v>44851</v>
      </c>
    </row>
    <row r="877" spans="12:12" x14ac:dyDescent="0.3">
      <c r="L877" s="22">
        <v>44848</v>
      </c>
    </row>
    <row r="878" spans="12:12" x14ac:dyDescent="0.3">
      <c r="L878" s="19">
        <v>44847</v>
      </c>
    </row>
    <row r="879" spans="12:12" x14ac:dyDescent="0.3">
      <c r="L879" s="22">
        <v>44846</v>
      </c>
    </row>
    <row r="880" spans="12:12" x14ac:dyDescent="0.3">
      <c r="L880" s="19">
        <v>44845</v>
      </c>
    </row>
    <row r="881" spans="12:12" x14ac:dyDescent="0.3">
      <c r="L881" s="22">
        <v>44844</v>
      </c>
    </row>
    <row r="882" spans="12:12" x14ac:dyDescent="0.3">
      <c r="L882" s="19">
        <v>44841</v>
      </c>
    </row>
    <row r="883" spans="12:12" x14ac:dyDescent="0.3">
      <c r="L883" s="22">
        <v>44840</v>
      </c>
    </row>
    <row r="884" spans="12:12" x14ac:dyDescent="0.3">
      <c r="L884" s="19">
        <v>44839</v>
      </c>
    </row>
    <row r="885" spans="12:12" x14ac:dyDescent="0.3">
      <c r="L885" s="22">
        <v>44838</v>
      </c>
    </row>
    <row r="886" spans="12:12" x14ac:dyDescent="0.3">
      <c r="L886" s="19">
        <v>44837</v>
      </c>
    </row>
    <row r="887" spans="12:12" x14ac:dyDescent="0.3">
      <c r="L887" s="22">
        <v>44834</v>
      </c>
    </row>
    <row r="888" spans="12:12" x14ac:dyDescent="0.3">
      <c r="L888" s="19">
        <v>44833</v>
      </c>
    </row>
    <row r="889" spans="12:12" x14ac:dyDescent="0.3">
      <c r="L889" s="22">
        <v>44832</v>
      </c>
    </row>
    <row r="890" spans="12:12" x14ac:dyDescent="0.3">
      <c r="L890" s="19">
        <v>44831</v>
      </c>
    </row>
    <row r="891" spans="12:12" x14ac:dyDescent="0.3">
      <c r="L891" s="22">
        <v>44830</v>
      </c>
    </row>
    <row r="892" spans="12:12" x14ac:dyDescent="0.3">
      <c r="L892" s="19">
        <v>44827</v>
      </c>
    </row>
    <row r="893" spans="12:12" x14ac:dyDescent="0.3">
      <c r="L893" s="22">
        <v>44826</v>
      </c>
    </row>
    <row r="894" spans="12:12" x14ac:dyDescent="0.3">
      <c r="L894" s="19">
        <v>44825</v>
      </c>
    </row>
    <row r="895" spans="12:12" x14ac:dyDescent="0.3">
      <c r="L895" s="22">
        <v>44824</v>
      </c>
    </row>
    <row r="896" spans="12:12" x14ac:dyDescent="0.3">
      <c r="L896" s="19">
        <v>44823</v>
      </c>
    </row>
    <row r="897" spans="12:12" x14ac:dyDescent="0.3">
      <c r="L897" s="22">
        <v>44820</v>
      </c>
    </row>
    <row r="898" spans="12:12" x14ac:dyDescent="0.3">
      <c r="L898" s="19">
        <v>44819</v>
      </c>
    </row>
    <row r="899" spans="12:12" x14ac:dyDescent="0.3">
      <c r="L899" s="22">
        <v>44818</v>
      </c>
    </row>
    <row r="900" spans="12:12" x14ac:dyDescent="0.3">
      <c r="L900" s="19">
        <v>44817</v>
      </c>
    </row>
    <row r="901" spans="12:12" x14ac:dyDescent="0.3">
      <c r="L901" s="22">
        <v>44816</v>
      </c>
    </row>
    <row r="902" spans="12:12" x14ac:dyDescent="0.3">
      <c r="L902" s="19">
        <v>44813</v>
      </c>
    </row>
    <row r="903" spans="12:12" x14ac:dyDescent="0.3">
      <c r="L903" s="22">
        <v>44812</v>
      </c>
    </row>
    <row r="904" spans="12:12" x14ac:dyDescent="0.3">
      <c r="L904" s="19">
        <v>44811</v>
      </c>
    </row>
    <row r="905" spans="12:12" x14ac:dyDescent="0.3">
      <c r="L905" s="22">
        <v>44810</v>
      </c>
    </row>
    <row r="906" spans="12:12" x14ac:dyDescent="0.3">
      <c r="L906" s="19">
        <v>44809</v>
      </c>
    </row>
    <row r="907" spans="12:12" x14ac:dyDescent="0.3">
      <c r="L907" s="22">
        <v>44806</v>
      </c>
    </row>
    <row r="908" spans="12:12" x14ac:dyDescent="0.3">
      <c r="L908" s="19">
        <v>44805</v>
      </c>
    </row>
    <row r="909" spans="12:12" x14ac:dyDescent="0.3">
      <c r="L909" s="22">
        <v>44804</v>
      </c>
    </row>
    <row r="910" spans="12:12" x14ac:dyDescent="0.3">
      <c r="L910" s="19">
        <v>44803</v>
      </c>
    </row>
    <row r="911" spans="12:12" x14ac:dyDescent="0.3">
      <c r="L911" s="22">
        <v>44802</v>
      </c>
    </row>
    <row r="912" spans="12:12" x14ac:dyDescent="0.3">
      <c r="L912" s="19">
        <v>44799</v>
      </c>
    </row>
    <row r="913" spans="12:12" x14ac:dyDescent="0.3">
      <c r="L913" s="22">
        <v>44798</v>
      </c>
    </row>
    <row r="914" spans="12:12" x14ac:dyDescent="0.3">
      <c r="L914" s="19">
        <v>44797</v>
      </c>
    </row>
    <row r="915" spans="12:12" x14ac:dyDescent="0.3">
      <c r="L915" s="22">
        <v>44796</v>
      </c>
    </row>
    <row r="916" spans="12:12" x14ac:dyDescent="0.3">
      <c r="L916" s="19">
        <v>44795</v>
      </c>
    </row>
    <row r="917" spans="12:12" x14ac:dyDescent="0.3">
      <c r="L917" s="22">
        <v>44792</v>
      </c>
    </row>
    <row r="918" spans="12:12" x14ac:dyDescent="0.3">
      <c r="L918" s="19">
        <v>44791</v>
      </c>
    </row>
    <row r="919" spans="12:12" x14ac:dyDescent="0.3">
      <c r="L919" s="22">
        <v>44790</v>
      </c>
    </row>
    <row r="920" spans="12:12" x14ac:dyDescent="0.3">
      <c r="L920" s="19">
        <v>44789</v>
      </c>
    </row>
    <row r="921" spans="12:12" x14ac:dyDescent="0.3">
      <c r="L921" s="22">
        <v>44788</v>
      </c>
    </row>
    <row r="922" spans="12:12" x14ac:dyDescent="0.3">
      <c r="L922" s="19">
        <v>44785</v>
      </c>
    </row>
    <row r="923" spans="12:12" x14ac:dyDescent="0.3">
      <c r="L923" s="22">
        <v>44784</v>
      </c>
    </row>
    <row r="924" spans="12:12" x14ac:dyDescent="0.3">
      <c r="L924" s="19">
        <v>44783</v>
      </c>
    </row>
    <row r="925" spans="12:12" x14ac:dyDescent="0.3">
      <c r="L925" s="22">
        <v>44782</v>
      </c>
    </row>
    <row r="926" spans="12:12" x14ac:dyDescent="0.3">
      <c r="L926" s="19">
        <v>44781</v>
      </c>
    </row>
    <row r="927" spans="12:12" x14ac:dyDescent="0.3">
      <c r="L927" s="22">
        <v>44778</v>
      </c>
    </row>
    <row r="928" spans="12:12" x14ac:dyDescent="0.3">
      <c r="L928" s="19">
        <v>44777</v>
      </c>
    </row>
    <row r="929" spans="12:12" x14ac:dyDescent="0.3">
      <c r="L929" s="22">
        <v>44776</v>
      </c>
    </row>
    <row r="930" spans="12:12" x14ac:dyDescent="0.3">
      <c r="L930" s="19">
        <v>44775</v>
      </c>
    </row>
    <row r="931" spans="12:12" x14ac:dyDescent="0.3">
      <c r="L931" s="22">
        <v>44774</v>
      </c>
    </row>
    <row r="932" spans="12:12" x14ac:dyDescent="0.3">
      <c r="L932" s="19">
        <v>44771</v>
      </c>
    </row>
    <row r="933" spans="12:12" x14ac:dyDescent="0.3">
      <c r="L933" s="22">
        <v>44770</v>
      </c>
    </row>
    <row r="934" spans="12:12" x14ac:dyDescent="0.3">
      <c r="L934" s="19">
        <v>44769</v>
      </c>
    </row>
    <row r="935" spans="12:12" x14ac:dyDescent="0.3">
      <c r="L935" s="22">
        <v>44768</v>
      </c>
    </row>
    <row r="936" spans="12:12" x14ac:dyDescent="0.3">
      <c r="L936" s="19">
        <v>44767</v>
      </c>
    </row>
    <row r="937" spans="12:12" x14ac:dyDescent="0.3">
      <c r="L937" s="22">
        <v>44764</v>
      </c>
    </row>
    <row r="938" spans="12:12" x14ac:dyDescent="0.3">
      <c r="L938" s="19">
        <v>44763</v>
      </c>
    </row>
    <row r="939" spans="12:12" x14ac:dyDescent="0.3">
      <c r="L939" s="22">
        <v>44762</v>
      </c>
    </row>
    <row r="940" spans="12:12" x14ac:dyDescent="0.3">
      <c r="L940" s="19">
        <v>44761</v>
      </c>
    </row>
    <row r="941" spans="12:12" x14ac:dyDescent="0.3">
      <c r="L941" s="22">
        <v>44760</v>
      </c>
    </row>
    <row r="942" spans="12:12" x14ac:dyDescent="0.3">
      <c r="L942" s="19">
        <v>44757</v>
      </c>
    </row>
    <row r="943" spans="12:12" x14ac:dyDescent="0.3">
      <c r="L943" s="22">
        <v>44756</v>
      </c>
    </row>
    <row r="944" spans="12:12" x14ac:dyDescent="0.3">
      <c r="L944" s="19">
        <v>44755</v>
      </c>
    </row>
    <row r="945" spans="12:12" x14ac:dyDescent="0.3">
      <c r="L945" s="22">
        <v>44754</v>
      </c>
    </row>
    <row r="946" spans="12:12" x14ac:dyDescent="0.3">
      <c r="L946" s="19">
        <v>44753</v>
      </c>
    </row>
    <row r="947" spans="12:12" x14ac:dyDescent="0.3">
      <c r="L947" s="22">
        <v>44750</v>
      </c>
    </row>
    <row r="948" spans="12:12" x14ac:dyDescent="0.3">
      <c r="L948" s="19">
        <v>44749</v>
      </c>
    </row>
    <row r="949" spans="12:12" x14ac:dyDescent="0.3">
      <c r="L949" s="22">
        <v>44748</v>
      </c>
    </row>
    <row r="950" spans="12:12" x14ac:dyDescent="0.3">
      <c r="L950" s="19">
        <v>44747</v>
      </c>
    </row>
    <row r="951" spans="12:12" x14ac:dyDescent="0.3">
      <c r="L951" s="22">
        <v>44746</v>
      </c>
    </row>
    <row r="952" spans="12:12" x14ac:dyDescent="0.3">
      <c r="L952" s="19">
        <v>44743</v>
      </c>
    </row>
    <row r="953" spans="12:12" x14ac:dyDescent="0.3">
      <c r="L953" s="22">
        <v>44742</v>
      </c>
    </row>
    <row r="954" spans="12:12" x14ac:dyDescent="0.3">
      <c r="L954" s="19">
        <v>44741</v>
      </c>
    </row>
    <row r="955" spans="12:12" x14ac:dyDescent="0.3">
      <c r="L955" s="22">
        <v>44740</v>
      </c>
    </row>
    <row r="956" spans="12:12" x14ac:dyDescent="0.3">
      <c r="L956" s="19">
        <v>44739</v>
      </c>
    </row>
    <row r="957" spans="12:12" x14ac:dyDescent="0.3">
      <c r="L957" s="22">
        <v>44736</v>
      </c>
    </row>
    <row r="958" spans="12:12" x14ac:dyDescent="0.3">
      <c r="L958" s="19">
        <v>44735</v>
      </c>
    </row>
    <row r="959" spans="12:12" x14ac:dyDescent="0.3">
      <c r="L959" s="22">
        <v>44734</v>
      </c>
    </row>
    <row r="960" spans="12:12" x14ac:dyDescent="0.3">
      <c r="L960" s="19">
        <v>44733</v>
      </c>
    </row>
    <row r="961" spans="12:12" x14ac:dyDescent="0.3">
      <c r="L961" s="22">
        <v>44732</v>
      </c>
    </row>
    <row r="962" spans="12:12" x14ac:dyDescent="0.3">
      <c r="L962" s="19">
        <v>44729</v>
      </c>
    </row>
    <row r="963" spans="12:12" x14ac:dyDescent="0.3">
      <c r="L963" s="22">
        <v>44728</v>
      </c>
    </row>
    <row r="964" spans="12:12" x14ac:dyDescent="0.3">
      <c r="L964" s="19">
        <v>44727</v>
      </c>
    </row>
    <row r="965" spans="12:12" x14ac:dyDescent="0.3">
      <c r="L965" s="22">
        <v>44726</v>
      </c>
    </row>
    <row r="966" spans="12:12" x14ac:dyDescent="0.3">
      <c r="L966" s="19">
        <v>44725</v>
      </c>
    </row>
    <row r="967" spans="12:12" x14ac:dyDescent="0.3">
      <c r="L967" s="22">
        <v>44722</v>
      </c>
    </row>
    <row r="968" spans="12:12" x14ac:dyDescent="0.3">
      <c r="L968" s="19">
        <v>44721</v>
      </c>
    </row>
    <row r="969" spans="12:12" x14ac:dyDescent="0.3">
      <c r="L969" s="22">
        <v>44720</v>
      </c>
    </row>
    <row r="970" spans="12:12" x14ac:dyDescent="0.3">
      <c r="L970" s="19">
        <v>44719</v>
      </c>
    </row>
    <row r="971" spans="12:12" x14ac:dyDescent="0.3">
      <c r="L971" s="22">
        <v>44718</v>
      </c>
    </row>
    <row r="972" spans="12:12" x14ac:dyDescent="0.3">
      <c r="L972" s="19">
        <v>44715</v>
      </c>
    </row>
    <row r="973" spans="12:12" x14ac:dyDescent="0.3">
      <c r="L973" s="22">
        <v>44714</v>
      </c>
    </row>
    <row r="974" spans="12:12" x14ac:dyDescent="0.3">
      <c r="L974" s="19">
        <v>44713</v>
      </c>
    </row>
    <row r="975" spans="12:12" x14ac:dyDescent="0.3">
      <c r="L975" s="22">
        <v>44712</v>
      </c>
    </row>
    <row r="976" spans="12:12" x14ac:dyDescent="0.3">
      <c r="L976" s="19">
        <v>44711</v>
      </c>
    </row>
    <row r="977" spans="12:12" x14ac:dyDescent="0.3">
      <c r="L977" s="22">
        <v>44708</v>
      </c>
    </row>
    <row r="978" spans="12:12" x14ac:dyDescent="0.3">
      <c r="L978" s="19">
        <v>44707</v>
      </c>
    </row>
    <row r="979" spans="12:12" x14ac:dyDescent="0.3">
      <c r="L979" s="22">
        <v>44706</v>
      </c>
    </row>
    <row r="980" spans="12:12" x14ac:dyDescent="0.3">
      <c r="L980" s="19">
        <v>44705</v>
      </c>
    </row>
    <row r="981" spans="12:12" x14ac:dyDescent="0.3">
      <c r="L981" s="22">
        <v>44704</v>
      </c>
    </row>
    <row r="982" spans="12:12" x14ac:dyDescent="0.3">
      <c r="L982" s="19">
        <v>44701</v>
      </c>
    </row>
    <row r="983" spans="12:12" x14ac:dyDescent="0.3">
      <c r="L983" s="22">
        <v>44700</v>
      </c>
    </row>
    <row r="984" spans="12:12" x14ac:dyDescent="0.3">
      <c r="L984" s="19">
        <v>44699</v>
      </c>
    </row>
    <row r="985" spans="12:12" x14ac:dyDescent="0.3">
      <c r="L985" s="22">
        <v>44698</v>
      </c>
    </row>
    <row r="986" spans="12:12" x14ac:dyDescent="0.3">
      <c r="L986" s="19">
        <v>44697</v>
      </c>
    </row>
    <row r="987" spans="12:12" x14ac:dyDescent="0.3">
      <c r="L987" s="22">
        <v>44694</v>
      </c>
    </row>
    <row r="988" spans="12:12" x14ac:dyDescent="0.3">
      <c r="L988" s="19">
        <v>44693</v>
      </c>
    </row>
    <row r="989" spans="12:12" x14ac:dyDescent="0.3">
      <c r="L989" s="22">
        <v>44692</v>
      </c>
    </row>
    <row r="990" spans="12:12" x14ac:dyDescent="0.3">
      <c r="L990" s="19">
        <v>44691</v>
      </c>
    </row>
    <row r="991" spans="12:12" x14ac:dyDescent="0.3">
      <c r="L991" s="22">
        <v>44690</v>
      </c>
    </row>
    <row r="992" spans="12:12" x14ac:dyDescent="0.3">
      <c r="L992" s="19">
        <v>44687</v>
      </c>
    </row>
    <row r="993" spans="12:12" x14ac:dyDescent="0.3">
      <c r="L993" s="22">
        <v>44686</v>
      </c>
    </row>
    <row r="994" spans="12:12" x14ac:dyDescent="0.3">
      <c r="L994" s="19">
        <v>44685</v>
      </c>
    </row>
    <row r="995" spans="12:12" x14ac:dyDescent="0.3">
      <c r="L995" s="22">
        <v>44684</v>
      </c>
    </row>
    <row r="996" spans="12:12" x14ac:dyDescent="0.3">
      <c r="L996" s="19">
        <v>44683</v>
      </c>
    </row>
    <row r="997" spans="12:12" x14ac:dyDescent="0.3">
      <c r="L997" s="22">
        <v>44680</v>
      </c>
    </row>
    <row r="998" spans="12:12" x14ac:dyDescent="0.3">
      <c r="L998" s="19">
        <v>44679</v>
      </c>
    </row>
    <row r="999" spans="12:12" x14ac:dyDescent="0.3">
      <c r="L999" s="22">
        <v>44678</v>
      </c>
    </row>
    <row r="1000" spans="12:12" x14ac:dyDescent="0.3">
      <c r="L1000" s="19">
        <v>44677</v>
      </c>
    </row>
    <row r="1001" spans="12:12" x14ac:dyDescent="0.3">
      <c r="L1001" s="22">
        <v>44676</v>
      </c>
    </row>
    <row r="1002" spans="12:12" x14ac:dyDescent="0.3">
      <c r="L1002" s="19">
        <v>44673</v>
      </c>
    </row>
    <row r="1003" spans="12:12" x14ac:dyDescent="0.3">
      <c r="L1003" s="22">
        <v>44672</v>
      </c>
    </row>
    <row r="1004" spans="12:12" x14ac:dyDescent="0.3">
      <c r="L1004" s="19">
        <v>44671</v>
      </c>
    </row>
    <row r="1005" spans="12:12" x14ac:dyDescent="0.3">
      <c r="L1005" s="22">
        <v>44670</v>
      </c>
    </row>
    <row r="1006" spans="12:12" x14ac:dyDescent="0.3">
      <c r="L1006" s="19">
        <v>44669</v>
      </c>
    </row>
    <row r="1007" spans="12:12" x14ac:dyDescent="0.3">
      <c r="L1007" s="22">
        <v>44666</v>
      </c>
    </row>
    <row r="1008" spans="12:12" x14ac:dyDescent="0.3">
      <c r="L1008" s="19">
        <v>44665</v>
      </c>
    </row>
    <row r="1009" spans="12:12" x14ac:dyDescent="0.3">
      <c r="L1009" s="22">
        <v>44664</v>
      </c>
    </row>
    <row r="1010" spans="12:12" x14ac:dyDescent="0.3">
      <c r="L1010" s="19">
        <v>44663</v>
      </c>
    </row>
    <row r="1011" spans="12:12" x14ac:dyDescent="0.3">
      <c r="L1011" s="22">
        <v>44662</v>
      </c>
    </row>
    <row r="1012" spans="12:12" x14ac:dyDescent="0.3">
      <c r="L1012" s="19">
        <v>44659</v>
      </c>
    </row>
    <row r="1013" spans="12:12" x14ac:dyDescent="0.3">
      <c r="L1013" s="22">
        <v>44658</v>
      </c>
    </row>
    <row r="1014" spans="12:12" x14ac:dyDescent="0.3">
      <c r="L1014" s="19">
        <v>44657</v>
      </c>
    </row>
    <row r="1015" spans="12:12" x14ac:dyDescent="0.3">
      <c r="L1015" s="22">
        <v>44656</v>
      </c>
    </row>
    <row r="1016" spans="12:12" x14ac:dyDescent="0.3">
      <c r="L1016" s="19">
        <v>44655</v>
      </c>
    </row>
    <row r="1017" spans="12:12" x14ac:dyDescent="0.3">
      <c r="L1017" s="22">
        <v>44652</v>
      </c>
    </row>
    <row r="1018" spans="12:12" x14ac:dyDescent="0.3">
      <c r="L1018" s="19">
        <v>44651</v>
      </c>
    </row>
    <row r="1019" spans="12:12" x14ac:dyDescent="0.3">
      <c r="L1019" s="22">
        <v>44650</v>
      </c>
    </row>
    <row r="1020" spans="12:12" x14ac:dyDescent="0.3">
      <c r="L1020" s="19">
        <v>44649</v>
      </c>
    </row>
    <row r="1021" spans="12:12" x14ac:dyDescent="0.3">
      <c r="L1021" s="22">
        <v>44648</v>
      </c>
    </row>
    <row r="1022" spans="12:12" x14ac:dyDescent="0.3">
      <c r="L1022" s="19">
        <v>44645</v>
      </c>
    </row>
    <row r="1023" spans="12:12" x14ac:dyDescent="0.3">
      <c r="L1023" s="22">
        <v>44644</v>
      </c>
    </row>
    <row r="1024" spans="12:12" x14ac:dyDescent="0.3">
      <c r="L1024" s="19">
        <v>44643</v>
      </c>
    </row>
    <row r="1025" spans="12:12" x14ac:dyDescent="0.3">
      <c r="L1025" s="22">
        <v>44642</v>
      </c>
    </row>
    <row r="1026" spans="12:12" x14ac:dyDescent="0.3">
      <c r="L1026" s="19">
        <v>44641</v>
      </c>
    </row>
    <row r="1027" spans="12:12" x14ac:dyDescent="0.3">
      <c r="L1027" s="22">
        <v>44638</v>
      </c>
    </row>
    <row r="1028" spans="12:12" x14ac:dyDescent="0.3">
      <c r="L1028" s="19">
        <v>44637</v>
      </c>
    </row>
    <row r="1029" spans="12:12" x14ac:dyDescent="0.3">
      <c r="L1029" s="22">
        <v>44636</v>
      </c>
    </row>
    <row r="1030" spans="12:12" x14ac:dyDescent="0.3">
      <c r="L1030" s="19">
        <v>44635</v>
      </c>
    </row>
    <row r="1031" spans="12:12" x14ac:dyDescent="0.3">
      <c r="L1031" s="22">
        <v>44634</v>
      </c>
    </row>
    <row r="1032" spans="12:12" x14ac:dyDescent="0.3">
      <c r="L1032" s="19">
        <v>44631</v>
      </c>
    </row>
    <row r="1033" spans="12:12" x14ac:dyDescent="0.3">
      <c r="L1033" s="22">
        <v>44630</v>
      </c>
    </row>
    <row r="1034" spans="12:12" x14ac:dyDescent="0.3">
      <c r="L1034" s="19">
        <v>44629</v>
      </c>
    </row>
    <row r="1035" spans="12:12" x14ac:dyDescent="0.3">
      <c r="L1035" s="22">
        <v>44628</v>
      </c>
    </row>
    <row r="1036" spans="12:12" x14ac:dyDescent="0.3">
      <c r="L1036" s="19">
        <v>44627</v>
      </c>
    </row>
    <row r="1037" spans="12:12" x14ac:dyDescent="0.3">
      <c r="L1037" s="22">
        <v>44624</v>
      </c>
    </row>
    <row r="1038" spans="12:12" x14ac:dyDescent="0.3">
      <c r="L1038" s="19">
        <v>44623</v>
      </c>
    </row>
    <row r="1039" spans="12:12" x14ac:dyDescent="0.3">
      <c r="L1039" s="22">
        <v>44622</v>
      </c>
    </row>
    <row r="1040" spans="12:12" x14ac:dyDescent="0.3">
      <c r="L1040" s="19">
        <v>44621</v>
      </c>
    </row>
    <row r="1041" spans="12:12" x14ac:dyDescent="0.3">
      <c r="L1041" s="22">
        <v>44620</v>
      </c>
    </row>
    <row r="1042" spans="12:12" x14ac:dyDescent="0.3">
      <c r="L1042" s="19">
        <v>44617</v>
      </c>
    </row>
    <row r="1043" spans="12:12" x14ac:dyDescent="0.3">
      <c r="L1043" s="22">
        <v>44616</v>
      </c>
    </row>
    <row r="1044" spans="12:12" x14ac:dyDescent="0.3">
      <c r="L1044" s="19">
        <v>44615</v>
      </c>
    </row>
    <row r="1045" spans="12:12" x14ac:dyDescent="0.3">
      <c r="L1045" s="22">
        <v>44614</v>
      </c>
    </row>
    <row r="1046" spans="12:12" x14ac:dyDescent="0.3">
      <c r="L1046" s="19">
        <v>44613</v>
      </c>
    </row>
    <row r="1047" spans="12:12" x14ac:dyDescent="0.3">
      <c r="L1047" s="22">
        <v>44610</v>
      </c>
    </row>
    <row r="1048" spans="12:12" x14ac:dyDescent="0.3">
      <c r="L1048" s="19">
        <v>44609</v>
      </c>
    </row>
    <row r="1049" spans="12:12" x14ac:dyDescent="0.3">
      <c r="L1049" s="22">
        <v>44608</v>
      </c>
    </row>
    <row r="1050" spans="12:12" x14ac:dyDescent="0.3">
      <c r="L1050" s="19">
        <v>44607</v>
      </c>
    </row>
    <row r="1051" spans="12:12" x14ac:dyDescent="0.3">
      <c r="L1051" s="22">
        <v>44606</v>
      </c>
    </row>
    <row r="1052" spans="12:12" x14ac:dyDescent="0.3">
      <c r="L1052" s="19">
        <v>44603</v>
      </c>
    </row>
    <row r="1053" spans="12:12" x14ac:dyDescent="0.3">
      <c r="L1053" s="22">
        <v>44602</v>
      </c>
    </row>
    <row r="1054" spans="12:12" x14ac:dyDescent="0.3">
      <c r="L1054" s="19">
        <v>44601</v>
      </c>
    </row>
    <row r="1055" spans="12:12" x14ac:dyDescent="0.3">
      <c r="L1055" s="22">
        <v>44600</v>
      </c>
    </row>
    <row r="1056" spans="12:12" x14ac:dyDescent="0.3">
      <c r="L1056" s="19">
        <v>44599</v>
      </c>
    </row>
    <row r="1057" spans="12:12" x14ac:dyDescent="0.3">
      <c r="L1057" s="22">
        <v>44596</v>
      </c>
    </row>
    <row r="1058" spans="12:12" x14ac:dyDescent="0.3">
      <c r="L1058" s="19">
        <v>44595</v>
      </c>
    </row>
    <row r="1059" spans="12:12" x14ac:dyDescent="0.3">
      <c r="L1059" s="22">
        <v>44594</v>
      </c>
    </row>
    <row r="1060" spans="12:12" x14ac:dyDescent="0.3">
      <c r="L1060" s="19">
        <v>44593</v>
      </c>
    </row>
    <row r="1061" spans="12:12" x14ac:dyDescent="0.3">
      <c r="L1061" s="22">
        <v>44592</v>
      </c>
    </row>
    <row r="1062" spans="12:12" x14ac:dyDescent="0.3">
      <c r="L1062" s="19">
        <v>44589</v>
      </c>
    </row>
    <row r="1063" spans="12:12" x14ac:dyDescent="0.3">
      <c r="L1063" s="22">
        <v>44588</v>
      </c>
    </row>
    <row r="1064" spans="12:12" x14ac:dyDescent="0.3">
      <c r="L1064" s="19">
        <v>44587</v>
      </c>
    </row>
    <row r="1065" spans="12:12" x14ac:dyDescent="0.3">
      <c r="L1065" s="22">
        <v>44586</v>
      </c>
    </row>
    <row r="1066" spans="12:12" x14ac:dyDescent="0.3">
      <c r="L1066" s="19">
        <v>44585</v>
      </c>
    </row>
    <row r="1067" spans="12:12" x14ac:dyDescent="0.3">
      <c r="L1067" s="22">
        <v>44582</v>
      </c>
    </row>
    <row r="1068" spans="12:12" x14ac:dyDescent="0.3">
      <c r="L1068" s="19">
        <v>44581</v>
      </c>
    </row>
    <row r="1069" spans="12:12" x14ac:dyDescent="0.3">
      <c r="L1069" s="22">
        <v>44580</v>
      </c>
    </row>
    <row r="1070" spans="12:12" x14ac:dyDescent="0.3">
      <c r="L1070" s="19">
        <v>44579</v>
      </c>
    </row>
    <row r="1071" spans="12:12" x14ac:dyDescent="0.3">
      <c r="L1071" s="22">
        <v>44578</v>
      </c>
    </row>
    <row r="1072" spans="12:12" x14ac:dyDescent="0.3">
      <c r="L1072" s="19">
        <v>44575</v>
      </c>
    </row>
    <row r="1073" spans="12:12" x14ac:dyDescent="0.3">
      <c r="L1073" s="22">
        <v>44574</v>
      </c>
    </row>
    <row r="1074" spans="12:12" x14ac:dyDescent="0.3">
      <c r="L1074" s="19">
        <v>44573</v>
      </c>
    </row>
    <row r="1075" spans="12:12" x14ac:dyDescent="0.3">
      <c r="L1075" s="22">
        <v>44572</v>
      </c>
    </row>
    <row r="1076" spans="12:12" x14ac:dyDescent="0.3">
      <c r="L1076" s="19">
        <v>44571</v>
      </c>
    </row>
    <row r="1077" spans="12:12" x14ac:dyDescent="0.3">
      <c r="L1077" s="22">
        <v>44568</v>
      </c>
    </row>
    <row r="1078" spans="12:12" x14ac:dyDescent="0.3">
      <c r="L1078" s="19">
        <v>44567</v>
      </c>
    </row>
    <row r="1079" spans="12:12" x14ac:dyDescent="0.3">
      <c r="L1079" s="22">
        <v>44566</v>
      </c>
    </row>
    <row r="1080" spans="12:12" x14ac:dyDescent="0.3">
      <c r="L1080" s="19">
        <v>44565</v>
      </c>
    </row>
    <row r="1081" spans="12:12" x14ac:dyDescent="0.3">
      <c r="L1081" s="22">
        <v>44564</v>
      </c>
    </row>
    <row r="1082" spans="12:12" x14ac:dyDescent="0.3">
      <c r="L1082" s="19">
        <v>44561</v>
      </c>
    </row>
    <row r="1083" spans="12:12" x14ac:dyDescent="0.3">
      <c r="L1083" s="22">
        <v>44560</v>
      </c>
    </row>
    <row r="1084" spans="12:12" x14ac:dyDescent="0.3">
      <c r="L1084" s="19">
        <v>44559</v>
      </c>
    </row>
    <row r="1085" spans="12:12" x14ac:dyDescent="0.3">
      <c r="L1085" s="22">
        <v>44558</v>
      </c>
    </row>
    <row r="1086" spans="12:12" x14ac:dyDescent="0.3">
      <c r="L1086" s="19">
        <v>44557</v>
      </c>
    </row>
    <row r="1087" spans="12:12" x14ac:dyDescent="0.3">
      <c r="L1087" s="22">
        <v>44554</v>
      </c>
    </row>
    <row r="1088" spans="12:12" x14ac:dyDescent="0.3">
      <c r="L1088" s="19">
        <v>44553</v>
      </c>
    </row>
    <row r="1089" spans="12:12" x14ac:dyDescent="0.3">
      <c r="L1089" s="22">
        <v>44552</v>
      </c>
    </row>
    <row r="1090" spans="12:12" x14ac:dyDescent="0.3">
      <c r="L1090" s="19">
        <v>44551</v>
      </c>
    </row>
    <row r="1091" spans="12:12" x14ac:dyDescent="0.3">
      <c r="L1091" s="22">
        <v>44550</v>
      </c>
    </row>
    <row r="1092" spans="12:12" x14ac:dyDescent="0.3">
      <c r="L1092" s="19">
        <v>44547</v>
      </c>
    </row>
    <row r="1093" spans="12:12" x14ac:dyDescent="0.3">
      <c r="L1093" s="22">
        <v>44546</v>
      </c>
    </row>
    <row r="1094" spans="12:12" x14ac:dyDescent="0.3">
      <c r="L1094" s="19">
        <v>44545</v>
      </c>
    </row>
    <row r="1095" spans="12:12" x14ac:dyDescent="0.3">
      <c r="L1095" s="22">
        <v>44544</v>
      </c>
    </row>
    <row r="1096" spans="12:12" x14ac:dyDescent="0.3">
      <c r="L1096" s="19">
        <v>44543</v>
      </c>
    </row>
    <row r="1097" spans="12:12" x14ac:dyDescent="0.3">
      <c r="L1097" s="22">
        <v>44540</v>
      </c>
    </row>
    <row r="1098" spans="12:12" x14ac:dyDescent="0.3">
      <c r="L1098" s="19">
        <v>44539</v>
      </c>
    </row>
    <row r="1099" spans="12:12" x14ac:dyDescent="0.3">
      <c r="L1099" s="22">
        <v>44538</v>
      </c>
    </row>
    <row r="1100" spans="12:12" x14ac:dyDescent="0.3">
      <c r="L1100" s="19">
        <v>44537</v>
      </c>
    </row>
    <row r="1101" spans="12:12" x14ac:dyDescent="0.3">
      <c r="L1101" s="22">
        <v>44536</v>
      </c>
    </row>
    <row r="1102" spans="12:12" x14ac:dyDescent="0.3">
      <c r="L1102" s="19">
        <v>44533</v>
      </c>
    </row>
    <row r="1103" spans="12:12" x14ac:dyDescent="0.3">
      <c r="L1103" s="22">
        <v>44532</v>
      </c>
    </row>
    <row r="1104" spans="12:12" x14ac:dyDescent="0.3">
      <c r="L1104" s="19">
        <v>44531</v>
      </c>
    </row>
    <row r="1105" spans="12:12" x14ac:dyDescent="0.3">
      <c r="L1105" s="22">
        <v>44530</v>
      </c>
    </row>
    <row r="1106" spans="12:12" x14ac:dyDescent="0.3">
      <c r="L1106" s="19">
        <v>44529</v>
      </c>
    </row>
    <row r="1107" spans="12:12" x14ac:dyDescent="0.3">
      <c r="L1107" s="22">
        <v>44526</v>
      </c>
    </row>
    <row r="1108" spans="12:12" x14ac:dyDescent="0.3">
      <c r="L1108" s="19">
        <v>44525</v>
      </c>
    </row>
    <row r="1109" spans="12:12" x14ac:dyDescent="0.3">
      <c r="L1109" s="22">
        <v>44524</v>
      </c>
    </row>
    <row r="1110" spans="12:12" x14ac:dyDescent="0.3">
      <c r="L1110" s="19">
        <v>44523</v>
      </c>
    </row>
    <row r="1111" spans="12:12" x14ac:dyDescent="0.3">
      <c r="L1111" s="22">
        <v>44522</v>
      </c>
    </row>
    <row r="1112" spans="12:12" x14ac:dyDescent="0.3">
      <c r="L1112" s="19">
        <v>44519</v>
      </c>
    </row>
    <row r="1113" spans="12:12" x14ac:dyDescent="0.3">
      <c r="L1113" s="22">
        <v>44518</v>
      </c>
    </row>
    <row r="1114" spans="12:12" x14ac:dyDescent="0.3">
      <c r="L1114" s="19">
        <v>44517</v>
      </c>
    </row>
    <row r="1115" spans="12:12" x14ac:dyDescent="0.3">
      <c r="L1115" s="22">
        <v>44516</v>
      </c>
    </row>
    <row r="1116" spans="12:12" x14ac:dyDescent="0.3">
      <c r="L1116" s="19">
        <v>44515</v>
      </c>
    </row>
    <row r="1117" spans="12:12" x14ac:dyDescent="0.3">
      <c r="L1117" s="22">
        <v>44512</v>
      </c>
    </row>
    <row r="1118" spans="12:12" x14ac:dyDescent="0.3">
      <c r="L1118" s="19">
        <v>44511</v>
      </c>
    </row>
    <row r="1119" spans="12:12" x14ac:dyDescent="0.3">
      <c r="L1119" s="22">
        <v>44510</v>
      </c>
    </row>
    <row r="1120" spans="12:12" x14ac:dyDescent="0.3">
      <c r="L1120" s="19">
        <v>44509</v>
      </c>
    </row>
    <row r="1121" spans="12:12" x14ac:dyDescent="0.3">
      <c r="L1121" s="22">
        <v>44508</v>
      </c>
    </row>
    <row r="1122" spans="12:12" x14ac:dyDescent="0.3">
      <c r="L1122" s="19">
        <v>44505</v>
      </c>
    </row>
    <row r="1123" spans="12:12" x14ac:dyDescent="0.3">
      <c r="L1123" s="22">
        <v>44504</v>
      </c>
    </row>
    <row r="1124" spans="12:12" x14ac:dyDescent="0.3">
      <c r="L1124" s="19">
        <v>44503</v>
      </c>
    </row>
    <row r="1125" spans="12:12" x14ac:dyDescent="0.3">
      <c r="L1125" s="22">
        <v>44502</v>
      </c>
    </row>
    <row r="1126" spans="12:12" x14ac:dyDescent="0.3">
      <c r="L1126" s="19">
        <v>44501</v>
      </c>
    </row>
    <row r="1127" spans="12:12" x14ac:dyDescent="0.3">
      <c r="L1127" s="22">
        <v>44498</v>
      </c>
    </row>
    <row r="1128" spans="12:12" x14ac:dyDescent="0.3">
      <c r="L1128" s="19">
        <v>44497</v>
      </c>
    </row>
    <row r="1129" spans="12:12" x14ac:dyDescent="0.3">
      <c r="L1129" s="22">
        <v>44496</v>
      </c>
    </row>
    <row r="1130" spans="12:12" x14ac:dyDescent="0.3">
      <c r="L1130" s="19">
        <v>44495</v>
      </c>
    </row>
    <row r="1131" spans="12:12" x14ac:dyDescent="0.3">
      <c r="L1131" s="22">
        <v>44494</v>
      </c>
    </row>
    <row r="1132" spans="12:12" x14ac:dyDescent="0.3">
      <c r="L1132" s="19">
        <v>44491</v>
      </c>
    </row>
    <row r="1133" spans="12:12" x14ac:dyDescent="0.3">
      <c r="L1133" s="22">
        <v>44490</v>
      </c>
    </row>
    <row r="1134" spans="12:12" x14ac:dyDescent="0.3">
      <c r="L1134" s="19">
        <v>44489</v>
      </c>
    </row>
    <row r="1135" spans="12:12" x14ac:dyDescent="0.3">
      <c r="L1135" s="22">
        <v>44488</v>
      </c>
    </row>
    <row r="1136" spans="12:12" x14ac:dyDescent="0.3">
      <c r="L1136" s="19">
        <v>44487</v>
      </c>
    </row>
    <row r="1137" spans="12:12" x14ac:dyDescent="0.3">
      <c r="L1137" s="22">
        <v>44484</v>
      </c>
    </row>
    <row r="1138" spans="12:12" x14ac:dyDescent="0.3">
      <c r="L1138" s="19">
        <v>44483</v>
      </c>
    </row>
    <row r="1139" spans="12:12" x14ac:dyDescent="0.3">
      <c r="L1139" s="22">
        <v>44482</v>
      </c>
    </row>
    <row r="1140" spans="12:12" x14ac:dyDescent="0.3">
      <c r="L1140" s="19">
        <v>44481</v>
      </c>
    </row>
    <row r="1141" spans="12:12" x14ac:dyDescent="0.3">
      <c r="L1141" s="22">
        <v>44480</v>
      </c>
    </row>
    <row r="1142" spans="12:12" x14ac:dyDescent="0.3">
      <c r="L1142" s="19">
        <v>44477</v>
      </c>
    </row>
    <row r="1143" spans="12:12" x14ac:dyDescent="0.3">
      <c r="L1143" s="22">
        <v>44476</v>
      </c>
    </row>
    <row r="1144" spans="12:12" x14ac:dyDescent="0.3">
      <c r="L1144" s="19">
        <v>44475</v>
      </c>
    </row>
    <row r="1145" spans="12:12" x14ac:dyDescent="0.3">
      <c r="L1145" s="22">
        <v>44474</v>
      </c>
    </row>
    <row r="1146" spans="12:12" x14ac:dyDescent="0.3">
      <c r="L1146" s="19">
        <v>44473</v>
      </c>
    </row>
    <row r="1147" spans="12:12" x14ac:dyDescent="0.3">
      <c r="L1147" s="22">
        <v>44470</v>
      </c>
    </row>
    <row r="1148" spans="12:12" x14ac:dyDescent="0.3">
      <c r="L1148" s="19">
        <v>44469</v>
      </c>
    </row>
    <row r="1149" spans="12:12" x14ac:dyDescent="0.3">
      <c r="L1149" s="22">
        <v>44468</v>
      </c>
    </row>
    <row r="1150" spans="12:12" x14ac:dyDescent="0.3">
      <c r="L1150" s="19">
        <v>44467</v>
      </c>
    </row>
    <row r="1151" spans="12:12" x14ac:dyDescent="0.3">
      <c r="L1151" s="22">
        <v>44466</v>
      </c>
    </row>
    <row r="1152" spans="12:12" x14ac:dyDescent="0.3">
      <c r="L1152" s="19">
        <v>44463</v>
      </c>
    </row>
    <row r="1153" spans="12:12" x14ac:dyDescent="0.3">
      <c r="L1153" s="22">
        <v>44462</v>
      </c>
    </row>
    <row r="1154" spans="12:12" x14ac:dyDescent="0.3">
      <c r="L1154" s="19">
        <v>44461</v>
      </c>
    </row>
    <row r="1155" spans="12:12" x14ac:dyDescent="0.3">
      <c r="L1155" s="22">
        <v>44460</v>
      </c>
    </row>
    <row r="1156" spans="12:12" x14ac:dyDescent="0.3">
      <c r="L1156" s="19">
        <v>44459</v>
      </c>
    </row>
    <row r="1157" spans="12:12" x14ac:dyDescent="0.3">
      <c r="L1157" s="22">
        <v>44456</v>
      </c>
    </row>
    <row r="1158" spans="12:12" x14ac:dyDescent="0.3">
      <c r="L1158" s="19">
        <v>44455</v>
      </c>
    </row>
    <row r="1159" spans="12:12" x14ac:dyDescent="0.3">
      <c r="L1159" s="22">
        <v>44454</v>
      </c>
    </row>
    <row r="1160" spans="12:12" x14ac:dyDescent="0.3">
      <c r="L1160" s="19">
        <v>44453</v>
      </c>
    </row>
    <row r="1161" spans="12:12" x14ac:dyDescent="0.3">
      <c r="L1161" s="22">
        <v>44452</v>
      </c>
    </row>
    <row r="1162" spans="12:12" x14ac:dyDescent="0.3">
      <c r="L1162" s="19">
        <v>44449</v>
      </c>
    </row>
    <row r="1163" spans="12:12" x14ac:dyDescent="0.3">
      <c r="L1163" s="22">
        <v>44448</v>
      </c>
    </row>
    <row r="1164" spans="12:12" x14ac:dyDescent="0.3">
      <c r="L1164" s="19">
        <v>44447</v>
      </c>
    </row>
    <row r="1165" spans="12:12" x14ac:dyDescent="0.3">
      <c r="L1165" s="22">
        <v>44446</v>
      </c>
    </row>
    <row r="1166" spans="12:12" x14ac:dyDescent="0.3">
      <c r="L1166" s="19">
        <v>44445</v>
      </c>
    </row>
    <row r="1167" spans="12:12" x14ac:dyDescent="0.3">
      <c r="L1167" s="22">
        <v>44442</v>
      </c>
    </row>
    <row r="1168" spans="12:12" x14ac:dyDescent="0.3">
      <c r="L1168" s="19">
        <v>44441</v>
      </c>
    </row>
    <row r="1169" spans="12:12" x14ac:dyDescent="0.3">
      <c r="L1169" s="22">
        <v>44440</v>
      </c>
    </row>
    <row r="1170" spans="12:12" x14ac:dyDescent="0.3">
      <c r="L1170" s="19">
        <v>44439</v>
      </c>
    </row>
    <row r="1171" spans="12:12" x14ac:dyDescent="0.3">
      <c r="L1171" s="22">
        <v>44438</v>
      </c>
    </row>
    <row r="1172" spans="12:12" x14ac:dyDescent="0.3">
      <c r="L1172" s="19">
        <v>44435</v>
      </c>
    </row>
    <row r="1173" spans="12:12" x14ac:dyDescent="0.3">
      <c r="L1173" s="22">
        <v>44434</v>
      </c>
    </row>
    <row r="1174" spans="12:12" x14ac:dyDescent="0.3">
      <c r="L1174" s="19">
        <v>44433</v>
      </c>
    </row>
    <row r="1175" spans="12:12" x14ac:dyDescent="0.3">
      <c r="L1175" s="22">
        <v>44432</v>
      </c>
    </row>
    <row r="1176" spans="12:12" x14ac:dyDescent="0.3">
      <c r="L1176" s="19">
        <v>44431</v>
      </c>
    </row>
    <row r="1177" spans="12:12" x14ac:dyDescent="0.3">
      <c r="L1177" s="22">
        <v>44428</v>
      </c>
    </row>
    <row r="1178" spans="12:12" x14ac:dyDescent="0.3">
      <c r="L1178" s="19">
        <v>44427</v>
      </c>
    </row>
    <row r="1179" spans="12:12" x14ac:dyDescent="0.3">
      <c r="L1179" s="22">
        <v>44426</v>
      </c>
    </row>
    <row r="1180" spans="12:12" x14ac:dyDescent="0.3">
      <c r="L1180" s="19">
        <v>44425</v>
      </c>
    </row>
    <row r="1181" spans="12:12" x14ac:dyDescent="0.3">
      <c r="L1181" s="22">
        <v>44424</v>
      </c>
    </row>
    <row r="1182" spans="12:12" x14ac:dyDescent="0.3">
      <c r="L1182" s="19">
        <v>44421</v>
      </c>
    </row>
    <row r="1183" spans="12:12" x14ac:dyDescent="0.3">
      <c r="L1183" s="22">
        <v>44420</v>
      </c>
    </row>
    <row r="1184" spans="12:12" x14ac:dyDescent="0.3">
      <c r="L1184" s="19">
        <v>44419</v>
      </c>
    </row>
    <row r="1185" spans="12:12" x14ac:dyDescent="0.3">
      <c r="L1185" s="22">
        <v>44418</v>
      </c>
    </row>
    <row r="1186" spans="12:12" x14ac:dyDescent="0.3">
      <c r="L1186" s="19">
        <v>44417</v>
      </c>
    </row>
    <row r="1187" spans="12:12" x14ac:dyDescent="0.3">
      <c r="L1187" s="22">
        <v>44414</v>
      </c>
    </row>
    <row r="1188" spans="12:12" x14ac:dyDescent="0.3">
      <c r="L1188" s="19">
        <v>44413</v>
      </c>
    </row>
    <row r="1189" spans="12:12" x14ac:dyDescent="0.3">
      <c r="L1189" s="22">
        <v>44412</v>
      </c>
    </row>
    <row r="1190" spans="12:12" x14ac:dyDescent="0.3">
      <c r="L1190" s="19">
        <v>44411</v>
      </c>
    </row>
    <row r="1191" spans="12:12" x14ac:dyDescent="0.3">
      <c r="L1191" s="22">
        <v>44410</v>
      </c>
    </row>
    <row r="1192" spans="12:12" x14ac:dyDescent="0.3">
      <c r="L1192" s="19">
        <v>44407</v>
      </c>
    </row>
    <row r="1193" spans="12:12" x14ac:dyDescent="0.3">
      <c r="L1193" s="22">
        <v>44406</v>
      </c>
    </row>
    <row r="1194" spans="12:12" x14ac:dyDescent="0.3">
      <c r="L1194" s="19">
        <v>44405</v>
      </c>
    </row>
    <row r="1195" spans="12:12" x14ac:dyDescent="0.3">
      <c r="L1195" s="22">
        <v>44404</v>
      </c>
    </row>
    <row r="1196" spans="12:12" x14ac:dyDescent="0.3">
      <c r="L1196" s="19">
        <v>44403</v>
      </c>
    </row>
    <row r="1197" spans="12:12" x14ac:dyDescent="0.3">
      <c r="L1197" s="22">
        <v>44400</v>
      </c>
    </row>
    <row r="1198" spans="12:12" x14ac:dyDescent="0.3">
      <c r="L1198" s="19">
        <v>44399</v>
      </c>
    </row>
    <row r="1199" spans="12:12" x14ac:dyDescent="0.3">
      <c r="L1199" s="22">
        <v>44398</v>
      </c>
    </row>
    <row r="1200" spans="12:12" x14ac:dyDescent="0.3">
      <c r="L1200" s="19">
        <v>44397</v>
      </c>
    </row>
    <row r="1201" spans="12:12" x14ac:dyDescent="0.3">
      <c r="L1201" s="22">
        <v>44396</v>
      </c>
    </row>
    <row r="1202" spans="12:12" x14ac:dyDescent="0.3">
      <c r="L1202" s="19">
        <v>44393</v>
      </c>
    </row>
    <row r="1203" spans="12:12" x14ac:dyDescent="0.3">
      <c r="L1203" s="22">
        <v>44392</v>
      </c>
    </row>
    <row r="1204" spans="12:12" x14ac:dyDescent="0.3">
      <c r="L1204" s="19">
        <v>44391</v>
      </c>
    </row>
    <row r="1205" spans="12:12" x14ac:dyDescent="0.3">
      <c r="L1205" s="22">
        <v>44390</v>
      </c>
    </row>
    <row r="1206" spans="12:12" x14ac:dyDescent="0.3">
      <c r="L1206" s="19">
        <v>44389</v>
      </c>
    </row>
    <row r="1207" spans="12:12" x14ac:dyDescent="0.3">
      <c r="L1207" s="22">
        <v>44386</v>
      </c>
    </row>
    <row r="1208" spans="12:12" x14ac:dyDescent="0.3">
      <c r="L1208" s="19">
        <v>44385</v>
      </c>
    </row>
    <row r="1209" spans="12:12" x14ac:dyDescent="0.3">
      <c r="L1209" s="22">
        <v>44384</v>
      </c>
    </row>
    <row r="1210" spans="12:12" x14ac:dyDescent="0.3">
      <c r="L1210" s="19">
        <v>44383</v>
      </c>
    </row>
    <row r="1211" spans="12:12" x14ac:dyDescent="0.3">
      <c r="L1211" s="22">
        <v>44382</v>
      </c>
    </row>
    <row r="1212" spans="12:12" x14ac:dyDescent="0.3">
      <c r="L1212" s="19">
        <v>44379</v>
      </c>
    </row>
    <row r="1213" spans="12:12" x14ac:dyDescent="0.3">
      <c r="L1213" s="22">
        <v>44378</v>
      </c>
    </row>
    <row r="1214" spans="12:12" x14ac:dyDescent="0.3">
      <c r="L1214" s="19">
        <v>44377</v>
      </c>
    </row>
    <row r="1215" spans="12:12" x14ac:dyDescent="0.3">
      <c r="L1215" s="22">
        <v>44376</v>
      </c>
    </row>
    <row r="1216" spans="12:12" x14ac:dyDescent="0.3">
      <c r="L1216" s="19">
        <v>44375</v>
      </c>
    </row>
    <row r="1217" spans="12:12" x14ac:dyDescent="0.3">
      <c r="L1217" s="22">
        <v>44372</v>
      </c>
    </row>
    <row r="1218" spans="12:12" x14ac:dyDescent="0.3">
      <c r="L1218" s="19">
        <v>44371</v>
      </c>
    </row>
    <row r="1219" spans="12:12" x14ac:dyDescent="0.3">
      <c r="L1219" s="22">
        <v>44370</v>
      </c>
    </row>
    <row r="1220" spans="12:12" x14ac:dyDescent="0.3">
      <c r="L1220" s="19">
        <v>44369</v>
      </c>
    </row>
    <row r="1221" spans="12:12" x14ac:dyDescent="0.3">
      <c r="L1221" s="22">
        <v>44368</v>
      </c>
    </row>
    <row r="1222" spans="12:12" x14ac:dyDescent="0.3">
      <c r="L1222" s="19">
        <v>44365</v>
      </c>
    </row>
    <row r="1223" spans="12:12" x14ac:dyDescent="0.3">
      <c r="L1223" s="22">
        <v>44364</v>
      </c>
    </row>
    <row r="1224" spans="12:12" x14ac:dyDescent="0.3">
      <c r="L1224" s="19">
        <v>44363</v>
      </c>
    </row>
    <row r="1225" spans="12:12" x14ac:dyDescent="0.3">
      <c r="L1225" s="22">
        <v>44362</v>
      </c>
    </row>
    <row r="1226" spans="12:12" x14ac:dyDescent="0.3">
      <c r="L1226" s="19">
        <v>44361</v>
      </c>
    </row>
    <row r="1227" spans="12:12" x14ac:dyDescent="0.3">
      <c r="L1227" s="22">
        <v>44358</v>
      </c>
    </row>
    <row r="1228" spans="12:12" x14ac:dyDescent="0.3">
      <c r="L1228" s="19">
        <v>44357</v>
      </c>
    </row>
    <row r="1229" spans="12:12" x14ac:dyDescent="0.3">
      <c r="L1229" s="22">
        <v>44356</v>
      </c>
    </row>
    <row r="1230" spans="12:12" x14ac:dyDescent="0.3">
      <c r="L1230" s="19">
        <v>44355</v>
      </c>
    </row>
    <row r="1231" spans="12:12" x14ac:dyDescent="0.3">
      <c r="L1231" s="22">
        <v>44354</v>
      </c>
    </row>
    <row r="1232" spans="12:12" x14ac:dyDescent="0.3">
      <c r="L1232" s="19">
        <v>44351</v>
      </c>
    </row>
    <row r="1233" spans="12:12" x14ac:dyDescent="0.3">
      <c r="L1233" s="22">
        <v>44350</v>
      </c>
    </row>
    <row r="1234" spans="12:12" x14ac:dyDescent="0.3">
      <c r="L1234" s="19">
        <v>44349</v>
      </c>
    </row>
    <row r="1235" spans="12:12" x14ac:dyDescent="0.3">
      <c r="L1235" s="22">
        <v>44348</v>
      </c>
    </row>
    <row r="1236" spans="12:12" x14ac:dyDescent="0.3">
      <c r="L1236" s="19">
        <v>44347</v>
      </c>
    </row>
    <row r="1237" spans="12:12" x14ac:dyDescent="0.3">
      <c r="L1237" s="22">
        <v>44344</v>
      </c>
    </row>
    <row r="1238" spans="12:12" x14ac:dyDescent="0.3">
      <c r="L1238" s="19">
        <v>44343</v>
      </c>
    </row>
    <row r="1239" spans="12:12" x14ac:dyDescent="0.3">
      <c r="L1239" s="22">
        <v>44342</v>
      </c>
    </row>
    <row r="1240" spans="12:12" x14ac:dyDescent="0.3">
      <c r="L1240" s="19">
        <v>44341</v>
      </c>
    </row>
    <row r="1241" spans="12:12" x14ac:dyDescent="0.3">
      <c r="L1241" s="22">
        <v>44340</v>
      </c>
    </row>
    <row r="1242" spans="12:12" x14ac:dyDescent="0.3">
      <c r="L1242" s="19">
        <v>44337</v>
      </c>
    </row>
    <row r="1243" spans="12:12" x14ac:dyDescent="0.3">
      <c r="L1243" s="22">
        <v>44336</v>
      </c>
    </row>
    <row r="1244" spans="12:12" x14ac:dyDescent="0.3">
      <c r="L1244" s="19">
        <v>44335</v>
      </c>
    </row>
    <row r="1245" spans="12:12" x14ac:dyDescent="0.3">
      <c r="L1245" s="22">
        <v>44334</v>
      </c>
    </row>
    <row r="1246" spans="12:12" x14ac:dyDescent="0.3">
      <c r="L1246" s="19">
        <v>44333</v>
      </c>
    </row>
    <row r="1247" spans="12:12" x14ac:dyDescent="0.3">
      <c r="L1247" s="22">
        <v>44330</v>
      </c>
    </row>
    <row r="1248" spans="12:12" x14ac:dyDescent="0.3">
      <c r="L1248" s="19">
        <v>44329</v>
      </c>
    </row>
    <row r="1249" spans="12:12" x14ac:dyDescent="0.3">
      <c r="L1249" s="22">
        <v>44328</v>
      </c>
    </row>
    <row r="1250" spans="12:12" x14ac:dyDescent="0.3">
      <c r="L1250" s="19">
        <v>44327</v>
      </c>
    </row>
    <row r="1251" spans="12:12" x14ac:dyDescent="0.3">
      <c r="L1251" s="22">
        <v>44326</v>
      </c>
    </row>
    <row r="1252" spans="12:12" x14ac:dyDescent="0.3">
      <c r="L1252" s="19">
        <v>44323</v>
      </c>
    </row>
    <row r="1253" spans="12:12" x14ac:dyDescent="0.3">
      <c r="L1253" s="22">
        <v>44322</v>
      </c>
    </row>
    <row r="1254" spans="12:12" x14ac:dyDescent="0.3">
      <c r="L1254" s="19">
        <v>44321</v>
      </c>
    </row>
    <row r="1255" spans="12:12" x14ac:dyDescent="0.3">
      <c r="L1255" s="22">
        <v>44320</v>
      </c>
    </row>
    <row r="1256" spans="12:12" x14ac:dyDescent="0.3">
      <c r="L1256" s="19">
        <v>44319</v>
      </c>
    </row>
    <row r="1257" spans="12:12" x14ac:dyDescent="0.3">
      <c r="L1257" s="22">
        <v>44316</v>
      </c>
    </row>
    <row r="1258" spans="12:12" x14ac:dyDescent="0.3">
      <c r="L1258" s="19">
        <v>44315</v>
      </c>
    </row>
    <row r="1259" spans="12:12" x14ac:dyDescent="0.3">
      <c r="L1259" s="22">
        <v>44314</v>
      </c>
    </row>
    <row r="1260" spans="12:12" x14ac:dyDescent="0.3">
      <c r="L1260" s="19">
        <v>44313</v>
      </c>
    </row>
    <row r="1261" spans="12:12" x14ac:dyDescent="0.3">
      <c r="L1261" s="22">
        <v>44312</v>
      </c>
    </row>
    <row r="1262" spans="12:12" x14ac:dyDescent="0.3">
      <c r="L1262" s="19">
        <v>44309</v>
      </c>
    </row>
    <row r="1263" spans="12:12" x14ac:dyDescent="0.3">
      <c r="L1263" s="22">
        <v>44308</v>
      </c>
    </row>
    <row r="1264" spans="12:12" x14ac:dyDescent="0.3">
      <c r="L1264" s="19">
        <v>44307</v>
      </c>
    </row>
    <row r="1265" spans="12:12" x14ac:dyDescent="0.3">
      <c r="L1265" s="22">
        <v>44306</v>
      </c>
    </row>
    <row r="1266" spans="12:12" x14ac:dyDescent="0.3">
      <c r="L1266" s="19">
        <v>44305</v>
      </c>
    </row>
    <row r="1267" spans="12:12" x14ac:dyDescent="0.3">
      <c r="L1267" s="22">
        <v>44302</v>
      </c>
    </row>
    <row r="1268" spans="12:12" x14ac:dyDescent="0.3">
      <c r="L1268" s="19">
        <v>44301</v>
      </c>
    </row>
    <row r="1269" spans="12:12" x14ac:dyDescent="0.3">
      <c r="L1269" s="22">
        <v>44300</v>
      </c>
    </row>
    <row r="1270" spans="12:12" x14ac:dyDescent="0.3">
      <c r="L1270" s="19">
        <v>44299</v>
      </c>
    </row>
    <row r="1271" spans="12:12" x14ac:dyDescent="0.3">
      <c r="L1271" s="22">
        <v>44298</v>
      </c>
    </row>
    <row r="1272" spans="12:12" x14ac:dyDescent="0.3">
      <c r="L1272" s="19">
        <v>44295</v>
      </c>
    </row>
    <row r="1273" spans="12:12" x14ac:dyDescent="0.3">
      <c r="L1273" s="22">
        <v>44294</v>
      </c>
    </row>
    <row r="1274" spans="12:12" x14ac:dyDescent="0.3">
      <c r="L1274" s="19">
        <v>44293</v>
      </c>
    </row>
    <row r="1275" spans="12:12" x14ac:dyDescent="0.3">
      <c r="L1275" s="22">
        <v>44292</v>
      </c>
    </row>
    <row r="1276" spans="12:12" x14ac:dyDescent="0.3">
      <c r="L1276" s="19">
        <v>44291</v>
      </c>
    </row>
    <row r="1277" spans="12:12" x14ac:dyDescent="0.3">
      <c r="L1277" s="22">
        <v>44288</v>
      </c>
    </row>
    <row r="1278" spans="12:12" x14ac:dyDescent="0.3">
      <c r="L1278" s="19">
        <v>44287</v>
      </c>
    </row>
    <row r="1279" spans="12:12" x14ac:dyDescent="0.3">
      <c r="L1279" s="22">
        <v>44286</v>
      </c>
    </row>
    <row r="1280" spans="12:12" x14ac:dyDescent="0.3">
      <c r="L1280" s="19">
        <v>44285</v>
      </c>
    </row>
    <row r="1281" spans="12:12" x14ac:dyDescent="0.3">
      <c r="L1281" s="22">
        <v>44284</v>
      </c>
    </row>
    <row r="1282" spans="12:12" x14ac:dyDescent="0.3">
      <c r="L1282" s="19">
        <v>44281</v>
      </c>
    </row>
    <row r="1283" spans="12:12" x14ac:dyDescent="0.3">
      <c r="L1283" s="22">
        <v>44280</v>
      </c>
    </row>
    <row r="1284" spans="12:12" x14ac:dyDescent="0.3">
      <c r="L1284" s="19">
        <v>44279</v>
      </c>
    </row>
    <row r="1285" spans="12:12" x14ac:dyDescent="0.3">
      <c r="L1285" s="22">
        <v>44278</v>
      </c>
    </row>
    <row r="1286" spans="12:12" x14ac:dyDescent="0.3">
      <c r="L1286" s="19">
        <v>44277</v>
      </c>
    </row>
    <row r="1287" spans="12:12" x14ac:dyDescent="0.3">
      <c r="L1287" s="22">
        <v>44274</v>
      </c>
    </row>
    <row r="1288" spans="12:12" x14ac:dyDescent="0.3">
      <c r="L1288" s="19">
        <v>44273</v>
      </c>
    </row>
    <row r="1289" spans="12:12" x14ac:dyDescent="0.3">
      <c r="L1289" s="22">
        <v>44272</v>
      </c>
    </row>
    <row r="1290" spans="12:12" x14ac:dyDescent="0.3">
      <c r="L1290" s="19">
        <v>44271</v>
      </c>
    </row>
    <row r="1291" spans="12:12" x14ac:dyDescent="0.3">
      <c r="L1291" s="22">
        <v>44270</v>
      </c>
    </row>
    <row r="1292" spans="12:12" x14ac:dyDescent="0.3">
      <c r="L1292" s="19">
        <v>44267</v>
      </c>
    </row>
    <row r="1293" spans="12:12" x14ac:dyDescent="0.3">
      <c r="L1293" s="22">
        <v>44266</v>
      </c>
    </row>
    <row r="1294" spans="12:12" x14ac:dyDescent="0.3">
      <c r="L1294" s="19">
        <v>44265</v>
      </c>
    </row>
    <row r="1295" spans="12:12" x14ac:dyDescent="0.3">
      <c r="L1295" s="22">
        <v>44264</v>
      </c>
    </row>
    <row r="1296" spans="12:12" x14ac:dyDescent="0.3">
      <c r="L1296" s="19">
        <v>44263</v>
      </c>
    </row>
    <row r="1297" spans="12:12" x14ac:dyDescent="0.3">
      <c r="L1297" s="22">
        <v>44260</v>
      </c>
    </row>
    <row r="1298" spans="12:12" x14ac:dyDescent="0.3">
      <c r="L1298" s="19">
        <v>44259</v>
      </c>
    </row>
    <row r="1299" spans="12:12" x14ac:dyDescent="0.3">
      <c r="L1299" s="22">
        <v>44258</v>
      </c>
    </row>
    <row r="1300" spans="12:12" x14ac:dyDescent="0.3">
      <c r="L1300" s="19">
        <v>44257</v>
      </c>
    </row>
    <row r="1301" spans="12:12" x14ac:dyDescent="0.3">
      <c r="L1301" s="22">
        <v>44256</v>
      </c>
    </row>
    <row r="1302" spans="12:12" x14ac:dyDescent="0.3">
      <c r="L1302" s="19">
        <v>44253</v>
      </c>
    </row>
    <row r="1303" spans="12:12" x14ac:dyDescent="0.3">
      <c r="L1303" s="22">
        <v>44252</v>
      </c>
    </row>
    <row r="1304" spans="12:12" x14ac:dyDescent="0.3">
      <c r="L1304" s="19">
        <v>44251</v>
      </c>
    </row>
    <row r="1305" spans="12:12" x14ac:dyDescent="0.3">
      <c r="L1305" s="22">
        <v>44250</v>
      </c>
    </row>
    <row r="1306" spans="12:12" x14ac:dyDescent="0.3">
      <c r="L1306" s="19">
        <v>44249</v>
      </c>
    </row>
    <row r="1307" spans="12:12" x14ac:dyDescent="0.3">
      <c r="L1307" s="22">
        <v>44246</v>
      </c>
    </row>
    <row r="1308" spans="12:12" x14ac:dyDescent="0.3">
      <c r="L1308" s="19">
        <v>44245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2329-A43D-422B-B740-3B814EFF3DD7}">
  <dimension ref="A1:L1309"/>
  <sheetViews>
    <sheetView workbookViewId="0">
      <selection activeCell="F8" sqref="F8"/>
    </sheetView>
  </sheetViews>
  <sheetFormatPr baseColWidth="10" defaultColWidth="9.109375" defaultRowHeight="14.4" x14ac:dyDescent="0.3"/>
  <cols>
    <col min="1" max="1" width="8.44140625" customWidth="1"/>
    <col min="2" max="4" width="8.88671875" customWidth="1"/>
    <col min="5" max="5" width="8.33203125" customWidth="1"/>
    <col min="6" max="6" width="10.33203125" customWidth="1"/>
    <col min="7" max="7" width="21.109375" customWidth="1"/>
    <col min="8" max="9" width="8.88671875" customWidth="1"/>
    <col min="11" max="11" width="12.6640625" bestFit="1" customWidth="1"/>
  </cols>
  <sheetData>
    <row r="1" spans="1:12" ht="15" customHeight="1" x14ac:dyDescent="0.3">
      <c r="A1" s="17" t="s">
        <v>552</v>
      </c>
    </row>
    <row r="2" spans="1:12" ht="15" customHeight="1" x14ac:dyDescent="0.3"/>
    <row r="3" spans="1:12" ht="15" customHeight="1" x14ac:dyDescent="0.3">
      <c r="A3" s="18" t="s">
        <v>553</v>
      </c>
      <c r="B3" s="18" t="s">
        <v>554</v>
      </c>
      <c r="C3" s="18" t="s">
        <v>555</v>
      </c>
      <c r="D3" s="18" t="s">
        <v>556</v>
      </c>
      <c r="E3" s="18" t="s">
        <v>557</v>
      </c>
      <c r="F3" s="18" t="s">
        <v>558</v>
      </c>
      <c r="G3" s="18" t="s">
        <v>559</v>
      </c>
      <c r="H3" s="18" t="s">
        <v>560</v>
      </c>
      <c r="I3" s="18" t="s">
        <v>561</v>
      </c>
      <c r="K3" s="18" t="s">
        <v>563</v>
      </c>
      <c r="L3" s="18" t="s">
        <v>564</v>
      </c>
    </row>
    <row r="4" spans="1:12" ht="15" customHeight="1" x14ac:dyDescent="0.3">
      <c r="A4" s="19">
        <v>46071</v>
      </c>
      <c r="B4" s="20">
        <v>5.8344759182006503E-2</v>
      </c>
      <c r="C4" s="20">
        <v>5.83549733025997E-2</v>
      </c>
      <c r="D4" s="20">
        <v>5.8349863000000002E-2</v>
      </c>
      <c r="E4" s="21">
        <v>2.44107E-4</v>
      </c>
      <c r="F4" s="21">
        <v>0.42010812147423798</v>
      </c>
      <c r="G4" s="21">
        <v>19.297751879189299</v>
      </c>
      <c r="H4" s="20">
        <v>5.8349863000000002E-2</v>
      </c>
      <c r="I4" s="20">
        <v>5.8349863000000002E-2</v>
      </c>
      <c r="K4">
        <f>D4/D5-1</f>
        <v>4.2010812147423859E-3</v>
      </c>
      <c r="L4">
        <f>(C4-B4)/D4</f>
        <v>1.7504960711212973E-4</v>
      </c>
    </row>
    <row r="5" spans="1:12" ht="15" customHeight="1" x14ac:dyDescent="0.3">
      <c r="A5" s="22">
        <v>46070</v>
      </c>
      <c r="B5" s="23">
        <v>5.8099338248537399E-2</v>
      </c>
      <c r="C5" s="23">
        <v>5.81121681068799E-2</v>
      </c>
      <c r="D5" s="23">
        <v>5.8105756000000001E-2</v>
      </c>
      <c r="E5" s="24">
        <v>-1.1162799999999499E-4</v>
      </c>
      <c r="F5" s="24">
        <v>-0.19174341464741601</v>
      </c>
      <c r="G5" s="24">
        <v>18.7986690224228</v>
      </c>
      <c r="H5" s="23">
        <v>5.8105756000000001E-2</v>
      </c>
      <c r="I5" s="23">
        <v>5.8105756000000001E-2</v>
      </c>
      <c r="K5">
        <f t="shared" ref="K5:K68" si="0">D5/D6-1</f>
        <v>-1.9174341464741618E-3</v>
      </c>
      <c r="L5">
        <f t="shared" ref="L5:L68" si="1">(C5-B5)/D5</f>
        <v>2.2080184865850753E-4</v>
      </c>
    </row>
    <row r="6" spans="1:12" ht="15" customHeight="1" x14ac:dyDescent="0.3">
      <c r="A6" s="19">
        <v>46069</v>
      </c>
      <c r="B6" s="20">
        <v>5.8211283675227599E-2</v>
      </c>
      <c r="C6" s="20">
        <v>5.82234850249196E-2</v>
      </c>
      <c r="D6" s="20">
        <v>5.8217383999999997E-2</v>
      </c>
      <c r="E6" s="21">
        <v>3.0491999999999999E-5</v>
      </c>
      <c r="F6" s="21">
        <v>5.2403555082469702E-2</v>
      </c>
      <c r="G6" s="21">
        <v>19.026895255734999</v>
      </c>
      <c r="H6" s="20">
        <v>5.8217383999999997E-2</v>
      </c>
      <c r="I6" s="20">
        <v>5.8217383999999997E-2</v>
      </c>
      <c r="K6">
        <f t="shared" si="0"/>
        <v>5.2403555082469744E-4</v>
      </c>
      <c r="L6">
        <f t="shared" si="1"/>
        <v>2.0958258261829371E-4</v>
      </c>
    </row>
    <row r="7" spans="1:12" ht="15" customHeight="1" x14ac:dyDescent="0.3">
      <c r="A7" s="22">
        <v>46066</v>
      </c>
      <c r="B7" s="23">
        <v>5.8181818181818203E-2</v>
      </c>
      <c r="C7" s="23">
        <v>5.8191975326602502E-2</v>
      </c>
      <c r="D7" s="23">
        <v>5.8186891999999997E-2</v>
      </c>
      <c r="E7" s="24">
        <v>2.5369999999968999E-6</v>
      </c>
      <c r="F7" s="24">
        <v>4.3602786350405102E-3</v>
      </c>
      <c r="G7" s="24">
        <v>18.9645536003604</v>
      </c>
      <c r="H7" s="23">
        <v>5.8186891999999997E-2</v>
      </c>
      <c r="I7" s="23">
        <v>5.8186891999999997E-2</v>
      </c>
      <c r="K7">
        <f t="shared" si="0"/>
        <v>4.3602786350405154E-5</v>
      </c>
      <c r="L7">
        <f t="shared" si="1"/>
        <v>1.7456070319582208E-4</v>
      </c>
    </row>
    <row r="8" spans="1:12" ht="15" customHeight="1" x14ac:dyDescent="0.3">
      <c r="A8" s="19">
        <v>46065</v>
      </c>
      <c r="B8" s="20">
        <v>5.8179110208688503E-2</v>
      </c>
      <c r="C8" s="20">
        <v>5.8189605008961198E-2</v>
      </c>
      <c r="D8" s="20">
        <v>5.8184355E-2</v>
      </c>
      <c r="E8" s="21">
        <v>1.56151999999999E-4</v>
      </c>
      <c r="F8" s="21">
        <v>0.269096735599405</v>
      </c>
      <c r="G8" s="21">
        <v>18.9593666405124</v>
      </c>
      <c r="H8" s="20">
        <v>5.8184355E-2</v>
      </c>
      <c r="I8" s="20">
        <v>5.8184355E-2</v>
      </c>
      <c r="K8">
        <f t="shared" si="0"/>
        <v>2.6909673559940561E-3</v>
      </c>
      <c r="L8">
        <f t="shared" si="1"/>
        <v>1.8037151520705378E-4</v>
      </c>
    </row>
    <row r="9" spans="1:12" ht="15" customHeight="1" x14ac:dyDescent="0.3">
      <c r="A9" s="22">
        <v>46064</v>
      </c>
      <c r="B9" s="23">
        <v>5.8023151237343702E-2</v>
      </c>
      <c r="C9" s="23">
        <v>5.8033253053999902E-2</v>
      </c>
      <c r="D9" s="23">
        <v>5.8028203E-2</v>
      </c>
      <c r="E9" s="24">
        <v>-6.7310000000028702E-6</v>
      </c>
      <c r="F9" s="24">
        <v>-1.15981867059633E-2</v>
      </c>
      <c r="G9" s="24">
        <v>18.640109977451502</v>
      </c>
      <c r="H9" s="23">
        <v>5.8028203E-2</v>
      </c>
      <c r="I9" s="23">
        <v>5.8028203E-2</v>
      </c>
      <c r="K9">
        <f t="shared" si="0"/>
        <v>-1.1598186705963354E-4</v>
      </c>
      <c r="L9">
        <f t="shared" si="1"/>
        <v>1.740846025543729E-4</v>
      </c>
    </row>
    <row r="10" spans="1:12" ht="15" customHeight="1" x14ac:dyDescent="0.3">
      <c r="A10" s="19">
        <v>46063</v>
      </c>
      <c r="B10" s="20">
        <v>5.8029885390976303E-2</v>
      </c>
      <c r="C10" s="20">
        <v>5.8039989552801902E-2</v>
      </c>
      <c r="D10" s="20">
        <v>5.8034934000000003E-2</v>
      </c>
      <c r="E10" s="21">
        <v>-2.43518999999997E-4</v>
      </c>
      <c r="F10" s="21">
        <v>-0.41785426253506602</v>
      </c>
      <c r="G10" s="21">
        <v>18.653871675022199</v>
      </c>
      <c r="H10" s="20">
        <v>5.8034934000000003E-2</v>
      </c>
      <c r="I10" s="20">
        <v>5.8034934000000003E-2</v>
      </c>
      <c r="K10">
        <f t="shared" si="0"/>
        <v>-4.1785426253506674E-3</v>
      </c>
      <c r="L10">
        <f t="shared" si="1"/>
        <v>1.7410482151316694E-4</v>
      </c>
    </row>
    <row r="11" spans="1:12" ht="15" customHeight="1" x14ac:dyDescent="0.3">
      <c r="A11" s="22">
        <v>46062</v>
      </c>
      <c r="B11" s="23">
        <v>5.8273360333323601E-2</v>
      </c>
      <c r="C11" s="23">
        <v>5.8283549468162603E-2</v>
      </c>
      <c r="D11" s="23">
        <v>5.8278453000000001E-2</v>
      </c>
      <c r="E11" s="24">
        <v>5.2172000000000297E-4</v>
      </c>
      <c r="F11" s="24">
        <v>0.90330594010572496</v>
      </c>
      <c r="G11" s="24">
        <v>19.151752351106602</v>
      </c>
      <c r="H11" s="23">
        <v>5.8278453000000001E-2</v>
      </c>
      <c r="I11" s="23">
        <v>5.8278453000000001E-2</v>
      </c>
      <c r="K11">
        <f t="shared" si="0"/>
        <v>9.0330594010572529E-3</v>
      </c>
      <c r="L11">
        <f t="shared" si="1"/>
        <v>1.7483536906859557E-4</v>
      </c>
    </row>
    <row r="12" spans="1:12" ht="15" customHeight="1" x14ac:dyDescent="0.3">
      <c r="A12" s="19">
        <v>46059</v>
      </c>
      <c r="B12" s="20">
        <v>5.7751725332794303E-2</v>
      </c>
      <c r="C12" s="20">
        <v>5.7761732851985603E-2</v>
      </c>
      <c r="D12" s="20">
        <v>5.7756732999999998E-2</v>
      </c>
      <c r="E12" s="21">
        <v>3.9014600000000001E-4</v>
      </c>
      <c r="F12" s="21">
        <v>0.680092751552408</v>
      </c>
      <c r="G12" s="21">
        <v>18.0850827839405</v>
      </c>
      <c r="H12" s="20">
        <v>5.7756732999999998E-2</v>
      </c>
      <c r="I12" s="20">
        <v>5.7756732999999998E-2</v>
      </c>
      <c r="K12">
        <f t="shared" si="0"/>
        <v>6.80092751552408E-3</v>
      </c>
      <c r="L12">
        <f t="shared" si="1"/>
        <v>1.73270174254843E-4</v>
      </c>
    </row>
    <row r="13" spans="1:12" ht="15" customHeight="1" x14ac:dyDescent="0.3">
      <c r="A13" s="22">
        <v>46058</v>
      </c>
      <c r="B13" s="23">
        <v>5.7361157318710103E-2</v>
      </c>
      <c r="C13" s="23">
        <v>5.7372017372246897E-2</v>
      </c>
      <c r="D13" s="23">
        <v>5.7366586999999997E-2</v>
      </c>
      <c r="E13" s="24">
        <v>-5.2891300000000498E-4</v>
      </c>
      <c r="F13" s="24">
        <v>-0.91356495755283695</v>
      </c>
      <c r="G13" s="24">
        <v>17.2874195451312</v>
      </c>
      <c r="H13" s="23">
        <v>5.7366586999999997E-2</v>
      </c>
      <c r="I13" s="23">
        <v>5.7366586999999997E-2</v>
      </c>
      <c r="K13">
        <f t="shared" si="0"/>
        <v>-9.1356495755283706E-3</v>
      </c>
      <c r="L13">
        <f t="shared" si="1"/>
        <v>1.8930973768396713E-4</v>
      </c>
    </row>
    <row r="14" spans="1:12" ht="15" customHeight="1" x14ac:dyDescent="0.3">
      <c r="A14" s="19">
        <v>46057</v>
      </c>
      <c r="B14" s="20">
        <v>5.7890471228435797E-2</v>
      </c>
      <c r="C14" s="20">
        <v>5.7900526894794697E-2</v>
      </c>
      <c r="D14" s="20">
        <v>5.7895500000000003E-2</v>
      </c>
      <c r="E14" s="21">
        <v>-1.6807999999999401E-4</v>
      </c>
      <c r="F14" s="21">
        <v>-0.28947577810392</v>
      </c>
      <c r="G14" s="21">
        <v>18.368795380403999</v>
      </c>
      <c r="H14" s="20">
        <v>5.7895500000000003E-2</v>
      </c>
      <c r="I14" s="20">
        <v>5.7895500000000003E-2</v>
      </c>
      <c r="K14">
        <f t="shared" si="0"/>
        <v>-2.8947577810392033E-3</v>
      </c>
      <c r="L14">
        <f t="shared" si="1"/>
        <v>1.7368649305905438E-4</v>
      </c>
    </row>
    <row r="15" spans="1:12" ht="15" customHeight="1" x14ac:dyDescent="0.3">
      <c r="A15" s="22">
        <v>46056</v>
      </c>
      <c r="B15" s="23">
        <v>5.8058522991175102E-2</v>
      </c>
      <c r="C15" s="23">
        <v>5.8068637129086602E-2</v>
      </c>
      <c r="D15" s="23">
        <v>5.8063579999999997E-2</v>
      </c>
      <c r="E15" s="24">
        <v>7.2248999999999903E-4</v>
      </c>
      <c r="F15" s="24">
        <v>1.2599865122898599</v>
      </c>
      <c r="G15" s="24">
        <v>18.712439137302798</v>
      </c>
      <c r="H15" s="23">
        <v>5.8063579999999997E-2</v>
      </c>
      <c r="I15" s="23">
        <v>5.8063579999999997E-2</v>
      </c>
      <c r="K15">
        <f t="shared" si="0"/>
        <v>1.2599865122898679E-2</v>
      </c>
      <c r="L15">
        <f t="shared" si="1"/>
        <v>1.7419073903986342E-4</v>
      </c>
    </row>
    <row r="16" spans="1:12" ht="15" customHeight="1" x14ac:dyDescent="0.3">
      <c r="A16" s="19">
        <v>46055</v>
      </c>
      <c r="B16" s="20">
        <v>5.7335833175659802E-2</v>
      </c>
      <c r="C16" s="20">
        <v>5.7346354778958497E-2</v>
      </c>
      <c r="D16" s="20">
        <v>5.7341089999999997E-2</v>
      </c>
      <c r="E16" s="21">
        <v>-3.05766000000005E-4</v>
      </c>
      <c r="F16" s="21">
        <v>-0.53041227434850102</v>
      </c>
      <c r="G16" s="21">
        <v>17.23529029198</v>
      </c>
      <c r="H16" s="20">
        <v>5.7341089999999997E-2</v>
      </c>
      <c r="I16" s="20">
        <v>5.7341089999999997E-2</v>
      </c>
      <c r="K16">
        <f t="shared" si="0"/>
        <v>-5.304122743485018E-3</v>
      </c>
      <c r="L16">
        <f t="shared" si="1"/>
        <v>1.8349151191048463E-4</v>
      </c>
    </row>
    <row r="17" spans="1:12" ht="15" customHeight="1" x14ac:dyDescent="0.3">
      <c r="A17" s="22">
        <v>46052</v>
      </c>
      <c r="B17" s="23">
        <v>5.7641871055134401E-2</v>
      </c>
      <c r="C17" s="23">
        <v>5.7651840535009102E-2</v>
      </c>
      <c r="D17" s="23">
        <v>5.7646856000000003E-2</v>
      </c>
      <c r="E17" s="24">
        <v>-5.8210999999995503E-5</v>
      </c>
      <c r="F17" s="24">
        <v>-0.10087675662866501</v>
      </c>
      <c r="G17" s="24">
        <v>17.8604365138502</v>
      </c>
      <c r="H17" s="23">
        <v>5.7646856000000003E-2</v>
      </c>
      <c r="I17" s="23">
        <v>5.7646856000000003E-2</v>
      </c>
      <c r="K17">
        <f t="shared" si="0"/>
        <v>-1.0087675662866502E-3</v>
      </c>
      <c r="L17">
        <f t="shared" si="1"/>
        <v>1.7294056547855857E-4</v>
      </c>
    </row>
    <row r="18" spans="1:12" ht="15" customHeight="1" x14ac:dyDescent="0.3">
      <c r="A18" s="19">
        <v>46051</v>
      </c>
      <c r="B18" s="20">
        <v>5.7700075010097503E-2</v>
      </c>
      <c r="C18" s="20">
        <v>5.7710064635272403E-2</v>
      </c>
      <c r="D18" s="20">
        <v>5.7705066999999999E-2</v>
      </c>
      <c r="E18" s="21">
        <v>-3.77063000000003E-4</v>
      </c>
      <c r="F18" s="21">
        <v>-0.64918934618961499</v>
      </c>
      <c r="G18" s="21">
        <v>17.9794503568585</v>
      </c>
      <c r="H18" s="20">
        <v>5.7705066999999999E-2</v>
      </c>
      <c r="I18" s="20">
        <v>5.7705066999999999E-2</v>
      </c>
      <c r="K18">
        <f t="shared" si="0"/>
        <v>-6.4918934618961588E-3</v>
      </c>
      <c r="L18">
        <f t="shared" si="1"/>
        <v>1.7311521663946556E-4</v>
      </c>
    </row>
    <row r="19" spans="1:12" ht="15" customHeight="1" x14ac:dyDescent="0.3">
      <c r="A19" s="22">
        <v>46050</v>
      </c>
      <c r="B19" s="23">
        <v>5.8077068269593801E-2</v>
      </c>
      <c r="C19" s="23">
        <v>5.8087188870494598E-2</v>
      </c>
      <c r="D19" s="23">
        <v>5.8082130000000003E-2</v>
      </c>
      <c r="E19" s="24">
        <v>1.2119500000000401E-4</v>
      </c>
      <c r="F19" s="24">
        <v>0.20909773108388399</v>
      </c>
      <c r="G19" s="24">
        <v>18.750365075489899</v>
      </c>
      <c r="H19" s="23">
        <v>5.8082130000000003E-2</v>
      </c>
      <c r="I19" s="23">
        <v>5.8082130000000003E-2</v>
      </c>
      <c r="K19">
        <f t="shared" si="0"/>
        <v>2.0909773108388485E-3</v>
      </c>
      <c r="L19">
        <f t="shared" si="1"/>
        <v>1.7424638009654172E-4</v>
      </c>
    </row>
    <row r="20" spans="1:12" ht="15" customHeight="1" x14ac:dyDescent="0.3">
      <c r="A20" s="19">
        <v>46049</v>
      </c>
      <c r="B20" s="20">
        <v>5.7955895563476197E-2</v>
      </c>
      <c r="C20" s="20">
        <v>5.7965973973277699E-2</v>
      </c>
      <c r="D20" s="20">
        <v>5.7960934999999998E-2</v>
      </c>
      <c r="E20" s="21">
        <v>3.3600000000008602E-6</v>
      </c>
      <c r="F20" s="21">
        <v>5.79734400549813E-3</v>
      </c>
      <c r="G20" s="21">
        <v>18.502578871792998</v>
      </c>
      <c r="H20" s="20">
        <v>5.7960934999999998E-2</v>
      </c>
      <c r="I20" s="20">
        <v>5.7960934999999998E-2</v>
      </c>
      <c r="K20">
        <f t="shared" si="0"/>
        <v>5.7973440054981396E-5</v>
      </c>
      <c r="L20">
        <f t="shared" si="1"/>
        <v>1.7388280229609703E-4</v>
      </c>
    </row>
    <row r="21" spans="1:12" ht="15" customHeight="1" x14ac:dyDescent="0.3">
      <c r="A21" s="22">
        <v>46048</v>
      </c>
      <c r="B21" s="23">
        <v>5.7952536872301598E-2</v>
      </c>
      <c r="C21" s="23">
        <v>5.7962614113896499E-2</v>
      </c>
      <c r="D21" s="23">
        <v>5.7957574999999997E-2</v>
      </c>
      <c r="E21" s="24">
        <v>6.8544999999999696E-4</v>
      </c>
      <c r="F21" s="24">
        <v>1.1968300460302299</v>
      </c>
      <c r="G21" s="24">
        <v>18.495709267894998</v>
      </c>
      <c r="H21" s="23">
        <v>5.7957574999999997E-2</v>
      </c>
      <c r="I21" s="23">
        <v>5.7957574999999997E-2</v>
      </c>
      <c r="K21">
        <f t="shared" si="0"/>
        <v>1.1968300460302395E-2</v>
      </c>
      <c r="L21">
        <f t="shared" si="1"/>
        <v>1.7387272664360151E-4</v>
      </c>
    </row>
    <row r="22" spans="1:12" ht="15" customHeight="1" x14ac:dyDescent="0.3">
      <c r="A22" s="19">
        <v>46045</v>
      </c>
      <c r="B22" s="20">
        <v>5.72672087962433E-2</v>
      </c>
      <c r="C22" s="20">
        <v>5.7277049086431102E-2</v>
      </c>
      <c r="D22" s="20">
        <v>5.7272125E-2</v>
      </c>
      <c r="E22" s="21">
        <v>4.0967000000002801E-5</v>
      </c>
      <c r="F22" s="21">
        <v>7.1581637401085793E-2</v>
      </c>
      <c r="G22" s="21">
        <v>17.094289627448099</v>
      </c>
      <c r="H22" s="20">
        <v>5.7272125E-2</v>
      </c>
      <c r="I22" s="20">
        <v>5.7272125E-2</v>
      </c>
      <c r="K22">
        <f t="shared" si="0"/>
        <v>7.1581637401085807E-4</v>
      </c>
      <c r="L22">
        <f t="shared" si="1"/>
        <v>1.7181639738007653E-4</v>
      </c>
    </row>
    <row r="23" spans="1:12" ht="15" customHeight="1" x14ac:dyDescent="0.3">
      <c r="A23" s="22">
        <v>46044</v>
      </c>
      <c r="B23" s="23">
        <v>5.7226243955477998E-2</v>
      </c>
      <c r="C23" s="23">
        <v>5.7236070171422002E-2</v>
      </c>
      <c r="D23" s="23">
        <v>5.7231157999999997E-2</v>
      </c>
      <c r="E23" s="24">
        <v>-1.3789900000000301E-4</v>
      </c>
      <c r="F23" s="24">
        <v>-0.24037173907182</v>
      </c>
      <c r="G23" s="24">
        <v>17.010531573016401</v>
      </c>
      <c r="H23" s="23">
        <v>5.7231157999999997E-2</v>
      </c>
      <c r="I23" s="23">
        <v>5.7231157999999997E-2</v>
      </c>
      <c r="K23">
        <f t="shared" si="0"/>
        <v>-2.4037173907182074E-3</v>
      </c>
      <c r="L23">
        <f t="shared" si="1"/>
        <v>1.7169346711459581E-4</v>
      </c>
    </row>
    <row r="24" spans="1:12" ht="15" customHeight="1" x14ac:dyDescent="0.3">
      <c r="A24" s="19">
        <v>46043</v>
      </c>
      <c r="B24" s="20">
        <v>5.7364118743725802E-2</v>
      </c>
      <c r="C24" s="20">
        <v>5.7373992369258997E-2</v>
      </c>
      <c r="D24" s="20">
        <v>5.7369057000000001E-2</v>
      </c>
      <c r="E24" s="21">
        <v>5.5571700000000396E-4</v>
      </c>
      <c r="F24" s="21">
        <v>0.97814527362765002</v>
      </c>
      <c r="G24" s="21">
        <v>17.292469521806201</v>
      </c>
      <c r="H24" s="20">
        <v>5.7369057000000001E-2</v>
      </c>
      <c r="I24" s="20">
        <v>5.7369057000000001E-2</v>
      </c>
      <c r="K24">
        <f t="shared" si="0"/>
        <v>9.781452736276508E-3</v>
      </c>
      <c r="L24">
        <f t="shared" si="1"/>
        <v>1.7210716106411174E-4</v>
      </c>
    </row>
    <row r="25" spans="1:12" ht="15" customHeight="1" x14ac:dyDescent="0.3">
      <c r="A25" s="22">
        <v>46042</v>
      </c>
      <c r="B25" s="23">
        <v>5.6808498551383299E-2</v>
      </c>
      <c r="C25" s="23">
        <v>5.6818181818181802E-2</v>
      </c>
      <c r="D25" s="23">
        <v>5.6813339999999997E-2</v>
      </c>
      <c r="E25" s="24">
        <v>2.5812E-5</v>
      </c>
      <c r="F25" s="24">
        <v>4.5453642567427899E-2</v>
      </c>
      <c r="G25" s="24">
        <v>16.156292239246898</v>
      </c>
      <c r="H25" s="23">
        <v>5.6813339999999997E-2</v>
      </c>
      <c r="I25" s="23">
        <v>5.6813339999999997E-2</v>
      </c>
      <c r="K25">
        <f t="shared" si="0"/>
        <v>4.5453642567427899E-4</v>
      </c>
      <c r="L25">
        <f t="shared" si="1"/>
        <v>1.7044001987039212E-4</v>
      </c>
    </row>
    <row r="26" spans="1:12" ht="15" customHeight="1" x14ac:dyDescent="0.3">
      <c r="A26" s="19">
        <v>46041</v>
      </c>
      <c r="B26" s="20">
        <v>5.67823702096973E-2</v>
      </c>
      <c r="C26" s="20">
        <v>5.6792689644988903E-2</v>
      </c>
      <c r="D26" s="20">
        <v>5.6787527999999997E-2</v>
      </c>
      <c r="E26" s="21">
        <v>2.9992299999999302E-4</v>
      </c>
      <c r="F26" s="21">
        <v>0.53095364903503695</v>
      </c>
      <c r="G26" s="21">
        <v>16.103518960730302</v>
      </c>
      <c r="H26" s="20">
        <v>5.6787527999999997E-2</v>
      </c>
      <c r="I26" s="20">
        <v>5.6787527999999997E-2</v>
      </c>
      <c r="K26">
        <f t="shared" si="0"/>
        <v>5.309536490350375E-3</v>
      </c>
      <c r="L26">
        <f t="shared" si="1"/>
        <v>1.817201004347832E-4</v>
      </c>
    </row>
    <row r="27" spans="1:12" ht="15" customHeight="1" x14ac:dyDescent="0.3">
      <c r="A27" s="22">
        <v>46038</v>
      </c>
      <c r="B27" s="23">
        <v>5.6482815103504801E-2</v>
      </c>
      <c r="C27" s="23">
        <v>5.64923876507641E-2</v>
      </c>
      <c r="D27" s="23">
        <v>5.6487605000000003E-2</v>
      </c>
      <c r="E27" s="24">
        <v>-8.7879999999998501E-5</v>
      </c>
      <c r="F27" s="24">
        <v>-0.15533229631172701</v>
      </c>
      <c r="G27" s="24">
        <v>15.490318898257801</v>
      </c>
      <c r="H27" s="23">
        <v>5.6487605000000003E-2</v>
      </c>
      <c r="I27" s="23">
        <v>5.6487605000000003E-2</v>
      </c>
      <c r="K27">
        <f t="shared" si="0"/>
        <v>-1.5533229631172762E-3</v>
      </c>
      <c r="L27">
        <f t="shared" si="1"/>
        <v>1.6946279204614419E-4</v>
      </c>
    </row>
    <row r="28" spans="1:12" ht="15" customHeight="1" x14ac:dyDescent="0.3">
      <c r="A28" s="19">
        <v>46037</v>
      </c>
      <c r="B28" s="20">
        <v>5.6570685070996198E-2</v>
      </c>
      <c r="C28" s="20">
        <v>5.6580287427860101E-2</v>
      </c>
      <c r="D28" s="20">
        <v>5.6575485000000002E-2</v>
      </c>
      <c r="E28" s="21">
        <v>4.1148900000000099E-4</v>
      </c>
      <c r="F28" s="21">
        <v>0.73265620202664905</v>
      </c>
      <c r="G28" s="21">
        <v>15.6699917525907</v>
      </c>
      <c r="H28" s="20">
        <v>5.6575485000000002E-2</v>
      </c>
      <c r="I28" s="20">
        <v>5.6575485000000002E-2</v>
      </c>
      <c r="K28">
        <f t="shared" si="0"/>
        <v>7.3265620202664916E-3</v>
      </c>
      <c r="L28">
        <f t="shared" si="1"/>
        <v>1.6972646127388791E-4</v>
      </c>
    </row>
    <row r="29" spans="1:12" ht="15" customHeight="1" x14ac:dyDescent="0.3">
      <c r="A29" s="22">
        <v>46036</v>
      </c>
      <c r="B29" s="23">
        <v>5.6159267683149397E-2</v>
      </c>
      <c r="C29" s="23">
        <v>5.61687308675261E-2</v>
      </c>
      <c r="D29" s="23">
        <v>5.6163996000000001E-2</v>
      </c>
      <c r="E29" s="24">
        <v>1.6119600000000201E-4</v>
      </c>
      <c r="F29" s="24">
        <v>0.28783560821958798</v>
      </c>
      <c r="G29" s="24">
        <v>14.828692217354099</v>
      </c>
      <c r="H29" s="23">
        <v>5.6163996000000001E-2</v>
      </c>
      <c r="I29" s="23">
        <v>5.6163996000000001E-2</v>
      </c>
      <c r="K29">
        <f t="shared" si="0"/>
        <v>2.8783560821958876E-3</v>
      </c>
      <c r="L29">
        <f t="shared" si="1"/>
        <v>1.6849200645735083E-4</v>
      </c>
    </row>
    <row r="30" spans="1:12" ht="15" customHeight="1" x14ac:dyDescent="0.3">
      <c r="A30" s="19">
        <v>46035</v>
      </c>
      <c r="B30" s="20">
        <v>5.5997939275834602E-2</v>
      </c>
      <c r="C30" s="20">
        <v>5.6007661848140801E-2</v>
      </c>
      <c r="D30" s="20">
        <v>5.6002799999999998E-2</v>
      </c>
      <c r="E30" s="21">
        <v>8.5332000000000395E-5</v>
      </c>
      <c r="F30" s="21">
        <v>0.15260347625183299</v>
      </c>
      <c r="G30" s="21">
        <v>14.499122970346299</v>
      </c>
      <c r="H30" s="20">
        <v>5.6002799999999998E-2</v>
      </c>
      <c r="I30" s="20">
        <v>5.6002799999999998E-2</v>
      </c>
      <c r="K30">
        <f t="shared" si="0"/>
        <v>1.5260347625183357E-3</v>
      </c>
      <c r="L30">
        <f t="shared" si="1"/>
        <v>1.7360868217659051E-4</v>
      </c>
    </row>
    <row r="31" spans="1:12" ht="15" customHeight="1" x14ac:dyDescent="0.3">
      <c r="A31" s="22">
        <v>46034</v>
      </c>
      <c r="B31" s="23">
        <v>5.5912776069331802E-2</v>
      </c>
      <c r="C31" s="23">
        <v>5.5922156358349198E-2</v>
      </c>
      <c r="D31" s="23">
        <v>5.5917467999999998E-2</v>
      </c>
      <c r="E31" s="24">
        <v>2.7071799999999602E-4</v>
      </c>
      <c r="F31" s="24">
        <v>0.48649382039380701</v>
      </c>
      <c r="G31" s="24">
        <v>14.3246595656361</v>
      </c>
      <c r="H31" s="23">
        <v>5.5917467999999998E-2</v>
      </c>
      <c r="I31" s="23">
        <v>5.5917467999999998E-2</v>
      </c>
      <c r="K31">
        <f t="shared" si="0"/>
        <v>4.864938203938074E-3</v>
      </c>
      <c r="L31">
        <f t="shared" si="1"/>
        <v>1.6775239210395983E-4</v>
      </c>
    </row>
    <row r="32" spans="1:12" ht="15" customHeight="1" x14ac:dyDescent="0.3">
      <c r="A32" s="19">
        <v>46031</v>
      </c>
      <c r="B32" s="20">
        <v>5.5642109948809297E-2</v>
      </c>
      <c r="C32" s="20">
        <v>5.5651399632700799E-2</v>
      </c>
      <c r="D32" s="20">
        <v>5.5646750000000002E-2</v>
      </c>
      <c r="E32" s="21">
        <v>2.0115000000001101E-5</v>
      </c>
      <c r="F32" s="21">
        <v>3.6160734870982397E-2</v>
      </c>
      <c r="G32" s="21">
        <v>13.771169854902301</v>
      </c>
      <c r="H32" s="20">
        <v>5.5646750000000002E-2</v>
      </c>
      <c r="I32" s="20">
        <v>5.5646750000000002E-2</v>
      </c>
      <c r="K32">
        <f t="shared" si="0"/>
        <v>3.6160734870982481E-4</v>
      </c>
      <c r="L32">
        <f t="shared" si="1"/>
        <v>1.6694027758137875E-4</v>
      </c>
    </row>
    <row r="33" spans="1:12" ht="15" customHeight="1" x14ac:dyDescent="0.3">
      <c r="A33" s="22">
        <v>46030</v>
      </c>
      <c r="B33" s="23">
        <v>5.5621992936006899E-2</v>
      </c>
      <c r="C33" s="23">
        <v>5.56312759033128E-2</v>
      </c>
      <c r="D33" s="23">
        <v>5.5626635000000001E-2</v>
      </c>
      <c r="E33" s="24">
        <v>-1.10066999999998E-4</v>
      </c>
      <c r="F33" s="24">
        <v>-0.19747670036163101</v>
      </c>
      <c r="G33" s="24">
        <v>13.730044235137701</v>
      </c>
      <c r="H33" s="23">
        <v>5.5626635000000001E-2</v>
      </c>
      <c r="I33" s="23">
        <v>5.5626635000000001E-2</v>
      </c>
      <c r="K33">
        <f t="shared" si="0"/>
        <v>-1.9747670036163179E-3</v>
      </c>
      <c r="L33">
        <f t="shared" si="1"/>
        <v>1.6687990035531343E-4</v>
      </c>
    </row>
    <row r="34" spans="1:12" ht="15" customHeight="1" x14ac:dyDescent="0.3">
      <c r="A34" s="19">
        <v>46029</v>
      </c>
      <c r="B34" s="20">
        <v>5.5732040349997201E-2</v>
      </c>
      <c r="C34" s="20">
        <v>5.5741360089186197E-2</v>
      </c>
      <c r="D34" s="20">
        <v>5.5736701999999999E-2</v>
      </c>
      <c r="E34" s="21">
        <v>9.4591999999997498E-5</v>
      </c>
      <c r="F34" s="21">
        <v>0.17000074224360301</v>
      </c>
      <c r="G34" s="21">
        <v>13.9550789649723</v>
      </c>
      <c r="H34" s="20">
        <v>5.5736701999999999E-2</v>
      </c>
      <c r="I34" s="20">
        <v>5.5736701999999999E-2</v>
      </c>
      <c r="K34">
        <f t="shared" si="0"/>
        <v>1.700007422436034E-3</v>
      </c>
      <c r="L34">
        <f t="shared" si="1"/>
        <v>1.672100941493708E-4</v>
      </c>
    </row>
    <row r="35" spans="1:12" ht="15" customHeight="1" x14ac:dyDescent="0.3">
      <c r="A35" s="22">
        <v>46028</v>
      </c>
      <c r="B35" s="23">
        <v>5.56374662697861E-2</v>
      </c>
      <c r="C35" s="23">
        <v>5.5646754403049399E-2</v>
      </c>
      <c r="D35" s="23">
        <v>5.5642110000000002E-2</v>
      </c>
      <c r="E35" s="24">
        <v>-2.6362999999999999E-4</v>
      </c>
      <c r="F35" s="24">
        <v>-0.47156159635843797</v>
      </c>
      <c r="G35" s="24">
        <v>13.7616832590431</v>
      </c>
      <c r="H35" s="23">
        <v>5.5642110000000002E-2</v>
      </c>
      <c r="I35" s="23">
        <v>5.5642110000000002E-2</v>
      </c>
      <c r="K35">
        <f t="shared" si="0"/>
        <v>-4.7156159635843853E-3</v>
      </c>
      <c r="L35">
        <f t="shared" si="1"/>
        <v>1.6692633085444385E-4</v>
      </c>
    </row>
    <row r="36" spans="1:12" ht="15" customHeight="1" x14ac:dyDescent="0.3">
      <c r="A36" s="19">
        <v>46027</v>
      </c>
      <c r="B36" s="20">
        <v>5.5900898886454102E-2</v>
      </c>
      <c r="C36" s="20">
        <v>5.5910587788009398E-2</v>
      </c>
      <c r="D36" s="20">
        <v>5.5905740000000002E-2</v>
      </c>
      <c r="E36" s="21">
        <v>-2.1104000000000901E-5</v>
      </c>
      <c r="F36" s="21">
        <v>-3.7735009685158E-2</v>
      </c>
      <c r="G36" s="21">
        <v>14.300681376792101</v>
      </c>
      <c r="H36" s="20">
        <v>5.5905740000000002E-2</v>
      </c>
      <c r="I36" s="20">
        <v>5.5905740000000002E-2</v>
      </c>
      <c r="K36">
        <f t="shared" si="0"/>
        <v>-3.7735009685158083E-4</v>
      </c>
      <c r="L36">
        <f t="shared" si="1"/>
        <v>1.7330781338904461E-4</v>
      </c>
    </row>
    <row r="37" spans="1:12" ht="15" customHeight="1" x14ac:dyDescent="0.3">
      <c r="A37" s="22">
        <v>46024</v>
      </c>
      <c r="B37" s="23">
        <v>5.5922156358349198E-2</v>
      </c>
      <c r="C37" s="23">
        <v>5.59315397952906E-2</v>
      </c>
      <c r="D37" s="23">
        <v>5.5926844000000003E-2</v>
      </c>
      <c r="E37" s="24">
        <v>3.07884000000001E-4</v>
      </c>
      <c r="F37" s="24">
        <v>0.55355943368953198</v>
      </c>
      <c r="G37" s="24">
        <v>14.3438290317516</v>
      </c>
      <c r="H37" s="23">
        <v>5.5926844000000003E-2</v>
      </c>
      <c r="I37" s="23">
        <v>5.5926844000000003E-2</v>
      </c>
      <c r="K37">
        <f t="shared" si="0"/>
        <v>5.535594336895322E-3</v>
      </c>
      <c r="L37">
        <f t="shared" si="1"/>
        <v>1.6778055528041998E-4</v>
      </c>
    </row>
    <row r="38" spans="1:12" ht="15" customHeight="1" x14ac:dyDescent="0.3">
      <c r="A38" s="19">
        <v>46023</v>
      </c>
      <c r="B38" s="20">
        <v>5.5614259496134799E-2</v>
      </c>
      <c r="C38" s="20">
        <v>5.5623539882078098E-2</v>
      </c>
      <c r="D38" s="20">
        <v>5.5618960000000002E-2</v>
      </c>
      <c r="E38" s="21">
        <v>6.0000000003113105E-8</v>
      </c>
      <c r="F38" s="21">
        <v>1.0787699864511699E-4</v>
      </c>
      <c r="G38" s="21">
        <v>13.7143525059957</v>
      </c>
      <c r="H38" s="20">
        <v>5.5618960000000002E-2</v>
      </c>
      <c r="I38" s="20">
        <v>5.5618960000000002E-2</v>
      </c>
      <c r="K38">
        <f t="shared" si="0"/>
        <v>1.0787699864511779E-6</v>
      </c>
      <c r="L38">
        <f t="shared" si="1"/>
        <v>1.6685651697368221E-4</v>
      </c>
    </row>
    <row r="39" spans="1:12" ht="15" customHeight="1" x14ac:dyDescent="0.3">
      <c r="A39" s="22">
        <v>46022</v>
      </c>
      <c r="B39" s="23">
        <v>5.5614259496134799E-2</v>
      </c>
      <c r="C39" s="23">
        <v>5.5623539882078098E-2</v>
      </c>
      <c r="D39" s="23">
        <v>5.5618899999999999E-2</v>
      </c>
      <c r="E39" s="24">
        <v>-1.4033199999999901E-4</v>
      </c>
      <c r="F39" s="24">
        <v>-0.251674915465116</v>
      </c>
      <c r="G39" s="24">
        <v>13.7142298344975</v>
      </c>
      <c r="H39" s="23">
        <v>5.5618899999999999E-2</v>
      </c>
      <c r="I39" s="23">
        <v>5.5618899999999999E-2</v>
      </c>
      <c r="K39">
        <f t="shared" si="0"/>
        <v>-2.5167491546511656E-3</v>
      </c>
      <c r="L39">
        <f t="shared" si="1"/>
        <v>1.6685669697348479E-4</v>
      </c>
    </row>
    <row r="40" spans="1:12" ht="15" customHeight="1" x14ac:dyDescent="0.3">
      <c r="A40" s="19">
        <v>46021</v>
      </c>
      <c r="B40" s="20">
        <v>5.5754412961785897E-2</v>
      </c>
      <c r="C40" s="20">
        <v>5.5764051146787702E-2</v>
      </c>
      <c r="D40" s="20">
        <v>5.5759231999999999E-2</v>
      </c>
      <c r="E40" s="21">
        <v>4.4267000000000598E-5</v>
      </c>
      <c r="F40" s="21">
        <v>7.9452621032793894E-2</v>
      </c>
      <c r="G40" s="21">
        <v>14.001142112538499</v>
      </c>
      <c r="H40" s="20">
        <v>5.5759231999999999E-2</v>
      </c>
      <c r="I40" s="20">
        <v>5.5759231999999999E-2</v>
      </c>
      <c r="K40">
        <f t="shared" si="0"/>
        <v>7.9452621032793935E-4</v>
      </c>
      <c r="L40">
        <f t="shared" si="1"/>
        <v>1.7285361824576163E-4</v>
      </c>
    </row>
    <row r="41" spans="1:12" ht="15" customHeight="1" x14ac:dyDescent="0.3">
      <c r="A41" s="22">
        <v>46020</v>
      </c>
      <c r="B41" s="23">
        <v>5.5710306406685201E-2</v>
      </c>
      <c r="C41" s="23">
        <v>5.5719618877806902E-2</v>
      </c>
      <c r="D41" s="23">
        <v>5.5714964999999998E-2</v>
      </c>
      <c r="E41" s="24">
        <v>-1.8062500000000299E-4</v>
      </c>
      <c r="F41" s="24">
        <v>-0.32314713915714199</v>
      </c>
      <c r="G41" s="24">
        <v>13.910637125707</v>
      </c>
      <c r="H41" s="23">
        <v>5.5714964999999998E-2</v>
      </c>
      <c r="I41" s="23">
        <v>5.5714964999999998E-2</v>
      </c>
      <c r="K41">
        <f t="shared" si="0"/>
        <v>-3.2314713915714277E-3</v>
      </c>
      <c r="L41">
        <f t="shared" si="1"/>
        <v>1.6714487968720043E-4</v>
      </c>
    </row>
    <row r="42" spans="1:12" ht="15" customHeight="1" x14ac:dyDescent="0.3">
      <c r="A42" s="19">
        <v>46017</v>
      </c>
      <c r="B42" s="20">
        <v>5.5890588583788398E-2</v>
      </c>
      <c r="C42" s="20">
        <v>5.59005863971513E-2</v>
      </c>
      <c r="D42" s="20">
        <v>5.5895590000000002E-2</v>
      </c>
      <c r="E42" s="21">
        <v>1.20026000000002E-4</v>
      </c>
      <c r="F42" s="21">
        <v>0.215194596687551</v>
      </c>
      <c r="G42" s="21">
        <v>14.279929448350099</v>
      </c>
      <c r="H42" s="20">
        <v>5.5895590000000002E-2</v>
      </c>
      <c r="I42" s="20">
        <v>5.5895590000000002E-2</v>
      </c>
      <c r="K42">
        <f t="shared" si="0"/>
        <v>2.1519459668755125E-3</v>
      </c>
      <c r="L42">
        <f t="shared" si="1"/>
        <v>1.7886587050789708E-4</v>
      </c>
    </row>
    <row r="43" spans="1:12" ht="15" customHeight="1" x14ac:dyDescent="0.3">
      <c r="A43" s="22">
        <v>46016</v>
      </c>
      <c r="B43" s="23">
        <v>5.5770893170854097E-2</v>
      </c>
      <c r="C43" s="23">
        <v>5.5780225909914903E-2</v>
      </c>
      <c r="D43" s="23">
        <v>5.5775564E-2</v>
      </c>
      <c r="E43" s="24">
        <v>6.9999999963155E-9</v>
      </c>
      <c r="F43" s="24">
        <v>1.25503004877458E-5</v>
      </c>
      <c r="G43" s="24">
        <v>14.034533294342801</v>
      </c>
      <c r="H43" s="23">
        <v>5.5775564E-2</v>
      </c>
      <c r="I43" s="23">
        <v>5.5775564E-2</v>
      </c>
      <c r="K43">
        <f t="shared" si="0"/>
        <v>1.2550300487745858E-7</v>
      </c>
      <c r="L43">
        <f t="shared" si="1"/>
        <v>1.6732666407114045E-4</v>
      </c>
    </row>
    <row r="44" spans="1:12" ht="15" customHeight="1" x14ac:dyDescent="0.3">
      <c r="A44" s="19">
        <v>46015</v>
      </c>
      <c r="B44" s="20">
        <v>5.5770893170854097E-2</v>
      </c>
      <c r="C44" s="20">
        <v>5.5780225909914903E-2</v>
      </c>
      <c r="D44" s="20">
        <v>5.5775557000000003E-2</v>
      </c>
      <c r="E44" s="21">
        <v>-4.6729999999966999E-6</v>
      </c>
      <c r="F44" s="21">
        <v>-8.3775201357161305E-3</v>
      </c>
      <c r="G44" s="21">
        <v>14.0345189826681</v>
      </c>
      <c r="H44" s="20">
        <v>5.5775557000000003E-2</v>
      </c>
      <c r="I44" s="20">
        <v>5.5775557000000003E-2</v>
      </c>
      <c r="K44">
        <f t="shared" si="0"/>
        <v>-8.3775201357161322E-5</v>
      </c>
      <c r="L44">
        <f t="shared" si="1"/>
        <v>1.6732668507113955E-4</v>
      </c>
    </row>
    <row r="45" spans="1:12" ht="15" customHeight="1" x14ac:dyDescent="0.3">
      <c r="A45" s="22">
        <v>46014</v>
      </c>
      <c r="B45" s="23">
        <v>5.5775559149980503E-2</v>
      </c>
      <c r="C45" s="23">
        <v>5.5784893450853502E-2</v>
      </c>
      <c r="D45" s="23">
        <v>5.578023E-2</v>
      </c>
      <c r="E45" s="24">
        <v>1.61330000000001E-4</v>
      </c>
      <c r="F45" s="24">
        <v>0.29006326985969699</v>
      </c>
      <c r="G45" s="24">
        <v>14.044073047851199</v>
      </c>
      <c r="H45" s="23">
        <v>5.578023E-2</v>
      </c>
      <c r="I45" s="23">
        <v>5.578023E-2</v>
      </c>
      <c r="K45">
        <f t="shared" si="0"/>
        <v>2.9006326985969721E-3</v>
      </c>
      <c r="L45">
        <f t="shared" si="1"/>
        <v>1.6734066663045056E-4</v>
      </c>
    </row>
    <row r="46" spans="1:12" ht="15" customHeight="1" x14ac:dyDescent="0.3">
      <c r="A46" s="19">
        <v>46013</v>
      </c>
      <c r="B46" s="20">
        <v>5.5614259496134799E-2</v>
      </c>
      <c r="C46" s="20">
        <v>5.5623539882078098E-2</v>
      </c>
      <c r="D46" s="20">
        <v>5.5618899999999999E-2</v>
      </c>
      <c r="E46" s="21">
        <v>1.15765999999996E-4</v>
      </c>
      <c r="F46" s="21">
        <v>0.208575609442163</v>
      </c>
      <c r="G46" s="21">
        <v>13.7142298344975</v>
      </c>
      <c r="H46" s="20">
        <v>5.5618899999999999E-2</v>
      </c>
      <c r="I46" s="20">
        <v>5.5618899999999999E-2</v>
      </c>
      <c r="K46">
        <f t="shared" si="0"/>
        <v>2.0857560944216313E-3</v>
      </c>
      <c r="L46">
        <f t="shared" si="1"/>
        <v>1.6685669697348479E-4</v>
      </c>
    </row>
    <row r="47" spans="1:12" ht="15" customHeight="1" x14ac:dyDescent="0.3">
      <c r="A47" s="22">
        <v>46010</v>
      </c>
      <c r="B47" s="23">
        <v>5.54985154147127E-2</v>
      </c>
      <c r="C47" s="23">
        <v>5.5507757209070002E-2</v>
      </c>
      <c r="D47" s="23">
        <v>5.5503134000000003E-2</v>
      </c>
      <c r="E47" s="24">
        <v>-9.2575999999996994E-5</v>
      </c>
      <c r="F47" s="24">
        <v>-0.16651644524370199</v>
      </c>
      <c r="G47" s="24">
        <v>13.477543356860901</v>
      </c>
      <c r="H47" s="23">
        <v>5.5503134000000003E-2</v>
      </c>
      <c r="I47" s="23">
        <v>5.5503134000000003E-2</v>
      </c>
      <c r="K47">
        <f t="shared" si="0"/>
        <v>-1.665164452437029E-3</v>
      </c>
      <c r="L47">
        <f t="shared" si="1"/>
        <v>1.6650941471705487E-4</v>
      </c>
    </row>
    <row r="48" spans="1:12" ht="15" customHeight="1" x14ac:dyDescent="0.3">
      <c r="A48" s="19">
        <v>46009</v>
      </c>
      <c r="B48" s="20">
        <v>5.5591072073825E-2</v>
      </c>
      <c r="C48" s="20">
        <v>5.5600344722137297E-2</v>
      </c>
      <c r="D48" s="20">
        <v>5.559571E-2</v>
      </c>
      <c r="E48" s="21">
        <v>7.8710000000002599E-5</v>
      </c>
      <c r="F48" s="21">
        <v>0.14177639281662799</v>
      </c>
      <c r="G48" s="21">
        <v>13.666817300451299</v>
      </c>
      <c r="H48" s="20">
        <v>5.559571E-2</v>
      </c>
      <c r="I48" s="20">
        <v>5.559571E-2</v>
      </c>
      <c r="K48">
        <f t="shared" si="0"/>
        <v>1.4177639281662824E-3</v>
      </c>
      <c r="L48">
        <f t="shared" si="1"/>
        <v>1.6678711922731717E-4</v>
      </c>
    </row>
    <row r="49" spans="1:12" ht="15" customHeight="1" x14ac:dyDescent="0.3">
      <c r="A49" s="22">
        <v>46008</v>
      </c>
      <c r="B49" s="23">
        <v>5.5512379260575097E-2</v>
      </c>
      <c r="C49" s="23">
        <v>5.5521625673199702E-2</v>
      </c>
      <c r="D49" s="23">
        <v>5.5516999999999997E-2</v>
      </c>
      <c r="E49" s="24">
        <v>-1.8865000000000499E-4</v>
      </c>
      <c r="F49" s="24">
        <v>-0.33865505563619402</v>
      </c>
      <c r="G49" s="24">
        <v>13.505892740090101</v>
      </c>
      <c r="H49" s="23">
        <v>5.5516999999999997E-2</v>
      </c>
      <c r="I49" s="23">
        <v>5.5516999999999997E-2</v>
      </c>
      <c r="K49">
        <f t="shared" si="0"/>
        <v>-3.3865505563619447E-3</v>
      </c>
      <c r="L49">
        <f t="shared" si="1"/>
        <v>1.6655101364637087E-4</v>
      </c>
    </row>
    <row r="50" spans="1:12" ht="15" customHeight="1" x14ac:dyDescent="0.3">
      <c r="A50" s="19">
        <v>46007</v>
      </c>
      <c r="B50" s="20">
        <v>5.5700997047847201E-2</v>
      </c>
      <c r="C50" s="20">
        <v>5.5710306406685201E-2</v>
      </c>
      <c r="D50" s="20">
        <v>5.5705650000000002E-2</v>
      </c>
      <c r="E50" s="21">
        <v>7.7466000000005197E-5</v>
      </c>
      <c r="F50" s="21">
        <v>0.13925674798229701</v>
      </c>
      <c r="G50" s="21">
        <v>13.8915923756147</v>
      </c>
      <c r="H50" s="20">
        <v>5.5705650000000002E-2</v>
      </c>
      <c r="I50" s="20">
        <v>5.5705650000000002E-2</v>
      </c>
      <c r="K50">
        <f t="shared" si="0"/>
        <v>1.3925674798229704E-3</v>
      </c>
      <c r="L50">
        <f t="shared" si="1"/>
        <v>1.6711695919534181E-4</v>
      </c>
    </row>
    <row r="51" spans="1:12" ht="15" customHeight="1" x14ac:dyDescent="0.3">
      <c r="A51" s="22">
        <v>46006</v>
      </c>
      <c r="B51" s="23">
        <v>5.5623539882078098E-2</v>
      </c>
      <c r="C51" s="23">
        <v>5.5632823365785802E-2</v>
      </c>
      <c r="D51" s="23">
        <v>5.5628183999999997E-2</v>
      </c>
      <c r="E51" s="24">
        <v>2.64859999999998E-4</v>
      </c>
      <c r="F51" s="24">
        <v>0.47840335598345801</v>
      </c>
      <c r="G51" s="24">
        <v>13.733211204315699</v>
      </c>
      <c r="H51" s="23">
        <v>5.5628183999999997E-2</v>
      </c>
      <c r="I51" s="23">
        <v>5.5628183999999997E-2</v>
      </c>
      <c r="K51">
        <f t="shared" si="0"/>
        <v>4.7840335598345884E-3</v>
      </c>
      <c r="L51">
        <f t="shared" si="1"/>
        <v>1.6688453658139649E-4</v>
      </c>
    </row>
    <row r="52" spans="1:12" ht="15" customHeight="1" x14ac:dyDescent="0.3">
      <c r="A52" s="19">
        <v>46003</v>
      </c>
      <c r="B52" s="20">
        <v>5.5358724534986699E-2</v>
      </c>
      <c r="C52" s="20">
        <v>5.5367919827252102E-2</v>
      </c>
      <c r="D52" s="20">
        <v>5.5363323999999998E-2</v>
      </c>
      <c r="E52" s="21">
        <v>-5.0619000000001698E-5</v>
      </c>
      <c r="F52" s="21">
        <v>-9.1347045995271395E-2</v>
      </c>
      <c r="G52" s="21">
        <v>13.191698320854099</v>
      </c>
      <c r="H52" s="20">
        <v>5.5363323999999998E-2</v>
      </c>
      <c r="I52" s="20">
        <v>5.5363323999999998E-2</v>
      </c>
      <c r="K52">
        <f t="shared" si="0"/>
        <v>-9.1347045995271436E-4</v>
      </c>
      <c r="L52">
        <f t="shared" si="1"/>
        <v>1.6608995994176376E-4</v>
      </c>
    </row>
    <row r="53" spans="1:12" ht="15" customHeight="1" x14ac:dyDescent="0.3">
      <c r="A53" s="22">
        <v>46002</v>
      </c>
      <c r="B53" s="23">
        <v>5.5409336473195701E-2</v>
      </c>
      <c r="C53" s="23">
        <v>5.5418548588212498E-2</v>
      </c>
      <c r="D53" s="23">
        <v>5.5413943E-2</v>
      </c>
      <c r="E53" s="24">
        <v>4.6737499999999899E-4</v>
      </c>
      <c r="F53" s="24">
        <v>0.85059907654285705</v>
      </c>
      <c r="G53" s="24">
        <v>13.2951901302928</v>
      </c>
      <c r="H53" s="23">
        <v>5.5413943E-2</v>
      </c>
      <c r="I53" s="23">
        <v>5.5413943E-2</v>
      </c>
      <c r="K53">
        <f t="shared" si="0"/>
        <v>8.5059907654285727E-3</v>
      </c>
      <c r="L53">
        <f t="shared" si="1"/>
        <v>1.6624182503663737E-4</v>
      </c>
    </row>
    <row r="54" spans="1:12" ht="15" customHeight="1" x14ac:dyDescent="0.3">
      <c r="A54" s="19">
        <v>46001</v>
      </c>
      <c r="B54" s="20">
        <v>5.4942036151859802E-2</v>
      </c>
      <c r="C54" s="20">
        <v>5.4951093526761197E-2</v>
      </c>
      <c r="D54" s="20">
        <v>5.4946568000000001E-2</v>
      </c>
      <c r="E54" s="21">
        <v>2.7160999999997699E-5</v>
      </c>
      <c r="F54" s="21">
        <v>4.9456105744183299E-2</v>
      </c>
      <c r="G54" s="21">
        <v>12.339630272602401</v>
      </c>
      <c r="H54" s="20">
        <v>5.4946568000000001E-2</v>
      </c>
      <c r="I54" s="20">
        <v>5.4946568000000001E-2</v>
      </c>
      <c r="K54">
        <f t="shared" si="0"/>
        <v>4.9456105744183354E-4</v>
      </c>
      <c r="L54">
        <f t="shared" si="1"/>
        <v>1.6483968391609947E-4</v>
      </c>
    </row>
    <row r="55" spans="1:12" ht="15" customHeight="1" x14ac:dyDescent="0.3">
      <c r="A55" s="22">
        <v>46000</v>
      </c>
      <c r="B55" s="23">
        <v>5.4914881933003798E-2</v>
      </c>
      <c r="C55" s="23">
        <v>5.4923930356456298E-2</v>
      </c>
      <c r="D55" s="23">
        <v>5.4919407000000003E-2</v>
      </c>
      <c r="E55" s="24">
        <v>7.2293000000000997E-5</v>
      </c>
      <c r="F55" s="24">
        <v>0.13180821145848301</v>
      </c>
      <c r="G55" s="24">
        <v>12.284098929901701</v>
      </c>
      <c r="H55" s="23">
        <v>5.4919407000000003E-2</v>
      </c>
      <c r="I55" s="23">
        <v>5.4919407000000003E-2</v>
      </c>
      <c r="K55">
        <f t="shared" si="0"/>
        <v>1.3180821145848398E-3</v>
      </c>
      <c r="L55">
        <f t="shared" si="1"/>
        <v>1.6475821475093208E-4</v>
      </c>
    </row>
    <row r="56" spans="1:12" ht="15" customHeight="1" x14ac:dyDescent="0.3">
      <c r="A56" s="19">
        <v>45999</v>
      </c>
      <c r="B56" s="20">
        <v>5.48426017330262E-2</v>
      </c>
      <c r="C56" s="20">
        <v>5.48516263507213E-2</v>
      </c>
      <c r="D56" s="20">
        <v>5.4847114000000002E-2</v>
      </c>
      <c r="E56" s="21">
        <v>-2.00777999999998E-4</v>
      </c>
      <c r="F56" s="21">
        <v>-0.36473331258534097</v>
      </c>
      <c r="G56" s="21">
        <v>12.1362940862708</v>
      </c>
      <c r="H56" s="20">
        <v>5.4847114000000002E-2</v>
      </c>
      <c r="I56" s="20">
        <v>5.4847114000000002E-2</v>
      </c>
      <c r="K56">
        <f t="shared" si="0"/>
        <v>-3.6473331258534136E-3</v>
      </c>
      <c r="L56">
        <f t="shared" si="1"/>
        <v>1.6454134113783576E-4</v>
      </c>
    </row>
    <row r="57" spans="1:12" ht="15" customHeight="1" x14ac:dyDescent="0.3">
      <c r="A57" s="22">
        <v>45996</v>
      </c>
      <c r="B57" s="23">
        <v>5.5043346635475401E-2</v>
      </c>
      <c r="C57" s="23">
        <v>5.50524374466679E-2</v>
      </c>
      <c r="D57" s="23">
        <v>5.5047892000000001E-2</v>
      </c>
      <c r="E57" s="24">
        <v>1.8724200000000399E-4</v>
      </c>
      <c r="F57" s="24">
        <v>0.341304742105696</v>
      </c>
      <c r="G57" s="24">
        <v>12.5467897206273</v>
      </c>
      <c r="H57" s="23">
        <v>5.5047892000000001E-2</v>
      </c>
      <c r="I57" s="23">
        <v>5.5047892000000001E-2</v>
      </c>
      <c r="K57">
        <f t="shared" si="0"/>
        <v>3.4130474210569695E-3</v>
      </c>
      <c r="L57">
        <f t="shared" si="1"/>
        <v>1.6514367512017323E-4</v>
      </c>
    </row>
    <row r="58" spans="1:12" ht="15" customHeight="1" x14ac:dyDescent="0.3">
      <c r="A58" s="19">
        <v>45995</v>
      </c>
      <c r="B58" s="20">
        <v>5.4856139773444099E-2</v>
      </c>
      <c r="C58" s="20">
        <v>5.48651688475571E-2</v>
      </c>
      <c r="D58" s="20">
        <v>5.4860649999999997E-2</v>
      </c>
      <c r="E58" s="21">
        <v>8.1134999999996004E-5</v>
      </c>
      <c r="F58" s="21">
        <v>0.148111935638706</v>
      </c>
      <c r="G58" s="21">
        <v>12.163968776260001</v>
      </c>
      <c r="H58" s="20">
        <v>5.4860649999999997E-2</v>
      </c>
      <c r="I58" s="20">
        <v>5.4860649999999997E-2</v>
      </c>
      <c r="K58">
        <f t="shared" si="0"/>
        <v>1.4811193563870617E-3</v>
      </c>
      <c r="L58">
        <f t="shared" si="1"/>
        <v>1.6458197474877048E-4</v>
      </c>
    </row>
    <row r="59" spans="1:12" ht="15" customHeight="1" x14ac:dyDescent="0.3">
      <c r="A59" s="22">
        <v>45994</v>
      </c>
      <c r="B59" s="23">
        <v>5.4775011639690001E-2</v>
      </c>
      <c r="C59" s="23">
        <v>5.4784014024707603E-2</v>
      </c>
      <c r="D59" s="23">
        <v>5.4779515000000001E-2</v>
      </c>
      <c r="E59" s="24">
        <v>9.2119000000001603E-5</v>
      </c>
      <c r="F59" s="24">
        <v>0.16844649176568299</v>
      </c>
      <c r="G59" s="24">
        <v>11.9980862428474</v>
      </c>
      <c r="H59" s="23">
        <v>5.4779515000000001E-2</v>
      </c>
      <c r="I59" s="23">
        <v>5.4779515000000001E-2</v>
      </c>
      <c r="K59">
        <f t="shared" si="0"/>
        <v>1.684464917656836E-3</v>
      </c>
      <c r="L59">
        <f t="shared" si="1"/>
        <v>1.6433853088334467E-4</v>
      </c>
    </row>
    <row r="60" spans="1:12" ht="15" customHeight="1" x14ac:dyDescent="0.3">
      <c r="A60" s="19">
        <v>45993</v>
      </c>
      <c r="B60" s="20">
        <v>5.4682757979581498E-2</v>
      </c>
      <c r="C60" s="20">
        <v>5.46920291836668E-2</v>
      </c>
      <c r="D60" s="20">
        <v>5.4687395999999999E-2</v>
      </c>
      <c r="E60" s="21">
        <v>-7.2621000000001797E-5</v>
      </c>
      <c r="F60" s="21">
        <v>-0.13261683246008599</v>
      </c>
      <c r="G60" s="21">
        <v>11.809746647168099</v>
      </c>
      <c r="H60" s="20">
        <v>5.4687395999999999E-2</v>
      </c>
      <c r="I60" s="20">
        <v>5.4687395999999999E-2</v>
      </c>
      <c r="K60">
        <f t="shared" si="0"/>
        <v>-1.3261683246008626E-3</v>
      </c>
      <c r="L60">
        <f t="shared" si="1"/>
        <v>1.6953091138774296E-4</v>
      </c>
    </row>
    <row r="61" spans="1:12" ht="15" customHeight="1" x14ac:dyDescent="0.3">
      <c r="A61" s="22">
        <v>45992</v>
      </c>
      <c r="B61" s="23">
        <v>5.4754916991545798E-2</v>
      </c>
      <c r="C61" s="23">
        <v>5.4765112432775799E-2</v>
      </c>
      <c r="D61" s="23">
        <v>5.4760017000000001E-2</v>
      </c>
      <c r="E61" s="24">
        <v>1.8528899999999799E-4</v>
      </c>
      <c r="F61" s="24">
        <v>0.339514289471121</v>
      </c>
      <c r="G61" s="24">
        <v>11.9582220949891</v>
      </c>
      <c r="H61" s="23">
        <v>5.4760017000000001E-2</v>
      </c>
      <c r="I61" s="23">
        <v>5.4760017000000001E-2</v>
      </c>
      <c r="K61">
        <f t="shared" si="0"/>
        <v>3.3951428947112117E-3</v>
      </c>
      <c r="L61">
        <f t="shared" si="1"/>
        <v>1.8618404062952518E-4</v>
      </c>
    </row>
    <row r="62" spans="1:12" ht="15" customHeight="1" x14ac:dyDescent="0.3">
      <c r="A62" s="19">
        <v>45989</v>
      </c>
      <c r="B62" s="20">
        <v>5.4569068069455502E-2</v>
      </c>
      <c r="C62" s="20">
        <v>5.4580385992489697E-2</v>
      </c>
      <c r="D62" s="20">
        <v>5.4574728000000003E-2</v>
      </c>
      <c r="E62" s="21">
        <v>4.7618000000006197E-5</v>
      </c>
      <c r="F62" s="21">
        <v>8.7329036877270505E-2</v>
      </c>
      <c r="G62" s="21">
        <v>11.5793941078875</v>
      </c>
      <c r="H62" s="20">
        <v>5.4574728000000003E-2</v>
      </c>
      <c r="I62" s="20">
        <v>5.4574728000000003E-2</v>
      </c>
      <c r="K62">
        <f t="shared" si="0"/>
        <v>8.7329036877270561E-4</v>
      </c>
      <c r="L62">
        <f t="shared" si="1"/>
        <v>2.0738395680496084E-4</v>
      </c>
    </row>
    <row r="63" spans="1:12" ht="15" customHeight="1" x14ac:dyDescent="0.3">
      <c r="A63" s="22">
        <v>45988</v>
      </c>
      <c r="B63" s="23">
        <v>5.4522059625324401E-2</v>
      </c>
      <c r="C63" s="23">
        <v>5.4532168526213599E-2</v>
      </c>
      <c r="D63" s="23">
        <v>5.4527109999999997E-2</v>
      </c>
      <c r="E63" s="24">
        <v>3.1197999999996099E-5</v>
      </c>
      <c r="F63" s="24">
        <v>5.7248330847259297E-2</v>
      </c>
      <c r="G63" s="24">
        <v>11.4820379178827</v>
      </c>
      <c r="H63" s="23">
        <v>5.4527109999999997E-2</v>
      </c>
      <c r="I63" s="23">
        <v>5.4527109999999997E-2</v>
      </c>
      <c r="K63">
        <f t="shared" si="0"/>
        <v>5.7248330847259332E-4</v>
      </c>
      <c r="L63">
        <f t="shared" si="1"/>
        <v>1.8539220012207328E-4</v>
      </c>
    </row>
    <row r="64" spans="1:12" ht="15" customHeight="1" x14ac:dyDescent="0.3">
      <c r="A64" s="19">
        <v>45987</v>
      </c>
      <c r="B64" s="20">
        <v>5.4491458463885797E-2</v>
      </c>
      <c r="C64" s="20">
        <v>5.4500367877483198E-2</v>
      </c>
      <c r="D64" s="20">
        <v>5.4495912000000001E-2</v>
      </c>
      <c r="E64" s="21">
        <v>2.9389900000000003E-4</v>
      </c>
      <c r="F64" s="21">
        <v>0.54222893898792002</v>
      </c>
      <c r="G64" s="21">
        <v>11.4182528278796</v>
      </c>
      <c r="H64" s="20">
        <v>5.4495912000000001E-2</v>
      </c>
      <c r="I64" s="20">
        <v>5.4495912000000001E-2</v>
      </c>
      <c r="K64">
        <f t="shared" si="0"/>
        <v>5.4222893898792091E-3</v>
      </c>
      <c r="L64">
        <f t="shared" si="1"/>
        <v>1.6348774193192275E-4</v>
      </c>
    </row>
    <row r="65" spans="1:12" ht="15" customHeight="1" x14ac:dyDescent="0.3">
      <c r="A65" s="22">
        <v>45986</v>
      </c>
      <c r="B65" s="23">
        <v>5.41976044658826E-2</v>
      </c>
      <c r="C65" s="23">
        <v>5.4206418039895898E-2</v>
      </c>
      <c r="D65" s="23">
        <v>5.4202013E-2</v>
      </c>
      <c r="E65" s="24">
        <v>2.0778999999999901E-4</v>
      </c>
      <c r="F65" s="24">
        <v>0.38483746677862002</v>
      </c>
      <c r="G65" s="24">
        <v>10.817368983824201</v>
      </c>
      <c r="H65" s="23">
        <v>5.4202013E-2</v>
      </c>
      <c r="I65" s="23">
        <v>5.4202013E-2</v>
      </c>
      <c r="K65">
        <f t="shared" si="0"/>
        <v>3.848374667786203E-3</v>
      </c>
      <c r="L65">
        <f t="shared" si="1"/>
        <v>1.6260602744216484E-4</v>
      </c>
    </row>
    <row r="66" spans="1:12" ht="15" customHeight="1" x14ac:dyDescent="0.3">
      <c r="A66" s="19">
        <v>45985</v>
      </c>
      <c r="B66" s="20">
        <v>5.3989849908217299E-2</v>
      </c>
      <c r="C66" s="20">
        <v>5.3998596036503102E-2</v>
      </c>
      <c r="D66" s="20">
        <v>5.3994223000000001E-2</v>
      </c>
      <c r="E66" s="21">
        <v>-4.2304999999999399E-5</v>
      </c>
      <c r="F66" s="21">
        <v>-7.8289634004613501E-2</v>
      </c>
      <c r="G66" s="21">
        <v>10.392537140380499</v>
      </c>
      <c r="H66" s="20">
        <v>5.3994223000000001E-2</v>
      </c>
      <c r="I66" s="20">
        <v>5.3994223000000001E-2</v>
      </c>
      <c r="K66">
        <f t="shared" si="0"/>
        <v>-7.8289634004613529E-4</v>
      </c>
      <c r="L66">
        <f t="shared" si="1"/>
        <v>1.6198266777174602E-4</v>
      </c>
    </row>
    <row r="67" spans="1:12" ht="15" customHeight="1" x14ac:dyDescent="0.3">
      <c r="A67" s="22">
        <v>45982</v>
      </c>
      <c r="B67" s="23">
        <v>5.4032149128731603E-2</v>
      </c>
      <c r="C67" s="23">
        <v>5.4040908968088802E-2</v>
      </c>
      <c r="D67" s="23">
        <v>5.4036528E-2</v>
      </c>
      <c r="E67" s="24">
        <v>-5.50111999999998E-4</v>
      </c>
      <c r="F67" s="24">
        <v>-1.00777772729737</v>
      </c>
      <c r="G67" s="24">
        <v>10.4790307692216</v>
      </c>
      <c r="H67" s="23">
        <v>5.4036528E-2</v>
      </c>
      <c r="I67" s="23">
        <v>5.4036528E-2</v>
      </c>
      <c r="K67">
        <f t="shared" si="0"/>
        <v>-1.0077777272973765E-2</v>
      </c>
      <c r="L67">
        <f t="shared" si="1"/>
        <v>1.621095892245126E-4</v>
      </c>
    </row>
    <row r="68" spans="1:12" ht="15" customHeight="1" x14ac:dyDescent="0.3">
      <c r="A68" s="19">
        <v>45981</v>
      </c>
      <c r="B68" s="20">
        <v>5.4582173462147297E-2</v>
      </c>
      <c r="C68" s="20">
        <v>5.45911125668741E-2</v>
      </c>
      <c r="D68" s="20">
        <v>5.4586639999999999E-2</v>
      </c>
      <c r="E68" s="21">
        <v>1.07056000000001E-4</v>
      </c>
      <c r="F68" s="21">
        <v>0.19650663999197701</v>
      </c>
      <c r="G68" s="21">
        <v>11.603748489326</v>
      </c>
      <c r="H68" s="20">
        <v>5.4586639999999999E-2</v>
      </c>
      <c r="I68" s="20">
        <v>5.4586639999999999E-2</v>
      </c>
      <c r="K68">
        <f t="shared" si="0"/>
        <v>1.9650663999197793E-3</v>
      </c>
      <c r="L68">
        <f t="shared" si="1"/>
        <v>1.637599369883014E-4</v>
      </c>
    </row>
    <row r="69" spans="1:12" ht="15" customHeight="1" x14ac:dyDescent="0.3">
      <c r="A69" s="22">
        <v>45980</v>
      </c>
      <c r="B69" s="23">
        <v>5.44751321021954E-2</v>
      </c>
      <c r="C69" s="23">
        <v>5.4484036177399997E-2</v>
      </c>
      <c r="D69" s="23">
        <v>5.4479583999999998E-2</v>
      </c>
      <c r="E69" s="24">
        <v>1.3175599999999601E-4</v>
      </c>
      <c r="F69" s="24">
        <v>0.24243103146641601</v>
      </c>
      <c r="G69" s="24">
        <v>11.3848698241751</v>
      </c>
      <c r="H69" s="23">
        <v>5.4479583999999998E-2</v>
      </c>
      <c r="I69" s="23">
        <v>5.4479583999999998E-2</v>
      </c>
      <c r="K69">
        <f t="shared" ref="K69:K132" si="2">D69/D70-1</f>
        <v>2.4243103146641687E-3</v>
      </c>
      <c r="L69">
        <f t="shared" ref="L69:L132" si="3">(C69-B69)/D69</f>
        <v>1.6343875174591225E-4</v>
      </c>
    </row>
    <row r="70" spans="1:12" ht="15" customHeight="1" x14ac:dyDescent="0.3">
      <c r="A70" s="19">
        <v>45979</v>
      </c>
      <c r="B70" s="20">
        <v>5.4342509971850597E-2</v>
      </c>
      <c r="C70" s="20">
        <v>5.4353143242273701E-2</v>
      </c>
      <c r="D70" s="20">
        <v>5.4347828000000001E-2</v>
      </c>
      <c r="E70" s="21">
        <v>-1.12472000000002E-4</v>
      </c>
      <c r="F70" s="21">
        <v>-0.20652108049350401</v>
      </c>
      <c r="G70" s="21">
        <v>11.1154913922738</v>
      </c>
      <c r="H70" s="20">
        <v>5.4347828000000001E-2</v>
      </c>
      <c r="I70" s="20">
        <v>5.4347828000000001E-2</v>
      </c>
      <c r="K70">
        <f t="shared" si="2"/>
        <v>-2.0652108049350471E-3</v>
      </c>
      <c r="L70">
        <f t="shared" si="3"/>
        <v>1.9565216889814849E-4</v>
      </c>
    </row>
    <row r="71" spans="1:12" ht="15" customHeight="1" x14ac:dyDescent="0.3">
      <c r="A71" s="22">
        <v>45978</v>
      </c>
      <c r="B71" s="23">
        <v>5.4454960302333898E-2</v>
      </c>
      <c r="C71" s="23">
        <v>5.4465637629219701E-2</v>
      </c>
      <c r="D71" s="23">
        <v>5.4460300000000003E-2</v>
      </c>
      <c r="E71" s="24">
        <v>-1.5466499999999801E-4</v>
      </c>
      <c r="F71" s="24">
        <v>-0.28319161240879498</v>
      </c>
      <c r="G71" s="24">
        <v>11.3454432046604</v>
      </c>
      <c r="H71" s="23">
        <v>5.4460300000000003E-2</v>
      </c>
      <c r="I71" s="23">
        <v>5.4460300000000003E-2</v>
      </c>
      <c r="K71">
        <f t="shared" si="2"/>
        <v>-2.831916124087952E-3</v>
      </c>
      <c r="L71">
        <f t="shared" si="3"/>
        <v>1.9605707066989623E-4</v>
      </c>
    </row>
    <row r="72" spans="1:12" ht="15" customHeight="1" x14ac:dyDescent="0.3">
      <c r="A72" s="19">
        <v>45975</v>
      </c>
      <c r="B72" s="20">
        <v>5.4608701350473202E-2</v>
      </c>
      <c r="C72" s="20">
        <v>5.46212290868969E-2</v>
      </c>
      <c r="D72" s="20">
        <v>5.4614965000000001E-2</v>
      </c>
      <c r="E72" s="21">
        <v>-1.07589999999997E-4</v>
      </c>
      <c r="F72" s="21">
        <v>-0.196609971884531</v>
      </c>
      <c r="G72" s="21">
        <v>11.6616596590914</v>
      </c>
      <c r="H72" s="20">
        <v>5.4614965000000001E-2</v>
      </c>
      <c r="I72" s="20">
        <v>5.4614965000000001E-2</v>
      </c>
      <c r="K72">
        <f t="shared" si="2"/>
        <v>-1.9660997188453155E-3</v>
      </c>
      <c r="L72">
        <f t="shared" si="3"/>
        <v>2.293828518190589E-4</v>
      </c>
    </row>
    <row r="73" spans="1:12" ht="15" customHeight="1" x14ac:dyDescent="0.3">
      <c r="A73" s="22">
        <v>45974</v>
      </c>
      <c r="B73" s="23">
        <v>5.4718065169215603E-2</v>
      </c>
      <c r="C73" s="23">
        <v>5.4727048843891103E-2</v>
      </c>
      <c r="D73" s="23">
        <v>5.4722554999999999E-2</v>
      </c>
      <c r="E73" s="24">
        <v>8.2224999999998204E-5</v>
      </c>
      <c r="F73" s="24">
        <v>0.15048408382598499</v>
      </c>
      <c r="G73" s="24">
        <v>11.8816301005761</v>
      </c>
      <c r="H73" s="23">
        <v>5.4722554999999999E-2</v>
      </c>
      <c r="I73" s="23">
        <v>5.4722554999999999E-2</v>
      </c>
      <c r="K73">
        <f t="shared" si="2"/>
        <v>1.5048408382598577E-3</v>
      </c>
      <c r="L73">
        <f t="shared" si="3"/>
        <v>1.6416767593362732E-4</v>
      </c>
    </row>
    <row r="74" spans="1:12" ht="15" customHeight="1" x14ac:dyDescent="0.3">
      <c r="A74" s="19">
        <v>45973</v>
      </c>
      <c r="B74" s="20">
        <v>5.4635852046112703E-2</v>
      </c>
      <c r="C74" s="20">
        <v>5.4644808743169397E-2</v>
      </c>
      <c r="D74" s="20">
        <v>5.4640330000000001E-2</v>
      </c>
      <c r="E74" s="21">
        <v>1.3996000000000101E-4</v>
      </c>
      <c r="F74" s="21">
        <v>0.25680559599869901</v>
      </c>
      <c r="G74" s="21">
        <v>11.7135190349466</v>
      </c>
      <c r="H74" s="20">
        <v>5.4640330000000001E-2</v>
      </c>
      <c r="I74" s="20">
        <v>5.4640330000000001E-2</v>
      </c>
      <c r="K74">
        <f t="shared" si="2"/>
        <v>2.5680559599869923E-3</v>
      </c>
      <c r="L74">
        <f t="shared" si="3"/>
        <v>1.6392099126587544E-4</v>
      </c>
    </row>
    <row r="75" spans="1:12" ht="15" customHeight="1" x14ac:dyDescent="0.3">
      <c r="A75" s="22">
        <v>45972</v>
      </c>
      <c r="B75" s="23">
        <v>5.4495912806539502E-2</v>
      </c>
      <c r="C75" s="23">
        <v>5.4504823676895402E-2</v>
      </c>
      <c r="D75" s="23">
        <v>5.4500369999999999E-2</v>
      </c>
      <c r="E75" s="24">
        <v>1.4368000000000001E-4</v>
      </c>
      <c r="F75" s="24">
        <v>0.26432808914598199</v>
      </c>
      <c r="G75" s="24">
        <v>11.4273673201943</v>
      </c>
      <c r="H75" s="23">
        <v>5.4500369999999999E-2</v>
      </c>
      <c r="I75" s="23">
        <v>5.4500369999999999E-2</v>
      </c>
      <c r="K75">
        <f t="shared" si="2"/>
        <v>2.6432808914598205E-3</v>
      </c>
      <c r="L75">
        <f t="shared" si="3"/>
        <v>1.6350109835766851E-4</v>
      </c>
    </row>
    <row r="76" spans="1:12" ht="15" customHeight="1" x14ac:dyDescent="0.3">
      <c r="A76" s="19">
        <v>45971</v>
      </c>
      <c r="B76" s="20">
        <v>5.4352256977471002E-2</v>
      </c>
      <c r="C76" s="20">
        <v>5.4361120926313497E-2</v>
      </c>
      <c r="D76" s="20">
        <v>5.4356689999999999E-2</v>
      </c>
      <c r="E76" s="21">
        <v>3.2745599999999599E-4</v>
      </c>
      <c r="F76" s="21">
        <v>0.60607189063608402</v>
      </c>
      <c r="G76" s="21">
        <v>11.1336099725549</v>
      </c>
      <c r="H76" s="20">
        <v>5.4356689999999999E-2</v>
      </c>
      <c r="I76" s="20">
        <v>5.4356689999999999E-2</v>
      </c>
      <c r="K76">
        <f t="shared" si="2"/>
        <v>6.0607189063608402E-3</v>
      </c>
      <c r="L76">
        <f t="shared" si="3"/>
        <v>1.6307006262698248E-4</v>
      </c>
    </row>
    <row r="77" spans="1:12" ht="15" customHeight="1" x14ac:dyDescent="0.3">
      <c r="A77" s="22">
        <v>45968</v>
      </c>
      <c r="B77" s="23">
        <v>5.4024559564778099E-2</v>
      </c>
      <c r="C77" s="23">
        <v>5.4033900869405502E-2</v>
      </c>
      <c r="D77" s="23">
        <v>5.4029234000000002E-2</v>
      </c>
      <c r="E77" s="24">
        <v>4.14244000000001E-4</v>
      </c>
      <c r="F77" s="24">
        <v>0.77262720742836599</v>
      </c>
      <c r="G77" s="24">
        <v>10.464118004093001</v>
      </c>
      <c r="H77" s="23">
        <v>5.4029234000000002E-2</v>
      </c>
      <c r="I77" s="23">
        <v>5.4029234000000002E-2</v>
      </c>
      <c r="K77">
        <f t="shared" si="2"/>
        <v>7.7262720742836688E-3</v>
      </c>
      <c r="L77">
        <f t="shared" si="3"/>
        <v>1.7289352329893627E-4</v>
      </c>
    </row>
    <row r="78" spans="1:12" ht="15" customHeight="1" x14ac:dyDescent="0.3">
      <c r="A78" s="19">
        <v>45967</v>
      </c>
      <c r="B78" s="20">
        <v>5.3610679247306101E-2</v>
      </c>
      <c r="C78" s="20">
        <v>5.3619302949061698E-2</v>
      </c>
      <c r="D78" s="20">
        <v>5.3614990000000001E-2</v>
      </c>
      <c r="E78" s="21">
        <v>-1.47005999999998E-4</v>
      </c>
      <c r="F78" s="21">
        <v>-0.273438508495849</v>
      </c>
      <c r="G78" s="21">
        <v>9.6171858025650891</v>
      </c>
      <c r="H78" s="20">
        <v>5.3614990000000001E-2</v>
      </c>
      <c r="I78" s="20">
        <v>5.3614990000000001E-2</v>
      </c>
      <c r="K78">
        <f t="shared" si="2"/>
        <v>-2.7343850849584905E-3</v>
      </c>
      <c r="L78">
        <f t="shared" si="3"/>
        <v>1.6084497554876622E-4</v>
      </c>
    </row>
    <row r="79" spans="1:12" ht="15" customHeight="1" x14ac:dyDescent="0.3">
      <c r="A79" s="22">
        <v>45966</v>
      </c>
      <c r="B79" s="23">
        <v>5.3757660466616501E-2</v>
      </c>
      <c r="C79" s="23">
        <v>5.3766331523200199E-2</v>
      </c>
      <c r="D79" s="23">
        <v>5.3761995999999999E-2</v>
      </c>
      <c r="E79" s="24">
        <v>-7.24000000000557E-7</v>
      </c>
      <c r="F79" s="24">
        <v>-1.34665805598954E-3</v>
      </c>
      <c r="G79" s="24">
        <v>9.9177432402535395</v>
      </c>
      <c r="H79" s="23">
        <v>5.3761995999999999E-2</v>
      </c>
      <c r="I79" s="23">
        <v>5.3761995999999999E-2</v>
      </c>
      <c r="K79">
        <f t="shared" si="2"/>
        <v>-1.3466580559895469E-5</v>
      </c>
      <c r="L79">
        <f t="shared" si="3"/>
        <v>1.6128598692090641E-4</v>
      </c>
    </row>
    <row r="80" spans="1:12" ht="15" customHeight="1" x14ac:dyDescent="0.3">
      <c r="A80" s="19">
        <v>45965</v>
      </c>
      <c r="B80" s="20">
        <v>5.3758238450042503E-2</v>
      </c>
      <c r="C80" s="20">
        <v>5.37671987827106E-2</v>
      </c>
      <c r="D80" s="20">
        <v>5.376272E-2</v>
      </c>
      <c r="E80" s="21">
        <v>-3.4837299999999899E-4</v>
      </c>
      <c r="F80" s="21">
        <v>-0.64381068776414496</v>
      </c>
      <c r="G80" s="21">
        <v>9.9192234763315703</v>
      </c>
      <c r="H80" s="20">
        <v>5.376272E-2</v>
      </c>
      <c r="I80" s="20">
        <v>5.376272E-2</v>
      </c>
      <c r="K80">
        <f t="shared" si="2"/>
        <v>-6.4381068776414585E-3</v>
      </c>
      <c r="L80">
        <f t="shared" si="3"/>
        <v>1.6666442226317344E-4</v>
      </c>
    </row>
    <row r="81" spans="1:12" ht="15" customHeight="1" x14ac:dyDescent="0.3">
      <c r="A81" s="22">
        <v>45964</v>
      </c>
      <c r="B81" s="23">
        <v>5.4106698409263097E-2</v>
      </c>
      <c r="C81" s="23">
        <v>5.4115482439525901E-2</v>
      </c>
      <c r="D81" s="23">
        <v>5.4111092999999999E-2</v>
      </c>
      <c r="E81" s="24">
        <v>2.07095999999996E-4</v>
      </c>
      <c r="F81" s="24">
        <v>0.38419414426724602</v>
      </c>
      <c r="G81" s="24">
        <v>10.631480773583601</v>
      </c>
      <c r="H81" s="23">
        <v>5.4111092999999999E-2</v>
      </c>
      <c r="I81" s="23">
        <v>5.4111092999999999E-2</v>
      </c>
      <c r="K81">
        <f t="shared" si="2"/>
        <v>3.8419414426724696E-3</v>
      </c>
      <c r="L81">
        <f t="shared" si="3"/>
        <v>1.6233326247547695E-4</v>
      </c>
    </row>
    <row r="82" spans="1:12" ht="15" customHeight="1" x14ac:dyDescent="0.3">
      <c r="A82" s="19">
        <v>45961</v>
      </c>
      <c r="B82" s="20">
        <v>5.3899638872419602E-2</v>
      </c>
      <c r="C82" s="20">
        <v>5.3908355795148202E-2</v>
      </c>
      <c r="D82" s="20">
        <v>5.3903997000000002E-2</v>
      </c>
      <c r="E82" s="21">
        <v>-1.7442999999998901E-5</v>
      </c>
      <c r="F82" s="21">
        <v>-3.2348913530499901E-2</v>
      </c>
      <c r="G82" s="21">
        <v>10.208067830468901</v>
      </c>
      <c r="H82" s="20">
        <v>5.3903997000000002E-2</v>
      </c>
      <c r="I82" s="20">
        <v>5.3903997000000002E-2</v>
      </c>
      <c r="K82">
        <f t="shared" si="2"/>
        <v>-3.2348913530499956E-4</v>
      </c>
      <c r="L82">
        <f t="shared" si="3"/>
        <v>1.6171199194376534E-4</v>
      </c>
    </row>
    <row r="83" spans="1:12" ht="15" customHeight="1" x14ac:dyDescent="0.3">
      <c r="A83" s="22">
        <v>45960</v>
      </c>
      <c r="B83" s="23">
        <v>5.3917075537822802E-2</v>
      </c>
      <c r="C83" s="23">
        <v>5.3925798101811903E-2</v>
      </c>
      <c r="D83" s="23">
        <v>5.3921440000000001E-2</v>
      </c>
      <c r="E83" s="24">
        <v>-3.64429999999998E-4</v>
      </c>
      <c r="F83" s="24">
        <v>-0.67131649543425898</v>
      </c>
      <c r="G83" s="24">
        <v>10.2437304795145</v>
      </c>
      <c r="H83" s="23">
        <v>5.3921440000000001E-2</v>
      </c>
      <c r="I83" s="23">
        <v>5.3921440000000001E-2</v>
      </c>
      <c r="K83">
        <f t="shared" si="2"/>
        <v>-6.7131649543425986E-3</v>
      </c>
      <c r="L83">
        <f t="shared" si="3"/>
        <v>1.6176429986107846E-4</v>
      </c>
    </row>
    <row r="84" spans="1:12" ht="15" customHeight="1" x14ac:dyDescent="0.3">
      <c r="A84" s="19">
        <v>45959</v>
      </c>
      <c r="B84" s="20">
        <v>5.4281449314696702E-2</v>
      </c>
      <c r="C84" s="20">
        <v>5.4290290181601003E-2</v>
      </c>
      <c r="D84" s="20">
        <v>5.428587E-2</v>
      </c>
      <c r="E84" s="21">
        <v>-2.2111999999997701E-5</v>
      </c>
      <c r="F84" s="21">
        <v>-4.07159301187065E-2</v>
      </c>
      <c r="G84" s="21">
        <v>10.9888167142042</v>
      </c>
      <c r="H84" s="20">
        <v>5.428587E-2</v>
      </c>
      <c r="I84" s="20">
        <v>5.428587E-2</v>
      </c>
      <c r="K84">
        <f t="shared" si="2"/>
        <v>-4.0715930118706556E-4</v>
      </c>
      <c r="L84">
        <f t="shared" si="3"/>
        <v>1.6285760740873009E-4</v>
      </c>
    </row>
    <row r="85" spans="1:12" ht="15" customHeight="1" x14ac:dyDescent="0.3">
      <c r="A85" s="22">
        <v>45958</v>
      </c>
      <c r="B85" s="23">
        <v>5.4303556882975799E-2</v>
      </c>
      <c r="C85" s="23">
        <v>5.4312404953291302E-2</v>
      </c>
      <c r="D85" s="23">
        <v>5.4307981999999998E-2</v>
      </c>
      <c r="E85" s="24">
        <v>-5.6092000000000601E-5</v>
      </c>
      <c r="F85" s="24">
        <v>-0.103178433610406</v>
      </c>
      <c r="G85" s="24">
        <v>11.0340252503331</v>
      </c>
      <c r="H85" s="23">
        <v>5.4307981999999998E-2</v>
      </c>
      <c r="I85" s="23">
        <v>5.4307981999999998E-2</v>
      </c>
      <c r="K85">
        <f t="shared" si="2"/>
        <v>-1.0317843361040691E-3</v>
      </c>
      <c r="L85">
        <f t="shared" si="3"/>
        <v>1.6292393842772912E-4</v>
      </c>
    </row>
    <row r="86" spans="1:12" ht="15" customHeight="1" x14ac:dyDescent="0.3">
      <c r="A86" s="19">
        <v>45957</v>
      </c>
      <c r="B86" s="20">
        <v>5.4359643400739302E-2</v>
      </c>
      <c r="C86" s="20">
        <v>5.4368509759147497E-2</v>
      </c>
      <c r="D86" s="20">
        <v>5.4364073999999998E-2</v>
      </c>
      <c r="E86" s="21">
        <v>-1.4786000000002701E-5</v>
      </c>
      <c r="F86" s="21">
        <v>-2.7190713450042599E-2</v>
      </c>
      <c r="G86" s="21">
        <v>11.1487067449308</v>
      </c>
      <c r="H86" s="20">
        <v>5.4364073999999998E-2</v>
      </c>
      <c r="I86" s="20">
        <v>5.4364073999999998E-2</v>
      </c>
      <c r="K86">
        <f t="shared" si="2"/>
        <v>-2.7190713450042647E-4</v>
      </c>
      <c r="L86">
        <f t="shared" si="3"/>
        <v>1.6309223639485184E-4</v>
      </c>
    </row>
    <row r="87" spans="1:12" ht="15" customHeight="1" x14ac:dyDescent="0.3">
      <c r="A87" s="22">
        <v>45954</v>
      </c>
      <c r="B87" s="23">
        <v>5.4374422271763402E-2</v>
      </c>
      <c r="C87" s="23">
        <v>5.4383293452251499E-2</v>
      </c>
      <c r="D87" s="23">
        <v>5.4378860000000001E-2</v>
      </c>
      <c r="E87" s="24">
        <v>5.9080000000002999E-5</v>
      </c>
      <c r="F87" s="24">
        <v>0.108763327097438</v>
      </c>
      <c r="G87" s="24">
        <v>11.178937091131999</v>
      </c>
      <c r="H87" s="23">
        <v>5.4378860000000001E-2</v>
      </c>
      <c r="I87" s="23">
        <v>5.4378860000000001E-2</v>
      </c>
      <c r="K87">
        <f t="shared" si="2"/>
        <v>1.0876332709743863E-3</v>
      </c>
      <c r="L87">
        <f t="shared" si="3"/>
        <v>1.6313656608647669E-4</v>
      </c>
    </row>
    <row r="88" spans="1:12" ht="15" customHeight="1" x14ac:dyDescent="0.3">
      <c r="A88" s="19">
        <v>45953</v>
      </c>
      <c r="B88" s="20">
        <v>5.4315354950844601E-2</v>
      </c>
      <c r="C88" s="20">
        <v>5.4324206866579697E-2</v>
      </c>
      <c r="D88" s="20">
        <v>5.4319779999999998E-2</v>
      </c>
      <c r="E88" s="21">
        <v>3.6859999999999603E-5</v>
      </c>
      <c r="F88" s="21">
        <v>6.7903495243060094E-2</v>
      </c>
      <c r="G88" s="21">
        <v>11.0581465559251</v>
      </c>
      <c r="H88" s="20">
        <v>5.4319779999999998E-2</v>
      </c>
      <c r="I88" s="20">
        <v>5.4319779999999998E-2</v>
      </c>
      <c r="K88">
        <f t="shared" si="2"/>
        <v>6.7903495243060163E-4</v>
      </c>
      <c r="L88">
        <f t="shared" si="3"/>
        <v>1.6295934436951113E-4</v>
      </c>
    </row>
    <row r="89" spans="1:12" ht="15" customHeight="1" x14ac:dyDescent="0.3">
      <c r="A89" s="22">
        <v>45952</v>
      </c>
      <c r="B89" s="23">
        <v>5.4278502998887299E-2</v>
      </c>
      <c r="C89" s="23">
        <v>5.4287342906001498E-2</v>
      </c>
      <c r="D89" s="23">
        <v>5.4282919999999998E-2</v>
      </c>
      <c r="E89" s="24">
        <v>2.50299999999953E-5</v>
      </c>
      <c r="F89" s="24">
        <v>4.6131539578841897E-2</v>
      </c>
      <c r="G89" s="24">
        <v>10.9827853655437</v>
      </c>
      <c r="H89" s="23">
        <v>5.4282919999999998E-2</v>
      </c>
      <c r="I89" s="23">
        <v>5.4282919999999998E-2</v>
      </c>
      <c r="K89">
        <f t="shared" si="2"/>
        <v>4.6131539578841974E-4</v>
      </c>
      <c r="L89">
        <f t="shared" si="3"/>
        <v>1.6284877663544622E-4</v>
      </c>
    </row>
    <row r="90" spans="1:12" ht="15" customHeight="1" x14ac:dyDescent="0.3">
      <c r="A90" s="19">
        <v>45951</v>
      </c>
      <c r="B90" s="20">
        <v>5.4253472222222203E-2</v>
      </c>
      <c r="C90" s="20">
        <v>5.4262303977426901E-2</v>
      </c>
      <c r="D90" s="20">
        <v>5.4257890000000003E-2</v>
      </c>
      <c r="E90" s="21">
        <v>-1.13574999999997E-4</v>
      </c>
      <c r="F90" s="21">
        <v>-0.20888714328369801</v>
      </c>
      <c r="G90" s="21">
        <v>10.9316109055534</v>
      </c>
      <c r="H90" s="20">
        <v>5.4257890000000003E-2</v>
      </c>
      <c r="I90" s="20">
        <v>5.4257890000000003E-2</v>
      </c>
      <c r="K90">
        <f t="shared" si="2"/>
        <v>-2.0888714328369806E-3</v>
      </c>
      <c r="L90">
        <f t="shared" si="3"/>
        <v>1.627736575214812E-4</v>
      </c>
    </row>
    <row r="91" spans="1:12" ht="15" customHeight="1" x14ac:dyDescent="0.3">
      <c r="A91" s="22">
        <v>45950</v>
      </c>
      <c r="B91" s="23">
        <v>5.4367031831897103E-2</v>
      </c>
      <c r="C91" s="23">
        <v>5.4375900600853698E-2</v>
      </c>
      <c r="D91" s="23">
        <v>5.4371465000000001E-2</v>
      </c>
      <c r="E91" s="24">
        <v>1.3711499999999999E-4</v>
      </c>
      <c r="F91" s="24">
        <v>0.25281947695510099</v>
      </c>
      <c r="G91" s="24">
        <v>11.1638178289815</v>
      </c>
      <c r="H91" s="23">
        <v>5.4371465000000001E-2</v>
      </c>
      <c r="I91" s="23">
        <v>5.4371465000000001E-2</v>
      </c>
      <c r="K91">
        <f t="shared" si="2"/>
        <v>2.5281947695510176E-3</v>
      </c>
      <c r="L91">
        <f t="shared" si="3"/>
        <v>1.6311440121385357E-4</v>
      </c>
    </row>
    <row r="92" spans="1:12" ht="15" customHeight="1" x14ac:dyDescent="0.3">
      <c r="A92" s="19">
        <v>45947</v>
      </c>
      <c r="B92" s="20">
        <v>5.4229934924078099E-2</v>
      </c>
      <c r="C92" s="20">
        <v>5.4238759017193702E-2</v>
      </c>
      <c r="D92" s="20">
        <v>5.4234350000000001E-2</v>
      </c>
      <c r="E92" s="21">
        <v>-2.05194999999998E-4</v>
      </c>
      <c r="F92" s="21">
        <v>-0.37692269470657103</v>
      </c>
      <c r="G92" s="21">
        <v>10.8834827877678</v>
      </c>
      <c r="H92" s="20">
        <v>5.4234350000000001E-2</v>
      </c>
      <c r="I92" s="20">
        <v>5.4234350000000001E-2</v>
      </c>
      <c r="K92">
        <f t="shared" si="2"/>
        <v>-3.769226947065718E-3</v>
      </c>
      <c r="L92">
        <f t="shared" si="3"/>
        <v>1.6270303074717517E-4</v>
      </c>
    </row>
    <row r="93" spans="1:12" ht="15" customHeight="1" x14ac:dyDescent="0.3">
      <c r="A93" s="22">
        <v>45946</v>
      </c>
      <c r="B93" s="23">
        <v>5.4435099752320297E-2</v>
      </c>
      <c r="C93" s="23">
        <v>5.4443990744521602E-2</v>
      </c>
      <c r="D93" s="23">
        <v>5.4439544999999999E-2</v>
      </c>
      <c r="E93" s="24">
        <v>2.5882499999999698E-4</v>
      </c>
      <c r="F93" s="24">
        <v>0.47770683003105402</v>
      </c>
      <c r="G93" s="24">
        <v>11.303009088915299</v>
      </c>
      <c r="H93" s="23">
        <v>5.4439544999999999E-2</v>
      </c>
      <c r="I93" s="23">
        <v>5.4439544999999999E-2</v>
      </c>
      <c r="K93">
        <f t="shared" si="2"/>
        <v>4.7770683003105496E-3</v>
      </c>
      <c r="L93">
        <f t="shared" si="3"/>
        <v>1.63318635401981E-4</v>
      </c>
    </row>
    <row r="94" spans="1:12" ht="15" customHeight="1" x14ac:dyDescent="0.3">
      <c r="A94" s="19">
        <v>45945</v>
      </c>
      <c r="B94" s="20">
        <v>5.41761700698331E-2</v>
      </c>
      <c r="C94" s="20">
        <v>5.41852702761281E-2</v>
      </c>
      <c r="D94" s="20">
        <v>5.4180720000000002E-2</v>
      </c>
      <c r="E94" s="21">
        <v>1.8940999999999999E-4</v>
      </c>
      <c r="F94" s="21">
        <v>0.35081571460295802</v>
      </c>
      <c r="G94" s="21">
        <v>10.7738349136455</v>
      </c>
      <c r="H94" s="20">
        <v>5.4180720000000002E-2</v>
      </c>
      <c r="I94" s="20">
        <v>5.4180720000000002E-2</v>
      </c>
      <c r="K94">
        <f t="shared" si="2"/>
        <v>3.5081571460295891E-3</v>
      </c>
      <c r="L94">
        <f t="shared" si="3"/>
        <v>1.6796023188691314E-4</v>
      </c>
    </row>
    <row r="95" spans="1:12" ht="15" customHeight="1" x14ac:dyDescent="0.3">
      <c r="A95" s="22">
        <v>45944</v>
      </c>
      <c r="B95" s="23">
        <v>5.3986935161690897E-2</v>
      </c>
      <c r="C95" s="23">
        <v>5.3995680345572401E-2</v>
      </c>
      <c r="D95" s="23">
        <v>5.3991310000000001E-2</v>
      </c>
      <c r="E95" s="24">
        <v>-2.4450999999999602E-4</v>
      </c>
      <c r="F95" s="24">
        <v>-0.45082751583731501</v>
      </c>
      <c r="G95" s="24">
        <v>10.3865814391439</v>
      </c>
      <c r="H95" s="23">
        <v>5.3991310000000001E-2</v>
      </c>
      <c r="I95" s="23">
        <v>5.3991310000000001E-2</v>
      </c>
      <c r="K95">
        <f t="shared" si="2"/>
        <v>-4.508275158373154E-3</v>
      </c>
      <c r="L95">
        <f t="shared" si="3"/>
        <v>1.6197391545981656E-4</v>
      </c>
    </row>
    <row r="96" spans="1:12" ht="15" customHeight="1" x14ac:dyDescent="0.3">
      <c r="A96" s="19">
        <v>45943</v>
      </c>
      <c r="B96" s="20">
        <v>5.4231405406871103E-2</v>
      </c>
      <c r="C96" s="20">
        <v>5.4240229978575097E-2</v>
      </c>
      <c r="D96" s="20">
        <v>5.4235819999999997E-2</v>
      </c>
      <c r="E96" s="21">
        <v>1.40829999999994E-4</v>
      </c>
      <c r="F96" s="21">
        <v>0.26033834186862598</v>
      </c>
      <c r="G96" s="21">
        <v>10.8864882394732</v>
      </c>
      <c r="H96" s="20">
        <v>5.4235819999999997E-2</v>
      </c>
      <c r="I96" s="20">
        <v>5.4235819999999997E-2</v>
      </c>
      <c r="K96">
        <f t="shared" si="2"/>
        <v>2.603383418686267E-3</v>
      </c>
      <c r="L96">
        <f t="shared" si="3"/>
        <v>1.6270744507954706E-4</v>
      </c>
    </row>
    <row r="97" spans="1:12" ht="15" customHeight="1" x14ac:dyDescent="0.3">
      <c r="A97" s="22">
        <v>45940</v>
      </c>
      <c r="B97" s="23">
        <v>5.4090601757944598E-2</v>
      </c>
      <c r="C97" s="23">
        <v>5.4099380562092597E-2</v>
      </c>
      <c r="D97" s="23">
        <v>5.4094990000000003E-2</v>
      </c>
      <c r="E97" s="24">
        <v>-3.5789499999999599E-4</v>
      </c>
      <c r="F97" s="24">
        <v>-0.65725626842359997</v>
      </c>
      <c r="G97" s="24">
        <v>10.598557787997301</v>
      </c>
      <c r="H97" s="23">
        <v>5.4094990000000003E-2</v>
      </c>
      <c r="I97" s="23">
        <v>5.4094990000000003E-2</v>
      </c>
      <c r="K97">
        <f t="shared" si="2"/>
        <v>-6.5725626842360052E-3</v>
      </c>
      <c r="L97">
        <f t="shared" si="3"/>
        <v>1.6228497589146687E-4</v>
      </c>
    </row>
    <row r="98" spans="1:12" ht="15" customHeight="1" x14ac:dyDescent="0.3">
      <c r="A98" s="19">
        <v>45939</v>
      </c>
      <c r="B98" s="20">
        <v>5.4448437329848602E-2</v>
      </c>
      <c r="C98" s="20">
        <v>5.4457332679845302E-2</v>
      </c>
      <c r="D98" s="20">
        <v>5.4452884999999999E-2</v>
      </c>
      <c r="E98" s="21">
        <v>-1.0378999999997799E-5</v>
      </c>
      <c r="F98" s="21">
        <v>-1.9056882084766899E-2</v>
      </c>
      <c r="G98" s="21">
        <v>11.330283052010399</v>
      </c>
      <c r="H98" s="20">
        <v>5.4452884999999999E-2</v>
      </c>
      <c r="I98" s="20">
        <v>5.4452884999999999E-2</v>
      </c>
      <c r="K98">
        <f t="shared" si="2"/>
        <v>-1.9056882084766968E-4</v>
      </c>
      <c r="L98">
        <f t="shared" si="3"/>
        <v>1.6335865393909079E-4</v>
      </c>
    </row>
    <row r="99" spans="1:12" ht="15" customHeight="1" x14ac:dyDescent="0.3">
      <c r="A99" s="22">
        <v>45938</v>
      </c>
      <c r="B99" s="23">
        <v>5.4458815520762399E-2</v>
      </c>
      <c r="C99" s="23">
        <v>5.4467714262371E-2</v>
      </c>
      <c r="D99" s="23">
        <v>5.4463263999999997E-2</v>
      </c>
      <c r="E99" s="24">
        <v>4.5933999999997402E-5</v>
      </c>
      <c r="F99" s="24">
        <v>8.4410609634821804E-2</v>
      </c>
      <c r="G99" s="24">
        <v>11.3515031766704</v>
      </c>
      <c r="H99" s="23">
        <v>5.4463263999999997E-2</v>
      </c>
      <c r="I99" s="23">
        <v>5.4463263999999997E-2</v>
      </c>
      <c r="K99">
        <f t="shared" si="2"/>
        <v>8.4410609634821832E-4</v>
      </c>
      <c r="L99">
        <f t="shared" si="3"/>
        <v>1.6338979625975331E-4</v>
      </c>
    </row>
    <row r="100" spans="1:12" ht="15" customHeight="1" x14ac:dyDescent="0.3">
      <c r="A100" s="19">
        <v>45937</v>
      </c>
      <c r="B100" s="20">
        <v>5.4412884971161202E-2</v>
      </c>
      <c r="C100" s="20">
        <v>5.4421768707482998E-2</v>
      </c>
      <c r="D100" s="20">
        <v>5.441733E-2</v>
      </c>
      <c r="E100" s="21">
        <v>7.4050000000019899E-6</v>
      </c>
      <c r="F100" s="21">
        <v>1.36096493424719E-2</v>
      </c>
      <c r="G100" s="21">
        <v>11.2575899667145</v>
      </c>
      <c r="H100" s="20">
        <v>5.441733E-2</v>
      </c>
      <c r="I100" s="20">
        <v>5.441733E-2</v>
      </c>
      <c r="K100">
        <f t="shared" si="2"/>
        <v>1.3609649342471997E-4</v>
      </c>
      <c r="L100">
        <f t="shared" si="3"/>
        <v>1.6325196994774273E-4</v>
      </c>
    </row>
    <row r="101" spans="1:12" ht="15" customHeight="1" x14ac:dyDescent="0.3">
      <c r="A101" s="22">
        <v>45936</v>
      </c>
      <c r="B101" s="23">
        <v>5.4405484072794497E-2</v>
      </c>
      <c r="C101" s="23">
        <v>5.4414365392463603E-2</v>
      </c>
      <c r="D101" s="23">
        <v>5.4409924999999998E-2</v>
      </c>
      <c r="E101" s="24">
        <v>9.1620000000000495E-5</v>
      </c>
      <c r="F101" s="24">
        <v>0.168672420834936</v>
      </c>
      <c r="G101" s="24">
        <v>11.2424502593142</v>
      </c>
      <c r="H101" s="23">
        <v>5.4409924999999998E-2</v>
      </c>
      <c r="I101" s="23">
        <v>5.4409924999999998E-2</v>
      </c>
      <c r="K101">
        <f t="shared" si="2"/>
        <v>1.6867242083493661E-3</v>
      </c>
      <c r="L101">
        <f t="shared" si="3"/>
        <v>1.632297723091134E-4</v>
      </c>
    </row>
    <row r="102" spans="1:12" ht="15" customHeight="1" x14ac:dyDescent="0.3">
      <c r="A102" s="19">
        <v>45933</v>
      </c>
      <c r="B102" s="20">
        <v>5.4313879912011503E-2</v>
      </c>
      <c r="C102" s="20">
        <v>5.43227313469321E-2</v>
      </c>
      <c r="D102" s="20">
        <v>5.4318304999999997E-2</v>
      </c>
      <c r="E102" s="21">
        <v>2.4963899999999503E-4</v>
      </c>
      <c r="F102" s="21">
        <v>0.46170734080992398</v>
      </c>
      <c r="G102" s="21">
        <v>11.055130881594801</v>
      </c>
      <c r="H102" s="20">
        <v>5.4318304999999997E-2</v>
      </c>
      <c r="I102" s="20">
        <v>5.4318304999999997E-2</v>
      </c>
      <c r="K102">
        <f t="shared" si="2"/>
        <v>4.6170734080992482E-3</v>
      </c>
      <c r="L102">
        <f t="shared" si="3"/>
        <v>1.6295491769481314E-4</v>
      </c>
    </row>
    <row r="103" spans="1:12" ht="15" customHeight="1" x14ac:dyDescent="0.3">
      <c r="A103" s="22">
        <v>45932</v>
      </c>
      <c r="B103" s="23">
        <v>5.4064282431811397E-2</v>
      </c>
      <c r="C103" s="23">
        <v>5.4073052694189799E-2</v>
      </c>
      <c r="D103" s="23">
        <v>5.4068666000000001E-2</v>
      </c>
      <c r="E103" s="24">
        <v>-4.9861400000000096E-4</v>
      </c>
      <c r="F103" s="24">
        <v>-0.91376004081566897</v>
      </c>
      <c r="G103" s="24">
        <v>10.5447377126962</v>
      </c>
      <c r="H103" s="23">
        <v>5.4068666000000001E-2</v>
      </c>
      <c r="I103" s="23">
        <v>5.4068666000000001E-2</v>
      </c>
      <c r="K103">
        <f t="shared" si="2"/>
        <v>-9.1376004081566986E-3</v>
      </c>
      <c r="L103">
        <f t="shared" si="3"/>
        <v>1.6220600631060416E-4</v>
      </c>
    </row>
    <row r="104" spans="1:12" ht="15" customHeight="1" x14ac:dyDescent="0.3">
      <c r="A104" s="19">
        <v>45931</v>
      </c>
      <c r="B104" s="20">
        <v>5.45628154412768E-2</v>
      </c>
      <c r="C104" s="20">
        <v>5.4571748205953799E-2</v>
      </c>
      <c r="D104" s="20">
        <v>5.4567280000000003E-2</v>
      </c>
      <c r="E104" s="21">
        <v>1.9348000000002299E-5</v>
      </c>
      <c r="F104" s="21">
        <v>3.5469722298553302E-2</v>
      </c>
      <c r="G104" s="21">
        <v>11.564166485913599</v>
      </c>
      <c r="H104" s="20">
        <v>5.4567280000000003E-2</v>
      </c>
      <c r="I104" s="20">
        <v>5.4567280000000003E-2</v>
      </c>
      <c r="K104">
        <f t="shared" si="2"/>
        <v>3.5469722298553386E-4</v>
      </c>
      <c r="L104">
        <f t="shared" si="3"/>
        <v>1.6370184984478784E-4</v>
      </c>
    </row>
    <row r="105" spans="1:12" ht="15" customHeight="1" x14ac:dyDescent="0.3">
      <c r="A105" s="22">
        <v>45930</v>
      </c>
      <c r="B105" s="23">
        <v>5.4543471146503798E-2</v>
      </c>
      <c r="C105" s="23">
        <v>5.4552397577873599E-2</v>
      </c>
      <c r="D105" s="23">
        <v>5.4547932E-2</v>
      </c>
      <c r="E105" s="24">
        <v>1.48600000000193E-6</v>
      </c>
      <c r="F105" s="24">
        <v>2.72428381493661E-3</v>
      </c>
      <c r="G105" s="24">
        <v>11.524609016800801</v>
      </c>
      <c r="H105" s="23">
        <v>5.4547932E-2</v>
      </c>
      <c r="I105" s="23">
        <v>5.4547932E-2</v>
      </c>
      <c r="K105">
        <f t="shared" si="2"/>
        <v>2.7242838149366122E-5</v>
      </c>
      <c r="L105">
        <f t="shared" si="3"/>
        <v>1.6364380907786513E-4</v>
      </c>
    </row>
    <row r="106" spans="1:12" ht="15" customHeight="1" x14ac:dyDescent="0.3">
      <c r="A106" s="19">
        <v>45929</v>
      </c>
      <c r="B106" s="20">
        <v>5.4541983691946898E-2</v>
      </c>
      <c r="C106" s="20">
        <v>5.4550909636418198E-2</v>
      </c>
      <c r="D106" s="20">
        <v>5.4546445999999998E-2</v>
      </c>
      <c r="E106" s="21">
        <v>1.0986599999999999E-4</v>
      </c>
      <c r="F106" s="21">
        <v>0.20182384712632501</v>
      </c>
      <c r="G106" s="21">
        <v>11.5215708526959</v>
      </c>
      <c r="H106" s="20">
        <v>5.4546445999999998E-2</v>
      </c>
      <c r="I106" s="20">
        <v>5.4546445999999998E-2</v>
      </c>
      <c r="K106">
        <f t="shared" si="2"/>
        <v>2.0182384712632562E-3</v>
      </c>
      <c r="L106">
        <f t="shared" si="3"/>
        <v>1.6363934088940799E-4</v>
      </c>
    </row>
    <row r="107" spans="1:12" ht="15" customHeight="1" x14ac:dyDescent="0.3">
      <c r="A107" s="22">
        <v>45926</v>
      </c>
      <c r="B107" s="23">
        <v>5.4432136733527502E-2</v>
      </c>
      <c r="C107" s="23">
        <v>5.4441026757764598E-2</v>
      </c>
      <c r="D107" s="23">
        <v>5.4436579999999998E-2</v>
      </c>
      <c r="E107" s="24">
        <v>1.7648599999999599E-4</v>
      </c>
      <c r="F107" s="24">
        <v>0.325259296454594</v>
      </c>
      <c r="G107" s="24">
        <v>11.296947072380201</v>
      </c>
      <c r="H107" s="23">
        <v>5.4436579999999998E-2</v>
      </c>
      <c r="I107" s="23">
        <v>5.4436579999999998E-2</v>
      </c>
      <c r="K107">
        <f t="shared" si="2"/>
        <v>3.2525929645459417E-3</v>
      </c>
      <c r="L107">
        <f t="shared" si="3"/>
        <v>1.6330974938352024E-4</v>
      </c>
    </row>
    <row r="108" spans="1:12" ht="15" customHeight="1" x14ac:dyDescent="0.3">
      <c r="A108" s="19">
        <v>45925</v>
      </c>
      <c r="B108" s="20">
        <v>5.4255532707947897E-2</v>
      </c>
      <c r="C108" s="20">
        <v>5.4264659597790303E-2</v>
      </c>
      <c r="D108" s="20">
        <v>5.4260094000000002E-2</v>
      </c>
      <c r="E108" s="21">
        <v>-6.7065999999997504E-5</v>
      </c>
      <c r="F108" s="21">
        <v>-0.123448381987933</v>
      </c>
      <c r="G108" s="21">
        <v>10.936117038586501</v>
      </c>
      <c r="H108" s="20">
        <v>5.4260094000000002E-2</v>
      </c>
      <c r="I108" s="20">
        <v>5.4260094000000002E-2</v>
      </c>
      <c r="K108">
        <f t="shared" si="2"/>
        <v>-1.2344838198793395E-3</v>
      </c>
      <c r="L108">
        <f t="shared" si="3"/>
        <v>1.6820630355720141E-4</v>
      </c>
    </row>
    <row r="109" spans="1:12" ht="15" customHeight="1" x14ac:dyDescent="0.3">
      <c r="A109" s="22">
        <v>45924</v>
      </c>
      <c r="B109" s="23">
        <v>5.43227313469321E-2</v>
      </c>
      <c r="C109" s="23">
        <v>5.4331585667327702E-2</v>
      </c>
      <c r="D109" s="23">
        <v>5.4327159999999999E-2</v>
      </c>
      <c r="E109" s="24">
        <v>-2.6394999999999799E-4</v>
      </c>
      <c r="F109" s="24">
        <v>-0.483503632734338</v>
      </c>
      <c r="G109" s="24">
        <v>11.0732351502011</v>
      </c>
      <c r="H109" s="23">
        <v>5.4327159999999999E-2</v>
      </c>
      <c r="I109" s="23">
        <v>5.4327159999999999E-2</v>
      </c>
      <c r="K109">
        <f t="shared" si="2"/>
        <v>-4.8350363273433894E-3</v>
      </c>
      <c r="L109">
        <f t="shared" si="3"/>
        <v>1.6298146996090947E-4</v>
      </c>
    </row>
    <row r="110" spans="1:12" ht="15" customHeight="1" x14ac:dyDescent="0.3">
      <c r="A110" s="19">
        <v>45923</v>
      </c>
      <c r="B110" s="20">
        <v>5.4586642648543897E-2</v>
      </c>
      <c r="C110" s="20">
        <v>5.4595583217317702E-2</v>
      </c>
      <c r="D110" s="20">
        <v>5.4591109999999998E-2</v>
      </c>
      <c r="E110" s="21">
        <v>2.3441999999999899E-4</v>
      </c>
      <c r="F110" s="21">
        <v>0.43126246281737202</v>
      </c>
      <c r="G110" s="21">
        <v>11.612887515940301</v>
      </c>
      <c r="H110" s="20">
        <v>5.4591109999999998E-2</v>
      </c>
      <c r="I110" s="20">
        <v>5.4591109999999998E-2</v>
      </c>
      <c r="K110">
        <f t="shared" si="2"/>
        <v>4.3126246281737224E-3</v>
      </c>
      <c r="L110">
        <f t="shared" si="3"/>
        <v>1.6377334649917872E-4</v>
      </c>
    </row>
    <row r="111" spans="1:12" ht="15" customHeight="1" x14ac:dyDescent="0.3">
      <c r="A111" s="22">
        <v>45922</v>
      </c>
      <c r="B111" s="23">
        <v>5.4352256977471002E-2</v>
      </c>
      <c r="C111" s="23">
        <v>5.4361120926313497E-2</v>
      </c>
      <c r="D111" s="23">
        <v>5.4356689999999999E-2</v>
      </c>
      <c r="E111" s="24">
        <v>-1.13993999999999E-4</v>
      </c>
      <c r="F111" s="24">
        <v>-0.20927587397286901</v>
      </c>
      <c r="G111" s="24">
        <v>11.1336099725549</v>
      </c>
      <c r="H111" s="23">
        <v>5.4356689999999999E-2</v>
      </c>
      <c r="I111" s="23">
        <v>5.4356689999999999E-2</v>
      </c>
      <c r="K111">
        <f t="shared" si="2"/>
        <v>-2.0927587397286951E-3</v>
      </c>
      <c r="L111">
        <f t="shared" si="3"/>
        <v>1.6307006262698248E-4</v>
      </c>
    </row>
    <row r="112" spans="1:12" ht="15" customHeight="1" x14ac:dyDescent="0.3">
      <c r="A112" s="19">
        <v>45919</v>
      </c>
      <c r="B112" s="20">
        <v>5.4466230936819203E-2</v>
      </c>
      <c r="C112" s="20">
        <v>5.44751321021954E-2</v>
      </c>
      <c r="D112" s="20">
        <v>5.4470683999999998E-2</v>
      </c>
      <c r="E112" s="21">
        <v>-2.9660000000000699E-6</v>
      </c>
      <c r="F112" s="21">
        <v>-5.4448343373314501E-3</v>
      </c>
      <c r="G112" s="21">
        <v>11.366673551945199</v>
      </c>
      <c r="H112" s="20">
        <v>5.4470683999999998E-2</v>
      </c>
      <c r="I112" s="20">
        <v>5.4470683999999998E-2</v>
      </c>
      <c r="K112">
        <f t="shared" si="2"/>
        <v>-5.4448343373314501E-5</v>
      </c>
      <c r="L112">
        <f t="shared" si="3"/>
        <v>1.6341203602652588E-4</v>
      </c>
    </row>
    <row r="113" spans="1:12" ht="15" customHeight="1" x14ac:dyDescent="0.3">
      <c r="A113" s="22">
        <v>45918</v>
      </c>
      <c r="B113" s="23">
        <v>5.44691976687183E-2</v>
      </c>
      <c r="C113" s="23">
        <v>5.4478099803878799E-2</v>
      </c>
      <c r="D113" s="23">
        <v>5.4473649999999998E-2</v>
      </c>
      <c r="E113" s="24">
        <v>-2.59760000000039E-5</v>
      </c>
      <c r="F113" s="24">
        <v>-4.7662712401008701E-2</v>
      </c>
      <c r="G113" s="24">
        <v>11.372737613005199</v>
      </c>
      <c r="H113" s="23">
        <v>5.4473649999999998E-2</v>
      </c>
      <c r="I113" s="23">
        <v>5.4473649999999998E-2</v>
      </c>
      <c r="K113">
        <f t="shared" si="2"/>
        <v>-4.7662712401008722E-4</v>
      </c>
      <c r="L113">
        <f t="shared" si="3"/>
        <v>1.6342094132665942E-4</v>
      </c>
    </row>
    <row r="114" spans="1:12" ht="15" customHeight="1" x14ac:dyDescent="0.3">
      <c r="A114" s="19">
        <v>45917</v>
      </c>
      <c r="B114" s="20">
        <v>5.4495021879751297E-2</v>
      </c>
      <c r="C114" s="20">
        <v>5.4504229528211399E-2</v>
      </c>
      <c r="D114" s="20">
        <v>5.4499626000000002E-2</v>
      </c>
      <c r="E114" s="21">
        <v>-6.9141999999994196E-5</v>
      </c>
      <c r="F114" s="21">
        <v>-0.12670617742367399</v>
      </c>
      <c r="G114" s="21">
        <v>11.425846193616801</v>
      </c>
      <c r="H114" s="20">
        <v>5.4499626000000002E-2</v>
      </c>
      <c r="I114" s="20">
        <v>5.4499626000000002E-2</v>
      </c>
      <c r="K114">
        <f t="shared" si="2"/>
        <v>-1.267061774236744E-3</v>
      </c>
      <c r="L114">
        <f t="shared" si="3"/>
        <v>1.6894883755903657E-4</v>
      </c>
    </row>
    <row r="115" spans="1:12" ht="15" customHeight="1" x14ac:dyDescent="0.3">
      <c r="A115" s="22">
        <v>45916</v>
      </c>
      <c r="B115" s="23">
        <v>5.4564304032302099E-2</v>
      </c>
      <c r="C115" s="23">
        <v>5.4573237284435701E-2</v>
      </c>
      <c r="D115" s="23">
        <v>5.4568767999999997E-2</v>
      </c>
      <c r="E115" s="24">
        <v>1.3367099999999401E-4</v>
      </c>
      <c r="F115" s="24">
        <v>0.245560322965898</v>
      </c>
      <c r="G115" s="24">
        <v>11.5672087390684</v>
      </c>
      <c r="H115" s="23">
        <v>5.4568767999999997E-2</v>
      </c>
      <c r="I115" s="23">
        <v>5.4568767999999997E-2</v>
      </c>
      <c r="K115">
        <f t="shared" si="2"/>
        <v>2.4556032296589869E-3</v>
      </c>
      <c r="L115">
        <f t="shared" si="3"/>
        <v>1.6370631885259632E-4</v>
      </c>
    </row>
    <row r="116" spans="1:12" ht="15" customHeight="1" x14ac:dyDescent="0.3">
      <c r="A116" s="19">
        <v>45915</v>
      </c>
      <c r="B116" s="20">
        <v>5.4430359077078799E-2</v>
      </c>
      <c r="C116" s="20">
        <v>5.4439841253422903E-2</v>
      </c>
      <c r="D116" s="20">
        <v>5.4435097000000002E-2</v>
      </c>
      <c r="E116" s="21">
        <v>3.8980699999999798E-4</v>
      </c>
      <c r="F116" s="21">
        <v>0.72125989147249203</v>
      </c>
      <c r="G116" s="21">
        <v>11.293915041850299</v>
      </c>
      <c r="H116" s="20">
        <v>5.4435097000000002E-2</v>
      </c>
      <c r="I116" s="20">
        <v>5.4435097000000002E-2</v>
      </c>
      <c r="K116">
        <f t="shared" si="2"/>
        <v>7.2125989147249214E-3</v>
      </c>
      <c r="L116">
        <f t="shared" si="3"/>
        <v>1.741923293367906E-4</v>
      </c>
    </row>
    <row r="117" spans="1:12" ht="15" customHeight="1" x14ac:dyDescent="0.3">
      <c r="A117" s="22">
        <v>45912</v>
      </c>
      <c r="B117" s="23">
        <v>5.4039448797622298E-2</v>
      </c>
      <c r="C117" s="23">
        <v>5.40511323712232E-2</v>
      </c>
      <c r="D117" s="23">
        <v>5.4045290000000003E-2</v>
      </c>
      <c r="E117" s="24">
        <v>8.6030000000000801E-5</v>
      </c>
      <c r="F117" s="24">
        <v>0.15943509974005701</v>
      </c>
      <c r="G117" s="24">
        <v>10.496944897005701</v>
      </c>
      <c r="H117" s="23">
        <v>5.4045290000000003E-2</v>
      </c>
      <c r="I117" s="23">
        <v>5.4045290000000003E-2</v>
      </c>
      <c r="K117">
        <f t="shared" si="2"/>
        <v>1.5943509974005732E-3</v>
      </c>
      <c r="L117">
        <f t="shared" si="3"/>
        <v>2.1618116214939972E-4</v>
      </c>
    </row>
    <row r="118" spans="1:12" ht="15" customHeight="1" x14ac:dyDescent="0.3">
      <c r="A118" s="19">
        <v>45911</v>
      </c>
      <c r="B118" s="20">
        <v>5.3954893708859399E-2</v>
      </c>
      <c r="C118" s="20">
        <v>5.3963628514381301E-2</v>
      </c>
      <c r="D118" s="20">
        <v>5.3959260000000002E-2</v>
      </c>
      <c r="E118" s="21">
        <v>1.26356000000001E-4</v>
      </c>
      <c r="F118" s="21">
        <v>0.23471889980151101</v>
      </c>
      <c r="G118" s="21">
        <v>10.321054413866699</v>
      </c>
      <c r="H118" s="20">
        <v>5.3959260000000002E-2</v>
      </c>
      <c r="I118" s="20">
        <v>5.3959260000000002E-2</v>
      </c>
      <c r="K118">
        <f t="shared" si="2"/>
        <v>2.347188998015115E-3</v>
      </c>
      <c r="L118">
        <f t="shared" si="3"/>
        <v>1.6187778560904054E-4</v>
      </c>
    </row>
    <row r="119" spans="1:12" ht="15" customHeight="1" x14ac:dyDescent="0.3">
      <c r="A119" s="22">
        <v>45910</v>
      </c>
      <c r="B119" s="23">
        <v>5.3828556048983997E-2</v>
      </c>
      <c r="C119" s="23">
        <v>5.3837249993270303E-2</v>
      </c>
      <c r="D119" s="23">
        <v>5.3832904000000001E-2</v>
      </c>
      <c r="E119" s="24">
        <v>1.21440999999999E-4</v>
      </c>
      <c r="F119" s="24">
        <v>0.22609884969992899</v>
      </c>
      <c r="G119" s="24">
        <v>10.0627164168015</v>
      </c>
      <c r="H119" s="23">
        <v>5.3832904000000001E-2</v>
      </c>
      <c r="I119" s="23">
        <v>5.3832904000000001E-2</v>
      </c>
      <c r="K119">
        <f t="shared" si="2"/>
        <v>2.2609884969992944E-3</v>
      </c>
      <c r="L119">
        <f t="shared" si="3"/>
        <v>1.6149870507275603E-4</v>
      </c>
    </row>
    <row r="120" spans="1:12" ht="15" customHeight="1" x14ac:dyDescent="0.3">
      <c r="A120" s="19">
        <v>45909</v>
      </c>
      <c r="B120" s="20">
        <v>5.37071349928838E-2</v>
      </c>
      <c r="C120" s="20">
        <v>5.3715789756398902E-2</v>
      </c>
      <c r="D120" s="20">
        <v>5.3711463000000001E-2</v>
      </c>
      <c r="E120" s="21">
        <v>1.19459000000002E-4</v>
      </c>
      <c r="F120" s="21">
        <v>0.222904521353606</v>
      </c>
      <c r="G120" s="21">
        <v>9.8144272599621907</v>
      </c>
      <c r="H120" s="20">
        <v>5.3711463000000001E-2</v>
      </c>
      <c r="I120" s="20">
        <v>5.3711463000000001E-2</v>
      </c>
      <c r="K120">
        <f t="shared" si="2"/>
        <v>2.2290452135360628E-3</v>
      </c>
      <c r="L120">
        <f t="shared" si="3"/>
        <v>1.6113438420216068E-4</v>
      </c>
    </row>
    <row r="121" spans="1:12" ht="15" customHeight="1" x14ac:dyDescent="0.3">
      <c r="A121" s="22">
        <v>45908</v>
      </c>
      <c r="B121" s="23">
        <v>5.3587409102357299E-2</v>
      </c>
      <c r="C121" s="23">
        <v>5.3596599831706698E-2</v>
      </c>
      <c r="D121" s="23">
        <v>5.3592003999999999E-2</v>
      </c>
      <c r="E121" s="24">
        <v>6.9558999999996804E-5</v>
      </c>
      <c r="F121" s="24">
        <v>0.129962298994379</v>
      </c>
      <c r="G121" s="24">
        <v>9.5701903516127</v>
      </c>
      <c r="H121" s="23">
        <v>5.3592003999999999E-2</v>
      </c>
      <c r="I121" s="23">
        <v>5.3592003999999999E-2</v>
      </c>
      <c r="K121">
        <f t="shared" si="2"/>
        <v>1.2996229899437939E-3</v>
      </c>
      <c r="L121">
        <f t="shared" si="3"/>
        <v>1.7149441452869569E-4</v>
      </c>
    </row>
    <row r="122" spans="1:12" ht="15" customHeight="1" x14ac:dyDescent="0.3">
      <c r="A122" s="19">
        <v>45905</v>
      </c>
      <c r="B122" s="20">
        <v>5.3518006133163501E-2</v>
      </c>
      <c r="C122" s="20">
        <v>5.3526886555116601E-2</v>
      </c>
      <c r="D122" s="20">
        <v>5.3522445000000002E-2</v>
      </c>
      <c r="E122" s="21">
        <v>1.6207500000000401E-4</v>
      </c>
      <c r="F122" s="21">
        <v>0.30373664950224999</v>
      </c>
      <c r="G122" s="21">
        <v>9.4279752392487808</v>
      </c>
      <c r="H122" s="20">
        <v>5.3522445000000002E-2</v>
      </c>
      <c r="I122" s="20">
        <v>5.3522445000000002E-2</v>
      </c>
      <c r="K122">
        <f t="shared" si="2"/>
        <v>3.0373664950225088E-3</v>
      </c>
      <c r="L122">
        <f t="shared" si="3"/>
        <v>1.6591958669115803E-4</v>
      </c>
    </row>
    <row r="123" spans="1:12" ht="15" customHeight="1" x14ac:dyDescent="0.3">
      <c r="A123" s="22">
        <v>45904</v>
      </c>
      <c r="B123" s="23">
        <v>5.33558139162634E-2</v>
      </c>
      <c r="C123" s="23">
        <v>5.3364925369151897E-2</v>
      </c>
      <c r="D123" s="23">
        <v>5.3360369999999997E-2</v>
      </c>
      <c r="E123" s="24">
        <v>-1.3129700000000201E-4</v>
      </c>
      <c r="F123" s="24">
        <v>-0.24545318432496099</v>
      </c>
      <c r="G123" s="24">
        <v>9.0966088547926596</v>
      </c>
      <c r="H123" s="23">
        <v>5.3360369999999997E-2</v>
      </c>
      <c r="I123" s="23">
        <v>5.3360369999999997E-2</v>
      </c>
      <c r="K123">
        <f t="shared" si="2"/>
        <v>-2.4545318432496188E-3</v>
      </c>
      <c r="L123">
        <f t="shared" si="3"/>
        <v>1.7075318046888891E-4</v>
      </c>
    </row>
    <row r="124" spans="1:12" ht="15" customHeight="1" x14ac:dyDescent="0.3">
      <c r="A124" s="19">
        <v>45903</v>
      </c>
      <c r="B124" s="20">
        <v>5.34873769790329E-2</v>
      </c>
      <c r="C124" s="20">
        <v>5.3495961054940297E-2</v>
      </c>
      <c r="D124" s="20">
        <v>5.3491667E-2</v>
      </c>
      <c r="E124" s="21">
        <v>1.2275199999999599E-4</v>
      </c>
      <c r="F124" s="21">
        <v>0.23000654969282899</v>
      </c>
      <c r="G124" s="21">
        <v>9.3650488497328794</v>
      </c>
      <c r="H124" s="20">
        <v>5.3491667E-2</v>
      </c>
      <c r="I124" s="20">
        <v>5.3491667E-2</v>
      </c>
      <c r="K124">
        <f t="shared" si="2"/>
        <v>2.3000654969282941E-3</v>
      </c>
      <c r="L124">
        <f t="shared" si="3"/>
        <v>1.6047501206865368E-4</v>
      </c>
    </row>
    <row r="125" spans="1:12" ht="15" customHeight="1" x14ac:dyDescent="0.3">
      <c r="A125" s="22">
        <v>45902</v>
      </c>
      <c r="B125" s="23">
        <v>5.3364640589145598E-2</v>
      </c>
      <c r="C125" s="23">
        <v>5.3373185311699399E-2</v>
      </c>
      <c r="D125" s="23">
        <v>5.3368915000000003E-2</v>
      </c>
      <c r="E125" s="24">
        <v>-3.52646999999997E-4</v>
      </c>
      <c r="F125" s="24">
        <v>-0.65643474774615895</v>
      </c>
      <c r="G125" s="24">
        <v>9.1140793206583393</v>
      </c>
      <c r="H125" s="23">
        <v>5.3368915000000003E-2</v>
      </c>
      <c r="I125" s="23">
        <v>5.3368915000000003E-2</v>
      </c>
      <c r="K125">
        <f t="shared" si="2"/>
        <v>-6.5643474774615962E-3</v>
      </c>
      <c r="L125">
        <f t="shared" si="3"/>
        <v>1.601067316770583E-4</v>
      </c>
    </row>
    <row r="126" spans="1:12" ht="15" customHeight="1" x14ac:dyDescent="0.3">
      <c r="A126" s="19">
        <v>45901</v>
      </c>
      <c r="B126" s="20">
        <v>5.37172324881822E-2</v>
      </c>
      <c r="C126" s="20">
        <v>5.37258905066351E-2</v>
      </c>
      <c r="D126" s="20">
        <v>5.3721562E-2</v>
      </c>
      <c r="E126" s="21">
        <v>8.6444999999997496E-5</v>
      </c>
      <c r="F126" s="21">
        <v>0.16117239009658599</v>
      </c>
      <c r="G126" s="21">
        <v>9.8350749176306902</v>
      </c>
      <c r="H126" s="20">
        <v>5.3721562E-2</v>
      </c>
      <c r="I126" s="20">
        <v>5.3721562E-2</v>
      </c>
      <c r="K126">
        <f t="shared" si="2"/>
        <v>1.6117239009658668E-3</v>
      </c>
      <c r="L126">
        <f t="shared" si="3"/>
        <v>1.6116468193721909E-4</v>
      </c>
    </row>
    <row r="127" spans="1:12" ht="15" customHeight="1" x14ac:dyDescent="0.3">
      <c r="A127" s="22">
        <v>45898</v>
      </c>
      <c r="B127" s="23">
        <v>5.3630805534699101E-2</v>
      </c>
      <c r="C127" s="23">
        <v>5.3639435713136299E-2</v>
      </c>
      <c r="D127" s="23">
        <v>5.3635117000000003E-2</v>
      </c>
      <c r="E127" s="24">
        <v>-4.46289999999974E-5</v>
      </c>
      <c r="F127" s="24">
        <v>-8.3139365078210806E-2</v>
      </c>
      <c r="G127" s="24">
        <v>9.6583359566292497</v>
      </c>
      <c r="H127" s="23">
        <v>5.3635117000000003E-2</v>
      </c>
      <c r="I127" s="23">
        <v>5.3635117000000003E-2</v>
      </c>
      <c r="K127">
        <f t="shared" si="2"/>
        <v>-8.3139365078210847E-4</v>
      </c>
      <c r="L127">
        <f t="shared" si="3"/>
        <v>1.6090537170261227E-4</v>
      </c>
    </row>
    <row r="128" spans="1:12" ht="15" customHeight="1" x14ac:dyDescent="0.3">
      <c r="A128" s="19">
        <v>45897</v>
      </c>
      <c r="B128" s="20">
        <v>5.3675424706798001E-2</v>
      </c>
      <c r="C128" s="20">
        <v>5.3684069252449299E-2</v>
      </c>
      <c r="D128" s="20">
        <v>5.3679746E-2</v>
      </c>
      <c r="E128" s="21">
        <v>3.8762600000000202E-4</v>
      </c>
      <c r="F128" s="21">
        <v>0.72736081807216402</v>
      </c>
      <c r="G128" s="21">
        <v>9.7495810614997804</v>
      </c>
      <c r="H128" s="20">
        <v>5.3679746E-2</v>
      </c>
      <c r="I128" s="20">
        <v>5.3679746E-2</v>
      </c>
      <c r="K128">
        <f t="shared" si="2"/>
        <v>7.2736081807216468E-3</v>
      </c>
      <c r="L128">
        <f t="shared" si="3"/>
        <v>1.6103924283280093E-4</v>
      </c>
    </row>
    <row r="129" spans="1:12" ht="15" customHeight="1" x14ac:dyDescent="0.3">
      <c r="A129" s="22">
        <v>45896</v>
      </c>
      <c r="B129" s="23">
        <v>5.3287861025258502E-2</v>
      </c>
      <c r="C129" s="23">
        <v>5.3296381175718201E-2</v>
      </c>
      <c r="D129" s="23">
        <v>5.3292119999999998E-2</v>
      </c>
      <c r="E129" s="24">
        <v>-2.3390499999999899E-4</v>
      </c>
      <c r="F129" s="24">
        <v>-0.436993032828425</v>
      </c>
      <c r="G129" s="24">
        <v>8.9570700256140103</v>
      </c>
      <c r="H129" s="23">
        <v>5.3292119999999998E-2</v>
      </c>
      <c r="I129" s="23">
        <v>5.3292119999999998E-2</v>
      </c>
      <c r="K129">
        <f t="shared" si="2"/>
        <v>-4.369930328284255E-3</v>
      </c>
      <c r="L129">
        <f t="shared" si="3"/>
        <v>1.5987636558084439E-4</v>
      </c>
    </row>
    <row r="130" spans="1:12" ht="15" customHeight="1" x14ac:dyDescent="0.3">
      <c r="A130" s="19">
        <v>45895</v>
      </c>
      <c r="B130" s="20">
        <v>5.3521729822307899E-2</v>
      </c>
      <c r="C130" s="20">
        <v>5.3530324929072302E-2</v>
      </c>
      <c r="D130" s="20">
        <v>5.3526024999999998E-2</v>
      </c>
      <c r="E130" s="21">
        <v>-3.0108499999999901E-4</v>
      </c>
      <c r="F130" s="21">
        <v>-0.55935568526714796</v>
      </c>
      <c r="G130" s="21">
        <v>9.43529463864013</v>
      </c>
      <c r="H130" s="20">
        <v>5.3526024999999998E-2</v>
      </c>
      <c r="I130" s="20">
        <v>5.3526024999999998E-2</v>
      </c>
      <c r="K130">
        <f t="shared" si="2"/>
        <v>-5.5935568526714885E-3</v>
      </c>
      <c r="L130">
        <f t="shared" si="3"/>
        <v>1.6057808821789036E-4</v>
      </c>
    </row>
    <row r="131" spans="1:12" ht="15" customHeight="1" x14ac:dyDescent="0.3">
      <c r="A131" s="22">
        <v>45894</v>
      </c>
      <c r="B131" s="23">
        <v>5.3822761645900101E-2</v>
      </c>
      <c r="C131" s="23">
        <v>5.3831453718407703E-2</v>
      </c>
      <c r="D131" s="23">
        <v>5.3827109999999997E-2</v>
      </c>
      <c r="E131" s="24">
        <v>3.4749999999999998E-5</v>
      </c>
      <c r="F131" s="24">
        <v>6.4600251782964593E-2</v>
      </c>
      <c r="G131" s="24">
        <v>10.0508704391273</v>
      </c>
      <c r="H131" s="23">
        <v>5.3827109999999997E-2</v>
      </c>
      <c r="I131" s="23">
        <v>5.3827109999999997E-2</v>
      </c>
      <c r="K131">
        <f t="shared" si="2"/>
        <v>6.4600251782964691E-4</v>
      </c>
      <c r="L131">
        <f t="shared" si="3"/>
        <v>1.614813150399814E-4</v>
      </c>
    </row>
    <row r="132" spans="1:12" ht="15" customHeight="1" x14ac:dyDescent="0.3">
      <c r="A132" s="19">
        <v>45891</v>
      </c>
      <c r="B132" s="20">
        <v>5.3788021407632503E-2</v>
      </c>
      <c r="C132" s="20">
        <v>5.3796702262151302E-2</v>
      </c>
      <c r="D132" s="20">
        <v>5.3792359999999997E-2</v>
      </c>
      <c r="E132" s="21">
        <v>4.5973699999999398E-4</v>
      </c>
      <c r="F132" s="21">
        <v>0.86201835600696597</v>
      </c>
      <c r="G132" s="21">
        <v>9.9798231964320099</v>
      </c>
      <c r="H132" s="20">
        <v>5.3792359999999997E-2</v>
      </c>
      <c r="I132" s="20">
        <v>5.3792359999999997E-2</v>
      </c>
      <c r="K132">
        <f t="shared" si="2"/>
        <v>8.6201835600696608E-3</v>
      </c>
      <c r="L132">
        <f t="shared" si="3"/>
        <v>1.6137708995849899E-4</v>
      </c>
    </row>
    <row r="133" spans="1:12" ht="15" customHeight="1" x14ac:dyDescent="0.3">
      <c r="A133" s="22">
        <v>45890</v>
      </c>
      <c r="B133" s="23">
        <v>5.3328213824806202E-2</v>
      </c>
      <c r="C133" s="23">
        <v>5.33370313675081E-2</v>
      </c>
      <c r="D133" s="23">
        <v>5.3332623000000003E-2</v>
      </c>
      <c r="E133" s="24">
        <v>1.3830500000000501E-4</v>
      </c>
      <c r="F133" s="24">
        <v>0.25999957363869097</v>
      </c>
      <c r="G133" s="24">
        <v>9.0398794204597799</v>
      </c>
      <c r="H133" s="23">
        <v>5.3332623000000003E-2</v>
      </c>
      <c r="I133" s="23">
        <v>5.3332623000000003E-2</v>
      </c>
      <c r="K133">
        <f t="shared" ref="K133:K196" si="4">D133/D134-1</f>
        <v>2.5999957363869175E-3</v>
      </c>
      <c r="L133">
        <f t="shared" ref="L133:L196" si="5">(C133-B133)/D133</f>
        <v>1.6533112766455439E-4</v>
      </c>
    </row>
    <row r="134" spans="1:12" ht="15" customHeight="1" x14ac:dyDescent="0.3">
      <c r="A134" s="19">
        <v>45889</v>
      </c>
      <c r="B134" s="20">
        <v>5.3188943082512E-2</v>
      </c>
      <c r="C134" s="20">
        <v>5.31996956977406E-2</v>
      </c>
      <c r="D134" s="20">
        <v>5.3194317999999997E-2</v>
      </c>
      <c r="E134" s="21">
        <v>-7.07800000000063E-6</v>
      </c>
      <c r="F134" s="21">
        <v>-1.33041621689811E-2</v>
      </c>
      <c r="G134" s="21">
        <v>8.7571113945322505</v>
      </c>
      <c r="H134" s="20">
        <v>5.3194317999999997E-2</v>
      </c>
      <c r="I134" s="20">
        <v>5.3194317999999997E-2</v>
      </c>
      <c r="K134">
        <f t="shared" si="4"/>
        <v>-1.3304162168981115E-4</v>
      </c>
      <c r="L134">
        <f t="shared" si="5"/>
        <v>2.021384169000906E-4</v>
      </c>
    </row>
    <row r="135" spans="1:12" ht="15" customHeight="1" x14ac:dyDescent="0.3">
      <c r="A135" s="22">
        <v>45888</v>
      </c>
      <c r="B135" s="23">
        <v>5.3197148632833299E-2</v>
      </c>
      <c r="C135" s="23">
        <v>5.3205639797818602E-2</v>
      </c>
      <c r="D135" s="23">
        <v>5.3201395999999998E-2</v>
      </c>
      <c r="E135" s="24">
        <v>9.3240000000001296E-5</v>
      </c>
      <c r="F135" s="24">
        <v>0.17556625389139</v>
      </c>
      <c r="G135" s="24">
        <v>8.7715825422674296</v>
      </c>
      <c r="H135" s="23">
        <v>5.3201395999999998E-2</v>
      </c>
      <c r="I135" s="23">
        <v>5.3201395999999998E-2</v>
      </c>
      <c r="K135">
        <f t="shared" si="4"/>
        <v>1.7556625389139047E-3</v>
      </c>
      <c r="L135">
        <f t="shared" si="5"/>
        <v>1.5960417627579844E-4</v>
      </c>
    </row>
    <row r="136" spans="1:12" ht="15" customHeight="1" x14ac:dyDescent="0.3">
      <c r="A136" s="19">
        <v>45887</v>
      </c>
      <c r="B136" s="20">
        <v>5.3103924380011699E-2</v>
      </c>
      <c r="C136" s="20">
        <v>5.3112385808370501E-2</v>
      </c>
      <c r="D136" s="20">
        <v>5.3108155999999997E-2</v>
      </c>
      <c r="E136" s="21">
        <v>-4.0211900000000601E-4</v>
      </c>
      <c r="F136" s="21">
        <v>-0.75147997277159595</v>
      </c>
      <c r="G136" s="21">
        <v>8.5809510340972093</v>
      </c>
      <c r="H136" s="20">
        <v>5.3108155999999997E-2</v>
      </c>
      <c r="I136" s="20">
        <v>5.3108155999999997E-2</v>
      </c>
      <c r="K136">
        <f t="shared" si="4"/>
        <v>-7.5147997277159595E-3</v>
      </c>
      <c r="L136">
        <f t="shared" si="5"/>
        <v>1.5932446155353413E-4</v>
      </c>
    </row>
    <row r="137" spans="1:12" ht="15" customHeight="1" x14ac:dyDescent="0.3">
      <c r="A137" s="22">
        <v>45884</v>
      </c>
      <c r="B137" s="23">
        <v>5.3505120440026102E-2</v>
      </c>
      <c r="C137" s="23">
        <v>5.3515428498035998E-2</v>
      </c>
      <c r="D137" s="23">
        <v>5.3510275000000003E-2</v>
      </c>
      <c r="E137" s="24">
        <v>2.5930300000000201E-4</v>
      </c>
      <c r="F137" s="24">
        <v>0.48694510214761699</v>
      </c>
      <c r="G137" s="24">
        <v>9.4030933703681399</v>
      </c>
      <c r="H137" s="23">
        <v>5.3510275000000003E-2</v>
      </c>
      <c r="I137" s="23">
        <v>5.3510275000000003E-2</v>
      </c>
      <c r="K137">
        <f t="shared" si="4"/>
        <v>4.8694510214761788E-3</v>
      </c>
      <c r="L137">
        <f t="shared" si="5"/>
        <v>1.9263698439030702E-4</v>
      </c>
    </row>
    <row r="138" spans="1:12" ht="15" customHeight="1" x14ac:dyDescent="0.3">
      <c r="A138" s="19">
        <v>45883</v>
      </c>
      <c r="B138" s="20">
        <v>5.3246435151166602E-2</v>
      </c>
      <c r="C138" s="20">
        <v>5.3255509282435297E-2</v>
      </c>
      <c r="D138" s="20">
        <v>5.3250972000000001E-2</v>
      </c>
      <c r="E138" s="21">
        <v>-4.6626100000000199E-4</v>
      </c>
      <c r="F138" s="21">
        <v>-0.86799146932978699</v>
      </c>
      <c r="G138" s="21">
        <v>8.8729419121628403</v>
      </c>
      <c r="H138" s="20">
        <v>5.3250972000000001E-2</v>
      </c>
      <c r="I138" s="20">
        <v>5.3250972000000001E-2</v>
      </c>
      <c r="K138">
        <f t="shared" si="4"/>
        <v>-8.6799146932978744E-3</v>
      </c>
      <c r="L138">
        <f t="shared" si="5"/>
        <v>1.704031105515803E-4</v>
      </c>
    </row>
    <row r="139" spans="1:12" ht="15" customHeight="1" x14ac:dyDescent="0.3">
      <c r="A139" s="22">
        <v>45882</v>
      </c>
      <c r="B139" s="23">
        <v>5.3712904525312202E-2</v>
      </c>
      <c r="C139" s="23">
        <v>5.3721561148567E-2</v>
      </c>
      <c r="D139" s="23">
        <v>5.3717233000000003E-2</v>
      </c>
      <c r="E139" s="24">
        <v>-9.6838999999994402E-5</v>
      </c>
      <c r="F139" s="24">
        <v>-0.179951073020445</v>
      </c>
      <c r="G139" s="24">
        <v>9.8262241690370793</v>
      </c>
      <c r="H139" s="23">
        <v>5.3717233000000003E-2</v>
      </c>
      <c r="I139" s="23">
        <v>5.3717233000000003E-2</v>
      </c>
      <c r="K139">
        <f t="shared" si="4"/>
        <v>-1.7995107302044566E-3</v>
      </c>
      <c r="L139">
        <f t="shared" si="5"/>
        <v>1.6115169697586084E-4</v>
      </c>
    </row>
    <row r="140" spans="1:12" ht="15" customHeight="1" x14ac:dyDescent="0.3">
      <c r="A140" s="19">
        <v>45881</v>
      </c>
      <c r="B140" s="20">
        <v>5.3809728798966901E-2</v>
      </c>
      <c r="C140" s="20">
        <v>5.3818416662181803E-2</v>
      </c>
      <c r="D140" s="20">
        <v>5.3814071999999998E-2</v>
      </c>
      <c r="E140" s="21">
        <v>2.1201199999999699E-4</v>
      </c>
      <c r="F140" s="21">
        <v>0.395529574796182</v>
      </c>
      <c r="G140" s="21">
        <v>10.024213922573001</v>
      </c>
      <c r="H140" s="20">
        <v>5.3814071999999998E-2</v>
      </c>
      <c r="I140" s="20">
        <v>5.3814071999999998E-2</v>
      </c>
      <c r="K140">
        <f t="shared" si="4"/>
        <v>3.9552957479618289E-3</v>
      </c>
      <c r="L140">
        <f t="shared" si="5"/>
        <v>1.614422193307099E-4</v>
      </c>
    </row>
    <row r="141" spans="1:12" ht="15" customHeight="1" x14ac:dyDescent="0.3">
      <c r="A141" s="22">
        <v>45880</v>
      </c>
      <c r="B141" s="23">
        <v>5.3597174356967897E-2</v>
      </c>
      <c r="C141" s="23">
        <v>5.3606943171279502E-2</v>
      </c>
      <c r="D141" s="23">
        <v>5.360206E-2</v>
      </c>
      <c r="E141" s="24">
        <v>-3.0920000000000199E-4</v>
      </c>
      <c r="F141" s="24">
        <v>-0.57353510194345603</v>
      </c>
      <c r="G141" s="24">
        <v>9.5907500947075093</v>
      </c>
      <c r="H141" s="23">
        <v>5.360206E-2</v>
      </c>
      <c r="I141" s="23">
        <v>5.360206E-2</v>
      </c>
      <c r="K141">
        <f t="shared" si="4"/>
        <v>-5.7353510194345647E-3</v>
      </c>
      <c r="L141">
        <f t="shared" si="5"/>
        <v>1.8224699408202845E-4</v>
      </c>
    </row>
    <row r="142" spans="1:12" ht="15" customHeight="1" x14ac:dyDescent="0.3">
      <c r="A142" s="19">
        <v>45877</v>
      </c>
      <c r="B142" s="20">
        <v>5.3906902778900798E-2</v>
      </c>
      <c r="C142" s="20">
        <v>5.3915622051489399E-2</v>
      </c>
      <c r="D142" s="20">
        <v>5.3911260000000003E-2</v>
      </c>
      <c r="E142" s="21">
        <v>4.3246400000000003E-4</v>
      </c>
      <c r="F142" s="21">
        <v>0.80866442842131203</v>
      </c>
      <c r="G142" s="21">
        <v>10.222917215323401</v>
      </c>
      <c r="H142" s="20">
        <v>5.3911260000000003E-2</v>
      </c>
      <c r="I142" s="20">
        <v>5.3911260000000003E-2</v>
      </c>
      <c r="K142">
        <f t="shared" si="4"/>
        <v>8.0866442842131292E-3</v>
      </c>
      <c r="L142">
        <f t="shared" si="5"/>
        <v>1.6173379343390932E-4</v>
      </c>
    </row>
    <row r="143" spans="1:12" ht="15" customHeight="1" x14ac:dyDescent="0.3">
      <c r="A143" s="22">
        <v>45876</v>
      </c>
      <c r="B143" s="23">
        <v>5.3473076306079899E-2</v>
      </c>
      <c r="C143" s="23">
        <v>5.3484516232550697E-2</v>
      </c>
      <c r="D143" s="23">
        <v>5.3478796000000002E-2</v>
      </c>
      <c r="E143" s="24">
        <v>-2.8753399999999901E-4</v>
      </c>
      <c r="F143" s="24">
        <v>-0.53478450175044001</v>
      </c>
      <c r="G143" s="24">
        <v>9.3387337688485097</v>
      </c>
      <c r="H143" s="23">
        <v>5.3478796000000002E-2</v>
      </c>
      <c r="I143" s="23">
        <v>5.3478796000000002E-2</v>
      </c>
      <c r="K143">
        <f t="shared" si="4"/>
        <v>-5.3478450175044046E-3</v>
      </c>
      <c r="L143">
        <f t="shared" si="5"/>
        <v>2.1391518370753691E-4</v>
      </c>
    </row>
    <row r="144" spans="1:12" ht="15" customHeight="1" x14ac:dyDescent="0.3">
      <c r="A144" s="19">
        <v>45875</v>
      </c>
      <c r="B144" s="20">
        <v>5.37619956452784E-2</v>
      </c>
      <c r="C144" s="20">
        <v>5.37706681005512E-2</v>
      </c>
      <c r="D144" s="20">
        <v>5.3766330000000001E-2</v>
      </c>
      <c r="E144" s="21">
        <v>6.3418700000000101E-4</v>
      </c>
      <c r="F144" s="21">
        <v>1.19360327702198</v>
      </c>
      <c r="G144" s="21">
        <v>9.9266042114720108</v>
      </c>
      <c r="H144" s="20">
        <v>5.3766330000000001E-2</v>
      </c>
      <c r="I144" s="20">
        <v>5.3766330000000001E-2</v>
      </c>
      <c r="K144">
        <f t="shared" si="4"/>
        <v>1.1936032770219818E-2</v>
      </c>
      <c r="L144">
        <f t="shared" si="5"/>
        <v>1.6129900018840531E-4</v>
      </c>
    </row>
    <row r="145" spans="1:12" ht="15" customHeight="1" x14ac:dyDescent="0.3">
      <c r="A145" s="22">
        <v>45874</v>
      </c>
      <c r="B145" s="23">
        <v>5.3127905432328301E-2</v>
      </c>
      <c r="C145" s="23">
        <v>5.3136374505167498E-2</v>
      </c>
      <c r="D145" s="23">
        <v>5.3132143E-2</v>
      </c>
      <c r="E145" s="24">
        <v>4.0907999999999202E-5</v>
      </c>
      <c r="F145" s="24">
        <v>7.7052266725385898E-2</v>
      </c>
      <c r="G145" s="24">
        <v>8.6299930545442294</v>
      </c>
      <c r="H145" s="23">
        <v>5.3132143E-2</v>
      </c>
      <c r="I145" s="23">
        <v>5.3132143E-2</v>
      </c>
      <c r="K145">
        <f t="shared" si="4"/>
        <v>7.7052266725385898E-4</v>
      </c>
      <c r="L145">
        <f t="shared" si="5"/>
        <v>1.5939640980031639E-4</v>
      </c>
    </row>
    <row r="146" spans="1:12" ht="15" customHeight="1" x14ac:dyDescent="0.3">
      <c r="A146" s="19">
        <v>45873</v>
      </c>
      <c r="B146" s="20">
        <v>5.3087009608748702E-2</v>
      </c>
      <c r="C146" s="20">
        <v>5.3095465647233699E-2</v>
      </c>
      <c r="D146" s="20">
        <v>5.3091235000000001E-2</v>
      </c>
      <c r="E146" s="21">
        <v>2.0007000000000301E-4</v>
      </c>
      <c r="F146" s="21">
        <v>0.37826733444046301</v>
      </c>
      <c r="G146" s="21">
        <v>8.5463556270857595</v>
      </c>
      <c r="H146" s="20">
        <v>5.3091235000000001E-2</v>
      </c>
      <c r="I146" s="20">
        <v>5.3091235000000001E-2</v>
      </c>
      <c r="K146">
        <f t="shared" si="4"/>
        <v>3.7826733444046301E-3</v>
      </c>
      <c r="L146">
        <f t="shared" si="5"/>
        <v>1.5927371975801421E-4</v>
      </c>
    </row>
    <row r="147" spans="1:12" ht="15" customHeight="1" x14ac:dyDescent="0.3">
      <c r="A147" s="22">
        <v>45870</v>
      </c>
      <c r="B147" s="23">
        <v>5.28865477777073E-2</v>
      </c>
      <c r="C147" s="23">
        <v>5.2895779445757997E-2</v>
      </c>
      <c r="D147" s="23">
        <v>5.2891164999999997E-2</v>
      </c>
      <c r="E147" s="24">
        <v>-2.1980700000000201E-4</v>
      </c>
      <c r="F147" s="24">
        <v>-0.413863636312294</v>
      </c>
      <c r="G147" s="24">
        <v>8.1373075164077697</v>
      </c>
      <c r="H147" s="23">
        <v>5.2891164999999997E-2</v>
      </c>
      <c r="I147" s="23">
        <v>5.2891164999999997E-2</v>
      </c>
      <c r="K147">
        <f t="shared" si="4"/>
        <v>-4.1386363631229495E-3</v>
      </c>
      <c r="L147">
        <f t="shared" si="5"/>
        <v>1.7454083400689945E-4</v>
      </c>
    </row>
    <row r="148" spans="1:12" ht="15" customHeight="1" x14ac:dyDescent="0.3">
      <c r="A148" s="19">
        <v>45869</v>
      </c>
      <c r="B148" s="20">
        <v>5.3105898472143302E-2</v>
      </c>
      <c r="C148" s="20">
        <v>5.3116053264778203E-2</v>
      </c>
      <c r="D148" s="20">
        <v>5.3110971999999999E-2</v>
      </c>
      <c r="E148" s="21">
        <v>-5.7890999999997403E-5</v>
      </c>
      <c r="F148" s="21">
        <v>-0.108881395488935</v>
      </c>
      <c r="G148" s="21">
        <v>8.5867084164117493</v>
      </c>
      <c r="H148" s="20">
        <v>5.3110971999999999E-2</v>
      </c>
      <c r="I148" s="20">
        <v>5.3110971999999999E-2</v>
      </c>
      <c r="K148">
        <f t="shared" si="4"/>
        <v>-1.0888139548893561E-3</v>
      </c>
      <c r="L148">
        <f t="shared" si="5"/>
        <v>1.9119952530525123E-4</v>
      </c>
    </row>
    <row r="149" spans="1:12" ht="15" customHeight="1" x14ac:dyDescent="0.3">
      <c r="A149" s="22">
        <v>45868</v>
      </c>
      <c r="B149" s="23">
        <v>5.3164624259018099E-2</v>
      </c>
      <c r="C149" s="23">
        <v>5.3173105043468998E-2</v>
      </c>
      <c r="D149" s="23">
        <v>5.3168862999999997E-2</v>
      </c>
      <c r="E149" s="24">
        <v>4.9426999999997702E-5</v>
      </c>
      <c r="F149" s="24">
        <v>9.3048804207929103E-2</v>
      </c>
      <c r="G149" s="24">
        <v>8.7050680114297894</v>
      </c>
      <c r="H149" s="23">
        <v>5.3168862999999997E-2</v>
      </c>
      <c r="I149" s="23">
        <v>5.3168862999999997E-2</v>
      </c>
      <c r="K149">
        <f t="shared" si="4"/>
        <v>9.3048804207929159E-4</v>
      </c>
      <c r="L149">
        <f t="shared" si="5"/>
        <v>1.5950659789166984E-4</v>
      </c>
    </row>
    <row r="150" spans="1:12" ht="15" customHeight="1" x14ac:dyDescent="0.3">
      <c r="A150" s="19">
        <v>45867</v>
      </c>
      <c r="B150" s="20">
        <v>5.3114642644684303E-2</v>
      </c>
      <c r="C150" s="20">
        <v>5.3124236339102598E-2</v>
      </c>
      <c r="D150" s="20">
        <v>5.3119435999999999E-2</v>
      </c>
      <c r="E150" s="21">
        <v>-3.92983999999999E-4</v>
      </c>
      <c r="F150" s="21">
        <v>-0.73437904695769995</v>
      </c>
      <c r="G150" s="21">
        <v>8.6040132757548804</v>
      </c>
      <c r="H150" s="20">
        <v>5.3119435999999999E-2</v>
      </c>
      <c r="I150" s="20">
        <v>5.3119435999999999E-2</v>
      </c>
      <c r="K150">
        <f t="shared" si="4"/>
        <v>-7.3437904695770051E-3</v>
      </c>
      <c r="L150">
        <f t="shared" si="5"/>
        <v>1.8060610467128988E-4</v>
      </c>
    </row>
    <row r="151" spans="1:12" ht="15" customHeight="1" x14ac:dyDescent="0.3">
      <c r="A151" s="22">
        <v>45866</v>
      </c>
      <c r="B151" s="23">
        <v>5.3507983391121998E-2</v>
      </c>
      <c r="C151" s="23">
        <v>5.3516860486896398E-2</v>
      </c>
      <c r="D151" s="23">
        <v>5.3512419999999998E-2</v>
      </c>
      <c r="E151" s="24">
        <v>-3.5963300000000498E-4</v>
      </c>
      <c r="F151" s="24">
        <v>-0.66756876705628099</v>
      </c>
      <c r="G151" s="24">
        <v>9.4074788764280299</v>
      </c>
      <c r="H151" s="23">
        <v>5.3512419999999998E-2</v>
      </c>
      <c r="I151" s="23">
        <v>5.3512419999999998E-2</v>
      </c>
      <c r="K151">
        <f t="shared" si="4"/>
        <v>-6.6756876705628132E-3</v>
      </c>
      <c r="L151">
        <f t="shared" si="5"/>
        <v>1.6588851287980833E-4</v>
      </c>
    </row>
    <row r="152" spans="1:12" ht="15" customHeight="1" x14ac:dyDescent="0.3">
      <c r="A152" s="19">
        <v>45863</v>
      </c>
      <c r="B152" s="20">
        <v>5.38677009265245E-2</v>
      </c>
      <c r="C152" s="20">
        <v>5.3876407521146502E-2</v>
      </c>
      <c r="D152" s="20">
        <v>5.3872053000000003E-2</v>
      </c>
      <c r="E152" s="21"/>
      <c r="F152" s="21"/>
      <c r="G152" s="21">
        <v>10.1427575248383</v>
      </c>
      <c r="H152" s="20">
        <v>5.3872053000000003E-2</v>
      </c>
      <c r="I152" s="20">
        <v>5.3872053000000003E-2</v>
      </c>
      <c r="K152">
        <f t="shared" si="4"/>
        <v>0</v>
      </c>
      <c r="L152">
        <f t="shared" si="5"/>
        <v>1.6161616528706689E-4</v>
      </c>
    </row>
    <row r="153" spans="1:12" ht="15" customHeight="1" x14ac:dyDescent="0.3">
      <c r="A153" s="22">
        <v>45862</v>
      </c>
      <c r="B153" s="23">
        <v>5.38677009265245E-2</v>
      </c>
      <c r="C153" s="23">
        <v>5.3876407521146502E-2</v>
      </c>
      <c r="D153" s="23">
        <v>5.3872053000000003E-2</v>
      </c>
      <c r="E153" s="24">
        <v>1.3894600000000001E-4</v>
      </c>
      <c r="F153" s="24">
        <v>0.25858545644865599</v>
      </c>
      <c r="G153" s="24">
        <v>10.1427575248383</v>
      </c>
      <c r="H153" s="23">
        <v>5.3872053000000003E-2</v>
      </c>
      <c r="I153" s="23">
        <v>5.3872053000000003E-2</v>
      </c>
      <c r="K153">
        <f t="shared" si="4"/>
        <v>2.5858545644865671E-3</v>
      </c>
      <c r="L153">
        <f t="shared" si="5"/>
        <v>1.6161616528706689E-4</v>
      </c>
    </row>
    <row r="154" spans="1:12" ht="15" customHeight="1" x14ac:dyDescent="0.3">
      <c r="A154" s="19">
        <v>45861</v>
      </c>
      <c r="B154" s="20">
        <v>5.37287771330325E-2</v>
      </c>
      <c r="C154" s="20">
        <v>5.37374388736633E-2</v>
      </c>
      <c r="D154" s="20">
        <v>5.3733107000000002E-2</v>
      </c>
      <c r="E154" s="21">
        <v>3.3181000000000101E-5</v>
      </c>
      <c r="F154" s="21">
        <v>6.1789656842359202E-2</v>
      </c>
      <c r="G154" s="21">
        <v>9.8586789584053101</v>
      </c>
      <c r="H154" s="20">
        <v>5.3733107000000002E-2</v>
      </c>
      <c r="I154" s="20">
        <v>5.3733107000000002E-2</v>
      </c>
      <c r="K154">
        <f t="shared" si="4"/>
        <v>6.1789656842359264E-4</v>
      </c>
      <c r="L154">
        <f t="shared" si="5"/>
        <v>1.6119932597234382E-4</v>
      </c>
    </row>
    <row r="155" spans="1:12" ht="15" customHeight="1" x14ac:dyDescent="0.3">
      <c r="A155" s="22">
        <v>45860</v>
      </c>
      <c r="B155" s="23">
        <v>5.3695599645609E-2</v>
      </c>
      <c r="C155" s="23">
        <v>5.3704250691442197E-2</v>
      </c>
      <c r="D155" s="23">
        <v>5.3699926000000002E-2</v>
      </c>
      <c r="E155" s="24">
        <v>1.07922000000003E-4</v>
      </c>
      <c r="F155" s="24">
        <v>0.20137705617429</v>
      </c>
      <c r="G155" s="24">
        <v>9.7908395753873396</v>
      </c>
      <c r="H155" s="23">
        <v>5.3699926000000002E-2</v>
      </c>
      <c r="I155" s="23">
        <v>5.3699926000000002E-2</v>
      </c>
      <c r="K155">
        <f t="shared" si="4"/>
        <v>2.0137705617429003E-3</v>
      </c>
      <c r="L155">
        <f t="shared" si="5"/>
        <v>1.6109977196610584E-4</v>
      </c>
    </row>
    <row r="156" spans="1:12" ht="15" customHeight="1" x14ac:dyDescent="0.3">
      <c r="A156" s="19">
        <v>45859</v>
      </c>
      <c r="B156" s="20">
        <v>5.3587696264937597E-2</v>
      </c>
      <c r="C156" s="20">
        <v>5.3596312573694897E-2</v>
      </c>
      <c r="D156" s="20">
        <v>5.3592003999999999E-2</v>
      </c>
      <c r="E156" s="21">
        <v>1.47506999999998E-4</v>
      </c>
      <c r="F156" s="21">
        <v>0.27600035229071701</v>
      </c>
      <c r="G156" s="21">
        <v>9.5701903516127</v>
      </c>
      <c r="H156" s="20">
        <v>5.3592003999999999E-2</v>
      </c>
      <c r="I156" s="20">
        <v>5.3592003999999999E-2</v>
      </c>
      <c r="K156">
        <f t="shared" si="4"/>
        <v>2.7600035229071729E-3</v>
      </c>
      <c r="L156">
        <f t="shared" si="5"/>
        <v>1.607760134758249E-4</v>
      </c>
    </row>
    <row r="157" spans="1:12" ht="15" customHeight="1" x14ac:dyDescent="0.3">
      <c r="A157" s="22">
        <v>45856</v>
      </c>
      <c r="B157" s="23">
        <v>5.3440213760854997E-2</v>
      </c>
      <c r="C157" s="23">
        <v>5.34487827039739E-2</v>
      </c>
      <c r="D157" s="23">
        <v>5.3444497000000001E-2</v>
      </c>
      <c r="E157" s="24">
        <v>1.56637000000001E-4</v>
      </c>
      <c r="F157" s="24">
        <v>0.29394499985551098</v>
      </c>
      <c r="G157" s="24">
        <v>9.2686086069144604</v>
      </c>
      <c r="H157" s="23">
        <v>5.3444497000000001E-2</v>
      </c>
      <c r="I157" s="23">
        <v>5.3444497000000001E-2</v>
      </c>
      <c r="K157">
        <f t="shared" si="4"/>
        <v>2.9394499985551104E-3</v>
      </c>
      <c r="L157">
        <f t="shared" si="5"/>
        <v>1.6033349736461892E-4</v>
      </c>
    </row>
    <row r="158" spans="1:12" ht="15" customHeight="1" x14ac:dyDescent="0.3">
      <c r="A158" s="19">
        <v>45855</v>
      </c>
      <c r="B158" s="20">
        <v>5.3282750242436498E-2</v>
      </c>
      <c r="C158" s="20">
        <v>5.3292972788608103E-2</v>
      </c>
      <c r="D158" s="20">
        <v>5.3287859999999999E-2</v>
      </c>
      <c r="E158" s="21">
        <v>-5.5432000000000997E-5</v>
      </c>
      <c r="F158" s="21">
        <v>-0.10391559636027101</v>
      </c>
      <c r="G158" s="21">
        <v>8.9483603492433001</v>
      </c>
      <c r="H158" s="20">
        <v>5.3287859999999999E-2</v>
      </c>
      <c r="I158" s="20">
        <v>5.3287859999999999E-2</v>
      </c>
      <c r="K158">
        <f t="shared" si="4"/>
        <v>-1.0391559636027115E-3</v>
      </c>
      <c r="L158">
        <f t="shared" si="5"/>
        <v>1.918363051472732E-4</v>
      </c>
    </row>
    <row r="159" spans="1:12" ht="15" customHeight="1" x14ac:dyDescent="0.3">
      <c r="A159" s="22">
        <v>45854</v>
      </c>
      <c r="B159" s="23">
        <v>5.33370313675081E-2</v>
      </c>
      <c r="C159" s="23">
        <v>5.3349551597018798E-2</v>
      </c>
      <c r="D159" s="23">
        <v>5.3343292E-2</v>
      </c>
      <c r="E159" s="24">
        <v>4.9752000000000102E-5</v>
      </c>
      <c r="F159" s="24">
        <v>9.3354654241406501E-2</v>
      </c>
      <c r="G159" s="24">
        <v>9.0616924573609801</v>
      </c>
      <c r="H159" s="23">
        <v>5.3343292E-2</v>
      </c>
      <c r="I159" s="23">
        <v>5.3343292E-2</v>
      </c>
      <c r="K159">
        <f t="shared" si="4"/>
        <v>9.3354654241406543E-4</v>
      </c>
      <c r="L159">
        <f t="shared" si="5"/>
        <v>2.3471047701175145E-4</v>
      </c>
    </row>
    <row r="160" spans="1:12" ht="15" customHeight="1" x14ac:dyDescent="0.3">
      <c r="A160" s="19">
        <v>45853</v>
      </c>
      <c r="B160" s="20">
        <v>5.3289280861154802E-2</v>
      </c>
      <c r="C160" s="20">
        <v>5.32978014656895E-2</v>
      </c>
      <c r="D160" s="20">
        <v>5.329354E-2</v>
      </c>
      <c r="E160" s="21">
        <v>-2.6999999999999199E-5</v>
      </c>
      <c r="F160" s="21">
        <v>-5.0637146585530403E-2</v>
      </c>
      <c r="G160" s="21">
        <v>8.9599732510709202</v>
      </c>
      <c r="H160" s="20">
        <v>5.329354E-2</v>
      </c>
      <c r="I160" s="20">
        <v>5.329354E-2</v>
      </c>
      <c r="K160">
        <f t="shared" si="4"/>
        <v>-5.0637146585530424E-4</v>
      </c>
      <c r="L160">
        <f t="shared" si="5"/>
        <v>1.598806259576311E-4</v>
      </c>
    </row>
    <row r="161" spans="1:12" ht="15" customHeight="1" x14ac:dyDescent="0.3">
      <c r="A161" s="22">
        <v>45852</v>
      </c>
      <c r="B161" s="23">
        <v>5.3316272126252902E-2</v>
      </c>
      <c r="C161" s="23">
        <v>5.3324801365114902E-2</v>
      </c>
      <c r="D161" s="23">
        <v>5.332054E-2</v>
      </c>
      <c r="E161" s="24">
        <v>-1.5825600000000199E-4</v>
      </c>
      <c r="F161" s="24">
        <v>-0.29592289250491799</v>
      </c>
      <c r="G161" s="24">
        <v>9.0151754252514795</v>
      </c>
      <c r="H161" s="23">
        <v>5.332054E-2</v>
      </c>
      <c r="I161" s="23">
        <v>5.332054E-2</v>
      </c>
      <c r="K161">
        <f t="shared" si="4"/>
        <v>-2.9592289250491843E-3</v>
      </c>
      <c r="L161">
        <f t="shared" si="5"/>
        <v>1.5996159945116459E-4</v>
      </c>
    </row>
    <row r="162" spans="1:12" ht="15" customHeight="1" x14ac:dyDescent="0.3">
      <c r="A162" s="19">
        <v>45849</v>
      </c>
      <c r="B162" s="20">
        <v>5.34745060292506E-2</v>
      </c>
      <c r="C162" s="20">
        <v>5.34830859740607E-2</v>
      </c>
      <c r="D162" s="20">
        <v>5.3478796000000002E-2</v>
      </c>
      <c r="E162" s="21">
        <v>-6.4424000000000398E-5</v>
      </c>
      <c r="F162" s="21">
        <v>-0.12032148981701001</v>
      </c>
      <c r="G162" s="21">
        <v>9.3387337688485097</v>
      </c>
      <c r="H162" s="20">
        <v>5.3478796000000002E-2</v>
      </c>
      <c r="I162" s="20">
        <v>5.3478796000000002E-2</v>
      </c>
      <c r="K162">
        <f t="shared" si="4"/>
        <v>-1.2032148981701019E-3</v>
      </c>
      <c r="L162">
        <f t="shared" si="5"/>
        <v>1.6043638697662202E-4</v>
      </c>
    </row>
    <row r="163" spans="1:12" ht="15" customHeight="1" x14ac:dyDescent="0.3">
      <c r="A163" s="22">
        <v>45848</v>
      </c>
      <c r="B163" s="23">
        <v>5.3538636156782497E-2</v>
      </c>
      <c r="C163" s="23">
        <v>5.3547810162303401E-2</v>
      </c>
      <c r="D163" s="23">
        <v>5.3543220000000002E-2</v>
      </c>
      <c r="E163" s="24">
        <v>-3.2230199999999599E-4</v>
      </c>
      <c r="F163" s="24">
        <v>-0.59834563563683196</v>
      </c>
      <c r="G163" s="24">
        <v>9.4704502454932804</v>
      </c>
      <c r="H163" s="23">
        <v>5.3543220000000002E-2</v>
      </c>
      <c r="I163" s="23">
        <v>5.3543220000000002E-2</v>
      </c>
      <c r="K163">
        <f t="shared" si="4"/>
        <v>-5.9834563563683218E-3</v>
      </c>
      <c r="L163">
        <f t="shared" si="5"/>
        <v>1.7133832296421209E-4</v>
      </c>
    </row>
    <row r="164" spans="1:12" ht="15" customHeight="1" x14ac:dyDescent="0.3">
      <c r="A164" s="19">
        <v>45847</v>
      </c>
      <c r="B164" s="20">
        <v>5.3860737676663203E-2</v>
      </c>
      <c r="C164" s="20">
        <v>5.3870312609424098E-2</v>
      </c>
      <c r="D164" s="20">
        <v>5.3865521999999999E-2</v>
      </c>
      <c r="E164" s="21">
        <v>4.3030799999999698E-4</v>
      </c>
      <c r="F164" s="21">
        <v>0.80528918626581103</v>
      </c>
      <c r="G164" s="21">
        <v>10.1294047322615</v>
      </c>
      <c r="H164" s="20">
        <v>5.3865521999999999E-2</v>
      </c>
      <c r="I164" s="20">
        <v>5.3865521999999999E-2</v>
      </c>
      <c r="K164">
        <f t="shared" si="4"/>
        <v>8.0528918626581181E-3</v>
      </c>
      <c r="L164">
        <f t="shared" si="5"/>
        <v>1.7775624194070941E-4</v>
      </c>
    </row>
    <row r="165" spans="1:12" ht="15" customHeight="1" x14ac:dyDescent="0.3">
      <c r="A165" s="22">
        <v>45846</v>
      </c>
      <c r="B165" s="23">
        <v>5.3430791096293E-2</v>
      </c>
      <c r="C165" s="23">
        <v>5.34396425956703E-2</v>
      </c>
      <c r="D165" s="23">
        <v>5.3435214000000002E-2</v>
      </c>
      <c r="E165" s="24">
        <v>-1.9703E-4</v>
      </c>
      <c r="F165" s="24">
        <v>-0.367372284478717</v>
      </c>
      <c r="G165" s="24">
        <v>9.2496292816211998</v>
      </c>
      <c r="H165" s="23">
        <v>5.3435214000000002E-2</v>
      </c>
      <c r="I165" s="23">
        <v>5.3435214000000002E-2</v>
      </c>
      <c r="K165">
        <f t="shared" si="4"/>
        <v>-3.673722844787175E-3</v>
      </c>
      <c r="L165">
        <f t="shared" si="5"/>
        <v>1.6564917990785288E-4</v>
      </c>
    </row>
    <row r="166" spans="1:12" ht="15" customHeight="1" x14ac:dyDescent="0.3">
      <c r="A166" s="19">
        <v>45845</v>
      </c>
      <c r="B166" s="20">
        <v>5.3627641831705701E-2</v>
      </c>
      <c r="C166" s="20">
        <v>5.3636846367981002E-2</v>
      </c>
      <c r="D166" s="20">
        <v>5.3632244000000003E-2</v>
      </c>
      <c r="E166" s="21">
        <v>-1.5825999999996501E-5</v>
      </c>
      <c r="F166" s="21">
        <v>-2.94996632684063E-2</v>
      </c>
      <c r="G166" s="21">
        <v>9.6524620363914497</v>
      </c>
      <c r="H166" s="20">
        <v>5.3632244000000003E-2</v>
      </c>
      <c r="I166" s="20">
        <v>5.3632244000000003E-2</v>
      </c>
      <c r="K166">
        <f t="shared" si="4"/>
        <v>-2.9499663268406362E-4</v>
      </c>
      <c r="L166">
        <f t="shared" si="5"/>
        <v>1.7162318017684868E-4</v>
      </c>
    </row>
    <row r="167" spans="1:12" ht="15" customHeight="1" x14ac:dyDescent="0.3">
      <c r="A167" s="22">
        <v>45842</v>
      </c>
      <c r="B167" s="23">
        <v>5.3642888562263298E-2</v>
      </c>
      <c r="C167" s="23">
        <v>5.3653249777338999E-2</v>
      </c>
      <c r="D167" s="23">
        <v>5.3648069999999999E-2</v>
      </c>
      <c r="E167" s="24">
        <v>1.01983999999999E-4</v>
      </c>
      <c r="F167" s="24">
        <v>0.19046023270496901</v>
      </c>
      <c r="G167" s="24">
        <v>9.6848186885611298</v>
      </c>
      <c r="H167" s="23">
        <v>5.3648069999999999E-2</v>
      </c>
      <c r="I167" s="23">
        <v>5.3648069999999999E-2</v>
      </c>
      <c r="K167">
        <f t="shared" si="4"/>
        <v>1.9046023270496981E-3</v>
      </c>
      <c r="L167">
        <f t="shared" si="5"/>
        <v>1.9313304422136161E-4</v>
      </c>
    </row>
    <row r="168" spans="1:12" ht="15" customHeight="1" x14ac:dyDescent="0.3">
      <c r="A168" s="19">
        <v>45841</v>
      </c>
      <c r="B168" s="20">
        <v>5.3541216028098401E-2</v>
      </c>
      <c r="C168" s="20">
        <v>5.3550964452869797E-2</v>
      </c>
      <c r="D168" s="20">
        <v>5.3546086E-2</v>
      </c>
      <c r="E168" s="21">
        <v>2.7171200000000002E-4</v>
      </c>
      <c r="F168" s="21">
        <v>0.51002382496318999</v>
      </c>
      <c r="G168" s="21">
        <v>9.4763098540562893</v>
      </c>
      <c r="H168" s="20">
        <v>5.3546086E-2</v>
      </c>
      <c r="I168" s="20">
        <v>5.3546086E-2</v>
      </c>
      <c r="K168">
        <f t="shared" si="4"/>
        <v>5.1002382496319054E-3</v>
      </c>
      <c r="L168">
        <f t="shared" si="5"/>
        <v>1.8205671972729316E-4</v>
      </c>
    </row>
    <row r="169" spans="1:12" ht="15" customHeight="1" x14ac:dyDescent="0.3">
      <c r="A169" s="22">
        <v>45840</v>
      </c>
      <c r="B169" s="23">
        <v>5.32699775733394E-2</v>
      </c>
      <c r="C169" s="23">
        <v>5.32787758668457E-2</v>
      </c>
      <c r="D169" s="23">
        <v>5.3274373999999999E-2</v>
      </c>
      <c r="E169" s="24">
        <v>-2.67415999999999E-4</v>
      </c>
      <c r="F169" s="24">
        <v>-0.49945285729147099</v>
      </c>
      <c r="G169" s="24">
        <v>8.9207878855025999</v>
      </c>
      <c r="H169" s="23">
        <v>5.3274373999999999E-2</v>
      </c>
      <c r="I169" s="23">
        <v>5.3274373999999999E-2</v>
      </c>
      <c r="K169">
        <f t="shared" si="4"/>
        <v>-4.9945285729147137E-3</v>
      </c>
      <c r="L169">
        <f t="shared" si="5"/>
        <v>1.6515057513955884E-4</v>
      </c>
    </row>
    <row r="170" spans="1:12" ht="15" customHeight="1" x14ac:dyDescent="0.3">
      <c r="A170" s="19">
        <v>45839</v>
      </c>
      <c r="B170" s="20">
        <v>5.3536343146544998E-2</v>
      </c>
      <c r="C170" s="20">
        <v>5.3547236694850397E-2</v>
      </c>
      <c r="D170" s="20">
        <v>5.3541789999999999E-2</v>
      </c>
      <c r="E170" s="21">
        <v>6.0933399999999599E-4</v>
      </c>
      <c r="F170" s="21">
        <v>1.1511538402827901</v>
      </c>
      <c r="G170" s="21">
        <v>9.4675265747866693</v>
      </c>
      <c r="H170" s="20">
        <v>5.3541789999999999E-2</v>
      </c>
      <c r="I170" s="20">
        <v>5.3541789999999999E-2</v>
      </c>
      <c r="K170">
        <f t="shared" si="4"/>
        <v>1.1511538402827926E-2</v>
      </c>
      <c r="L170">
        <f t="shared" si="5"/>
        <v>2.0345879929301979E-4</v>
      </c>
    </row>
    <row r="171" spans="1:12" ht="15" customHeight="1" x14ac:dyDescent="0.3">
      <c r="A171" s="22">
        <v>45838</v>
      </c>
      <c r="B171" s="23">
        <v>5.2928255749331798E-2</v>
      </c>
      <c r="C171" s="23">
        <v>5.2936661284772799E-2</v>
      </c>
      <c r="D171" s="23">
        <v>5.2932456000000003E-2</v>
      </c>
      <c r="E171" s="24">
        <v>-6.5927000000000306E-5</v>
      </c>
      <c r="F171" s="24">
        <v>-0.124394361239288</v>
      </c>
      <c r="G171" s="24">
        <v>8.2217279969296193</v>
      </c>
      <c r="H171" s="23">
        <v>5.2932456000000003E-2</v>
      </c>
      <c r="I171" s="23">
        <v>5.2932456000000003E-2</v>
      </c>
      <c r="K171">
        <f t="shared" si="4"/>
        <v>-1.2439436123928838E-3</v>
      </c>
      <c r="L171">
        <f t="shared" si="5"/>
        <v>1.587973821014481E-4</v>
      </c>
    </row>
    <row r="172" spans="1:12" ht="15" customHeight="1" x14ac:dyDescent="0.3">
      <c r="A172" s="19">
        <v>45835</v>
      </c>
      <c r="B172" s="20">
        <v>5.29941706412295E-2</v>
      </c>
      <c r="C172" s="20">
        <v>5.3002597127259202E-2</v>
      </c>
      <c r="D172" s="20">
        <v>5.2998383000000003E-2</v>
      </c>
      <c r="E172" s="21">
        <v>6.5227000000000993E-5</v>
      </c>
      <c r="F172" s="21">
        <v>0.12322522390313299</v>
      </c>
      <c r="G172" s="21">
        <v>8.3565173946037792</v>
      </c>
      <c r="H172" s="20">
        <v>5.2998383000000003E-2</v>
      </c>
      <c r="I172" s="20">
        <v>5.2998383000000003E-2</v>
      </c>
      <c r="K172">
        <f t="shared" si="4"/>
        <v>1.2322522390313395E-3</v>
      </c>
      <c r="L172">
        <f t="shared" si="5"/>
        <v>1.5899515329932751E-4</v>
      </c>
    </row>
    <row r="173" spans="1:12" ht="15" customHeight="1" x14ac:dyDescent="0.3">
      <c r="A173" s="22">
        <v>45834</v>
      </c>
      <c r="B173" s="23">
        <v>5.2928535890840199E-2</v>
      </c>
      <c r="C173" s="23">
        <v>5.2937782224551498E-2</v>
      </c>
      <c r="D173" s="23">
        <v>5.2933156000000002E-2</v>
      </c>
      <c r="E173" s="24">
        <v>8.0428999999999904E-5</v>
      </c>
      <c r="F173" s="24">
        <v>0.15217568622334299</v>
      </c>
      <c r="G173" s="24">
        <v>8.2231591644083792</v>
      </c>
      <c r="H173" s="23">
        <v>5.2933156000000002E-2</v>
      </c>
      <c r="I173" s="23">
        <v>5.2933156000000002E-2</v>
      </c>
      <c r="K173">
        <f t="shared" si="4"/>
        <v>1.5217568622334365E-3</v>
      </c>
      <c r="L173">
        <f t="shared" si="5"/>
        <v>1.7467943364833804E-4</v>
      </c>
    </row>
    <row r="174" spans="1:12" ht="15" customHeight="1" x14ac:dyDescent="0.3">
      <c r="A174" s="19">
        <v>45833</v>
      </c>
      <c r="B174" s="20">
        <v>5.2848256800249398E-2</v>
      </c>
      <c r="C174" s="20">
        <v>5.2857195714338598E-2</v>
      </c>
      <c r="D174" s="20">
        <v>5.2852727000000002E-2</v>
      </c>
      <c r="E174" s="21">
        <v>2.8339700000000402E-4</v>
      </c>
      <c r="F174" s="21">
        <v>0.53909190016307995</v>
      </c>
      <c r="G174" s="21">
        <v>8.0587200656243496</v>
      </c>
      <c r="H174" s="20">
        <v>5.2852727000000002E-2</v>
      </c>
      <c r="I174" s="20">
        <v>5.2852727000000002E-2</v>
      </c>
      <c r="K174">
        <f t="shared" si="4"/>
        <v>5.3909190016308006E-3</v>
      </c>
      <c r="L174">
        <f t="shared" si="5"/>
        <v>1.6912872043859094E-4</v>
      </c>
    </row>
    <row r="175" spans="1:12" ht="15" customHeight="1" x14ac:dyDescent="0.3">
      <c r="A175" s="22">
        <v>45832</v>
      </c>
      <c r="B175" s="23">
        <v>5.2565180824221999E-2</v>
      </c>
      <c r="C175" s="23">
        <v>5.2573471426318297E-2</v>
      </c>
      <c r="D175" s="23">
        <v>5.2569329999999997E-2</v>
      </c>
      <c r="E175" s="24">
        <v>4.5749999999999898E-4</v>
      </c>
      <c r="F175" s="24">
        <v>0.87791965854970799</v>
      </c>
      <c r="G175" s="24">
        <v>7.4793078228002798</v>
      </c>
      <c r="H175" s="23">
        <v>5.2569329999999997E-2</v>
      </c>
      <c r="I175" s="23">
        <v>5.2569329999999997E-2</v>
      </c>
      <c r="K175">
        <f t="shared" si="4"/>
        <v>8.7791965854970844E-3</v>
      </c>
      <c r="L175">
        <f t="shared" si="5"/>
        <v>1.5770796577201015E-4</v>
      </c>
    </row>
    <row r="176" spans="1:12" ht="15" customHeight="1" x14ac:dyDescent="0.3">
      <c r="A176" s="19">
        <v>45831</v>
      </c>
      <c r="B176" s="20">
        <v>5.21074873248537E-2</v>
      </c>
      <c r="C176" s="20">
        <v>5.2116177382621302E-2</v>
      </c>
      <c r="D176" s="20">
        <v>5.2111829999999998E-2</v>
      </c>
      <c r="E176" s="21">
        <v>-1.47060000000004E-4</v>
      </c>
      <c r="F176" s="21">
        <v>-0.28140666592804098</v>
      </c>
      <c r="G176" s="21">
        <v>6.5439376491851498</v>
      </c>
      <c r="H176" s="20">
        <v>5.2111829999999998E-2</v>
      </c>
      <c r="I176" s="20">
        <v>5.2111829999999998E-2</v>
      </c>
      <c r="K176">
        <f t="shared" si="4"/>
        <v>-2.814066659280412E-3</v>
      </c>
      <c r="L176">
        <f t="shared" si="5"/>
        <v>1.6675786990404866E-4</v>
      </c>
    </row>
    <row r="177" spans="1:12" ht="15" customHeight="1" x14ac:dyDescent="0.3">
      <c r="A177" s="22">
        <v>45828</v>
      </c>
      <c r="B177" s="23">
        <v>5.2254794377384103E-2</v>
      </c>
      <c r="C177" s="23">
        <v>5.2262987352357099E-2</v>
      </c>
      <c r="D177" s="23">
        <v>5.2258890000000002E-2</v>
      </c>
      <c r="E177" s="24">
        <v>-1.3690499999999899E-4</v>
      </c>
      <c r="F177" s="24">
        <v>-0.261290051997498</v>
      </c>
      <c r="G177" s="24">
        <v>6.8446054912219703</v>
      </c>
      <c r="H177" s="23">
        <v>5.2258890000000002E-2</v>
      </c>
      <c r="I177" s="23">
        <v>5.2258890000000002E-2</v>
      </c>
      <c r="K177">
        <f t="shared" si="4"/>
        <v>-2.6129005199749811E-3</v>
      </c>
      <c r="L177">
        <f t="shared" si="5"/>
        <v>1.5677667422701313E-4</v>
      </c>
    </row>
    <row r="178" spans="1:12" ht="15" customHeight="1" x14ac:dyDescent="0.3">
      <c r="A178" s="19">
        <v>45827</v>
      </c>
      <c r="B178" s="20">
        <v>5.2390033320061202E-2</v>
      </c>
      <c r="C178" s="20">
        <v>5.2401563662659703E-2</v>
      </c>
      <c r="D178" s="20">
        <v>5.2395795000000002E-2</v>
      </c>
      <c r="E178" s="21">
        <v>-1.74912999999998E-4</v>
      </c>
      <c r="F178" s="21">
        <v>-0.332719506079315</v>
      </c>
      <c r="G178" s="21">
        <v>7.1245111821919798</v>
      </c>
      <c r="H178" s="20">
        <v>5.2395795000000002E-2</v>
      </c>
      <c r="I178" s="20">
        <v>5.2395795000000002E-2</v>
      </c>
      <c r="K178">
        <f t="shared" si="4"/>
        <v>-3.3271950607931533E-3</v>
      </c>
      <c r="L178">
        <f t="shared" si="5"/>
        <v>2.2006236566313826E-4</v>
      </c>
    </row>
    <row r="179" spans="1:12" ht="15" customHeight="1" x14ac:dyDescent="0.3">
      <c r="A179" s="22">
        <v>45826</v>
      </c>
      <c r="B179" s="23">
        <v>5.2566562409651199E-2</v>
      </c>
      <c r="C179" s="23">
        <v>5.2574853447596E-2</v>
      </c>
      <c r="D179" s="23">
        <v>5.2570708000000001E-2</v>
      </c>
      <c r="E179" s="24">
        <v>-1.09391999999999E-4</v>
      </c>
      <c r="F179" s="24">
        <v>-0.20765336436339099</v>
      </c>
      <c r="G179" s="24">
        <v>7.4821251782084701</v>
      </c>
      <c r="H179" s="23">
        <v>5.2570708000000001E-2</v>
      </c>
      <c r="I179" s="23">
        <v>5.2570708000000001E-2</v>
      </c>
      <c r="K179">
        <f t="shared" si="4"/>
        <v>-2.0765336436339155E-3</v>
      </c>
      <c r="L179">
        <f t="shared" si="5"/>
        <v>1.5771212259117049E-4</v>
      </c>
    </row>
    <row r="180" spans="1:12" ht="15" customHeight="1" x14ac:dyDescent="0.3">
      <c r="A180" s="19">
        <v>45825</v>
      </c>
      <c r="B180" s="20">
        <v>5.2674550291026898E-2</v>
      </c>
      <c r="C180" s="20">
        <v>5.2685651062932999E-2</v>
      </c>
      <c r="D180" s="20">
        <v>5.2680100000000001E-2</v>
      </c>
      <c r="E180" s="21">
        <v>-2.8740699999999598E-4</v>
      </c>
      <c r="F180" s="21">
        <v>-0.542610019384137</v>
      </c>
      <c r="G180" s="21">
        <v>7.7057798536884796</v>
      </c>
      <c r="H180" s="20">
        <v>5.2680100000000001E-2</v>
      </c>
      <c r="I180" s="20">
        <v>5.2680100000000001E-2</v>
      </c>
      <c r="K180">
        <f t="shared" si="4"/>
        <v>-5.4261001938413767E-3</v>
      </c>
      <c r="L180">
        <f t="shared" si="5"/>
        <v>2.1072040307633312E-4</v>
      </c>
    </row>
    <row r="181" spans="1:12" ht="15" customHeight="1" x14ac:dyDescent="0.3">
      <c r="A181" s="22">
        <v>45824</v>
      </c>
      <c r="B181" s="23">
        <v>5.2963296435570101E-2</v>
      </c>
      <c r="C181" s="23">
        <v>5.2971713105201802E-2</v>
      </c>
      <c r="D181" s="23">
        <v>5.2967506999999997E-2</v>
      </c>
      <c r="E181" s="24">
        <v>2.2071899999999401E-4</v>
      </c>
      <c r="F181" s="24">
        <v>0.41845012439429802</v>
      </c>
      <c r="G181" s="24">
        <v>8.2933906416408298</v>
      </c>
      <c r="H181" s="23">
        <v>5.2967506999999997E-2</v>
      </c>
      <c r="I181" s="23">
        <v>5.2967506999999997E-2</v>
      </c>
      <c r="K181">
        <f t="shared" si="4"/>
        <v>4.1845012439429841E-3</v>
      </c>
      <c r="L181">
        <f t="shared" si="5"/>
        <v>1.5890250661979347E-4</v>
      </c>
    </row>
    <row r="182" spans="1:12" ht="15" customHeight="1" x14ac:dyDescent="0.3">
      <c r="A182" s="19">
        <v>45821</v>
      </c>
      <c r="B182" s="20">
        <v>5.2742337856867799E-2</v>
      </c>
      <c r="C182" s="20">
        <v>5.2751240972943897E-2</v>
      </c>
      <c r="D182" s="20">
        <v>5.2746788000000003E-2</v>
      </c>
      <c r="E182" s="21">
        <v>-1.1152199999999501E-4</v>
      </c>
      <c r="F182" s="21">
        <v>-0.21098290883684301</v>
      </c>
      <c r="G182" s="21">
        <v>7.8421251348645402</v>
      </c>
      <c r="H182" s="20">
        <v>5.2746788000000003E-2</v>
      </c>
      <c r="I182" s="20">
        <v>5.2746788000000003E-2</v>
      </c>
      <c r="K182">
        <f t="shared" si="4"/>
        <v>-2.1098290883684312E-3</v>
      </c>
      <c r="L182">
        <f t="shared" si="5"/>
        <v>1.6878972945419402E-4</v>
      </c>
    </row>
    <row r="183" spans="1:12" ht="15" customHeight="1" x14ac:dyDescent="0.3">
      <c r="A183" s="22">
        <v>45820</v>
      </c>
      <c r="B183" s="23">
        <v>5.2853843267213201E-2</v>
      </c>
      <c r="C183" s="23">
        <v>5.28627840713859E-2</v>
      </c>
      <c r="D183" s="23">
        <v>5.2858309999999999E-2</v>
      </c>
      <c r="E183" s="24">
        <v>5.7207999999996E-5</v>
      </c>
      <c r="F183" s="24">
        <v>0.108346223531463</v>
      </c>
      <c r="G183" s="24">
        <v>8.0701346485298995</v>
      </c>
      <c r="H183" s="23">
        <v>5.2858309999999999E-2</v>
      </c>
      <c r="I183" s="23">
        <v>5.2858309999999999E-2</v>
      </c>
      <c r="K183">
        <f t="shared" si="4"/>
        <v>1.0834622353146361E-3</v>
      </c>
      <c r="L183">
        <f t="shared" si="5"/>
        <v>1.6914661427313134E-4</v>
      </c>
    </row>
    <row r="184" spans="1:12" ht="15" customHeight="1" x14ac:dyDescent="0.3">
      <c r="A184" s="19">
        <v>45819</v>
      </c>
      <c r="B184" s="20">
        <v>5.2796916660067E-2</v>
      </c>
      <c r="C184" s="20">
        <v>5.2805280528052799E-2</v>
      </c>
      <c r="D184" s="20">
        <v>5.2801102000000003E-2</v>
      </c>
      <c r="E184" s="21">
        <v>3.07662E-4</v>
      </c>
      <c r="F184" s="21">
        <v>0.586096091244936</v>
      </c>
      <c r="G184" s="21">
        <v>7.9531714640661404</v>
      </c>
      <c r="H184" s="20">
        <v>5.2801102000000003E-2</v>
      </c>
      <c r="I184" s="20">
        <v>5.2801102000000003E-2</v>
      </c>
      <c r="K184">
        <f t="shared" si="4"/>
        <v>5.8609609124493645E-3</v>
      </c>
      <c r="L184">
        <f t="shared" si="5"/>
        <v>1.5840328457157265E-4</v>
      </c>
    </row>
    <row r="185" spans="1:12" ht="15" customHeight="1" x14ac:dyDescent="0.3">
      <c r="A185" s="22">
        <v>45818</v>
      </c>
      <c r="B185" s="23">
        <v>5.2488478778907999E-2</v>
      </c>
      <c r="C185" s="23">
        <v>5.2498398798836603E-2</v>
      </c>
      <c r="D185" s="23">
        <v>5.2493440000000002E-2</v>
      </c>
      <c r="E185" s="24">
        <v>7.2920000000003998E-5</v>
      </c>
      <c r="F185" s="24">
        <v>0.13910583107532501</v>
      </c>
      <c r="G185" s="24">
        <v>7.3241488228535099</v>
      </c>
      <c r="H185" s="23">
        <v>5.2493440000000002E-2</v>
      </c>
      <c r="I185" s="23">
        <v>5.2493440000000002E-2</v>
      </c>
      <c r="K185">
        <f t="shared" si="4"/>
        <v>1.391058310753257E-3</v>
      </c>
      <c r="L185">
        <f t="shared" si="5"/>
        <v>1.8897637359266173E-4</v>
      </c>
    </row>
    <row r="186" spans="1:12" ht="15" customHeight="1" x14ac:dyDescent="0.3">
      <c r="A186" s="19">
        <v>45817</v>
      </c>
      <c r="B186" s="20">
        <v>5.2415846358671199E-2</v>
      </c>
      <c r="C186" s="20">
        <v>5.2425189254933197E-2</v>
      </c>
      <c r="D186" s="20">
        <v>5.2420519999999998E-2</v>
      </c>
      <c r="E186" s="21">
        <v>2.8831199999999798E-4</v>
      </c>
      <c r="F186" s="21">
        <v>0.55304007073706496</v>
      </c>
      <c r="G186" s="21">
        <v>7.1750620620665799</v>
      </c>
      <c r="H186" s="20">
        <v>5.2420519999999998E-2</v>
      </c>
      <c r="I186" s="20">
        <v>5.2420519999999998E-2</v>
      </c>
      <c r="K186">
        <f t="shared" si="4"/>
        <v>5.5304007073706529E-3</v>
      </c>
      <c r="L186">
        <f t="shared" si="5"/>
        <v>1.7822975166972087E-4</v>
      </c>
    </row>
    <row r="187" spans="1:12" ht="15" customHeight="1" x14ac:dyDescent="0.3">
      <c r="A187" s="22">
        <v>45814</v>
      </c>
      <c r="B187" s="23">
        <v>5.2127044031714101E-2</v>
      </c>
      <c r="C187" s="23">
        <v>5.2137371546550897E-2</v>
      </c>
      <c r="D187" s="23">
        <v>5.2132207999999999E-2</v>
      </c>
      <c r="E187" s="24">
        <v>-4.2158999999999899E-5</v>
      </c>
      <c r="F187" s="24">
        <v>-8.0804046937454896E-2</v>
      </c>
      <c r="G187" s="24">
        <v>6.5856009790166903</v>
      </c>
      <c r="H187" s="23">
        <v>5.2132207999999999E-2</v>
      </c>
      <c r="I187" s="23">
        <v>5.2132207999999999E-2</v>
      </c>
      <c r="K187">
        <f t="shared" si="4"/>
        <v>-8.080404693745491E-4</v>
      </c>
      <c r="L187">
        <f t="shared" si="5"/>
        <v>1.9810238685450787E-4</v>
      </c>
    </row>
    <row r="188" spans="1:12" ht="15" customHeight="1" x14ac:dyDescent="0.3">
      <c r="A188" s="19">
        <v>45813</v>
      </c>
      <c r="B188" s="20">
        <v>5.2169739464321102E-2</v>
      </c>
      <c r="C188" s="20">
        <v>5.2178994823843701E-2</v>
      </c>
      <c r="D188" s="20">
        <v>5.2174366999999999E-2</v>
      </c>
      <c r="E188" s="21">
        <v>5.4389000000001901E-5</v>
      </c>
      <c r="F188" s="21">
        <v>0.1043534592436</v>
      </c>
      <c r="G188" s="21">
        <v>6.6717961072121899</v>
      </c>
      <c r="H188" s="20">
        <v>5.2174366999999999E-2</v>
      </c>
      <c r="I188" s="20">
        <v>5.2174366999999999E-2</v>
      </c>
      <c r="K188">
        <f t="shared" si="4"/>
        <v>1.0435345924360018E-3</v>
      </c>
      <c r="L188">
        <f t="shared" si="5"/>
        <v>1.773928473842121E-4</v>
      </c>
    </row>
    <row r="189" spans="1:12" ht="15" customHeight="1" x14ac:dyDescent="0.3">
      <c r="A189" s="22">
        <v>45812</v>
      </c>
      <c r="B189" s="23">
        <v>5.2115362566577401E-2</v>
      </c>
      <c r="C189" s="23">
        <v>5.2124598640590498E-2</v>
      </c>
      <c r="D189" s="23">
        <v>5.2119977999999997E-2</v>
      </c>
      <c r="E189" s="24">
        <v>1.5167799999999499E-4</v>
      </c>
      <c r="F189" s="24">
        <v>0.291866387778694</v>
      </c>
      <c r="G189" s="24">
        <v>6.5605964386378597</v>
      </c>
      <c r="H189" s="23">
        <v>5.2119977999999997E-2</v>
      </c>
      <c r="I189" s="23">
        <v>5.2119977999999997E-2</v>
      </c>
      <c r="K189">
        <f t="shared" si="4"/>
        <v>2.9186638777869423E-3</v>
      </c>
      <c r="L189">
        <f t="shared" si="5"/>
        <v>1.772079415132717E-4</v>
      </c>
    </row>
    <row r="190" spans="1:12" ht="15" customHeight="1" x14ac:dyDescent="0.3">
      <c r="A190" s="19">
        <v>45811</v>
      </c>
      <c r="B190" s="20">
        <v>5.1963168506162803E-2</v>
      </c>
      <c r="C190" s="20">
        <v>5.19734311819798E-2</v>
      </c>
      <c r="D190" s="20">
        <v>5.1968300000000002E-2</v>
      </c>
      <c r="E190" s="21">
        <v>-9.46959999999982E-5</v>
      </c>
      <c r="F190" s="21">
        <v>-0.18188734278756699</v>
      </c>
      <c r="G190" s="21">
        <v>6.2504869802912104</v>
      </c>
      <c r="H190" s="20">
        <v>5.1968300000000002E-2</v>
      </c>
      <c r="I190" s="20">
        <v>5.1968300000000002E-2</v>
      </c>
      <c r="K190">
        <f t="shared" si="4"/>
        <v>-1.818873427875678E-3</v>
      </c>
      <c r="L190">
        <f t="shared" si="5"/>
        <v>1.974795368906926E-4</v>
      </c>
    </row>
    <row r="191" spans="1:12" ht="15" customHeight="1" x14ac:dyDescent="0.3">
      <c r="A191" s="22">
        <v>45810</v>
      </c>
      <c r="B191" s="23">
        <v>5.2057846679230003E-2</v>
      </c>
      <c r="C191" s="23">
        <v>5.2068146790519403E-2</v>
      </c>
      <c r="D191" s="23">
        <v>5.2062996E-2</v>
      </c>
      <c r="E191" s="24">
        <v>5.3254199999999696E-4</v>
      </c>
      <c r="F191" s="24">
        <v>1.0334510151996701</v>
      </c>
      <c r="G191" s="24">
        <v>6.4440953168172399</v>
      </c>
      <c r="H191" s="23">
        <v>5.2062996E-2</v>
      </c>
      <c r="I191" s="23">
        <v>5.2062996E-2</v>
      </c>
      <c r="K191">
        <f t="shared" si="4"/>
        <v>1.0334510151996712E-2</v>
      </c>
      <c r="L191">
        <f t="shared" si="5"/>
        <v>1.9783938844777807E-4</v>
      </c>
    </row>
    <row r="192" spans="1:12" ht="15" customHeight="1" x14ac:dyDescent="0.3">
      <c r="A192" s="19">
        <v>45807</v>
      </c>
      <c r="B192" s="20">
        <v>5.1526206228487803E-2</v>
      </c>
      <c r="C192" s="20">
        <v>5.1534703469316198E-2</v>
      </c>
      <c r="D192" s="20">
        <v>5.1530454000000003E-2</v>
      </c>
      <c r="E192" s="21">
        <v>-1.3310899999999901E-4</v>
      </c>
      <c r="F192" s="21">
        <v>-0.25764579961315898</v>
      </c>
      <c r="G192" s="21">
        <v>5.3552999004295998</v>
      </c>
      <c r="H192" s="20">
        <v>5.1530454000000003E-2</v>
      </c>
      <c r="I192" s="20">
        <v>5.1530454000000003E-2</v>
      </c>
      <c r="K192">
        <f t="shared" si="4"/>
        <v>-2.5764579961315981E-3</v>
      </c>
      <c r="L192">
        <f t="shared" si="5"/>
        <v>1.6489745711138293E-4</v>
      </c>
    </row>
    <row r="193" spans="1:12" ht="15" customHeight="1" x14ac:dyDescent="0.3">
      <c r="A193" s="22">
        <v>45806</v>
      </c>
      <c r="B193" s="23">
        <v>5.1658229155904498E-2</v>
      </c>
      <c r="C193" s="23">
        <v>5.1668905652578298E-2</v>
      </c>
      <c r="D193" s="23">
        <v>5.1663563000000003E-2</v>
      </c>
      <c r="E193" s="24">
        <v>8.3939000000004998E-5</v>
      </c>
      <c r="F193" s="24">
        <v>0.162736742710656</v>
      </c>
      <c r="G193" s="24">
        <v>5.6274445746148096</v>
      </c>
      <c r="H193" s="23">
        <v>5.1663563000000003E-2</v>
      </c>
      <c r="I193" s="23">
        <v>5.1663563000000003E-2</v>
      </c>
      <c r="K193">
        <f t="shared" si="4"/>
        <v>1.627367427106563E-3</v>
      </c>
      <c r="L193">
        <f t="shared" si="5"/>
        <v>2.0665428502870465E-4</v>
      </c>
    </row>
    <row r="194" spans="1:12" ht="15" customHeight="1" x14ac:dyDescent="0.3">
      <c r="A194" s="19">
        <v>45805</v>
      </c>
      <c r="B194" s="20">
        <v>5.1575635669709602E-2</v>
      </c>
      <c r="C194" s="20">
        <v>5.1583617043227101E-2</v>
      </c>
      <c r="D194" s="20">
        <v>5.1579623999999998E-2</v>
      </c>
      <c r="E194" s="21">
        <v>-5.0370800000000505E-4</v>
      </c>
      <c r="F194" s="21">
        <v>-0.96711938475826298</v>
      </c>
      <c r="G194" s="21">
        <v>5.4558291931873004</v>
      </c>
      <c r="H194" s="20">
        <v>5.1579623999999998E-2</v>
      </c>
      <c r="I194" s="20">
        <v>5.1579623999999998E-2</v>
      </c>
      <c r="K194">
        <f t="shared" si="4"/>
        <v>-9.6711938475826376E-3</v>
      </c>
      <c r="L194">
        <f t="shared" si="5"/>
        <v>1.5473888521364243E-4</v>
      </c>
    </row>
    <row r="195" spans="1:12" ht="15" customHeight="1" x14ac:dyDescent="0.3">
      <c r="A195" s="22">
        <v>45804</v>
      </c>
      <c r="B195" s="23">
        <v>5.2079264640783302E-2</v>
      </c>
      <c r="C195" s="23">
        <v>5.2087402661666303E-2</v>
      </c>
      <c r="D195" s="23">
        <v>5.2083332000000003E-2</v>
      </c>
      <c r="E195" s="24">
        <v>-1.49239999999994E-5</v>
      </c>
      <c r="F195" s="24">
        <v>-2.8645872522103901E-2</v>
      </c>
      <c r="G195" s="24">
        <v>6.4856727766000599</v>
      </c>
      <c r="H195" s="23">
        <v>5.2083332000000003E-2</v>
      </c>
      <c r="I195" s="23">
        <v>5.2083332000000003E-2</v>
      </c>
      <c r="K195">
        <f t="shared" si="4"/>
        <v>-2.8645872522103932E-4</v>
      </c>
      <c r="L195">
        <f t="shared" si="5"/>
        <v>1.5625000495362841E-4</v>
      </c>
    </row>
    <row r="196" spans="1:12" ht="15" customHeight="1" x14ac:dyDescent="0.3">
      <c r="A196" s="19">
        <v>45803</v>
      </c>
      <c r="B196" s="20">
        <v>5.2093643533616001E-2</v>
      </c>
      <c r="C196" s="20">
        <v>5.2102871910299699E-2</v>
      </c>
      <c r="D196" s="20">
        <v>5.2098256000000003E-2</v>
      </c>
      <c r="E196" s="21">
        <v>2.9149300000000302E-4</v>
      </c>
      <c r="F196" s="21">
        <v>0.56265433916418095</v>
      </c>
      <c r="G196" s="21">
        <v>6.5161852672471197</v>
      </c>
      <c r="H196" s="20">
        <v>5.2098256000000003E-2</v>
      </c>
      <c r="I196" s="20">
        <v>5.2098256000000003E-2</v>
      </c>
      <c r="K196">
        <f t="shared" si="4"/>
        <v>5.6265433916418139E-3</v>
      </c>
      <c r="L196">
        <f t="shared" si="5"/>
        <v>1.7713408072043979E-4</v>
      </c>
    </row>
    <row r="197" spans="1:12" ht="15" customHeight="1" x14ac:dyDescent="0.3">
      <c r="A197" s="22">
        <v>45800</v>
      </c>
      <c r="B197" s="23">
        <v>5.1802735184417699E-2</v>
      </c>
      <c r="C197" s="23">
        <v>5.1810787005854599E-2</v>
      </c>
      <c r="D197" s="23">
        <v>5.1806762999999999E-2</v>
      </c>
      <c r="E197" s="24">
        <v>1.53872999999998E-4</v>
      </c>
      <c r="F197" s="24">
        <v>0.297898142775743</v>
      </c>
      <c r="G197" s="24">
        <v>5.9202205502687697</v>
      </c>
      <c r="H197" s="23">
        <v>5.1806762999999999E-2</v>
      </c>
      <c r="I197" s="23">
        <v>5.1806762999999999E-2</v>
      </c>
      <c r="K197">
        <f t="shared" ref="K197:K260" si="6">D197/D198-1</f>
        <v>2.9789814277574322E-3</v>
      </c>
      <c r="L197">
        <f t="shared" ref="L197:L260" si="7">(C197-B197)/D197</f>
        <v>1.5542027663260186E-4</v>
      </c>
    </row>
    <row r="198" spans="1:12" ht="15" customHeight="1" x14ac:dyDescent="0.3">
      <c r="A198" s="19">
        <v>45799</v>
      </c>
      <c r="B198" s="20">
        <v>5.1647557070550597E-2</v>
      </c>
      <c r="C198" s="20">
        <v>5.1658229155904498E-2</v>
      </c>
      <c r="D198" s="20">
        <v>5.165289E-2</v>
      </c>
      <c r="E198" s="21">
        <v>-5.4753999999997098E-5</v>
      </c>
      <c r="F198" s="21">
        <v>-0.105891500297317</v>
      </c>
      <c r="G198" s="21">
        <v>5.6056233596137304</v>
      </c>
      <c r="H198" s="20">
        <v>5.165289E-2</v>
      </c>
      <c r="I198" s="20">
        <v>5.165289E-2</v>
      </c>
      <c r="K198">
        <f t="shared" si="6"/>
        <v>-1.0589150029731709E-3</v>
      </c>
      <c r="L198">
        <f t="shared" si="7"/>
        <v>2.0661158269945389E-4</v>
      </c>
    </row>
    <row r="199" spans="1:12" ht="15" customHeight="1" x14ac:dyDescent="0.3">
      <c r="A199" s="22">
        <v>45798</v>
      </c>
      <c r="B199" s="23">
        <v>5.1703634765523997E-2</v>
      </c>
      <c r="C199" s="23">
        <v>5.1711655807218898E-2</v>
      </c>
      <c r="D199" s="23">
        <v>5.1707643999999997E-2</v>
      </c>
      <c r="E199" s="24">
        <v>-1.9726600000000101E-4</v>
      </c>
      <c r="F199" s="24">
        <v>-0.38005267709740798</v>
      </c>
      <c r="G199" s="24">
        <v>5.7175692798019702</v>
      </c>
      <c r="H199" s="23">
        <v>5.1707643999999997E-2</v>
      </c>
      <c r="I199" s="23">
        <v>5.1707643999999997E-2</v>
      </c>
      <c r="K199">
        <f t="shared" si="6"/>
        <v>-3.8005267709740886E-3</v>
      </c>
      <c r="L199">
        <f t="shared" si="7"/>
        <v>1.551229387844749E-4</v>
      </c>
    </row>
    <row r="200" spans="1:12" ht="15" customHeight="1" x14ac:dyDescent="0.3">
      <c r="A200" s="19">
        <v>45797</v>
      </c>
      <c r="B200" s="20">
        <v>5.1900599970935699E-2</v>
      </c>
      <c r="C200" s="20">
        <v>5.1909221154045802E-2</v>
      </c>
      <c r="D200" s="20">
        <v>5.1904909999999999E-2</v>
      </c>
      <c r="E200" s="21">
        <v>3.46559999999995E-4</v>
      </c>
      <c r="F200" s="21">
        <v>0.672170463174248</v>
      </c>
      <c r="G200" s="21">
        <v>6.1208845424650598</v>
      </c>
      <c r="H200" s="20">
        <v>5.1904909999999999E-2</v>
      </c>
      <c r="I200" s="20">
        <v>5.1904909999999999E-2</v>
      </c>
      <c r="K200">
        <f t="shared" si="6"/>
        <v>6.7217046317424867E-3</v>
      </c>
      <c r="L200">
        <f t="shared" si="7"/>
        <v>1.6609571445367678E-4</v>
      </c>
    </row>
    <row r="201" spans="1:12" ht="15" customHeight="1" x14ac:dyDescent="0.3">
      <c r="A201" s="22">
        <v>45796</v>
      </c>
      <c r="B201" s="23">
        <v>5.1553566733514501E-2</v>
      </c>
      <c r="C201" s="23">
        <v>5.1563136482466E-2</v>
      </c>
      <c r="D201" s="23">
        <v>5.1558350000000003E-2</v>
      </c>
      <c r="E201" s="24">
        <v>4.1530000000000001E-4</v>
      </c>
      <c r="F201" s="24">
        <v>0.81203604399815399</v>
      </c>
      <c r="G201" s="24">
        <v>5.4123339689829697</v>
      </c>
      <c r="H201" s="23">
        <v>5.1558350000000003E-2</v>
      </c>
      <c r="I201" s="23">
        <v>5.1558350000000003E-2</v>
      </c>
      <c r="K201">
        <f t="shared" si="6"/>
        <v>8.1203604399815443E-3</v>
      </c>
      <c r="L201">
        <f t="shared" si="7"/>
        <v>1.8561006997894579E-4</v>
      </c>
    </row>
    <row r="202" spans="1:12" ht="15" customHeight="1" x14ac:dyDescent="0.3">
      <c r="A202" s="19">
        <v>45793</v>
      </c>
      <c r="B202" s="20">
        <v>5.1138862467143303E-2</v>
      </c>
      <c r="C202" s="20">
        <v>5.11472324232536E-2</v>
      </c>
      <c r="D202" s="20">
        <v>5.1143050000000002E-2</v>
      </c>
      <c r="E202" s="21">
        <v>-2.18019999999999E-4</v>
      </c>
      <c r="F202" s="21">
        <v>-0.42448492603443999</v>
      </c>
      <c r="G202" s="21">
        <v>4.5632427490870899</v>
      </c>
      <c r="H202" s="20">
        <v>5.1143050000000002E-2</v>
      </c>
      <c r="I202" s="20">
        <v>5.1143050000000002E-2</v>
      </c>
      <c r="K202">
        <f t="shared" si="6"/>
        <v>-4.2448492603444077E-3</v>
      </c>
      <c r="L202">
        <f t="shared" si="7"/>
        <v>1.6365774255341103E-4</v>
      </c>
    </row>
    <row r="203" spans="1:12" ht="15" customHeight="1" x14ac:dyDescent="0.3">
      <c r="A203" s="22">
        <v>45792</v>
      </c>
      <c r="B203" s="23">
        <v>5.1356320422354398E-2</v>
      </c>
      <c r="C203" s="23">
        <v>5.13658170760522E-2</v>
      </c>
      <c r="D203" s="23">
        <v>5.1361070000000002E-2</v>
      </c>
      <c r="E203" s="24">
        <v>-2.9315299999999701E-4</v>
      </c>
      <c r="F203" s="24">
        <v>-0.56752958998144099</v>
      </c>
      <c r="G203" s="24">
        <v>5.0089900829702998</v>
      </c>
      <c r="H203" s="23">
        <v>5.1361070000000002E-2</v>
      </c>
      <c r="I203" s="23">
        <v>5.1361070000000002E-2</v>
      </c>
      <c r="K203">
        <f t="shared" si="6"/>
        <v>-5.6752958998144143E-3</v>
      </c>
      <c r="L203">
        <f t="shared" si="7"/>
        <v>1.8489984141299915E-4</v>
      </c>
    </row>
    <row r="204" spans="1:12" ht="15" customHeight="1" x14ac:dyDescent="0.3">
      <c r="A204" s="19">
        <v>45791</v>
      </c>
      <c r="B204" s="20">
        <v>5.1649691134846999E-2</v>
      </c>
      <c r="C204" s="20">
        <v>5.1658762875946597E-2</v>
      </c>
      <c r="D204" s="20">
        <v>5.1654222999999999E-2</v>
      </c>
      <c r="E204" s="21">
        <v>3.6822999999999701E-4</v>
      </c>
      <c r="F204" s="21">
        <v>0.71799331252102505</v>
      </c>
      <c r="G204" s="21">
        <v>5.6083487113982704</v>
      </c>
      <c r="H204" s="20">
        <v>5.1654222999999999E-2</v>
      </c>
      <c r="I204" s="20">
        <v>5.1654222999999999E-2</v>
      </c>
      <c r="K204">
        <f t="shared" si="6"/>
        <v>7.1799331252102583E-3</v>
      </c>
      <c r="L204">
        <f t="shared" si="7"/>
        <v>1.7562438408177665E-4</v>
      </c>
    </row>
    <row r="205" spans="1:12" ht="15" customHeight="1" x14ac:dyDescent="0.3">
      <c r="A205" s="22">
        <v>45790</v>
      </c>
      <c r="B205" s="23">
        <v>5.1281788298521501E-2</v>
      </c>
      <c r="C205" s="23">
        <v>5.1290205109530203E-2</v>
      </c>
      <c r="D205" s="23">
        <v>5.1285993000000002E-2</v>
      </c>
      <c r="E205" s="24">
        <v>3.7208899999999901E-4</v>
      </c>
      <c r="F205" s="24">
        <v>0.73082001333073499</v>
      </c>
      <c r="G205" s="24">
        <v>4.8554932818238496</v>
      </c>
      <c r="H205" s="23">
        <v>5.1285993000000002E-2</v>
      </c>
      <c r="I205" s="23">
        <v>5.1285993000000002E-2</v>
      </c>
      <c r="K205">
        <f t="shared" si="6"/>
        <v>7.3082001333073521E-3</v>
      </c>
      <c r="L205">
        <f t="shared" si="7"/>
        <v>1.6411520020099524E-4</v>
      </c>
    </row>
    <row r="206" spans="1:12" ht="15" customHeight="1" x14ac:dyDescent="0.3">
      <c r="A206" s="19">
        <v>45789</v>
      </c>
      <c r="B206" s="20">
        <v>5.09089798349531E-2</v>
      </c>
      <c r="C206" s="20">
        <v>5.0918830292630501E-2</v>
      </c>
      <c r="D206" s="20">
        <v>5.0913904000000003E-2</v>
      </c>
      <c r="E206" s="21">
        <v>-4.18159999999993E-4</v>
      </c>
      <c r="F206" s="21">
        <v>-0.81461754586761304</v>
      </c>
      <c r="G206" s="21">
        <v>4.09474803039154</v>
      </c>
      <c r="H206" s="20">
        <v>5.0913904000000003E-2</v>
      </c>
      <c r="I206" s="20">
        <v>5.0913904000000003E-2</v>
      </c>
      <c r="K206">
        <f t="shared" si="6"/>
        <v>-8.1461754586761304E-3</v>
      </c>
      <c r="L206">
        <f t="shared" si="7"/>
        <v>1.9347284147374887E-4</v>
      </c>
    </row>
    <row r="207" spans="1:12" ht="15" customHeight="1" x14ac:dyDescent="0.3">
      <c r="A207" s="22">
        <v>45786</v>
      </c>
      <c r="B207" s="23">
        <v>5.1326797721090202E-2</v>
      </c>
      <c r="C207" s="23">
        <v>5.1337337645669702E-2</v>
      </c>
      <c r="D207" s="23">
        <v>5.1332063999999997E-2</v>
      </c>
      <c r="E207" s="24">
        <v>1.7397399999999301E-4</v>
      </c>
      <c r="F207" s="24">
        <v>0.340071335735947</v>
      </c>
      <c r="G207" s="24">
        <v>4.9496865917006101</v>
      </c>
      <c r="H207" s="23">
        <v>5.1332063999999997E-2</v>
      </c>
      <c r="I207" s="23">
        <v>5.1332063999999997E-2</v>
      </c>
      <c r="K207">
        <f t="shared" si="6"/>
        <v>3.400713357359475E-3</v>
      </c>
      <c r="L207">
        <f t="shared" si="7"/>
        <v>2.053282833026186E-4</v>
      </c>
    </row>
    <row r="208" spans="1:12" ht="15" customHeight="1" x14ac:dyDescent="0.3">
      <c r="A208" s="19">
        <v>45785</v>
      </c>
      <c r="B208" s="20">
        <v>5.11532500217401E-2</v>
      </c>
      <c r="C208" s="20">
        <v>5.1162933477953899E-2</v>
      </c>
      <c r="D208" s="20">
        <v>5.1158090000000003E-2</v>
      </c>
      <c r="E208" s="21">
        <v>1.59797000000003E-4</v>
      </c>
      <c r="F208" s="21">
        <v>0.313337938585522</v>
      </c>
      <c r="G208" s="21">
        <v>4.5939924046306402</v>
      </c>
      <c r="H208" s="20">
        <v>5.1158090000000003E-2</v>
      </c>
      <c r="I208" s="20">
        <v>5.1158090000000003E-2</v>
      </c>
      <c r="K208">
        <f t="shared" si="6"/>
        <v>3.1333793858552283E-3</v>
      </c>
      <c r="L208">
        <f t="shared" si="7"/>
        <v>1.8928494425415979E-4</v>
      </c>
    </row>
    <row r="209" spans="1:12" ht="15" customHeight="1" x14ac:dyDescent="0.3">
      <c r="A209" s="22">
        <v>45784</v>
      </c>
      <c r="B209" s="23">
        <v>5.09943906170321E-2</v>
      </c>
      <c r="C209" s="23">
        <v>5.1002193094303101E-2</v>
      </c>
      <c r="D209" s="23">
        <v>5.0998293E-2</v>
      </c>
      <c r="E209" s="24">
        <v>2.9606800000000301E-4</v>
      </c>
      <c r="F209" s="24">
        <v>0.58393492593273799</v>
      </c>
      <c r="G209" s="24">
        <v>4.2672834480553803</v>
      </c>
      <c r="H209" s="23">
        <v>5.0998293E-2</v>
      </c>
      <c r="I209" s="23">
        <v>5.0998293E-2</v>
      </c>
      <c r="K209">
        <f t="shared" si="6"/>
        <v>5.8393492593273866E-3</v>
      </c>
      <c r="L209">
        <f t="shared" si="7"/>
        <v>1.5299487124013534E-4</v>
      </c>
    </row>
    <row r="210" spans="1:12" ht="15" customHeight="1" x14ac:dyDescent="0.3">
      <c r="A210" s="19">
        <v>45783</v>
      </c>
      <c r="B210" s="20">
        <v>5.06978559876703E-2</v>
      </c>
      <c r="C210" s="20">
        <v>5.0706596421128403E-2</v>
      </c>
      <c r="D210" s="20">
        <v>5.0702224999999997E-2</v>
      </c>
      <c r="E210" s="21">
        <v>-3.1298100000000303E-4</v>
      </c>
      <c r="F210" s="21">
        <v>-0.61350531447428303</v>
      </c>
      <c r="G210" s="21">
        <v>3.6619650293408701</v>
      </c>
      <c r="H210" s="20">
        <v>5.0702224999999997E-2</v>
      </c>
      <c r="I210" s="20">
        <v>5.0702224999999997E-2</v>
      </c>
      <c r="K210">
        <f t="shared" si="6"/>
        <v>-6.1350531447428303E-3</v>
      </c>
      <c r="L210">
        <f t="shared" si="7"/>
        <v>1.7238757190839025E-4</v>
      </c>
    </row>
    <row r="211" spans="1:12" ht="15" customHeight="1" x14ac:dyDescent="0.3">
      <c r="A211" s="22">
        <v>45782</v>
      </c>
      <c r="B211" s="23">
        <v>5.10102581629166E-2</v>
      </c>
      <c r="C211" s="23">
        <v>5.1020147856388497E-2</v>
      </c>
      <c r="D211" s="23">
        <v>5.1015206E-2</v>
      </c>
      <c r="E211" s="24">
        <v>6.7580999999997102E-5</v>
      </c>
      <c r="F211" s="24">
        <v>0.13264798898868699</v>
      </c>
      <c r="G211" s="24">
        <v>4.3018624988670799</v>
      </c>
      <c r="H211" s="23">
        <v>5.1015206E-2</v>
      </c>
      <c r="I211" s="23">
        <v>5.1015206E-2</v>
      </c>
      <c r="K211">
        <f t="shared" si="6"/>
        <v>1.3264798898868779E-3</v>
      </c>
      <c r="L211">
        <f t="shared" si="7"/>
        <v>1.938577582514711E-4</v>
      </c>
    </row>
    <row r="212" spans="1:12" ht="15" customHeight="1" x14ac:dyDescent="0.3">
      <c r="A212" s="19">
        <v>45779</v>
      </c>
      <c r="B212" s="20">
        <v>5.0942435048395303E-2</v>
      </c>
      <c r="C212" s="20">
        <v>5.0952817690818303E-2</v>
      </c>
      <c r="D212" s="20">
        <v>5.0947625000000003E-2</v>
      </c>
      <c r="E212" s="21">
        <v>-5.2614999999998899E-5</v>
      </c>
      <c r="F212" s="21">
        <v>-0.103166181178748</v>
      </c>
      <c r="G212" s="21">
        <v>4.1636914568931296</v>
      </c>
      <c r="H212" s="20">
        <v>5.0947625000000003E-2</v>
      </c>
      <c r="I212" s="20">
        <v>5.0947625000000003E-2</v>
      </c>
      <c r="K212">
        <f t="shared" si="6"/>
        <v>-1.0316618117874876E-3</v>
      </c>
      <c r="L212">
        <f t="shared" si="7"/>
        <v>2.0379050884118671E-4</v>
      </c>
    </row>
    <row r="213" spans="1:12" ht="15" customHeight="1" x14ac:dyDescent="0.3">
      <c r="A213" s="22">
        <v>45778</v>
      </c>
      <c r="B213" s="23">
        <v>5.09943906170321E-2</v>
      </c>
      <c r="C213" s="23">
        <v>5.1006095228379802E-2</v>
      </c>
      <c r="D213" s="23">
        <v>5.1000240000000002E-2</v>
      </c>
      <c r="E213" s="24">
        <v>-8.5324999999997195E-5</v>
      </c>
      <c r="F213" s="24">
        <v>-0.16702369837740999</v>
      </c>
      <c r="G213" s="24">
        <v>4.2712641381712899</v>
      </c>
      <c r="H213" s="23">
        <v>5.1000240000000002E-2</v>
      </c>
      <c r="I213" s="23">
        <v>5.1000240000000002E-2</v>
      </c>
      <c r="K213">
        <f t="shared" si="6"/>
        <v>-1.6702369837741093E-3</v>
      </c>
      <c r="L213">
        <f t="shared" si="7"/>
        <v>2.2950110328310018E-4</v>
      </c>
    </row>
    <row r="214" spans="1:12" ht="15" customHeight="1" x14ac:dyDescent="0.3">
      <c r="A214" s="19">
        <v>45777</v>
      </c>
      <c r="B214" s="20">
        <v>5.10800884707132E-2</v>
      </c>
      <c r="C214" s="20">
        <v>5.10910493590628E-2</v>
      </c>
      <c r="D214" s="20">
        <v>5.1085564999999999E-2</v>
      </c>
      <c r="E214" s="21">
        <v>1.02875000000002E-4</v>
      </c>
      <c r="F214" s="21">
        <v>0.20178417419716099</v>
      </c>
      <c r="G214" s="21">
        <v>4.44571323120672</v>
      </c>
      <c r="H214" s="20">
        <v>5.1085564999999999E-2</v>
      </c>
      <c r="I214" s="20">
        <v>5.1085564999999999E-2</v>
      </c>
      <c r="K214">
        <f t="shared" si="6"/>
        <v>2.0178417419716155E-3</v>
      </c>
      <c r="L214">
        <f t="shared" si="7"/>
        <v>2.1455940341659279E-4</v>
      </c>
    </row>
    <row r="215" spans="1:12" ht="15" customHeight="1" x14ac:dyDescent="0.3">
      <c r="A215" s="22">
        <v>45776</v>
      </c>
      <c r="B215" s="23">
        <v>5.0975414557558898E-2</v>
      </c>
      <c r="C215" s="23">
        <v>5.0989970272847303E-2</v>
      </c>
      <c r="D215" s="23">
        <v>5.0982689999999997E-2</v>
      </c>
      <c r="E215" s="24">
        <v>-8.0054000000002998E-5</v>
      </c>
      <c r="F215" s="24">
        <v>-0.156775750241711</v>
      </c>
      <c r="G215" s="24">
        <v>4.2353827249539204</v>
      </c>
      <c r="H215" s="23">
        <v>5.0982689999999997E-2</v>
      </c>
      <c r="I215" s="23">
        <v>5.0982689999999997E-2</v>
      </c>
      <c r="K215">
        <f t="shared" si="6"/>
        <v>-1.5677575024171109E-3</v>
      </c>
      <c r="L215">
        <f t="shared" si="7"/>
        <v>2.8550308523156242E-4</v>
      </c>
    </row>
    <row r="216" spans="1:12" ht="15" customHeight="1" x14ac:dyDescent="0.3">
      <c r="A216" s="19">
        <v>45775</v>
      </c>
      <c r="B216" s="20">
        <v>5.1058441492131901E-2</v>
      </c>
      <c r="C216" s="20">
        <v>5.1067045924594399E-2</v>
      </c>
      <c r="D216" s="20">
        <v>5.1062744E-2</v>
      </c>
      <c r="E216" s="21">
        <v>-6.4615999999996496E-5</v>
      </c>
      <c r="F216" s="21">
        <v>-0.12638243007265701</v>
      </c>
      <c r="G216" s="21">
        <v>4.3990551268743303</v>
      </c>
      <c r="H216" s="20">
        <v>5.1062744E-2</v>
      </c>
      <c r="I216" s="20">
        <v>5.1062744E-2</v>
      </c>
      <c r="K216">
        <f t="shared" si="6"/>
        <v>-1.2638243007265793E-3</v>
      </c>
      <c r="L216">
        <f t="shared" si="7"/>
        <v>1.6850705207888361E-4</v>
      </c>
    </row>
    <row r="217" spans="1:12" ht="15" customHeight="1" x14ac:dyDescent="0.3">
      <c r="A217" s="22">
        <v>45772</v>
      </c>
      <c r="B217" s="23">
        <v>5.1122392118972002E-2</v>
      </c>
      <c r="C217" s="23">
        <v>5.1132325344759699E-2</v>
      </c>
      <c r="D217" s="23">
        <v>5.1127359999999997E-2</v>
      </c>
      <c r="E217" s="24">
        <v>1.00441999999999E-4</v>
      </c>
      <c r="F217" s="24">
        <v>0.196841204479558</v>
      </c>
      <c r="G217" s="24">
        <v>4.5311641523132602</v>
      </c>
      <c r="H217" s="23">
        <v>5.1127359999999997E-2</v>
      </c>
      <c r="I217" s="23">
        <v>5.1127359999999997E-2</v>
      </c>
      <c r="K217">
        <f t="shared" si="6"/>
        <v>1.9684120447955866E-3</v>
      </c>
      <c r="L217">
        <f t="shared" si="7"/>
        <v>1.9428395652929724E-4</v>
      </c>
    </row>
    <row r="218" spans="1:12" ht="15" customHeight="1" x14ac:dyDescent="0.3">
      <c r="A218" s="19">
        <v>45771</v>
      </c>
      <c r="B218" s="20">
        <v>5.1021970060308001E-2</v>
      </c>
      <c r="C218" s="20">
        <v>5.1031864296066501E-2</v>
      </c>
      <c r="D218" s="20">
        <v>5.1026917999999997E-2</v>
      </c>
      <c r="E218" s="21">
        <v>7.0207999999995205E-5</v>
      </c>
      <c r="F218" s="21">
        <v>0.137779695745643</v>
      </c>
      <c r="G218" s="21">
        <v>4.3258079753116201</v>
      </c>
      <c r="H218" s="20">
        <v>5.1026917999999997E-2</v>
      </c>
      <c r="I218" s="20">
        <v>5.1026917999999997E-2</v>
      </c>
      <c r="K218">
        <f t="shared" si="6"/>
        <v>1.3777969574564342E-3</v>
      </c>
      <c r="L218">
        <f t="shared" si="7"/>
        <v>1.9390228033171441E-4</v>
      </c>
    </row>
    <row r="219" spans="1:12" ht="15" customHeight="1" x14ac:dyDescent="0.3">
      <c r="A219" s="22">
        <v>45770</v>
      </c>
      <c r="B219" s="23">
        <v>5.09497024537377E-2</v>
      </c>
      <c r="C219" s="23">
        <v>5.0963724021241698E-2</v>
      </c>
      <c r="D219" s="23">
        <v>5.0956710000000002E-2</v>
      </c>
      <c r="E219" s="24"/>
      <c r="F219" s="24"/>
      <c r="G219" s="24">
        <v>4.1822659662424098</v>
      </c>
      <c r="H219" s="23">
        <v>5.0956710000000002E-2</v>
      </c>
      <c r="I219" s="23">
        <v>5.0956710000000002E-2</v>
      </c>
      <c r="K219">
        <f t="shared" si="6"/>
        <v>0</v>
      </c>
      <c r="L219">
        <f t="shared" si="7"/>
        <v>2.7516626375600258E-4</v>
      </c>
    </row>
    <row r="220" spans="1:12" ht="15" customHeight="1" x14ac:dyDescent="0.3">
      <c r="A220" s="19">
        <v>45769</v>
      </c>
      <c r="B220" s="20">
        <v>5.0951260024660397E-2</v>
      </c>
      <c r="C220" s="20">
        <v>5.0962165688193103E-2</v>
      </c>
      <c r="D220" s="20">
        <v>5.0956710000000002E-2</v>
      </c>
      <c r="E220" s="21">
        <v>-2.5979999999994799E-6</v>
      </c>
      <c r="F220" s="21">
        <v>-5.0981853992215697E-3</v>
      </c>
      <c r="G220" s="21">
        <v>4.1822659662424098</v>
      </c>
      <c r="H220" s="20">
        <v>5.0956710000000002E-2</v>
      </c>
      <c r="I220" s="20">
        <v>5.0956710000000002E-2</v>
      </c>
      <c r="K220">
        <f t="shared" si="6"/>
        <v>-5.0981853992215775E-5</v>
      </c>
      <c r="L220">
        <f t="shared" si="7"/>
        <v>2.1401820354388068E-4</v>
      </c>
    </row>
    <row r="221" spans="1:12" ht="15" customHeight="1" x14ac:dyDescent="0.3">
      <c r="A221" s="22">
        <v>45768</v>
      </c>
      <c r="B221" s="23">
        <v>5.0954894727187498E-2</v>
      </c>
      <c r="C221" s="23">
        <v>5.0963724021241698E-2</v>
      </c>
      <c r="D221" s="23">
        <v>5.0959308000000002E-2</v>
      </c>
      <c r="E221" s="24">
        <v>5.5740099999999904E-4</v>
      </c>
      <c r="F221" s="24">
        <v>1.1059125203338001</v>
      </c>
      <c r="G221" s="24">
        <v>4.1875776421135598</v>
      </c>
      <c r="H221" s="23">
        <v>5.0959308000000002E-2</v>
      </c>
      <c r="I221" s="23">
        <v>5.0959308000000002E-2</v>
      </c>
      <c r="K221">
        <f t="shared" si="6"/>
        <v>1.1059125203338072E-2</v>
      </c>
      <c r="L221">
        <f t="shared" si="7"/>
        <v>1.7326165524460263E-4</v>
      </c>
    </row>
    <row r="222" spans="1:12" ht="15" customHeight="1" x14ac:dyDescent="0.3">
      <c r="A222" s="19">
        <v>45765</v>
      </c>
      <c r="B222" s="20">
        <v>5.0396367429835699E-2</v>
      </c>
      <c r="C222" s="20">
        <v>5.0407545001335798E-2</v>
      </c>
      <c r="D222" s="20">
        <v>5.0401907000000003E-2</v>
      </c>
      <c r="E222" s="21">
        <v>-4.8999999995025199E-8</v>
      </c>
      <c r="F222" s="21">
        <v>-9.7218449213176602E-5</v>
      </c>
      <c r="G222" s="21">
        <v>3.04795737950537</v>
      </c>
      <c r="H222" s="20">
        <v>5.0401907000000003E-2</v>
      </c>
      <c r="I222" s="20">
        <v>5.0401907000000003E-2</v>
      </c>
      <c r="K222">
        <f t="shared" si="6"/>
        <v>-9.7218449213176683E-7</v>
      </c>
      <c r="L222">
        <f t="shared" si="7"/>
        <v>2.217688211697694E-4</v>
      </c>
    </row>
    <row r="223" spans="1:12" ht="15" customHeight="1" x14ac:dyDescent="0.3">
      <c r="A223" s="22">
        <v>45764</v>
      </c>
      <c r="B223" s="23">
        <v>5.0396367429835699E-2</v>
      </c>
      <c r="C223" s="23">
        <v>5.0407545001335798E-2</v>
      </c>
      <c r="D223" s="23">
        <v>5.0401955999999998E-2</v>
      </c>
      <c r="E223" s="24">
        <v>3.7194099999999998E-4</v>
      </c>
      <c r="F223" s="24">
        <v>0.74343571553996401</v>
      </c>
      <c r="G223" s="24">
        <v>3.0480575612288701</v>
      </c>
      <c r="H223" s="23">
        <v>5.0401955999999998E-2</v>
      </c>
      <c r="I223" s="23">
        <v>5.0401955999999998E-2</v>
      </c>
      <c r="K223">
        <f t="shared" si="6"/>
        <v>7.4343571553996401E-3</v>
      </c>
      <c r="L223">
        <f t="shared" si="7"/>
        <v>2.2176860556956062E-4</v>
      </c>
    </row>
    <row r="224" spans="1:12" ht="15" customHeight="1" x14ac:dyDescent="0.3">
      <c r="A224" s="19">
        <v>45763</v>
      </c>
      <c r="B224" s="20">
        <v>5.0022760355962002E-2</v>
      </c>
      <c r="C224" s="20">
        <v>5.00372777719401E-2</v>
      </c>
      <c r="D224" s="20">
        <v>5.0030014999999997E-2</v>
      </c>
      <c r="E224" s="21">
        <v>-5.1365000000004601E-5</v>
      </c>
      <c r="F224" s="21">
        <v>-0.102563068349958</v>
      </c>
      <c r="G224" s="21">
        <v>2.2876148994920702</v>
      </c>
      <c r="H224" s="20">
        <v>5.0030014999999997E-2</v>
      </c>
      <c r="I224" s="20">
        <v>5.0030014999999997E-2</v>
      </c>
      <c r="K224">
        <f t="shared" si="6"/>
        <v>-1.0256306834995899E-3</v>
      </c>
      <c r="L224">
        <f t="shared" si="7"/>
        <v>2.901741280328979E-4</v>
      </c>
    </row>
    <row r="225" spans="1:12" ht="15" customHeight="1" x14ac:dyDescent="0.3">
      <c r="A225" s="22">
        <v>45762</v>
      </c>
      <c r="B225" s="23">
        <v>5.0077118762894897E-2</v>
      </c>
      <c r="C225" s="23">
        <v>5.0085646455438802E-2</v>
      </c>
      <c r="D225" s="23">
        <v>5.0081380000000002E-2</v>
      </c>
      <c r="E225" s="24">
        <v>1.93626000000002E-4</v>
      </c>
      <c r="F225" s="24">
        <v>0.38812330577160298</v>
      </c>
      <c r="G225" s="24">
        <v>2.39263192455818</v>
      </c>
      <c r="H225" s="23">
        <v>5.0081380000000002E-2</v>
      </c>
      <c r="I225" s="23">
        <v>5.0081380000000002E-2</v>
      </c>
      <c r="K225">
        <f t="shared" si="6"/>
        <v>3.8812330577160381E-3</v>
      </c>
      <c r="L225">
        <f t="shared" si="7"/>
        <v>1.7027670850734136E-4</v>
      </c>
    </row>
    <row r="226" spans="1:12" ht="15" customHeight="1" x14ac:dyDescent="0.3">
      <c r="A226" s="19">
        <v>45761</v>
      </c>
      <c r="B226" s="20">
        <v>4.98817801809711E-2</v>
      </c>
      <c r="C226" s="20">
        <v>4.9893726362847099E-2</v>
      </c>
      <c r="D226" s="20">
        <v>4.9887753999999999E-2</v>
      </c>
      <c r="E226" s="21">
        <v>8.5492799999999699E-4</v>
      </c>
      <c r="F226" s="21">
        <v>1.74358296215682</v>
      </c>
      <c r="G226" s="21">
        <v>1.9967587327846099</v>
      </c>
      <c r="H226" s="20">
        <v>4.9887753999999999E-2</v>
      </c>
      <c r="I226" s="20">
        <v>4.9887753999999999E-2</v>
      </c>
      <c r="K226">
        <f t="shared" si="6"/>
        <v>1.74358296215682E-2</v>
      </c>
      <c r="L226">
        <f t="shared" si="7"/>
        <v>2.3946120877679043E-4</v>
      </c>
    </row>
    <row r="227" spans="1:12" ht="15" customHeight="1" x14ac:dyDescent="0.3">
      <c r="A227" s="22">
        <v>45758</v>
      </c>
      <c r="B227" s="23">
        <v>4.9025615884299503E-2</v>
      </c>
      <c r="C227" s="23">
        <v>4.9040041193634601E-2</v>
      </c>
      <c r="D227" s="23">
        <v>4.9032826000000002E-2</v>
      </c>
      <c r="E227" s="24">
        <v>1.7547999999999799E-4</v>
      </c>
      <c r="F227" s="24">
        <v>0.35916809726013099</v>
      </c>
      <c r="G227" s="24">
        <v>0.248837089531209</v>
      </c>
      <c r="H227" s="23">
        <v>4.9032826000000002E-2</v>
      </c>
      <c r="I227" s="23">
        <v>4.9032826000000002E-2</v>
      </c>
      <c r="K227">
        <f t="shared" si="6"/>
        <v>3.5916809726013188E-3</v>
      </c>
      <c r="L227">
        <f t="shared" si="7"/>
        <v>2.9419698010262898E-4</v>
      </c>
    </row>
    <row r="228" spans="1:12" ht="15" customHeight="1" x14ac:dyDescent="0.3">
      <c r="A228" s="19">
        <v>45757</v>
      </c>
      <c r="B228" s="20">
        <v>4.8849592105905899E-2</v>
      </c>
      <c r="C228" s="20">
        <v>4.8865107869725602E-2</v>
      </c>
      <c r="D228" s="20">
        <v>4.8857346000000003E-2</v>
      </c>
      <c r="E228" s="21">
        <v>1.2246889999999999E-3</v>
      </c>
      <c r="F228" s="21">
        <v>2.5711120838797599</v>
      </c>
      <c r="G228" s="21">
        <v>-0.109936152143068</v>
      </c>
      <c r="H228" s="20">
        <v>4.8857346000000003E-2</v>
      </c>
      <c r="I228" s="20">
        <v>4.8857346000000003E-2</v>
      </c>
      <c r="K228">
        <f t="shared" si="6"/>
        <v>2.5711120838797674E-2</v>
      </c>
      <c r="L228">
        <f t="shared" si="7"/>
        <v>3.1757279283452277E-4</v>
      </c>
    </row>
    <row r="229" spans="1:12" ht="15" customHeight="1" x14ac:dyDescent="0.3">
      <c r="A229" s="22">
        <v>45756</v>
      </c>
      <c r="B229" s="23">
        <v>4.7626758618062003E-2</v>
      </c>
      <c r="C229" s="23">
        <v>4.7638556742284899E-2</v>
      </c>
      <c r="D229" s="23">
        <v>4.7632657000000002E-2</v>
      </c>
      <c r="E229" s="24">
        <v>-8.58073E-4</v>
      </c>
      <c r="F229" s="24">
        <v>-1.7695609037026201</v>
      </c>
      <c r="G229" s="24">
        <v>-2.6138433926994402</v>
      </c>
      <c r="H229" s="23">
        <v>4.7632657000000002E-2</v>
      </c>
      <c r="I229" s="23">
        <v>4.7632657000000002E-2</v>
      </c>
      <c r="K229">
        <f t="shared" si="6"/>
        <v>-1.7695609037026272E-2</v>
      </c>
      <c r="L229">
        <f t="shared" si="7"/>
        <v>2.4768981967342743E-4</v>
      </c>
    </row>
    <row r="230" spans="1:12" ht="15" customHeight="1" x14ac:dyDescent="0.3">
      <c r="A230" s="19">
        <v>45755</v>
      </c>
      <c r="B230" s="20">
        <v>4.8482027712327E-2</v>
      </c>
      <c r="C230" s="20">
        <v>4.8499427706753098E-2</v>
      </c>
      <c r="D230" s="20">
        <v>4.8490730000000003E-2</v>
      </c>
      <c r="E230" s="21">
        <v>2.7030000000004202E-5</v>
      </c>
      <c r="F230" s="21">
        <v>5.5773702791994603E-2</v>
      </c>
      <c r="G230" s="21">
        <v>-0.85949171841647798</v>
      </c>
      <c r="H230" s="20">
        <v>4.8490730000000003E-2</v>
      </c>
      <c r="I230" s="20">
        <v>4.8490730000000003E-2</v>
      </c>
      <c r="K230">
        <f t="shared" si="6"/>
        <v>5.5773702791994673E-4</v>
      </c>
      <c r="L230">
        <f t="shared" si="7"/>
        <v>3.588313565520316E-4</v>
      </c>
    </row>
    <row r="231" spans="1:12" ht="15" customHeight="1" x14ac:dyDescent="0.3">
      <c r="A231" s="22">
        <v>45754</v>
      </c>
      <c r="B231" s="23">
        <v>4.8454777156479903E-2</v>
      </c>
      <c r="C231" s="23">
        <v>4.84726275072467E-2</v>
      </c>
      <c r="D231" s="23">
        <v>4.8463699999999998E-2</v>
      </c>
      <c r="E231" s="24">
        <v>-2.9776000000000103E-4</v>
      </c>
      <c r="F231" s="24">
        <v>-0.61064619476118798</v>
      </c>
      <c r="G231" s="24">
        <v>-0.91475522834614098</v>
      </c>
      <c r="H231" s="23">
        <v>4.8463699999999998E-2</v>
      </c>
      <c r="I231" s="23">
        <v>4.8463699999999998E-2</v>
      </c>
      <c r="K231">
        <f t="shared" si="6"/>
        <v>-6.1064619476118853E-3</v>
      </c>
      <c r="L231">
        <f t="shared" si="7"/>
        <v>3.6832414295229963E-4</v>
      </c>
    </row>
    <row r="232" spans="1:12" ht="15" customHeight="1" x14ac:dyDescent="0.3">
      <c r="A232" s="19">
        <v>45751</v>
      </c>
      <c r="B232" s="20">
        <v>4.87550400522654E-2</v>
      </c>
      <c r="C232" s="20">
        <v>4.8767879523830403E-2</v>
      </c>
      <c r="D232" s="20">
        <v>4.876146E-2</v>
      </c>
      <c r="E232" s="21">
        <v>-1.50811E-3</v>
      </c>
      <c r="F232" s="21">
        <v>-3.00004555439802</v>
      </c>
      <c r="G232" s="21">
        <v>-0.30597747338298797</v>
      </c>
      <c r="H232" s="20">
        <v>4.876146E-2</v>
      </c>
      <c r="I232" s="20">
        <v>4.876146E-2</v>
      </c>
      <c r="K232">
        <f t="shared" si="6"/>
        <v>-3.0000455543980231E-2</v>
      </c>
      <c r="L232">
        <f t="shared" si="7"/>
        <v>2.6331187714647846E-4</v>
      </c>
    </row>
    <row r="233" spans="1:12" ht="15" customHeight="1" x14ac:dyDescent="0.3">
      <c r="A233" s="22">
        <v>45750</v>
      </c>
      <c r="B233" s="23">
        <v>5.0262622201000202E-2</v>
      </c>
      <c r="C233" s="23">
        <v>5.0276520864756202E-2</v>
      </c>
      <c r="D233" s="23">
        <v>5.026957E-2</v>
      </c>
      <c r="E233" s="24">
        <v>1.3195500000000001E-3</v>
      </c>
      <c r="F233" s="24">
        <v>2.6957088066562598</v>
      </c>
      <c r="G233" s="24">
        <v>2.7773910785967102</v>
      </c>
      <c r="H233" s="23">
        <v>5.026957E-2</v>
      </c>
      <c r="I233" s="23">
        <v>5.026957E-2</v>
      </c>
      <c r="K233">
        <f t="shared" si="6"/>
        <v>2.6957088066562607E-2</v>
      </c>
      <c r="L233">
        <f t="shared" si="7"/>
        <v>2.7648264657922976E-4</v>
      </c>
    </row>
    <row r="234" spans="1:12" ht="15" customHeight="1" x14ac:dyDescent="0.3">
      <c r="A234" s="19">
        <v>45749</v>
      </c>
      <c r="B234" s="20">
        <v>4.8944032498837602E-2</v>
      </c>
      <c r="C234" s="20">
        <v>4.8956013022299502E-2</v>
      </c>
      <c r="D234" s="20">
        <v>4.8950019999999997E-2</v>
      </c>
      <c r="E234" s="21">
        <v>-7.0790000000001103E-5</v>
      </c>
      <c r="F234" s="21">
        <v>-0.14440805853677099</v>
      </c>
      <c r="G234" s="21">
        <v>7.9538154894315399E-2</v>
      </c>
      <c r="H234" s="20">
        <v>4.8950019999999997E-2</v>
      </c>
      <c r="I234" s="20">
        <v>4.8950019999999997E-2</v>
      </c>
      <c r="K234">
        <f t="shared" si="6"/>
        <v>-1.444080585367713E-3</v>
      </c>
      <c r="L234">
        <f t="shared" si="7"/>
        <v>2.4475012394071626E-4</v>
      </c>
    </row>
    <row r="235" spans="1:12" ht="15" customHeight="1" x14ac:dyDescent="0.3">
      <c r="A235" s="22">
        <v>45748</v>
      </c>
      <c r="B235" s="23">
        <v>4.9016003725216299E-2</v>
      </c>
      <c r="C235" s="23">
        <v>4.9025615884299503E-2</v>
      </c>
      <c r="D235" s="23">
        <v>4.9020809999999998E-2</v>
      </c>
      <c r="E235" s="24">
        <v>1.40772999999996E-4</v>
      </c>
      <c r="F235" s="24">
        <v>0.28799691784193698</v>
      </c>
      <c r="G235" s="24">
        <v>0.22427007749587999</v>
      </c>
      <c r="H235" s="23">
        <v>4.9020809999999998E-2</v>
      </c>
      <c r="I235" s="23">
        <v>4.9020809999999998E-2</v>
      </c>
      <c r="K235">
        <f t="shared" si="6"/>
        <v>2.8799691784193726E-3</v>
      </c>
      <c r="L235">
        <f t="shared" si="7"/>
        <v>1.9608323655206971E-4</v>
      </c>
    </row>
    <row r="236" spans="1:12" ht="15" customHeight="1" x14ac:dyDescent="0.3">
      <c r="A236" s="19">
        <v>45747</v>
      </c>
      <c r="B236" s="20">
        <v>4.8875377562291697E-2</v>
      </c>
      <c r="C236" s="20">
        <v>4.8884695668327101E-2</v>
      </c>
      <c r="D236" s="20">
        <v>4.8880037000000001E-2</v>
      </c>
      <c r="E236" s="21">
        <v>-9.5154999999999505E-5</v>
      </c>
      <c r="F236" s="21">
        <v>-0.19429224493903099</v>
      </c>
      <c r="G236" s="21">
        <v>-6.3543836056730807E-2</v>
      </c>
      <c r="H236" s="20">
        <v>4.8880037000000001E-2</v>
      </c>
      <c r="I236" s="20">
        <v>4.8880037000000001E-2</v>
      </c>
      <c r="K236">
        <f t="shared" si="6"/>
        <v>-1.9429224493903163E-3</v>
      </c>
      <c r="L236">
        <f t="shared" si="7"/>
        <v>1.9063213956658614E-4</v>
      </c>
    </row>
    <row r="237" spans="1:12" ht="15" customHeight="1" x14ac:dyDescent="0.3">
      <c r="A237" s="22">
        <v>45744</v>
      </c>
      <c r="B237" s="23">
        <v>4.8969438173635797E-2</v>
      </c>
      <c r="C237" s="23">
        <v>4.89809513080363E-2</v>
      </c>
      <c r="D237" s="23">
        <v>4.8975192000000001E-2</v>
      </c>
      <c r="E237" s="24">
        <v>-3.2596299999999802E-4</v>
      </c>
      <c r="F237" s="24">
        <v>-0.66116706596427399</v>
      </c>
      <c r="G237" s="24">
        <v>0.13100293743036701</v>
      </c>
      <c r="H237" s="23">
        <v>4.8975192000000001E-2</v>
      </c>
      <c r="I237" s="23">
        <v>4.8975192000000001E-2</v>
      </c>
      <c r="K237">
        <f t="shared" si="6"/>
        <v>-6.6116706596427433E-3</v>
      </c>
      <c r="L237">
        <f t="shared" si="7"/>
        <v>2.3508094466484855E-4</v>
      </c>
    </row>
    <row r="238" spans="1:12" ht="15" customHeight="1" x14ac:dyDescent="0.3">
      <c r="A238" s="19">
        <v>45743</v>
      </c>
      <c r="B238" s="20">
        <v>4.9297267452465099E-2</v>
      </c>
      <c r="C238" s="20">
        <v>4.9305045385294302E-2</v>
      </c>
      <c r="D238" s="20">
        <v>4.9301154999999999E-2</v>
      </c>
      <c r="E238" s="21">
        <v>-4.19170000000003E-4</v>
      </c>
      <c r="F238" s="21">
        <v>-0.84305563167578201</v>
      </c>
      <c r="G238" s="21">
        <v>0.79744243011256899</v>
      </c>
      <c r="H238" s="20">
        <v>4.9301154999999999E-2</v>
      </c>
      <c r="I238" s="20">
        <v>4.9301154999999999E-2</v>
      </c>
      <c r="K238">
        <f t="shared" si="6"/>
        <v>-8.4305563167578201E-3</v>
      </c>
      <c r="L238">
        <f t="shared" si="7"/>
        <v>1.5776370409989886E-4</v>
      </c>
    </row>
    <row r="239" spans="1:12" ht="15" customHeight="1" x14ac:dyDescent="0.3">
      <c r="A239" s="22">
        <v>45742</v>
      </c>
      <c r="B239" s="23">
        <v>4.9714885133757901E-2</v>
      </c>
      <c r="C239" s="23">
        <v>4.9725762420252298E-2</v>
      </c>
      <c r="D239" s="23">
        <v>4.9720325000000003E-2</v>
      </c>
      <c r="E239" s="24">
        <v>-8.6674999999994395E-5</v>
      </c>
      <c r="F239" s="24">
        <v>-0.174021723854067</v>
      </c>
      <c r="G239" s="24">
        <v>1.6544459616410001</v>
      </c>
      <c r="H239" s="23">
        <v>4.9720325000000003E-2</v>
      </c>
      <c r="I239" s="23">
        <v>4.9720325000000003E-2</v>
      </c>
      <c r="K239">
        <f t="shared" si="6"/>
        <v>-1.7402172385406756E-3</v>
      </c>
      <c r="L239">
        <f t="shared" si="7"/>
        <v>2.1876941661980417E-4</v>
      </c>
    </row>
    <row r="240" spans="1:12" ht="15" customHeight="1" x14ac:dyDescent="0.3">
      <c r="A240" s="19">
        <v>45741</v>
      </c>
      <c r="B240" s="20">
        <v>4.9801044825920501E-2</v>
      </c>
      <c r="C240" s="20">
        <v>4.9812952363873703E-2</v>
      </c>
      <c r="D240" s="20">
        <v>4.9806999999999997E-2</v>
      </c>
      <c r="E240" s="21">
        <v>4.9567999999999801E-5</v>
      </c>
      <c r="F240" s="21">
        <v>9.9619289034058506E-2</v>
      </c>
      <c r="G240" s="21">
        <v>1.8316551633854501</v>
      </c>
      <c r="H240" s="20">
        <v>4.9806999999999997E-2</v>
      </c>
      <c r="I240" s="20">
        <v>4.9806999999999997E-2</v>
      </c>
      <c r="K240">
        <f t="shared" si="6"/>
        <v>9.9619289034058589E-4</v>
      </c>
      <c r="L240">
        <f t="shared" si="7"/>
        <v>2.3907358309477222E-4</v>
      </c>
    </row>
    <row r="241" spans="1:12" ht="15" customHeight="1" x14ac:dyDescent="0.3">
      <c r="A241" s="22">
        <v>45740</v>
      </c>
      <c r="B241" s="23">
        <v>4.9751491300951703E-2</v>
      </c>
      <c r="C241" s="23">
        <v>4.9763375151156301E-2</v>
      </c>
      <c r="D241" s="23">
        <v>4.9757431999999997E-2</v>
      </c>
      <c r="E241" s="24">
        <v>2.32867999999997E-4</v>
      </c>
      <c r="F241" s="24">
        <v>0.47020706734539602</v>
      </c>
      <c r="G241" s="24">
        <v>1.73031214968981</v>
      </c>
      <c r="H241" s="23">
        <v>4.9757431999999997E-2</v>
      </c>
      <c r="I241" s="23">
        <v>4.9757431999999997E-2</v>
      </c>
      <c r="K241">
        <f t="shared" si="6"/>
        <v>4.7020706734539619E-3</v>
      </c>
      <c r="L241">
        <f t="shared" si="7"/>
        <v>2.3883568196603119E-4</v>
      </c>
    </row>
    <row r="242" spans="1:12" ht="15" customHeight="1" x14ac:dyDescent="0.3">
      <c r="A242" s="19">
        <v>45737</v>
      </c>
      <c r="B242" s="20">
        <v>4.9518678445509598E-2</v>
      </c>
      <c r="C242" s="20">
        <v>4.95304513214724E-2</v>
      </c>
      <c r="D242" s="20">
        <v>4.9524564E-2</v>
      </c>
      <c r="E242" s="21">
        <v>-1.1801000000000101E-4</v>
      </c>
      <c r="F242" s="21">
        <v>-0.23771934146686799</v>
      </c>
      <c r="G242" s="21">
        <v>1.2542077090572299</v>
      </c>
      <c r="H242" s="20">
        <v>4.9524564E-2</v>
      </c>
      <c r="I242" s="20">
        <v>4.9524564E-2</v>
      </c>
      <c r="K242">
        <f t="shared" si="6"/>
        <v>-2.3771934146686879E-3</v>
      </c>
      <c r="L242">
        <f t="shared" si="7"/>
        <v>2.3771791232331626E-4</v>
      </c>
    </row>
    <row r="243" spans="1:12" ht="15" customHeight="1" x14ac:dyDescent="0.3">
      <c r="A243" s="22">
        <v>45736</v>
      </c>
      <c r="B243" s="23">
        <v>4.96378915809172E-2</v>
      </c>
      <c r="C243" s="23">
        <v>4.9647256244383701E-2</v>
      </c>
      <c r="D243" s="23">
        <v>4.9642574000000002E-2</v>
      </c>
      <c r="E243" s="24">
        <v>-2.0538599999999401E-4</v>
      </c>
      <c r="F243" s="24">
        <v>-0.41202488527112202</v>
      </c>
      <c r="G243" s="24">
        <v>1.49548210072569</v>
      </c>
      <c r="H243" s="23">
        <v>4.9642574000000002E-2</v>
      </c>
      <c r="I243" s="23">
        <v>4.9642574000000002E-2</v>
      </c>
      <c r="K243">
        <f t="shared" si="6"/>
        <v>-4.120248852711228E-3</v>
      </c>
      <c r="L243">
        <f t="shared" si="7"/>
        <v>1.8864177885904499E-4</v>
      </c>
    </row>
    <row r="244" spans="1:12" ht="15" customHeight="1" x14ac:dyDescent="0.3">
      <c r="A244" s="19">
        <v>45735</v>
      </c>
      <c r="B244" s="20">
        <v>4.9842746135941099E-2</v>
      </c>
      <c r="C244" s="20">
        <v>4.9853182377897098E-2</v>
      </c>
      <c r="D244" s="20">
        <v>4.9847959999999997E-2</v>
      </c>
      <c r="E244" s="21">
        <v>-1.92700000000003E-4</v>
      </c>
      <c r="F244" s="21">
        <v>-0.38508684737572602</v>
      </c>
      <c r="G244" s="21">
        <v>1.91539890614233</v>
      </c>
      <c r="H244" s="20">
        <v>4.9847959999999997E-2</v>
      </c>
      <c r="I244" s="20">
        <v>4.9847959999999997E-2</v>
      </c>
      <c r="K244">
        <f t="shared" si="6"/>
        <v>-3.8508684737572629E-3</v>
      </c>
      <c r="L244">
        <f t="shared" si="7"/>
        <v>2.0936146546417266E-4</v>
      </c>
    </row>
    <row r="245" spans="1:12" ht="15" customHeight="1" x14ac:dyDescent="0.3">
      <c r="A245" s="22">
        <v>45734</v>
      </c>
      <c r="B245" s="23">
        <v>5.0036025938675802E-2</v>
      </c>
      <c r="C245" s="23">
        <v>5.0045290988344503E-2</v>
      </c>
      <c r="D245" s="23">
        <v>5.0040660000000001E-2</v>
      </c>
      <c r="E245" s="24">
        <v>-2.1691000000000001E-4</v>
      </c>
      <c r="F245" s="24">
        <v>-0.43159667289922599</v>
      </c>
      <c r="G245" s="24">
        <v>2.3093788677940101</v>
      </c>
      <c r="H245" s="23">
        <v>5.0040660000000001E-2</v>
      </c>
      <c r="I245" s="23">
        <v>5.0040660000000001E-2</v>
      </c>
      <c r="K245">
        <f t="shared" si="6"/>
        <v>-4.3159667289922599E-3</v>
      </c>
      <c r="L245">
        <f t="shared" si="7"/>
        <v>1.8515042904512178E-4</v>
      </c>
    </row>
    <row r="246" spans="1:12" ht="15" customHeight="1" x14ac:dyDescent="0.3">
      <c r="A246" s="19">
        <v>45733</v>
      </c>
      <c r="B246" s="20">
        <v>5.0252518907510202E-2</v>
      </c>
      <c r="C246" s="20">
        <v>5.0262622201000202E-2</v>
      </c>
      <c r="D246" s="20">
        <v>5.0257570000000001E-2</v>
      </c>
      <c r="E246" s="21">
        <v>-9.4894999999997607E-5</v>
      </c>
      <c r="F246" s="21">
        <v>-0.18846147849961301</v>
      </c>
      <c r="G246" s="21">
        <v>2.75285677896091</v>
      </c>
      <c r="H246" s="20">
        <v>5.0257570000000001E-2</v>
      </c>
      <c r="I246" s="20">
        <v>5.0257570000000001E-2</v>
      </c>
      <c r="K246">
        <f t="shared" si="6"/>
        <v>-1.8846147849961303E-3</v>
      </c>
      <c r="L246">
        <f t="shared" si="7"/>
        <v>2.0103028240323902E-4</v>
      </c>
    </row>
    <row r="247" spans="1:12" ht="15" customHeight="1" x14ac:dyDescent="0.3">
      <c r="A247" s="22">
        <v>45730</v>
      </c>
      <c r="B247" s="23">
        <v>5.0348157509175998E-2</v>
      </c>
      <c r="C247" s="23">
        <v>5.0356777770503999E-2</v>
      </c>
      <c r="D247" s="23">
        <v>5.0352464999999999E-2</v>
      </c>
      <c r="E247" s="24">
        <v>5.8512699999999703E-4</v>
      </c>
      <c r="F247" s="24">
        <v>1.1757249302745301</v>
      </c>
      <c r="G247" s="24">
        <v>2.9468719759558999</v>
      </c>
      <c r="H247" s="23">
        <v>5.0352464999999999E-2</v>
      </c>
      <c r="I247" s="23">
        <v>5.0352464999999999E-2</v>
      </c>
      <c r="K247">
        <f t="shared" si="6"/>
        <v>1.1757249302745354E-2</v>
      </c>
      <c r="L247">
        <f t="shared" si="7"/>
        <v>1.7119839769516259E-4</v>
      </c>
    </row>
    <row r="248" spans="1:12" ht="15" customHeight="1" x14ac:dyDescent="0.3">
      <c r="A248" s="19">
        <v>45729</v>
      </c>
      <c r="B248" s="20">
        <v>4.9763127513037901E-2</v>
      </c>
      <c r="C248" s="20">
        <v>4.9771548591962901E-2</v>
      </c>
      <c r="D248" s="20">
        <v>4.9767338000000001E-2</v>
      </c>
      <c r="E248" s="21">
        <v>1.9367399999999701E-4</v>
      </c>
      <c r="F248" s="21">
        <v>0.39067921225268698</v>
      </c>
      <c r="G248" s="21">
        <v>1.7505652140391801</v>
      </c>
      <c r="H248" s="20">
        <v>4.9767338000000001E-2</v>
      </c>
      <c r="I248" s="20">
        <v>4.9767338000000001E-2</v>
      </c>
      <c r="K248">
        <f t="shared" si="6"/>
        <v>3.9067921225268698E-3</v>
      </c>
      <c r="L248">
        <f t="shared" si="7"/>
        <v>1.6920894834680512E-4</v>
      </c>
    </row>
    <row r="249" spans="1:12" ht="15" customHeight="1" x14ac:dyDescent="0.3">
      <c r="A249" s="22">
        <v>45728</v>
      </c>
      <c r="B249" s="23">
        <v>4.9568506153929999E-2</v>
      </c>
      <c r="C249" s="23">
        <v>4.95788278573518E-2</v>
      </c>
      <c r="D249" s="23">
        <v>4.9573664000000003E-2</v>
      </c>
      <c r="E249" s="24">
        <v>4.2335400000000003E-4</v>
      </c>
      <c r="F249" s="24">
        <v>0.861345533731117</v>
      </c>
      <c r="G249" s="24">
        <v>1.35459388506708</v>
      </c>
      <c r="H249" s="23">
        <v>4.9573664000000003E-2</v>
      </c>
      <c r="I249" s="23">
        <v>4.9573664000000003E-2</v>
      </c>
      <c r="K249">
        <f t="shared" si="6"/>
        <v>8.6134553373111711E-3</v>
      </c>
      <c r="L249">
        <f t="shared" si="7"/>
        <v>2.0820941179172493E-4</v>
      </c>
    </row>
    <row r="250" spans="1:12" ht="15" customHeight="1" x14ac:dyDescent="0.3">
      <c r="A250" s="19">
        <v>45727</v>
      </c>
      <c r="B250" s="20">
        <v>4.9145603680022798E-2</v>
      </c>
      <c r="C250" s="20">
        <v>4.9155025118217802E-2</v>
      </c>
      <c r="D250" s="20">
        <v>4.9150310000000003E-2</v>
      </c>
      <c r="E250" s="21">
        <v>-1.3140999999999801E-4</v>
      </c>
      <c r="F250" s="21">
        <v>-0.26665059579901101</v>
      </c>
      <c r="G250" s="21">
        <v>0.48903606106563702</v>
      </c>
      <c r="H250" s="20">
        <v>4.9150310000000003E-2</v>
      </c>
      <c r="I250" s="20">
        <v>4.9150310000000003E-2</v>
      </c>
      <c r="K250">
        <f t="shared" si="6"/>
        <v>-2.6665059579901174E-3</v>
      </c>
      <c r="L250">
        <f t="shared" si="7"/>
        <v>1.9168624155175477E-4</v>
      </c>
    </row>
    <row r="251" spans="1:12" ht="15" customHeight="1" x14ac:dyDescent="0.3">
      <c r="A251" s="22">
        <v>45726</v>
      </c>
      <c r="B251" s="23">
        <v>4.9277104871534597E-2</v>
      </c>
      <c r="C251" s="23">
        <v>4.9286333885340303E-2</v>
      </c>
      <c r="D251" s="23">
        <v>4.9281720000000001E-2</v>
      </c>
      <c r="E251" s="24">
        <v>-5.8357000000001901E-5</v>
      </c>
      <c r="F251" s="24">
        <v>-0.118275048496585</v>
      </c>
      <c r="G251" s="24">
        <v>0.75770708732741499</v>
      </c>
      <c r="H251" s="23">
        <v>4.9281720000000001E-2</v>
      </c>
      <c r="I251" s="23">
        <v>4.9281720000000001E-2</v>
      </c>
      <c r="K251">
        <f t="shared" si="6"/>
        <v>-1.1827504849658554E-3</v>
      </c>
      <c r="L251">
        <f t="shared" si="7"/>
        <v>1.8727052963464071E-4</v>
      </c>
    </row>
    <row r="252" spans="1:12" ht="15" customHeight="1" x14ac:dyDescent="0.3">
      <c r="A252" s="19">
        <v>45723</v>
      </c>
      <c r="B252" s="20">
        <v>4.9335938270874E-2</v>
      </c>
      <c r="C252" s="20">
        <v>4.9344215377631298E-2</v>
      </c>
      <c r="D252" s="20">
        <v>4.9340077000000003E-2</v>
      </c>
      <c r="E252" s="21">
        <v>9.9611000000006294E-5</v>
      </c>
      <c r="F252" s="21">
        <v>0.20229499858919101</v>
      </c>
      <c r="G252" s="21">
        <v>0.87701943098131596</v>
      </c>
      <c r="H252" s="20">
        <v>4.9340077000000003E-2</v>
      </c>
      <c r="I252" s="20">
        <v>4.9340077000000003E-2</v>
      </c>
      <c r="K252">
        <f t="shared" si="6"/>
        <v>2.0229499858919198E-3</v>
      </c>
      <c r="L252">
        <f t="shared" si="7"/>
        <v>1.6775625942574887E-4</v>
      </c>
    </row>
    <row r="253" spans="1:12" ht="15" customHeight="1" x14ac:dyDescent="0.3">
      <c r="A253" s="22">
        <v>45722</v>
      </c>
      <c r="B253" s="23">
        <v>4.9235374631965603E-2</v>
      </c>
      <c r="C253" s="23">
        <v>4.9245558050663801E-2</v>
      </c>
      <c r="D253" s="23">
        <v>4.9240465999999997E-2</v>
      </c>
      <c r="E253" s="24">
        <v>2.3046599999999799E-4</v>
      </c>
      <c r="F253" s="24">
        <v>0.47024280759029302</v>
      </c>
      <c r="G253" s="24">
        <v>0.67336225422944096</v>
      </c>
      <c r="H253" s="23">
        <v>4.9240465999999997E-2</v>
      </c>
      <c r="I253" s="23">
        <v>4.9240465999999997E-2</v>
      </c>
      <c r="K253">
        <f t="shared" si="6"/>
        <v>4.7024280759029313E-3</v>
      </c>
      <c r="L253">
        <f t="shared" si="7"/>
        <v>2.0680995785454296E-4</v>
      </c>
    </row>
    <row r="254" spans="1:12" ht="15" customHeight="1" x14ac:dyDescent="0.3">
      <c r="A254" s="19">
        <v>45721</v>
      </c>
      <c r="B254" s="20">
        <v>4.9004233965814603E-2</v>
      </c>
      <c r="C254" s="20">
        <v>4.9015763469531799E-2</v>
      </c>
      <c r="D254" s="20">
        <v>4.9009999999999998E-2</v>
      </c>
      <c r="E254" s="21">
        <v>1.1424999999999901E-3</v>
      </c>
      <c r="F254" s="21">
        <v>2.3867968872408101</v>
      </c>
      <c r="G254" s="21">
        <v>0.20216876257395799</v>
      </c>
      <c r="H254" s="20">
        <v>4.9009999999999998E-2</v>
      </c>
      <c r="I254" s="20">
        <v>4.9009999999999998E-2</v>
      </c>
      <c r="K254">
        <f t="shared" si="6"/>
        <v>2.3867968872408163E-2</v>
      </c>
      <c r="L254">
        <f t="shared" si="7"/>
        <v>2.3524798443575051E-4</v>
      </c>
    </row>
    <row r="255" spans="1:12" ht="15" customHeight="1" x14ac:dyDescent="0.3">
      <c r="A255" s="22">
        <v>45720</v>
      </c>
      <c r="B255" s="23">
        <v>4.7862004269290798E-2</v>
      </c>
      <c r="C255" s="23">
        <v>4.7873002498970703E-2</v>
      </c>
      <c r="D255" s="23">
        <v>4.78675E-2</v>
      </c>
      <c r="E255" s="24">
        <v>-1.1328899999999899E-3</v>
      </c>
      <c r="F255" s="24">
        <v>-2.3120020065146298</v>
      </c>
      <c r="G255" s="24">
        <v>-2.1337010152518001</v>
      </c>
      <c r="H255" s="23">
        <v>4.78675E-2</v>
      </c>
      <c r="I255" s="23">
        <v>4.78675E-2</v>
      </c>
      <c r="K255">
        <f t="shared" si="6"/>
        <v>-2.3120020065146352E-2</v>
      </c>
      <c r="L255">
        <f t="shared" si="7"/>
        <v>2.297640294543315E-4</v>
      </c>
    </row>
    <row r="256" spans="1:12" ht="15" customHeight="1" x14ac:dyDescent="0.3">
      <c r="A256" s="19">
        <v>45719</v>
      </c>
      <c r="B256" s="20">
        <v>4.8995110287993297E-2</v>
      </c>
      <c r="C256" s="20">
        <v>4.9005674857148497E-2</v>
      </c>
      <c r="D256" s="20">
        <v>4.9000389999999998E-2</v>
      </c>
      <c r="E256" s="21">
        <v>2.8999500000000101E-4</v>
      </c>
      <c r="F256" s="21">
        <v>0.59534520301056604</v>
      </c>
      <c r="G256" s="21">
        <v>0.182520877615616</v>
      </c>
      <c r="H256" s="20">
        <v>4.9000389999999998E-2</v>
      </c>
      <c r="I256" s="20">
        <v>4.9000389999999998E-2</v>
      </c>
      <c r="K256">
        <f t="shared" si="6"/>
        <v>5.9534520301056659E-3</v>
      </c>
      <c r="L256">
        <f t="shared" si="7"/>
        <v>2.1560173613311581E-4</v>
      </c>
    </row>
    <row r="257" spans="1:12" ht="15" customHeight="1" x14ac:dyDescent="0.3">
      <c r="A257" s="22">
        <v>45716</v>
      </c>
      <c r="B257" s="23">
        <v>4.8704698542268401E-2</v>
      </c>
      <c r="C257" s="23">
        <v>4.8716087513579601E-2</v>
      </c>
      <c r="D257" s="23">
        <v>4.8710394999999997E-2</v>
      </c>
      <c r="E257" s="24">
        <v>-1.9055900000000599E-4</v>
      </c>
      <c r="F257" s="24">
        <v>-0.38968360412765501</v>
      </c>
      <c r="G257" s="24">
        <v>-0.4103811409582</v>
      </c>
      <c r="H257" s="23">
        <v>4.8710394999999997E-2</v>
      </c>
      <c r="I257" s="23">
        <v>4.8710394999999997E-2</v>
      </c>
      <c r="K257">
        <f t="shared" si="6"/>
        <v>-3.8968360412765524E-3</v>
      </c>
      <c r="L257">
        <f t="shared" si="7"/>
        <v>2.3380987387187487E-4</v>
      </c>
    </row>
    <row r="258" spans="1:12" ht="15" customHeight="1" x14ac:dyDescent="0.3">
      <c r="A258" s="19">
        <v>45715</v>
      </c>
      <c r="B258" s="20">
        <v>4.8895929902794899E-2</v>
      </c>
      <c r="C258" s="20">
        <v>4.8905973375588101E-2</v>
      </c>
      <c r="D258" s="20">
        <v>4.8900954000000003E-2</v>
      </c>
      <c r="E258" s="21">
        <v>7.1740000000056203E-6</v>
      </c>
      <c r="F258" s="21">
        <v>1.46726229798721E-2</v>
      </c>
      <c r="G258" s="21">
        <v>-2.0778507266545499E-2</v>
      </c>
      <c r="H258" s="20">
        <v>4.8900954000000003E-2</v>
      </c>
      <c r="I258" s="20">
        <v>4.8900954000000003E-2</v>
      </c>
      <c r="K258">
        <f t="shared" si="6"/>
        <v>1.4672622979872152E-4</v>
      </c>
      <c r="L258">
        <f t="shared" si="7"/>
        <v>2.0538398480327537E-4</v>
      </c>
    </row>
    <row r="259" spans="1:12" ht="15" customHeight="1" x14ac:dyDescent="0.3">
      <c r="A259" s="22">
        <v>45714</v>
      </c>
      <c r="B259" s="23">
        <v>4.8888519508963703E-2</v>
      </c>
      <c r="C259" s="23">
        <v>4.8899038155919498E-2</v>
      </c>
      <c r="D259" s="23">
        <v>4.8893779999999998E-2</v>
      </c>
      <c r="E259" s="24">
        <v>1.5534999999997001E-5</v>
      </c>
      <c r="F259" s="24">
        <v>3.1783056040568497E-2</v>
      </c>
      <c r="G259" s="24">
        <v>-3.5445929398830102E-2</v>
      </c>
      <c r="H259" s="23">
        <v>4.8893779999999998E-2</v>
      </c>
      <c r="I259" s="23">
        <v>4.8893779999999998E-2</v>
      </c>
      <c r="K259">
        <f t="shared" si="6"/>
        <v>3.1783056040568525E-4</v>
      </c>
      <c r="L259">
        <f t="shared" si="7"/>
        <v>2.1513261923695651E-4</v>
      </c>
    </row>
    <row r="260" spans="1:12" ht="15" customHeight="1" x14ac:dyDescent="0.3">
      <c r="A260" s="19">
        <v>45713</v>
      </c>
      <c r="B260" s="20">
        <v>4.8873227734579298E-2</v>
      </c>
      <c r="C260" s="20">
        <v>4.8883261882298898E-2</v>
      </c>
      <c r="D260" s="20">
        <v>4.8878245000000001E-2</v>
      </c>
      <c r="E260" s="21">
        <v>-9.5589999999992608E-6</v>
      </c>
      <c r="F260" s="21">
        <v>-1.9552933897382101E-2</v>
      </c>
      <c r="G260" s="21">
        <v>-6.72076248023456E-2</v>
      </c>
      <c r="H260" s="20">
        <v>4.8878245000000001E-2</v>
      </c>
      <c r="I260" s="20">
        <v>4.8878245000000001E-2</v>
      </c>
      <c r="K260">
        <f t="shared" si="6"/>
        <v>-1.9552933897382108E-4</v>
      </c>
      <c r="L260">
        <f t="shared" si="7"/>
        <v>2.0528862522783877E-4</v>
      </c>
    </row>
    <row r="261" spans="1:12" ht="15" customHeight="1" x14ac:dyDescent="0.3">
      <c r="A261" s="22">
        <v>45712</v>
      </c>
      <c r="B261" s="23">
        <v>4.8882783972312799E-2</v>
      </c>
      <c r="C261" s="23">
        <v>4.88928220447956E-2</v>
      </c>
      <c r="D261" s="23">
        <v>4.8887804E-2</v>
      </c>
      <c r="E261" s="24">
        <v>-2.8970599999999998E-4</v>
      </c>
      <c r="F261" s="24">
        <v>-0.58910262028313198</v>
      </c>
      <c r="G261" s="24">
        <v>-4.7664010617457397E-2</v>
      </c>
      <c r="H261" s="23">
        <v>4.8887804E-2</v>
      </c>
      <c r="I261" s="23">
        <v>4.8887804E-2</v>
      </c>
      <c r="K261">
        <f t="shared" ref="K261:K324" si="8">D261/D262-1</f>
        <v>-5.8910262028313287E-3</v>
      </c>
      <c r="L261">
        <f t="shared" ref="L261:L324" si="9">(C261-B261)/D261</f>
        <v>2.0532876630747045E-4</v>
      </c>
    </row>
    <row r="262" spans="1:12" ht="15" customHeight="1" x14ac:dyDescent="0.3">
      <c r="A262" s="19">
        <v>45709</v>
      </c>
      <c r="B262" s="20">
        <v>4.9172186244572598E-2</v>
      </c>
      <c r="C262" s="20">
        <v>4.9182827324011497E-2</v>
      </c>
      <c r="D262" s="20">
        <v>4.9177510000000001E-2</v>
      </c>
      <c r="E262" s="21">
        <v>1.2664200000000301E-4</v>
      </c>
      <c r="F262" s="21">
        <v>0.25818503354517702</v>
      </c>
      <c r="G262" s="21">
        <v>0.54464714024012895</v>
      </c>
      <c r="H262" s="20">
        <v>4.9177510000000001E-2</v>
      </c>
      <c r="I262" s="20">
        <v>4.9177510000000001E-2</v>
      </c>
      <c r="K262">
        <f t="shared" si="8"/>
        <v>2.5818503354517741E-3</v>
      </c>
      <c r="L262">
        <f t="shared" si="9"/>
        <v>2.1638101316839013E-4</v>
      </c>
    </row>
    <row r="263" spans="1:12" ht="15" customHeight="1" x14ac:dyDescent="0.3">
      <c r="A263" s="22">
        <v>45708</v>
      </c>
      <c r="B263" s="23">
        <v>4.9045332600923003E-2</v>
      </c>
      <c r="C263" s="23">
        <v>4.9056400143244701E-2</v>
      </c>
      <c r="D263" s="23">
        <v>4.9050867999999997E-2</v>
      </c>
      <c r="E263" s="24">
        <v>4.8139999999988099E-6</v>
      </c>
      <c r="F263" s="24">
        <v>9.8152646490046094E-3</v>
      </c>
      <c r="G263" s="24">
        <v>0.285724409033636</v>
      </c>
      <c r="H263" s="23">
        <v>4.9050867999999997E-2</v>
      </c>
      <c r="I263" s="23">
        <v>4.9050867999999997E-2</v>
      </c>
      <c r="K263">
        <f t="shared" si="8"/>
        <v>9.815264649004618E-5</v>
      </c>
      <c r="L263">
        <f t="shared" si="9"/>
        <v>2.2563397495224728E-4</v>
      </c>
    </row>
    <row r="264" spans="1:12" ht="15" customHeight="1" x14ac:dyDescent="0.3">
      <c r="A264" s="19">
        <v>45707</v>
      </c>
      <c r="B264" s="20">
        <v>4.9039560213223997E-2</v>
      </c>
      <c r="C264" s="20">
        <v>4.9052549996811599E-2</v>
      </c>
      <c r="D264" s="20">
        <v>4.9046053999999999E-2</v>
      </c>
      <c r="E264" s="21">
        <v>-3.41542999999999E-4</v>
      </c>
      <c r="F264" s="21">
        <v>-0.691556222101674</v>
      </c>
      <c r="G264" s="21">
        <v>0.27588206582974101</v>
      </c>
      <c r="H264" s="20">
        <v>4.9046053999999999E-2</v>
      </c>
      <c r="I264" s="20">
        <v>4.9046053999999999E-2</v>
      </c>
      <c r="K264">
        <f t="shared" si="8"/>
        <v>-6.9155622210167467E-3</v>
      </c>
      <c r="L264">
        <f t="shared" si="9"/>
        <v>2.6484869889028178E-4</v>
      </c>
    </row>
    <row r="265" spans="1:12" ht="15" customHeight="1" x14ac:dyDescent="0.3">
      <c r="A265" s="22">
        <v>45706</v>
      </c>
      <c r="B265" s="23">
        <v>4.9382472185322497E-2</v>
      </c>
      <c r="C265" s="23">
        <v>4.93927165500175E-2</v>
      </c>
      <c r="D265" s="23">
        <v>4.9387596999999998E-2</v>
      </c>
      <c r="E265" s="24">
        <v>1.2529699999999601E-4</v>
      </c>
      <c r="F265" s="24">
        <v>0.25434663018168902</v>
      </c>
      <c r="G265" s="24">
        <v>0.97417525753910095</v>
      </c>
      <c r="H265" s="23">
        <v>4.9387596999999998E-2</v>
      </c>
      <c r="I265" s="23">
        <v>4.9387596999999998E-2</v>
      </c>
      <c r="K265">
        <f t="shared" si="8"/>
        <v>2.543466301816899E-3</v>
      </c>
      <c r="L265">
        <f t="shared" si="9"/>
        <v>2.0742788305741814E-4</v>
      </c>
    </row>
    <row r="266" spans="1:12" ht="15" customHeight="1" x14ac:dyDescent="0.3">
      <c r="A266" s="19">
        <v>45705</v>
      </c>
      <c r="B266" s="20">
        <v>4.9255988296777201E-2</v>
      </c>
      <c r="C266" s="20">
        <v>4.9268607521345598E-2</v>
      </c>
      <c r="D266" s="20">
        <v>4.9262300000000002E-2</v>
      </c>
      <c r="E266" s="21">
        <v>-1.09199999999975E-5</v>
      </c>
      <c r="F266" s="21">
        <v>-2.2162140002213102E-2</v>
      </c>
      <c r="G266" s="21">
        <v>0.71800241241680196</v>
      </c>
      <c r="H266" s="20">
        <v>4.9262300000000002E-2</v>
      </c>
      <c r="I266" s="20">
        <v>4.9262300000000002E-2</v>
      </c>
      <c r="K266">
        <f t="shared" si="8"/>
        <v>-2.2162140002213171E-4</v>
      </c>
      <c r="L266">
        <f t="shared" si="9"/>
        <v>2.5616393405092808E-4</v>
      </c>
    </row>
    <row r="267" spans="1:12" ht="15" customHeight="1" x14ac:dyDescent="0.3">
      <c r="A267" s="22">
        <v>45702</v>
      </c>
      <c r="B267" s="23">
        <v>4.9268607521345598E-2</v>
      </c>
      <c r="C267" s="23">
        <v>4.9277833352223202E-2</v>
      </c>
      <c r="D267" s="23">
        <v>4.927322E-2</v>
      </c>
      <c r="E267" s="24">
        <v>4.6892600000000102E-4</v>
      </c>
      <c r="F267" s="24">
        <v>0.960829389315631</v>
      </c>
      <c r="G267" s="24">
        <v>0.740328625085382</v>
      </c>
      <c r="H267" s="23">
        <v>4.927322E-2</v>
      </c>
      <c r="I267" s="23">
        <v>4.927322E-2</v>
      </c>
      <c r="K267">
        <f t="shared" si="8"/>
        <v>9.6082938931563167E-3</v>
      </c>
      <c r="L267">
        <f t="shared" si="9"/>
        <v>1.8723823767970561E-4</v>
      </c>
    </row>
    <row r="268" spans="1:12" ht="15" customHeight="1" x14ac:dyDescent="0.3">
      <c r="A268" s="19">
        <v>45701</v>
      </c>
      <c r="B268" s="20">
        <v>4.8798578985379898E-2</v>
      </c>
      <c r="C268" s="20">
        <v>4.8810011909642903E-2</v>
      </c>
      <c r="D268" s="20">
        <v>4.8804293999999998E-2</v>
      </c>
      <c r="E268" s="21">
        <v>3.3324000000001201E-5</v>
      </c>
      <c r="F268" s="21">
        <v>6.8327531726364299E-2</v>
      </c>
      <c r="G268" s="21">
        <v>-0.21840229083297899</v>
      </c>
      <c r="H268" s="20">
        <v>4.8804293999999998E-2</v>
      </c>
      <c r="I268" s="20">
        <v>4.8804293999999998E-2</v>
      </c>
      <c r="K268">
        <f t="shared" si="8"/>
        <v>6.8327531726364299E-4</v>
      </c>
      <c r="L268">
        <f t="shared" si="9"/>
        <v>2.342606218830894E-4</v>
      </c>
    </row>
    <row r="269" spans="1:12" ht="15" customHeight="1" x14ac:dyDescent="0.3">
      <c r="A269" s="22">
        <v>45700</v>
      </c>
      <c r="B269" s="23">
        <v>4.8765025723551098E-2</v>
      </c>
      <c r="C269" s="23">
        <v>4.87769187620418E-2</v>
      </c>
      <c r="D269" s="23">
        <v>4.8770969999999997E-2</v>
      </c>
      <c r="E269" s="24">
        <v>1.78335999999994E-4</v>
      </c>
      <c r="F269" s="24">
        <v>0.36700212628932799</v>
      </c>
      <c r="G269" s="24">
        <v>-0.28653404092161699</v>
      </c>
      <c r="H269" s="23">
        <v>4.8770969999999997E-2</v>
      </c>
      <c r="I269" s="23">
        <v>4.8770969999999997E-2</v>
      </c>
      <c r="K269">
        <f t="shared" si="8"/>
        <v>3.670021262893286E-3</v>
      </c>
      <c r="L269">
        <f t="shared" si="9"/>
        <v>2.438548688021299E-4</v>
      </c>
    </row>
    <row r="270" spans="1:12" ht="15" customHeight="1" x14ac:dyDescent="0.3">
      <c r="A270" s="19">
        <v>45699</v>
      </c>
      <c r="B270" s="20">
        <v>4.8586851426267001E-2</v>
      </c>
      <c r="C270" s="20">
        <v>4.8598421523268903E-2</v>
      </c>
      <c r="D270" s="20">
        <v>4.8592634000000003E-2</v>
      </c>
      <c r="E270" s="21">
        <v>1.66484000000001E-4</v>
      </c>
      <c r="F270" s="21">
        <v>0.34378946085946699</v>
      </c>
      <c r="G270" s="21">
        <v>-0.651146445909208</v>
      </c>
      <c r="H270" s="20">
        <v>4.8592634000000003E-2</v>
      </c>
      <c r="I270" s="20">
        <v>4.8592634000000003E-2</v>
      </c>
      <c r="K270">
        <f t="shared" si="8"/>
        <v>3.4378946085946716E-3</v>
      </c>
      <c r="L270">
        <f t="shared" si="9"/>
        <v>2.3810392747802023E-4</v>
      </c>
    </row>
    <row r="271" spans="1:12" ht="15" customHeight="1" x14ac:dyDescent="0.3">
      <c r="A271" s="22">
        <v>45698</v>
      </c>
      <c r="B271" s="23">
        <v>4.8421225928598099E-2</v>
      </c>
      <c r="C271" s="23">
        <v>4.8431075315165203E-2</v>
      </c>
      <c r="D271" s="23">
        <v>4.8426150000000001E-2</v>
      </c>
      <c r="E271" s="24">
        <v>-1.8775000000000001E-4</v>
      </c>
      <c r="F271" s="24">
        <v>-0.38620641421486201</v>
      </c>
      <c r="G271" s="24">
        <v>-0.99152714095651395</v>
      </c>
      <c r="H271" s="23">
        <v>4.8426150000000001E-2</v>
      </c>
      <c r="I271" s="23">
        <v>4.8426150000000001E-2</v>
      </c>
      <c r="K271">
        <f t="shared" si="8"/>
        <v>-3.8620641421486246E-3</v>
      </c>
      <c r="L271">
        <f t="shared" si="9"/>
        <v>2.0338983311917198E-4</v>
      </c>
    </row>
    <row r="272" spans="1:12" ht="15" customHeight="1" x14ac:dyDescent="0.3">
      <c r="A272" s="19">
        <v>45695</v>
      </c>
      <c r="B272" s="20">
        <v>4.8605035481675898E-2</v>
      </c>
      <c r="C272" s="20">
        <v>4.8622760314103002E-2</v>
      </c>
      <c r="D272" s="20">
        <v>4.8613900000000002E-2</v>
      </c>
      <c r="E272" s="21">
        <v>-1.89205999999997E-4</v>
      </c>
      <c r="F272" s="21">
        <v>-0.38769253743807702</v>
      </c>
      <c r="G272" s="21">
        <v>-0.607667577904621</v>
      </c>
      <c r="H272" s="20">
        <v>4.8613900000000002E-2</v>
      </c>
      <c r="I272" s="20">
        <v>4.8613900000000002E-2</v>
      </c>
      <c r="K272">
        <f t="shared" si="8"/>
        <v>-3.8769253743807797E-3</v>
      </c>
      <c r="L272">
        <f t="shared" si="9"/>
        <v>3.6460420635051196E-4</v>
      </c>
    </row>
    <row r="273" spans="1:12" ht="15" customHeight="1" x14ac:dyDescent="0.3">
      <c r="A273" s="22">
        <v>45694</v>
      </c>
      <c r="B273" s="23">
        <v>4.8797388363774799E-2</v>
      </c>
      <c r="C273" s="23">
        <v>4.8808820730082303E-2</v>
      </c>
      <c r="D273" s="23">
        <v>4.8803105999999999E-2</v>
      </c>
      <c r="E273" s="24">
        <v>4.88090999999996E-4</v>
      </c>
      <c r="F273" s="24">
        <v>1.0102263240526701</v>
      </c>
      <c r="G273" s="24">
        <v>-0.22083118649692199</v>
      </c>
      <c r="H273" s="23">
        <v>4.8803105999999999E-2</v>
      </c>
      <c r="I273" s="23">
        <v>4.8803105999999999E-2</v>
      </c>
      <c r="K273">
        <f t="shared" si="8"/>
        <v>1.0102263240526765E-2</v>
      </c>
      <c r="L273">
        <f t="shared" si="9"/>
        <v>2.3425489163546033E-4</v>
      </c>
    </row>
    <row r="274" spans="1:12" ht="15" customHeight="1" x14ac:dyDescent="0.3">
      <c r="A274" s="19">
        <v>45693</v>
      </c>
      <c r="B274" s="20">
        <v>4.8309412122763899E-2</v>
      </c>
      <c r="C274" s="20">
        <v>4.83206169576373E-2</v>
      </c>
      <c r="D274" s="20">
        <v>4.8315015000000003E-2</v>
      </c>
      <c r="E274" s="21">
        <v>-7.7678499999999501E-4</v>
      </c>
      <c r="F274" s="21">
        <v>-1.58231109879857</v>
      </c>
      <c r="G274" s="21">
        <v>-1.2187454234586199</v>
      </c>
      <c r="H274" s="20">
        <v>4.8315015000000003E-2</v>
      </c>
      <c r="I274" s="20">
        <v>4.8315015000000003E-2</v>
      </c>
      <c r="K274">
        <f t="shared" si="8"/>
        <v>-1.5823110987985722E-2</v>
      </c>
      <c r="L274">
        <f t="shared" si="9"/>
        <v>2.3191206446692293E-4</v>
      </c>
    </row>
    <row r="275" spans="1:12" ht="15" customHeight="1" x14ac:dyDescent="0.3">
      <c r="A275" s="22">
        <v>45692</v>
      </c>
      <c r="B275" s="23">
        <v>4.9085777395999501E-2</v>
      </c>
      <c r="C275" s="23">
        <v>4.9097827421136601E-2</v>
      </c>
      <c r="D275" s="23">
        <v>4.9091799999999998E-2</v>
      </c>
      <c r="E275" s="24">
        <v>2.8393299999999999E-4</v>
      </c>
      <c r="F275" s="24">
        <v>0.58173613692236104</v>
      </c>
      <c r="G275" s="24">
        <v>0.36941090509137398</v>
      </c>
      <c r="H275" s="23">
        <v>4.9091799999999998E-2</v>
      </c>
      <c r="I275" s="23">
        <v>4.9091799999999998E-2</v>
      </c>
      <c r="K275">
        <f t="shared" si="8"/>
        <v>5.817361369223617E-3</v>
      </c>
      <c r="L275">
        <f t="shared" si="9"/>
        <v>2.4545902038833973E-4</v>
      </c>
    </row>
    <row r="276" spans="1:12" ht="15" customHeight="1" x14ac:dyDescent="0.3">
      <c r="A276" s="19">
        <v>45691</v>
      </c>
      <c r="B276" s="20">
        <v>4.8796674018698902E-2</v>
      </c>
      <c r="C276" s="20">
        <v>4.8819066774719498E-2</v>
      </c>
      <c r="D276" s="20">
        <v>4.8807866999999998E-2</v>
      </c>
      <c r="E276" s="21">
        <v>3.62362999999997E-4</v>
      </c>
      <c r="F276" s="21">
        <v>0.74798065884502596</v>
      </c>
      <c r="G276" s="21">
        <v>-0.211097203116418</v>
      </c>
      <c r="H276" s="20">
        <v>4.8807866999999998E-2</v>
      </c>
      <c r="I276" s="20">
        <v>4.8807866999999998E-2</v>
      </c>
      <c r="K276">
        <f t="shared" si="8"/>
        <v>7.4798065884502662E-3</v>
      </c>
      <c r="L276">
        <f t="shared" si="9"/>
        <v>4.587939895139522E-4</v>
      </c>
    </row>
    <row r="277" spans="1:12" ht="15" customHeight="1" x14ac:dyDescent="0.3">
      <c r="A277" s="22">
        <v>45688</v>
      </c>
      <c r="B277" s="23">
        <v>4.8439520836259901E-2</v>
      </c>
      <c r="C277" s="23">
        <v>4.84514903678437E-2</v>
      </c>
      <c r="D277" s="23">
        <v>4.8445504E-2</v>
      </c>
      <c r="E277" s="24">
        <v>-5.0811600000000203E-4</v>
      </c>
      <c r="F277" s="24">
        <v>-1.0379538836964499</v>
      </c>
      <c r="G277" s="24">
        <v>-0.951957404693899</v>
      </c>
      <c r="H277" s="23">
        <v>4.8445504E-2</v>
      </c>
      <c r="I277" s="23">
        <v>4.8445504E-2</v>
      </c>
      <c r="K277">
        <f t="shared" si="8"/>
        <v>-1.0379538836964519E-2</v>
      </c>
      <c r="L277">
        <f t="shared" si="9"/>
        <v>2.4707208296972981E-4</v>
      </c>
    </row>
    <row r="278" spans="1:12" ht="15" customHeight="1" x14ac:dyDescent="0.3">
      <c r="A278" s="19">
        <v>45687</v>
      </c>
      <c r="B278" s="20">
        <v>4.8947865628319299E-2</v>
      </c>
      <c r="C278" s="20">
        <v>4.8959368619982298E-2</v>
      </c>
      <c r="D278" s="20">
        <v>4.8953620000000003E-2</v>
      </c>
      <c r="E278" s="21">
        <v>3.2849700000000398E-4</v>
      </c>
      <c r="F278" s="21">
        <v>0.67557052760567304</v>
      </c>
      <c r="G278" s="21">
        <v>8.68984447850705E-2</v>
      </c>
      <c r="H278" s="20">
        <v>4.8953620000000003E-2</v>
      </c>
      <c r="I278" s="20">
        <v>4.8953620000000003E-2</v>
      </c>
      <c r="K278">
        <f t="shared" si="8"/>
        <v>6.7557052760567338E-3</v>
      </c>
      <c r="L278">
        <f t="shared" si="9"/>
        <v>2.3497734514829106E-4</v>
      </c>
    </row>
    <row r="279" spans="1:12" ht="15" customHeight="1" x14ac:dyDescent="0.3">
      <c r="A279" s="22">
        <v>45686</v>
      </c>
      <c r="B279" s="23">
        <v>4.8619214313496702E-2</v>
      </c>
      <c r="C279" s="23">
        <v>4.8631036327384101E-2</v>
      </c>
      <c r="D279" s="23">
        <v>4.8625122999999999E-2</v>
      </c>
      <c r="E279" s="24">
        <v>-4.1414000000003497E-5</v>
      </c>
      <c r="F279" s="24">
        <v>-8.5097487006324801E-2</v>
      </c>
      <c r="G279" s="24">
        <v>-0.58472187417023702</v>
      </c>
      <c r="H279" s="23">
        <v>4.8625122999999999E-2</v>
      </c>
      <c r="I279" s="23">
        <v>4.8625122999999999E-2</v>
      </c>
      <c r="K279">
        <f t="shared" si="8"/>
        <v>-8.5097487006324801E-4</v>
      </c>
      <c r="L279">
        <f t="shared" si="9"/>
        <v>2.4312563461072962E-4</v>
      </c>
    </row>
    <row r="280" spans="1:12" ht="15" customHeight="1" x14ac:dyDescent="0.3">
      <c r="A280" s="19">
        <v>45685</v>
      </c>
      <c r="B280" s="20">
        <v>4.86606165300114E-2</v>
      </c>
      <c r="C280" s="20">
        <v>4.86724586892507E-2</v>
      </c>
      <c r="D280" s="20">
        <v>4.8666537000000003E-2</v>
      </c>
      <c r="E280" s="21">
        <v>2.3334700000000099E-4</v>
      </c>
      <c r="F280" s="21">
        <v>0.48179151528115999</v>
      </c>
      <c r="G280" s="21">
        <v>-0.50004991707712199</v>
      </c>
      <c r="H280" s="20">
        <v>4.8666537000000003E-2</v>
      </c>
      <c r="I280" s="20">
        <v>4.8666537000000003E-2</v>
      </c>
      <c r="K280">
        <f t="shared" si="8"/>
        <v>4.8179151528116027E-3</v>
      </c>
      <c r="L280">
        <f t="shared" si="9"/>
        <v>2.4333268749531778E-4</v>
      </c>
    </row>
    <row r="281" spans="1:12" ht="15" customHeight="1" x14ac:dyDescent="0.3">
      <c r="A281" s="22">
        <v>45684</v>
      </c>
      <c r="B281" s="23">
        <v>4.8426853658890899E-2</v>
      </c>
      <c r="C281" s="23">
        <v>4.8439520836259901E-2</v>
      </c>
      <c r="D281" s="23">
        <v>4.8433190000000001E-2</v>
      </c>
      <c r="E281" s="24">
        <v>-1.08156999999999E-3</v>
      </c>
      <c r="F281" s="24">
        <v>-2.1843385689438701</v>
      </c>
      <c r="G281" s="24">
        <v>-0.97713368517017496</v>
      </c>
      <c r="H281" s="23">
        <v>4.8433190000000001E-2</v>
      </c>
      <c r="I281" s="23">
        <v>4.8433190000000001E-2</v>
      </c>
      <c r="K281">
        <f t="shared" si="8"/>
        <v>-2.1843385689438777E-2</v>
      </c>
      <c r="L281">
        <f t="shared" si="9"/>
        <v>2.6153919180219921E-4</v>
      </c>
    </row>
    <row r="282" spans="1:12" ht="15" customHeight="1" x14ac:dyDescent="0.3">
      <c r="A282" s="19">
        <v>45681</v>
      </c>
      <c r="B282" s="20">
        <v>4.9508381769033501E-2</v>
      </c>
      <c r="C282" s="20">
        <v>4.9521130666455401E-2</v>
      </c>
      <c r="D282" s="20">
        <v>4.9514759999999998E-2</v>
      </c>
      <c r="E282" s="21">
        <v>6.2814999999999995E-4</v>
      </c>
      <c r="F282" s="21">
        <v>1.2849121671557799</v>
      </c>
      <c r="G282" s="21">
        <v>1.23416318625477</v>
      </c>
      <c r="H282" s="20">
        <v>4.9514759999999998E-2</v>
      </c>
      <c r="I282" s="20">
        <v>4.9514759999999998E-2</v>
      </c>
      <c r="K282">
        <f t="shared" si="8"/>
        <v>1.2849121671557828E-2</v>
      </c>
      <c r="L282">
        <f t="shared" si="9"/>
        <v>2.5747670839766987E-4</v>
      </c>
    </row>
    <row r="283" spans="1:12" ht="15" customHeight="1" x14ac:dyDescent="0.3">
      <c r="A283" s="22">
        <v>45680</v>
      </c>
      <c r="B283" s="23">
        <v>4.8880155634415501E-2</v>
      </c>
      <c r="C283" s="23">
        <v>4.8893061096769101E-2</v>
      </c>
      <c r="D283" s="23">
        <v>4.8886609999999997E-2</v>
      </c>
      <c r="E283" s="24">
        <v>2.2836199999999501E-4</v>
      </c>
      <c r="F283" s="24">
        <v>0.46931817191608799</v>
      </c>
      <c r="G283" s="24">
        <v>-5.0105173431226203E-2</v>
      </c>
      <c r="H283" s="23">
        <v>4.8886609999999997E-2</v>
      </c>
      <c r="I283" s="23">
        <v>4.8886609999999997E-2</v>
      </c>
      <c r="K283">
        <f t="shared" si="8"/>
        <v>4.6931817191608882E-3</v>
      </c>
      <c r="L283">
        <f t="shared" si="9"/>
        <v>2.6398767174898004E-4</v>
      </c>
    </row>
    <row r="284" spans="1:12" ht="15" customHeight="1" x14ac:dyDescent="0.3">
      <c r="A284" s="19">
        <v>45679</v>
      </c>
      <c r="B284" s="20">
        <v>4.8653987437540402E-2</v>
      </c>
      <c r="C284" s="20">
        <v>4.8662510888236803E-2</v>
      </c>
      <c r="D284" s="20">
        <v>4.8658248000000001E-2</v>
      </c>
      <c r="E284" s="21">
        <v>2.3796000000000201E-4</v>
      </c>
      <c r="F284" s="21">
        <v>0.49144689102220601</v>
      </c>
      <c r="G284" s="21">
        <v>-0.51699698455055898</v>
      </c>
      <c r="H284" s="20">
        <v>4.8658248000000001E-2</v>
      </c>
      <c r="I284" s="20">
        <v>4.8658248000000001E-2</v>
      </c>
      <c r="K284">
        <f t="shared" si="8"/>
        <v>4.9144689102220696E-3</v>
      </c>
      <c r="L284">
        <f t="shared" si="9"/>
        <v>1.7516969982972266E-4</v>
      </c>
    </row>
    <row r="285" spans="1:12" ht="15" customHeight="1" x14ac:dyDescent="0.3">
      <c r="A285" s="22">
        <v>45678</v>
      </c>
      <c r="B285" s="23">
        <v>4.8413489934835401E-2</v>
      </c>
      <c r="C285" s="23">
        <v>4.8427088176042202E-2</v>
      </c>
      <c r="D285" s="23">
        <v>4.8420287999999999E-2</v>
      </c>
      <c r="E285" s="24">
        <v>-2.2967499999999801E-4</v>
      </c>
      <c r="F285" s="24">
        <v>-0.47209696747353402</v>
      </c>
      <c r="G285" s="24">
        <v>-1.0035121463286101</v>
      </c>
      <c r="H285" s="23">
        <v>4.8420287999999999E-2</v>
      </c>
      <c r="I285" s="23">
        <v>4.8420287999999999E-2</v>
      </c>
      <c r="K285">
        <f t="shared" si="8"/>
        <v>-4.7209696747353425E-3</v>
      </c>
      <c r="L285">
        <f t="shared" si="9"/>
        <v>2.8083767710760299E-4</v>
      </c>
    </row>
    <row r="286" spans="1:12" ht="15" customHeight="1" x14ac:dyDescent="0.3">
      <c r="A286" s="19">
        <v>45677</v>
      </c>
      <c r="B286" s="20">
        <v>4.8638605433904997E-2</v>
      </c>
      <c r="C286" s="20">
        <v>4.8661326897061798E-2</v>
      </c>
      <c r="D286" s="20">
        <v>4.8649962999999997E-2</v>
      </c>
      <c r="E286" s="21">
        <v>3.05748999999994E-4</v>
      </c>
      <c r="F286" s="21">
        <v>0.632441764385682</v>
      </c>
      <c r="G286" s="21">
        <v>-0.53393587392412101</v>
      </c>
      <c r="H286" s="20">
        <v>4.8649962999999997E-2</v>
      </c>
      <c r="I286" s="20">
        <v>4.8649962999999997E-2</v>
      </c>
      <c r="K286">
        <f t="shared" si="8"/>
        <v>6.3244176438568278E-3</v>
      </c>
      <c r="L286">
        <f t="shared" si="9"/>
        <v>4.6703968010830673E-4</v>
      </c>
    </row>
    <row r="287" spans="1:12" ht="15" customHeight="1" x14ac:dyDescent="0.3">
      <c r="A287" s="22">
        <v>45674</v>
      </c>
      <c r="B287" s="23">
        <v>4.8339303237283103E-2</v>
      </c>
      <c r="C287" s="23">
        <v>4.8349119320791598E-2</v>
      </c>
      <c r="D287" s="23">
        <v>4.8344214000000003E-2</v>
      </c>
      <c r="E287" s="24">
        <v>1.4796200000000099E-4</v>
      </c>
      <c r="F287" s="24">
        <v>0.30699897577097701</v>
      </c>
      <c r="G287" s="24">
        <v>-1.1590473388697899</v>
      </c>
      <c r="H287" s="23">
        <v>4.8344214000000003E-2</v>
      </c>
      <c r="I287" s="23">
        <v>4.8344214000000003E-2</v>
      </c>
      <c r="K287">
        <f t="shared" si="8"/>
        <v>3.069989757709779E-3</v>
      </c>
      <c r="L287">
        <f t="shared" si="9"/>
        <v>2.0304567385239845E-4</v>
      </c>
    </row>
    <row r="288" spans="1:12" ht="15" customHeight="1" x14ac:dyDescent="0.3">
      <c r="A288" s="19">
        <v>45673</v>
      </c>
      <c r="B288" s="20">
        <v>4.81902164222619E-2</v>
      </c>
      <c r="C288" s="20">
        <v>4.8202295393306602E-2</v>
      </c>
      <c r="D288" s="20">
        <v>4.8196252000000002E-2</v>
      </c>
      <c r="E288" s="21">
        <v>-6.3068100000000099E-4</v>
      </c>
      <c r="F288" s="21">
        <v>-1.2916662203624401</v>
      </c>
      <c r="G288" s="21">
        <v>-1.4615593424292299</v>
      </c>
      <c r="H288" s="20">
        <v>4.8196252000000002E-2</v>
      </c>
      <c r="I288" s="20">
        <v>4.8196252000000002E-2</v>
      </c>
      <c r="K288">
        <f t="shared" si="8"/>
        <v>-1.2916662203624418E-2</v>
      </c>
      <c r="L288">
        <f t="shared" si="9"/>
        <v>2.5062054710606294E-4</v>
      </c>
    </row>
    <row r="289" spans="1:12" ht="15" customHeight="1" x14ac:dyDescent="0.3">
      <c r="A289" s="22">
        <v>45672</v>
      </c>
      <c r="B289" s="23">
        <v>4.8822641988448601E-2</v>
      </c>
      <c r="C289" s="23">
        <v>4.8831224638282697E-2</v>
      </c>
      <c r="D289" s="23">
        <v>4.8826933000000003E-2</v>
      </c>
      <c r="E289" s="24">
        <v>1.6086000000005399E-5</v>
      </c>
      <c r="F289" s="24">
        <v>3.2955789519495397E-2</v>
      </c>
      <c r="G289" s="24">
        <v>-0.17211629004505</v>
      </c>
      <c r="H289" s="23">
        <v>4.8826933000000003E-2</v>
      </c>
      <c r="I289" s="23">
        <v>4.8826933000000003E-2</v>
      </c>
      <c r="K289">
        <f t="shared" si="8"/>
        <v>3.2955789519495404E-4</v>
      </c>
      <c r="L289">
        <f t="shared" si="9"/>
        <v>1.7577695969755644E-4</v>
      </c>
    </row>
    <row r="290" spans="1:12" ht="15" customHeight="1" x14ac:dyDescent="0.3">
      <c r="A290" s="19">
        <v>45671</v>
      </c>
      <c r="B290" s="20">
        <v>4.8804056593184E-2</v>
      </c>
      <c r="C290" s="20">
        <v>4.8817636835836099E-2</v>
      </c>
      <c r="D290" s="20">
        <v>4.8810846999999997E-2</v>
      </c>
      <c r="E290" s="21">
        <v>7.1773699999999596E-4</v>
      </c>
      <c r="F290" s="21">
        <v>1.4923904900306899</v>
      </c>
      <c r="G290" s="21">
        <v>-0.20500451870686001</v>
      </c>
      <c r="H290" s="20">
        <v>4.8810846999999997E-2</v>
      </c>
      <c r="I290" s="20">
        <v>4.8810846999999997E-2</v>
      </c>
      <c r="K290">
        <f t="shared" si="8"/>
        <v>1.4923904900306928E-2</v>
      </c>
      <c r="L290">
        <f t="shared" si="9"/>
        <v>2.7822181926281573E-4</v>
      </c>
    </row>
    <row r="291" spans="1:12" ht="15" customHeight="1" x14ac:dyDescent="0.3">
      <c r="A291" s="22">
        <v>45670</v>
      </c>
      <c r="B291" s="23">
        <v>4.8087095347092698E-2</v>
      </c>
      <c r="C291" s="23">
        <v>4.8099122672002503E-2</v>
      </c>
      <c r="D291" s="23">
        <v>4.8093110000000001E-2</v>
      </c>
      <c r="E291" s="24">
        <v>-2.09069999999998E-4</v>
      </c>
      <c r="F291" s="24">
        <v>-0.43283760691545903</v>
      </c>
      <c r="G291" s="24">
        <v>-1.67243573684893</v>
      </c>
      <c r="H291" s="23">
        <v>4.8093110000000001E-2</v>
      </c>
      <c r="I291" s="23">
        <v>4.8093110000000001E-2</v>
      </c>
      <c r="K291">
        <f t="shared" si="8"/>
        <v>-4.3283760691545936E-3</v>
      </c>
      <c r="L291">
        <f t="shared" si="9"/>
        <v>2.5008415778903008E-4</v>
      </c>
    </row>
    <row r="292" spans="1:12" ht="15" customHeight="1" x14ac:dyDescent="0.3">
      <c r="A292" s="19">
        <v>45667</v>
      </c>
      <c r="B292" s="20">
        <v>4.82970461526573E-2</v>
      </c>
      <c r="C292" s="20">
        <v>4.8307311794713197E-2</v>
      </c>
      <c r="D292" s="20">
        <v>4.830218E-2</v>
      </c>
      <c r="E292" s="21">
        <v>-5.5337799999999999E-4</v>
      </c>
      <c r="F292" s="21">
        <v>-1.1326817718467199</v>
      </c>
      <c r="G292" s="21">
        <v>-1.24498690144409</v>
      </c>
      <c r="H292" s="20">
        <v>4.830218E-2</v>
      </c>
      <c r="I292" s="20">
        <v>4.830218E-2</v>
      </c>
      <c r="K292">
        <f t="shared" si="8"/>
        <v>-1.1326817718467219E-2</v>
      </c>
      <c r="L292">
        <f t="shared" si="9"/>
        <v>2.1252958056752134E-4</v>
      </c>
    </row>
    <row r="293" spans="1:12" ht="15" customHeight="1" x14ac:dyDescent="0.3">
      <c r="A293" s="22">
        <v>45666</v>
      </c>
      <c r="B293" s="23">
        <v>4.88507852763733E-2</v>
      </c>
      <c r="C293" s="23">
        <v>4.8860332738866002E-2</v>
      </c>
      <c r="D293" s="23">
        <v>4.8855558E-2</v>
      </c>
      <c r="E293" s="24">
        <v>-2.39862E-4</v>
      </c>
      <c r="F293" s="24">
        <v>-0.48856288427718803</v>
      </c>
      <c r="G293" s="24">
        <v>-0.113591762788808</v>
      </c>
      <c r="H293" s="23">
        <v>4.8855558E-2</v>
      </c>
      <c r="I293" s="23">
        <v>4.8855558E-2</v>
      </c>
      <c r="K293">
        <f t="shared" si="8"/>
        <v>-4.885628842771883E-3</v>
      </c>
      <c r="L293">
        <f t="shared" si="9"/>
        <v>1.9542223819657317E-4</v>
      </c>
    </row>
    <row r="294" spans="1:12" ht="15" customHeight="1" x14ac:dyDescent="0.3">
      <c r="A294" s="19">
        <v>45665</v>
      </c>
      <c r="B294" s="20">
        <v>4.90893917824358E-2</v>
      </c>
      <c r="C294" s="20">
        <v>4.9101443582441298E-2</v>
      </c>
      <c r="D294" s="20">
        <v>4.9095420000000001E-2</v>
      </c>
      <c r="E294" s="21">
        <v>-1.20205999999997E-4</v>
      </c>
      <c r="F294" s="21">
        <v>-0.24424356605765499</v>
      </c>
      <c r="G294" s="21">
        <v>0.37681208548151401</v>
      </c>
      <c r="H294" s="20">
        <v>4.9095420000000001E-2</v>
      </c>
      <c r="I294" s="20">
        <v>4.9095420000000001E-2</v>
      </c>
      <c r="K294">
        <f t="shared" si="8"/>
        <v>-2.4424356605765585E-3</v>
      </c>
      <c r="L294">
        <f t="shared" si="9"/>
        <v>2.4547707312613641E-4</v>
      </c>
    </row>
    <row r="295" spans="1:12" ht="15" customHeight="1" x14ac:dyDescent="0.3">
      <c r="A295" s="22">
        <v>45664</v>
      </c>
      <c r="B295" s="23">
        <v>4.92106609975985E-2</v>
      </c>
      <c r="C295" s="23">
        <v>4.9220591926838503E-2</v>
      </c>
      <c r="D295" s="23">
        <v>4.9215625999999998E-2</v>
      </c>
      <c r="E295" s="24">
        <v>-6.6610000000050198E-6</v>
      </c>
      <c r="F295" s="24">
        <v>-1.3532487834233499E-2</v>
      </c>
      <c r="G295" s="24">
        <v>0.62257625398332495</v>
      </c>
      <c r="H295" s="23">
        <v>4.9215625999999998E-2</v>
      </c>
      <c r="I295" s="23">
        <v>4.9215625999999998E-2</v>
      </c>
      <c r="K295">
        <f t="shared" si="8"/>
        <v>-1.3532487834233553E-4</v>
      </c>
      <c r="L295">
        <f t="shared" si="9"/>
        <v>2.0178406833639914E-4</v>
      </c>
    </row>
    <row r="296" spans="1:12" ht="15" customHeight="1" x14ac:dyDescent="0.3">
      <c r="A296" s="19">
        <v>45663</v>
      </c>
      <c r="B296" s="20">
        <v>4.9215504852648799E-2</v>
      </c>
      <c r="C296" s="20">
        <v>4.92290727211862E-2</v>
      </c>
      <c r="D296" s="20">
        <v>4.9222287000000003E-2</v>
      </c>
      <c r="E296" s="21">
        <v>8.1606200000000596E-4</v>
      </c>
      <c r="F296" s="21">
        <v>1.6858616841119101</v>
      </c>
      <c r="G296" s="21">
        <v>0.636194834806178</v>
      </c>
      <c r="H296" s="20">
        <v>4.9222287000000003E-2</v>
      </c>
      <c r="I296" s="20">
        <v>4.9222287000000003E-2</v>
      </c>
      <c r="K296">
        <f t="shared" si="8"/>
        <v>1.6858616841119112E-2</v>
      </c>
      <c r="L296">
        <f t="shared" si="9"/>
        <v>2.7564482197669468E-4</v>
      </c>
    </row>
    <row r="297" spans="1:12" ht="15" customHeight="1" x14ac:dyDescent="0.3">
      <c r="A297" s="22">
        <v>45660</v>
      </c>
      <c r="B297" s="23">
        <v>4.8402007715279999E-2</v>
      </c>
      <c r="C297" s="23">
        <v>4.8410443100785697E-2</v>
      </c>
      <c r="D297" s="23">
        <v>4.8406224999999997E-2</v>
      </c>
      <c r="E297" s="24">
        <v>-1.87530000000032E-5</v>
      </c>
      <c r="F297" s="24">
        <v>-3.8725882332879498E-2</v>
      </c>
      <c r="G297" s="24">
        <v>-1.03226430097681</v>
      </c>
      <c r="H297" s="23">
        <v>4.8406224999999997E-2</v>
      </c>
      <c r="I297" s="23">
        <v>4.8406224999999997E-2</v>
      </c>
      <c r="K297">
        <f t="shared" si="8"/>
        <v>-3.8725882332879547E-4</v>
      </c>
      <c r="L297">
        <f t="shared" si="9"/>
        <v>1.7426241161540464E-4</v>
      </c>
    </row>
    <row r="298" spans="1:12" ht="15" customHeight="1" x14ac:dyDescent="0.3">
      <c r="A298" s="19">
        <v>45659</v>
      </c>
      <c r="B298" s="20">
        <v>4.8418881427001299E-2</v>
      </c>
      <c r="C298" s="20">
        <v>4.8431075315165203E-2</v>
      </c>
      <c r="D298" s="20">
        <v>4.8424978E-2</v>
      </c>
      <c r="E298" s="21">
        <v>3.31308000000002E-4</v>
      </c>
      <c r="F298" s="21">
        <v>0.68888067806012199</v>
      </c>
      <c r="G298" s="21">
        <v>-0.99392332422094598</v>
      </c>
      <c r="H298" s="20">
        <v>4.8424978E-2</v>
      </c>
      <c r="I298" s="20">
        <v>4.8424978E-2</v>
      </c>
      <c r="K298">
        <f t="shared" si="8"/>
        <v>6.8888067806012199E-3</v>
      </c>
      <c r="L298">
        <f t="shared" si="9"/>
        <v>2.5180988546663158E-4</v>
      </c>
    </row>
    <row r="299" spans="1:12" ht="15" customHeight="1" x14ac:dyDescent="0.3">
      <c r="A299" s="22">
        <v>45658</v>
      </c>
      <c r="B299" s="23">
        <v>4.8087095347092698E-2</v>
      </c>
      <c r="C299" s="23">
        <v>4.8100279462623699E-2</v>
      </c>
      <c r="D299" s="23">
        <v>4.8093669999999998E-2</v>
      </c>
      <c r="E299" s="24">
        <v>-1.80000000044033E-8</v>
      </c>
      <c r="F299" s="24">
        <v>-3.7426948840124598E-5</v>
      </c>
      <c r="G299" s="24">
        <v>-1.6712908028659299</v>
      </c>
      <c r="H299" s="23">
        <v>4.8093669999999998E-2</v>
      </c>
      <c r="I299" s="23">
        <v>4.8093669999999998E-2</v>
      </c>
      <c r="K299">
        <f t="shared" si="8"/>
        <v>-3.7426948840124652E-7</v>
      </c>
      <c r="L299">
        <f t="shared" si="9"/>
        <v>2.7413411226468788E-4</v>
      </c>
    </row>
    <row r="300" spans="1:12" ht="15" customHeight="1" x14ac:dyDescent="0.3">
      <c r="A300" s="19">
        <v>45657</v>
      </c>
      <c r="B300" s="20">
        <v>4.8087095347092698E-2</v>
      </c>
      <c r="C300" s="20">
        <v>4.8100279462623699E-2</v>
      </c>
      <c r="D300" s="20">
        <v>4.8093688000000002E-2</v>
      </c>
      <c r="E300" s="21">
        <v>-7.0108199999999795E-4</v>
      </c>
      <c r="F300" s="21">
        <v>-1.4367974272652499</v>
      </c>
      <c r="G300" s="21">
        <v>-1.6712540014164701</v>
      </c>
      <c r="H300" s="20">
        <v>4.8093688000000002E-2</v>
      </c>
      <c r="I300" s="20">
        <v>4.8093688000000002E-2</v>
      </c>
      <c r="K300">
        <f t="shared" si="8"/>
        <v>-1.4367974272652573E-2</v>
      </c>
      <c r="L300">
        <f t="shared" si="9"/>
        <v>2.7413400966465394E-4</v>
      </c>
    </row>
    <row r="301" spans="1:12" ht="15" customHeight="1" x14ac:dyDescent="0.3">
      <c r="A301" s="22">
        <v>45656</v>
      </c>
      <c r="B301" s="23">
        <v>4.8787151415803101E-2</v>
      </c>
      <c r="C301" s="23">
        <v>4.8802389364983302E-2</v>
      </c>
      <c r="D301" s="23">
        <v>4.8794770000000001E-2</v>
      </c>
      <c r="E301" s="24">
        <v>-6.2699999999999497E-4</v>
      </c>
      <c r="F301" s="24">
        <v>-1.2686716805164899</v>
      </c>
      <c r="G301" s="24">
        <v>-0.23787434664392501</v>
      </c>
      <c r="H301" s="23">
        <v>4.8794770000000001E-2</v>
      </c>
      <c r="I301" s="23">
        <v>4.8794770000000001E-2</v>
      </c>
      <c r="K301">
        <f t="shared" si="8"/>
        <v>-1.2686716805164977E-2</v>
      </c>
      <c r="L301">
        <f t="shared" si="9"/>
        <v>3.1228652538378585E-4</v>
      </c>
    </row>
    <row r="302" spans="1:12" ht="15" customHeight="1" x14ac:dyDescent="0.3">
      <c r="A302" s="19">
        <v>45653</v>
      </c>
      <c r="B302" s="20">
        <v>4.9412973870419402E-2</v>
      </c>
      <c r="C302" s="20">
        <v>4.9430559949383099E-2</v>
      </c>
      <c r="D302" s="20">
        <v>4.9421769999999997E-2</v>
      </c>
      <c r="E302" s="21">
        <v>-1.5066800000000601E-4</v>
      </c>
      <c r="F302" s="21">
        <v>-0.30393502131165201</v>
      </c>
      <c r="G302" s="21">
        <v>1.04404280932696</v>
      </c>
      <c r="H302" s="20">
        <v>4.9421769999999997E-2</v>
      </c>
      <c r="I302" s="20">
        <v>4.9421769999999997E-2</v>
      </c>
      <c r="K302">
        <f t="shared" si="8"/>
        <v>-3.0393502131165206E-3</v>
      </c>
      <c r="L302">
        <f t="shared" si="9"/>
        <v>3.5583668823873938E-4</v>
      </c>
    </row>
    <row r="303" spans="1:12" ht="15" customHeight="1" x14ac:dyDescent="0.3">
      <c r="A303" s="22">
        <v>45652</v>
      </c>
      <c r="B303" s="23">
        <v>4.9566540602431701E-2</v>
      </c>
      <c r="C303" s="23">
        <v>4.9578336250192097E-2</v>
      </c>
      <c r="D303" s="23">
        <v>4.9572438000000003E-2</v>
      </c>
      <c r="E303" s="24">
        <v>-9.2389999999942207E-6</v>
      </c>
      <c r="F303" s="24">
        <v>-1.86338997771207E-2</v>
      </c>
      <c r="G303" s="24">
        <v>1.3520872974542899</v>
      </c>
      <c r="H303" s="23">
        <v>4.9572438000000003E-2</v>
      </c>
      <c r="I303" s="23">
        <v>4.9572438000000003E-2</v>
      </c>
      <c r="K303">
        <f t="shared" si="8"/>
        <v>-1.863389977712071E-4</v>
      </c>
      <c r="L303">
        <f t="shared" si="9"/>
        <v>2.3794770312478633E-4</v>
      </c>
    </row>
    <row r="304" spans="1:12" ht="15" customHeight="1" x14ac:dyDescent="0.3">
      <c r="A304" s="19">
        <v>45651</v>
      </c>
      <c r="B304" s="20">
        <v>4.9575386811955599E-2</v>
      </c>
      <c r="C304" s="20">
        <v>4.9587924348662597E-2</v>
      </c>
      <c r="D304" s="20">
        <v>4.9581676999999998E-2</v>
      </c>
      <c r="E304" s="21">
        <v>2.2999999994832699E-8</v>
      </c>
      <c r="F304" s="21">
        <v>4.6388125718443899E-5</v>
      </c>
      <c r="G304" s="21">
        <v>1.37097666364888</v>
      </c>
      <c r="H304" s="20">
        <v>4.9581676999999998E-2</v>
      </c>
      <c r="I304" s="20">
        <v>4.9581676999999998E-2</v>
      </c>
      <c r="K304">
        <f t="shared" si="8"/>
        <v>4.6388125718443973E-7</v>
      </c>
      <c r="L304">
        <f t="shared" si="9"/>
        <v>2.5286633017673554E-4</v>
      </c>
    </row>
    <row r="305" spans="1:12" ht="15" customHeight="1" x14ac:dyDescent="0.3">
      <c r="A305" s="22">
        <v>45650</v>
      </c>
      <c r="B305" s="23">
        <v>4.9575386811955599E-2</v>
      </c>
      <c r="C305" s="23">
        <v>4.9587924348662597E-2</v>
      </c>
      <c r="D305" s="23">
        <v>4.9581654000000003E-2</v>
      </c>
      <c r="E305" s="24">
        <v>5.0958000000003702E-5</v>
      </c>
      <c r="F305" s="24">
        <v>0.10288165544858301</v>
      </c>
      <c r="G305" s="24">
        <v>1.37092963957458</v>
      </c>
      <c r="H305" s="23">
        <v>4.9581654000000003E-2</v>
      </c>
      <c r="I305" s="23">
        <v>4.9581654000000003E-2</v>
      </c>
      <c r="K305">
        <f t="shared" si="8"/>
        <v>1.0288165544858341E-3</v>
      </c>
      <c r="L305">
        <f t="shared" si="9"/>
        <v>2.528664474766867E-4</v>
      </c>
    </row>
    <row r="306" spans="1:12" ht="15" customHeight="1" x14ac:dyDescent="0.3">
      <c r="A306" s="19">
        <v>45649</v>
      </c>
      <c r="B306" s="20">
        <v>4.9524809453295598E-2</v>
      </c>
      <c r="C306" s="20">
        <v>4.9536585245032697E-2</v>
      </c>
      <c r="D306" s="20">
        <v>4.9530695999999999E-2</v>
      </c>
      <c r="E306" s="21">
        <v>-2.11884000000002E-4</v>
      </c>
      <c r="F306" s="21">
        <v>-0.425961017703546</v>
      </c>
      <c r="G306" s="21">
        <v>1.2667447361711199</v>
      </c>
      <c r="H306" s="20">
        <v>4.9530695999999999E-2</v>
      </c>
      <c r="I306" s="20">
        <v>4.9530695999999999E-2</v>
      </c>
      <c r="K306">
        <f t="shared" si="8"/>
        <v>-4.2596101770354666E-3</v>
      </c>
      <c r="L306">
        <f t="shared" si="9"/>
        <v>2.3774735039253406E-4</v>
      </c>
    </row>
    <row r="307" spans="1:12" ht="15" customHeight="1" x14ac:dyDescent="0.3">
      <c r="A307" s="22">
        <v>45646</v>
      </c>
      <c r="B307" s="23">
        <v>4.9737881365205398E-2</v>
      </c>
      <c r="C307" s="23">
        <v>4.9747283798304599E-2</v>
      </c>
      <c r="D307" s="23">
        <v>4.9742580000000002E-2</v>
      </c>
      <c r="E307" s="24">
        <v>9.5376400000000202E-4</v>
      </c>
      <c r="F307" s="24">
        <v>1.95488244682962</v>
      </c>
      <c r="G307" s="24">
        <v>1.69994686484057</v>
      </c>
      <c r="H307" s="23">
        <v>4.9742580000000002E-2</v>
      </c>
      <c r="I307" s="23">
        <v>4.9742580000000002E-2</v>
      </c>
      <c r="K307">
        <f t="shared" si="8"/>
        <v>1.95488244682962E-2</v>
      </c>
      <c r="L307">
        <f t="shared" si="9"/>
        <v>1.8902182193205436E-4</v>
      </c>
    </row>
    <row r="308" spans="1:12" ht="15" customHeight="1" x14ac:dyDescent="0.3">
      <c r="A308" s="19">
        <v>45645</v>
      </c>
      <c r="B308" s="20">
        <v>4.8782867456949097E-2</v>
      </c>
      <c r="C308" s="20">
        <v>4.8794769200741703E-2</v>
      </c>
      <c r="D308" s="20">
        <v>4.8788815999999999E-2</v>
      </c>
      <c r="E308" s="21">
        <v>-8.4020900000000105E-4</v>
      </c>
      <c r="F308" s="21">
        <v>-1.6929790581217301</v>
      </c>
      <c r="G308" s="21">
        <v>-0.250047448313229</v>
      </c>
      <c r="H308" s="20">
        <v>4.8788815999999999E-2</v>
      </c>
      <c r="I308" s="20">
        <v>4.8788815999999999E-2</v>
      </c>
      <c r="K308">
        <f t="shared" si="8"/>
        <v>-1.6929790581217352E-2</v>
      </c>
      <c r="L308">
        <f t="shared" si="9"/>
        <v>2.4394409966016714E-4</v>
      </c>
    </row>
    <row r="309" spans="1:12" ht="15" customHeight="1" x14ac:dyDescent="0.3">
      <c r="A309" s="22">
        <v>45644</v>
      </c>
      <c r="B309" s="23">
        <v>4.9622619975089398E-2</v>
      </c>
      <c r="C309" s="23">
        <v>4.9635427782934401E-2</v>
      </c>
      <c r="D309" s="23">
        <v>4.9629025E-2</v>
      </c>
      <c r="E309" s="24">
        <v>2.24347999999999E-4</v>
      </c>
      <c r="F309" s="24">
        <v>0.45410275630382002</v>
      </c>
      <c r="G309" s="24">
        <v>1.4677808319118999</v>
      </c>
      <c r="H309" s="23">
        <v>4.9629025E-2</v>
      </c>
      <c r="I309" s="23">
        <v>4.9629025E-2</v>
      </c>
      <c r="K309">
        <f t="shared" si="8"/>
        <v>4.5410275630382024E-3</v>
      </c>
      <c r="L309">
        <f t="shared" si="9"/>
        <v>2.5807091404682629E-4</v>
      </c>
    </row>
    <row r="310" spans="1:12" ht="15" customHeight="1" x14ac:dyDescent="0.3">
      <c r="A310" s="19">
        <v>45643</v>
      </c>
      <c r="B310" s="20">
        <v>4.9398084342289199E-2</v>
      </c>
      <c r="C310" s="20">
        <v>4.9411264780144598E-2</v>
      </c>
      <c r="D310" s="20">
        <v>4.9404677000000001E-2</v>
      </c>
      <c r="E310" s="21">
        <v>-1.6898700000000201E-4</v>
      </c>
      <c r="F310" s="21">
        <v>-0.34088059337312698</v>
      </c>
      <c r="G310" s="21">
        <v>1.00909574402073</v>
      </c>
      <c r="H310" s="20">
        <v>4.9404677000000001E-2</v>
      </c>
      <c r="I310" s="20">
        <v>4.9404677000000001E-2</v>
      </c>
      <c r="K310">
        <f t="shared" si="8"/>
        <v>-3.4088059337312737E-3</v>
      </c>
      <c r="L310">
        <f t="shared" si="9"/>
        <v>2.6678522471464182E-4</v>
      </c>
    </row>
    <row r="311" spans="1:12" ht="15" customHeight="1" x14ac:dyDescent="0.3">
      <c r="A311" s="22">
        <v>45642</v>
      </c>
      <c r="B311" s="23">
        <v>4.9569488988137997E-2</v>
      </c>
      <c r="C311" s="23">
        <v>4.9577844652781602E-2</v>
      </c>
      <c r="D311" s="23">
        <v>4.9573664000000003E-2</v>
      </c>
      <c r="E311" s="24">
        <v>-4.2430999999995501E-5</v>
      </c>
      <c r="F311" s="24">
        <v>-8.5518620520208505E-2</v>
      </c>
      <c r="G311" s="24">
        <v>1.35459388506708</v>
      </c>
      <c r="H311" s="23">
        <v>4.9573664000000003E-2</v>
      </c>
      <c r="I311" s="23">
        <v>4.9573664000000003E-2</v>
      </c>
      <c r="K311">
        <f t="shared" si="8"/>
        <v>-8.5518620520208533E-4</v>
      </c>
      <c r="L311">
        <f t="shared" si="9"/>
        <v>1.6855047558327741E-4</v>
      </c>
    </row>
    <row r="312" spans="1:12" ht="15" customHeight="1" x14ac:dyDescent="0.3">
      <c r="A312" s="19">
        <v>45639</v>
      </c>
      <c r="B312" s="20">
        <v>4.9610557126556501E-2</v>
      </c>
      <c r="C312" s="20">
        <v>4.9621635032874298E-2</v>
      </c>
      <c r="D312" s="20">
        <v>4.9616094999999999E-2</v>
      </c>
      <c r="E312" s="21">
        <v>1.34412999999999E-4</v>
      </c>
      <c r="F312" s="21">
        <v>0.27164193812165799</v>
      </c>
      <c r="G312" s="21">
        <v>1.44134512405431</v>
      </c>
      <c r="H312" s="20">
        <v>4.9616094999999999E-2</v>
      </c>
      <c r="I312" s="20">
        <v>4.9616094999999999E-2</v>
      </c>
      <c r="K312">
        <f t="shared" si="8"/>
        <v>2.7164193812165838E-3</v>
      </c>
      <c r="L312">
        <f t="shared" si="9"/>
        <v>2.2327243443476992E-4</v>
      </c>
    </row>
    <row r="313" spans="1:12" ht="15" customHeight="1" x14ac:dyDescent="0.3">
      <c r="A313" s="22">
        <v>45638</v>
      </c>
      <c r="B313" s="23">
        <v>4.9474335188620898E-2</v>
      </c>
      <c r="C313" s="23">
        <v>4.9489025808527001E-2</v>
      </c>
      <c r="D313" s="23">
        <v>4.9481681999999999E-2</v>
      </c>
      <c r="E313" s="24">
        <v>-4.2882000000001003E-5</v>
      </c>
      <c r="F313" s="24">
        <v>-8.6587334721410697E-2</v>
      </c>
      <c r="G313" s="24">
        <v>1.1665343893086699</v>
      </c>
      <c r="H313" s="23">
        <v>4.9481681999999999E-2</v>
      </c>
      <c r="I313" s="23">
        <v>4.9481681999999999E-2</v>
      </c>
      <c r="K313">
        <f t="shared" si="8"/>
        <v>-8.658733472141078E-4</v>
      </c>
      <c r="L313">
        <f t="shared" si="9"/>
        <v>2.9689006744159133E-4</v>
      </c>
    </row>
    <row r="314" spans="1:12" ht="15" customHeight="1" x14ac:dyDescent="0.3">
      <c r="A314" s="19">
        <v>45637</v>
      </c>
      <c r="B314" s="20">
        <v>4.9518188030463602E-2</v>
      </c>
      <c r="C314" s="20">
        <v>4.9530941979454603E-2</v>
      </c>
      <c r="D314" s="20">
        <v>4.9524564E-2</v>
      </c>
      <c r="E314" s="21">
        <v>2.2644399999999901E-4</v>
      </c>
      <c r="F314" s="21">
        <v>0.45933597467813198</v>
      </c>
      <c r="G314" s="21">
        <v>1.2542077090572299</v>
      </c>
      <c r="H314" s="20">
        <v>4.9524564E-2</v>
      </c>
      <c r="I314" s="20">
        <v>4.9524564E-2</v>
      </c>
      <c r="K314">
        <f t="shared" si="8"/>
        <v>4.5933597467813225E-3</v>
      </c>
      <c r="L314">
        <f t="shared" si="9"/>
        <v>2.5752773898223778E-4</v>
      </c>
    </row>
    <row r="315" spans="1:12" ht="15" customHeight="1" x14ac:dyDescent="0.3">
      <c r="A315" s="22">
        <v>45636</v>
      </c>
      <c r="B315" s="23">
        <v>4.92909496887277E-2</v>
      </c>
      <c r="C315" s="23">
        <v>4.9305288485242897E-2</v>
      </c>
      <c r="D315" s="23">
        <v>4.9298120000000001E-2</v>
      </c>
      <c r="E315" s="24">
        <v>-3.8515000000000001E-4</v>
      </c>
      <c r="F315" s="24">
        <v>-0.77521064937956496</v>
      </c>
      <c r="G315" s="24">
        <v>0.79123729682968302</v>
      </c>
      <c r="H315" s="23">
        <v>4.9298120000000001E-2</v>
      </c>
      <c r="I315" s="23">
        <v>4.9298120000000001E-2</v>
      </c>
      <c r="K315">
        <f t="shared" si="8"/>
        <v>-7.7521064937956519E-3</v>
      </c>
      <c r="L315">
        <f t="shared" si="9"/>
        <v>2.9085889107326418E-4</v>
      </c>
    </row>
    <row r="316" spans="1:12" ht="15" customHeight="1" x14ac:dyDescent="0.3">
      <c r="A316" s="19">
        <v>45635</v>
      </c>
      <c r="B316" s="20">
        <v>4.9676605299500298E-2</v>
      </c>
      <c r="C316" s="20">
        <v>4.9689934806805502E-2</v>
      </c>
      <c r="D316" s="20">
        <v>4.9683270000000002E-2</v>
      </c>
      <c r="E316" s="21">
        <v>2.5661999999999902E-4</v>
      </c>
      <c r="F316" s="21">
        <v>0.51919359293013301</v>
      </c>
      <c r="G316" s="21">
        <v>1.57868608889059</v>
      </c>
      <c r="H316" s="20">
        <v>4.9683270000000002E-2</v>
      </c>
      <c r="I316" s="20">
        <v>4.9683270000000002E-2</v>
      </c>
      <c r="K316">
        <f t="shared" si="8"/>
        <v>5.191935929301339E-3</v>
      </c>
      <c r="L316">
        <f t="shared" si="9"/>
        <v>2.6828965374469543E-4</v>
      </c>
    </row>
    <row r="317" spans="1:12" ht="15" customHeight="1" x14ac:dyDescent="0.3">
      <c r="A317" s="22">
        <v>45632</v>
      </c>
      <c r="B317" s="23">
        <v>4.9419078729534299E-2</v>
      </c>
      <c r="C317" s="23">
        <v>4.9434225291538299E-2</v>
      </c>
      <c r="D317" s="23">
        <v>4.9426650000000003E-2</v>
      </c>
      <c r="E317" s="24">
        <v>-1.2859199999999601E-4</v>
      </c>
      <c r="F317" s="24">
        <v>-0.25949222485887002</v>
      </c>
      <c r="G317" s="24">
        <v>1.05402009117887</v>
      </c>
      <c r="H317" s="23">
        <v>4.9426650000000003E-2</v>
      </c>
      <c r="I317" s="23">
        <v>4.9426650000000003E-2</v>
      </c>
      <c r="K317">
        <f t="shared" si="8"/>
        <v>-2.5949222485887047E-3</v>
      </c>
      <c r="L317">
        <f t="shared" si="9"/>
        <v>3.0644524773577609E-4</v>
      </c>
    </row>
    <row r="318" spans="1:12" ht="15" customHeight="1" x14ac:dyDescent="0.3">
      <c r="A318" s="19">
        <v>45631</v>
      </c>
      <c r="B318" s="20">
        <v>4.9547875634832199E-2</v>
      </c>
      <c r="C318" s="20">
        <v>4.9562609967040899E-2</v>
      </c>
      <c r="D318" s="20">
        <v>4.9555241999999999E-2</v>
      </c>
      <c r="E318" s="21">
        <v>2.9658500000000199E-4</v>
      </c>
      <c r="F318" s="21">
        <v>0.60209721105470804</v>
      </c>
      <c r="G318" s="21">
        <v>1.3169296460761699</v>
      </c>
      <c r="H318" s="20">
        <v>4.9555241999999999E-2</v>
      </c>
      <c r="I318" s="20">
        <v>4.9555241999999999E-2</v>
      </c>
      <c r="K318">
        <f t="shared" si="8"/>
        <v>6.0209721105470848E-3</v>
      </c>
      <c r="L318">
        <f t="shared" si="9"/>
        <v>2.9733145503961836E-4</v>
      </c>
    </row>
    <row r="319" spans="1:12" ht="15" customHeight="1" x14ac:dyDescent="0.3">
      <c r="A319" s="22">
        <v>45630</v>
      </c>
      <c r="B319" s="23">
        <v>4.9252591917649698E-2</v>
      </c>
      <c r="C319" s="23">
        <v>4.9264723994383801E-2</v>
      </c>
      <c r="D319" s="23">
        <v>4.9258656999999997E-2</v>
      </c>
      <c r="E319" s="24">
        <v>6.0699999999969101E-7</v>
      </c>
      <c r="F319" s="24">
        <v>1.2322858903290801E-3</v>
      </c>
      <c r="G319" s="24">
        <v>0.71055420795235602</v>
      </c>
      <c r="H319" s="23">
        <v>4.9258656999999997E-2</v>
      </c>
      <c r="I319" s="23">
        <v>4.9258656999999997E-2</v>
      </c>
      <c r="K319">
        <f t="shared" si="8"/>
        <v>1.2322858903290879E-5</v>
      </c>
      <c r="L319">
        <f t="shared" si="9"/>
        <v>2.4629329082405182E-4</v>
      </c>
    </row>
    <row r="320" spans="1:12" ht="15" customHeight="1" x14ac:dyDescent="0.3">
      <c r="A320" s="19">
        <v>45629</v>
      </c>
      <c r="B320" s="20">
        <v>4.9251136469973998E-2</v>
      </c>
      <c r="C320" s="20">
        <v>4.9264966696882503E-2</v>
      </c>
      <c r="D320" s="20">
        <v>4.9258049999999998E-2</v>
      </c>
      <c r="E320" s="21">
        <v>4.2873299999999999E-4</v>
      </c>
      <c r="F320" s="21">
        <v>0.87802374954373197</v>
      </c>
      <c r="G320" s="21">
        <v>0.70931318129577903</v>
      </c>
      <c r="H320" s="20">
        <v>4.9258049999999998E-2</v>
      </c>
      <c r="I320" s="20">
        <v>4.9258049999999998E-2</v>
      </c>
      <c r="K320">
        <f t="shared" si="8"/>
        <v>8.7802374954373263E-3</v>
      </c>
      <c r="L320">
        <f t="shared" si="9"/>
        <v>2.807708975183807E-4</v>
      </c>
    </row>
    <row r="321" spans="1:12" ht="15" customHeight="1" x14ac:dyDescent="0.3">
      <c r="A321" s="22">
        <v>45628</v>
      </c>
      <c r="B321" s="23">
        <v>4.8820735142629801E-2</v>
      </c>
      <c r="C321" s="23">
        <v>4.8837902119076598E-2</v>
      </c>
      <c r="D321" s="23">
        <v>4.8829316999999997E-2</v>
      </c>
      <c r="E321" s="24">
        <v>-5.3145700000000601E-4</v>
      </c>
      <c r="F321" s="24">
        <v>-1.07667882193258</v>
      </c>
      <c r="G321" s="24">
        <v>-0.16724214251741501</v>
      </c>
      <c r="H321" s="23">
        <v>4.8829316999999997E-2</v>
      </c>
      <c r="I321" s="23">
        <v>4.8829316999999997E-2</v>
      </c>
      <c r="K321">
        <f t="shared" si="8"/>
        <v>-1.0766788219325862E-2</v>
      </c>
      <c r="L321">
        <f t="shared" si="9"/>
        <v>3.5157109502058842E-4</v>
      </c>
    </row>
    <row r="322" spans="1:12" ht="15" customHeight="1" x14ac:dyDescent="0.3">
      <c r="A322" s="19">
        <v>45625</v>
      </c>
      <c r="B322" s="20">
        <v>4.9352495262160498E-2</v>
      </c>
      <c r="C322" s="20">
        <v>4.9369063370129702E-2</v>
      </c>
      <c r="D322" s="20">
        <v>4.9360774000000003E-2</v>
      </c>
      <c r="E322" s="21">
        <v>3.5918099999999998E-4</v>
      </c>
      <c r="F322" s="21">
        <v>0.73299861904490005</v>
      </c>
      <c r="G322" s="21">
        <v>0.91933496427817396</v>
      </c>
      <c r="H322" s="20">
        <v>4.9360774000000003E-2</v>
      </c>
      <c r="I322" s="20">
        <v>4.9360774000000003E-2</v>
      </c>
      <c r="K322">
        <f t="shared" si="8"/>
        <v>7.3299861904490005E-3</v>
      </c>
      <c r="L322">
        <f t="shared" si="9"/>
        <v>3.3565332604396656E-4</v>
      </c>
    </row>
    <row r="323" spans="1:12" ht="15" customHeight="1" x14ac:dyDescent="0.3">
      <c r="A323" s="22">
        <v>45624</v>
      </c>
      <c r="B323" s="23">
        <v>4.8994390142328703E-2</v>
      </c>
      <c r="C323" s="23">
        <v>4.9008797079075697E-2</v>
      </c>
      <c r="D323" s="23">
        <v>4.9001593000000003E-2</v>
      </c>
      <c r="E323" s="24">
        <v>6.38679000000003E-4</v>
      </c>
      <c r="F323" s="24">
        <v>1.32059660424928</v>
      </c>
      <c r="G323" s="24">
        <v>0.18498044115411599</v>
      </c>
      <c r="H323" s="23">
        <v>4.9001593000000003E-2</v>
      </c>
      <c r="I323" s="23">
        <v>4.9001593000000003E-2</v>
      </c>
      <c r="K323">
        <f t="shared" si="8"/>
        <v>1.32059660424928E-2</v>
      </c>
      <c r="L323">
        <f t="shared" si="9"/>
        <v>2.9400955897482766E-4</v>
      </c>
    </row>
    <row r="324" spans="1:12" ht="15" customHeight="1" x14ac:dyDescent="0.3">
      <c r="A324" s="19">
        <v>45623</v>
      </c>
      <c r="B324" s="20">
        <v>4.8356600917808301E-2</v>
      </c>
      <c r="C324" s="20">
        <v>4.83692313645444E-2</v>
      </c>
      <c r="D324" s="20">
        <v>4.8362914E-2</v>
      </c>
      <c r="E324" s="21">
        <v>1.9284000000001301E-5</v>
      </c>
      <c r="F324" s="21">
        <v>3.98894332097166E-2</v>
      </c>
      <c r="G324" s="21">
        <v>-1.1208147219373401</v>
      </c>
      <c r="H324" s="20">
        <v>4.8362914E-2</v>
      </c>
      <c r="I324" s="20">
        <v>4.8362914E-2</v>
      </c>
      <c r="K324">
        <f t="shared" si="8"/>
        <v>3.9889433209716607E-4</v>
      </c>
      <c r="L324">
        <f t="shared" si="9"/>
        <v>2.6115975427161165E-4</v>
      </c>
    </row>
    <row r="325" spans="1:12" ht="15" customHeight="1" x14ac:dyDescent="0.3">
      <c r="A325" s="22">
        <v>45622</v>
      </c>
      <c r="B325" s="23">
        <v>4.83367330168889E-2</v>
      </c>
      <c r="C325" s="23">
        <v>4.8350521943884402E-2</v>
      </c>
      <c r="D325" s="23">
        <v>4.8343629999999999E-2</v>
      </c>
      <c r="E325" s="24">
        <v>-8.1695500000000104E-4</v>
      </c>
      <c r="F325" s="24">
        <v>-1.66180894714739</v>
      </c>
      <c r="G325" s="24">
        <v>-1.16024134145208</v>
      </c>
      <c r="H325" s="23">
        <v>4.8343629999999999E-2</v>
      </c>
      <c r="I325" s="23">
        <v>4.8343629999999999E-2</v>
      </c>
      <c r="K325">
        <f t="shared" ref="K325:K388" si="10">D325/D326-1</f>
        <v>-1.6618089471473918E-2</v>
      </c>
      <c r="L325">
        <f t="shared" ref="L325:L388" si="11">(C325-B325)/D325</f>
        <v>2.8522738146684231E-4</v>
      </c>
    </row>
    <row r="326" spans="1:12" ht="15" customHeight="1" x14ac:dyDescent="0.3">
      <c r="A326" s="19">
        <v>45621</v>
      </c>
      <c r="B326" s="20">
        <v>4.9155266741054998E-2</v>
      </c>
      <c r="C326" s="20">
        <v>4.9165900498050599E-2</v>
      </c>
      <c r="D326" s="20">
        <v>4.9160585E-2</v>
      </c>
      <c r="E326" s="21">
        <v>4.21703000000002E-4</v>
      </c>
      <c r="F326" s="21">
        <v>0.86522912035611399</v>
      </c>
      <c r="G326" s="21">
        <v>0.51004355512879096</v>
      </c>
      <c r="H326" s="20">
        <v>4.9160585E-2</v>
      </c>
      <c r="I326" s="20">
        <v>4.9160585E-2</v>
      </c>
      <c r="K326">
        <f t="shared" si="10"/>
        <v>8.6522912035611466E-3</v>
      </c>
      <c r="L326">
        <f t="shared" si="11"/>
        <v>2.1630655932188553E-4</v>
      </c>
    </row>
    <row r="327" spans="1:12" ht="15" customHeight="1" x14ac:dyDescent="0.3">
      <c r="A327" s="22">
        <v>45618</v>
      </c>
      <c r="B327" s="23">
        <v>4.8727481812467402E-2</v>
      </c>
      <c r="C327" s="23">
        <v>4.8750286407932601E-2</v>
      </c>
      <c r="D327" s="23">
        <v>4.8738881999999997E-2</v>
      </c>
      <c r="E327" s="24">
        <v>-3.8789199999999998E-4</v>
      </c>
      <c r="F327" s="24">
        <v>-0.78957352257651403</v>
      </c>
      <c r="G327" s="24">
        <v>-0.35213875814776302</v>
      </c>
      <c r="H327" s="23">
        <v>4.8738881999999997E-2</v>
      </c>
      <c r="I327" s="23">
        <v>4.8738881999999997E-2</v>
      </c>
      <c r="K327">
        <f t="shared" si="10"/>
        <v>-7.8957352257651436E-3</v>
      </c>
      <c r="L327">
        <f t="shared" si="11"/>
        <v>4.6789328210686596E-4</v>
      </c>
    </row>
    <row r="328" spans="1:12" ht="15" customHeight="1" x14ac:dyDescent="0.3">
      <c r="A328" s="19">
        <v>45617</v>
      </c>
      <c r="B328" s="20">
        <v>4.9119291110390699E-2</v>
      </c>
      <c r="C328" s="20">
        <v>4.9134254436823198E-2</v>
      </c>
      <c r="D328" s="20">
        <v>4.9126773999999998E-2</v>
      </c>
      <c r="E328" s="21">
        <v>-2.71796000000004E-4</v>
      </c>
      <c r="F328" s="21">
        <v>-0.55021025912289601</v>
      </c>
      <c r="G328" s="21">
        <v>0.44091612137993302</v>
      </c>
      <c r="H328" s="20">
        <v>4.9126773999999998E-2</v>
      </c>
      <c r="I328" s="20">
        <v>4.9126773999999998E-2</v>
      </c>
      <c r="K328">
        <f t="shared" si="10"/>
        <v>-5.5021025912289634E-3</v>
      </c>
      <c r="L328">
        <f t="shared" si="11"/>
        <v>3.0458597652878385E-4</v>
      </c>
    </row>
    <row r="329" spans="1:12" ht="15" customHeight="1" x14ac:dyDescent="0.3">
      <c r="A329" s="22">
        <v>45616</v>
      </c>
      <c r="B329" s="23">
        <v>4.9392960515267398E-2</v>
      </c>
      <c r="C329" s="23">
        <v>4.9404185522597503E-2</v>
      </c>
      <c r="D329" s="23">
        <v>4.9398570000000003E-2</v>
      </c>
      <c r="E329" s="24">
        <v>-6.5975999999995304E-5</v>
      </c>
      <c r="F329" s="24">
        <v>-0.133380381172398</v>
      </c>
      <c r="G329" s="24">
        <v>0.99660983003108605</v>
      </c>
      <c r="H329" s="23">
        <v>4.9398570000000003E-2</v>
      </c>
      <c r="I329" s="23">
        <v>4.9398570000000003E-2</v>
      </c>
      <c r="K329">
        <f t="shared" si="10"/>
        <v>-1.3338038117239881E-3</v>
      </c>
      <c r="L329">
        <f t="shared" si="11"/>
        <v>2.2723344684077689E-4</v>
      </c>
    </row>
    <row r="330" spans="1:12" ht="15" customHeight="1" x14ac:dyDescent="0.3">
      <c r="A330" s="19">
        <v>45615</v>
      </c>
      <c r="B330" s="20">
        <v>4.9455739585857597E-2</v>
      </c>
      <c r="C330" s="20">
        <v>4.9473356124059398E-2</v>
      </c>
      <c r="D330" s="20">
        <v>4.9464545999999998E-2</v>
      </c>
      <c r="E330" s="21">
        <v>1.5974399999999601E-4</v>
      </c>
      <c r="F330" s="21">
        <v>0.32399278269081799</v>
      </c>
      <c r="G330" s="21">
        <v>1.1314994094287401</v>
      </c>
      <c r="H330" s="20">
        <v>4.9464545999999998E-2</v>
      </c>
      <c r="I330" s="20">
        <v>4.9464545999999998E-2</v>
      </c>
      <c r="K330">
        <f t="shared" si="10"/>
        <v>3.2399278269081844E-3</v>
      </c>
      <c r="L330">
        <f t="shared" si="11"/>
        <v>3.5614474661913704E-4</v>
      </c>
    </row>
    <row r="331" spans="1:12" ht="15" customHeight="1" x14ac:dyDescent="0.3">
      <c r="A331" s="22">
        <v>45614</v>
      </c>
      <c r="B331" s="23">
        <v>4.9297267452465099E-2</v>
      </c>
      <c r="C331" s="23">
        <v>4.9312339426694697E-2</v>
      </c>
      <c r="D331" s="23">
        <v>4.9304802000000002E-2</v>
      </c>
      <c r="E331" s="24">
        <v>3.3500399999999899E-4</v>
      </c>
      <c r="F331" s="24">
        <v>0.68410329158392602</v>
      </c>
      <c r="G331" s="24">
        <v>0.80489881267689001</v>
      </c>
      <c r="H331" s="23">
        <v>4.9304802000000002E-2</v>
      </c>
      <c r="I331" s="23">
        <v>4.9304802000000002E-2</v>
      </c>
      <c r="K331">
        <f t="shared" si="10"/>
        <v>6.8410329158392624E-3</v>
      </c>
      <c r="L331">
        <f t="shared" si="11"/>
        <v>3.0568978310871659E-4</v>
      </c>
    </row>
    <row r="332" spans="1:12" ht="15" customHeight="1" x14ac:dyDescent="0.3">
      <c r="A332" s="19">
        <v>45611</v>
      </c>
      <c r="B332" s="20">
        <v>4.8964402879106902E-2</v>
      </c>
      <c r="C332" s="20">
        <v>4.8975194064206501E-2</v>
      </c>
      <c r="D332" s="20">
        <v>4.8969798000000002E-2</v>
      </c>
      <c r="E332" s="21">
        <v>3.4999499999999802E-4</v>
      </c>
      <c r="F332" s="21">
        <v>0.71986099984815399</v>
      </c>
      <c r="G332" s="21">
        <v>0.11997476974407401</v>
      </c>
      <c r="H332" s="20">
        <v>4.8969798000000002E-2</v>
      </c>
      <c r="I332" s="20">
        <v>4.8969798000000002E-2</v>
      </c>
      <c r="K332">
        <f t="shared" si="10"/>
        <v>7.1986099984815421E-3</v>
      </c>
      <c r="L332">
        <f t="shared" si="11"/>
        <v>2.2036409256984114E-4</v>
      </c>
    </row>
    <row r="333" spans="1:12" ht="15" customHeight="1" x14ac:dyDescent="0.3">
      <c r="A333" s="22">
        <v>45610</v>
      </c>
      <c r="B333" s="23">
        <v>4.8611887550981697E-2</v>
      </c>
      <c r="C333" s="23">
        <v>4.8627725584019003E-2</v>
      </c>
      <c r="D333" s="23">
        <v>4.8619803000000003E-2</v>
      </c>
      <c r="E333" s="24">
        <v>7.4938000000003503E-5</v>
      </c>
      <c r="F333" s="24">
        <v>0.15436854134831501</v>
      </c>
      <c r="G333" s="24">
        <v>-0.59559874700877002</v>
      </c>
      <c r="H333" s="23">
        <v>4.8619803000000003E-2</v>
      </c>
      <c r="I333" s="23">
        <v>4.8619803000000003E-2</v>
      </c>
      <c r="K333">
        <f t="shared" si="10"/>
        <v>1.5436854134831535E-3</v>
      </c>
      <c r="L333">
        <f t="shared" si="11"/>
        <v>3.2575271926351052E-4</v>
      </c>
    </row>
    <row r="334" spans="1:12" ht="15" customHeight="1" x14ac:dyDescent="0.3">
      <c r="A334" s="19">
        <v>45609</v>
      </c>
      <c r="B334" s="20">
        <v>4.8534500749858003E-2</v>
      </c>
      <c r="C334" s="20">
        <v>4.8555238867497602E-2</v>
      </c>
      <c r="D334" s="20">
        <v>4.8544865E-2</v>
      </c>
      <c r="E334" s="21">
        <v>-1.13975000000002E-4</v>
      </c>
      <c r="F334" s="21">
        <v>-0.23423287525966499</v>
      </c>
      <c r="G334" s="21">
        <v>-0.74881135918445096</v>
      </c>
      <c r="H334" s="20">
        <v>4.8544865E-2</v>
      </c>
      <c r="I334" s="20">
        <v>4.8544865E-2</v>
      </c>
      <c r="K334">
        <f t="shared" si="10"/>
        <v>-2.3423287525966563E-3</v>
      </c>
      <c r="L334">
        <f t="shared" si="11"/>
        <v>4.2719487714300497E-4</v>
      </c>
    </row>
    <row r="335" spans="1:12" ht="15" customHeight="1" x14ac:dyDescent="0.3">
      <c r="A335" s="22">
        <v>45608</v>
      </c>
      <c r="B335" s="23">
        <v>4.8648780131838203E-2</v>
      </c>
      <c r="C335" s="23">
        <v>4.8668905436316703E-2</v>
      </c>
      <c r="D335" s="23">
        <v>4.8658840000000002E-2</v>
      </c>
      <c r="E335" s="24">
        <v>-1.2759999999999801E-4</v>
      </c>
      <c r="F335" s="24">
        <v>-0.26154808590255202</v>
      </c>
      <c r="G335" s="24">
        <v>-0.51578662576852397</v>
      </c>
      <c r="H335" s="23">
        <v>4.8658840000000002E-2</v>
      </c>
      <c r="I335" s="23">
        <v>4.8658840000000002E-2</v>
      </c>
      <c r="K335">
        <f t="shared" si="10"/>
        <v>-2.6154808590255207E-3</v>
      </c>
      <c r="L335">
        <f t="shared" si="11"/>
        <v>4.1360016964031099E-4</v>
      </c>
    </row>
    <row r="336" spans="1:12" ht="15" customHeight="1" x14ac:dyDescent="0.3">
      <c r="A336" s="19">
        <v>45607</v>
      </c>
      <c r="B336" s="20">
        <v>4.8778822186559503E-2</v>
      </c>
      <c r="C336" s="20">
        <v>4.8794054932347002E-2</v>
      </c>
      <c r="D336" s="20">
        <v>4.878644E-2</v>
      </c>
      <c r="E336" s="21">
        <v>-9.0794000000000204E-4</v>
      </c>
      <c r="F336" s="21">
        <v>-1.8270476460316001</v>
      </c>
      <c r="G336" s="21">
        <v>-0.254905239641116</v>
      </c>
      <c r="H336" s="20">
        <v>4.878644E-2</v>
      </c>
      <c r="I336" s="20">
        <v>4.878644E-2</v>
      </c>
      <c r="K336">
        <f t="shared" si="10"/>
        <v>-1.8270476460316099E-2</v>
      </c>
      <c r="L336">
        <f t="shared" si="11"/>
        <v>3.1223318994987482E-4</v>
      </c>
    </row>
    <row r="337" spans="1:12" ht="15" customHeight="1" x14ac:dyDescent="0.3">
      <c r="A337" s="22">
        <v>45604</v>
      </c>
      <c r="B337" s="23">
        <v>4.96852439793906E-2</v>
      </c>
      <c r="C337" s="23">
        <v>4.9703518512075502E-2</v>
      </c>
      <c r="D337" s="23">
        <v>4.9694380000000003E-2</v>
      </c>
      <c r="E337" s="24">
        <v>-8.0046599999999903E-4</v>
      </c>
      <c r="F337" s="24">
        <v>-1.58524297707531</v>
      </c>
      <c r="G337" s="24">
        <v>1.60140076130341</v>
      </c>
      <c r="H337" s="23">
        <v>4.9694380000000003E-2</v>
      </c>
      <c r="I337" s="23">
        <v>4.9694380000000003E-2</v>
      </c>
      <c r="K337">
        <f t="shared" si="10"/>
        <v>-1.5852429770753185E-2</v>
      </c>
      <c r="L337">
        <f t="shared" si="11"/>
        <v>3.6773841800424536E-4</v>
      </c>
    </row>
    <row r="338" spans="1:12" ht="15" customHeight="1" x14ac:dyDescent="0.3">
      <c r="A338" s="19">
        <v>45603</v>
      </c>
      <c r="B338" s="20">
        <v>5.0487456391459497E-2</v>
      </c>
      <c r="C338" s="20">
        <v>5.0502244824782501E-2</v>
      </c>
      <c r="D338" s="20">
        <v>5.0494846000000003E-2</v>
      </c>
      <c r="E338" s="21">
        <v>1.0266299999999999E-3</v>
      </c>
      <c r="F338" s="21">
        <v>2.0753325731415102</v>
      </c>
      <c r="G338" s="21">
        <v>3.2379734856597202</v>
      </c>
      <c r="H338" s="20">
        <v>5.0494846000000003E-2</v>
      </c>
      <c r="I338" s="20">
        <v>5.0494846000000003E-2</v>
      </c>
      <c r="K338">
        <f t="shared" si="10"/>
        <v>2.0753325731415195E-2</v>
      </c>
      <c r="L338">
        <f t="shared" si="11"/>
        <v>2.9287015397579721E-4</v>
      </c>
    </row>
    <row r="339" spans="1:12" ht="15" customHeight="1" x14ac:dyDescent="0.3">
      <c r="A339" s="22">
        <v>45602</v>
      </c>
      <c r="B339" s="23">
        <v>4.9456473357797799E-2</v>
      </c>
      <c r="C339" s="23">
        <v>4.9479965561943999E-2</v>
      </c>
      <c r="D339" s="23">
        <v>4.9468216000000002E-2</v>
      </c>
      <c r="E339" s="24">
        <v>2.4592899999999798E-4</v>
      </c>
      <c r="F339" s="24">
        <v>0.49962936504759298</v>
      </c>
      <c r="G339" s="24">
        <v>1.13900281606736</v>
      </c>
      <c r="H339" s="23">
        <v>4.9468216000000002E-2</v>
      </c>
      <c r="I339" s="23">
        <v>4.9468216000000002E-2</v>
      </c>
      <c r="K339">
        <f t="shared" si="10"/>
        <v>4.9962936504759359E-3</v>
      </c>
      <c r="L339">
        <f t="shared" si="11"/>
        <v>4.7489491325500603E-4</v>
      </c>
    </row>
    <row r="340" spans="1:12" ht="15" customHeight="1" x14ac:dyDescent="0.3">
      <c r="A340" s="19">
        <v>45601</v>
      </c>
      <c r="B340" s="20">
        <v>4.9213324999877003E-2</v>
      </c>
      <c r="C340" s="20">
        <v>4.9231253969269799E-2</v>
      </c>
      <c r="D340" s="20">
        <v>4.9222287000000003E-2</v>
      </c>
      <c r="E340" s="21">
        <v>-7.3400299999999696E-4</v>
      </c>
      <c r="F340" s="21">
        <v>-1.4692904537146301</v>
      </c>
      <c r="G340" s="21">
        <v>0.636194834806178</v>
      </c>
      <c r="H340" s="20">
        <v>4.9222287000000003E-2</v>
      </c>
      <c r="I340" s="20">
        <v>4.9222287000000003E-2</v>
      </c>
      <c r="K340">
        <f t="shared" si="10"/>
        <v>-1.4692904537146334E-2</v>
      </c>
      <c r="L340">
        <f t="shared" si="11"/>
        <v>3.6424494848838674E-4</v>
      </c>
    </row>
    <row r="341" spans="1:12" ht="15" customHeight="1" x14ac:dyDescent="0.3">
      <c r="A341" s="22">
        <v>45600</v>
      </c>
      <c r="B341" s="23">
        <v>4.9949800450547199E-2</v>
      </c>
      <c r="C341" s="23">
        <v>4.9962777730590699E-2</v>
      </c>
      <c r="D341" s="23">
        <v>4.995629E-2</v>
      </c>
      <c r="E341" s="24">
        <v>3.36699999999995E-5</v>
      </c>
      <c r="F341" s="24">
        <v>6.7444376917724605E-2</v>
      </c>
      <c r="G341" s="24">
        <v>2.1368822961045901</v>
      </c>
      <c r="H341" s="23">
        <v>4.995629E-2</v>
      </c>
      <c r="I341" s="23">
        <v>4.995629E-2</v>
      </c>
      <c r="K341">
        <f t="shared" si="10"/>
        <v>6.7444376917724647E-4</v>
      </c>
      <c r="L341">
        <f t="shared" si="11"/>
        <v>2.5977269415922654E-4</v>
      </c>
    </row>
    <row r="342" spans="1:12" ht="15" customHeight="1" x14ac:dyDescent="0.3">
      <c r="A342" s="19">
        <v>45597</v>
      </c>
      <c r="B342" s="20">
        <v>4.9915144254766897E-2</v>
      </c>
      <c r="C342" s="20">
        <v>4.9930097862991803E-2</v>
      </c>
      <c r="D342" s="20">
        <v>4.9922620000000001E-2</v>
      </c>
      <c r="E342" s="21">
        <v>1.24599999999988E-5</v>
      </c>
      <c r="F342" s="21">
        <v>2.4964856854792199E-2</v>
      </c>
      <c r="G342" s="21">
        <v>2.0680431403764499</v>
      </c>
      <c r="H342" s="20">
        <v>4.9922620000000001E-2</v>
      </c>
      <c r="I342" s="20">
        <v>4.9922620000000001E-2</v>
      </c>
      <c r="K342">
        <f t="shared" si="10"/>
        <v>2.4964856854792217E-4</v>
      </c>
      <c r="L342">
        <f t="shared" si="11"/>
        <v>2.9953572598765939E-4</v>
      </c>
    </row>
    <row r="343" spans="1:12" ht="15" customHeight="1" x14ac:dyDescent="0.3">
      <c r="A343" s="22">
        <v>45596</v>
      </c>
      <c r="B343" s="23">
        <v>4.9903436849695802E-2</v>
      </c>
      <c r="C343" s="23">
        <v>4.9916888380845903E-2</v>
      </c>
      <c r="D343" s="23">
        <v>4.9910160000000002E-2</v>
      </c>
      <c r="E343" s="24">
        <v>3.59827999999999E-4</v>
      </c>
      <c r="F343" s="24">
        <v>0.72618685985796905</v>
      </c>
      <c r="G343" s="24">
        <v>2.0425683592546102</v>
      </c>
      <c r="H343" s="23">
        <v>4.9910160000000002E-2</v>
      </c>
      <c r="I343" s="23">
        <v>4.9910160000000002E-2</v>
      </c>
      <c r="K343">
        <f t="shared" si="10"/>
        <v>7.2618685985796905E-3</v>
      </c>
      <c r="L343">
        <f t="shared" si="11"/>
        <v>2.6951488735160788E-4</v>
      </c>
    </row>
    <row r="344" spans="1:12" ht="15" customHeight="1" x14ac:dyDescent="0.3">
      <c r="A344" s="19">
        <v>45595</v>
      </c>
      <c r="B344" s="20">
        <v>4.9543211589148102E-2</v>
      </c>
      <c r="C344" s="20">
        <v>4.9557451954050299E-2</v>
      </c>
      <c r="D344" s="20">
        <v>4.9550332000000002E-2</v>
      </c>
      <c r="E344" s="21">
        <v>-4.7593199999999798E-4</v>
      </c>
      <c r="F344" s="21">
        <v>-0.95136426737763002</v>
      </c>
      <c r="G344" s="21">
        <v>1.30689102847519</v>
      </c>
      <c r="H344" s="20">
        <v>4.9550332000000002E-2</v>
      </c>
      <c r="I344" s="20">
        <v>4.9550332000000002E-2</v>
      </c>
      <c r="K344">
        <f t="shared" si="10"/>
        <v>-9.5136426737763014E-3</v>
      </c>
      <c r="L344">
        <f t="shared" si="11"/>
        <v>2.8739191701475245E-4</v>
      </c>
    </row>
    <row r="345" spans="1:12" ht="15" customHeight="1" x14ac:dyDescent="0.3">
      <c r="A345" s="22">
        <v>45594</v>
      </c>
      <c r="B345" s="23">
        <v>5.0018757033887702E-2</v>
      </c>
      <c r="C345" s="23">
        <v>5.0033772796637697E-2</v>
      </c>
      <c r="D345" s="23">
        <v>5.0026264000000001E-2</v>
      </c>
      <c r="E345" s="24">
        <v>1.4535699999999801E-4</v>
      </c>
      <c r="F345" s="24">
        <v>0.29140809328105299</v>
      </c>
      <c r="G345" s="24">
        <v>2.2799458863309199</v>
      </c>
      <c r="H345" s="23">
        <v>5.0026264000000001E-2</v>
      </c>
      <c r="I345" s="23">
        <v>5.0026264000000001E-2</v>
      </c>
      <c r="K345">
        <f t="shared" si="10"/>
        <v>2.9140809328105366E-3</v>
      </c>
      <c r="L345">
        <f t="shared" si="11"/>
        <v>3.0015758822196431E-4</v>
      </c>
    </row>
    <row r="346" spans="1:12" ht="15" customHeight="1" x14ac:dyDescent="0.3">
      <c r="A346" s="19">
        <v>45593</v>
      </c>
      <c r="B346" s="20">
        <v>4.9875062967267E-2</v>
      </c>
      <c r="C346" s="20">
        <v>4.9886757061470499E-2</v>
      </c>
      <c r="D346" s="20">
        <v>4.9880907000000002E-2</v>
      </c>
      <c r="E346" s="21">
        <v>-4.2153899999999801E-4</v>
      </c>
      <c r="F346" s="21">
        <v>-0.83800895089673999</v>
      </c>
      <c r="G346" s="21">
        <v>1.9827598703174201</v>
      </c>
      <c r="H346" s="20">
        <v>4.9880907000000002E-2</v>
      </c>
      <c r="I346" s="20">
        <v>4.9880907000000002E-2</v>
      </c>
      <c r="K346">
        <f t="shared" si="10"/>
        <v>-8.3800895089674032E-3</v>
      </c>
      <c r="L346">
        <f t="shared" si="11"/>
        <v>2.3444028801438517E-4</v>
      </c>
    </row>
    <row r="347" spans="1:12" ht="15" customHeight="1" x14ac:dyDescent="0.3">
      <c r="A347" s="22">
        <v>45590</v>
      </c>
      <c r="B347" s="23">
        <v>5.0293715297336401E-2</v>
      </c>
      <c r="C347" s="23">
        <v>5.0311174614993702E-2</v>
      </c>
      <c r="D347" s="23">
        <v>5.0302446000000001E-2</v>
      </c>
      <c r="E347" s="24">
        <v>-1.01414000000001E-4</v>
      </c>
      <c r="F347" s="24">
        <v>-0.20120284438532801</v>
      </c>
      <c r="G347" s="24">
        <v>2.84460688149895</v>
      </c>
      <c r="H347" s="23">
        <v>5.0302446000000001E-2</v>
      </c>
      <c r="I347" s="23">
        <v>5.0302446000000001E-2</v>
      </c>
      <c r="K347">
        <f t="shared" si="10"/>
        <v>-2.0120284438532865E-3</v>
      </c>
      <c r="L347">
        <f t="shared" si="11"/>
        <v>3.4708685254193579E-4</v>
      </c>
    </row>
    <row r="348" spans="1:12" ht="15" customHeight="1" x14ac:dyDescent="0.3">
      <c r="A348" s="19">
        <v>45589</v>
      </c>
      <c r="B348" s="20">
        <v>5.0397129379510498E-2</v>
      </c>
      <c r="C348" s="20">
        <v>5.0410594290496102E-2</v>
      </c>
      <c r="D348" s="20">
        <v>5.0403860000000002E-2</v>
      </c>
      <c r="E348" s="21">
        <v>3.6320000000000102E-4</v>
      </c>
      <c r="F348" s="21">
        <v>0.72580977149381198</v>
      </c>
      <c r="G348" s="21">
        <v>3.0519503367710898</v>
      </c>
      <c r="H348" s="20">
        <v>5.0403860000000002E-2</v>
      </c>
      <c r="I348" s="20">
        <v>5.0403860000000002E-2</v>
      </c>
      <c r="K348">
        <f t="shared" si="10"/>
        <v>7.2580977149381276E-3</v>
      </c>
      <c r="L348">
        <f t="shared" si="11"/>
        <v>2.6714047268610279E-4</v>
      </c>
    </row>
    <row r="349" spans="1:12" ht="15" customHeight="1" x14ac:dyDescent="0.3">
      <c r="A349" s="22">
        <v>45588</v>
      </c>
      <c r="B349" s="23">
        <v>5.0033522460048198E-2</v>
      </c>
      <c r="C349" s="23">
        <v>5.0047795644840798E-2</v>
      </c>
      <c r="D349" s="23">
        <v>5.0040660000000001E-2</v>
      </c>
      <c r="E349" s="24">
        <v>-3.1941199999999798E-4</v>
      </c>
      <c r="F349" s="24">
        <v>-0.63425644030056205</v>
      </c>
      <c r="G349" s="24">
        <v>2.3093788677940101</v>
      </c>
      <c r="H349" s="23">
        <v>5.0040660000000001E-2</v>
      </c>
      <c r="I349" s="23">
        <v>5.0040660000000001E-2</v>
      </c>
      <c r="K349">
        <f t="shared" si="10"/>
        <v>-6.3425644030056239E-3</v>
      </c>
      <c r="L349">
        <f t="shared" si="11"/>
        <v>2.8523174539664414E-4</v>
      </c>
    </row>
    <row r="350" spans="1:12" ht="15" customHeight="1" x14ac:dyDescent="0.3">
      <c r="A350" s="19">
        <v>45587</v>
      </c>
      <c r="B350" s="20">
        <v>5.0352467270896303E-2</v>
      </c>
      <c r="C350" s="20">
        <v>5.0367684093885402E-2</v>
      </c>
      <c r="D350" s="20">
        <v>5.0360071999999999E-2</v>
      </c>
      <c r="E350" s="21">
        <v>3.93799999999999E-4</v>
      </c>
      <c r="F350" s="21">
        <v>0.78813164208049102</v>
      </c>
      <c r="G350" s="21">
        <v>2.9624246774000298</v>
      </c>
      <c r="H350" s="20">
        <v>5.0360071999999999E-2</v>
      </c>
      <c r="I350" s="20">
        <v>5.0360071999999999E-2</v>
      </c>
      <c r="K350">
        <f t="shared" si="10"/>
        <v>7.881316420804918E-3</v>
      </c>
      <c r="L350">
        <f t="shared" si="11"/>
        <v>3.0216046929200049E-4</v>
      </c>
    </row>
    <row r="351" spans="1:12" ht="15" customHeight="1" x14ac:dyDescent="0.3">
      <c r="A351" s="22">
        <v>45586</v>
      </c>
      <c r="B351" s="23">
        <v>4.99585344164344E-2</v>
      </c>
      <c r="C351" s="23">
        <v>4.99740135129733E-2</v>
      </c>
      <c r="D351" s="23">
        <v>4.9966271999999999E-2</v>
      </c>
      <c r="E351" s="24">
        <v>-7.2567500000000201E-4</v>
      </c>
      <c r="F351" s="24">
        <v>-1.4315390174301199</v>
      </c>
      <c r="G351" s="24">
        <v>2.15729074435164</v>
      </c>
      <c r="H351" s="23">
        <v>4.9966271999999999E-2</v>
      </c>
      <c r="I351" s="23">
        <v>4.9966271999999999E-2</v>
      </c>
      <c r="K351">
        <f t="shared" si="10"/>
        <v>-1.4315390174301279E-2</v>
      </c>
      <c r="L351">
        <f t="shared" si="11"/>
        <v>3.0979090332976358E-4</v>
      </c>
    </row>
    <row r="352" spans="1:12" ht="15" customHeight="1" x14ac:dyDescent="0.3">
      <c r="A352" s="19">
        <v>45583</v>
      </c>
      <c r="B352" s="20">
        <v>5.0683466546377898E-2</v>
      </c>
      <c r="C352" s="20">
        <v>5.0700426390585897E-2</v>
      </c>
      <c r="D352" s="20">
        <v>5.0691947000000001E-2</v>
      </c>
      <c r="E352" s="21">
        <v>5.1003699999999704E-4</v>
      </c>
      <c r="F352" s="21">
        <v>1.0163762200362501</v>
      </c>
      <c r="G352" s="21">
        <v>3.64095140170281</v>
      </c>
      <c r="H352" s="20">
        <v>5.0691947000000001E-2</v>
      </c>
      <c r="I352" s="20">
        <v>5.0691947000000001E-2</v>
      </c>
      <c r="K352">
        <f t="shared" si="10"/>
        <v>1.0163762200362525E-2</v>
      </c>
      <c r="L352">
        <f t="shared" si="11"/>
        <v>3.3456683382074602E-4</v>
      </c>
    </row>
    <row r="353" spans="1:12" ht="15" customHeight="1" x14ac:dyDescent="0.3">
      <c r="A353" s="22">
        <v>45582</v>
      </c>
      <c r="B353" s="23">
        <v>5.0176118174793498E-2</v>
      </c>
      <c r="C353" s="23">
        <v>5.0187702005500601E-2</v>
      </c>
      <c r="D353" s="23">
        <v>5.0181910000000003E-2</v>
      </c>
      <c r="E353" s="24">
        <v>-3.1493999999999899E-5</v>
      </c>
      <c r="F353" s="24">
        <v>-6.27203047218194E-2</v>
      </c>
      <c r="G353" s="24">
        <v>2.5981680197571499</v>
      </c>
      <c r="H353" s="23">
        <v>5.0181910000000003E-2</v>
      </c>
      <c r="I353" s="23">
        <v>5.0181910000000003E-2</v>
      </c>
      <c r="K353">
        <f t="shared" si="10"/>
        <v>-6.2720304721819442E-4</v>
      </c>
      <c r="L353">
        <f t="shared" si="11"/>
        <v>2.3083678375539785E-4</v>
      </c>
    </row>
    <row r="354" spans="1:12" ht="15" customHeight="1" x14ac:dyDescent="0.3">
      <c r="A354" s="19">
        <v>45581</v>
      </c>
      <c r="B354" s="20">
        <v>5.0203071423909701E-2</v>
      </c>
      <c r="C354" s="20">
        <v>5.02237467919582E-2</v>
      </c>
      <c r="D354" s="20">
        <v>5.0213404000000003E-2</v>
      </c>
      <c r="E354" s="21">
        <v>-7.5499299999999504E-4</v>
      </c>
      <c r="F354" s="21">
        <v>-1.4812963413387199</v>
      </c>
      <c r="G354" s="21">
        <v>2.6625582891513302</v>
      </c>
      <c r="H354" s="20">
        <v>5.0213404000000003E-2</v>
      </c>
      <c r="I354" s="20">
        <v>5.0213404000000003E-2</v>
      </c>
      <c r="K354">
        <f t="shared" si="10"/>
        <v>-1.4812963413387226E-2</v>
      </c>
      <c r="L354">
        <f t="shared" si="11"/>
        <v>4.1174997911910485E-4</v>
      </c>
    </row>
    <row r="355" spans="1:12" ht="15" customHeight="1" x14ac:dyDescent="0.3">
      <c r="A355" s="22">
        <v>45580</v>
      </c>
      <c r="B355" s="23">
        <v>5.0960607450440801E-2</v>
      </c>
      <c r="C355" s="23">
        <v>5.0976194117347197E-2</v>
      </c>
      <c r="D355" s="23">
        <v>5.0968396999999999E-2</v>
      </c>
      <c r="E355" s="24">
        <v>-6.9917300000000399E-4</v>
      </c>
      <c r="F355" s="24">
        <v>-1.3532144050900801</v>
      </c>
      <c r="G355" s="24">
        <v>4.2061603295627004</v>
      </c>
      <c r="H355" s="23">
        <v>5.0968396999999999E-2</v>
      </c>
      <c r="I355" s="23">
        <v>5.0968396999999999E-2</v>
      </c>
      <c r="K355">
        <f t="shared" si="10"/>
        <v>-1.3532144050900863E-2</v>
      </c>
      <c r="L355">
        <f t="shared" si="11"/>
        <v>3.0581042025701045E-4</v>
      </c>
    </row>
    <row r="356" spans="1:12" ht="15" customHeight="1" x14ac:dyDescent="0.3">
      <c r="A356" s="19">
        <v>45579</v>
      </c>
      <c r="B356" s="20">
        <v>5.1661164752620503E-2</v>
      </c>
      <c r="C356" s="20">
        <v>5.1673978534629302E-2</v>
      </c>
      <c r="D356" s="20">
        <v>5.1667570000000003E-2</v>
      </c>
      <c r="E356" s="21">
        <v>3.4472600000000299E-4</v>
      </c>
      <c r="F356" s="21">
        <v>0.67168140565243495</v>
      </c>
      <c r="G356" s="21">
        <v>5.6356369861682003</v>
      </c>
      <c r="H356" s="20">
        <v>5.1667570000000003E-2</v>
      </c>
      <c r="I356" s="20">
        <v>5.1667570000000003E-2</v>
      </c>
      <c r="K356">
        <f t="shared" si="10"/>
        <v>6.7168140565243561E-3</v>
      </c>
      <c r="L356">
        <f t="shared" si="11"/>
        <v>2.4800434796524014E-4</v>
      </c>
    </row>
    <row r="357" spans="1:12" ht="15" customHeight="1" x14ac:dyDescent="0.3">
      <c r="A357" s="22">
        <v>45576</v>
      </c>
      <c r="B357" s="23">
        <v>5.1316262123466898E-2</v>
      </c>
      <c r="C357" s="23">
        <v>5.1329432296478801E-2</v>
      </c>
      <c r="D357" s="23">
        <v>5.1322843999999999E-2</v>
      </c>
      <c r="E357" s="24">
        <v>7.4959999999998903E-5</v>
      </c>
      <c r="F357" s="24">
        <v>0.14626945377880199</v>
      </c>
      <c r="G357" s="24">
        <v>4.9308360714804396</v>
      </c>
      <c r="H357" s="23">
        <v>5.1322843999999999E-2</v>
      </c>
      <c r="I357" s="23">
        <v>5.1322843999999999E-2</v>
      </c>
      <c r="K357">
        <f t="shared" si="10"/>
        <v>1.4626945377880229E-3</v>
      </c>
      <c r="L357">
        <f t="shared" si="11"/>
        <v>2.566142478757269E-4</v>
      </c>
    </row>
    <row r="358" spans="1:12" ht="15" customHeight="1" x14ac:dyDescent="0.3">
      <c r="A358" s="19">
        <v>45575</v>
      </c>
      <c r="B358" s="20">
        <v>5.1239220548976998E-2</v>
      </c>
      <c r="C358" s="20">
        <v>5.1256554431897999E-2</v>
      </c>
      <c r="D358" s="20">
        <v>5.1247884E-2</v>
      </c>
      <c r="E358" s="21">
        <v>-2.30841000000002E-4</v>
      </c>
      <c r="F358" s="21">
        <v>-0.448420196887167</v>
      </c>
      <c r="G358" s="21">
        <v>4.7775784797554302</v>
      </c>
      <c r="H358" s="20">
        <v>5.1247884E-2</v>
      </c>
      <c r="I358" s="20">
        <v>5.1247884E-2</v>
      </c>
      <c r="K358">
        <f t="shared" si="10"/>
        <v>-4.4842019688716706E-3</v>
      </c>
      <c r="L358">
        <f t="shared" si="11"/>
        <v>3.3823607080053336E-4</v>
      </c>
    </row>
    <row r="359" spans="1:12" ht="15" customHeight="1" x14ac:dyDescent="0.3">
      <c r="A359" s="22">
        <v>45574</v>
      </c>
      <c r="B359" s="23">
        <v>5.1471307319734601E-2</v>
      </c>
      <c r="C359" s="23">
        <v>5.14861476519742E-2</v>
      </c>
      <c r="D359" s="23">
        <v>5.1478725000000003E-2</v>
      </c>
      <c r="E359" s="24">
        <v>-9.2924999999993694E-5</v>
      </c>
      <c r="F359" s="24">
        <v>-0.180186206956711</v>
      </c>
      <c r="G359" s="24">
        <v>5.24953866827454</v>
      </c>
      <c r="H359" s="23">
        <v>5.1478725000000003E-2</v>
      </c>
      <c r="I359" s="23">
        <v>5.1478725000000003E-2</v>
      </c>
      <c r="K359">
        <f t="shared" si="10"/>
        <v>-1.8018620695671173E-3</v>
      </c>
      <c r="L359">
        <f t="shared" si="11"/>
        <v>2.8828088185165851E-4</v>
      </c>
    </row>
    <row r="360" spans="1:12" ht="15" customHeight="1" x14ac:dyDescent="0.3">
      <c r="A360" s="19">
        <v>45573</v>
      </c>
      <c r="B360" s="20">
        <v>5.1564997679575099E-2</v>
      </c>
      <c r="C360" s="20">
        <v>5.1578295853105E-2</v>
      </c>
      <c r="D360" s="20">
        <v>5.1571649999999997E-2</v>
      </c>
      <c r="E360" s="21">
        <v>-7.0570000000005906E-5</v>
      </c>
      <c r="F360" s="21">
        <v>-0.13665175509497399</v>
      </c>
      <c r="G360" s="21">
        <v>5.4395261510793098</v>
      </c>
      <c r="H360" s="20">
        <v>5.1571649999999997E-2</v>
      </c>
      <c r="I360" s="20">
        <v>5.1571649999999997E-2</v>
      </c>
      <c r="K360">
        <f t="shared" si="10"/>
        <v>-1.3665175509497418E-3</v>
      </c>
      <c r="L360">
        <f t="shared" si="11"/>
        <v>2.5785821337693577E-4</v>
      </c>
    </row>
    <row r="361" spans="1:12" ht="15" customHeight="1" x14ac:dyDescent="0.3">
      <c r="A361" s="22">
        <v>45572</v>
      </c>
      <c r="B361" s="23">
        <v>5.1635822868473201E-2</v>
      </c>
      <c r="C361" s="23">
        <v>5.1648624080654501E-2</v>
      </c>
      <c r="D361" s="23">
        <v>5.1642220000000003E-2</v>
      </c>
      <c r="E361" s="24">
        <v>-6.0847999999999404E-4</v>
      </c>
      <c r="F361" s="24">
        <v>-1.1645394224383401</v>
      </c>
      <c r="G361" s="24">
        <v>5.5838082781875604</v>
      </c>
      <c r="H361" s="23">
        <v>5.1642220000000003E-2</v>
      </c>
      <c r="I361" s="23">
        <v>5.1642220000000003E-2</v>
      </c>
      <c r="K361">
        <f t="shared" si="10"/>
        <v>-1.1645394224383487E-2</v>
      </c>
      <c r="L361">
        <f t="shared" si="11"/>
        <v>2.4788268554876402E-4</v>
      </c>
    </row>
    <row r="362" spans="1:12" ht="15" customHeight="1" x14ac:dyDescent="0.3">
      <c r="A362" s="19">
        <v>45569</v>
      </c>
      <c r="B362" s="20">
        <v>5.2243601464910597E-2</v>
      </c>
      <c r="C362" s="20">
        <v>5.2257798169931903E-2</v>
      </c>
      <c r="D362" s="20">
        <v>5.2250699999999997E-2</v>
      </c>
      <c r="E362" s="21">
        <v>1.0788639999999899E-3</v>
      </c>
      <c r="F362" s="21">
        <v>2.1083159885058702</v>
      </c>
      <c r="G362" s="21">
        <v>6.8278608317205203</v>
      </c>
      <c r="H362" s="20">
        <v>5.2250699999999997E-2</v>
      </c>
      <c r="I362" s="20">
        <v>5.2250699999999997E-2</v>
      </c>
      <c r="K362">
        <f t="shared" si="10"/>
        <v>2.1083159885058711E-2</v>
      </c>
      <c r="L362">
        <f t="shared" si="11"/>
        <v>2.7170363308637525E-4</v>
      </c>
    </row>
    <row r="363" spans="1:12" ht="15" customHeight="1" x14ac:dyDescent="0.3">
      <c r="A363" s="22">
        <v>45568</v>
      </c>
      <c r="B363" s="23">
        <v>5.1162671714716897E-2</v>
      </c>
      <c r="C363" s="23">
        <v>5.1181001612201599E-2</v>
      </c>
      <c r="D363" s="23">
        <v>5.1171835999999998E-2</v>
      </c>
      <c r="E363" s="24">
        <v>-2.4072400000000401E-4</v>
      </c>
      <c r="F363" s="24">
        <v>-0.468220217005344</v>
      </c>
      <c r="G363" s="24">
        <v>4.6220964448634403</v>
      </c>
      <c r="H363" s="23">
        <v>5.1171835999999998E-2</v>
      </c>
      <c r="I363" s="23">
        <v>5.1171835999999998E-2</v>
      </c>
      <c r="K363">
        <f t="shared" si="10"/>
        <v>-4.68220217005344E-3</v>
      </c>
      <c r="L363">
        <f t="shared" si="11"/>
        <v>3.5820284980007548E-4</v>
      </c>
    </row>
    <row r="364" spans="1:12" ht="15" customHeight="1" x14ac:dyDescent="0.3">
      <c r="A364" s="19">
        <v>45567</v>
      </c>
      <c r="B364" s="20">
        <v>5.1404103075507503E-2</v>
      </c>
      <c r="C364" s="20">
        <v>5.1421019884508402E-2</v>
      </c>
      <c r="D364" s="20">
        <v>5.1412560000000003E-2</v>
      </c>
      <c r="E364" s="21">
        <v>7.3602799999999903E-4</v>
      </c>
      <c r="F364" s="21">
        <v>1.4524040437494801</v>
      </c>
      <c r="G364" s="21">
        <v>5.1142626736576098</v>
      </c>
      <c r="H364" s="20">
        <v>5.1412560000000003E-2</v>
      </c>
      <c r="I364" s="20">
        <v>5.1412560000000003E-2</v>
      </c>
      <c r="K364">
        <f t="shared" si="10"/>
        <v>1.4524040437494889E-2</v>
      </c>
      <c r="L364">
        <f t="shared" si="11"/>
        <v>3.2904039403795017E-4</v>
      </c>
    </row>
    <row r="365" spans="1:12" ht="15" customHeight="1" x14ac:dyDescent="0.3">
      <c r="A365" s="22">
        <v>45566</v>
      </c>
      <c r="B365" s="23">
        <v>5.06649778340722E-2</v>
      </c>
      <c r="C365" s="23">
        <v>5.0688090833058801E-2</v>
      </c>
      <c r="D365" s="23">
        <v>5.0676532000000003E-2</v>
      </c>
      <c r="E365" s="24">
        <v>-3.3867399999999698E-4</v>
      </c>
      <c r="F365" s="24">
        <v>-0.66386872964895305</v>
      </c>
      <c r="G365" s="24">
        <v>3.6094350492956502</v>
      </c>
      <c r="H365" s="23">
        <v>5.0676532000000003E-2</v>
      </c>
      <c r="I365" s="23">
        <v>5.0676532000000003E-2</v>
      </c>
      <c r="K365">
        <f t="shared" si="10"/>
        <v>-6.6386872964895316E-3</v>
      </c>
      <c r="L365">
        <f t="shared" si="11"/>
        <v>4.560888062861231E-4</v>
      </c>
    </row>
    <row r="366" spans="1:12" ht="15" customHeight="1" x14ac:dyDescent="0.3">
      <c r="A366" s="19">
        <v>45565</v>
      </c>
      <c r="B366" s="20">
        <v>5.10089571728796E-2</v>
      </c>
      <c r="C366" s="20">
        <v>5.10214494173351E-2</v>
      </c>
      <c r="D366" s="20">
        <v>5.1015206E-2</v>
      </c>
      <c r="E366" s="21">
        <v>5.32980000000002E-5</v>
      </c>
      <c r="F366" s="21">
        <v>0.104583996344875</v>
      </c>
      <c r="G366" s="21">
        <v>4.3018624988670799</v>
      </c>
      <c r="H366" s="20">
        <v>5.1015206E-2</v>
      </c>
      <c r="I366" s="20">
        <v>5.1015206E-2</v>
      </c>
      <c r="K366">
        <f t="shared" si="10"/>
        <v>1.0458399634487581E-3</v>
      </c>
      <c r="L366">
        <f t="shared" si="11"/>
        <v>2.4487295916241809E-4</v>
      </c>
    </row>
    <row r="367" spans="1:12" ht="15" customHeight="1" x14ac:dyDescent="0.3">
      <c r="A367" s="22">
        <v>45562</v>
      </c>
      <c r="B367" s="23">
        <v>5.0957231595521901E-2</v>
      </c>
      <c r="C367" s="23">
        <v>5.09665812126988E-2</v>
      </c>
      <c r="D367" s="23">
        <v>5.0961908E-2</v>
      </c>
      <c r="E367" s="24">
        <v>-1.65451999999996E-4</v>
      </c>
      <c r="F367" s="24">
        <v>-0.32360755571967298</v>
      </c>
      <c r="G367" s="24">
        <v>4.1928934070346404</v>
      </c>
      <c r="H367" s="23">
        <v>5.0961908E-2</v>
      </c>
      <c r="I367" s="23">
        <v>5.0961908E-2</v>
      </c>
      <c r="K367">
        <f t="shared" si="10"/>
        <v>-3.2360755571967381E-3</v>
      </c>
      <c r="L367">
        <f t="shared" si="11"/>
        <v>1.8346285576471429E-4</v>
      </c>
    </row>
    <row r="368" spans="1:12" ht="15" customHeight="1" x14ac:dyDescent="0.3">
      <c r="A368" s="19">
        <v>45561</v>
      </c>
      <c r="B368" s="20">
        <v>5.1120562735154598E-2</v>
      </c>
      <c r="C368" s="20">
        <v>5.1134155570554903E-2</v>
      </c>
      <c r="D368" s="20">
        <v>5.1127359999999997E-2</v>
      </c>
      <c r="E368" s="21">
        <v>-1.9153500000000599E-4</v>
      </c>
      <c r="F368" s="21">
        <v>-0.373225105489916</v>
      </c>
      <c r="G368" s="21">
        <v>4.5311641523132602</v>
      </c>
      <c r="H368" s="20">
        <v>5.1127359999999997E-2</v>
      </c>
      <c r="I368" s="20">
        <v>5.1127359999999997E-2</v>
      </c>
      <c r="K368">
        <f t="shared" si="10"/>
        <v>-3.7322510548991605E-3</v>
      </c>
      <c r="L368">
        <f t="shared" si="11"/>
        <v>2.6586225849142727E-4</v>
      </c>
    </row>
    <row r="369" spans="1:12" ht="15" customHeight="1" x14ac:dyDescent="0.3">
      <c r="A369" s="22">
        <v>45560</v>
      </c>
      <c r="B369" s="23">
        <v>5.1313892210038001E-2</v>
      </c>
      <c r="C369" s="23">
        <v>5.1323900000513199E-2</v>
      </c>
      <c r="D369" s="23">
        <v>5.1318895000000003E-2</v>
      </c>
      <c r="E369" s="24">
        <v>-4.5567799999999398E-4</v>
      </c>
      <c r="F369" s="24">
        <v>-0.88011928171767195</v>
      </c>
      <c r="G369" s="24">
        <v>4.9227622423752999</v>
      </c>
      <c r="H369" s="23">
        <v>5.1318895000000003E-2</v>
      </c>
      <c r="I369" s="23">
        <v>5.1318895000000003E-2</v>
      </c>
      <c r="K369">
        <f t="shared" si="10"/>
        <v>-8.8011928171767284E-3</v>
      </c>
      <c r="L369">
        <f t="shared" si="11"/>
        <v>1.9501180754571124E-4</v>
      </c>
    </row>
    <row r="370" spans="1:12" ht="15" customHeight="1" x14ac:dyDescent="0.3">
      <c r="A370" s="19">
        <v>45559</v>
      </c>
      <c r="B370" s="20">
        <v>5.17651930841702E-2</v>
      </c>
      <c r="C370" s="20">
        <v>5.1783957330019198E-2</v>
      </c>
      <c r="D370" s="20">
        <v>5.1774572999999997E-2</v>
      </c>
      <c r="E370" s="21">
        <v>7.3607999999995803E-5</v>
      </c>
      <c r="F370" s="21">
        <v>0.14237258434151001</v>
      </c>
      <c r="G370" s="21">
        <v>5.8544072914957104</v>
      </c>
      <c r="H370" s="20">
        <v>5.1774572999999997E-2</v>
      </c>
      <c r="I370" s="20">
        <v>5.1774572999999997E-2</v>
      </c>
      <c r="K370">
        <f t="shared" si="10"/>
        <v>1.4237258434151023E-3</v>
      </c>
      <c r="L370">
        <f t="shared" si="11"/>
        <v>3.6242202999913463E-4</v>
      </c>
    </row>
    <row r="371" spans="1:12" ht="15" customHeight="1" x14ac:dyDescent="0.3">
      <c r="A371" s="22">
        <v>45558</v>
      </c>
      <c r="B371" s="23">
        <v>5.1694547259155101E-2</v>
      </c>
      <c r="C371" s="23">
        <v>5.1707377608637202E-2</v>
      </c>
      <c r="D371" s="23">
        <v>5.1700965000000002E-2</v>
      </c>
      <c r="E371" s="24">
        <v>2.5385000000002699E-5</v>
      </c>
      <c r="F371" s="24">
        <v>4.9123783419569002E-2</v>
      </c>
      <c r="G371" s="24">
        <v>5.7039138975296799</v>
      </c>
      <c r="H371" s="23">
        <v>5.1700965000000002E-2</v>
      </c>
      <c r="I371" s="23">
        <v>5.1700965000000002E-2</v>
      </c>
      <c r="K371">
        <f t="shared" si="10"/>
        <v>4.9123783419569023E-4</v>
      </c>
      <c r="L371">
        <f t="shared" si="11"/>
        <v>2.4816460354466069E-4</v>
      </c>
    </row>
    <row r="372" spans="1:12" ht="15" customHeight="1" x14ac:dyDescent="0.3">
      <c r="A372" s="19">
        <v>45555</v>
      </c>
      <c r="B372" s="20">
        <v>5.1664901449200502E-2</v>
      </c>
      <c r="C372" s="20">
        <v>5.1686264375242298E-2</v>
      </c>
      <c r="D372" s="20">
        <v>5.1675579999999999E-2</v>
      </c>
      <c r="E372" s="21">
        <v>-6.4172000000001201E-5</v>
      </c>
      <c r="F372" s="21">
        <v>-0.124028425957667</v>
      </c>
      <c r="G372" s="21">
        <v>5.6520136311750999</v>
      </c>
      <c r="H372" s="20">
        <v>5.1675579999999999E-2</v>
      </c>
      <c r="I372" s="20">
        <v>5.1675579999999999E-2</v>
      </c>
      <c r="K372">
        <f t="shared" si="10"/>
        <v>-1.2402842595766739E-3</v>
      </c>
      <c r="L372">
        <f t="shared" si="11"/>
        <v>4.1340466893251694E-4</v>
      </c>
    </row>
    <row r="373" spans="1:12" ht="15" customHeight="1" x14ac:dyDescent="0.3">
      <c r="A373" s="22">
        <v>45554</v>
      </c>
      <c r="B373" s="23">
        <v>5.1730381252909803E-2</v>
      </c>
      <c r="C373" s="23">
        <v>5.1749120264955498E-2</v>
      </c>
      <c r="D373" s="23">
        <v>5.1739752E-2</v>
      </c>
      <c r="E373" s="24">
        <v>-3.7072300000000298E-4</v>
      </c>
      <c r="F373" s="24">
        <v>-0.71141742615089498</v>
      </c>
      <c r="G373" s="24">
        <v>5.7832148875275102</v>
      </c>
      <c r="H373" s="23">
        <v>5.1739752E-2</v>
      </c>
      <c r="I373" s="23">
        <v>5.1739752E-2</v>
      </c>
      <c r="K373">
        <f t="shared" si="10"/>
        <v>-7.1141742615089543E-3</v>
      </c>
      <c r="L373">
        <f t="shared" si="11"/>
        <v>3.6217823474868143E-4</v>
      </c>
    </row>
    <row r="374" spans="1:12" ht="15" customHeight="1" x14ac:dyDescent="0.3">
      <c r="A374" s="19">
        <v>45553</v>
      </c>
      <c r="B374" s="20">
        <v>5.21039578166358E-2</v>
      </c>
      <c r="C374" s="20">
        <v>5.2116992224144801E-2</v>
      </c>
      <c r="D374" s="20">
        <v>5.2110475000000003E-2</v>
      </c>
      <c r="E374" s="21">
        <v>2.5603200000000299E-4</v>
      </c>
      <c r="F374" s="21">
        <v>0.493751326188207</v>
      </c>
      <c r="G374" s="21">
        <v>6.5411673178512899</v>
      </c>
      <c r="H374" s="20">
        <v>5.2110475000000003E-2</v>
      </c>
      <c r="I374" s="20">
        <v>5.2110475000000003E-2</v>
      </c>
      <c r="K374">
        <f t="shared" si="10"/>
        <v>4.9375132618820761E-3</v>
      </c>
      <c r="L374">
        <f t="shared" si="11"/>
        <v>2.5013027628323885E-4</v>
      </c>
    </row>
    <row r="375" spans="1:12" ht="15" customHeight="1" x14ac:dyDescent="0.3">
      <c r="A375" s="22">
        <v>45552</v>
      </c>
      <c r="B375" s="23">
        <v>5.1847051198963101E-2</v>
      </c>
      <c r="C375" s="23">
        <v>5.18618400580853E-2</v>
      </c>
      <c r="D375" s="23">
        <v>5.1854443E-2</v>
      </c>
      <c r="E375" s="24">
        <v>-3.1612999999999699E-5</v>
      </c>
      <c r="F375" s="24">
        <v>-6.09277375023475E-2</v>
      </c>
      <c r="G375" s="24">
        <v>6.0177035008217103</v>
      </c>
      <c r="H375" s="23">
        <v>5.1854443E-2</v>
      </c>
      <c r="I375" s="23">
        <v>5.1854443E-2</v>
      </c>
      <c r="K375">
        <f t="shared" si="10"/>
        <v>-6.092773750234759E-4</v>
      </c>
      <c r="L375">
        <f t="shared" si="11"/>
        <v>2.8519945961426454E-4</v>
      </c>
    </row>
    <row r="376" spans="1:12" ht="15" customHeight="1" x14ac:dyDescent="0.3">
      <c r="A376" s="19">
        <v>45551</v>
      </c>
      <c r="B376" s="20">
        <v>5.1873946310465602E-2</v>
      </c>
      <c r="C376" s="20">
        <v>5.1898175779121397E-2</v>
      </c>
      <c r="D376" s="20">
        <v>5.1886056E-2</v>
      </c>
      <c r="E376" s="21">
        <v>6.4530000000000102E-5</v>
      </c>
      <c r="F376" s="21">
        <v>0.124523542591159</v>
      </c>
      <c r="G376" s="21">
        <v>6.08233706868727</v>
      </c>
      <c r="H376" s="20">
        <v>5.1886056E-2</v>
      </c>
      <c r="I376" s="20">
        <v>5.1886056E-2</v>
      </c>
      <c r="K376">
        <f t="shared" si="10"/>
        <v>1.245235425911595E-3</v>
      </c>
      <c r="L376">
        <f t="shared" si="11"/>
        <v>4.6697456934856134E-4</v>
      </c>
    </row>
    <row r="377" spans="1:12" ht="15" customHeight="1" x14ac:dyDescent="0.3">
      <c r="A377" s="22">
        <v>45548</v>
      </c>
      <c r="B377" s="23">
        <v>5.1811055443010401E-2</v>
      </c>
      <c r="C377" s="23">
        <v>5.1832002114745701E-2</v>
      </c>
      <c r="D377" s="23">
        <v>5.1821526E-2</v>
      </c>
      <c r="E377" s="24">
        <v>9.9689900000000204E-4</v>
      </c>
      <c r="F377" s="24">
        <v>1.9614487283891</v>
      </c>
      <c r="G377" s="24">
        <v>5.9504038723957198</v>
      </c>
      <c r="H377" s="23">
        <v>5.1821526E-2</v>
      </c>
      <c r="I377" s="23">
        <v>5.1821526E-2</v>
      </c>
      <c r="K377">
        <f t="shared" si="10"/>
        <v>1.9614487283891036E-2</v>
      </c>
      <c r="L377">
        <f t="shared" si="11"/>
        <v>4.0420792964105653E-4</v>
      </c>
    </row>
    <row r="378" spans="1:12" ht="15" customHeight="1" x14ac:dyDescent="0.3">
      <c r="A378" s="19">
        <v>45547</v>
      </c>
      <c r="B378" s="20">
        <v>5.0817656086430699E-2</v>
      </c>
      <c r="C378" s="20">
        <v>5.0831605058761303E-2</v>
      </c>
      <c r="D378" s="20">
        <v>5.0824626999999997E-2</v>
      </c>
      <c r="E378" s="21">
        <v>6.6914399999999598E-4</v>
      </c>
      <c r="F378" s="21">
        <v>1.3341392804451599</v>
      </c>
      <c r="G378" s="21">
        <v>3.9122189746760401</v>
      </c>
      <c r="H378" s="20">
        <v>5.0824626999999997E-2</v>
      </c>
      <c r="I378" s="20">
        <v>5.0824626999999997E-2</v>
      </c>
      <c r="K378">
        <f t="shared" si="10"/>
        <v>1.3341392804451679E-2</v>
      </c>
      <c r="L378">
        <f t="shared" si="11"/>
        <v>2.7445301921457603E-4</v>
      </c>
    </row>
    <row r="379" spans="1:12" ht="15" customHeight="1" x14ac:dyDescent="0.3">
      <c r="A379" s="22">
        <v>45546</v>
      </c>
      <c r="B379" s="23">
        <v>5.0148690868424897E-2</v>
      </c>
      <c r="C379" s="23">
        <v>5.0162274959493998E-2</v>
      </c>
      <c r="D379" s="23">
        <v>5.0155483000000001E-2</v>
      </c>
      <c r="E379" s="24">
        <v>3.2242300000000202E-4</v>
      </c>
      <c r="F379" s="24">
        <v>0.64700622438196298</v>
      </c>
      <c r="G379" s="24">
        <v>2.54413735838419</v>
      </c>
      <c r="H379" s="23">
        <v>5.0155483000000001E-2</v>
      </c>
      <c r="I379" s="23">
        <v>5.0155483000000001E-2</v>
      </c>
      <c r="K379">
        <f t="shared" si="10"/>
        <v>6.4700622438196298E-3</v>
      </c>
      <c r="L379">
        <f t="shared" si="11"/>
        <v>2.7083960230431215E-4</v>
      </c>
    </row>
    <row r="380" spans="1:12" ht="15" customHeight="1" x14ac:dyDescent="0.3">
      <c r="A380" s="19">
        <v>45545</v>
      </c>
      <c r="B380" s="20">
        <v>4.9826851690375901E-2</v>
      </c>
      <c r="C380" s="20">
        <v>4.9839268359540501E-2</v>
      </c>
      <c r="D380" s="20">
        <v>4.9833059999999998E-2</v>
      </c>
      <c r="E380" s="21">
        <v>-4.8014000000000298E-4</v>
      </c>
      <c r="F380" s="21">
        <v>-0.95430225070161001</v>
      </c>
      <c r="G380" s="21">
        <v>1.88493548409454</v>
      </c>
      <c r="H380" s="20">
        <v>4.9833059999999998E-2</v>
      </c>
      <c r="I380" s="20">
        <v>4.9833059999999998E-2</v>
      </c>
      <c r="K380">
        <f t="shared" si="10"/>
        <v>-9.5430225070161079E-3</v>
      </c>
      <c r="L380">
        <f t="shared" si="11"/>
        <v>2.4916529638356415E-4</v>
      </c>
    </row>
    <row r="381" spans="1:12" ht="15" customHeight="1" x14ac:dyDescent="0.3">
      <c r="A381" s="22">
        <v>45544</v>
      </c>
      <c r="B381" s="23">
        <v>5.0305353495718998E-2</v>
      </c>
      <c r="C381" s="23">
        <v>5.0321048288077902E-2</v>
      </c>
      <c r="D381" s="23">
        <v>5.0313200000000002E-2</v>
      </c>
      <c r="E381" s="24">
        <v>3.4193200000000301E-4</v>
      </c>
      <c r="F381" s="24">
        <v>0.68425720155831304</v>
      </c>
      <c r="G381" s="24">
        <v>2.8665937030225699</v>
      </c>
      <c r="H381" s="23">
        <v>5.0313200000000002E-2</v>
      </c>
      <c r="I381" s="23">
        <v>5.0313200000000002E-2</v>
      </c>
      <c r="K381">
        <f t="shared" si="10"/>
        <v>6.8425720155831371E-3</v>
      </c>
      <c r="L381">
        <f t="shared" si="11"/>
        <v>3.1194184347058639E-4</v>
      </c>
    </row>
    <row r="382" spans="1:12" ht="15" customHeight="1" x14ac:dyDescent="0.3">
      <c r="A382" s="19">
        <v>45541</v>
      </c>
      <c r="B382" s="20">
        <v>4.9961030396290899E-2</v>
      </c>
      <c r="C382" s="20">
        <v>4.9981506842468298E-2</v>
      </c>
      <c r="D382" s="20">
        <v>4.9971267999999999E-2</v>
      </c>
      <c r="E382" s="21">
        <v>-1.7792700000000101E-4</v>
      </c>
      <c r="F382" s="21">
        <v>-0.35479532622607601</v>
      </c>
      <c r="G382" s="21">
        <v>2.1675051911000098</v>
      </c>
      <c r="H382" s="20">
        <v>4.9971267999999999E-2</v>
      </c>
      <c r="I382" s="20">
        <v>4.9971267999999999E-2</v>
      </c>
      <c r="K382">
        <f t="shared" si="10"/>
        <v>-3.5479532622607612E-3</v>
      </c>
      <c r="L382">
        <f t="shared" si="11"/>
        <v>4.0976439055737031E-4</v>
      </c>
    </row>
    <row r="383" spans="1:12" ht="15" customHeight="1" x14ac:dyDescent="0.3">
      <c r="A383" s="22">
        <v>45540</v>
      </c>
      <c r="B383" s="23">
        <v>5.0141901581475599E-2</v>
      </c>
      <c r="C383" s="23">
        <v>5.0156488243319197E-2</v>
      </c>
      <c r="D383" s="23">
        <v>5.0149195000000001E-2</v>
      </c>
      <c r="E383" s="24">
        <v>-5.5817099999999598E-4</v>
      </c>
      <c r="F383" s="24">
        <v>-1.10076906775239</v>
      </c>
      <c r="G383" s="24">
        <v>2.53128138537503</v>
      </c>
      <c r="H383" s="23">
        <v>5.0149195000000001E-2</v>
      </c>
      <c r="I383" s="23">
        <v>5.0149195000000001E-2</v>
      </c>
      <c r="K383">
        <f t="shared" si="10"/>
        <v>-1.100769067752394E-2</v>
      </c>
      <c r="L383">
        <f t="shared" si="11"/>
        <v>2.9086532383217214E-4</v>
      </c>
    </row>
    <row r="384" spans="1:12" ht="15" customHeight="1" x14ac:dyDescent="0.3">
      <c r="A384" s="19">
        <v>45539</v>
      </c>
      <c r="B384" s="20">
        <v>5.0701197562286401E-2</v>
      </c>
      <c r="C384" s="20">
        <v>5.0713539500775902E-2</v>
      </c>
      <c r="D384" s="20">
        <v>5.0707365999999997E-2</v>
      </c>
      <c r="E384" s="21">
        <v>2.8508099999999899E-4</v>
      </c>
      <c r="F384" s="21">
        <v>0.56538691175935796</v>
      </c>
      <c r="G384" s="21">
        <v>3.6724759322098399</v>
      </c>
      <c r="H384" s="20">
        <v>5.0707365999999997E-2</v>
      </c>
      <c r="I384" s="20">
        <v>5.0707365999999997E-2</v>
      </c>
      <c r="K384">
        <f t="shared" si="10"/>
        <v>5.6538691175935796E-3</v>
      </c>
      <c r="L384">
        <f t="shared" si="11"/>
        <v>2.4339537749802341E-4</v>
      </c>
    </row>
    <row r="385" spans="1:12" ht="15" customHeight="1" x14ac:dyDescent="0.3">
      <c r="A385" s="22">
        <v>45538</v>
      </c>
      <c r="B385" s="23">
        <v>5.0413389796329901E-2</v>
      </c>
      <c r="C385" s="23">
        <v>5.0431186645821802E-2</v>
      </c>
      <c r="D385" s="23">
        <v>5.0422284999999997E-2</v>
      </c>
      <c r="E385" s="24">
        <v>-1.1977900000000001E-4</v>
      </c>
      <c r="F385" s="24">
        <v>-0.23698873872661699</v>
      </c>
      <c r="G385" s="24">
        <v>3.0896207093368901</v>
      </c>
      <c r="H385" s="23">
        <v>5.0422284999999997E-2</v>
      </c>
      <c r="I385" s="23">
        <v>5.0422284999999997E-2</v>
      </c>
      <c r="K385">
        <f t="shared" si="10"/>
        <v>-2.3698873872661785E-3</v>
      </c>
      <c r="L385">
        <f t="shared" si="11"/>
        <v>3.5295602910302286E-4</v>
      </c>
    </row>
    <row r="386" spans="1:12" ht="15" customHeight="1" x14ac:dyDescent="0.3">
      <c r="A386" s="19">
        <v>45537</v>
      </c>
      <c r="B386" s="20">
        <v>5.0535933575568903E-2</v>
      </c>
      <c r="C386" s="20">
        <v>5.05481951766912E-2</v>
      </c>
      <c r="D386" s="20">
        <v>5.0542063999999998E-2</v>
      </c>
      <c r="E386" s="21">
        <v>-3.6276899999999798E-4</v>
      </c>
      <c r="F386" s="21">
        <v>-0.71264156784484001</v>
      </c>
      <c r="G386" s="21">
        <v>3.3345118656766699</v>
      </c>
      <c r="H386" s="20">
        <v>5.0542063999999998E-2</v>
      </c>
      <c r="I386" s="20">
        <v>5.0542063999999998E-2</v>
      </c>
      <c r="K386">
        <f t="shared" si="10"/>
        <v>-7.1264156784484056E-3</v>
      </c>
      <c r="L386">
        <f t="shared" si="11"/>
        <v>2.4260190724101206E-4</v>
      </c>
    </row>
    <row r="387" spans="1:12" ht="15" customHeight="1" x14ac:dyDescent="0.3">
      <c r="A387" s="22">
        <v>45534</v>
      </c>
      <c r="B387" s="23">
        <v>5.0900428581608703E-2</v>
      </c>
      <c r="C387" s="23">
        <v>5.0909239008695303E-2</v>
      </c>
      <c r="D387" s="23">
        <v>5.0904832999999997E-2</v>
      </c>
      <c r="E387" s="24">
        <v>5.6820299999999597E-4</v>
      </c>
      <c r="F387" s="24">
        <v>1.12880619938202</v>
      </c>
      <c r="G387" s="24">
        <v>4.0762021443918304</v>
      </c>
      <c r="H387" s="23">
        <v>5.0904832999999997E-2</v>
      </c>
      <c r="I387" s="23">
        <v>5.0904832999999997E-2</v>
      </c>
      <c r="K387">
        <f t="shared" si="10"/>
        <v>1.1288061993820264E-2</v>
      </c>
      <c r="L387">
        <f t="shared" si="11"/>
        <v>1.730764363100883E-4</v>
      </c>
    </row>
    <row r="388" spans="1:12" ht="15" customHeight="1" x14ac:dyDescent="0.3">
      <c r="A388" s="19">
        <v>45533</v>
      </c>
      <c r="B388" s="20">
        <v>5.0328899357299998E-2</v>
      </c>
      <c r="C388" s="20">
        <v>5.0344355390873598E-2</v>
      </c>
      <c r="D388" s="20">
        <v>5.033663E-2</v>
      </c>
      <c r="E388" s="21">
        <v>-9.4936300000000103E-4</v>
      </c>
      <c r="F388" s="21">
        <v>-1.8511155667786301</v>
      </c>
      <c r="G388" s="21">
        <v>2.9144969230614799</v>
      </c>
      <c r="H388" s="20">
        <v>5.033663E-2</v>
      </c>
      <c r="I388" s="20">
        <v>5.033663E-2</v>
      </c>
      <c r="K388">
        <f t="shared" si="10"/>
        <v>-1.8511155667786383E-2</v>
      </c>
      <c r="L388">
        <f t="shared" si="11"/>
        <v>3.070534037260591E-4</v>
      </c>
    </row>
    <row r="389" spans="1:12" ht="15" customHeight="1" x14ac:dyDescent="0.3">
      <c r="A389" s="22">
        <v>45532</v>
      </c>
      <c r="B389" s="23">
        <v>5.1281262339553803E-2</v>
      </c>
      <c r="C389" s="23">
        <v>5.1290731251955497E-2</v>
      </c>
      <c r="D389" s="23">
        <v>5.1285993000000002E-2</v>
      </c>
      <c r="E389" s="24">
        <v>4.6394699999999901E-4</v>
      </c>
      <c r="F389" s="24">
        <v>0.91288532539599498</v>
      </c>
      <c r="G389" s="24">
        <v>4.8554932818238496</v>
      </c>
      <c r="H389" s="23">
        <v>5.1285993000000002E-2</v>
      </c>
      <c r="I389" s="23">
        <v>5.1285993000000002E-2</v>
      </c>
      <c r="K389">
        <f t="shared" ref="K389:K452" si="12">D389/D390-1</f>
        <v>9.1288532539599565E-3</v>
      </c>
      <c r="L389">
        <f t="shared" ref="L389:L452" si="13">(C389-B389)/D389</f>
        <v>1.8462960055573948E-4</v>
      </c>
    </row>
    <row r="390" spans="1:12" ht="15" customHeight="1" x14ac:dyDescent="0.3">
      <c r="A390" s="19">
        <v>45531</v>
      </c>
      <c r="B390" s="20">
        <v>5.0814557354390902E-2</v>
      </c>
      <c r="C390" s="20">
        <v>5.08295380611581E-2</v>
      </c>
      <c r="D390" s="20">
        <v>5.0822046000000003E-2</v>
      </c>
      <c r="E390" s="21">
        <v>-7.8419399999999501E-4</v>
      </c>
      <c r="F390" s="21">
        <v>-1.51957205175187</v>
      </c>
      <c r="G390" s="21">
        <v>3.9069420557293801</v>
      </c>
      <c r="H390" s="20">
        <v>5.0822046000000003E-2</v>
      </c>
      <c r="I390" s="20">
        <v>5.0822046000000003E-2</v>
      </c>
      <c r="K390">
        <f t="shared" si="12"/>
        <v>-1.5195720517518718E-2</v>
      </c>
      <c r="L390">
        <f t="shared" si="13"/>
        <v>2.9476788020691043E-4</v>
      </c>
    </row>
    <row r="391" spans="1:12" ht="15" customHeight="1" x14ac:dyDescent="0.3">
      <c r="A391" s="22">
        <v>45530</v>
      </c>
      <c r="B391" s="23">
        <v>5.1598255978947898E-2</v>
      </c>
      <c r="C391" s="23">
        <v>5.1614235206069801E-2</v>
      </c>
      <c r="D391" s="23">
        <v>5.1606239999999998E-2</v>
      </c>
      <c r="E391" s="24">
        <v>-8.0191500000000005E-4</v>
      </c>
      <c r="F391" s="24">
        <v>-1.5301340030001001</v>
      </c>
      <c r="G391" s="24">
        <v>5.51024626977952</v>
      </c>
      <c r="H391" s="23">
        <v>5.1606239999999998E-2</v>
      </c>
      <c r="I391" s="23">
        <v>5.1606239999999998E-2</v>
      </c>
      <c r="K391">
        <f t="shared" si="12"/>
        <v>-1.5301340030001054E-2</v>
      </c>
      <c r="L391">
        <f t="shared" si="13"/>
        <v>3.0963749968809811E-4</v>
      </c>
    </row>
    <row r="392" spans="1:12" ht="15" customHeight="1" x14ac:dyDescent="0.3">
      <c r="A392" s="19">
        <v>45527</v>
      </c>
      <c r="B392" s="20">
        <v>5.23968960078805E-2</v>
      </c>
      <c r="C392" s="20">
        <v>5.2419418249296301E-2</v>
      </c>
      <c r="D392" s="20">
        <v>5.2408154999999998E-2</v>
      </c>
      <c r="E392" s="21">
        <v>8.9362999999999899E-4</v>
      </c>
      <c r="F392" s="21">
        <v>1.7347146266028799</v>
      </c>
      <c r="G392" s="21">
        <v>7.1497815108168501</v>
      </c>
      <c r="H392" s="20">
        <v>5.2408154999999998E-2</v>
      </c>
      <c r="I392" s="20">
        <v>5.2408154999999998E-2</v>
      </c>
      <c r="K392">
        <f t="shared" si="12"/>
        <v>1.7347146266028846E-2</v>
      </c>
      <c r="L392">
        <f t="shared" si="13"/>
        <v>4.2974688606765604E-4</v>
      </c>
    </row>
    <row r="393" spans="1:12" ht="15" customHeight="1" x14ac:dyDescent="0.3">
      <c r="A393" s="22">
        <v>45526</v>
      </c>
      <c r="B393" s="23">
        <v>5.1507097678059999E-2</v>
      </c>
      <c r="C393" s="23">
        <v>5.1521958658780398E-2</v>
      </c>
      <c r="D393" s="23">
        <v>5.1514524999999999E-2</v>
      </c>
      <c r="E393" s="24">
        <v>-4.6863500000000099E-4</v>
      </c>
      <c r="F393" s="24">
        <v>-0.90151310539797702</v>
      </c>
      <c r="G393" s="24">
        <v>5.3227326621880202</v>
      </c>
      <c r="H393" s="23">
        <v>5.1514524999999999E-2</v>
      </c>
      <c r="I393" s="23">
        <v>5.1514524999999999E-2</v>
      </c>
      <c r="K393">
        <f t="shared" si="12"/>
        <v>-9.0151310539797747E-3</v>
      </c>
      <c r="L393">
        <f t="shared" si="13"/>
        <v>2.8848136948558117E-4</v>
      </c>
    </row>
    <row r="394" spans="1:12" ht="15" customHeight="1" x14ac:dyDescent="0.3">
      <c r="A394" s="19">
        <v>45525</v>
      </c>
      <c r="B394" s="20">
        <v>5.1970189899073899E-2</v>
      </c>
      <c r="C394" s="20">
        <v>5.1996131487817301E-2</v>
      </c>
      <c r="D394" s="20">
        <v>5.198316E-2</v>
      </c>
      <c r="E394" s="21">
        <v>-9.1569799999999897E-4</v>
      </c>
      <c r="F394" s="21">
        <v>-1.7310354790645901</v>
      </c>
      <c r="G394" s="21">
        <v>6.2808686213402201</v>
      </c>
      <c r="H394" s="20">
        <v>5.198316E-2</v>
      </c>
      <c r="I394" s="20">
        <v>5.198316E-2</v>
      </c>
      <c r="K394">
        <f t="shared" si="12"/>
        <v>-1.731035479064591E-2</v>
      </c>
      <c r="L394">
        <f t="shared" si="13"/>
        <v>4.9903831824388506E-4</v>
      </c>
    </row>
    <row r="395" spans="1:12" ht="15" customHeight="1" x14ac:dyDescent="0.3">
      <c r="A395" s="22">
        <v>45524</v>
      </c>
      <c r="B395" s="23">
        <v>5.28899043750529E-2</v>
      </c>
      <c r="C395" s="23">
        <v>5.2907813425886699E-2</v>
      </c>
      <c r="D395" s="23">
        <v>5.2898858E-2</v>
      </c>
      <c r="E395" s="24">
        <v>-3.5494900000000002E-4</v>
      </c>
      <c r="F395" s="24">
        <v>-0.66652324030092003</v>
      </c>
      <c r="G395" s="24">
        <v>8.1530360469993006</v>
      </c>
      <c r="H395" s="23">
        <v>5.2898858E-2</v>
      </c>
      <c r="I395" s="23">
        <v>5.2898858E-2</v>
      </c>
      <c r="K395">
        <f t="shared" si="12"/>
        <v>-6.6652324030092025E-3</v>
      </c>
      <c r="L395">
        <f t="shared" si="13"/>
        <v>3.3855269302409053E-4</v>
      </c>
    </row>
    <row r="396" spans="1:12" ht="15" customHeight="1" x14ac:dyDescent="0.3">
      <c r="A396" s="19">
        <v>45523</v>
      </c>
      <c r="B396" s="20">
        <v>5.3247852780336599E-2</v>
      </c>
      <c r="C396" s="20">
        <v>5.3259763846207099E-2</v>
      </c>
      <c r="D396" s="20">
        <v>5.3253807E-2</v>
      </c>
      <c r="E396" s="21">
        <v>-2.8224699999999898E-4</v>
      </c>
      <c r="F396" s="21">
        <v>-0.52720919625491802</v>
      </c>
      <c r="G396" s="21">
        <v>8.8787381404517998</v>
      </c>
      <c r="H396" s="20">
        <v>5.3253807E-2</v>
      </c>
      <c r="I396" s="20">
        <v>5.3253807E-2</v>
      </c>
      <c r="K396">
        <f t="shared" si="12"/>
        <v>-5.2720919625491858E-3</v>
      </c>
      <c r="L396">
        <f t="shared" si="13"/>
        <v>2.2366599763468353E-4</v>
      </c>
    </row>
    <row r="397" spans="1:12" ht="15" customHeight="1" x14ac:dyDescent="0.3">
      <c r="A397" s="22">
        <v>45520</v>
      </c>
      <c r="B397" s="23">
        <v>5.3529178755339503E-2</v>
      </c>
      <c r="C397" s="23">
        <v>5.3542936080442902E-2</v>
      </c>
      <c r="D397" s="23">
        <v>5.3536054E-2</v>
      </c>
      <c r="E397" s="24">
        <v>-7.8936000000001604E-5</v>
      </c>
      <c r="F397" s="24">
        <v>-0.14722748246339601</v>
      </c>
      <c r="G397" s="24">
        <v>9.4557991795607492</v>
      </c>
      <c r="H397" s="23">
        <v>5.3536054E-2</v>
      </c>
      <c r="I397" s="23">
        <v>5.3536054E-2</v>
      </c>
      <c r="K397">
        <f t="shared" si="12"/>
        <v>-1.4722748246339679E-3</v>
      </c>
      <c r="L397">
        <f t="shared" si="13"/>
        <v>2.5697308776994883E-4</v>
      </c>
    </row>
    <row r="398" spans="1:12" ht="15" customHeight="1" x14ac:dyDescent="0.3">
      <c r="A398" s="19">
        <v>45519</v>
      </c>
      <c r="B398" s="20">
        <v>5.3609529629987003E-2</v>
      </c>
      <c r="C398" s="20">
        <v>5.3620452985586799E-2</v>
      </c>
      <c r="D398" s="20">
        <v>5.3614990000000001E-2</v>
      </c>
      <c r="E398" s="21">
        <v>4.63080000000004E-4</v>
      </c>
      <c r="F398" s="21">
        <v>0.87123868173317698</v>
      </c>
      <c r="G398" s="21">
        <v>9.6171858025650891</v>
      </c>
      <c r="H398" s="20">
        <v>5.3614990000000001E-2</v>
      </c>
      <c r="I398" s="20">
        <v>5.3614990000000001E-2</v>
      </c>
      <c r="K398">
        <f t="shared" si="12"/>
        <v>8.7123868173317742E-3</v>
      </c>
      <c r="L398">
        <f t="shared" si="13"/>
        <v>2.0373696982496173E-4</v>
      </c>
    </row>
    <row r="399" spans="1:12" ht="15" customHeight="1" x14ac:dyDescent="0.3">
      <c r="A399" s="22">
        <v>45518</v>
      </c>
      <c r="B399" s="23">
        <v>5.3146258503401399E-2</v>
      </c>
      <c r="C399" s="23">
        <v>5.3157559004890498E-2</v>
      </c>
      <c r="D399" s="23">
        <v>5.3151909999999997E-2</v>
      </c>
      <c r="E399" s="24">
        <v>6.30904999999994E-4</v>
      </c>
      <c r="F399" s="24">
        <v>1.20124319784054</v>
      </c>
      <c r="G399" s="24">
        <v>8.6704071796192999</v>
      </c>
      <c r="H399" s="23">
        <v>5.3151909999999997E-2</v>
      </c>
      <c r="I399" s="23">
        <v>5.3151909999999997E-2</v>
      </c>
      <c r="K399">
        <f t="shared" si="12"/>
        <v>1.2012431978405402E-2</v>
      </c>
      <c r="L399">
        <f t="shared" si="13"/>
        <v>2.1260762762992068E-4</v>
      </c>
    </row>
    <row r="400" spans="1:12" ht="15" customHeight="1" x14ac:dyDescent="0.3">
      <c r="A400" s="19">
        <v>45517</v>
      </c>
      <c r="B400" s="20">
        <v>5.2511631326338799E-2</v>
      </c>
      <c r="C400" s="20">
        <v>5.2530388829938102E-2</v>
      </c>
      <c r="D400" s="20">
        <v>5.2521005000000003E-2</v>
      </c>
      <c r="E400" s="21">
        <v>-4.1425299999999599E-4</v>
      </c>
      <c r="F400" s="21">
        <v>-0.782565374480648</v>
      </c>
      <c r="G400" s="21">
        <v>7.3805061536419299</v>
      </c>
      <c r="H400" s="20">
        <v>5.2521005000000003E-2</v>
      </c>
      <c r="I400" s="20">
        <v>5.2521005000000003E-2</v>
      </c>
      <c r="K400">
        <f t="shared" si="12"/>
        <v>-7.8256537448064822E-3</v>
      </c>
      <c r="L400">
        <f t="shared" si="13"/>
        <v>3.5714289167357587E-4</v>
      </c>
    </row>
    <row r="401" spans="1:12" ht="15" customHeight="1" x14ac:dyDescent="0.3">
      <c r="A401" s="22">
        <v>45516</v>
      </c>
      <c r="B401" s="23">
        <v>5.2923493797366501E-2</v>
      </c>
      <c r="C401" s="23">
        <v>5.29470317893979E-2</v>
      </c>
      <c r="D401" s="23">
        <v>5.2935257999999999E-2</v>
      </c>
      <c r="E401" s="24">
        <v>-2.5057200000000402E-4</v>
      </c>
      <c r="F401" s="24">
        <v>-0.47112548586720698</v>
      </c>
      <c r="G401" s="24">
        <v>8.2274567558945808</v>
      </c>
      <c r="H401" s="23">
        <v>5.2935257999999999E-2</v>
      </c>
      <c r="I401" s="23">
        <v>5.2935257999999999E-2</v>
      </c>
      <c r="K401">
        <f t="shared" si="12"/>
        <v>-4.7112548586720759E-3</v>
      </c>
      <c r="L401">
        <f t="shared" si="13"/>
        <v>4.4465622575030347E-4</v>
      </c>
    </row>
    <row r="402" spans="1:12" ht="15" customHeight="1" x14ac:dyDescent="0.3">
      <c r="A402" s="19">
        <v>45513</v>
      </c>
      <c r="B402" s="20">
        <v>5.3178194812998902E-2</v>
      </c>
      <c r="C402" s="20">
        <v>5.3193469969626497E-2</v>
      </c>
      <c r="D402" s="20">
        <v>5.3185830000000003E-2</v>
      </c>
      <c r="E402" s="21">
        <v>9.3103400000000397E-4</v>
      </c>
      <c r="F402" s="21">
        <v>1.7817197104740501</v>
      </c>
      <c r="G402" s="21">
        <v>8.7397574665898698</v>
      </c>
      <c r="H402" s="20">
        <v>5.3185830000000003E-2</v>
      </c>
      <c r="I402" s="20">
        <v>5.3185830000000003E-2</v>
      </c>
      <c r="K402">
        <f t="shared" si="12"/>
        <v>1.7817197104740501E-2</v>
      </c>
      <c r="L402">
        <f t="shared" si="13"/>
        <v>2.8720350190257314E-4</v>
      </c>
    </row>
    <row r="403" spans="1:12" ht="15" customHeight="1" x14ac:dyDescent="0.3">
      <c r="A403" s="22">
        <v>45512</v>
      </c>
      <c r="B403" s="23">
        <v>5.2247695876611801E-2</v>
      </c>
      <c r="C403" s="23">
        <v>5.2261894807258097E-2</v>
      </c>
      <c r="D403" s="23">
        <v>5.2254795999999999E-2</v>
      </c>
      <c r="E403" s="24">
        <v>8.0428999999999904E-5</v>
      </c>
      <c r="F403" s="24">
        <v>0.15415424206297601</v>
      </c>
      <c r="G403" s="24">
        <v>6.8362352059962204</v>
      </c>
      <c r="H403" s="23">
        <v>5.2254795999999999E-2</v>
      </c>
      <c r="I403" s="23">
        <v>5.2254795999999999E-2</v>
      </c>
      <c r="K403">
        <f t="shared" si="12"/>
        <v>1.5415424206297601E-3</v>
      </c>
      <c r="L403">
        <f t="shared" si="13"/>
        <v>2.7172492734056652E-4</v>
      </c>
    </row>
    <row r="404" spans="1:12" ht="15" customHeight="1" x14ac:dyDescent="0.3">
      <c r="A404" s="19">
        <v>45511</v>
      </c>
      <c r="B404" s="20">
        <v>5.2166201518036498E-2</v>
      </c>
      <c r="C404" s="20">
        <v>5.21825345057009E-2</v>
      </c>
      <c r="D404" s="20">
        <v>5.2174366999999999E-2</v>
      </c>
      <c r="E404" s="21">
        <v>5.4814299999999996E-4</v>
      </c>
      <c r="F404" s="21">
        <v>1.0617530346592901</v>
      </c>
      <c r="G404" s="21">
        <v>6.6717961072121899</v>
      </c>
      <c r="H404" s="20">
        <v>5.2174366999999999E-2</v>
      </c>
      <c r="I404" s="20">
        <v>5.2174366999999999E-2</v>
      </c>
      <c r="K404">
        <f t="shared" si="12"/>
        <v>1.0617530346592963E-2</v>
      </c>
      <c r="L404">
        <f t="shared" si="13"/>
        <v>3.130462064715131E-4</v>
      </c>
    </row>
    <row r="405" spans="1:12" ht="15" customHeight="1" x14ac:dyDescent="0.3">
      <c r="A405" s="22">
        <v>45510</v>
      </c>
      <c r="B405" s="23">
        <v>5.1619563814685798E-2</v>
      </c>
      <c r="C405" s="23">
        <v>5.1632890151026199E-2</v>
      </c>
      <c r="D405" s="23">
        <v>5.1626223999999998E-2</v>
      </c>
      <c r="E405" s="24">
        <v>5.9149399999999797E-4</v>
      </c>
      <c r="F405" s="24">
        <v>1.1590028986143199</v>
      </c>
      <c r="G405" s="24">
        <v>5.5511040567730197</v>
      </c>
      <c r="H405" s="23">
        <v>5.1626223999999998E-2</v>
      </c>
      <c r="I405" s="23">
        <v>5.1626223999999998E-2</v>
      </c>
      <c r="K405">
        <f t="shared" si="12"/>
        <v>1.1590028986143253E-2</v>
      </c>
      <c r="L405">
        <f t="shared" si="13"/>
        <v>2.5813114552791967E-4</v>
      </c>
    </row>
    <row r="406" spans="1:12" ht="15" customHeight="1" x14ac:dyDescent="0.3">
      <c r="A406" s="19">
        <v>45509</v>
      </c>
      <c r="B406" s="20">
        <v>5.1025094141298702E-2</v>
      </c>
      <c r="C406" s="20">
        <v>5.1044367764460898E-2</v>
      </c>
      <c r="D406" s="20">
        <v>5.103473E-2</v>
      </c>
      <c r="E406" s="21">
        <v>-1.486972E-3</v>
      </c>
      <c r="F406" s="21">
        <v>-2.8311572995102101</v>
      </c>
      <c r="G406" s="21">
        <v>4.3417798043745401</v>
      </c>
      <c r="H406" s="20">
        <v>5.103473E-2</v>
      </c>
      <c r="I406" s="20">
        <v>5.103473E-2</v>
      </c>
      <c r="K406">
        <f t="shared" si="12"/>
        <v>-2.8311572995102119E-2</v>
      </c>
      <c r="L406">
        <f t="shared" si="13"/>
        <v>3.7765700263713871E-4</v>
      </c>
    </row>
    <row r="407" spans="1:12" ht="15" customHeight="1" x14ac:dyDescent="0.3">
      <c r="A407" s="22">
        <v>45506</v>
      </c>
      <c r="B407" s="23">
        <v>5.2512182826415697E-2</v>
      </c>
      <c r="C407" s="23">
        <v>5.2531216675509397E-2</v>
      </c>
      <c r="D407" s="23">
        <v>5.2521702000000003E-2</v>
      </c>
      <c r="E407" s="24">
        <v>-1.26559999999999E-3</v>
      </c>
      <c r="F407" s="24">
        <v>-2.3529717106836801</v>
      </c>
      <c r="G407" s="24">
        <v>7.3819311875457796</v>
      </c>
      <c r="H407" s="23">
        <v>5.2521702000000003E-2</v>
      </c>
      <c r="I407" s="23">
        <v>5.2521702000000003E-2</v>
      </c>
      <c r="K407">
        <f t="shared" si="12"/>
        <v>-2.3529717106836823E-2</v>
      </c>
      <c r="L407">
        <f t="shared" si="13"/>
        <v>3.6239970086460183E-4</v>
      </c>
    </row>
    <row r="408" spans="1:12" ht="15" customHeight="1" x14ac:dyDescent="0.3">
      <c r="A408" s="19">
        <v>45505</v>
      </c>
      <c r="B408" s="20">
        <v>5.3779921803993699E-2</v>
      </c>
      <c r="C408" s="20">
        <v>5.3794676478815702E-2</v>
      </c>
      <c r="D408" s="20">
        <v>5.3787302000000002E-2</v>
      </c>
      <c r="E408" s="21">
        <v>1.11882E-4</v>
      </c>
      <c r="F408" s="21">
        <v>0.208441778378265</v>
      </c>
      <c r="G408" s="21">
        <v>9.9694819891355202</v>
      </c>
      <c r="H408" s="20">
        <v>5.3787302000000002E-2</v>
      </c>
      <c r="I408" s="20">
        <v>5.3787302000000002E-2</v>
      </c>
      <c r="K408">
        <f t="shared" si="12"/>
        <v>2.084417783782655E-3</v>
      </c>
      <c r="L408">
        <f t="shared" si="13"/>
        <v>2.743152058826561E-4</v>
      </c>
    </row>
    <row r="409" spans="1:12" ht="15" customHeight="1" x14ac:dyDescent="0.3">
      <c r="A409" s="22">
        <v>45504</v>
      </c>
      <c r="B409" s="23">
        <v>5.3669663222863297E-2</v>
      </c>
      <c r="C409" s="23">
        <v>5.3681187427865901E-2</v>
      </c>
      <c r="D409" s="23">
        <v>5.3675420000000001E-2</v>
      </c>
      <c r="E409" s="24">
        <v>3.26434999999999E-4</v>
      </c>
      <c r="F409" s="24">
        <v>0.61188605556412501</v>
      </c>
      <c r="G409" s="24">
        <v>9.7407364464810797</v>
      </c>
      <c r="H409" s="23">
        <v>5.3675420000000001E-2</v>
      </c>
      <c r="I409" s="23">
        <v>5.3675420000000001E-2</v>
      </c>
      <c r="K409">
        <f t="shared" si="12"/>
        <v>6.118860555641259E-3</v>
      </c>
      <c r="L409">
        <f t="shared" si="13"/>
        <v>2.1470172012820834E-4</v>
      </c>
    </row>
    <row r="410" spans="1:12" ht="15" customHeight="1" x14ac:dyDescent="0.3">
      <c r="A410" s="19">
        <v>45503</v>
      </c>
      <c r="B410" s="20">
        <v>5.3341298967312503E-2</v>
      </c>
      <c r="C410" s="20">
        <v>5.3356667982797798E-2</v>
      </c>
      <c r="D410" s="20">
        <v>5.3348985000000002E-2</v>
      </c>
      <c r="E410" s="21">
        <v>-3.74018999999996E-4</v>
      </c>
      <c r="F410" s="21">
        <v>-0.69619896906731804</v>
      </c>
      <c r="G410" s="21">
        <v>9.0733319380131991</v>
      </c>
      <c r="H410" s="20">
        <v>5.3348985000000002E-2</v>
      </c>
      <c r="I410" s="20">
        <v>5.3348985000000002E-2</v>
      </c>
      <c r="K410">
        <f t="shared" si="12"/>
        <v>-6.9619896906731871E-3</v>
      </c>
      <c r="L410">
        <f t="shared" si="13"/>
        <v>2.8808449655217977E-4</v>
      </c>
    </row>
    <row r="411" spans="1:12" ht="15" customHeight="1" x14ac:dyDescent="0.3">
      <c r="A411" s="22">
        <v>45502</v>
      </c>
      <c r="B411" s="23">
        <v>5.3716078296555697E-2</v>
      </c>
      <c r="C411" s="23">
        <v>5.3729931870446397E-2</v>
      </c>
      <c r="D411" s="23">
        <v>5.3723003999999998E-2</v>
      </c>
      <c r="E411" s="24">
        <v>-4.2764600000000299E-4</v>
      </c>
      <c r="F411" s="24">
        <v>-0.78973382590975505</v>
      </c>
      <c r="G411" s="24">
        <v>9.8380231226369208</v>
      </c>
      <c r="H411" s="23">
        <v>5.3723003999999998E-2</v>
      </c>
      <c r="I411" s="23">
        <v>5.3723003999999998E-2</v>
      </c>
      <c r="K411">
        <f t="shared" si="12"/>
        <v>-7.8973382590975527E-3</v>
      </c>
      <c r="L411">
        <f t="shared" si="13"/>
        <v>2.5787042531538301E-4</v>
      </c>
    </row>
    <row r="412" spans="1:12" ht="15" customHeight="1" x14ac:dyDescent="0.3">
      <c r="A412" s="19">
        <v>45499</v>
      </c>
      <c r="B412" s="20">
        <v>5.4142437925694897E-2</v>
      </c>
      <c r="C412" s="20">
        <v>5.4158858764528098E-2</v>
      </c>
      <c r="D412" s="20">
        <v>5.4150650000000002E-2</v>
      </c>
      <c r="E412" s="21">
        <v>-2.65193999999996E-4</v>
      </c>
      <c r="F412" s="21">
        <v>-0.487347030765517</v>
      </c>
      <c r="G412" s="21">
        <v>10.7123560478081</v>
      </c>
      <c r="H412" s="20">
        <v>5.4150650000000002E-2</v>
      </c>
      <c r="I412" s="20">
        <v>5.4150650000000002E-2</v>
      </c>
      <c r="K412">
        <f t="shared" si="12"/>
        <v>-4.87347030765517E-3</v>
      </c>
      <c r="L412">
        <f t="shared" si="13"/>
        <v>3.0324361449401706E-4</v>
      </c>
    </row>
    <row r="413" spans="1:12" ht="15" customHeight="1" x14ac:dyDescent="0.3">
      <c r="A413" s="22">
        <v>45498</v>
      </c>
      <c r="B413" s="23">
        <v>5.4408148164269102E-2</v>
      </c>
      <c r="C413" s="23">
        <v>5.4423545802856098E-2</v>
      </c>
      <c r="D413" s="23">
        <v>5.4415843999999998E-2</v>
      </c>
      <c r="E413" s="24">
        <v>1.21130999999996E-4</v>
      </c>
      <c r="F413" s="24">
        <v>0.22309907043802599</v>
      </c>
      <c r="G413" s="24">
        <v>11.254551802609599</v>
      </c>
      <c r="H413" s="23">
        <v>5.4415843999999998E-2</v>
      </c>
      <c r="I413" s="23">
        <v>5.4415843999999998E-2</v>
      </c>
      <c r="K413">
        <f t="shared" si="12"/>
        <v>2.2309907043802646E-3</v>
      </c>
      <c r="L413">
        <f t="shared" si="13"/>
        <v>2.8296241416371509E-4</v>
      </c>
    </row>
    <row r="414" spans="1:12" ht="15" customHeight="1" x14ac:dyDescent="0.3">
      <c r="A414" s="19">
        <v>45497</v>
      </c>
      <c r="B414" s="20">
        <v>5.4287932335521101E-2</v>
      </c>
      <c r="C414" s="20">
        <v>5.4301492748035599E-2</v>
      </c>
      <c r="D414" s="20">
        <v>5.4294713000000001E-2</v>
      </c>
      <c r="E414" s="21">
        <v>-9.5848700000000005E-4</v>
      </c>
      <c r="F414" s="21">
        <v>-1.7347176272143501</v>
      </c>
      <c r="G414" s="21">
        <v>11.006896448510799</v>
      </c>
      <c r="H414" s="20">
        <v>5.4294713000000001E-2</v>
      </c>
      <c r="I414" s="20">
        <v>5.4294713000000001E-2</v>
      </c>
      <c r="K414">
        <f t="shared" si="12"/>
        <v>-1.734717627214355E-2</v>
      </c>
      <c r="L414">
        <f t="shared" si="13"/>
        <v>2.4975567168938754E-4</v>
      </c>
    </row>
    <row r="415" spans="1:12" ht="15" customHeight="1" x14ac:dyDescent="0.3">
      <c r="A415" s="22">
        <v>45496</v>
      </c>
      <c r="B415" s="23">
        <v>5.52473978475614E-2</v>
      </c>
      <c r="C415" s="23">
        <v>5.5258998927975402E-2</v>
      </c>
      <c r="D415" s="23">
        <v>5.5253200000000002E-2</v>
      </c>
      <c r="E415" s="24">
        <v>-5.4102999999999703E-4</v>
      </c>
      <c r="F415" s="24">
        <v>-0.96968808423379904</v>
      </c>
      <c r="G415" s="24">
        <v>12.966547053096299</v>
      </c>
      <c r="H415" s="23">
        <v>5.5253200000000002E-2</v>
      </c>
      <c r="I415" s="23">
        <v>5.5253200000000002E-2</v>
      </c>
      <c r="K415">
        <f t="shared" si="12"/>
        <v>-9.696880842337996E-3</v>
      </c>
      <c r="L415">
        <f t="shared" si="13"/>
        <v>2.0996214543233366E-4</v>
      </c>
    </row>
    <row r="416" spans="1:12" ht="15" customHeight="1" x14ac:dyDescent="0.3">
      <c r="A416" s="19">
        <v>45495</v>
      </c>
      <c r="B416" s="20">
        <v>5.5788005578800599E-2</v>
      </c>
      <c r="C416" s="20">
        <v>5.5800457563752001E-2</v>
      </c>
      <c r="D416" s="20">
        <v>5.579423E-2</v>
      </c>
      <c r="E416" s="21">
        <v>-2.4913000000001399E-5</v>
      </c>
      <c r="F416" s="21">
        <v>-4.4631641872394601E-2</v>
      </c>
      <c r="G416" s="21">
        <v>14.0726963974263</v>
      </c>
      <c r="H416" s="20">
        <v>5.579423E-2</v>
      </c>
      <c r="I416" s="20">
        <v>5.579423E-2</v>
      </c>
      <c r="K416">
        <f t="shared" si="12"/>
        <v>-4.4631641872394656E-4</v>
      </c>
      <c r="L416">
        <f t="shared" si="13"/>
        <v>2.2317692979008434E-4</v>
      </c>
    </row>
    <row r="417" spans="1:12" ht="15" customHeight="1" x14ac:dyDescent="0.3">
      <c r="A417" s="22">
        <v>45492</v>
      </c>
      <c r="B417" s="23">
        <v>5.5812292099211902E-2</v>
      </c>
      <c r="C417" s="23">
        <v>5.58260015184672E-2</v>
      </c>
      <c r="D417" s="23">
        <v>5.5819143000000002E-2</v>
      </c>
      <c r="E417" s="24">
        <v>-2.06403E-4</v>
      </c>
      <c r="F417" s="24">
        <v>-0.36840872554816301</v>
      </c>
      <c r="G417" s="24">
        <v>14.1236316479952</v>
      </c>
      <c r="H417" s="23">
        <v>5.5819143000000002E-2</v>
      </c>
      <c r="I417" s="23">
        <v>5.5819143000000002E-2</v>
      </c>
      <c r="K417">
        <f t="shared" si="12"/>
        <v>-3.6840872554816384E-3</v>
      </c>
      <c r="L417">
        <f t="shared" si="13"/>
        <v>2.4560425901375415E-4</v>
      </c>
    </row>
    <row r="418" spans="1:12" ht="15" customHeight="1" x14ac:dyDescent="0.3">
      <c r="A418" s="19">
        <v>45491</v>
      </c>
      <c r="B418" s="20">
        <v>5.6020839752387898E-2</v>
      </c>
      <c r="C418" s="20">
        <v>5.60302563384227E-2</v>
      </c>
      <c r="D418" s="20">
        <v>5.6025546000000002E-2</v>
      </c>
      <c r="E418" s="21">
        <v>-3.3153399999999401E-4</v>
      </c>
      <c r="F418" s="21">
        <v>-0.58827391341069701</v>
      </c>
      <c r="G418" s="21">
        <v>14.545627735306001</v>
      </c>
      <c r="H418" s="20">
        <v>5.6025546000000002E-2</v>
      </c>
      <c r="I418" s="20">
        <v>5.6025546000000002E-2</v>
      </c>
      <c r="K418">
        <f t="shared" si="12"/>
        <v>-5.8827391341069735E-3</v>
      </c>
      <c r="L418">
        <f t="shared" si="13"/>
        <v>1.6807664908436985E-4</v>
      </c>
    </row>
    <row r="419" spans="1:12" ht="15" customHeight="1" x14ac:dyDescent="0.3">
      <c r="A419" s="22">
        <v>45490</v>
      </c>
      <c r="B419" s="23">
        <v>5.6350726924377301E-2</v>
      </c>
      <c r="C419" s="23">
        <v>5.6363431405703997E-2</v>
      </c>
      <c r="D419" s="23">
        <v>5.6357079999999997E-2</v>
      </c>
      <c r="E419" s="24">
        <v>-1.4807500000000399E-4</v>
      </c>
      <c r="F419" s="24">
        <v>-0.26205573633061302</v>
      </c>
      <c r="G419" s="24">
        <v>15.2234572765941</v>
      </c>
      <c r="H419" s="23">
        <v>5.6357079999999997E-2</v>
      </c>
      <c r="I419" s="23">
        <v>5.6357079999999997E-2</v>
      </c>
      <c r="K419">
        <f t="shared" si="12"/>
        <v>-2.6205573633061308E-3</v>
      </c>
      <c r="L419">
        <f t="shared" si="13"/>
        <v>2.254283104571076E-4</v>
      </c>
    </row>
    <row r="420" spans="1:12" ht="15" customHeight="1" x14ac:dyDescent="0.3">
      <c r="A420" s="19">
        <v>45489</v>
      </c>
      <c r="B420" s="20">
        <v>5.6498771151727398E-2</v>
      </c>
      <c r="C420" s="20">
        <v>5.65115424825521E-2</v>
      </c>
      <c r="D420" s="20">
        <v>5.6505155000000001E-2</v>
      </c>
      <c r="E420" s="21">
        <v>3.8134700000000399E-4</v>
      </c>
      <c r="F420" s="21">
        <v>0.67947456451993204</v>
      </c>
      <c r="G420" s="21">
        <v>15.526200311475201</v>
      </c>
      <c r="H420" s="20">
        <v>5.6505155000000001E-2</v>
      </c>
      <c r="I420" s="20">
        <v>5.6505155000000001E-2</v>
      </c>
      <c r="K420">
        <f t="shared" si="12"/>
        <v>6.7947456451993293E-3</v>
      </c>
      <c r="L420">
        <f t="shared" si="13"/>
        <v>2.2602063165215041E-4</v>
      </c>
    </row>
    <row r="421" spans="1:12" ht="15" customHeight="1" x14ac:dyDescent="0.3">
      <c r="A421" s="22">
        <v>45488</v>
      </c>
      <c r="B421" s="23">
        <v>5.61167227833895E-2</v>
      </c>
      <c r="C421" s="23">
        <v>5.6130897252392599E-2</v>
      </c>
      <c r="D421" s="23">
        <v>5.6123807999999997E-2</v>
      </c>
      <c r="E421" s="24">
        <v>-3.7176899999999998E-4</v>
      </c>
      <c r="F421" s="24">
        <v>-0.65804974431892205</v>
      </c>
      <c r="G421" s="24">
        <v>14.746526847873801</v>
      </c>
      <c r="H421" s="23">
        <v>5.6123807999999997E-2</v>
      </c>
      <c r="I421" s="23">
        <v>5.6123807999999997E-2</v>
      </c>
      <c r="K421">
        <f t="shared" si="12"/>
        <v>-6.580497443189226E-3</v>
      </c>
      <c r="L421">
        <f t="shared" si="13"/>
        <v>2.5255715013313047E-4</v>
      </c>
    </row>
    <row r="422" spans="1:12" ht="15" customHeight="1" x14ac:dyDescent="0.3">
      <c r="A422" s="19">
        <v>45485</v>
      </c>
      <c r="B422" s="20">
        <v>5.6489834654254001E-2</v>
      </c>
      <c r="C422" s="20">
        <v>5.6501324956070201E-2</v>
      </c>
      <c r="D422" s="20">
        <v>5.6495576999999998E-2</v>
      </c>
      <c r="E422" s="21">
        <v>3.8357699999999601E-4</v>
      </c>
      <c r="F422" s="21">
        <v>0.68359174508125697</v>
      </c>
      <c r="G422" s="21">
        <v>15.5066178513158</v>
      </c>
      <c r="H422" s="20">
        <v>5.6495576999999998E-2</v>
      </c>
      <c r="I422" s="20">
        <v>5.6495576999999998E-2</v>
      </c>
      <c r="K422">
        <f t="shared" si="12"/>
        <v>6.8359174508125786E-3</v>
      </c>
      <c r="L422">
        <f t="shared" si="13"/>
        <v>2.0338409529298057E-4</v>
      </c>
    </row>
    <row r="423" spans="1:12" ht="15" customHeight="1" x14ac:dyDescent="0.3">
      <c r="A423" s="22">
        <v>45484</v>
      </c>
      <c r="B423" s="23">
        <v>5.6104444033011902E-2</v>
      </c>
      <c r="C423" s="23">
        <v>5.6119557104455299E-2</v>
      </c>
      <c r="D423" s="23">
        <v>5.6112000000000002E-2</v>
      </c>
      <c r="E423" s="24">
        <v>6.7614999999999996E-5</v>
      </c>
      <c r="F423" s="24">
        <v>0.120645449138212</v>
      </c>
      <c r="G423" s="24">
        <v>14.7223850970322</v>
      </c>
      <c r="H423" s="23">
        <v>5.6112000000000002E-2</v>
      </c>
      <c r="I423" s="23">
        <v>5.6112000000000002E-2</v>
      </c>
      <c r="K423">
        <f t="shared" si="12"/>
        <v>1.2064544913821251E-3</v>
      </c>
      <c r="L423">
        <f t="shared" si="13"/>
        <v>2.6933760057379819E-4</v>
      </c>
    </row>
    <row r="424" spans="1:12" ht="15" customHeight="1" x14ac:dyDescent="0.3">
      <c r="A424" s="19">
        <v>45483</v>
      </c>
      <c r="B424" s="20">
        <v>5.6038419940711397E-2</v>
      </c>
      <c r="C424" s="20">
        <v>5.6050355639506499E-2</v>
      </c>
      <c r="D424" s="20">
        <v>5.6044385000000002E-2</v>
      </c>
      <c r="E424" s="21">
        <v>3.4338500000000101E-4</v>
      </c>
      <c r="F424" s="21">
        <v>0.61647905782660195</v>
      </c>
      <c r="G424" s="21">
        <v>14.5841445412093</v>
      </c>
      <c r="H424" s="20">
        <v>5.6044385000000002E-2</v>
      </c>
      <c r="I424" s="20">
        <v>5.6044385000000002E-2</v>
      </c>
      <c r="K424">
        <f t="shared" si="12"/>
        <v>6.1647905782660217E-3</v>
      </c>
      <c r="L424">
        <f t="shared" si="13"/>
        <v>2.1296868178859944E-4</v>
      </c>
    </row>
    <row r="425" spans="1:12" ht="15" customHeight="1" x14ac:dyDescent="0.3">
      <c r="A425" s="22">
        <v>45482</v>
      </c>
      <c r="B425" s="23">
        <v>5.5694792536897797E-2</v>
      </c>
      <c r="C425" s="23">
        <v>5.5707202941340302E-2</v>
      </c>
      <c r="D425" s="23">
        <v>5.5701000000000001E-2</v>
      </c>
      <c r="E425" s="24">
        <v>8.2100000000001603E-5</v>
      </c>
      <c r="F425" s="24">
        <v>0.14761169314747499</v>
      </c>
      <c r="G425" s="24">
        <v>13.882085334505801</v>
      </c>
      <c r="H425" s="23">
        <v>5.5701000000000001E-2</v>
      </c>
      <c r="I425" s="23">
        <v>5.5701000000000001E-2</v>
      </c>
      <c r="K425">
        <f t="shared" si="12"/>
        <v>1.476116931474758E-3</v>
      </c>
      <c r="L425">
        <f t="shared" si="13"/>
        <v>2.2280397914767571E-4</v>
      </c>
    </row>
    <row r="426" spans="1:12" ht="15" customHeight="1" x14ac:dyDescent="0.3">
      <c r="A426" s="19">
        <v>45481</v>
      </c>
      <c r="B426" s="20">
        <v>5.5611785249530102E-2</v>
      </c>
      <c r="C426" s="20">
        <v>5.5626015174776902E-2</v>
      </c>
      <c r="D426" s="20">
        <v>5.5618899999999999E-2</v>
      </c>
      <c r="E426" s="21">
        <v>5.4827300000000103E-4</v>
      </c>
      <c r="F426" s="21">
        <v>0.99558154658381204</v>
      </c>
      <c r="G426" s="21">
        <v>13.7142298344975</v>
      </c>
      <c r="H426" s="20">
        <v>5.5618899999999999E-2</v>
      </c>
      <c r="I426" s="20">
        <v>5.5618899999999999E-2</v>
      </c>
      <c r="K426">
        <f t="shared" si="12"/>
        <v>9.9558154658381248E-3</v>
      </c>
      <c r="L426">
        <f t="shared" si="13"/>
        <v>2.5584693776396756E-4</v>
      </c>
    </row>
    <row r="427" spans="1:12" ht="15" customHeight="1" x14ac:dyDescent="0.3">
      <c r="A427" s="22">
        <v>45478</v>
      </c>
      <c r="B427" s="23">
        <v>5.5063956785806702E-2</v>
      </c>
      <c r="C427" s="23">
        <v>5.5077300991942198E-2</v>
      </c>
      <c r="D427" s="23">
        <v>5.5070626999999997E-2</v>
      </c>
      <c r="E427" s="24">
        <v>-2.7737300000000399E-4</v>
      </c>
      <c r="F427" s="24">
        <v>-0.50114367276143901</v>
      </c>
      <c r="G427" s="24">
        <v>12.5932719958123</v>
      </c>
      <c r="H427" s="23">
        <v>5.5070626999999997E-2</v>
      </c>
      <c r="I427" s="23">
        <v>5.5070626999999997E-2</v>
      </c>
      <c r="K427">
        <f t="shared" si="12"/>
        <v>-5.0114367276143934E-3</v>
      </c>
      <c r="L427">
        <f t="shared" si="13"/>
        <v>2.4231077186566316E-4</v>
      </c>
    </row>
    <row r="428" spans="1:12" ht="15" customHeight="1" x14ac:dyDescent="0.3">
      <c r="A428" s="19">
        <v>45477</v>
      </c>
      <c r="B428" s="20">
        <v>5.5338505638993701E-2</v>
      </c>
      <c r="C428" s="20">
        <v>5.5357498726777497E-2</v>
      </c>
      <c r="D428" s="20">
        <v>5.5348000000000001E-2</v>
      </c>
      <c r="E428" s="21">
        <v>2.43230000000004E-4</v>
      </c>
      <c r="F428" s="21">
        <v>0.441395545249534</v>
      </c>
      <c r="G428" s="21">
        <v>13.160368020219201</v>
      </c>
      <c r="H428" s="20">
        <v>5.5348000000000001E-2</v>
      </c>
      <c r="I428" s="20">
        <v>5.5348000000000001E-2</v>
      </c>
      <c r="K428">
        <f t="shared" si="12"/>
        <v>4.4139554524953439E-3</v>
      </c>
      <c r="L428">
        <f t="shared" si="13"/>
        <v>3.4315761696531024E-4</v>
      </c>
    </row>
    <row r="429" spans="1:12" ht="15" customHeight="1" x14ac:dyDescent="0.3">
      <c r="A429" s="22">
        <v>45476</v>
      </c>
      <c r="B429" s="23">
        <v>5.5097936582274999E-2</v>
      </c>
      <c r="C429" s="23">
        <v>5.5111600992008798E-2</v>
      </c>
      <c r="D429" s="23">
        <v>5.5104769999999997E-2</v>
      </c>
      <c r="E429" s="24">
        <v>2.5314499999999602E-4</v>
      </c>
      <c r="F429" s="24">
        <v>0.46150866086465098</v>
      </c>
      <c r="G429" s="24">
        <v>12.663078211851101</v>
      </c>
      <c r="H429" s="23">
        <v>5.5104769999999997E-2</v>
      </c>
      <c r="I429" s="23">
        <v>5.5104769999999997E-2</v>
      </c>
      <c r="K429">
        <f t="shared" si="12"/>
        <v>4.6150866086465125E-3</v>
      </c>
      <c r="L429">
        <f t="shared" si="13"/>
        <v>2.4797145027189137E-4</v>
      </c>
    </row>
    <row r="430" spans="1:12" ht="15" customHeight="1" x14ac:dyDescent="0.3">
      <c r="A430" s="19">
        <v>45475</v>
      </c>
      <c r="B430" s="20">
        <v>5.4843203281817299E-2</v>
      </c>
      <c r="C430" s="20">
        <v>5.4860052007329303E-2</v>
      </c>
      <c r="D430" s="20">
        <v>5.4851625000000001E-2</v>
      </c>
      <c r="E430" s="21">
        <v>5.6354700000000397E-4</v>
      </c>
      <c r="F430" s="21">
        <v>1.03806769508401</v>
      </c>
      <c r="G430" s="21">
        <v>12.1455169384089</v>
      </c>
      <c r="H430" s="20">
        <v>5.4851625000000001E-2</v>
      </c>
      <c r="I430" s="20">
        <v>5.4851625000000001E-2</v>
      </c>
      <c r="K430">
        <f t="shared" si="12"/>
        <v>1.0380676950840106E-2</v>
      </c>
      <c r="L430">
        <f t="shared" si="13"/>
        <v>3.0716912237339374E-4</v>
      </c>
    </row>
    <row r="431" spans="1:12" ht="15" customHeight="1" x14ac:dyDescent="0.3">
      <c r="A431" s="22">
        <v>45474</v>
      </c>
      <c r="B431" s="23">
        <v>5.4281154668722097E-2</v>
      </c>
      <c r="C431" s="23">
        <v>5.4295006488253299E-2</v>
      </c>
      <c r="D431" s="23">
        <v>5.4288077999999997E-2</v>
      </c>
      <c r="E431" s="24">
        <v>-4.0006200000000598E-4</v>
      </c>
      <c r="F431" s="24">
        <v>-0.73153338182648797</v>
      </c>
      <c r="G431" s="24">
        <v>10.9933310253372</v>
      </c>
      <c r="H431" s="23">
        <v>5.4288077999999997E-2</v>
      </c>
      <c r="I431" s="23">
        <v>5.4288077999999997E-2</v>
      </c>
      <c r="K431">
        <f t="shared" si="12"/>
        <v>-7.3153338182648797E-3</v>
      </c>
      <c r="L431">
        <f t="shared" si="13"/>
        <v>2.5515398668565998E-4</v>
      </c>
    </row>
    <row r="432" spans="1:12" ht="15" customHeight="1" x14ac:dyDescent="0.3">
      <c r="A432" s="19">
        <v>45471</v>
      </c>
      <c r="B432" s="20">
        <v>5.4683057001618601E-2</v>
      </c>
      <c r="C432" s="20">
        <v>5.4693225697065202E-2</v>
      </c>
      <c r="D432" s="20">
        <v>5.4688140000000003E-2</v>
      </c>
      <c r="E432" s="21">
        <v>2.6784999999999998E-4</v>
      </c>
      <c r="F432" s="21">
        <v>0.49218774835635398</v>
      </c>
      <c r="G432" s="21">
        <v>11.8112677737456</v>
      </c>
      <c r="H432" s="20">
        <v>5.4688140000000003E-2</v>
      </c>
      <c r="I432" s="20">
        <v>5.4688140000000003E-2</v>
      </c>
      <c r="K432">
        <f t="shared" si="12"/>
        <v>4.9218774835635415E-3</v>
      </c>
      <c r="L432">
        <f t="shared" si="13"/>
        <v>1.8593968356943541E-4</v>
      </c>
    </row>
    <row r="433" spans="1:12" ht="15" customHeight="1" x14ac:dyDescent="0.3">
      <c r="A433" s="22">
        <v>45470</v>
      </c>
      <c r="B433" s="23">
        <v>5.4413181048977299E-2</v>
      </c>
      <c r="C433" s="23">
        <v>5.4427396574339697E-2</v>
      </c>
      <c r="D433" s="23">
        <v>5.4420290000000003E-2</v>
      </c>
      <c r="E433" s="24">
        <v>-5.2023499999999303E-4</v>
      </c>
      <c r="F433" s="24">
        <v>-0.94690576764599999</v>
      </c>
      <c r="G433" s="24">
        <v>11.2636417606246</v>
      </c>
      <c r="H433" s="23">
        <v>5.4420290000000003E-2</v>
      </c>
      <c r="I433" s="23">
        <v>5.4420290000000003E-2</v>
      </c>
      <c r="K433">
        <f t="shared" si="12"/>
        <v>-9.4690576764600021E-3</v>
      </c>
      <c r="L433">
        <f t="shared" si="13"/>
        <v>2.6121737613668349E-4</v>
      </c>
    </row>
    <row r="434" spans="1:12" ht="15" customHeight="1" x14ac:dyDescent="0.3">
      <c r="A434" s="19">
        <v>45469</v>
      </c>
      <c r="B434" s="20">
        <v>5.4932378242383603E-2</v>
      </c>
      <c r="C434" s="20">
        <v>5.4948677934808898E-2</v>
      </c>
      <c r="D434" s="20">
        <v>5.4940524999999997E-2</v>
      </c>
      <c r="E434" s="21">
        <v>-3.9271999999999898E-5</v>
      </c>
      <c r="F434" s="21">
        <v>-7.1429874504624902E-2</v>
      </c>
      <c r="G434" s="21">
        <v>12.3272752082108</v>
      </c>
      <c r="H434" s="20">
        <v>5.4940524999999997E-2</v>
      </c>
      <c r="I434" s="20">
        <v>5.4940524999999997E-2</v>
      </c>
      <c r="K434">
        <f t="shared" si="12"/>
        <v>-7.1429874504624902E-4</v>
      </c>
      <c r="L434">
        <f t="shared" si="13"/>
        <v>2.9667886182913348E-4</v>
      </c>
    </row>
    <row r="435" spans="1:12" ht="15" customHeight="1" x14ac:dyDescent="0.3">
      <c r="A435" s="22">
        <v>45468</v>
      </c>
      <c r="B435" s="23">
        <v>5.4970123737748497E-2</v>
      </c>
      <c r="C435" s="23">
        <v>5.4989469516587598E-2</v>
      </c>
      <c r="D435" s="23">
        <v>5.4979796999999997E-2</v>
      </c>
      <c r="E435" s="24">
        <v>-4.60256000000006E-4</v>
      </c>
      <c r="F435" s="24">
        <v>-0.83018679653861205</v>
      </c>
      <c r="G435" s="24">
        <v>12.407567792818901</v>
      </c>
      <c r="H435" s="23">
        <v>5.4979796999999997E-2</v>
      </c>
      <c r="I435" s="23">
        <v>5.4979796999999997E-2</v>
      </c>
      <c r="K435">
        <f t="shared" si="12"/>
        <v>-8.3018679653861227E-3</v>
      </c>
      <c r="L435">
        <f t="shared" si="13"/>
        <v>3.5187068513733007E-4</v>
      </c>
    </row>
    <row r="436" spans="1:12" ht="15" customHeight="1" x14ac:dyDescent="0.3">
      <c r="A436" s="19">
        <v>45467</v>
      </c>
      <c r="B436" s="20">
        <v>5.5435445423803999E-2</v>
      </c>
      <c r="C436" s="20">
        <v>5.5444666223109298E-2</v>
      </c>
      <c r="D436" s="20">
        <v>5.5440053000000003E-2</v>
      </c>
      <c r="E436" s="21">
        <v>5.9293900000000001E-4</v>
      </c>
      <c r="F436" s="21">
        <v>1.08107602525813</v>
      </c>
      <c r="G436" s="21">
        <v>13.348572677250401</v>
      </c>
      <c r="H436" s="20">
        <v>5.5440053000000003E-2</v>
      </c>
      <c r="I436" s="20">
        <v>5.5440053000000003E-2</v>
      </c>
      <c r="K436">
        <f t="shared" si="12"/>
        <v>1.081076025258132E-2</v>
      </c>
      <c r="L436">
        <f t="shared" si="13"/>
        <v>1.6632017478951161E-4</v>
      </c>
    </row>
    <row r="437" spans="1:12" ht="15" customHeight="1" x14ac:dyDescent="0.3">
      <c r="A437" s="22">
        <v>45464</v>
      </c>
      <c r="B437" s="23">
        <v>5.4840496416173598E-2</v>
      </c>
      <c r="C437" s="23">
        <v>5.4853732522229498E-2</v>
      </c>
      <c r="D437" s="23">
        <v>5.4847114000000002E-2</v>
      </c>
      <c r="E437" s="24">
        <v>5.0002400000000104E-4</v>
      </c>
      <c r="F437" s="24">
        <v>0.92005662124687804</v>
      </c>
      <c r="G437" s="24">
        <v>12.1362940862708</v>
      </c>
      <c r="H437" s="23">
        <v>5.4847114000000002E-2</v>
      </c>
      <c r="I437" s="23">
        <v>5.4847114000000002E-2</v>
      </c>
      <c r="K437">
        <f t="shared" si="12"/>
        <v>9.2005662124687859E-3</v>
      </c>
      <c r="L437">
        <f t="shared" si="13"/>
        <v>2.4132730221502587E-4</v>
      </c>
    </row>
    <row r="438" spans="1:12" ht="15" customHeight="1" x14ac:dyDescent="0.3">
      <c r="A438" s="19">
        <v>45463</v>
      </c>
      <c r="B438" s="20">
        <v>5.4340442874609401E-2</v>
      </c>
      <c r="C438" s="20">
        <v>5.4353734101532797E-2</v>
      </c>
      <c r="D438" s="20">
        <v>5.4347090000000001E-2</v>
      </c>
      <c r="E438" s="21">
        <v>1.5503999999999501E-5</v>
      </c>
      <c r="F438" s="21">
        <v>2.85358870252716E-2</v>
      </c>
      <c r="G438" s="21">
        <v>11.113982532846199</v>
      </c>
      <c r="H438" s="20">
        <v>5.4347090000000001E-2</v>
      </c>
      <c r="I438" s="20">
        <v>5.4347090000000001E-2</v>
      </c>
      <c r="K438">
        <f t="shared" si="12"/>
        <v>2.8535887025271656E-4</v>
      </c>
      <c r="L438">
        <f t="shared" si="13"/>
        <v>2.4456188773668193E-4</v>
      </c>
    </row>
    <row r="439" spans="1:12" ht="15" customHeight="1" x14ac:dyDescent="0.3">
      <c r="A439" s="22">
        <v>45462</v>
      </c>
      <c r="B439" s="23">
        <v>5.4319485485833499E-2</v>
      </c>
      <c r="C439" s="23">
        <v>5.4343691240883799E-2</v>
      </c>
      <c r="D439" s="23">
        <v>5.4331586000000001E-2</v>
      </c>
      <c r="E439" s="24">
        <v>-5.61469999999994E-5</v>
      </c>
      <c r="F439" s="24">
        <v>-0.10323467609874</v>
      </c>
      <c r="G439" s="24">
        <v>11.082284217716801</v>
      </c>
      <c r="H439" s="23">
        <v>5.4331586000000001E-2</v>
      </c>
      <c r="I439" s="23">
        <v>5.4331586000000001E-2</v>
      </c>
      <c r="K439">
        <f t="shared" si="12"/>
        <v>-1.0323467609874015E-3</v>
      </c>
      <c r="L439">
        <f t="shared" si="13"/>
        <v>4.4551902185037314E-4</v>
      </c>
    </row>
    <row r="440" spans="1:12" ht="15" customHeight="1" x14ac:dyDescent="0.3">
      <c r="A440" s="19">
        <v>45461</v>
      </c>
      <c r="B440" s="20">
        <v>5.4379153207826297E-2</v>
      </c>
      <c r="C440" s="20">
        <v>5.4396309754346298E-2</v>
      </c>
      <c r="D440" s="20">
        <v>5.4387733000000001E-2</v>
      </c>
      <c r="E440" s="21">
        <v>4.5321100000000197E-4</v>
      </c>
      <c r="F440" s="21">
        <v>0.84029853829057299</v>
      </c>
      <c r="G440" s="21">
        <v>11.197078161187701</v>
      </c>
      <c r="H440" s="20">
        <v>5.4387733000000001E-2</v>
      </c>
      <c r="I440" s="20">
        <v>5.4387733000000001E-2</v>
      </c>
      <c r="K440">
        <f t="shared" si="12"/>
        <v>8.4029853829057366E-3</v>
      </c>
      <c r="L440">
        <f t="shared" si="13"/>
        <v>3.1544882593286623E-4</v>
      </c>
    </row>
    <row r="441" spans="1:12" ht="15" customHeight="1" x14ac:dyDescent="0.3">
      <c r="A441" s="22">
        <v>45460</v>
      </c>
      <c r="B441" s="23">
        <v>5.3928415421369703E-2</v>
      </c>
      <c r="C441" s="23">
        <v>5.3940632939386897E-2</v>
      </c>
      <c r="D441" s="23">
        <v>5.3934521999999999E-2</v>
      </c>
      <c r="E441" s="24">
        <v>-1.6998099999999901E-4</v>
      </c>
      <c r="F441" s="24">
        <v>-0.314171631888016</v>
      </c>
      <c r="G441" s="24">
        <v>10.2704769551674</v>
      </c>
      <c r="H441" s="23">
        <v>5.3934521999999999E-2</v>
      </c>
      <c r="I441" s="23">
        <v>5.3934521999999999E-2</v>
      </c>
      <c r="K441">
        <f t="shared" si="12"/>
        <v>-3.1417163188801611E-3</v>
      </c>
      <c r="L441">
        <f t="shared" si="13"/>
        <v>2.2652500780842198E-4</v>
      </c>
    </row>
    <row r="442" spans="1:12" ht="15" customHeight="1" x14ac:dyDescent="0.3">
      <c r="A442" s="19">
        <v>45457</v>
      </c>
      <c r="B442" s="20">
        <v>5.4095576063789501E-2</v>
      </c>
      <c r="C442" s="20">
        <v>5.4113432577368697E-2</v>
      </c>
      <c r="D442" s="20">
        <v>5.4104502999999998E-2</v>
      </c>
      <c r="E442" s="21">
        <v>2.4840999999999698E-4</v>
      </c>
      <c r="F442" s="21">
        <v>0.46124771806228498</v>
      </c>
      <c r="G442" s="21">
        <v>10.618007354033599</v>
      </c>
      <c r="H442" s="20">
        <v>5.4104502999999998E-2</v>
      </c>
      <c r="I442" s="20">
        <v>5.4104502999999998E-2</v>
      </c>
      <c r="K442">
        <f t="shared" si="12"/>
        <v>4.6124771806228537E-3</v>
      </c>
      <c r="L442">
        <f t="shared" si="13"/>
        <v>3.3003747542411868E-4</v>
      </c>
    </row>
    <row r="443" spans="1:12" ht="15" customHeight="1" x14ac:dyDescent="0.3">
      <c r="A443" s="22">
        <v>45456</v>
      </c>
      <c r="B443" s="23">
        <v>5.3841308128422298E-2</v>
      </c>
      <c r="C443" s="23">
        <v>5.3870893017793603E-2</v>
      </c>
      <c r="D443" s="23">
        <v>5.3856093000000001E-2</v>
      </c>
      <c r="E443" s="24">
        <v>8.8438000000000405E-4</v>
      </c>
      <c r="F443" s="24">
        <v>1.6695325673157</v>
      </c>
      <c r="G443" s="24">
        <v>10.1101269063227</v>
      </c>
      <c r="H443" s="23">
        <v>5.3856093000000001E-2</v>
      </c>
      <c r="I443" s="23">
        <v>5.3856093000000001E-2</v>
      </c>
      <c r="K443">
        <f t="shared" si="12"/>
        <v>1.6695325673157013E-2</v>
      </c>
      <c r="L443">
        <f t="shared" si="13"/>
        <v>5.4933226164966952E-4</v>
      </c>
    </row>
    <row r="444" spans="1:12" ht="15" customHeight="1" x14ac:dyDescent="0.3">
      <c r="A444" s="19">
        <v>45455</v>
      </c>
      <c r="B444" s="20">
        <v>5.2962174415032801E-2</v>
      </c>
      <c r="C444" s="20">
        <v>5.2981255231898901E-2</v>
      </c>
      <c r="D444" s="20">
        <v>5.2971712999999997E-2</v>
      </c>
      <c r="E444" s="21">
        <v>-1.2714600000000001E-3</v>
      </c>
      <c r="F444" s="21">
        <v>-2.3440000458675199</v>
      </c>
      <c r="G444" s="21">
        <v>8.3019899136631796</v>
      </c>
      <c r="H444" s="20">
        <v>5.2971712999999997E-2</v>
      </c>
      <c r="I444" s="20">
        <v>5.2971712999999997E-2</v>
      </c>
      <c r="K444">
        <f t="shared" si="12"/>
        <v>-2.3440000458675225E-2</v>
      </c>
      <c r="L444">
        <f t="shared" si="13"/>
        <v>3.6020766151361291E-4</v>
      </c>
    </row>
    <row r="445" spans="1:12" ht="15" customHeight="1" x14ac:dyDescent="0.3">
      <c r="A445" s="22">
        <v>45454</v>
      </c>
      <c r="B445" s="23">
        <v>5.4229346753288998E-2</v>
      </c>
      <c r="C445" s="23">
        <v>5.4257004579291203E-2</v>
      </c>
      <c r="D445" s="23">
        <v>5.4243172999999999E-2</v>
      </c>
      <c r="E445" s="24">
        <v>-3.6770000000005401E-6</v>
      </c>
      <c r="F445" s="24">
        <v>-6.7782737615207297E-3</v>
      </c>
      <c r="G445" s="24">
        <v>10.901521631574999</v>
      </c>
      <c r="H445" s="23">
        <v>5.4243172999999999E-2</v>
      </c>
      <c r="I445" s="23">
        <v>5.4243172999999999E-2</v>
      </c>
      <c r="K445">
        <f t="shared" si="12"/>
        <v>-6.7782737615207367E-5</v>
      </c>
      <c r="L445">
        <f t="shared" si="13"/>
        <v>5.0988584318628464E-4</v>
      </c>
    </row>
    <row r="446" spans="1:12" ht="15" customHeight="1" x14ac:dyDescent="0.3">
      <c r="A446" s="19">
        <v>45453</v>
      </c>
      <c r="B446" s="20">
        <v>5.4233758345219603E-2</v>
      </c>
      <c r="C446" s="20">
        <v>5.4259948561568801E-2</v>
      </c>
      <c r="D446" s="20">
        <v>5.4246849999999999E-2</v>
      </c>
      <c r="E446" s="21">
        <v>-2.6985699999999802E-4</v>
      </c>
      <c r="F446" s="21">
        <v>-0.494998716631944</v>
      </c>
      <c r="G446" s="21">
        <v>10.909039349888401</v>
      </c>
      <c r="H446" s="20">
        <v>5.4246849999999999E-2</v>
      </c>
      <c r="I446" s="20">
        <v>5.4246849999999999E-2</v>
      </c>
      <c r="K446">
        <f t="shared" si="12"/>
        <v>-4.9499871663194472E-3</v>
      </c>
      <c r="L446">
        <f t="shared" si="13"/>
        <v>4.8279699833626887E-4</v>
      </c>
    </row>
    <row r="447" spans="1:12" ht="15" customHeight="1" x14ac:dyDescent="0.3">
      <c r="A447" s="22">
        <v>45450</v>
      </c>
      <c r="B447" s="23">
        <v>5.4491161533599203E-2</v>
      </c>
      <c r="C447" s="23">
        <v>5.4542281176367897E-2</v>
      </c>
      <c r="D447" s="23">
        <v>5.4516706999999998E-2</v>
      </c>
      <c r="E447" s="24">
        <v>-2.52673E-3</v>
      </c>
      <c r="F447" s="24">
        <v>-4.4294841490704799</v>
      </c>
      <c r="G447" s="24">
        <v>11.460768724623399</v>
      </c>
      <c r="H447" s="23">
        <v>5.4516706999999998E-2</v>
      </c>
      <c r="I447" s="23">
        <v>5.4516706999999998E-2</v>
      </c>
      <c r="K447">
        <f t="shared" si="12"/>
        <v>-4.4294841490704839E-2</v>
      </c>
      <c r="L447">
        <f t="shared" si="13"/>
        <v>9.3768764809464163E-4</v>
      </c>
    </row>
    <row r="448" spans="1:12" ht="15" customHeight="1" x14ac:dyDescent="0.3">
      <c r="A448" s="19">
        <v>45449</v>
      </c>
      <c r="B448" s="20">
        <v>5.7036606093790999E-2</v>
      </c>
      <c r="C448" s="20">
        <v>5.7050272700303502E-2</v>
      </c>
      <c r="D448" s="20">
        <v>5.7043437000000002E-2</v>
      </c>
      <c r="E448" s="21">
        <v>9.7447000000000505E-5</v>
      </c>
      <c r="F448" s="21">
        <v>0.17112179452847201</v>
      </c>
      <c r="G448" s="21">
        <v>16.626731301188599</v>
      </c>
      <c r="H448" s="20">
        <v>5.7043437000000002E-2</v>
      </c>
      <c r="I448" s="20">
        <v>5.7043437000000002E-2</v>
      </c>
      <c r="K448">
        <f t="shared" si="12"/>
        <v>1.7112179452847265E-3</v>
      </c>
      <c r="L448">
        <f t="shared" si="13"/>
        <v>2.3958245209702912E-4</v>
      </c>
    </row>
    <row r="449" spans="1:12" ht="15" customHeight="1" x14ac:dyDescent="0.3">
      <c r="A449" s="22">
        <v>45448</v>
      </c>
      <c r="B449" s="23">
        <v>5.69395017793594E-2</v>
      </c>
      <c r="C449" s="23">
        <v>5.6952473161147002E-2</v>
      </c>
      <c r="D449" s="23">
        <v>5.6945990000000002E-2</v>
      </c>
      <c r="E449" s="24">
        <v>8.5759500000000201E-4</v>
      </c>
      <c r="F449" s="24">
        <v>1.5290061339783501</v>
      </c>
      <c r="G449" s="24">
        <v>16.427498476471101</v>
      </c>
      <c r="H449" s="23">
        <v>5.6945990000000002E-2</v>
      </c>
      <c r="I449" s="23">
        <v>5.6945990000000002E-2</v>
      </c>
      <c r="K449">
        <f t="shared" si="12"/>
        <v>1.5290061339783501E-2</v>
      </c>
      <c r="L449">
        <f t="shared" si="13"/>
        <v>2.2778393680752661E-4</v>
      </c>
    </row>
    <row r="450" spans="1:12" ht="15" customHeight="1" x14ac:dyDescent="0.3">
      <c r="A450" s="19">
        <v>45447</v>
      </c>
      <c r="B450" s="20">
        <v>5.6081789682072301E-2</v>
      </c>
      <c r="C450" s="20">
        <v>5.6095002496227599E-2</v>
      </c>
      <c r="D450" s="20">
        <v>5.6088394999999999E-2</v>
      </c>
      <c r="E450" s="21">
        <v>-9.0058900000000003E-4</v>
      </c>
      <c r="F450" s="21">
        <v>-1.5802861128389301</v>
      </c>
      <c r="G450" s="21">
        <v>14.6741240851236</v>
      </c>
      <c r="H450" s="20">
        <v>5.6088394999999999E-2</v>
      </c>
      <c r="I450" s="20">
        <v>5.6088394999999999E-2</v>
      </c>
      <c r="K450">
        <f t="shared" si="12"/>
        <v>-1.5802861128389356E-2</v>
      </c>
      <c r="L450">
        <f t="shared" si="13"/>
        <v>2.3557126488103809E-4</v>
      </c>
    </row>
    <row r="451" spans="1:12" ht="15" customHeight="1" x14ac:dyDescent="0.3">
      <c r="A451" s="22">
        <v>45446</v>
      </c>
      <c r="B451" s="23">
        <v>5.6976485804308599E-2</v>
      </c>
      <c r="C451" s="23">
        <v>5.7001493439128102E-2</v>
      </c>
      <c r="D451" s="23">
        <v>5.6988983999999999E-2</v>
      </c>
      <c r="E451" s="24">
        <v>-1.6500060000000001E-3</v>
      </c>
      <c r="F451" s="24">
        <v>-2.8138376871770898</v>
      </c>
      <c r="G451" s="24">
        <v>16.515400783016201</v>
      </c>
      <c r="H451" s="23">
        <v>5.6988983999999999E-2</v>
      </c>
      <c r="I451" s="23">
        <v>5.6988983999999999E-2</v>
      </c>
      <c r="K451">
        <f t="shared" si="12"/>
        <v>-2.8138376871770898E-2</v>
      </c>
      <c r="L451">
        <f t="shared" si="13"/>
        <v>4.3881524224932705E-4</v>
      </c>
    </row>
    <row r="452" spans="1:12" ht="15" customHeight="1" x14ac:dyDescent="0.3">
      <c r="A452" s="19">
        <v>45443</v>
      </c>
      <c r="B452" s="20">
        <v>5.8633831720903001E-2</v>
      </c>
      <c r="C452" s="20">
        <v>5.8644147314098102E-2</v>
      </c>
      <c r="D452" s="20">
        <v>5.8638990000000002E-2</v>
      </c>
      <c r="E452" s="21">
        <v>-2.7637999999999898E-4</v>
      </c>
      <c r="F452" s="21">
        <v>-0.46911357766232697</v>
      </c>
      <c r="G452" s="21">
        <v>19.888879250089499</v>
      </c>
      <c r="H452" s="20">
        <v>5.8638990000000002E-2</v>
      </c>
      <c r="I452" s="20">
        <v>5.8638990000000002E-2</v>
      </c>
      <c r="K452">
        <f t="shared" si="12"/>
        <v>-4.6911357766232786E-3</v>
      </c>
      <c r="L452">
        <f t="shared" si="13"/>
        <v>1.7591696574414058E-4</v>
      </c>
    </row>
    <row r="453" spans="1:12" ht="15" customHeight="1" x14ac:dyDescent="0.3">
      <c r="A453" s="22">
        <v>45442</v>
      </c>
      <c r="B453" s="23">
        <v>5.8909120899188802E-2</v>
      </c>
      <c r="C453" s="23">
        <v>5.89216165734723E-2</v>
      </c>
      <c r="D453" s="23">
        <v>5.8915370000000002E-2</v>
      </c>
      <c r="E453" s="24">
        <v>-4.5152999999999098E-5</v>
      </c>
      <c r="F453" s="24">
        <v>-7.6581749452930795E-2</v>
      </c>
      <c r="G453" s="24">
        <v>20.453945061201502</v>
      </c>
      <c r="H453" s="23">
        <v>5.8915370000000002E-2</v>
      </c>
      <c r="I453" s="23">
        <v>5.8915370000000002E-2</v>
      </c>
      <c r="K453">
        <f t="shared" ref="K453:K516" si="14">D453/D454-1</f>
        <v>-7.6581749452930836E-4</v>
      </c>
      <c r="L453">
        <f t="shared" ref="L453:L516" si="15">(C453-B453)/D453</f>
        <v>2.120953205165027E-4</v>
      </c>
    </row>
    <row r="454" spans="1:12" ht="15" customHeight="1" x14ac:dyDescent="0.3">
      <c r="A454" s="19">
        <v>45441</v>
      </c>
      <c r="B454" s="20">
        <v>5.89549643027691E-2</v>
      </c>
      <c r="C454" s="20">
        <v>5.8966088602444698E-2</v>
      </c>
      <c r="D454" s="20">
        <v>5.8960523000000001E-2</v>
      </c>
      <c r="E454" s="21">
        <v>-8.1591400000000005E-4</v>
      </c>
      <c r="F454" s="21">
        <v>-1.3649425107086799</v>
      </c>
      <c r="G454" s="21">
        <v>20.546261497156099</v>
      </c>
      <c r="H454" s="20">
        <v>5.8960523000000001E-2</v>
      </c>
      <c r="I454" s="20">
        <v>5.8960523000000001E-2</v>
      </c>
      <c r="K454">
        <f t="shared" si="14"/>
        <v>-1.3649425107086888E-2</v>
      </c>
      <c r="L454">
        <f t="shared" si="15"/>
        <v>1.8867369401723389E-4</v>
      </c>
    </row>
    <row r="455" spans="1:12" ht="15" customHeight="1" x14ac:dyDescent="0.3">
      <c r="A455" s="22">
        <v>45440</v>
      </c>
      <c r="B455" s="23">
        <v>5.9771076775948097E-2</v>
      </c>
      <c r="C455" s="23">
        <v>5.97817964429831E-2</v>
      </c>
      <c r="D455" s="23">
        <v>5.9776437000000002E-2</v>
      </c>
      <c r="E455" s="24">
        <v>-2.94450000000001E-4</v>
      </c>
      <c r="F455" s="24">
        <v>-0.49017088760484601</v>
      </c>
      <c r="G455" s="24">
        <v>22.214418043243601</v>
      </c>
      <c r="H455" s="23">
        <v>5.9776437000000002E-2</v>
      </c>
      <c r="I455" s="23">
        <v>5.9776437000000002E-2</v>
      </c>
      <c r="K455">
        <f t="shared" si="14"/>
        <v>-4.9017088760484606E-3</v>
      </c>
      <c r="L455">
        <f t="shared" si="15"/>
        <v>1.7932930721519807E-4</v>
      </c>
    </row>
    <row r="456" spans="1:12" ht="15" customHeight="1" x14ac:dyDescent="0.3">
      <c r="A456" s="19">
        <v>45439</v>
      </c>
      <c r="B456" s="20">
        <v>6.0057895811562297E-2</v>
      </c>
      <c r="C456" s="20">
        <v>6.0083877092421002E-2</v>
      </c>
      <c r="D456" s="20">
        <v>6.0070887000000003E-2</v>
      </c>
      <c r="E456" s="21">
        <v>2.7121700000000399E-4</v>
      </c>
      <c r="F456" s="21">
        <v>0.45354263660652899</v>
      </c>
      <c r="G456" s="21">
        <v>22.816428420557202</v>
      </c>
      <c r="H456" s="20">
        <v>6.0070887000000003E-2</v>
      </c>
      <c r="I456" s="20">
        <v>6.0070887000000003E-2</v>
      </c>
      <c r="K456">
        <f t="shared" si="14"/>
        <v>4.5354263660652983E-3</v>
      </c>
      <c r="L456">
        <f t="shared" si="15"/>
        <v>4.3251035828230166E-4</v>
      </c>
    </row>
    <row r="457" spans="1:12" ht="15" customHeight="1" x14ac:dyDescent="0.3">
      <c r="A457" s="22">
        <v>45436</v>
      </c>
      <c r="B457" s="23">
        <v>5.9793592518625698E-2</v>
      </c>
      <c r="C457" s="23">
        <v>5.9805750921008601E-2</v>
      </c>
      <c r="D457" s="23">
        <v>5.9799669999999999E-2</v>
      </c>
      <c r="E457" s="24">
        <v>3.3949999999997803E-5</v>
      </c>
      <c r="F457" s="24">
        <v>5.6805138463977799E-2</v>
      </c>
      <c r="G457" s="24">
        <v>22.261918491863501</v>
      </c>
      <c r="H457" s="23">
        <v>5.9799669999999999E-2</v>
      </c>
      <c r="I457" s="23">
        <v>5.9799669999999999E-2</v>
      </c>
      <c r="K457">
        <f t="shared" si="14"/>
        <v>5.6805138463977833E-4</v>
      </c>
      <c r="L457">
        <f t="shared" si="15"/>
        <v>2.0331888759424593E-4</v>
      </c>
    </row>
    <row r="458" spans="1:12" ht="15" customHeight="1" x14ac:dyDescent="0.3">
      <c r="A458" s="19">
        <v>45435</v>
      </c>
      <c r="B458" s="20">
        <v>5.9757861146633798E-2</v>
      </c>
      <c r="C458" s="20">
        <v>5.9773577687718897E-2</v>
      </c>
      <c r="D458" s="20">
        <v>5.9765720000000001E-2</v>
      </c>
      <c r="E458" s="21">
        <v>-2.8712599999999801E-4</v>
      </c>
      <c r="F458" s="21">
        <v>-0.478122219220045</v>
      </c>
      <c r="G458" s="21">
        <v>22.192506869143799</v>
      </c>
      <c r="H458" s="20">
        <v>5.9765720000000001E-2</v>
      </c>
      <c r="I458" s="20">
        <v>5.9765720000000001E-2</v>
      </c>
      <c r="K458">
        <f t="shared" si="14"/>
        <v>-4.7812221922004516E-3</v>
      </c>
      <c r="L458">
        <f t="shared" si="15"/>
        <v>2.6296915832519524E-4</v>
      </c>
    </row>
    <row r="459" spans="1:12" ht="15" customHeight="1" x14ac:dyDescent="0.3">
      <c r="A459" s="22">
        <v>45434</v>
      </c>
      <c r="B459" s="23">
        <v>6.0046355786667303E-2</v>
      </c>
      <c r="C459" s="23">
        <v>6.0059338626563E-2</v>
      </c>
      <c r="D459" s="23">
        <v>6.0052846E-2</v>
      </c>
      <c r="E459" s="24">
        <v>-2.5169099999999801E-4</v>
      </c>
      <c r="F459" s="24">
        <v>-0.417366607092928</v>
      </c>
      <c r="G459" s="24">
        <v>22.779543145579702</v>
      </c>
      <c r="H459" s="23">
        <v>6.0052846E-2</v>
      </c>
      <c r="I459" s="23">
        <v>6.0052846E-2</v>
      </c>
      <c r="K459">
        <f t="shared" si="14"/>
        <v>-4.1736660709292828E-3</v>
      </c>
      <c r="L459">
        <f t="shared" si="15"/>
        <v>2.1619025176086273E-4</v>
      </c>
    </row>
    <row r="460" spans="1:12" ht="15" customHeight="1" x14ac:dyDescent="0.3">
      <c r="A460" s="19">
        <v>45433</v>
      </c>
      <c r="B460" s="20">
        <v>6.0298719858177398E-2</v>
      </c>
      <c r="C460" s="20">
        <v>6.0310357097624397E-2</v>
      </c>
      <c r="D460" s="20">
        <v>6.0304536999999998E-2</v>
      </c>
      <c r="E460" s="21">
        <v>-1.6373000000000001E-5</v>
      </c>
      <c r="F460" s="21">
        <v>-2.71431581519543E-2</v>
      </c>
      <c r="G460" s="21">
        <v>23.294131679715999</v>
      </c>
      <c r="H460" s="20">
        <v>6.0304536999999998E-2</v>
      </c>
      <c r="I460" s="20">
        <v>6.0304536999999998E-2</v>
      </c>
      <c r="K460">
        <f t="shared" si="14"/>
        <v>-2.7143158151954339E-4</v>
      </c>
      <c r="L460">
        <f t="shared" si="15"/>
        <v>1.9297452606258786E-4</v>
      </c>
    </row>
    <row r="461" spans="1:12" ht="15" customHeight="1" x14ac:dyDescent="0.3">
      <c r="A461" s="22">
        <v>45432</v>
      </c>
      <c r="B461" s="23">
        <v>6.0315449802466899E-2</v>
      </c>
      <c r="C461" s="23">
        <v>6.0326365638102099E-2</v>
      </c>
      <c r="D461" s="23">
        <v>6.0320909999999998E-2</v>
      </c>
      <c r="E461" s="24">
        <v>1.2890000000000099E-4</v>
      </c>
      <c r="F461" s="24">
        <v>0.21414802396530999</v>
      </c>
      <c r="G461" s="24">
        <v>23.327606687044099</v>
      </c>
      <c r="H461" s="23">
        <v>6.0320909999999998E-2</v>
      </c>
      <c r="I461" s="23">
        <v>6.0320909999999998E-2</v>
      </c>
      <c r="K461">
        <f t="shared" si="14"/>
        <v>2.1414802396531041E-3</v>
      </c>
      <c r="L461">
        <f t="shared" si="15"/>
        <v>1.8096271483968254E-4</v>
      </c>
    </row>
    <row r="462" spans="1:12" ht="15" customHeight="1" x14ac:dyDescent="0.3">
      <c r="A462" s="19">
        <v>45429</v>
      </c>
      <c r="B462" s="20">
        <v>6.0185853916895397E-2</v>
      </c>
      <c r="C462" s="20">
        <v>6.0198172383486397E-2</v>
      </c>
      <c r="D462" s="20">
        <v>6.0192009999999997E-2</v>
      </c>
      <c r="E462" s="21">
        <v>2.8666399999999898E-4</v>
      </c>
      <c r="F462" s="21">
        <v>0.47852824353939999</v>
      </c>
      <c r="G462" s="21">
        <v>23.064067418456201</v>
      </c>
      <c r="H462" s="20">
        <v>6.0192009999999997E-2</v>
      </c>
      <c r="I462" s="20">
        <v>6.0192009999999997E-2</v>
      </c>
      <c r="K462">
        <f t="shared" si="14"/>
        <v>4.7852824353940004E-3</v>
      </c>
      <c r="L462">
        <f t="shared" si="15"/>
        <v>2.0465285327735729E-4</v>
      </c>
    </row>
    <row r="463" spans="1:12" ht="15" customHeight="1" x14ac:dyDescent="0.3">
      <c r="A463" s="22">
        <v>45428</v>
      </c>
      <c r="B463" s="23">
        <v>5.98999670550181E-2</v>
      </c>
      <c r="C463" s="23">
        <v>5.9910733007818302E-2</v>
      </c>
      <c r="D463" s="23">
        <v>5.9905345999999998E-2</v>
      </c>
      <c r="E463" s="24">
        <v>5.3775999999998402E-5</v>
      </c>
      <c r="F463" s="24">
        <v>8.98489379643541E-2</v>
      </c>
      <c r="G463" s="24">
        <v>22.477975712556301</v>
      </c>
      <c r="H463" s="23">
        <v>5.9905345999999998E-2</v>
      </c>
      <c r="I463" s="23">
        <v>5.9905345999999998E-2</v>
      </c>
      <c r="K463">
        <f t="shared" si="14"/>
        <v>8.9848937964354114E-4</v>
      </c>
      <c r="L463">
        <f t="shared" si="15"/>
        <v>1.797160607369283E-4</v>
      </c>
    </row>
    <row r="464" spans="1:12" ht="15" customHeight="1" x14ac:dyDescent="0.3">
      <c r="A464" s="19">
        <v>45427</v>
      </c>
      <c r="B464" s="20">
        <v>5.9845478973290997E-2</v>
      </c>
      <c r="C464" s="20">
        <v>5.9857658488115299E-2</v>
      </c>
      <c r="D464" s="20">
        <v>5.985157E-2</v>
      </c>
      <c r="E464" s="21">
        <v>5.1143E-4</v>
      </c>
      <c r="F464" s="21">
        <v>0.861861802146068</v>
      </c>
      <c r="G464" s="21">
        <v>22.3680293377883</v>
      </c>
      <c r="H464" s="20">
        <v>5.985157E-2</v>
      </c>
      <c r="I464" s="20">
        <v>5.985157E-2</v>
      </c>
      <c r="K464">
        <f t="shared" si="14"/>
        <v>8.6186180214606889E-3</v>
      </c>
      <c r="L464">
        <f t="shared" si="15"/>
        <v>2.0349532726213023E-4</v>
      </c>
    </row>
    <row r="465" spans="1:12" ht="15" customHeight="1" x14ac:dyDescent="0.3">
      <c r="A465" s="22">
        <v>45426</v>
      </c>
      <c r="B465" s="23">
        <v>5.9333448044666198E-2</v>
      </c>
      <c r="C465" s="23">
        <v>5.9346828802202899E-2</v>
      </c>
      <c r="D465" s="23">
        <v>5.934014E-2</v>
      </c>
      <c r="E465" s="24">
        <v>-1.9961799999999801E-4</v>
      </c>
      <c r="F465" s="24">
        <v>-0.33526841005970798</v>
      </c>
      <c r="G465" s="24">
        <v>21.322397932559898</v>
      </c>
      <c r="H465" s="23">
        <v>5.934014E-2</v>
      </c>
      <c r="I465" s="23">
        <v>5.934014E-2</v>
      </c>
      <c r="K465">
        <f t="shared" si="14"/>
        <v>-3.3526841005970809E-3</v>
      </c>
      <c r="L465">
        <f t="shared" si="15"/>
        <v>2.254925171511286E-4</v>
      </c>
    </row>
    <row r="466" spans="1:12" ht="15" customHeight="1" x14ac:dyDescent="0.3">
      <c r="A466" s="19">
        <v>45425</v>
      </c>
      <c r="B466" s="20">
        <v>5.9532668551867798E-2</v>
      </c>
      <c r="C466" s="20">
        <v>5.9546848483044E-2</v>
      </c>
      <c r="D466" s="20">
        <v>5.9539757999999998E-2</v>
      </c>
      <c r="E466" s="21">
        <v>-1.59952000000004E-4</v>
      </c>
      <c r="F466" s="21">
        <v>-0.26792759964830898</v>
      </c>
      <c r="G466" s="21">
        <v>21.730521917951702</v>
      </c>
      <c r="H466" s="20">
        <v>5.9539757999999998E-2</v>
      </c>
      <c r="I466" s="20">
        <v>5.9539757999999998E-2</v>
      </c>
      <c r="K466">
        <f t="shared" si="14"/>
        <v>-2.6792759964830992E-3</v>
      </c>
      <c r="L466">
        <f t="shared" si="15"/>
        <v>2.3815903276264071E-4</v>
      </c>
    </row>
    <row r="467" spans="1:12" ht="15" customHeight="1" x14ac:dyDescent="0.3">
      <c r="A467" s="22">
        <v>45422</v>
      </c>
      <c r="B467" s="23">
        <v>5.9693652177027497E-2</v>
      </c>
      <c r="C467" s="23">
        <v>5.9705769965609501E-2</v>
      </c>
      <c r="D467" s="23">
        <v>5.9699710000000003E-2</v>
      </c>
      <c r="E467" s="24">
        <v>5.0009000000000099E-4</v>
      </c>
      <c r="F467" s="24">
        <v>0.84475204401650505</v>
      </c>
      <c r="G467" s="24">
        <v>22.057547775897199</v>
      </c>
      <c r="H467" s="23">
        <v>5.9699710000000003E-2</v>
      </c>
      <c r="I467" s="23">
        <v>5.9699710000000003E-2</v>
      </c>
      <c r="K467">
        <f t="shared" si="14"/>
        <v>8.4475204401650572E-3</v>
      </c>
      <c r="L467">
        <f t="shared" si="15"/>
        <v>2.0297901919463663E-4</v>
      </c>
    </row>
    <row r="468" spans="1:12" ht="15" customHeight="1" x14ac:dyDescent="0.3">
      <c r="A468" s="19">
        <v>45421</v>
      </c>
      <c r="B468" s="20">
        <v>5.9193313523304397E-2</v>
      </c>
      <c r="C468" s="20">
        <v>5.9205930065955398E-2</v>
      </c>
      <c r="D468" s="20">
        <v>5.9199620000000001E-2</v>
      </c>
      <c r="E468" s="21">
        <v>1.4159999999999799E-4</v>
      </c>
      <c r="F468" s="21">
        <v>0.239764218306004</v>
      </c>
      <c r="G468" s="21">
        <v>21.035101283824702</v>
      </c>
      <c r="H468" s="20">
        <v>5.9199620000000001E-2</v>
      </c>
      <c r="I468" s="20">
        <v>5.9199620000000001E-2</v>
      </c>
      <c r="K468">
        <f t="shared" si="14"/>
        <v>2.3976421830600447E-3</v>
      </c>
      <c r="L468">
        <f t="shared" si="15"/>
        <v>2.1311864250143057E-4</v>
      </c>
    </row>
    <row r="469" spans="1:12" ht="15" customHeight="1" x14ac:dyDescent="0.3">
      <c r="A469" s="22">
        <v>45420</v>
      </c>
      <c r="B469" s="23">
        <v>5.9052793197118203E-2</v>
      </c>
      <c r="C469" s="23">
        <v>5.9063256747977098E-2</v>
      </c>
      <c r="D469" s="23">
        <v>5.9058020000000003E-2</v>
      </c>
      <c r="E469" s="24">
        <v>-2.3373999999999601E-4</v>
      </c>
      <c r="F469" s="24">
        <v>-0.39422004001904398</v>
      </c>
      <c r="G469" s="24">
        <v>20.745596548122101</v>
      </c>
      <c r="H469" s="23">
        <v>5.9058020000000003E-2</v>
      </c>
      <c r="I469" s="23">
        <v>5.9058020000000003E-2</v>
      </c>
      <c r="K469">
        <f t="shared" si="14"/>
        <v>-3.9422004001904432E-3</v>
      </c>
      <c r="L469">
        <f t="shared" si="15"/>
        <v>1.7717408844548872E-4</v>
      </c>
    </row>
    <row r="470" spans="1:12" ht="15" customHeight="1" x14ac:dyDescent="0.3">
      <c r="A470" s="19">
        <v>45419</v>
      </c>
      <c r="B470" s="20">
        <v>5.9285959898976698E-2</v>
      </c>
      <c r="C470" s="20">
        <v>5.9297561091312297E-2</v>
      </c>
      <c r="D470" s="20">
        <v>5.9291759999999999E-2</v>
      </c>
      <c r="E470" s="21">
        <v>1.53406000000001E-4</v>
      </c>
      <c r="F470" s="21">
        <v>0.25940187648780799</v>
      </c>
      <c r="G470" s="21">
        <v>21.223483814528301</v>
      </c>
      <c r="H470" s="20">
        <v>5.9291759999999999E-2</v>
      </c>
      <c r="I470" s="20">
        <v>5.9291759999999999E-2</v>
      </c>
      <c r="K470">
        <f t="shared" si="14"/>
        <v>2.594018764878081E-3</v>
      </c>
      <c r="L470">
        <f t="shared" si="15"/>
        <v>1.9566280939541699E-4</v>
      </c>
    </row>
    <row r="471" spans="1:12" ht="15" customHeight="1" x14ac:dyDescent="0.3">
      <c r="A471" s="22">
        <v>45418</v>
      </c>
      <c r="B471" s="23">
        <v>5.9132409290884098E-2</v>
      </c>
      <c r="C471" s="23">
        <v>5.9144300263783603E-2</v>
      </c>
      <c r="D471" s="23">
        <v>5.9138353999999997E-2</v>
      </c>
      <c r="E471" s="24">
        <v>3.1136699999999903E-4</v>
      </c>
      <c r="F471" s="24">
        <v>0.52929278869917595</v>
      </c>
      <c r="G471" s="24">
        <v>20.909841417033999</v>
      </c>
      <c r="H471" s="23">
        <v>5.9138353999999997E-2</v>
      </c>
      <c r="I471" s="23">
        <v>5.9138353999999997E-2</v>
      </c>
      <c r="K471">
        <f t="shared" si="14"/>
        <v>5.2929278869917606E-3</v>
      </c>
      <c r="L471">
        <f t="shared" si="15"/>
        <v>2.0107040685482262E-4</v>
      </c>
    </row>
    <row r="472" spans="1:12" ht="15" customHeight="1" x14ac:dyDescent="0.3">
      <c r="A472" s="19">
        <v>45415</v>
      </c>
      <c r="B472" s="20">
        <v>5.8821107366167302E-2</v>
      </c>
      <c r="C472" s="20">
        <v>5.8832873456372503E-2</v>
      </c>
      <c r="D472" s="20">
        <v>5.8826986999999997E-2</v>
      </c>
      <c r="E472" s="21">
        <v>-1.9705300000000199E-4</v>
      </c>
      <c r="F472" s="21">
        <v>-0.33385210500671503</v>
      </c>
      <c r="G472" s="21">
        <v>20.2732438108089</v>
      </c>
      <c r="H472" s="20">
        <v>5.8826986999999997E-2</v>
      </c>
      <c r="I472" s="20">
        <v>5.8826986999999997E-2</v>
      </c>
      <c r="K472">
        <f t="shared" si="14"/>
        <v>-3.3385210500671558E-3</v>
      </c>
      <c r="L472">
        <f t="shared" si="15"/>
        <v>2.0001177699617369E-4</v>
      </c>
    </row>
    <row r="473" spans="1:12" ht="15" customHeight="1" x14ac:dyDescent="0.3">
      <c r="A473" s="22">
        <v>45414</v>
      </c>
      <c r="B473" s="23">
        <v>5.9016548240126497E-2</v>
      </c>
      <c r="C473" s="23">
        <v>5.9031528739499801E-2</v>
      </c>
      <c r="D473" s="23">
        <v>5.902404E-2</v>
      </c>
      <c r="E473" s="24">
        <v>3.1274999999999999E-4</v>
      </c>
      <c r="F473" s="24">
        <v>0.53269141250344898</v>
      </c>
      <c r="G473" s="24">
        <v>20.6761235896534</v>
      </c>
      <c r="H473" s="23">
        <v>5.902404E-2</v>
      </c>
      <c r="I473" s="23">
        <v>5.902404E-2</v>
      </c>
      <c r="K473">
        <f t="shared" si="14"/>
        <v>5.3269141250344987E-3</v>
      </c>
      <c r="L473">
        <f t="shared" si="15"/>
        <v>2.5380335492630404E-4</v>
      </c>
    </row>
    <row r="474" spans="1:12" ht="15" customHeight="1" x14ac:dyDescent="0.3">
      <c r="A474" s="19">
        <v>45413</v>
      </c>
      <c r="B474" s="20">
        <v>5.8702670971529203E-2</v>
      </c>
      <c r="C474" s="20">
        <v>5.8719906048150299E-2</v>
      </c>
      <c r="D474" s="20">
        <v>5.8711289999999999E-2</v>
      </c>
      <c r="E474" s="21">
        <v>2.0680000000002001E-5</v>
      </c>
      <c r="F474" s="21">
        <v>3.5235619462814498E-2</v>
      </c>
      <c r="G474" s="21">
        <v>20.0366984053952</v>
      </c>
      <c r="H474" s="20">
        <v>5.8711289999999999E-2</v>
      </c>
      <c r="I474" s="20">
        <v>5.8711289999999999E-2</v>
      </c>
      <c r="K474">
        <f t="shared" si="14"/>
        <v>3.5235619462814505E-4</v>
      </c>
      <c r="L474">
        <f t="shared" si="15"/>
        <v>2.9355642877367791E-4</v>
      </c>
    </row>
    <row r="475" spans="1:12" ht="15" customHeight="1" x14ac:dyDescent="0.3">
      <c r="A475" s="22">
        <v>45412</v>
      </c>
      <c r="B475" s="23">
        <v>5.8685101613253403E-2</v>
      </c>
      <c r="C475" s="23">
        <v>5.8696124294912798E-2</v>
      </c>
      <c r="D475" s="23">
        <v>5.8690609999999997E-2</v>
      </c>
      <c r="E475" s="24">
        <v>8.6080000000002198E-6</v>
      </c>
      <c r="F475" s="24">
        <v>1.46688928574834E-2</v>
      </c>
      <c r="G475" s="24">
        <v>19.994417629022799</v>
      </c>
      <c r="H475" s="23">
        <v>5.8690609999999997E-2</v>
      </c>
      <c r="I475" s="23">
        <v>5.8690609999999997E-2</v>
      </c>
      <c r="K475">
        <f t="shared" si="14"/>
        <v>1.4668892857483407E-4</v>
      </c>
      <c r="L475">
        <f t="shared" si="15"/>
        <v>1.8780996925053288E-4</v>
      </c>
    </row>
    <row r="476" spans="1:12" ht="15" customHeight="1" x14ac:dyDescent="0.3">
      <c r="A476" s="19">
        <v>45411</v>
      </c>
      <c r="B476" s="20">
        <v>5.8675804445278902E-2</v>
      </c>
      <c r="C476" s="20">
        <v>5.8688201324005797E-2</v>
      </c>
      <c r="D476" s="20">
        <v>5.8682001999999997E-2</v>
      </c>
      <c r="E476" s="21">
        <v>4.7817199999999801E-4</v>
      </c>
      <c r="F476" s="21">
        <v>0.82154731054639996</v>
      </c>
      <c r="G476" s="21">
        <v>19.976818358084099</v>
      </c>
      <c r="H476" s="20">
        <v>5.8682001999999997E-2</v>
      </c>
      <c r="I476" s="20">
        <v>5.8682001999999997E-2</v>
      </c>
      <c r="K476">
        <f t="shared" si="14"/>
        <v>8.2154731054639996E-3</v>
      </c>
      <c r="L476">
        <f t="shared" si="15"/>
        <v>2.1125521121270977E-4</v>
      </c>
    </row>
    <row r="477" spans="1:12" ht="15" customHeight="1" x14ac:dyDescent="0.3">
      <c r="A477" s="22">
        <v>45408</v>
      </c>
      <c r="B477" s="23">
        <v>5.8197732616337303E-2</v>
      </c>
      <c r="C477" s="23">
        <v>5.8209928285368299E-2</v>
      </c>
      <c r="D477" s="23">
        <v>5.8203829999999998E-2</v>
      </c>
      <c r="E477" s="24">
        <v>2.6807999999999601E-4</v>
      </c>
      <c r="F477" s="24">
        <v>0.46271947804248298</v>
      </c>
      <c r="G477" s="24">
        <v>18.999183764296301</v>
      </c>
      <c r="H477" s="23">
        <v>5.8203829999999998E-2</v>
      </c>
      <c r="I477" s="23">
        <v>5.8203829999999998E-2</v>
      </c>
      <c r="K477">
        <f t="shared" si="14"/>
        <v>4.627194780424837E-3</v>
      </c>
      <c r="L477">
        <f t="shared" si="15"/>
        <v>2.0953378894476252E-4</v>
      </c>
    </row>
    <row r="478" spans="1:12" ht="15" customHeight="1" x14ac:dyDescent="0.3">
      <c r="A478" s="19">
        <v>45407</v>
      </c>
      <c r="B478" s="20">
        <v>5.7929372509037E-2</v>
      </c>
      <c r="C478" s="20">
        <v>5.7942127403149697E-2</v>
      </c>
      <c r="D478" s="20">
        <v>5.7935750000000001E-2</v>
      </c>
      <c r="E478" s="21">
        <v>-5.4719999999999704E-4</v>
      </c>
      <c r="F478" s="21">
        <v>-0.93565731550818698</v>
      </c>
      <c r="G478" s="21">
        <v>18.451087510432401</v>
      </c>
      <c r="H478" s="20">
        <v>5.7935750000000001E-2</v>
      </c>
      <c r="I478" s="20">
        <v>5.7935750000000001E-2</v>
      </c>
      <c r="K478">
        <f t="shared" si="14"/>
        <v>-9.3565731550818709E-3</v>
      </c>
      <c r="L478">
        <f t="shared" si="15"/>
        <v>2.2015584699770543E-4</v>
      </c>
    </row>
    <row r="479" spans="1:12" ht="15" customHeight="1" x14ac:dyDescent="0.3">
      <c r="A479" s="22">
        <v>45406</v>
      </c>
      <c r="B479" s="23">
        <v>5.8475770564466602E-2</v>
      </c>
      <c r="C479" s="23">
        <v>5.8490135638624499E-2</v>
      </c>
      <c r="D479" s="23">
        <v>5.8482949999999999E-2</v>
      </c>
      <c r="E479" s="24">
        <v>-3.54422999999999E-4</v>
      </c>
      <c r="F479" s="24">
        <v>-0.60237733591538201</v>
      </c>
      <c r="G479" s="24">
        <v>19.569851573825201</v>
      </c>
      <c r="H479" s="23">
        <v>5.8482949999999999E-2</v>
      </c>
      <c r="I479" s="23">
        <v>5.8482949999999999E-2</v>
      </c>
      <c r="K479">
        <f t="shared" si="14"/>
        <v>-6.0237733591538278E-3</v>
      </c>
      <c r="L479">
        <f t="shared" si="15"/>
        <v>2.4562841234748581E-4</v>
      </c>
    </row>
    <row r="480" spans="1:12" ht="15" customHeight="1" x14ac:dyDescent="0.3">
      <c r="A480" s="19">
        <v>45405</v>
      </c>
      <c r="B480" s="20">
        <v>5.88307967454803E-2</v>
      </c>
      <c r="C480" s="20">
        <v>5.8843951724422E-2</v>
      </c>
      <c r="D480" s="20">
        <v>5.8837372999999998E-2</v>
      </c>
      <c r="E480" s="21">
        <v>5.0792499999999902E-4</v>
      </c>
      <c r="F480" s="21">
        <v>0.87078657079011601</v>
      </c>
      <c r="G480" s="21">
        <v>20.294478247143601</v>
      </c>
      <c r="H480" s="20">
        <v>5.8837372999999998E-2</v>
      </c>
      <c r="I480" s="20">
        <v>5.8837372999999998E-2</v>
      </c>
      <c r="K480">
        <f t="shared" si="14"/>
        <v>8.7078657079011634E-3</v>
      </c>
      <c r="L480">
        <f t="shared" si="15"/>
        <v>2.2358202399178951E-4</v>
      </c>
    </row>
    <row r="481" spans="1:12" ht="15" customHeight="1" x14ac:dyDescent="0.3">
      <c r="A481" s="22">
        <v>45404</v>
      </c>
      <c r="B481" s="23">
        <v>5.8322640849177598E-2</v>
      </c>
      <c r="C481" s="23">
        <v>5.8336250145840603E-2</v>
      </c>
      <c r="D481" s="23">
        <v>5.8329447999999999E-2</v>
      </c>
      <c r="E481" s="24">
        <v>4.0376799999999798E-4</v>
      </c>
      <c r="F481" s="24">
        <v>0.69704490305508804</v>
      </c>
      <c r="G481" s="24">
        <v>19.2560129019339</v>
      </c>
      <c r="H481" s="23">
        <v>5.8329447999999999E-2</v>
      </c>
      <c r="I481" s="23">
        <v>5.8329447999999999E-2</v>
      </c>
      <c r="K481">
        <f t="shared" si="14"/>
        <v>6.9704490305508848E-3</v>
      </c>
      <c r="L481">
        <f t="shared" si="15"/>
        <v>2.3331776880529406E-4</v>
      </c>
    </row>
    <row r="482" spans="1:12" ht="15" customHeight="1" x14ac:dyDescent="0.3">
      <c r="A482" s="19">
        <v>45401</v>
      </c>
      <c r="B482" s="20">
        <v>5.7915952369920802E-2</v>
      </c>
      <c r="C482" s="20">
        <v>5.7935413600917703E-2</v>
      </c>
      <c r="D482" s="20">
        <v>5.792568E-2</v>
      </c>
      <c r="E482" s="21">
        <v>-5.8721600000000097E-4</v>
      </c>
      <c r="F482" s="21">
        <v>-1.0035668034615799</v>
      </c>
      <c r="G482" s="21">
        <v>18.430499143988001</v>
      </c>
      <c r="H482" s="20">
        <v>5.792568E-2</v>
      </c>
      <c r="I482" s="20">
        <v>5.792568E-2</v>
      </c>
      <c r="K482">
        <f t="shared" si="14"/>
        <v>-1.0035668034615863E-2</v>
      </c>
      <c r="L482">
        <f t="shared" si="15"/>
        <v>3.3596896914978914E-4</v>
      </c>
    </row>
    <row r="483" spans="1:12" ht="15" customHeight="1" x14ac:dyDescent="0.3">
      <c r="A483" s="22">
        <v>45400</v>
      </c>
      <c r="B483" s="23">
        <v>5.8507246122432299E-2</v>
      </c>
      <c r="C483" s="23">
        <v>5.8518544526760502E-2</v>
      </c>
      <c r="D483" s="23">
        <v>5.8512896000000002E-2</v>
      </c>
      <c r="E483" s="24">
        <v>-4.4241399999999498E-4</v>
      </c>
      <c r="F483" s="24">
        <v>-0.75042265064841895</v>
      </c>
      <c r="G483" s="24">
        <v>19.631076918566301</v>
      </c>
      <c r="H483" s="23">
        <v>5.8512896000000002E-2</v>
      </c>
      <c r="I483" s="23">
        <v>5.8512896000000002E-2</v>
      </c>
      <c r="K483">
        <f t="shared" si="14"/>
        <v>-7.5042265064841907E-3</v>
      </c>
      <c r="L483">
        <f t="shared" si="15"/>
        <v>1.9309255054138368E-4</v>
      </c>
    </row>
    <row r="484" spans="1:12" ht="15" customHeight="1" x14ac:dyDescent="0.3">
      <c r="A484" s="19">
        <v>45399</v>
      </c>
      <c r="B484" s="20">
        <v>5.8948361235557703E-2</v>
      </c>
      <c r="C484" s="20">
        <v>5.8962264150943397E-2</v>
      </c>
      <c r="D484" s="20">
        <v>5.8955309999999997E-2</v>
      </c>
      <c r="E484" s="21">
        <v>4.1158299999999998E-4</v>
      </c>
      <c r="F484" s="21">
        <v>0.70303518599013004</v>
      </c>
      <c r="G484" s="21">
        <v>20.535603388489299</v>
      </c>
      <c r="H484" s="20">
        <v>5.8955309999999997E-2</v>
      </c>
      <c r="I484" s="20">
        <v>5.8955309999999997E-2</v>
      </c>
      <c r="K484">
        <f t="shared" si="14"/>
        <v>7.0303518599013071E-3</v>
      </c>
      <c r="L484">
        <f t="shared" si="15"/>
        <v>2.3582125826654109E-4</v>
      </c>
    </row>
    <row r="485" spans="1:12" ht="15" customHeight="1" x14ac:dyDescent="0.3">
      <c r="A485" s="22">
        <v>45398</v>
      </c>
      <c r="B485" s="23">
        <v>5.8536014282787499E-2</v>
      </c>
      <c r="C485" s="23">
        <v>5.8551437437789101E-2</v>
      </c>
      <c r="D485" s="23">
        <v>5.8543726999999997E-2</v>
      </c>
      <c r="E485" s="24">
        <v>-1.3302380000000001E-3</v>
      </c>
      <c r="F485" s="24">
        <v>-2.22173026289473</v>
      </c>
      <c r="G485" s="24">
        <v>19.694111667905599</v>
      </c>
      <c r="H485" s="23">
        <v>5.8543726999999997E-2</v>
      </c>
      <c r="I485" s="23">
        <v>5.8543726999999997E-2</v>
      </c>
      <c r="K485">
        <f t="shared" si="14"/>
        <v>-2.2217302628947388E-2</v>
      </c>
      <c r="L485">
        <f t="shared" si="15"/>
        <v>2.6344675667133992E-4</v>
      </c>
    </row>
    <row r="486" spans="1:12" ht="15" customHeight="1" x14ac:dyDescent="0.3">
      <c r="A486" s="19">
        <v>45397</v>
      </c>
      <c r="B486" s="20">
        <v>5.9867333987882798E-2</v>
      </c>
      <c r="C486" s="20">
        <v>5.9880598087413701E-2</v>
      </c>
      <c r="D486" s="20">
        <v>5.9873965000000001E-2</v>
      </c>
      <c r="E486" s="21">
        <v>1.02885000000003E-4</v>
      </c>
      <c r="F486" s="21">
        <v>0.17213173996521999</v>
      </c>
      <c r="G486" s="21">
        <v>22.413816474483699</v>
      </c>
      <c r="H486" s="20">
        <v>5.9873965000000001E-2</v>
      </c>
      <c r="I486" s="20">
        <v>5.9873965000000001E-2</v>
      </c>
      <c r="K486">
        <f t="shared" si="14"/>
        <v>1.7213173996522002E-3</v>
      </c>
      <c r="L486">
        <f t="shared" si="15"/>
        <v>2.2153367546150142E-4</v>
      </c>
    </row>
    <row r="487" spans="1:12" ht="15" customHeight="1" x14ac:dyDescent="0.3">
      <c r="A487" s="22">
        <v>45394</v>
      </c>
      <c r="B487" s="23">
        <v>5.9764646820819597E-2</v>
      </c>
      <c r="C487" s="23">
        <v>5.97775081147967E-2</v>
      </c>
      <c r="D487" s="23">
        <v>5.9771079999999997E-2</v>
      </c>
      <c r="E487" s="24">
        <v>-9.0484699999999996E-4</v>
      </c>
      <c r="F487" s="24">
        <v>-1.4912784109585899</v>
      </c>
      <c r="G487" s="24">
        <v>22.203465522981201</v>
      </c>
      <c r="H487" s="23">
        <v>5.9771079999999997E-2</v>
      </c>
      <c r="I487" s="23">
        <v>5.9771079999999997E-2</v>
      </c>
      <c r="K487">
        <f t="shared" si="14"/>
        <v>-1.4912784109585964E-2</v>
      </c>
      <c r="L487">
        <f t="shared" si="15"/>
        <v>2.151758672773272E-4</v>
      </c>
    </row>
    <row r="488" spans="1:12" ht="15" customHeight="1" x14ac:dyDescent="0.3">
      <c r="A488" s="19">
        <v>45393</v>
      </c>
      <c r="B488" s="20">
        <v>6.0670408008493902E-2</v>
      </c>
      <c r="C488" s="20">
        <v>6.0681452713977999E-2</v>
      </c>
      <c r="D488" s="20">
        <v>6.0675926999999998E-2</v>
      </c>
      <c r="E488" s="21">
        <v>1.6558999999999301E-5</v>
      </c>
      <c r="F488" s="21">
        <v>2.7298339145231901E-2</v>
      </c>
      <c r="G488" s="21">
        <v>24.053447808194601</v>
      </c>
      <c r="H488" s="20">
        <v>6.0675926999999998E-2</v>
      </c>
      <c r="I488" s="20">
        <v>6.0675926999999998E-2</v>
      </c>
      <c r="K488">
        <f t="shared" si="14"/>
        <v>2.7298339145231942E-4</v>
      </c>
      <c r="L488">
        <f t="shared" si="15"/>
        <v>1.8202779965926971E-4</v>
      </c>
    </row>
    <row r="489" spans="1:12" ht="15" customHeight="1" x14ac:dyDescent="0.3">
      <c r="A489" s="22">
        <v>45392</v>
      </c>
      <c r="B489" s="23">
        <v>6.06523769666533E-2</v>
      </c>
      <c r="C489" s="23">
        <v>6.0666359290446302E-2</v>
      </c>
      <c r="D489" s="23">
        <v>6.0659367999999998E-2</v>
      </c>
      <c r="E489" s="24">
        <v>-4.9897199999999998E-4</v>
      </c>
      <c r="F489" s="24">
        <v>-0.815869103052835</v>
      </c>
      <c r="G489" s="24">
        <v>24.019592519222101</v>
      </c>
      <c r="H489" s="23">
        <v>6.0659367999999998E-2</v>
      </c>
      <c r="I489" s="23">
        <v>6.0659367999999998E-2</v>
      </c>
      <c r="K489">
        <f t="shared" si="14"/>
        <v>-8.1586910305283533E-3</v>
      </c>
      <c r="L489">
        <f t="shared" si="15"/>
        <v>2.3050559631617026E-4</v>
      </c>
    </row>
    <row r="490" spans="1:12" ht="15" customHeight="1" x14ac:dyDescent="0.3">
      <c r="A490" s="19">
        <v>45391</v>
      </c>
      <c r="B490" s="20">
        <v>6.1150859169571303E-2</v>
      </c>
      <c r="C490" s="20">
        <v>6.1165820539482503E-2</v>
      </c>
      <c r="D490" s="20">
        <v>6.1158339999999999E-2</v>
      </c>
      <c r="E490" s="21">
        <v>4.2981999999996899E-5</v>
      </c>
      <c r="F490" s="21">
        <v>7.0329294315829502E-2</v>
      </c>
      <c r="G490" s="21">
        <v>25.039753232378601</v>
      </c>
      <c r="H490" s="20">
        <v>6.1158339999999999E-2</v>
      </c>
      <c r="I490" s="20">
        <v>6.1158339999999999E-2</v>
      </c>
      <c r="K490">
        <f t="shared" si="14"/>
        <v>7.0329294315829571E-4</v>
      </c>
      <c r="L490">
        <f t="shared" si="15"/>
        <v>2.4463335517608441E-4</v>
      </c>
    </row>
    <row r="491" spans="1:12" ht="15" customHeight="1" x14ac:dyDescent="0.3">
      <c r="A491" s="22">
        <v>45390</v>
      </c>
      <c r="B491" s="23">
        <v>6.1107885972684801E-2</v>
      </c>
      <c r="C491" s="23">
        <v>6.1122826319489003E-2</v>
      </c>
      <c r="D491" s="23">
        <v>6.1115358000000002E-2</v>
      </c>
      <c r="E491" s="24">
        <v>4.6886800000000401E-4</v>
      </c>
      <c r="F491" s="24">
        <v>0.77311646560254099</v>
      </c>
      <c r="G491" s="24">
        <v>24.951875460133099</v>
      </c>
      <c r="H491" s="23">
        <v>6.1115358000000002E-2</v>
      </c>
      <c r="I491" s="23">
        <v>6.1115358000000002E-2</v>
      </c>
      <c r="K491">
        <f t="shared" si="14"/>
        <v>7.7311646560254133E-3</v>
      </c>
      <c r="L491">
        <f t="shared" si="15"/>
        <v>2.4446141351575524E-4</v>
      </c>
    </row>
    <row r="492" spans="1:12" ht="15" customHeight="1" x14ac:dyDescent="0.3">
      <c r="A492" s="19">
        <v>45387</v>
      </c>
      <c r="B492" s="20">
        <v>6.0639871928590501E-2</v>
      </c>
      <c r="C492" s="20">
        <v>6.0653112717744699E-2</v>
      </c>
      <c r="D492" s="20">
        <v>6.0646489999999997E-2</v>
      </c>
      <c r="E492" s="21">
        <v>1.4310000000000001E-4</v>
      </c>
      <c r="F492" s="21">
        <v>0.236515672923443</v>
      </c>
      <c r="G492" s="21">
        <v>23.993263126662999</v>
      </c>
      <c r="H492" s="20">
        <v>6.0646489999999997E-2</v>
      </c>
      <c r="I492" s="20">
        <v>6.0646489999999997E-2</v>
      </c>
      <c r="K492">
        <f t="shared" si="14"/>
        <v>2.36515672923443E-3</v>
      </c>
      <c r="L492">
        <f t="shared" si="15"/>
        <v>2.1832737812523063E-4</v>
      </c>
    </row>
    <row r="493" spans="1:12" ht="15" customHeight="1" x14ac:dyDescent="0.3">
      <c r="A493" s="22">
        <v>45386</v>
      </c>
      <c r="B493" s="23">
        <v>6.0496067755595899E-2</v>
      </c>
      <c r="C493" s="23">
        <v>6.0510710395739999E-2</v>
      </c>
      <c r="D493" s="23">
        <v>6.0503389999999997E-2</v>
      </c>
      <c r="E493" s="24">
        <v>2.0066999999999999E-4</v>
      </c>
      <c r="F493" s="24">
        <v>0.332771059083247</v>
      </c>
      <c r="G493" s="24">
        <v>23.700691603506002</v>
      </c>
      <c r="H493" s="23">
        <v>6.0503389999999997E-2</v>
      </c>
      <c r="I493" s="23">
        <v>6.0503389999999997E-2</v>
      </c>
      <c r="K493">
        <f t="shared" si="14"/>
        <v>3.3277105908324778E-3</v>
      </c>
      <c r="L493">
        <f t="shared" si="15"/>
        <v>2.4201354906063383E-4</v>
      </c>
    </row>
    <row r="494" spans="1:12" ht="15" customHeight="1" x14ac:dyDescent="0.3">
      <c r="A494" s="19">
        <v>45385</v>
      </c>
      <c r="B494" s="20">
        <v>6.0296538375731797E-2</v>
      </c>
      <c r="C494" s="20">
        <v>6.0308902197053302E-2</v>
      </c>
      <c r="D494" s="20">
        <v>6.0302719999999997E-2</v>
      </c>
      <c r="E494" s="21">
        <v>3.9972999999998697E-5</v>
      </c>
      <c r="F494" s="21">
        <v>6.6331194626756407E-2</v>
      </c>
      <c r="G494" s="21">
        <v>23.2904167778462</v>
      </c>
      <c r="H494" s="20">
        <v>6.0302719999999997E-2</v>
      </c>
      <c r="I494" s="20">
        <v>6.0302719999999997E-2</v>
      </c>
      <c r="K494">
        <f t="shared" si="14"/>
        <v>6.6331194626756407E-4</v>
      </c>
      <c r="L494">
        <f t="shared" si="15"/>
        <v>2.0502924779355241E-4</v>
      </c>
    </row>
    <row r="495" spans="1:12" ht="15" customHeight="1" x14ac:dyDescent="0.3">
      <c r="A495" s="22">
        <v>45384</v>
      </c>
      <c r="B495" s="23">
        <v>6.0255846323489501E-2</v>
      </c>
      <c r="C495" s="23">
        <v>6.02696463979846E-2</v>
      </c>
      <c r="D495" s="23">
        <v>6.0262746999999998E-2</v>
      </c>
      <c r="E495" s="24">
        <v>1.7652299999999701E-4</v>
      </c>
      <c r="F495" s="24">
        <v>0.29378281451002403</v>
      </c>
      <c r="G495" s="24">
        <v>23.208690981234302</v>
      </c>
      <c r="H495" s="23">
        <v>6.0262746999999998E-2</v>
      </c>
      <c r="I495" s="23">
        <v>6.0262746999999998E-2</v>
      </c>
      <c r="K495">
        <f t="shared" si="14"/>
        <v>2.9378281451002408E-3</v>
      </c>
      <c r="L495">
        <f t="shared" si="15"/>
        <v>2.2899843074028641E-4</v>
      </c>
    </row>
    <row r="496" spans="1:12" ht="15" customHeight="1" x14ac:dyDescent="0.3">
      <c r="A496" s="19">
        <v>45383</v>
      </c>
      <c r="B496" s="20">
        <v>6.00799062753462E-2</v>
      </c>
      <c r="C496" s="20">
        <v>6.0092542515473801E-2</v>
      </c>
      <c r="D496" s="20">
        <v>6.0086224000000001E-2</v>
      </c>
      <c r="E496" s="21">
        <v>-7.59810000000027E-5</v>
      </c>
      <c r="F496" s="21">
        <v>-0.12629357584218401</v>
      </c>
      <c r="G496" s="21">
        <v>22.847785300016699</v>
      </c>
      <c r="H496" s="20">
        <v>6.0086224000000001E-2</v>
      </c>
      <c r="I496" s="20">
        <v>6.0086224000000001E-2</v>
      </c>
      <c r="K496">
        <f t="shared" si="14"/>
        <v>-1.2629357584218459E-3</v>
      </c>
      <c r="L496">
        <f t="shared" si="15"/>
        <v>2.1030178444233287E-4</v>
      </c>
    </row>
    <row r="497" spans="1:12" ht="15" customHeight="1" x14ac:dyDescent="0.3">
      <c r="A497" s="22">
        <v>45380</v>
      </c>
      <c r="B497" s="23">
        <v>6.0155079795713301E-2</v>
      </c>
      <c r="C497" s="23">
        <v>6.0169195778529201E-2</v>
      </c>
      <c r="D497" s="23">
        <v>6.0162205000000003E-2</v>
      </c>
      <c r="E497" s="24">
        <v>6.50000000004813E-8</v>
      </c>
      <c r="F497" s="24">
        <v>1.0804136953978999E-4</v>
      </c>
      <c r="G497" s="24">
        <v>23.003130351735798</v>
      </c>
      <c r="H497" s="23">
        <v>6.0162205000000003E-2</v>
      </c>
      <c r="I497" s="23">
        <v>6.0162205000000003E-2</v>
      </c>
      <c r="K497">
        <f t="shared" si="14"/>
        <v>1.0804136953979082E-6</v>
      </c>
      <c r="L497">
        <f t="shared" si="15"/>
        <v>2.3463207201099347E-4</v>
      </c>
    </row>
    <row r="498" spans="1:12" ht="15" customHeight="1" x14ac:dyDescent="0.3">
      <c r="A498" s="19">
        <v>45379</v>
      </c>
      <c r="B498" s="20">
        <v>6.0155079795713301E-2</v>
      </c>
      <c r="C498" s="20">
        <v>6.0169195778529201E-2</v>
      </c>
      <c r="D498" s="20">
        <v>6.0162140000000003E-2</v>
      </c>
      <c r="E498" s="21">
        <v>-3.3209699999999599E-4</v>
      </c>
      <c r="F498" s="21">
        <v>-0.54897295423363901</v>
      </c>
      <c r="G498" s="21">
        <v>23.0029974576127</v>
      </c>
      <c r="H498" s="20">
        <v>6.0162140000000003E-2</v>
      </c>
      <c r="I498" s="20">
        <v>6.0162140000000003E-2</v>
      </c>
      <c r="K498">
        <f t="shared" si="14"/>
        <v>-5.4897295423363968E-3</v>
      </c>
      <c r="L498">
        <f t="shared" si="15"/>
        <v>2.3463232551069744E-4</v>
      </c>
    </row>
    <row r="499" spans="1:12" ht="15" customHeight="1" x14ac:dyDescent="0.3">
      <c r="A499" s="22">
        <v>45378</v>
      </c>
      <c r="B499" s="23">
        <v>6.0488383206005303E-2</v>
      </c>
      <c r="C499" s="23">
        <v>6.05000937751453E-2</v>
      </c>
      <c r="D499" s="23">
        <v>6.0494236999999999E-2</v>
      </c>
      <c r="E499" s="24">
        <v>5.5477699999999903E-4</v>
      </c>
      <c r="F499" s="24">
        <v>0.92556222561899204</v>
      </c>
      <c r="G499" s="24">
        <v>23.6819780664588</v>
      </c>
      <c r="H499" s="23">
        <v>6.0494236999999999E-2</v>
      </c>
      <c r="I499" s="23">
        <v>6.0494236999999999E-2</v>
      </c>
      <c r="K499">
        <f t="shared" si="14"/>
        <v>9.2556222561899215E-3</v>
      </c>
      <c r="L499">
        <f t="shared" si="15"/>
        <v>1.9358156612500342E-4</v>
      </c>
    </row>
    <row r="500" spans="1:12" ht="15" customHeight="1" x14ac:dyDescent="0.3">
      <c r="A500" s="19">
        <v>45377</v>
      </c>
      <c r="B500" s="20">
        <v>5.9934072520227803E-2</v>
      </c>
      <c r="C500" s="20">
        <v>5.9944850737321698E-2</v>
      </c>
      <c r="D500" s="20">
        <v>5.993946E-2</v>
      </c>
      <c r="E500" s="21">
        <v>1.09379999999999E-4</v>
      </c>
      <c r="F500" s="21">
        <v>0.18281773983921301</v>
      </c>
      <c r="G500" s="21">
        <v>22.547722637370899</v>
      </c>
      <c r="H500" s="20">
        <v>5.993946E-2</v>
      </c>
      <c r="I500" s="20">
        <v>5.993946E-2</v>
      </c>
      <c r="K500">
        <f t="shared" si="14"/>
        <v>1.828177398392139E-3</v>
      </c>
      <c r="L500">
        <f t="shared" si="15"/>
        <v>1.798183883187207E-4</v>
      </c>
    </row>
    <row r="501" spans="1:12" ht="15" customHeight="1" x14ac:dyDescent="0.3">
      <c r="A501" s="22">
        <v>45376</v>
      </c>
      <c r="B501" s="23">
        <v>5.9824713589183703E-2</v>
      </c>
      <c r="C501" s="23">
        <v>5.98354525056096E-2</v>
      </c>
      <c r="D501" s="23">
        <v>5.9830080000000001E-2</v>
      </c>
      <c r="E501" s="24">
        <v>5.1860000000000699E-5</v>
      </c>
      <c r="F501" s="24">
        <v>8.6754005054023794E-2</v>
      </c>
      <c r="G501" s="24">
        <v>22.324092496190499</v>
      </c>
      <c r="H501" s="23">
        <v>5.9830080000000001E-2</v>
      </c>
      <c r="I501" s="23">
        <v>5.9830080000000001E-2</v>
      </c>
      <c r="K501">
        <f t="shared" si="14"/>
        <v>8.6754005054023864E-4</v>
      </c>
      <c r="L501">
        <f t="shared" si="15"/>
        <v>1.7949025683897956E-4</v>
      </c>
    </row>
    <row r="502" spans="1:12" ht="15" customHeight="1" x14ac:dyDescent="0.3">
      <c r="A502" s="19">
        <v>45373</v>
      </c>
      <c r="B502" s="20">
        <v>5.9771434036245401E-2</v>
      </c>
      <c r="C502" s="20">
        <v>5.9785013092917901E-2</v>
      </c>
      <c r="D502" s="20">
        <v>5.977822E-2</v>
      </c>
      <c r="E502" s="21">
        <v>4.9094999999999001E-5</v>
      </c>
      <c r="F502" s="21">
        <v>8.2196081057617207E-2</v>
      </c>
      <c r="G502" s="21">
        <v>22.2180634312645</v>
      </c>
      <c r="H502" s="20">
        <v>5.977822E-2</v>
      </c>
      <c r="I502" s="20">
        <v>5.977822E-2</v>
      </c>
      <c r="K502">
        <f t="shared" si="14"/>
        <v>8.2196081057617221E-4</v>
      </c>
      <c r="L502">
        <f t="shared" si="15"/>
        <v>2.2715726016097002E-4</v>
      </c>
    </row>
    <row r="503" spans="1:12" ht="15" customHeight="1" x14ac:dyDescent="0.3">
      <c r="A503" s="22">
        <v>45372</v>
      </c>
      <c r="B503" s="23">
        <v>5.9722885809842301E-2</v>
      </c>
      <c r="C503" s="23">
        <v>5.9735372300707898E-2</v>
      </c>
      <c r="D503" s="23">
        <v>5.9729125000000001E-2</v>
      </c>
      <c r="E503" s="24">
        <v>1.2194E-4</v>
      </c>
      <c r="F503" s="24">
        <v>0.20457265344773201</v>
      </c>
      <c r="G503" s="24">
        <v>22.1176874778795</v>
      </c>
      <c r="H503" s="23">
        <v>5.9729125000000001E-2</v>
      </c>
      <c r="I503" s="23">
        <v>5.9729125000000001E-2</v>
      </c>
      <c r="K503">
        <f t="shared" si="14"/>
        <v>2.0457265344773212E-3</v>
      </c>
      <c r="L503">
        <f t="shared" si="15"/>
        <v>2.0905196360397412E-4</v>
      </c>
    </row>
    <row r="504" spans="1:12" ht="15" customHeight="1" x14ac:dyDescent="0.3">
      <c r="A504" s="19">
        <v>45371</v>
      </c>
      <c r="B504" s="20">
        <v>5.9599728225239297E-2</v>
      </c>
      <c r="C504" s="20">
        <v>5.96146508966044E-2</v>
      </c>
      <c r="D504" s="20">
        <v>5.9607185E-2</v>
      </c>
      <c r="E504" s="21">
        <v>2.0006999999999599E-4</v>
      </c>
      <c r="F504" s="21">
        <v>0.33677784218271101</v>
      </c>
      <c r="G504" s="21">
        <v>21.8683781030803</v>
      </c>
      <c r="H504" s="20">
        <v>5.9607185E-2</v>
      </c>
      <c r="I504" s="20">
        <v>5.9607185E-2</v>
      </c>
      <c r="K504">
        <f t="shared" si="14"/>
        <v>3.3677784218271167E-3</v>
      </c>
      <c r="L504">
        <f t="shared" si="15"/>
        <v>2.5035021138983406E-4</v>
      </c>
    </row>
    <row r="505" spans="1:12" ht="15" customHeight="1" x14ac:dyDescent="0.3">
      <c r="A505" s="22">
        <v>45370</v>
      </c>
      <c r="B505" s="23">
        <v>5.9400765081854198E-2</v>
      </c>
      <c r="C505" s="23">
        <v>5.9413470221968703E-2</v>
      </c>
      <c r="D505" s="23">
        <v>5.9407115000000003E-2</v>
      </c>
      <c r="E505" s="24">
        <v>-1.5924099999999701E-4</v>
      </c>
      <c r="F505" s="24">
        <v>-0.26733379493618598</v>
      </c>
      <c r="G505" s="24">
        <v>21.459329992402299</v>
      </c>
      <c r="H505" s="23">
        <v>5.9407115000000003E-2</v>
      </c>
      <c r="I505" s="23">
        <v>5.9407115000000003E-2</v>
      </c>
      <c r="K505">
        <f t="shared" si="14"/>
        <v>-2.6733379493618648E-3</v>
      </c>
      <c r="L505">
        <f t="shared" si="15"/>
        <v>2.1386563064887219E-4</v>
      </c>
    </row>
    <row r="506" spans="1:12" ht="15" customHeight="1" x14ac:dyDescent="0.3">
      <c r="A506" s="19">
        <v>45369</v>
      </c>
      <c r="B506" s="20">
        <v>5.9559970934734197E-2</v>
      </c>
      <c r="C506" s="20">
        <v>5.9572744278037902E-2</v>
      </c>
      <c r="D506" s="20">
        <v>5.9566356000000001E-2</v>
      </c>
      <c r="E506" s="21">
        <v>-3.1926399999999901E-4</v>
      </c>
      <c r="F506" s="21">
        <v>-0.53312297676804099</v>
      </c>
      <c r="G506" s="21">
        <v>21.7849021930944</v>
      </c>
      <c r="H506" s="20">
        <v>5.9566356000000001E-2</v>
      </c>
      <c r="I506" s="20">
        <v>5.9566356000000001E-2</v>
      </c>
      <c r="K506">
        <f t="shared" si="14"/>
        <v>-5.3312297676804121E-3</v>
      </c>
      <c r="L506">
        <f t="shared" si="15"/>
        <v>2.1443889070040735E-4</v>
      </c>
    </row>
    <row r="507" spans="1:12" ht="15" customHeight="1" x14ac:dyDescent="0.3">
      <c r="A507" s="22">
        <v>45366</v>
      </c>
      <c r="B507" s="23">
        <v>5.9880239520958098E-2</v>
      </c>
      <c r="C507" s="23">
        <v>5.9890998382942998E-2</v>
      </c>
      <c r="D507" s="23">
        <v>5.9885620000000001E-2</v>
      </c>
      <c r="E507" s="24">
        <v>-4.84560000000022E-5</v>
      </c>
      <c r="F507" s="24">
        <v>-8.0848831305924101E-2</v>
      </c>
      <c r="G507" s="24">
        <v>22.437645413004901</v>
      </c>
      <c r="H507" s="23">
        <v>5.9885620000000001E-2</v>
      </c>
      <c r="I507" s="23">
        <v>5.9885620000000001E-2</v>
      </c>
      <c r="K507">
        <f t="shared" si="14"/>
        <v>-8.0848831305924129E-4</v>
      </c>
      <c r="L507">
        <f t="shared" si="15"/>
        <v>1.7965685226102235E-4</v>
      </c>
    </row>
    <row r="508" spans="1:12" ht="15" customHeight="1" x14ac:dyDescent="0.3">
      <c r="A508" s="19">
        <v>45365</v>
      </c>
      <c r="B508" s="20">
        <v>5.9928684865010601E-2</v>
      </c>
      <c r="C508" s="20">
        <v>5.9939461144244303E-2</v>
      </c>
      <c r="D508" s="20">
        <v>5.9934076000000003E-2</v>
      </c>
      <c r="E508" s="21">
        <v>1.75499000000002E-4</v>
      </c>
      <c r="F508" s="21">
        <v>0.29368001851852699</v>
      </c>
      <c r="G508" s="21">
        <v>22.536714914934301</v>
      </c>
      <c r="H508" s="20">
        <v>5.9934076000000003E-2</v>
      </c>
      <c r="I508" s="20">
        <v>5.9934076000000003E-2</v>
      </c>
      <c r="K508">
        <f t="shared" si="14"/>
        <v>2.9368001851852732E-3</v>
      </c>
      <c r="L508">
        <f t="shared" si="15"/>
        <v>1.7980220857501277E-4</v>
      </c>
    </row>
    <row r="509" spans="1:12" ht="15" customHeight="1" x14ac:dyDescent="0.3">
      <c r="A509" s="22">
        <v>45364</v>
      </c>
      <c r="B509" s="23">
        <v>5.9752148089723803E-2</v>
      </c>
      <c r="C509" s="23">
        <v>5.9765004004255301E-2</v>
      </c>
      <c r="D509" s="23">
        <v>5.9758577E-2</v>
      </c>
      <c r="E509" s="24">
        <v>3.5322399999999899E-4</v>
      </c>
      <c r="F509" s="24">
        <v>0.59459961461722999</v>
      </c>
      <c r="G509" s="24">
        <v>22.1779028272856</v>
      </c>
      <c r="H509" s="23">
        <v>5.9758577E-2</v>
      </c>
      <c r="I509" s="23">
        <v>5.9758577E-2</v>
      </c>
      <c r="K509">
        <f t="shared" si="14"/>
        <v>5.9459961461723054E-3</v>
      </c>
      <c r="L509">
        <f t="shared" si="15"/>
        <v>2.1513086785012063E-4</v>
      </c>
    </row>
    <row r="510" spans="1:12" ht="15" customHeight="1" x14ac:dyDescent="0.3">
      <c r="A510" s="19">
        <v>45363</v>
      </c>
      <c r="B510" s="20">
        <v>5.93986480867695E-2</v>
      </c>
      <c r="C510" s="20">
        <v>5.9412058271346699E-2</v>
      </c>
      <c r="D510" s="20">
        <v>5.9405353000000001E-2</v>
      </c>
      <c r="E510" s="21">
        <v>-5.2981000000000501E-5</v>
      </c>
      <c r="F510" s="21">
        <v>-8.9106095707291999E-2</v>
      </c>
      <c r="G510" s="21">
        <v>21.4557275394058</v>
      </c>
      <c r="H510" s="20">
        <v>5.9405353000000001E-2</v>
      </c>
      <c r="I510" s="20">
        <v>5.9405353000000001E-2</v>
      </c>
      <c r="K510">
        <f t="shared" si="14"/>
        <v>-8.9106095707291999E-4</v>
      </c>
      <c r="L510">
        <f t="shared" si="15"/>
        <v>2.2574033988484454E-4</v>
      </c>
    </row>
    <row r="511" spans="1:12" ht="15" customHeight="1" x14ac:dyDescent="0.3">
      <c r="A511" s="22">
        <v>45362</v>
      </c>
      <c r="B511" s="23">
        <v>5.94519717246422E-2</v>
      </c>
      <c r="C511" s="23">
        <v>5.94646987815683E-2</v>
      </c>
      <c r="D511" s="23">
        <v>5.9458334000000002E-2</v>
      </c>
      <c r="E511" s="24">
        <v>-5.8389999999998402E-5</v>
      </c>
      <c r="F511" s="24">
        <v>-9.8106878328851899E-2</v>
      </c>
      <c r="G511" s="24">
        <v>21.564048516822801</v>
      </c>
      <c r="H511" s="23">
        <v>5.9458334000000002E-2</v>
      </c>
      <c r="I511" s="23">
        <v>5.9458334000000002E-2</v>
      </c>
      <c r="K511">
        <f t="shared" si="14"/>
        <v>-9.8106878328851899E-4</v>
      </c>
      <c r="L511">
        <f t="shared" si="15"/>
        <v>2.1405000897098501E-4</v>
      </c>
    </row>
    <row r="512" spans="1:12" ht="15" customHeight="1" x14ac:dyDescent="0.3">
      <c r="A512" s="19">
        <v>45359</v>
      </c>
      <c r="B512" s="20">
        <v>5.9510702999934502E-2</v>
      </c>
      <c r="C512" s="20">
        <v>5.9522746617619901E-2</v>
      </c>
      <c r="D512" s="20">
        <v>5.9516724E-2</v>
      </c>
      <c r="E512" s="21">
        <v>2.7852899999999899E-4</v>
      </c>
      <c r="F512" s="21">
        <v>0.470184819101926</v>
      </c>
      <c r="G512" s="21">
        <v>21.683428329800702</v>
      </c>
      <c r="H512" s="20">
        <v>5.9516724E-2</v>
      </c>
      <c r="I512" s="20">
        <v>5.9516724E-2</v>
      </c>
      <c r="K512">
        <f t="shared" si="14"/>
        <v>4.7018481910192644E-3</v>
      </c>
      <c r="L512">
        <f t="shared" si="15"/>
        <v>2.0235686502837643E-4</v>
      </c>
    </row>
    <row r="513" spans="1:12" ht="15" customHeight="1" x14ac:dyDescent="0.3">
      <c r="A513" s="22">
        <v>45358</v>
      </c>
      <c r="B513" s="23">
        <v>5.92329335110321E-2</v>
      </c>
      <c r="C513" s="23">
        <v>5.9243461002991799E-2</v>
      </c>
      <c r="D513" s="23">
        <v>5.9238195E-2</v>
      </c>
      <c r="E513" s="24">
        <v>-1.10745000000002E-4</v>
      </c>
      <c r="F513" s="24">
        <v>-0.186599794368702</v>
      </c>
      <c r="G513" s="24">
        <v>21.113968834528901</v>
      </c>
      <c r="H513" s="23">
        <v>5.9238195E-2</v>
      </c>
      <c r="I513" s="23">
        <v>5.9238195E-2</v>
      </c>
      <c r="K513">
        <f t="shared" si="14"/>
        <v>-1.8659979436870255E-3</v>
      </c>
      <c r="L513">
        <f t="shared" si="15"/>
        <v>1.7771459713953862E-4</v>
      </c>
    </row>
    <row r="514" spans="1:12" ht="15" customHeight="1" x14ac:dyDescent="0.3">
      <c r="A514" s="19">
        <v>45357</v>
      </c>
      <c r="B514" s="20">
        <v>5.9342250495507801E-2</v>
      </c>
      <c r="C514" s="20">
        <v>5.9355635224008198E-2</v>
      </c>
      <c r="D514" s="20">
        <v>5.9348940000000003E-2</v>
      </c>
      <c r="E514" s="21">
        <v>1.93092000000005E-4</v>
      </c>
      <c r="F514" s="21">
        <v>0.32641236078638702</v>
      </c>
      <c r="G514" s="21">
        <v>21.3403897522929</v>
      </c>
      <c r="H514" s="20">
        <v>5.9348940000000003E-2</v>
      </c>
      <c r="I514" s="20">
        <v>5.9348940000000003E-2</v>
      </c>
      <c r="K514">
        <f t="shared" si="14"/>
        <v>3.264123607863878E-3</v>
      </c>
      <c r="L514">
        <f t="shared" si="15"/>
        <v>2.2552599086684825E-4</v>
      </c>
    </row>
    <row r="515" spans="1:12" ht="15" customHeight="1" x14ac:dyDescent="0.3">
      <c r="A515" s="22">
        <v>45356</v>
      </c>
      <c r="B515" s="23">
        <v>5.9149197936876001E-2</v>
      </c>
      <c r="C515" s="23">
        <v>5.9162495710719097E-2</v>
      </c>
      <c r="D515" s="23">
        <v>5.9155847999999997E-2</v>
      </c>
      <c r="E515" s="24">
        <v>2.4742299999999602E-4</v>
      </c>
      <c r="F515" s="24">
        <v>0.42001292684365998</v>
      </c>
      <c r="G515" s="24">
        <v>20.945608336853098</v>
      </c>
      <c r="H515" s="23">
        <v>5.9155847999999997E-2</v>
      </c>
      <c r="I515" s="23">
        <v>5.9155847999999997E-2</v>
      </c>
      <c r="K515">
        <f t="shared" si="14"/>
        <v>4.2001292684366032E-3</v>
      </c>
      <c r="L515">
        <f t="shared" si="15"/>
        <v>2.2479221062127555E-4</v>
      </c>
    </row>
    <row r="516" spans="1:12" ht="15" customHeight="1" x14ac:dyDescent="0.3">
      <c r="A516" s="19">
        <v>45355</v>
      </c>
      <c r="B516" s="20">
        <v>5.8901487262553398E-2</v>
      </c>
      <c r="C516" s="20">
        <v>5.8915368073761999E-2</v>
      </c>
      <c r="D516" s="20">
        <v>5.8908425E-2</v>
      </c>
      <c r="E516" s="21">
        <v>1.03924999999997E-4</v>
      </c>
      <c r="F516" s="21">
        <v>0.17672967204891399</v>
      </c>
      <c r="G516" s="21">
        <v>20.439745835287301</v>
      </c>
      <c r="H516" s="20">
        <v>5.8908425E-2</v>
      </c>
      <c r="I516" s="20">
        <v>5.8908425E-2</v>
      </c>
      <c r="K516">
        <f t="shared" si="14"/>
        <v>1.7672967204891421E-3</v>
      </c>
      <c r="L516">
        <f t="shared" si="15"/>
        <v>2.3563371807345263E-4</v>
      </c>
    </row>
    <row r="517" spans="1:12" ht="15" customHeight="1" x14ac:dyDescent="0.3">
      <c r="A517" s="22">
        <v>45352</v>
      </c>
      <c r="B517" s="23">
        <v>5.8798626464085797E-2</v>
      </c>
      <c r="C517" s="23">
        <v>5.8810383561321601E-2</v>
      </c>
      <c r="D517" s="23">
        <v>5.8804500000000003E-2</v>
      </c>
      <c r="E517" s="24">
        <v>2.1017599999999901E-4</v>
      </c>
      <c r="F517" s="24">
        <v>0.35869685944325203</v>
      </c>
      <c r="G517" s="24">
        <v>20.2272685778163</v>
      </c>
      <c r="H517" s="23">
        <v>5.8804500000000003E-2</v>
      </c>
      <c r="I517" s="23">
        <v>5.8804500000000003E-2</v>
      </c>
      <c r="K517">
        <f t="shared" ref="K517:K580" si="16">D517/D518-1</f>
        <v>3.5869685944325269E-3</v>
      </c>
      <c r="L517">
        <f t="shared" ref="L517:L580" si="17">(C517-B517)/D517</f>
        <v>1.9993533208859644E-4</v>
      </c>
    </row>
    <row r="518" spans="1:12" ht="15" customHeight="1" x14ac:dyDescent="0.3">
      <c r="A518" s="19">
        <v>45351</v>
      </c>
      <c r="B518" s="20">
        <v>5.8588829453776303E-2</v>
      </c>
      <c r="C518" s="20">
        <v>5.8599815996577799E-2</v>
      </c>
      <c r="D518" s="20">
        <v>5.8594324000000003E-2</v>
      </c>
      <c r="E518" s="21">
        <v>7.3724000000004094E-5</v>
      </c>
      <c r="F518" s="21">
        <v>0.12597956958746401</v>
      </c>
      <c r="G518" s="21">
        <v>19.797558497795102</v>
      </c>
      <c r="H518" s="20">
        <v>5.8594324000000003E-2</v>
      </c>
      <c r="I518" s="20">
        <v>5.8594324000000003E-2</v>
      </c>
      <c r="K518">
        <f t="shared" si="16"/>
        <v>1.2597956958746437E-3</v>
      </c>
      <c r="L518">
        <f t="shared" si="17"/>
        <v>1.8750182699429633E-4</v>
      </c>
    </row>
    <row r="519" spans="1:12" ht="15" customHeight="1" x14ac:dyDescent="0.3">
      <c r="A519" s="22">
        <v>45350</v>
      </c>
      <c r="B519" s="23">
        <v>5.8515462711021399E-2</v>
      </c>
      <c r="C519" s="23">
        <v>5.8525736692710599E-2</v>
      </c>
      <c r="D519" s="23">
        <v>5.8520599999999999E-2</v>
      </c>
      <c r="E519" s="24">
        <v>-1.26984000000003E-4</v>
      </c>
      <c r="F519" s="24">
        <v>-0.21652042819019199</v>
      </c>
      <c r="G519" s="24">
        <v>19.6468279389325</v>
      </c>
      <c r="H519" s="23">
        <v>5.8520599999999999E-2</v>
      </c>
      <c r="I519" s="23">
        <v>5.8520599999999999E-2</v>
      </c>
      <c r="K519">
        <f t="shared" si="16"/>
        <v>-2.1652042819019224E-3</v>
      </c>
      <c r="L519">
        <f t="shared" si="17"/>
        <v>1.7556179685786365E-4</v>
      </c>
    </row>
    <row r="520" spans="1:12" ht="15" customHeight="1" x14ac:dyDescent="0.3">
      <c r="A520" s="19">
        <v>45349</v>
      </c>
      <c r="B520" s="20">
        <v>5.8641396134359203E-2</v>
      </c>
      <c r="C520" s="20">
        <v>5.8653778476409499E-2</v>
      </c>
      <c r="D520" s="20">
        <v>5.8647584000000003E-2</v>
      </c>
      <c r="E520" s="21">
        <v>2.7898700000000099E-4</v>
      </c>
      <c r="F520" s="21">
        <v>0.47797448343669302</v>
      </c>
      <c r="G520" s="21">
        <v>19.906449897678598</v>
      </c>
      <c r="H520" s="20">
        <v>5.8647584000000003E-2</v>
      </c>
      <c r="I520" s="20">
        <v>5.8647584000000003E-2</v>
      </c>
      <c r="K520">
        <f t="shared" si="16"/>
        <v>4.7797448343669391E-3</v>
      </c>
      <c r="L520">
        <f t="shared" si="17"/>
        <v>2.1113132384611259E-4</v>
      </c>
    </row>
    <row r="521" spans="1:12" ht="15" customHeight="1" x14ac:dyDescent="0.3">
      <c r="A521" s="22">
        <v>45348</v>
      </c>
      <c r="B521" s="23">
        <v>5.8361444095572701E-2</v>
      </c>
      <c r="C521" s="23">
        <v>5.8375753047214297E-2</v>
      </c>
      <c r="D521" s="23">
        <v>5.8368597000000001E-2</v>
      </c>
      <c r="E521" s="24">
        <v>2.2136999999998399E-5</v>
      </c>
      <c r="F521" s="24">
        <v>3.79406051369768E-2</v>
      </c>
      <c r="G521" s="24">
        <v>19.336054009970699</v>
      </c>
      <c r="H521" s="23">
        <v>5.8368597000000001E-2</v>
      </c>
      <c r="I521" s="23">
        <v>5.8368597000000001E-2</v>
      </c>
      <c r="K521">
        <f t="shared" si="16"/>
        <v>3.7940605136976835E-4</v>
      </c>
      <c r="L521">
        <f t="shared" si="17"/>
        <v>2.4514811691630101E-4</v>
      </c>
    </row>
    <row r="522" spans="1:12" ht="15" customHeight="1" x14ac:dyDescent="0.3">
      <c r="A522" s="19">
        <v>45345</v>
      </c>
      <c r="B522" s="20">
        <v>5.8340674534878997E-2</v>
      </c>
      <c r="C522" s="20">
        <v>5.8352249187444902E-2</v>
      </c>
      <c r="D522" s="20">
        <v>5.8346460000000003E-2</v>
      </c>
      <c r="E522" s="21">
        <v>-4.9405999999994898E-5</v>
      </c>
      <c r="F522" s="21">
        <v>-8.4605304080931296E-2</v>
      </c>
      <c r="G522" s="21">
        <v>19.290794360717602</v>
      </c>
      <c r="H522" s="20">
        <v>5.8346460000000003E-2</v>
      </c>
      <c r="I522" s="20">
        <v>5.8346460000000003E-2</v>
      </c>
      <c r="K522">
        <f t="shared" si="16"/>
        <v>-8.4605304080931365E-4</v>
      </c>
      <c r="L522">
        <f t="shared" si="17"/>
        <v>1.9837797470325359E-4</v>
      </c>
    </row>
    <row r="523" spans="1:12" ht="15" customHeight="1" x14ac:dyDescent="0.3">
      <c r="A523" s="22">
        <v>45344</v>
      </c>
      <c r="B523" s="23">
        <v>5.8390750905056597E-2</v>
      </c>
      <c r="C523" s="23">
        <v>5.84009811364831E-2</v>
      </c>
      <c r="D523" s="23">
        <v>5.8395865999999998E-2</v>
      </c>
      <c r="E523" s="24">
        <v>-2.0618000000000001E-4</v>
      </c>
      <c r="F523" s="24">
        <v>-0.351830719357482</v>
      </c>
      <c r="G523" s="24">
        <v>19.391806161368098</v>
      </c>
      <c r="H523" s="23">
        <v>5.8395865999999998E-2</v>
      </c>
      <c r="I523" s="23">
        <v>5.8395865999999998E-2</v>
      </c>
      <c r="K523">
        <f t="shared" si="16"/>
        <v>-3.5183071935748211E-3</v>
      </c>
      <c r="L523">
        <f t="shared" si="17"/>
        <v>1.7518759678130166E-4</v>
      </c>
    </row>
    <row r="524" spans="1:12" ht="15" customHeight="1" x14ac:dyDescent="0.3">
      <c r="A524" s="19">
        <v>45343</v>
      </c>
      <c r="B524" s="20">
        <v>5.8596725614972603E-2</v>
      </c>
      <c r="C524" s="20">
        <v>5.8607371635204297E-2</v>
      </c>
      <c r="D524" s="20">
        <v>5.8602045999999998E-2</v>
      </c>
      <c r="E524" s="21">
        <v>-9.8904000000003795E-5</v>
      </c>
      <c r="F524" s="21">
        <v>-0.168487903517755</v>
      </c>
      <c r="G524" s="21">
        <v>19.813346319610702</v>
      </c>
      <c r="H524" s="20">
        <v>5.8602045999999998E-2</v>
      </c>
      <c r="I524" s="20">
        <v>5.8602045999999998E-2</v>
      </c>
      <c r="K524">
        <f t="shared" si="16"/>
        <v>-1.6848790351775556E-3</v>
      </c>
      <c r="L524">
        <f t="shared" si="17"/>
        <v>1.8166635737759676E-4</v>
      </c>
    </row>
    <row r="525" spans="1:12" ht="15" customHeight="1" x14ac:dyDescent="0.3">
      <c r="A525" s="22">
        <v>45342</v>
      </c>
      <c r="B525" s="23">
        <v>5.8695779773434299E-2</v>
      </c>
      <c r="C525" s="23">
        <v>5.8706117177409901E-2</v>
      </c>
      <c r="D525" s="23">
        <v>5.8700950000000002E-2</v>
      </c>
      <c r="E525" s="24">
        <v>8.4300000000002401E-5</v>
      </c>
      <c r="F525" s="24">
        <v>0.14381579295303901</v>
      </c>
      <c r="G525" s="24">
        <v>20.015558017208999</v>
      </c>
      <c r="H525" s="23">
        <v>5.8700950000000002E-2</v>
      </c>
      <c r="I525" s="23">
        <v>5.8700950000000002E-2</v>
      </c>
      <c r="K525">
        <f t="shared" si="16"/>
        <v>1.4381579295303926E-3</v>
      </c>
      <c r="L525">
        <f t="shared" si="17"/>
        <v>1.7610283948730167E-4</v>
      </c>
    </row>
    <row r="526" spans="1:12" ht="15" customHeight="1" x14ac:dyDescent="0.3">
      <c r="A526" s="19">
        <v>45341</v>
      </c>
      <c r="B526" s="20">
        <v>5.8608745597018001E-2</v>
      </c>
      <c r="C526" s="20">
        <v>5.8624550789379601E-2</v>
      </c>
      <c r="D526" s="20">
        <v>5.8616649999999999E-2</v>
      </c>
      <c r="E526" s="21">
        <v>1.80399999999969E-5</v>
      </c>
      <c r="F526" s="21">
        <v>3.07857131764732E-2</v>
      </c>
      <c r="G526" s="21">
        <v>19.843204562267498</v>
      </c>
      <c r="H526" s="20">
        <v>5.8616649999999999E-2</v>
      </c>
      <c r="I526" s="20">
        <v>5.8616649999999999E-2</v>
      </c>
      <c r="K526">
        <f t="shared" si="16"/>
        <v>3.0785713176473273E-4</v>
      </c>
      <c r="L526">
        <f t="shared" si="17"/>
        <v>2.6963656847669651E-4</v>
      </c>
    </row>
    <row r="527" spans="1:12" ht="15" customHeight="1" x14ac:dyDescent="0.3">
      <c r="A527" s="22">
        <v>45338</v>
      </c>
      <c r="B527" s="23">
        <v>5.8592948924526399E-2</v>
      </c>
      <c r="C527" s="23">
        <v>5.8604280456644599E-2</v>
      </c>
      <c r="D527" s="23">
        <v>5.8598610000000002E-2</v>
      </c>
      <c r="E527" s="24">
        <v>-2.83499999999964E-5</v>
      </c>
      <c r="F527" s="24">
        <v>-4.83565922572037E-2</v>
      </c>
      <c r="G527" s="24">
        <v>19.806321331814999</v>
      </c>
      <c r="H527" s="23">
        <v>5.8598610000000002E-2</v>
      </c>
      <c r="I527" s="23">
        <v>5.8598610000000002E-2</v>
      </c>
      <c r="K527">
        <f t="shared" si="16"/>
        <v>-4.835659225720379E-4</v>
      </c>
      <c r="L527">
        <f t="shared" si="17"/>
        <v>1.9337544215127352E-4</v>
      </c>
    </row>
    <row r="528" spans="1:12" ht="15" customHeight="1" x14ac:dyDescent="0.3">
      <c r="A528" s="19">
        <v>45337</v>
      </c>
      <c r="B528" s="20">
        <v>5.8621801447958498E-2</v>
      </c>
      <c r="C528" s="20">
        <v>5.8632112808184998E-2</v>
      </c>
      <c r="D528" s="20">
        <v>5.8626959999999999E-2</v>
      </c>
      <c r="E528" s="21">
        <v>1.6452000000000101E-4</v>
      </c>
      <c r="F528" s="21">
        <v>0.281411449812907</v>
      </c>
      <c r="G528" s="21">
        <v>19.8642836147046</v>
      </c>
      <c r="H528" s="20">
        <v>5.8626959999999999E-2</v>
      </c>
      <c r="I528" s="20">
        <v>5.8626959999999999E-2</v>
      </c>
      <c r="K528">
        <f t="shared" si="16"/>
        <v>2.8141144981290722E-3</v>
      </c>
      <c r="L528">
        <f t="shared" si="17"/>
        <v>1.7588086140745429E-4</v>
      </c>
    </row>
    <row r="529" spans="1:12" ht="15" customHeight="1" x14ac:dyDescent="0.3">
      <c r="A529" s="22">
        <v>45336</v>
      </c>
      <c r="B529" s="23">
        <v>5.8456286389038298E-2</v>
      </c>
      <c r="C529" s="23">
        <v>5.8468590673090397E-2</v>
      </c>
      <c r="D529" s="23">
        <v>5.8462439999999997E-2</v>
      </c>
      <c r="E529" s="24">
        <v>3.3303999999999902E-4</v>
      </c>
      <c r="F529" s="24">
        <v>0.57292867292626504</v>
      </c>
      <c r="G529" s="24">
        <v>19.527918366697701</v>
      </c>
      <c r="H529" s="23">
        <v>5.8462439999999997E-2</v>
      </c>
      <c r="I529" s="23">
        <v>5.8462439999999997E-2</v>
      </c>
      <c r="K529">
        <f t="shared" si="16"/>
        <v>5.7292867292626504E-3</v>
      </c>
      <c r="L529">
        <f t="shared" si="17"/>
        <v>2.1046477109232852E-4</v>
      </c>
    </row>
    <row r="530" spans="1:12" ht="15" customHeight="1" x14ac:dyDescent="0.3">
      <c r="A530" s="19">
        <v>45335</v>
      </c>
      <c r="B530" s="20">
        <v>5.8121963127426603E-2</v>
      </c>
      <c r="C530" s="20">
        <v>5.8136830845077002E-2</v>
      </c>
      <c r="D530" s="20">
        <v>5.8129399999999998E-2</v>
      </c>
      <c r="E530" s="21">
        <v>-5.1303000000000405E-4</v>
      </c>
      <c r="F530" s="21">
        <v>-0.87484437462772502</v>
      </c>
      <c r="G530" s="21">
        <v>18.847009770805201</v>
      </c>
      <c r="H530" s="20">
        <v>5.8129399999999998E-2</v>
      </c>
      <c r="I530" s="20">
        <v>5.8129399999999998E-2</v>
      </c>
      <c r="K530">
        <f t="shared" si="16"/>
        <v>-8.7484437462772568E-3</v>
      </c>
      <c r="L530">
        <f t="shared" si="17"/>
        <v>2.5576932929634885E-4</v>
      </c>
    </row>
    <row r="531" spans="1:12" ht="15" customHeight="1" x14ac:dyDescent="0.3">
      <c r="A531" s="22">
        <v>45334</v>
      </c>
      <c r="B531" s="23">
        <v>5.8637269848715798E-2</v>
      </c>
      <c r="C531" s="23">
        <v>5.8647586651809303E-2</v>
      </c>
      <c r="D531" s="23">
        <v>5.8642430000000002E-2</v>
      </c>
      <c r="E531" s="24">
        <v>1.02990000000004E-4</v>
      </c>
      <c r="F531" s="24">
        <v>0.17593267035012</v>
      </c>
      <c r="G531" s="24">
        <v>19.895912415985102</v>
      </c>
      <c r="H531" s="23">
        <v>5.8642430000000002E-2</v>
      </c>
      <c r="I531" s="23">
        <v>5.8642430000000002E-2</v>
      </c>
      <c r="K531">
        <f t="shared" si="16"/>
        <v>1.7593267035012072E-3</v>
      </c>
      <c r="L531">
        <f t="shared" si="17"/>
        <v>1.7592727814152125E-4</v>
      </c>
    </row>
    <row r="532" spans="1:12" ht="15" customHeight="1" x14ac:dyDescent="0.3">
      <c r="A532" s="19">
        <v>45331</v>
      </c>
      <c r="B532" s="20">
        <v>5.8531902813628599E-2</v>
      </c>
      <c r="C532" s="20">
        <v>5.8546981024923402E-2</v>
      </c>
      <c r="D532" s="20">
        <v>5.8539439999999998E-2</v>
      </c>
      <c r="E532" s="21">
        <v>3.4249999999999498E-5</v>
      </c>
      <c r="F532" s="21">
        <v>5.85418148372873E-2</v>
      </c>
      <c r="G532" s="21">
        <v>19.6853467893607</v>
      </c>
      <c r="H532" s="20">
        <v>5.8539439999999998E-2</v>
      </c>
      <c r="I532" s="20">
        <v>5.8539439999999998E-2</v>
      </c>
      <c r="K532">
        <f t="shared" si="16"/>
        <v>5.8541814837287376E-4</v>
      </c>
      <c r="L532">
        <f t="shared" si="17"/>
        <v>2.5757354861616035E-4</v>
      </c>
    </row>
    <row r="533" spans="1:12" ht="15" customHeight="1" x14ac:dyDescent="0.3">
      <c r="A533" s="22">
        <v>45330</v>
      </c>
      <c r="B533" s="23">
        <v>5.8499716276376103E-2</v>
      </c>
      <c r="C533" s="23">
        <v>5.8510669420568803E-2</v>
      </c>
      <c r="D533" s="23">
        <v>5.8505189999999999E-2</v>
      </c>
      <c r="E533" s="24">
        <v>-1.8541999999999799E-4</v>
      </c>
      <c r="F533" s="24">
        <v>-0.31592788011574002</v>
      </c>
      <c r="G533" s="24">
        <v>19.615321809150199</v>
      </c>
      <c r="H533" s="23">
        <v>5.8505189999999999E-2</v>
      </c>
      <c r="I533" s="23">
        <v>5.8505189999999999E-2</v>
      </c>
      <c r="K533">
        <f t="shared" si="16"/>
        <v>-3.1592788011574058E-3</v>
      </c>
      <c r="L533">
        <f t="shared" si="17"/>
        <v>1.872166245883569E-4</v>
      </c>
    </row>
    <row r="534" spans="1:12" ht="15" customHeight="1" x14ac:dyDescent="0.3">
      <c r="A534" s="19">
        <v>45329</v>
      </c>
      <c r="B534" s="20">
        <v>5.8682690953476398E-2</v>
      </c>
      <c r="C534" s="20">
        <v>5.8698536058510699E-2</v>
      </c>
      <c r="D534" s="20">
        <v>5.8690609999999997E-2</v>
      </c>
      <c r="E534" s="21">
        <v>3.95799999999973E-5</v>
      </c>
      <c r="F534" s="21">
        <v>6.7483895849740294E-2</v>
      </c>
      <c r="G534" s="21">
        <v>19.994417629022799</v>
      </c>
      <c r="H534" s="20">
        <v>5.8690609999999997E-2</v>
      </c>
      <c r="I534" s="20">
        <v>5.8690609999999997E-2</v>
      </c>
      <c r="K534">
        <f t="shared" si="16"/>
        <v>6.748389584974035E-4</v>
      </c>
      <c r="L534">
        <f t="shared" si="17"/>
        <v>2.6997683333502827E-4</v>
      </c>
    </row>
    <row r="535" spans="1:12" ht="15" customHeight="1" x14ac:dyDescent="0.3">
      <c r="A535" s="22">
        <v>45328</v>
      </c>
      <c r="B535" s="23">
        <v>5.8645179073054297E-2</v>
      </c>
      <c r="C535" s="23">
        <v>5.8656874879020202E-2</v>
      </c>
      <c r="D535" s="23">
        <v>5.865103E-2</v>
      </c>
      <c r="E535" s="24">
        <v>5.5793999999999896E-4</v>
      </c>
      <c r="F535" s="24">
        <v>0.96042403666254295</v>
      </c>
      <c r="G535" s="24">
        <v>19.9134953307241</v>
      </c>
      <c r="H535" s="23">
        <v>5.865103E-2</v>
      </c>
      <c r="I535" s="23">
        <v>5.865103E-2</v>
      </c>
      <c r="K535">
        <f t="shared" si="16"/>
        <v>9.6042403666254383E-3</v>
      </c>
      <c r="L535">
        <f t="shared" si="17"/>
        <v>1.9941347945473751E-4</v>
      </c>
    </row>
    <row r="536" spans="1:12" ht="15" customHeight="1" x14ac:dyDescent="0.3">
      <c r="A536" s="19">
        <v>45327</v>
      </c>
      <c r="B536" s="20">
        <v>5.8083814944965603E-2</v>
      </c>
      <c r="C536" s="20">
        <v>5.8102376387194198E-2</v>
      </c>
      <c r="D536" s="20">
        <v>5.809309E-2</v>
      </c>
      <c r="E536" s="21">
        <v>-2.53370000000002E-4</v>
      </c>
      <c r="F536" s="21">
        <v>-0.43425085257957602</v>
      </c>
      <c r="G536" s="21">
        <v>18.7727730691572</v>
      </c>
      <c r="H536" s="20">
        <v>5.809309E-2</v>
      </c>
      <c r="I536" s="20">
        <v>5.809309E-2</v>
      </c>
      <c r="K536">
        <f t="shared" si="16"/>
        <v>-4.342508525795763E-3</v>
      </c>
      <c r="L536">
        <f t="shared" si="17"/>
        <v>3.1951204917132645E-4</v>
      </c>
    </row>
    <row r="537" spans="1:12" ht="15" customHeight="1" x14ac:dyDescent="0.3">
      <c r="A537" s="22">
        <v>45324</v>
      </c>
      <c r="B537" s="23">
        <v>5.8341355269682899E-2</v>
      </c>
      <c r="C537" s="23">
        <v>5.83515681983953E-2</v>
      </c>
      <c r="D537" s="23">
        <v>5.8346460000000003E-2</v>
      </c>
      <c r="E537" s="24">
        <v>-7.1579999999994703E-5</v>
      </c>
      <c r="F537" s="24">
        <v>-0.122530642931528</v>
      </c>
      <c r="G537" s="24">
        <v>19.290794360717602</v>
      </c>
      <c r="H537" s="23">
        <v>5.8346460000000003E-2</v>
      </c>
      <c r="I537" s="23">
        <v>5.8346460000000003E-2</v>
      </c>
      <c r="K537">
        <f t="shared" si="16"/>
        <v>-1.2253064293152871E-3</v>
      </c>
      <c r="L537">
        <f t="shared" si="17"/>
        <v>1.7503938906321219E-4</v>
      </c>
    </row>
    <row r="538" spans="1:12" ht="15" customHeight="1" x14ac:dyDescent="0.3">
      <c r="A538" s="19">
        <v>45323</v>
      </c>
      <c r="B538" s="20">
        <v>5.8410532587236101E-2</v>
      </c>
      <c r="C538" s="20">
        <v>5.8425548323770997E-2</v>
      </c>
      <c r="D538" s="20">
        <v>5.8418039999999997E-2</v>
      </c>
      <c r="E538" s="21">
        <v>1.9557499999999601E-4</v>
      </c>
      <c r="F538" s="21">
        <v>0.33590985884914798</v>
      </c>
      <c r="G538" s="21">
        <v>19.4371414580452</v>
      </c>
      <c r="H538" s="20">
        <v>5.8418039999999997E-2</v>
      </c>
      <c r="I538" s="20">
        <v>5.8418039999999997E-2</v>
      </c>
      <c r="K538">
        <f t="shared" si="16"/>
        <v>3.3590985884914826E-3</v>
      </c>
      <c r="L538">
        <f t="shared" si="17"/>
        <v>2.5703937576296195E-4</v>
      </c>
    </row>
    <row r="539" spans="1:12" ht="15" customHeight="1" x14ac:dyDescent="0.3">
      <c r="A539" s="22">
        <v>45322</v>
      </c>
      <c r="B539" s="23">
        <v>5.8217044786372601E-2</v>
      </c>
      <c r="C539" s="23">
        <v>5.8227892324981503E-2</v>
      </c>
      <c r="D539" s="23">
        <v>5.8222465000000001E-2</v>
      </c>
      <c r="E539" s="24">
        <v>5.2493000000000597E-5</v>
      </c>
      <c r="F539" s="24">
        <v>9.0240717324063802E-2</v>
      </c>
      <c r="G539" s="24">
        <v>19.0372834871058</v>
      </c>
      <c r="H539" s="23">
        <v>5.8222465000000001E-2</v>
      </c>
      <c r="I539" s="23">
        <v>5.8222465000000001E-2</v>
      </c>
      <c r="K539">
        <f t="shared" si="16"/>
        <v>9.0240717324063802E-4</v>
      </c>
      <c r="L539">
        <f t="shared" si="17"/>
        <v>1.8631190913854064E-4</v>
      </c>
    </row>
    <row r="540" spans="1:12" ht="15" customHeight="1" x14ac:dyDescent="0.3">
      <c r="A540" s="19">
        <v>45321</v>
      </c>
      <c r="B540" s="20">
        <v>5.8164559170805999E-2</v>
      </c>
      <c r="C540" s="20">
        <v>5.8175387157201497E-2</v>
      </c>
      <c r="D540" s="20">
        <v>5.8169972E-2</v>
      </c>
      <c r="E540" s="21">
        <v>1.75422000000001E-4</v>
      </c>
      <c r="F540" s="21">
        <v>0.30248014684137697</v>
      </c>
      <c r="G540" s="21">
        <v>18.9299602378739</v>
      </c>
      <c r="H540" s="20">
        <v>5.8169972E-2</v>
      </c>
      <c r="I540" s="20">
        <v>5.8169972E-2</v>
      </c>
      <c r="K540">
        <f t="shared" si="16"/>
        <v>3.0248014684137736E-3</v>
      </c>
      <c r="L540">
        <f t="shared" si="17"/>
        <v>1.8614391623736692E-4</v>
      </c>
    </row>
    <row r="541" spans="1:12" ht="15" customHeight="1" x14ac:dyDescent="0.3">
      <c r="A541" s="22">
        <v>45320</v>
      </c>
      <c r="B541" s="23">
        <v>5.7989503899794098E-2</v>
      </c>
      <c r="C541" s="23">
        <v>5.7999594002841999E-2</v>
      </c>
      <c r="D541" s="23">
        <v>5.7994549999999999E-2</v>
      </c>
      <c r="E541" s="24">
        <v>-2.6352999999999701E-4</v>
      </c>
      <c r="F541" s="24">
        <v>-0.45234927069343001</v>
      </c>
      <c r="G541" s="24">
        <v>18.571305578647902</v>
      </c>
      <c r="H541" s="23">
        <v>5.7994549999999999E-2</v>
      </c>
      <c r="I541" s="23">
        <v>5.7994549999999999E-2</v>
      </c>
      <c r="K541">
        <f t="shared" si="16"/>
        <v>-4.5234927069343067E-3</v>
      </c>
      <c r="L541">
        <f t="shared" si="17"/>
        <v>1.7398364239227423E-4</v>
      </c>
    </row>
    <row r="542" spans="1:12" ht="15" customHeight="1" x14ac:dyDescent="0.3">
      <c r="A542" s="19">
        <v>45317</v>
      </c>
      <c r="B542" s="20">
        <v>5.8252992747502397E-2</v>
      </c>
      <c r="C542" s="20">
        <v>5.8263174760392701E-2</v>
      </c>
      <c r="D542" s="20">
        <v>5.8258079999999997E-2</v>
      </c>
      <c r="E542" s="21">
        <v>2.7866000000000002E-4</v>
      </c>
      <c r="F542" s="21">
        <v>0.48061881267524798</v>
      </c>
      <c r="G542" s="21">
        <v>19.110099243899899</v>
      </c>
      <c r="H542" s="20">
        <v>5.8258079999999997E-2</v>
      </c>
      <c r="I542" s="20">
        <v>5.8258079999999997E-2</v>
      </c>
      <c r="K542">
        <f t="shared" si="16"/>
        <v>4.8061881267524864E-3</v>
      </c>
      <c r="L542">
        <f t="shared" si="17"/>
        <v>1.7477426118925218E-4</v>
      </c>
    </row>
    <row r="543" spans="1:12" ht="15" customHeight="1" x14ac:dyDescent="0.3">
      <c r="A543" s="22">
        <v>45316</v>
      </c>
      <c r="B543" s="23">
        <v>5.7973030946003902E-2</v>
      </c>
      <c r="C543" s="23">
        <v>5.7985805074917698E-2</v>
      </c>
      <c r="D543" s="23">
        <v>5.7979419999999997E-2</v>
      </c>
      <c r="E543" s="24">
        <v>-3.0922500000000298E-4</v>
      </c>
      <c r="F543" s="24">
        <v>-0.530506413384634</v>
      </c>
      <c r="G543" s="24">
        <v>18.540371915857001</v>
      </c>
      <c r="H543" s="23">
        <v>5.7979419999999997E-2</v>
      </c>
      <c r="I543" s="23">
        <v>5.7979419999999997E-2</v>
      </c>
      <c r="K543">
        <f t="shared" si="16"/>
        <v>-5.3050641338463489E-3</v>
      </c>
      <c r="L543">
        <f t="shared" si="17"/>
        <v>2.2032177820675722E-4</v>
      </c>
    </row>
    <row r="544" spans="1:12" ht="15" customHeight="1" x14ac:dyDescent="0.3">
      <c r="A544" s="19">
        <v>45315</v>
      </c>
      <c r="B544" s="20">
        <v>5.8282530394339602E-2</v>
      </c>
      <c r="C544" s="20">
        <v>5.8294761632719697E-2</v>
      </c>
      <c r="D544" s="20">
        <v>5.8288645E-2</v>
      </c>
      <c r="E544" s="21">
        <v>6.8163899999999702E-4</v>
      </c>
      <c r="F544" s="21">
        <v>1.1832571198024</v>
      </c>
      <c r="G544" s="21">
        <v>19.172590149597202</v>
      </c>
      <c r="H544" s="20">
        <v>5.8288645E-2</v>
      </c>
      <c r="I544" s="20">
        <v>5.8288645E-2</v>
      </c>
      <c r="K544">
        <f t="shared" si="16"/>
        <v>1.1832571198024056E-2</v>
      </c>
      <c r="L544">
        <f t="shared" si="17"/>
        <v>2.0983912698768135E-4</v>
      </c>
    </row>
    <row r="545" spans="1:12" ht="15" customHeight="1" x14ac:dyDescent="0.3">
      <c r="A545" s="22">
        <v>45314</v>
      </c>
      <c r="B545" s="23">
        <v>5.75993733188183E-2</v>
      </c>
      <c r="C545" s="23">
        <v>5.7614638727407901E-2</v>
      </c>
      <c r="D545" s="23">
        <v>5.7607006000000002E-2</v>
      </c>
      <c r="E545" s="24">
        <v>-7.4115799999999795E-4</v>
      </c>
      <c r="F545" s="24">
        <v>-1.2702336272311701</v>
      </c>
      <c r="G545" s="24">
        <v>17.778962193809601</v>
      </c>
      <c r="H545" s="23">
        <v>5.7607006000000002E-2</v>
      </c>
      <c r="I545" s="23">
        <v>5.7607006000000002E-2</v>
      </c>
      <c r="K545">
        <f t="shared" si="16"/>
        <v>-1.2702336272311765E-2</v>
      </c>
      <c r="L545">
        <f t="shared" si="17"/>
        <v>2.6499222316119105E-4</v>
      </c>
    </row>
    <row r="546" spans="1:12" ht="15" customHeight="1" x14ac:dyDescent="0.3">
      <c r="A546" s="19">
        <v>45313</v>
      </c>
      <c r="B546" s="20">
        <v>5.8341355269682899E-2</v>
      </c>
      <c r="C546" s="20">
        <v>5.83549733025997E-2</v>
      </c>
      <c r="D546" s="20">
        <v>5.8348164000000001E-2</v>
      </c>
      <c r="E546" s="21">
        <v>-4.5995999999999503E-5</v>
      </c>
      <c r="F546" s="21">
        <v>-7.8768150787678001E-2</v>
      </c>
      <c r="G546" s="21">
        <v>19.294278231265899</v>
      </c>
      <c r="H546" s="20">
        <v>5.8348164000000001E-2</v>
      </c>
      <c r="I546" s="20">
        <v>5.8348164000000001E-2</v>
      </c>
      <c r="K546">
        <f t="shared" si="16"/>
        <v>-7.8768150787678071E-4</v>
      </c>
      <c r="L546">
        <f t="shared" si="17"/>
        <v>2.3339265511081365E-4</v>
      </c>
    </row>
    <row r="547" spans="1:12" ht="15" customHeight="1" x14ac:dyDescent="0.3">
      <c r="A547" s="22">
        <v>45310</v>
      </c>
      <c r="B547" s="23">
        <v>5.8387000718160102E-2</v>
      </c>
      <c r="C547" s="23">
        <v>5.8401322205934698E-2</v>
      </c>
      <c r="D547" s="23">
        <v>5.8394160000000001E-2</v>
      </c>
      <c r="E547" s="24">
        <v>2.4448300000000302E-4</v>
      </c>
      <c r="F547" s="24">
        <v>0.42043741704704801</v>
      </c>
      <c r="G547" s="24">
        <v>19.388318201769899</v>
      </c>
      <c r="H547" s="23">
        <v>5.8394160000000001E-2</v>
      </c>
      <c r="I547" s="23">
        <v>5.8394160000000001E-2</v>
      </c>
      <c r="K547">
        <f t="shared" si="16"/>
        <v>4.2043741704704818E-3</v>
      </c>
      <c r="L547">
        <f t="shared" si="17"/>
        <v>2.4525548059251451E-4</v>
      </c>
    </row>
    <row r="548" spans="1:12" ht="15" customHeight="1" x14ac:dyDescent="0.3">
      <c r="A548" s="19">
        <v>45309</v>
      </c>
      <c r="B548" s="20">
        <v>5.8143591413354401E-2</v>
      </c>
      <c r="C548" s="20">
        <v>5.8155764399367302E-2</v>
      </c>
      <c r="D548" s="20">
        <v>5.8149676999999997E-2</v>
      </c>
      <c r="E548" s="21">
        <v>4.6125099999999499E-4</v>
      </c>
      <c r="F548" s="21">
        <v>0.799555529561502</v>
      </c>
      <c r="G548" s="21">
        <v>18.888466603614798</v>
      </c>
      <c r="H548" s="20">
        <v>5.8149676999999997E-2</v>
      </c>
      <c r="I548" s="20">
        <v>5.8149676999999997E-2</v>
      </c>
      <c r="K548">
        <f t="shared" si="16"/>
        <v>7.99555529561502E-3</v>
      </c>
      <c r="L548">
        <f t="shared" si="17"/>
        <v>2.0933884143330782E-4</v>
      </c>
    </row>
    <row r="549" spans="1:12" ht="15" customHeight="1" x14ac:dyDescent="0.3">
      <c r="A549" s="22">
        <v>45308</v>
      </c>
      <c r="B549" s="23">
        <v>5.7682102397268203E-2</v>
      </c>
      <c r="C549" s="23">
        <v>5.7694748623980198E-2</v>
      </c>
      <c r="D549" s="23">
        <v>5.7688426000000001E-2</v>
      </c>
      <c r="E549" s="24">
        <v>-5.4336399999999703E-4</v>
      </c>
      <c r="F549" s="24">
        <v>-0.93310543948588098</v>
      </c>
      <c r="G549" s="24">
        <v>17.945427416838498</v>
      </c>
      <c r="H549" s="23">
        <v>5.7688426000000001E-2</v>
      </c>
      <c r="I549" s="23">
        <v>5.7688426000000001E-2</v>
      </c>
      <c r="K549">
        <f t="shared" si="16"/>
        <v>-9.3310543948588176E-3</v>
      </c>
      <c r="L549">
        <f t="shared" si="17"/>
        <v>2.1921601244579808E-4</v>
      </c>
    </row>
    <row r="550" spans="1:12" ht="15" customHeight="1" x14ac:dyDescent="0.3">
      <c r="A550" s="19">
        <v>45307</v>
      </c>
      <c r="B550" s="20">
        <v>5.82251800613693E-2</v>
      </c>
      <c r="C550" s="20">
        <v>5.8238404733617501E-2</v>
      </c>
      <c r="D550" s="20">
        <v>5.8231789999999999E-2</v>
      </c>
      <c r="E550" s="21">
        <v>-9.5731699999999898E-4</v>
      </c>
      <c r="F550" s="21">
        <v>-1.6173871317234101</v>
      </c>
      <c r="G550" s="21">
        <v>19.056348682447801</v>
      </c>
      <c r="H550" s="20">
        <v>5.8231789999999999E-2</v>
      </c>
      <c r="I550" s="20">
        <v>5.8231789999999999E-2</v>
      </c>
      <c r="K550">
        <f t="shared" si="16"/>
        <v>-1.6173871317234134E-2</v>
      </c>
      <c r="L550">
        <f t="shared" si="17"/>
        <v>2.2710399677222236E-4</v>
      </c>
    </row>
    <row r="551" spans="1:12" ht="15" customHeight="1" x14ac:dyDescent="0.3">
      <c r="A551" s="22">
        <v>45306</v>
      </c>
      <c r="B551" s="23">
        <v>5.9180702356575597E-2</v>
      </c>
      <c r="C551" s="23">
        <v>5.9197518440026999E-2</v>
      </c>
      <c r="D551" s="23">
        <v>5.9189106999999998E-2</v>
      </c>
      <c r="E551" s="24">
        <v>-1.72163000000002E-4</v>
      </c>
      <c r="F551" s="24">
        <v>-0.29002580301937803</v>
      </c>
      <c r="G551" s="24">
        <v>21.0136071928187</v>
      </c>
      <c r="H551" s="23">
        <v>5.9189106999999998E-2</v>
      </c>
      <c r="I551" s="23">
        <v>5.9189106999999998E-2</v>
      </c>
      <c r="K551">
        <f t="shared" si="16"/>
        <v>-2.9002580301937808E-3</v>
      </c>
      <c r="L551">
        <f t="shared" si="17"/>
        <v>2.8410774049017837E-4</v>
      </c>
    </row>
    <row r="552" spans="1:12" ht="15" customHeight="1" x14ac:dyDescent="0.3">
      <c r="A552" s="19">
        <v>45303</v>
      </c>
      <c r="B552" s="20">
        <v>5.9355987535242599E-2</v>
      </c>
      <c r="C552" s="20">
        <v>5.9366558817418098E-2</v>
      </c>
      <c r="D552" s="20">
        <v>5.9361270000000001E-2</v>
      </c>
      <c r="E552" s="21">
        <v>4.3375000000000298E-4</v>
      </c>
      <c r="F552" s="21">
        <v>0.73607373940054399</v>
      </c>
      <c r="G552" s="21">
        <v>21.3655987451687</v>
      </c>
      <c r="H552" s="20">
        <v>5.9361270000000001E-2</v>
      </c>
      <c r="I552" s="20">
        <v>5.9361270000000001E-2</v>
      </c>
      <c r="K552">
        <f t="shared" si="16"/>
        <v>7.3607373940054455E-3</v>
      </c>
      <c r="L552">
        <f t="shared" si="17"/>
        <v>1.7808382764551923E-4</v>
      </c>
    </row>
    <row r="553" spans="1:12" ht="15" customHeight="1" x14ac:dyDescent="0.3">
      <c r="A553" s="22">
        <v>45302</v>
      </c>
      <c r="B553" s="23">
        <v>5.8919533592972098E-2</v>
      </c>
      <c r="C553" s="23">
        <v>5.8935506874826897E-2</v>
      </c>
      <c r="D553" s="23">
        <v>5.8927519999999997E-2</v>
      </c>
      <c r="E553" s="24">
        <v>4.5109999999994003E-5</v>
      </c>
      <c r="F553" s="24">
        <v>7.6610315372604904E-2</v>
      </c>
      <c r="G553" s="24">
        <v>20.478786039582701</v>
      </c>
      <c r="H553" s="23">
        <v>5.8927519999999997E-2</v>
      </c>
      <c r="I553" s="23">
        <v>5.8927519999999997E-2</v>
      </c>
      <c r="K553">
        <f t="shared" si="16"/>
        <v>7.6610315372604987E-4</v>
      </c>
      <c r="L553">
        <f t="shared" si="17"/>
        <v>2.7106658917257855E-4</v>
      </c>
    </row>
    <row r="554" spans="1:12" ht="15" customHeight="1" x14ac:dyDescent="0.3">
      <c r="A554" s="19">
        <v>45301</v>
      </c>
      <c r="B554" s="20">
        <v>5.8875131733107301E-2</v>
      </c>
      <c r="C554" s="20">
        <v>5.8889693714702998E-2</v>
      </c>
      <c r="D554" s="20">
        <v>5.8882410000000003E-2</v>
      </c>
      <c r="E554" s="21">
        <v>-1.05939999999998E-4</v>
      </c>
      <c r="F554" s="21">
        <v>-0.179594784393866</v>
      </c>
      <c r="G554" s="21">
        <v>20.386557518201801</v>
      </c>
      <c r="H554" s="20">
        <v>5.8882410000000003E-2</v>
      </c>
      <c r="I554" s="20">
        <v>5.8882410000000003E-2</v>
      </c>
      <c r="K554">
        <f t="shared" si="16"/>
        <v>-1.7959478439386611E-3</v>
      </c>
      <c r="L554">
        <f t="shared" si="17"/>
        <v>2.473061410987904E-4</v>
      </c>
    </row>
    <row r="555" spans="1:12" ht="15" customHeight="1" x14ac:dyDescent="0.3">
      <c r="A555" s="22">
        <v>45300</v>
      </c>
      <c r="B555" s="23">
        <v>5.89806956183241E-2</v>
      </c>
      <c r="C555" s="23">
        <v>5.8996005970395803E-2</v>
      </c>
      <c r="D555" s="23">
        <v>5.8988350000000002E-2</v>
      </c>
      <c r="E555" s="24">
        <v>-5.5583699999999599E-4</v>
      </c>
      <c r="F555" s="24">
        <v>-0.93348658870763201</v>
      </c>
      <c r="G555" s="24">
        <v>20.603154493486599</v>
      </c>
      <c r="H555" s="23">
        <v>5.8988350000000002E-2</v>
      </c>
      <c r="I555" s="23">
        <v>5.8988350000000002E-2</v>
      </c>
      <c r="K555">
        <f t="shared" si="16"/>
        <v>-9.3348658870763268E-3</v>
      </c>
      <c r="L555">
        <f t="shared" si="17"/>
        <v>2.5954874261956254E-4</v>
      </c>
    </row>
    <row r="556" spans="1:12" ht="15" customHeight="1" x14ac:dyDescent="0.3">
      <c r="A556" s="19">
        <v>45299</v>
      </c>
      <c r="B556" s="20">
        <v>5.9538694197358903E-2</v>
      </c>
      <c r="C556" s="20">
        <v>5.9549685279913299E-2</v>
      </c>
      <c r="D556" s="20">
        <v>5.9544186999999998E-2</v>
      </c>
      <c r="E556" s="21">
        <v>3.04236999999998E-4</v>
      </c>
      <c r="F556" s="21">
        <v>0.51356728018845299</v>
      </c>
      <c r="G556" s="21">
        <v>21.739577119042199</v>
      </c>
      <c r="H556" s="20">
        <v>5.9544186999999998E-2</v>
      </c>
      <c r="I556" s="20">
        <v>5.9544186999999998E-2</v>
      </c>
      <c r="K556">
        <f t="shared" si="16"/>
        <v>5.1356728018845388E-3</v>
      </c>
      <c r="L556">
        <f t="shared" si="17"/>
        <v>1.8458699510660439E-4</v>
      </c>
    </row>
    <row r="557" spans="1:12" ht="15" customHeight="1" x14ac:dyDescent="0.3">
      <c r="A557" s="22">
        <v>45296</v>
      </c>
      <c r="B557" s="23">
        <v>5.9234336960449198E-2</v>
      </c>
      <c r="C557" s="23">
        <v>5.9245566950452903E-2</v>
      </c>
      <c r="D557" s="23">
        <v>5.923995E-2</v>
      </c>
      <c r="E557" s="24">
        <v>5.5794800000000201E-4</v>
      </c>
      <c r="F557" s="24">
        <v>0.95079919052523099</v>
      </c>
      <c r="G557" s="24">
        <v>21.1175569758507</v>
      </c>
      <c r="H557" s="23">
        <v>5.923995E-2</v>
      </c>
      <c r="I557" s="23">
        <v>5.923995E-2</v>
      </c>
      <c r="K557">
        <f t="shared" si="16"/>
        <v>9.507991905252311E-3</v>
      </c>
      <c r="L557">
        <f t="shared" si="17"/>
        <v>1.8956785081191836E-4</v>
      </c>
    </row>
    <row r="558" spans="1:12" ht="15" customHeight="1" x14ac:dyDescent="0.3">
      <c r="A558" s="19">
        <v>45295</v>
      </c>
      <c r="B558" s="20">
        <v>5.8675115883353897E-2</v>
      </c>
      <c r="C558" s="20">
        <v>5.8688890193086402E-2</v>
      </c>
      <c r="D558" s="20">
        <v>5.8682001999999997E-2</v>
      </c>
      <c r="E558" s="21">
        <v>5.1619999999960502E-6</v>
      </c>
      <c r="F558" s="21">
        <v>8.7973380979544605E-3</v>
      </c>
      <c r="G558" s="21">
        <v>19.976818358084099</v>
      </c>
      <c r="H558" s="20">
        <v>5.8682001999999997E-2</v>
      </c>
      <c r="I558" s="20">
        <v>5.8682001999999997E-2</v>
      </c>
      <c r="K558">
        <f t="shared" si="16"/>
        <v>8.7973380979544658E-5</v>
      </c>
      <c r="L558">
        <f t="shared" si="17"/>
        <v>2.3472801307127615E-4</v>
      </c>
    </row>
    <row r="559" spans="1:12" ht="15" customHeight="1" x14ac:dyDescent="0.3">
      <c r="A559" s="22">
        <v>45294</v>
      </c>
      <c r="B559" s="23">
        <v>5.8669263759409097E-2</v>
      </c>
      <c r="C559" s="23">
        <v>5.8684412833107401E-2</v>
      </c>
      <c r="D559" s="23">
        <v>5.8676840000000001E-2</v>
      </c>
      <c r="E559" s="24">
        <v>4.6443999999999598E-5</v>
      </c>
      <c r="F559" s="24">
        <v>7.9214883692757504E-2</v>
      </c>
      <c r="G559" s="24">
        <v>19.966264520190698</v>
      </c>
      <c r="H559" s="23">
        <v>5.8676840000000001E-2</v>
      </c>
      <c r="I559" s="23">
        <v>5.8676840000000001E-2</v>
      </c>
      <c r="K559">
        <f t="shared" si="16"/>
        <v>7.9214883692757532E-4</v>
      </c>
      <c r="L559">
        <f t="shared" si="17"/>
        <v>2.5817807670459804E-4</v>
      </c>
    </row>
    <row r="560" spans="1:12" ht="15" customHeight="1" x14ac:dyDescent="0.3">
      <c r="A560" s="19">
        <v>45293</v>
      </c>
      <c r="B560" s="20">
        <v>5.8623863429847801E-2</v>
      </c>
      <c r="C560" s="20">
        <v>5.86369260177904E-2</v>
      </c>
      <c r="D560" s="20">
        <v>5.8630396000000001E-2</v>
      </c>
      <c r="E560" s="21">
        <v>-4.2065399999999898E-4</v>
      </c>
      <c r="F560" s="21">
        <v>-0.71235651186557503</v>
      </c>
      <c r="G560" s="21">
        <v>19.871308602500299</v>
      </c>
      <c r="H560" s="20">
        <v>5.8630396000000001E-2</v>
      </c>
      <c r="I560" s="20">
        <v>5.8630396000000001E-2</v>
      </c>
      <c r="K560">
        <f t="shared" si="16"/>
        <v>-7.1235651186557503E-3</v>
      </c>
      <c r="L560">
        <f t="shared" si="17"/>
        <v>2.2279549233470244E-4</v>
      </c>
    </row>
    <row r="561" spans="1:12" ht="15" customHeight="1" x14ac:dyDescent="0.3">
      <c r="A561" s="22">
        <v>45292</v>
      </c>
      <c r="B561" s="23">
        <v>5.90447736518602E-2</v>
      </c>
      <c r="C561" s="23">
        <v>5.9057326947267702E-2</v>
      </c>
      <c r="D561" s="23">
        <v>5.9051050000000001E-2</v>
      </c>
      <c r="E561" s="24"/>
      <c r="F561" s="24"/>
      <c r="G561" s="24">
        <v>20.7313462090837</v>
      </c>
      <c r="H561" s="23">
        <v>5.9051050000000001E-2</v>
      </c>
      <c r="I561" s="23">
        <v>5.9051050000000001E-2</v>
      </c>
      <c r="K561">
        <f t="shared" si="16"/>
        <v>0</v>
      </c>
      <c r="L561">
        <f t="shared" si="17"/>
        <v>2.1258377975501698E-4</v>
      </c>
    </row>
    <row r="562" spans="1:12" ht="15" customHeight="1" x14ac:dyDescent="0.3">
      <c r="A562" s="19">
        <v>45289</v>
      </c>
      <c r="B562" s="20">
        <v>5.90447736518602E-2</v>
      </c>
      <c r="C562" s="20">
        <v>5.9057326947267702E-2</v>
      </c>
      <c r="D562" s="20">
        <v>5.9051050000000001E-2</v>
      </c>
      <c r="E562" s="21">
        <v>-2.4510299999999598E-4</v>
      </c>
      <c r="F562" s="21">
        <v>-0.413353965812923</v>
      </c>
      <c r="G562" s="21">
        <v>20.7313462090837</v>
      </c>
      <c r="H562" s="20">
        <v>5.9051050000000001E-2</v>
      </c>
      <c r="I562" s="20">
        <v>5.9051050000000001E-2</v>
      </c>
      <c r="K562">
        <f t="shared" si="16"/>
        <v>-4.1335396581292372E-3</v>
      </c>
      <c r="L562">
        <f t="shared" si="17"/>
        <v>2.1258377975501698E-4</v>
      </c>
    </row>
    <row r="563" spans="1:12" ht="15" customHeight="1" x14ac:dyDescent="0.3">
      <c r="A563" s="22">
        <v>45288</v>
      </c>
      <c r="B563" s="23">
        <v>5.9290529523719201E-2</v>
      </c>
      <c r="C563" s="23">
        <v>5.9301780832478397E-2</v>
      </c>
      <c r="D563" s="23">
        <v>5.9296152999999997E-2</v>
      </c>
      <c r="E563" s="24">
        <v>2.2766699999999301E-4</v>
      </c>
      <c r="F563" s="24">
        <v>0.38542887318966301</v>
      </c>
      <c r="G563" s="24">
        <v>21.2324654127199</v>
      </c>
      <c r="H563" s="23">
        <v>5.9296152999999997E-2</v>
      </c>
      <c r="I563" s="23">
        <v>5.9296152999999997E-2</v>
      </c>
      <c r="K563">
        <f t="shared" si="16"/>
        <v>3.8542887318966379E-3</v>
      </c>
      <c r="L563">
        <f t="shared" si="17"/>
        <v>1.8974770183144277E-4</v>
      </c>
    </row>
    <row r="564" spans="1:12" ht="15" customHeight="1" x14ac:dyDescent="0.3">
      <c r="A564" s="19">
        <v>45287</v>
      </c>
      <c r="B564" s="20">
        <v>5.9060814921124298E-2</v>
      </c>
      <c r="C564" s="20">
        <v>5.90761669019867E-2</v>
      </c>
      <c r="D564" s="20">
        <v>5.9068486000000003E-2</v>
      </c>
      <c r="E564" s="21">
        <v>1.7393600000000601E-4</v>
      </c>
      <c r="F564" s="21">
        <v>0.29533462773720898</v>
      </c>
      <c r="G564" s="21">
        <v>20.766994546454502</v>
      </c>
      <c r="H564" s="20">
        <v>5.9068486000000003E-2</v>
      </c>
      <c r="I564" s="20">
        <v>5.9068486000000003E-2</v>
      </c>
      <c r="K564">
        <f t="shared" si="16"/>
        <v>2.9533462773720931E-3</v>
      </c>
      <c r="L564">
        <f t="shared" si="17"/>
        <v>2.5990137723187908E-4</v>
      </c>
    </row>
    <row r="565" spans="1:12" ht="15" customHeight="1" x14ac:dyDescent="0.3">
      <c r="A565" s="22">
        <v>45286</v>
      </c>
      <c r="B565" s="23">
        <v>5.8888306548968601E-2</v>
      </c>
      <c r="C565" s="23">
        <v>5.8900793393687E-2</v>
      </c>
      <c r="D565" s="23">
        <v>5.8894549999999997E-2</v>
      </c>
      <c r="E565" s="24">
        <v>-4.1584000000004202E-5</v>
      </c>
      <c r="F565" s="24">
        <v>-7.0557732884213298E-2</v>
      </c>
      <c r="G565" s="24">
        <v>20.411378051333401</v>
      </c>
      <c r="H565" s="23">
        <v>5.8894549999999997E-2</v>
      </c>
      <c r="I565" s="23">
        <v>5.8894549999999997E-2</v>
      </c>
      <c r="K565">
        <f t="shared" si="16"/>
        <v>-7.0557732884213298E-4</v>
      </c>
      <c r="L565">
        <f t="shared" si="17"/>
        <v>2.1202037741010755E-4</v>
      </c>
    </row>
    <row r="566" spans="1:12" ht="15" customHeight="1" x14ac:dyDescent="0.3">
      <c r="A566" s="19">
        <v>45285</v>
      </c>
      <c r="B566" s="20">
        <v>5.8929602696618601E-2</v>
      </c>
      <c r="C566" s="20">
        <v>5.89428019050314E-2</v>
      </c>
      <c r="D566" s="20">
        <v>5.8936134000000001E-2</v>
      </c>
      <c r="E566" s="21">
        <v>-6.5999999999954904E-8</v>
      </c>
      <c r="F566" s="21">
        <v>-1.11985502970757E-4</v>
      </c>
      <c r="G566" s="21">
        <v>20.496397577671299</v>
      </c>
      <c r="H566" s="20">
        <v>5.8936134000000001E-2</v>
      </c>
      <c r="I566" s="20">
        <v>5.8936134000000001E-2</v>
      </c>
      <c r="K566">
        <f t="shared" si="16"/>
        <v>-1.1198550297075727E-6</v>
      </c>
      <c r="L566">
        <f t="shared" si="17"/>
        <v>2.2395782547934631E-4</v>
      </c>
    </row>
    <row r="567" spans="1:12" ht="15" customHeight="1" x14ac:dyDescent="0.3">
      <c r="A567" s="22">
        <v>45282</v>
      </c>
      <c r="B567" s="23">
        <v>5.8929602696618601E-2</v>
      </c>
      <c r="C567" s="23">
        <v>5.89428019050314E-2</v>
      </c>
      <c r="D567" s="23">
        <v>5.8936200000000001E-2</v>
      </c>
      <c r="E567" s="24">
        <v>2.66250000000002E-4</v>
      </c>
      <c r="F567" s="24">
        <v>0.45380982939307002</v>
      </c>
      <c r="G567" s="24">
        <v>20.496532516319299</v>
      </c>
      <c r="H567" s="23">
        <v>5.8936200000000001E-2</v>
      </c>
      <c r="I567" s="23">
        <v>5.8936200000000001E-2</v>
      </c>
      <c r="K567">
        <f t="shared" si="16"/>
        <v>4.5380982939307035E-3</v>
      </c>
      <c r="L567">
        <f t="shared" si="17"/>
        <v>2.23957574679049E-4</v>
      </c>
    </row>
    <row r="568" spans="1:12" ht="15" customHeight="1" x14ac:dyDescent="0.3">
      <c r="A568" s="19">
        <v>45281</v>
      </c>
      <c r="B568" s="20">
        <v>5.8663756944322201E-2</v>
      </c>
      <c r="C568" s="20">
        <v>5.86761487323018E-2</v>
      </c>
      <c r="D568" s="20">
        <v>5.8669949999999998E-2</v>
      </c>
      <c r="E568" s="21">
        <v>6.1890000000001903E-5</v>
      </c>
      <c r="F568" s="21">
        <v>0.10559980999200699</v>
      </c>
      <c r="G568" s="21">
        <v>19.9521777431498</v>
      </c>
      <c r="H568" s="20">
        <v>5.8669949999999998E-2</v>
      </c>
      <c r="I568" s="20">
        <v>5.8669949999999998E-2</v>
      </c>
      <c r="K568">
        <f t="shared" si="16"/>
        <v>1.0559980999200747E-3</v>
      </c>
      <c r="L568">
        <f t="shared" si="17"/>
        <v>2.1121183808063112E-4</v>
      </c>
    </row>
    <row r="569" spans="1:12" ht="15" customHeight="1" x14ac:dyDescent="0.3">
      <c r="A569" s="22">
        <v>45280</v>
      </c>
      <c r="B569" s="23">
        <v>5.8601876432083401E-2</v>
      </c>
      <c r="C569" s="23">
        <v>5.8614242088542698E-2</v>
      </c>
      <c r="D569" s="23">
        <v>5.8608059999999997E-2</v>
      </c>
      <c r="E569" s="24">
        <v>-5.5010000000001101E-5</v>
      </c>
      <c r="F569" s="24">
        <v>-9.3772794366198106E-2</v>
      </c>
      <c r="G569" s="24">
        <v>19.8256420927782</v>
      </c>
      <c r="H569" s="23">
        <v>5.8608059999999997E-2</v>
      </c>
      <c r="I569" s="23">
        <v>5.8608059999999997E-2</v>
      </c>
      <c r="K569">
        <f t="shared" si="16"/>
        <v>-9.377279436619812E-4</v>
      </c>
      <c r="L569">
        <f t="shared" si="17"/>
        <v>2.1098900832576504E-4</v>
      </c>
    </row>
    <row r="570" spans="1:12" ht="15" customHeight="1" x14ac:dyDescent="0.3">
      <c r="A570" s="19">
        <v>45279</v>
      </c>
      <c r="B570" s="20">
        <v>5.8657563012887097E-2</v>
      </c>
      <c r="C570" s="20">
        <v>5.8668575350984797E-2</v>
      </c>
      <c r="D570" s="20">
        <v>5.8663069999999998E-2</v>
      </c>
      <c r="E570" s="21">
        <v>6.8028999999999995E-4</v>
      </c>
      <c r="F570" s="21">
        <v>1.1732621305842801</v>
      </c>
      <c r="G570" s="21">
        <v>19.938111411358602</v>
      </c>
      <c r="H570" s="20">
        <v>5.8663069999999998E-2</v>
      </c>
      <c r="I570" s="20">
        <v>5.8663069999999998E-2</v>
      </c>
      <c r="K570">
        <f t="shared" si="16"/>
        <v>1.173262130584285E-2</v>
      </c>
      <c r="L570">
        <f t="shared" si="17"/>
        <v>1.8772181711083921E-4</v>
      </c>
    </row>
    <row r="571" spans="1:12" ht="15" customHeight="1" x14ac:dyDescent="0.3">
      <c r="A571" s="22">
        <v>45278</v>
      </c>
      <c r="B571" s="23">
        <v>5.7977736549165097E-2</v>
      </c>
      <c r="C571" s="23">
        <v>5.7987822557263001E-2</v>
      </c>
      <c r="D571" s="23">
        <v>5.7982779999999998E-2</v>
      </c>
      <c r="E571" s="24">
        <v>-1.8719200000000201E-4</v>
      </c>
      <c r="F571" s="24">
        <v>-0.32180177085181499</v>
      </c>
      <c r="G571" s="24">
        <v>18.547241519755101</v>
      </c>
      <c r="H571" s="23">
        <v>5.7982779999999998E-2</v>
      </c>
      <c r="I571" s="23">
        <v>5.7982779999999998E-2</v>
      </c>
      <c r="K571">
        <f t="shared" si="16"/>
        <v>-3.2180177085181505E-3</v>
      </c>
      <c r="L571">
        <f t="shared" si="17"/>
        <v>1.7394833600430543E-4</v>
      </c>
    </row>
    <row r="572" spans="1:12" ht="15" customHeight="1" x14ac:dyDescent="0.3">
      <c r="A572" s="19">
        <v>45275</v>
      </c>
      <c r="B572" s="20">
        <v>5.8163205955912303E-2</v>
      </c>
      <c r="C572" s="20">
        <v>5.8176740938972599E-2</v>
      </c>
      <c r="D572" s="20">
        <v>5.8169972E-2</v>
      </c>
      <c r="E572" s="21">
        <v>2.8871700000000002E-4</v>
      </c>
      <c r="F572" s="21">
        <v>0.49880915678142101</v>
      </c>
      <c r="G572" s="21">
        <v>18.9299602378739</v>
      </c>
      <c r="H572" s="20">
        <v>5.8169972E-2</v>
      </c>
      <c r="I572" s="20">
        <v>5.8169972E-2</v>
      </c>
      <c r="K572">
        <f t="shared" si="16"/>
        <v>4.9880915678142124E-3</v>
      </c>
      <c r="L572">
        <f t="shared" si="17"/>
        <v>2.3267989642999031E-4</v>
      </c>
    </row>
    <row r="573" spans="1:12" ht="15" customHeight="1" x14ac:dyDescent="0.3">
      <c r="A573" s="22">
        <v>45274</v>
      </c>
      <c r="B573" s="23">
        <v>5.7874724371625198E-2</v>
      </c>
      <c r="C573" s="23">
        <v>5.78877903072684E-2</v>
      </c>
      <c r="D573" s="23">
        <v>5.7881255E-2</v>
      </c>
      <c r="E573" s="24">
        <v>5.0232199999999895E-4</v>
      </c>
      <c r="F573" s="24">
        <v>0.87544674279669199</v>
      </c>
      <c r="G573" s="24">
        <v>18.3396711222113</v>
      </c>
      <c r="H573" s="23">
        <v>5.7881255E-2</v>
      </c>
      <c r="I573" s="23">
        <v>5.7881255E-2</v>
      </c>
      <c r="K573">
        <f t="shared" si="16"/>
        <v>8.7544674279669277E-3</v>
      </c>
      <c r="L573">
        <f t="shared" si="17"/>
        <v>2.2573690987179546E-4</v>
      </c>
    </row>
    <row r="574" spans="1:12" ht="15" customHeight="1" x14ac:dyDescent="0.3">
      <c r="A574" s="19">
        <v>45273</v>
      </c>
      <c r="B574" s="20">
        <v>5.7372675689476099E-2</v>
      </c>
      <c r="C574" s="20">
        <v>5.7385186587934199E-2</v>
      </c>
      <c r="D574" s="20">
        <v>5.7378933E-2</v>
      </c>
      <c r="E574" s="21">
        <v>-3.5945300000000198E-4</v>
      </c>
      <c r="F574" s="21">
        <v>-0.62255463808773503</v>
      </c>
      <c r="G574" s="21">
        <v>17.312661250406499</v>
      </c>
      <c r="H574" s="20">
        <v>5.7378933E-2</v>
      </c>
      <c r="I574" s="20">
        <v>5.7378933E-2</v>
      </c>
      <c r="K574">
        <f t="shared" si="16"/>
        <v>-6.2255463808773559E-3</v>
      </c>
      <c r="L574">
        <f t="shared" si="17"/>
        <v>2.1803992866336298E-4</v>
      </c>
    </row>
    <row r="575" spans="1:12" ht="15" customHeight="1" x14ac:dyDescent="0.3">
      <c r="A575" s="22">
        <v>45272</v>
      </c>
      <c r="B575" s="23">
        <v>5.7729054455817101E-2</v>
      </c>
      <c r="C575" s="23">
        <v>5.77477232960091E-2</v>
      </c>
      <c r="D575" s="23">
        <v>5.7738386000000003E-2</v>
      </c>
      <c r="E575" s="24">
        <v>4.3015200000000298E-4</v>
      </c>
      <c r="F575" s="24">
        <v>0.75059371049543899</v>
      </c>
      <c r="G575" s="24">
        <v>18.047571884322299</v>
      </c>
      <c r="H575" s="23">
        <v>5.7738386000000003E-2</v>
      </c>
      <c r="I575" s="23">
        <v>5.7738386000000003E-2</v>
      </c>
      <c r="K575">
        <f t="shared" si="16"/>
        <v>7.5059371049543966E-3</v>
      </c>
      <c r="L575">
        <f t="shared" si="17"/>
        <v>3.2333498535963177E-4</v>
      </c>
    </row>
    <row r="576" spans="1:12" ht="15" customHeight="1" x14ac:dyDescent="0.3">
      <c r="A576" s="19">
        <v>45271</v>
      </c>
      <c r="B576" s="20">
        <v>5.7302321317036602E-2</v>
      </c>
      <c r="C576" s="20">
        <v>5.7314144557735397E-2</v>
      </c>
      <c r="D576" s="20">
        <v>5.7308234E-2</v>
      </c>
      <c r="E576" s="21">
        <v>-3.3364100000000198E-4</v>
      </c>
      <c r="F576" s="21">
        <v>-0.578817049237212</v>
      </c>
      <c r="G576" s="21">
        <v>17.168115379577198</v>
      </c>
      <c r="H576" s="20">
        <v>5.7308234E-2</v>
      </c>
      <c r="I576" s="20">
        <v>5.7308234E-2</v>
      </c>
      <c r="K576">
        <f t="shared" si="16"/>
        <v>-5.7881704923721244E-3</v>
      </c>
      <c r="L576">
        <f t="shared" si="17"/>
        <v>2.0630963255289478E-4</v>
      </c>
    </row>
    <row r="577" spans="1:12" ht="15" customHeight="1" x14ac:dyDescent="0.3">
      <c r="A577" s="22">
        <v>45268</v>
      </c>
      <c r="B577" s="23">
        <v>5.7634230121953997E-2</v>
      </c>
      <c r="C577" s="23">
        <v>5.7649514014596899E-2</v>
      </c>
      <c r="D577" s="23">
        <v>5.7641875000000002E-2</v>
      </c>
      <c r="E577" s="24">
        <v>2.9749100000000302E-4</v>
      </c>
      <c r="F577" s="24">
        <v>0.51877965939961501</v>
      </c>
      <c r="G577" s="24">
        <v>17.850252734976301</v>
      </c>
      <c r="H577" s="23">
        <v>5.7641875000000002E-2</v>
      </c>
      <c r="I577" s="23">
        <v>5.7641875000000002E-2</v>
      </c>
      <c r="K577">
        <f t="shared" si="16"/>
        <v>5.1877965939961523E-3</v>
      </c>
      <c r="L577">
        <f t="shared" si="17"/>
        <v>2.6515259336900334E-4</v>
      </c>
    </row>
    <row r="578" spans="1:12" ht="15" customHeight="1" x14ac:dyDescent="0.3">
      <c r="A578" s="19">
        <v>45267</v>
      </c>
      <c r="B578" s="20">
        <v>5.7337148164924599E-2</v>
      </c>
      <c r="C578" s="20">
        <v>5.7351617028842103E-2</v>
      </c>
      <c r="D578" s="20">
        <v>5.7344383999999998E-2</v>
      </c>
      <c r="E578" s="21">
        <v>-5.6285100000000299E-4</v>
      </c>
      <c r="F578" s="21">
        <v>-0.97198735183954199</v>
      </c>
      <c r="G578" s="21">
        <v>17.242024957230001</v>
      </c>
      <c r="H578" s="20">
        <v>5.7344383999999998E-2</v>
      </c>
      <c r="I578" s="20">
        <v>5.7344383999999998E-2</v>
      </c>
      <c r="K578">
        <f t="shared" si="16"/>
        <v>-9.7198735183954277E-3</v>
      </c>
      <c r="L578">
        <f t="shared" si="17"/>
        <v>2.5231527323588701E-4</v>
      </c>
    </row>
    <row r="579" spans="1:12" ht="15" customHeight="1" x14ac:dyDescent="0.3">
      <c r="A579" s="22">
        <v>45266</v>
      </c>
      <c r="B579" s="23">
        <v>5.7901532653569301E-2</v>
      </c>
      <c r="C579" s="23">
        <v>5.7912933695482199E-2</v>
      </c>
      <c r="D579" s="23">
        <v>5.7907235000000001E-2</v>
      </c>
      <c r="E579" s="24">
        <v>6.92455000000001E-4</v>
      </c>
      <c r="F579" s="24">
        <v>1.2102729399641099</v>
      </c>
      <c r="G579" s="24">
        <v>18.3927878809228</v>
      </c>
      <c r="H579" s="23">
        <v>5.7907235000000001E-2</v>
      </c>
      <c r="I579" s="23">
        <v>5.7907235000000001E-2</v>
      </c>
      <c r="K579">
        <f t="shared" si="16"/>
        <v>1.2102729399641188E-2</v>
      </c>
      <c r="L579">
        <f t="shared" si="17"/>
        <v>1.968845846792361E-4</v>
      </c>
    </row>
    <row r="580" spans="1:12" ht="15" customHeight="1" x14ac:dyDescent="0.3">
      <c r="A580" s="19">
        <v>45265</v>
      </c>
      <c r="B580" s="20">
        <v>5.7207256168372397E-2</v>
      </c>
      <c r="C580" s="20">
        <v>5.7222314413728798E-2</v>
      </c>
      <c r="D580" s="20">
        <v>5.721478E-2</v>
      </c>
      <c r="E580" s="21">
        <v>-2.26770000000001E-4</v>
      </c>
      <c r="F580" s="21">
        <v>-0.394783915127638</v>
      </c>
      <c r="G580" s="21">
        <v>16.9770463430634</v>
      </c>
      <c r="H580" s="20">
        <v>5.721478E-2</v>
      </c>
      <c r="I580" s="20">
        <v>5.721478E-2</v>
      </c>
      <c r="K580">
        <f t="shared" si="16"/>
        <v>-3.9478391512763888E-3</v>
      </c>
      <c r="L580">
        <f t="shared" si="17"/>
        <v>2.631880321203754E-4</v>
      </c>
    </row>
    <row r="581" spans="1:12" ht="15" customHeight="1" x14ac:dyDescent="0.3">
      <c r="A581" s="22">
        <v>45264</v>
      </c>
      <c r="B581" s="23">
        <v>5.7433965298398199E-2</v>
      </c>
      <c r="C581" s="23">
        <v>5.7449143146030002E-2</v>
      </c>
      <c r="D581" s="23">
        <v>5.7441550000000001E-2</v>
      </c>
      <c r="E581" s="24">
        <v>-4.2212500000000198E-4</v>
      </c>
      <c r="F581" s="24">
        <v>-0.72951640212965896</v>
      </c>
      <c r="G581" s="24">
        <v>17.440683270431101</v>
      </c>
      <c r="H581" s="23">
        <v>5.7441550000000001E-2</v>
      </c>
      <c r="I581" s="23">
        <v>5.7441550000000001E-2</v>
      </c>
      <c r="K581">
        <f t="shared" ref="K581:K644" si="18">D581/D582-1</f>
        <v>-7.2951640212965962E-3</v>
      </c>
      <c r="L581">
        <f t="shared" ref="L581:L644" si="19">(C581-B581)/D581</f>
        <v>2.6423116423221845E-4</v>
      </c>
    </row>
    <row r="582" spans="1:12" ht="15" customHeight="1" x14ac:dyDescent="0.3">
      <c r="A582" s="19">
        <v>45261</v>
      </c>
      <c r="B582" s="20">
        <v>5.7854969163301399E-2</v>
      </c>
      <c r="C582" s="20">
        <v>5.7872379828003299E-2</v>
      </c>
      <c r="D582" s="20">
        <v>5.7863675000000003E-2</v>
      </c>
      <c r="E582" s="21">
        <v>2.9812500000000298E-4</v>
      </c>
      <c r="F582" s="21">
        <v>0.51788786869926196</v>
      </c>
      <c r="G582" s="21">
        <v>18.303728373244802</v>
      </c>
      <c r="H582" s="20">
        <v>5.7863675000000003E-2</v>
      </c>
      <c r="I582" s="20">
        <v>5.7863675000000003E-2</v>
      </c>
      <c r="K582">
        <f t="shared" si="18"/>
        <v>5.1788786869926273E-3</v>
      </c>
      <c r="L582">
        <f t="shared" si="19"/>
        <v>3.0089109794530184E-4</v>
      </c>
    </row>
    <row r="583" spans="1:12" ht="15" customHeight="1" x14ac:dyDescent="0.3">
      <c r="A583" s="22">
        <v>45260</v>
      </c>
      <c r="B583" s="23">
        <v>5.7559588564060897E-2</v>
      </c>
      <c r="C583" s="23">
        <v>5.7571518218506902E-2</v>
      </c>
      <c r="D583" s="23">
        <v>5.756555E-2</v>
      </c>
      <c r="E583" s="24">
        <v>-6.0611299999999797E-4</v>
      </c>
      <c r="F583" s="24">
        <v>-1.0419385809891599</v>
      </c>
      <c r="G583" s="24">
        <v>17.694204366667801</v>
      </c>
      <c r="H583" s="23">
        <v>5.756555E-2</v>
      </c>
      <c r="I583" s="23">
        <v>5.756555E-2</v>
      </c>
      <c r="K583">
        <f t="shared" si="18"/>
        <v>-1.0419385809891657E-2</v>
      </c>
      <c r="L583">
        <f t="shared" si="19"/>
        <v>2.0723600219237258E-4</v>
      </c>
    </row>
    <row r="584" spans="1:12" ht="15" customHeight="1" x14ac:dyDescent="0.3">
      <c r="A584" s="19">
        <v>45259</v>
      </c>
      <c r="B584" s="20">
        <v>5.8164559170805999E-2</v>
      </c>
      <c r="C584" s="20">
        <v>5.8178771729771199E-2</v>
      </c>
      <c r="D584" s="20">
        <v>5.8171662999999998E-2</v>
      </c>
      <c r="E584" s="21">
        <v>-1.10182999999999E-4</v>
      </c>
      <c r="F584" s="21">
        <v>-0.18905200772123501</v>
      </c>
      <c r="G584" s="21">
        <v>18.933417529597602</v>
      </c>
      <c r="H584" s="20">
        <v>5.8171662999999998E-2</v>
      </c>
      <c r="I584" s="20">
        <v>5.8171662999999998E-2</v>
      </c>
      <c r="K584">
        <f t="shared" si="18"/>
        <v>-1.8905200772123543E-3</v>
      </c>
      <c r="L584">
        <f t="shared" si="19"/>
        <v>2.4432100153643659E-4</v>
      </c>
    </row>
    <row r="585" spans="1:12" ht="15" customHeight="1" x14ac:dyDescent="0.3">
      <c r="A585" s="22">
        <v>45258</v>
      </c>
      <c r="B585" s="23">
        <v>5.82750582750583E-2</v>
      </c>
      <c r="C585" s="23">
        <v>5.8288645371881602E-2</v>
      </c>
      <c r="D585" s="23">
        <v>5.8281845999999998E-2</v>
      </c>
      <c r="E585" s="24">
        <v>-4.9301000000001499E-5</v>
      </c>
      <c r="F585" s="24">
        <v>-8.45191677784074E-2</v>
      </c>
      <c r="G585" s="24">
        <v>19.1586894243286</v>
      </c>
      <c r="H585" s="23">
        <v>5.8281845999999998E-2</v>
      </c>
      <c r="I585" s="23">
        <v>5.8281845999999998E-2</v>
      </c>
      <c r="K585">
        <f t="shared" si="18"/>
        <v>-8.45191677784074E-4</v>
      </c>
      <c r="L585">
        <f t="shared" si="19"/>
        <v>2.3312742742056904E-4</v>
      </c>
    </row>
    <row r="586" spans="1:12" ht="15" customHeight="1" x14ac:dyDescent="0.3">
      <c r="A586" s="19">
        <v>45257</v>
      </c>
      <c r="B586" s="20">
        <v>5.8324341663993501E-2</v>
      </c>
      <c r="C586" s="20">
        <v>5.8337951754513902E-2</v>
      </c>
      <c r="D586" s="20">
        <v>5.8331147E-2</v>
      </c>
      <c r="E586" s="21">
        <v>-5.9602999999998298E-5</v>
      </c>
      <c r="F586" s="21">
        <v>-0.102076099382175</v>
      </c>
      <c r="G586" s="21">
        <v>19.2594865498573</v>
      </c>
      <c r="H586" s="20">
        <v>5.8331147E-2</v>
      </c>
      <c r="I586" s="20">
        <v>5.8331147E-2</v>
      </c>
      <c r="K586">
        <f t="shared" si="18"/>
        <v>-1.0207609938217566E-3</v>
      </c>
      <c r="L586">
        <f t="shared" si="19"/>
        <v>2.3332458249793902E-4</v>
      </c>
    </row>
    <row r="587" spans="1:12" ht="15" customHeight="1" x14ac:dyDescent="0.3">
      <c r="A587" s="22">
        <v>45254</v>
      </c>
      <c r="B587" s="23">
        <v>5.8383932741709499E-2</v>
      </c>
      <c r="C587" s="23">
        <v>5.8397570661060501E-2</v>
      </c>
      <c r="D587" s="23">
        <v>5.8390749999999998E-2</v>
      </c>
      <c r="E587" s="24">
        <v>1.5980599999999799E-4</v>
      </c>
      <c r="F587" s="24">
        <v>0.27443484343994101</v>
      </c>
      <c r="G587" s="24">
        <v>19.381346371623401</v>
      </c>
      <c r="H587" s="23">
        <v>5.8390749999999998E-2</v>
      </c>
      <c r="I587" s="23">
        <v>5.8390749999999998E-2</v>
      </c>
      <c r="K587">
        <f t="shared" si="18"/>
        <v>2.7443484343994129E-3</v>
      </c>
      <c r="L587">
        <f t="shared" si="19"/>
        <v>2.3356301042548602E-4</v>
      </c>
    </row>
    <row r="588" spans="1:12" ht="15" customHeight="1" x14ac:dyDescent="0.3">
      <c r="A588" s="19">
        <v>45253</v>
      </c>
      <c r="B588" s="20">
        <v>5.8221112139684103E-2</v>
      </c>
      <c r="C588" s="20">
        <v>5.8240779028660303E-2</v>
      </c>
      <c r="D588" s="20">
        <v>5.8230944E-2</v>
      </c>
      <c r="E588" s="21">
        <v>-2.54100000000173E-6</v>
      </c>
      <c r="F588" s="21">
        <v>-4.3634688873583896E-3</v>
      </c>
      <c r="G588" s="21">
        <v>19.0546190143234</v>
      </c>
      <c r="H588" s="20">
        <v>5.8230944E-2</v>
      </c>
      <c r="I588" s="20">
        <v>5.8230944E-2</v>
      </c>
      <c r="K588">
        <f t="shared" si="18"/>
        <v>-4.3634688873583904E-5</v>
      </c>
      <c r="L588">
        <f t="shared" si="19"/>
        <v>3.3773948394516366E-4</v>
      </c>
    </row>
    <row r="589" spans="1:12" ht="15" customHeight="1" x14ac:dyDescent="0.3">
      <c r="A589" s="22">
        <v>45252</v>
      </c>
      <c r="B589" s="23">
        <v>5.8227214235389298E-2</v>
      </c>
      <c r="C589" s="23">
        <v>5.8239761449937102E-2</v>
      </c>
      <c r="D589" s="23">
        <v>5.8233485000000001E-2</v>
      </c>
      <c r="E589" s="24">
        <v>1.58102E-4</v>
      </c>
      <c r="F589" s="24">
        <v>0.27223582838877802</v>
      </c>
      <c r="G589" s="24">
        <v>19.059814152271301</v>
      </c>
      <c r="H589" s="23">
        <v>5.8233485000000001E-2</v>
      </c>
      <c r="I589" s="23">
        <v>5.8233485000000001E-2</v>
      </c>
      <c r="K589">
        <f t="shared" si="18"/>
        <v>2.7223582838877824E-3</v>
      </c>
      <c r="L589">
        <f t="shared" si="19"/>
        <v>2.154639130356834E-4</v>
      </c>
    </row>
    <row r="590" spans="1:12" ht="15" customHeight="1" x14ac:dyDescent="0.3">
      <c r="A590" s="19">
        <v>45251</v>
      </c>
      <c r="B590" s="20">
        <v>5.8066614019603301E-2</v>
      </c>
      <c r="C590" s="20">
        <v>5.8084152319880997E-2</v>
      </c>
      <c r="D590" s="20">
        <v>5.8075383000000001E-2</v>
      </c>
      <c r="E590" s="21">
        <v>-1.9967699999999501E-4</v>
      </c>
      <c r="F590" s="21">
        <v>-0.342645721857681</v>
      </c>
      <c r="G590" s="21">
        <v>18.736570665519601</v>
      </c>
      <c r="H590" s="20">
        <v>5.8075383000000001E-2</v>
      </c>
      <c r="I590" s="20">
        <v>5.8075383000000001E-2</v>
      </c>
      <c r="K590">
        <f t="shared" si="18"/>
        <v>-3.4264572185768172E-3</v>
      </c>
      <c r="L590">
        <f t="shared" si="19"/>
        <v>3.0199198647895336E-4</v>
      </c>
    </row>
    <row r="591" spans="1:12" ht="15" customHeight="1" x14ac:dyDescent="0.3">
      <c r="A591" s="22">
        <v>45250</v>
      </c>
      <c r="B591" s="23">
        <v>5.8268267101736403E-2</v>
      </c>
      <c r="C591" s="23">
        <v>5.8281851031588797E-2</v>
      </c>
      <c r="D591" s="23">
        <v>5.8275059999999997E-2</v>
      </c>
      <c r="E591" s="24">
        <v>1.79432999999999E-4</v>
      </c>
      <c r="F591" s="24">
        <v>0.30885801439064497</v>
      </c>
      <c r="G591" s="24">
        <v>19.144815277884501</v>
      </c>
      <c r="H591" s="23">
        <v>5.8275059999999997E-2</v>
      </c>
      <c r="I591" s="23">
        <v>5.8275059999999997E-2</v>
      </c>
      <c r="K591">
        <f t="shared" si="18"/>
        <v>3.0885801439064497E-3</v>
      </c>
      <c r="L591">
        <f t="shared" si="19"/>
        <v>2.3310022936731494E-4</v>
      </c>
    </row>
    <row r="592" spans="1:12" ht="15" customHeight="1" x14ac:dyDescent="0.3">
      <c r="A592" s="19">
        <v>45247</v>
      </c>
      <c r="B592" s="20">
        <v>5.8090563188010098E-2</v>
      </c>
      <c r="C592" s="20">
        <v>5.8100688493158602E-2</v>
      </c>
      <c r="D592" s="20">
        <v>5.8095626999999997E-2</v>
      </c>
      <c r="E592" s="21">
        <v>1.4812899999999601E-4</v>
      </c>
      <c r="F592" s="21">
        <v>0.25562622220547299</v>
      </c>
      <c r="G592" s="21">
        <v>18.7779600290052</v>
      </c>
      <c r="H592" s="20">
        <v>5.8095626999999997E-2</v>
      </c>
      <c r="I592" s="20">
        <v>5.8095626999999997E-2</v>
      </c>
      <c r="K592">
        <f t="shared" si="18"/>
        <v>2.5562622220547393E-3</v>
      </c>
      <c r="L592">
        <f t="shared" si="19"/>
        <v>1.742868727194115E-4</v>
      </c>
    </row>
    <row r="593" spans="1:12" ht="15" customHeight="1" x14ac:dyDescent="0.3">
      <c r="A593" s="22">
        <v>45246</v>
      </c>
      <c r="B593" s="23">
        <v>5.7942463134107801E-2</v>
      </c>
      <c r="C593" s="23">
        <v>5.7952536872301598E-2</v>
      </c>
      <c r="D593" s="23">
        <v>5.7947498E-2</v>
      </c>
      <c r="E593" s="24">
        <v>1.72418E-4</v>
      </c>
      <c r="F593" s="24">
        <v>0.29842970360232002</v>
      </c>
      <c r="G593" s="24">
        <v>18.475106589775901</v>
      </c>
      <c r="H593" s="23">
        <v>5.7947498E-2</v>
      </c>
      <c r="I593" s="23">
        <v>5.7947498E-2</v>
      </c>
      <c r="K593">
        <f t="shared" si="18"/>
        <v>2.9842970360232091E-3</v>
      </c>
      <c r="L593">
        <f t="shared" si="19"/>
        <v>1.7384250470653777E-4</v>
      </c>
    </row>
    <row r="594" spans="1:12" ht="15" customHeight="1" x14ac:dyDescent="0.3">
      <c r="A594" s="19">
        <v>45245</v>
      </c>
      <c r="B594" s="20">
        <v>5.7769407632494101E-2</v>
      </c>
      <c r="C594" s="20">
        <v>5.7780756696789698E-2</v>
      </c>
      <c r="D594" s="20">
        <v>5.7775079999999999E-2</v>
      </c>
      <c r="E594" s="21">
        <v>2.6250199999999698E-4</v>
      </c>
      <c r="F594" s="21">
        <v>0.45642537533268002</v>
      </c>
      <c r="G594" s="21">
        <v>18.122593683558598</v>
      </c>
      <c r="H594" s="20">
        <v>5.7775079999999999E-2</v>
      </c>
      <c r="I594" s="20">
        <v>5.7775079999999999E-2</v>
      </c>
      <c r="K594">
        <f t="shared" si="18"/>
        <v>4.5642537533268079E-3</v>
      </c>
      <c r="L594">
        <f t="shared" si="19"/>
        <v>1.9643528482517721E-4</v>
      </c>
    </row>
    <row r="595" spans="1:12" ht="15" customHeight="1" x14ac:dyDescent="0.3">
      <c r="A595" s="22">
        <v>45244</v>
      </c>
      <c r="B595" s="23">
        <v>5.75059662439978E-2</v>
      </c>
      <c r="C595" s="23">
        <v>5.7519197032009403E-2</v>
      </c>
      <c r="D595" s="23">
        <v>5.7512578000000002E-2</v>
      </c>
      <c r="E595" s="24">
        <v>7.1940599999999796E-4</v>
      </c>
      <c r="F595" s="24">
        <v>1.26671213222604</v>
      </c>
      <c r="G595" s="24">
        <v>17.585901789975399</v>
      </c>
      <c r="H595" s="23">
        <v>5.7512578000000002E-2</v>
      </c>
      <c r="I595" s="23">
        <v>5.7512578000000002E-2</v>
      </c>
      <c r="K595">
        <f t="shared" si="18"/>
        <v>1.2667121322260444E-2</v>
      </c>
      <c r="L595">
        <f t="shared" si="19"/>
        <v>2.3005033806002191E-4</v>
      </c>
    </row>
    <row r="596" spans="1:12" ht="15" customHeight="1" x14ac:dyDescent="0.3">
      <c r="A596" s="19">
        <v>45243</v>
      </c>
      <c r="B596" s="20">
        <v>5.6786562027961701E-2</v>
      </c>
      <c r="C596" s="20">
        <v>5.6799786432803E-2</v>
      </c>
      <c r="D596" s="20">
        <v>5.6793172000000003E-2</v>
      </c>
      <c r="E596" s="21">
        <v>5.5969500000000501E-4</v>
      </c>
      <c r="F596" s="21">
        <v>0.99530569664045798</v>
      </c>
      <c r="G596" s="21">
        <v>16.115058259659001</v>
      </c>
      <c r="H596" s="20">
        <v>5.6793172000000003E-2</v>
      </c>
      <c r="I596" s="20">
        <v>5.6793172000000003E-2</v>
      </c>
      <c r="K596">
        <f t="shared" si="18"/>
        <v>9.9530569664045832E-3</v>
      </c>
      <c r="L596">
        <f t="shared" si="19"/>
        <v>2.3285202033263E-4</v>
      </c>
    </row>
    <row r="597" spans="1:12" ht="15" customHeight="1" x14ac:dyDescent="0.3">
      <c r="A597" s="22">
        <v>45240</v>
      </c>
      <c r="B597" s="23">
        <v>5.6225577014984103E-2</v>
      </c>
      <c r="C597" s="23">
        <v>5.6241388037456798E-2</v>
      </c>
      <c r="D597" s="23">
        <v>5.6233476999999997E-2</v>
      </c>
      <c r="E597" s="24">
        <v>-9.5349500000000505E-4</v>
      </c>
      <c r="F597" s="24">
        <v>-1.66732905529602</v>
      </c>
      <c r="G597" s="24">
        <v>14.9707478567704</v>
      </c>
      <c r="H597" s="23">
        <v>5.6233476999999997E-2</v>
      </c>
      <c r="I597" s="23">
        <v>5.6233476999999997E-2</v>
      </c>
      <c r="K597">
        <f t="shared" si="18"/>
        <v>-1.6673290552960296E-2</v>
      </c>
      <c r="L597">
        <f t="shared" si="19"/>
        <v>2.8116743470610643E-4</v>
      </c>
    </row>
    <row r="598" spans="1:12" ht="15" customHeight="1" x14ac:dyDescent="0.3">
      <c r="A598" s="19">
        <v>45239</v>
      </c>
      <c r="B598" s="20">
        <v>5.71820677035682E-2</v>
      </c>
      <c r="C598" s="20">
        <v>5.7191878753216997E-2</v>
      </c>
      <c r="D598" s="20">
        <v>5.7186972000000003E-2</v>
      </c>
      <c r="E598" s="21">
        <v>-1.9632999999998001E-5</v>
      </c>
      <c r="F598" s="21">
        <v>-3.4319463635357199E-2</v>
      </c>
      <c r="G598" s="21">
        <v>16.9201921927074</v>
      </c>
      <c r="H598" s="20">
        <v>5.7186972000000003E-2</v>
      </c>
      <c r="I598" s="20">
        <v>5.7186972000000003E-2</v>
      </c>
      <c r="K598">
        <f t="shared" si="18"/>
        <v>-3.4319463635357206E-4</v>
      </c>
      <c r="L598">
        <f t="shared" si="19"/>
        <v>1.7156092210647943E-4</v>
      </c>
    </row>
    <row r="599" spans="1:12" ht="15" customHeight="1" x14ac:dyDescent="0.3">
      <c r="A599" s="22">
        <v>45238</v>
      </c>
      <c r="B599" s="23">
        <v>5.72016931701178E-2</v>
      </c>
      <c r="C599" s="23">
        <v>5.7211510956004401E-2</v>
      </c>
      <c r="D599" s="23">
        <v>5.7206605000000001E-2</v>
      </c>
      <c r="E599" s="24">
        <v>1.2571800000000301E-4</v>
      </c>
      <c r="F599" s="24">
        <v>0.22024535112779001</v>
      </c>
      <c r="G599" s="24">
        <v>16.960332351436499</v>
      </c>
      <c r="H599" s="23">
        <v>5.7206605000000001E-2</v>
      </c>
      <c r="I599" s="23">
        <v>5.7206605000000001E-2</v>
      </c>
      <c r="K599">
        <f t="shared" si="18"/>
        <v>2.202453511277902E-3</v>
      </c>
      <c r="L599">
        <f t="shared" si="19"/>
        <v>1.7161979611621933E-4</v>
      </c>
    </row>
    <row r="600" spans="1:12" ht="15" customHeight="1" x14ac:dyDescent="0.3">
      <c r="A600" s="19">
        <v>45237</v>
      </c>
      <c r="B600" s="20">
        <v>5.7074367901375503E-2</v>
      </c>
      <c r="C600" s="20">
        <v>5.7087400810641099E-2</v>
      </c>
      <c r="D600" s="20">
        <v>5.7080886999999997E-2</v>
      </c>
      <c r="E600" s="21">
        <v>8.7836999999993298E-5</v>
      </c>
      <c r="F600" s="21">
        <v>0.15411879167721501</v>
      </c>
      <c r="G600" s="21">
        <v>16.703298761302001</v>
      </c>
      <c r="H600" s="20">
        <v>5.7080886999999997E-2</v>
      </c>
      <c r="I600" s="20">
        <v>5.7080886999999997E-2</v>
      </c>
      <c r="K600">
        <f t="shared" si="18"/>
        <v>1.5411879167721576E-3</v>
      </c>
      <c r="L600">
        <f t="shared" si="19"/>
        <v>2.2832352387229846E-4</v>
      </c>
    </row>
    <row r="601" spans="1:12" ht="15" customHeight="1" x14ac:dyDescent="0.3">
      <c r="A601" s="22">
        <v>45236</v>
      </c>
      <c r="B601" s="23">
        <v>5.6987200674728497E-2</v>
      </c>
      <c r="C601" s="23">
        <v>5.6998894221452101E-2</v>
      </c>
      <c r="D601" s="23">
        <v>5.6993050000000003E-2</v>
      </c>
      <c r="E601" s="24">
        <v>-5.6090999999999704E-4</v>
      </c>
      <c r="F601" s="24">
        <v>-0.97458107139803896</v>
      </c>
      <c r="G601" s="24">
        <v>16.523713821542799</v>
      </c>
      <c r="H601" s="23">
        <v>5.6993050000000003E-2</v>
      </c>
      <c r="I601" s="23">
        <v>5.6993050000000003E-2</v>
      </c>
      <c r="K601">
        <f t="shared" si="18"/>
        <v>-9.7458107139803962E-3</v>
      </c>
      <c r="L601">
        <f t="shared" si="19"/>
        <v>2.0517495946618068E-4</v>
      </c>
    </row>
    <row r="602" spans="1:12" ht="15" customHeight="1" x14ac:dyDescent="0.3">
      <c r="A602" s="19">
        <v>45233</v>
      </c>
      <c r="B602" s="20">
        <v>5.7547001513486101E-2</v>
      </c>
      <c r="C602" s="20">
        <v>5.7560913837068101E-2</v>
      </c>
      <c r="D602" s="20">
        <v>5.7553960000000001E-2</v>
      </c>
      <c r="E602" s="21">
        <v>7.2528599999999795E-4</v>
      </c>
      <c r="F602" s="21">
        <v>1.27626768134692</v>
      </c>
      <c r="G602" s="21">
        <v>17.670508322269502</v>
      </c>
      <c r="H602" s="20">
        <v>5.7553960000000001E-2</v>
      </c>
      <c r="I602" s="20">
        <v>5.7553960000000001E-2</v>
      </c>
      <c r="K602">
        <f t="shared" si="18"/>
        <v>1.2762676813469209E-2</v>
      </c>
      <c r="L602">
        <f t="shared" si="19"/>
        <v>2.4172660894227507E-4</v>
      </c>
    </row>
    <row r="603" spans="1:12" ht="15" customHeight="1" x14ac:dyDescent="0.3">
      <c r="A603" s="22">
        <v>45232</v>
      </c>
      <c r="B603" s="23">
        <v>5.68210874419715E-2</v>
      </c>
      <c r="C603" s="23">
        <v>5.6836266084663301E-2</v>
      </c>
      <c r="D603" s="23">
        <v>5.6828674000000003E-2</v>
      </c>
      <c r="E603" s="24">
        <v>1.127674E-3</v>
      </c>
      <c r="F603" s="24">
        <v>2.0245130249007999</v>
      </c>
      <c r="G603" s="24">
        <v>16.1876429851315</v>
      </c>
      <c r="H603" s="23">
        <v>5.6828674000000003E-2</v>
      </c>
      <c r="I603" s="23">
        <v>5.6828674000000003E-2</v>
      </c>
      <c r="K603">
        <f t="shared" si="18"/>
        <v>2.0245130249008092E-2</v>
      </c>
      <c r="L603">
        <f t="shared" si="19"/>
        <v>2.6709478901091715E-4</v>
      </c>
    </row>
    <row r="604" spans="1:12" ht="15" customHeight="1" x14ac:dyDescent="0.3">
      <c r="A604" s="19">
        <v>45231</v>
      </c>
      <c r="B604" s="20">
        <v>5.5692311119526799E-2</v>
      </c>
      <c r="C604" s="20">
        <v>5.57096856859534E-2</v>
      </c>
      <c r="D604" s="20">
        <v>5.5701000000000001E-2</v>
      </c>
      <c r="E604" s="21">
        <v>3.0854500000000002E-4</v>
      </c>
      <c r="F604" s="21">
        <v>0.55701629400610697</v>
      </c>
      <c r="G604" s="21">
        <v>13.882085334505801</v>
      </c>
      <c r="H604" s="20">
        <v>5.5701000000000001E-2</v>
      </c>
      <c r="I604" s="20">
        <v>5.5701000000000001E-2</v>
      </c>
      <c r="K604">
        <f t="shared" si="18"/>
        <v>5.5701629400610742E-3</v>
      </c>
      <c r="L604">
        <f t="shared" si="19"/>
        <v>3.1192557452470554E-4</v>
      </c>
    </row>
    <row r="605" spans="1:12" ht="15" customHeight="1" x14ac:dyDescent="0.3">
      <c r="A605" s="22">
        <v>45230</v>
      </c>
      <c r="B605" s="23">
        <v>5.5387239887674702E-2</v>
      </c>
      <c r="C605" s="23">
        <v>5.5397672189814597E-2</v>
      </c>
      <c r="D605" s="23">
        <v>5.5392455E-2</v>
      </c>
      <c r="E605" s="24">
        <v>-7.9888999999999601E-5</v>
      </c>
      <c r="F605" s="24">
        <v>-0.144015908179395</v>
      </c>
      <c r="G605" s="24">
        <v>13.251257377745</v>
      </c>
      <c r="H605" s="23">
        <v>5.5392455E-2</v>
      </c>
      <c r="I605" s="23">
        <v>5.5392455E-2</v>
      </c>
      <c r="K605">
        <f t="shared" si="18"/>
        <v>-1.4401590817939569E-3</v>
      </c>
      <c r="L605">
        <f t="shared" si="19"/>
        <v>1.8833435239319429E-4</v>
      </c>
    </row>
    <row r="606" spans="1:12" ht="15" customHeight="1" x14ac:dyDescent="0.3">
      <c r="A606" s="19">
        <v>45229</v>
      </c>
      <c r="B606" s="20">
        <v>5.5465885706995899E-2</v>
      </c>
      <c r="C606" s="20">
        <v>5.5478809868570698E-2</v>
      </c>
      <c r="D606" s="20">
        <v>5.5472344E-2</v>
      </c>
      <c r="E606" s="21">
        <v>1.45777999999999E-4</v>
      </c>
      <c r="F606" s="21">
        <v>0.26348644157672102</v>
      </c>
      <c r="G606" s="21">
        <v>13.414592433045399</v>
      </c>
      <c r="H606" s="20">
        <v>5.5472344E-2</v>
      </c>
      <c r="I606" s="20">
        <v>5.5472344E-2</v>
      </c>
      <c r="K606">
        <f t="shared" si="18"/>
        <v>2.634864415767213E-3</v>
      </c>
      <c r="L606">
        <f t="shared" si="19"/>
        <v>2.3298387345592684E-4</v>
      </c>
    </row>
    <row r="607" spans="1:12" ht="15" customHeight="1" x14ac:dyDescent="0.3">
      <c r="A607" s="22">
        <v>45226</v>
      </c>
      <c r="B607" s="23">
        <v>5.5317689490745399E-2</v>
      </c>
      <c r="C607" s="23">
        <v>5.5335443458243899E-2</v>
      </c>
      <c r="D607" s="23">
        <v>5.5326566000000001E-2</v>
      </c>
      <c r="E607" s="24">
        <v>3.7999799999999901E-4</v>
      </c>
      <c r="F607" s="24">
        <v>0.69157731562050595</v>
      </c>
      <c r="G607" s="24">
        <v>13.116545672019701</v>
      </c>
      <c r="H607" s="23">
        <v>5.5326566000000001E-2</v>
      </c>
      <c r="I607" s="23">
        <v>5.5326566000000001E-2</v>
      </c>
      <c r="K607">
        <f t="shared" si="18"/>
        <v>6.9157731562050628E-3</v>
      </c>
      <c r="L607">
        <f t="shared" si="19"/>
        <v>3.2089408004285462E-4</v>
      </c>
    </row>
    <row r="608" spans="1:12" ht="15" customHeight="1" x14ac:dyDescent="0.3">
      <c r="A608" s="19">
        <v>45225</v>
      </c>
      <c r="B608" s="20">
        <v>5.4940526879652798E-2</v>
      </c>
      <c r="C608" s="20">
        <v>5.4952603379585102E-2</v>
      </c>
      <c r="D608" s="20">
        <v>5.4946568000000001E-2</v>
      </c>
      <c r="E608" s="21">
        <v>3.8077799999999801E-4</v>
      </c>
      <c r="F608" s="21">
        <v>0.69783283628808102</v>
      </c>
      <c r="G608" s="21">
        <v>12.339630272602401</v>
      </c>
      <c r="H608" s="20">
        <v>5.4946568000000001E-2</v>
      </c>
      <c r="I608" s="20">
        <v>5.4946568000000001E-2</v>
      </c>
      <c r="K608">
        <f t="shared" si="18"/>
        <v>6.9783283628808146E-3</v>
      </c>
      <c r="L608">
        <f t="shared" si="19"/>
        <v>2.197862463821879E-4</v>
      </c>
    </row>
    <row r="609" spans="1:12" ht="15" customHeight="1" x14ac:dyDescent="0.3">
      <c r="A609" s="22">
        <v>45224</v>
      </c>
      <c r="B609" s="23">
        <v>5.4559540826904403E-2</v>
      </c>
      <c r="C609" s="23">
        <v>5.45720460151492E-2</v>
      </c>
      <c r="D609" s="23">
        <v>5.4565790000000003E-2</v>
      </c>
      <c r="E609" s="24">
        <v>-2.5425999999999899E-4</v>
      </c>
      <c r="F609" s="24">
        <v>-0.46380840586609501</v>
      </c>
      <c r="G609" s="24">
        <v>11.5611201437088</v>
      </c>
      <c r="H609" s="23">
        <v>5.4565790000000003E-2</v>
      </c>
      <c r="I609" s="23">
        <v>5.4565790000000003E-2</v>
      </c>
      <c r="K609">
        <f t="shared" si="18"/>
        <v>-4.6380840586609517E-3</v>
      </c>
      <c r="L609">
        <f t="shared" si="19"/>
        <v>2.2917634372741018E-4</v>
      </c>
    </row>
    <row r="610" spans="1:12" ht="15" customHeight="1" x14ac:dyDescent="0.3">
      <c r="A610" s="19">
        <v>45223</v>
      </c>
      <c r="B610" s="20">
        <v>5.4811339369888801E-2</v>
      </c>
      <c r="C610" s="20">
        <v>5.4828769752064299E-2</v>
      </c>
      <c r="D610" s="20">
        <v>5.4820050000000002E-2</v>
      </c>
      <c r="E610" s="21">
        <v>-3.0902000000000002E-4</v>
      </c>
      <c r="F610" s="21">
        <v>-0.56053911303056703</v>
      </c>
      <c r="G610" s="21">
        <v>12.0809610624922</v>
      </c>
      <c r="H610" s="20">
        <v>5.4820050000000002E-2</v>
      </c>
      <c r="I610" s="20">
        <v>5.4820050000000002E-2</v>
      </c>
      <c r="K610">
        <f t="shared" si="18"/>
        <v>-5.6053911303056703E-3</v>
      </c>
      <c r="L610">
        <f t="shared" si="19"/>
        <v>3.1795633487197503E-4</v>
      </c>
    </row>
    <row r="611" spans="1:12" ht="15" customHeight="1" x14ac:dyDescent="0.3">
      <c r="A611" s="22">
        <v>45222</v>
      </c>
      <c r="B611" s="23">
        <v>5.5121625867476598E-2</v>
      </c>
      <c r="C611" s="23">
        <v>5.5136518018614099E-2</v>
      </c>
      <c r="D611" s="23">
        <v>5.5129070000000002E-2</v>
      </c>
      <c r="E611" s="24">
        <v>4.5288699999999899E-4</v>
      </c>
      <c r="F611" s="24">
        <v>0.82830763808072705</v>
      </c>
      <c r="G611" s="24">
        <v>12.712760168613601</v>
      </c>
      <c r="H611" s="23">
        <v>5.5129070000000002E-2</v>
      </c>
      <c r="I611" s="23">
        <v>5.5129070000000002E-2</v>
      </c>
      <c r="K611">
        <f t="shared" si="18"/>
        <v>8.2830763808072749E-3</v>
      </c>
      <c r="L611">
        <f t="shared" si="19"/>
        <v>2.7013245711383861E-4</v>
      </c>
    </row>
    <row r="612" spans="1:12" ht="15" customHeight="1" x14ac:dyDescent="0.3">
      <c r="A612" s="19">
        <v>45219</v>
      </c>
      <c r="B612" s="20">
        <v>5.4667213338800098E-2</v>
      </c>
      <c r="C612" s="20">
        <v>5.4685150247450298E-2</v>
      </c>
      <c r="D612" s="20">
        <v>5.4676183000000003E-2</v>
      </c>
      <c r="E612" s="21">
        <v>1.8324000000000099E-4</v>
      </c>
      <c r="F612" s="21">
        <v>0.33626372501114299</v>
      </c>
      <c r="G612" s="21">
        <v>11.7868213886834</v>
      </c>
      <c r="H612" s="20">
        <v>5.4676183000000003E-2</v>
      </c>
      <c r="I612" s="20">
        <v>5.4676183000000003E-2</v>
      </c>
      <c r="K612">
        <f t="shared" si="18"/>
        <v>3.3626372501114332E-3</v>
      </c>
      <c r="L612">
        <f t="shared" si="19"/>
        <v>3.2805707469008705E-4</v>
      </c>
    </row>
    <row r="613" spans="1:12" ht="15" customHeight="1" x14ac:dyDescent="0.3">
      <c r="A613" s="22">
        <v>45218</v>
      </c>
      <c r="B613" s="23">
        <v>5.4484036177399997E-2</v>
      </c>
      <c r="C613" s="23">
        <v>5.4501853063004098E-2</v>
      </c>
      <c r="D613" s="23">
        <v>5.4492943000000002E-2</v>
      </c>
      <c r="E613" s="24">
        <v>-1.86976999999997E-4</v>
      </c>
      <c r="F613" s="24">
        <v>-0.34194819597395099</v>
      </c>
      <c r="G613" s="24">
        <v>11.412182633244701</v>
      </c>
      <c r="H613" s="23">
        <v>5.4492943000000002E-2</v>
      </c>
      <c r="I613" s="23">
        <v>5.4492943000000002E-2</v>
      </c>
      <c r="K613">
        <f t="shared" si="18"/>
        <v>-3.4194819597395121E-3</v>
      </c>
      <c r="L613">
        <f t="shared" si="19"/>
        <v>3.26957668704016E-4</v>
      </c>
    </row>
    <row r="614" spans="1:12" ht="15" customHeight="1" x14ac:dyDescent="0.3">
      <c r="A614" s="19">
        <v>45217</v>
      </c>
      <c r="B614" s="20">
        <v>5.46713975649359E-2</v>
      </c>
      <c r="C614" s="20">
        <v>5.4688439957561799E-2</v>
      </c>
      <c r="D614" s="20">
        <v>5.467992E-2</v>
      </c>
      <c r="E614" s="21">
        <v>-1.07697999999999E-3</v>
      </c>
      <c r="F614" s="21">
        <v>-1.9315636271026499</v>
      </c>
      <c r="G614" s="21">
        <v>11.794461778495</v>
      </c>
      <c r="H614" s="20">
        <v>5.467992E-2</v>
      </c>
      <c r="I614" s="20">
        <v>5.467992E-2</v>
      </c>
      <c r="K614">
        <f t="shared" si="18"/>
        <v>-1.9315636271026504E-2</v>
      </c>
      <c r="L614">
        <f t="shared" si="19"/>
        <v>3.1167552231054662E-4</v>
      </c>
    </row>
    <row r="615" spans="1:12" ht="15" customHeight="1" x14ac:dyDescent="0.3">
      <c r="A615" s="22">
        <v>45216</v>
      </c>
      <c r="B615" s="23">
        <v>5.5749439718130803E-2</v>
      </c>
      <c r="C615" s="23">
        <v>5.5764362111461803E-2</v>
      </c>
      <c r="D615" s="23">
        <v>5.5756899999999998E-2</v>
      </c>
      <c r="E615" s="24">
        <v>1.3799999999999899E-4</v>
      </c>
      <c r="F615" s="24">
        <v>0.24811709688612399</v>
      </c>
      <c r="G615" s="24">
        <v>13.996374280309301</v>
      </c>
      <c r="H615" s="23">
        <v>5.5756899999999998E-2</v>
      </c>
      <c r="I615" s="23">
        <v>5.5756899999999998E-2</v>
      </c>
      <c r="K615">
        <f t="shared" si="18"/>
        <v>2.481170968861246E-3</v>
      </c>
      <c r="L615">
        <f t="shared" si="19"/>
        <v>2.6763312399004E-4</v>
      </c>
    </row>
    <row r="616" spans="1:12" ht="15" customHeight="1" x14ac:dyDescent="0.3">
      <c r="A616" s="19">
        <v>45215</v>
      </c>
      <c r="B616" s="20">
        <v>5.5611785249530102E-2</v>
      </c>
      <c r="C616" s="20">
        <v>5.5626015174776902E-2</v>
      </c>
      <c r="D616" s="20">
        <v>5.5618899999999999E-2</v>
      </c>
      <c r="E616" s="21">
        <v>-3.7142000000003799E-5</v>
      </c>
      <c r="F616" s="21">
        <v>-6.6734892862130302E-2</v>
      </c>
      <c r="G616" s="21">
        <v>13.7142298344975</v>
      </c>
      <c r="H616" s="20">
        <v>5.5618899999999999E-2</v>
      </c>
      <c r="I616" s="20">
        <v>5.5618899999999999E-2</v>
      </c>
      <c r="K616">
        <f t="shared" si="18"/>
        <v>-6.6734892862130302E-4</v>
      </c>
      <c r="L616">
        <f t="shared" si="19"/>
        <v>2.5584693776396756E-4</v>
      </c>
    </row>
    <row r="617" spans="1:12" ht="15" customHeight="1" x14ac:dyDescent="0.3">
      <c r="A617" s="22">
        <v>45212</v>
      </c>
      <c r="B617" s="23">
        <v>5.5648612401849797E-2</v>
      </c>
      <c r="C617" s="23">
        <v>5.5663480860112101E-2</v>
      </c>
      <c r="D617" s="23">
        <v>5.5656042000000003E-2</v>
      </c>
      <c r="E617" s="24">
        <v>-5.2712999999995902E-5</v>
      </c>
      <c r="F617" s="24">
        <v>-9.4622470022886998E-2</v>
      </c>
      <c r="G617" s="24">
        <v>13.790167580920301</v>
      </c>
      <c r="H617" s="23">
        <v>5.5656042000000003E-2</v>
      </c>
      <c r="I617" s="23">
        <v>5.5656042000000003E-2</v>
      </c>
      <c r="K617">
        <f t="shared" si="18"/>
        <v>-9.462247002288704E-4</v>
      </c>
      <c r="L617">
        <f t="shared" si="19"/>
        <v>2.671490412901499E-4</v>
      </c>
    </row>
    <row r="618" spans="1:12" ht="15" customHeight="1" x14ac:dyDescent="0.3">
      <c r="A618" s="19">
        <v>45211</v>
      </c>
      <c r="B618" s="20">
        <v>5.57000662830789E-2</v>
      </c>
      <c r="C618" s="20">
        <v>5.5717445689419803E-2</v>
      </c>
      <c r="D618" s="20">
        <v>5.5708754999999999E-2</v>
      </c>
      <c r="E618" s="21">
        <v>-3.2777700000000099E-4</v>
      </c>
      <c r="F618" s="21">
        <v>-0.58493448523901903</v>
      </c>
      <c r="G618" s="21">
        <v>13.897940625645401</v>
      </c>
      <c r="H618" s="20">
        <v>5.5708754999999999E-2</v>
      </c>
      <c r="I618" s="20">
        <v>5.5708754999999999E-2</v>
      </c>
      <c r="K618">
        <f t="shared" si="18"/>
        <v>-5.8493448523901925E-3</v>
      </c>
      <c r="L618">
        <f t="shared" si="19"/>
        <v>3.1196903145480978E-4</v>
      </c>
    </row>
    <row r="619" spans="1:12" ht="15" customHeight="1" x14ac:dyDescent="0.3">
      <c r="A619" s="22">
        <v>45210</v>
      </c>
      <c r="B619" s="23">
        <v>5.6029314537366003E-2</v>
      </c>
      <c r="C619" s="23">
        <v>5.6043758967001402E-2</v>
      </c>
      <c r="D619" s="23">
        <v>5.6036532E-2</v>
      </c>
      <c r="E619" s="24">
        <v>6.1491499999999995E-4</v>
      </c>
      <c r="F619" s="24">
        <v>1.1095219397875</v>
      </c>
      <c r="G619" s="24">
        <v>14.568088886622601</v>
      </c>
      <c r="H619" s="23">
        <v>5.6036532E-2</v>
      </c>
      <c r="I619" s="23">
        <v>5.6036532E-2</v>
      </c>
      <c r="K619">
        <f t="shared" si="18"/>
        <v>1.1095219397875056E-2</v>
      </c>
      <c r="L619">
        <f t="shared" si="19"/>
        <v>2.5776808663675058E-4</v>
      </c>
    </row>
    <row r="620" spans="1:12" ht="15" customHeight="1" x14ac:dyDescent="0.3">
      <c r="A620" s="19">
        <v>45209</v>
      </c>
      <c r="B620" s="20">
        <v>5.5412406837890997E-2</v>
      </c>
      <c r="C620" s="20">
        <v>5.5430836174163702E-2</v>
      </c>
      <c r="D620" s="20">
        <v>5.5421616999999999E-2</v>
      </c>
      <c r="E620" s="21">
        <v>8.6400999999999796E-4</v>
      </c>
      <c r="F620" s="21">
        <v>1.5836655005781299</v>
      </c>
      <c r="G620" s="21">
        <v>13.310879814909899</v>
      </c>
      <c r="H620" s="20">
        <v>5.5421616999999999E-2</v>
      </c>
      <c r="I620" s="20">
        <v>5.5421616999999999E-2</v>
      </c>
      <c r="K620">
        <f t="shared" si="18"/>
        <v>1.5836655005781353E-2</v>
      </c>
      <c r="L620">
        <f t="shared" si="19"/>
        <v>3.3252974688025591E-4</v>
      </c>
    </row>
    <row r="621" spans="1:12" ht="15" customHeight="1" x14ac:dyDescent="0.3">
      <c r="A621" s="22">
        <v>45208</v>
      </c>
      <c r="B621" s="23">
        <v>5.4550909636418198E-2</v>
      </c>
      <c r="C621" s="23">
        <v>5.4564304032302099E-2</v>
      </c>
      <c r="D621" s="23">
        <v>5.4557607000000001E-2</v>
      </c>
      <c r="E621" s="24">
        <v>-4.4660000000015798E-6</v>
      </c>
      <c r="F621" s="24">
        <v>-8.1851728764070694E-3</v>
      </c>
      <c r="G621" s="24">
        <v>11.5443897958822</v>
      </c>
      <c r="H621" s="23">
        <v>5.4557607000000001E-2</v>
      </c>
      <c r="I621" s="23">
        <v>5.4557607000000001E-2</v>
      </c>
      <c r="K621">
        <f t="shared" si="18"/>
        <v>-8.1851728764070764E-5</v>
      </c>
      <c r="L621">
        <f t="shared" si="19"/>
        <v>2.4550922631012676E-4</v>
      </c>
    </row>
    <row r="622" spans="1:12" ht="15" customHeight="1" x14ac:dyDescent="0.3">
      <c r="A622" s="19">
        <v>45205</v>
      </c>
      <c r="B622" s="20">
        <v>5.4553885600501902E-2</v>
      </c>
      <c r="C622" s="20">
        <v>5.4570259208731202E-2</v>
      </c>
      <c r="D622" s="20">
        <v>5.4562073000000003E-2</v>
      </c>
      <c r="E622" s="21">
        <v>-3.4828499999999598E-4</v>
      </c>
      <c r="F622" s="21">
        <v>-0.63427923744367998</v>
      </c>
      <c r="G622" s="21">
        <v>11.553520644396601</v>
      </c>
      <c r="H622" s="20">
        <v>5.4562073000000003E-2</v>
      </c>
      <c r="I622" s="20">
        <v>5.4562073000000003E-2</v>
      </c>
      <c r="K622">
        <f t="shared" si="18"/>
        <v>-6.3427923744368009E-3</v>
      </c>
      <c r="L622">
        <f t="shared" si="19"/>
        <v>3.0009138819377958E-4</v>
      </c>
    </row>
    <row r="623" spans="1:12" ht="15" customHeight="1" x14ac:dyDescent="0.3">
      <c r="A623" s="22">
        <v>45204</v>
      </c>
      <c r="B623" s="23">
        <v>5.4902219147697898E-2</v>
      </c>
      <c r="C623" s="23">
        <v>5.49185009445982E-2</v>
      </c>
      <c r="D623" s="23">
        <v>5.4910357999999999E-2</v>
      </c>
      <c r="E623" s="24">
        <v>-3.2758E-4</v>
      </c>
      <c r="F623" s="24">
        <v>-0.59303444672391603</v>
      </c>
      <c r="G623" s="24">
        <v>12.2655980234514</v>
      </c>
      <c r="H623" s="23">
        <v>5.4910357999999999E-2</v>
      </c>
      <c r="I623" s="23">
        <v>5.4910357999999999E-2</v>
      </c>
      <c r="K623">
        <f t="shared" si="18"/>
        <v>-5.9303444672391681E-3</v>
      </c>
      <c r="L623">
        <f t="shared" si="19"/>
        <v>2.9651594878151452E-4</v>
      </c>
    </row>
    <row r="624" spans="1:12" ht="15" customHeight="1" x14ac:dyDescent="0.3">
      <c r="A624" s="19">
        <v>45203</v>
      </c>
      <c r="B624" s="20">
        <v>5.5231225525663202E-2</v>
      </c>
      <c r="C624" s="20">
        <v>5.52446509366731E-2</v>
      </c>
      <c r="D624" s="20">
        <v>5.5237938E-2</v>
      </c>
      <c r="E624" s="21">
        <v>-8.7091200000000103E-4</v>
      </c>
      <c r="F624" s="21">
        <v>-1.55218294440182</v>
      </c>
      <c r="G624" s="21">
        <v>12.935343513009499</v>
      </c>
      <c r="H624" s="20">
        <v>5.5237938E-2</v>
      </c>
      <c r="I624" s="20">
        <v>5.5237938E-2</v>
      </c>
      <c r="K624">
        <f t="shared" si="18"/>
        <v>-1.5521829444018254E-2</v>
      </c>
      <c r="L624">
        <f t="shared" si="19"/>
        <v>2.430469256455082E-4</v>
      </c>
    </row>
    <row r="625" spans="1:12" ht="15" customHeight="1" x14ac:dyDescent="0.3">
      <c r="A625" s="22">
        <v>45202</v>
      </c>
      <c r="B625" s="23">
        <v>5.6100352310212501E-2</v>
      </c>
      <c r="C625" s="23">
        <v>5.6117352607773403E-2</v>
      </c>
      <c r="D625" s="23">
        <v>5.6108850000000002E-2</v>
      </c>
      <c r="E625" s="24">
        <v>-8.2740999999999999E-4</v>
      </c>
      <c r="F625" s="24">
        <v>-1.4532215498524099</v>
      </c>
      <c r="G625" s="24">
        <v>14.7159448433778</v>
      </c>
      <c r="H625" s="23">
        <v>5.6108850000000002E-2</v>
      </c>
      <c r="I625" s="23">
        <v>5.6108850000000002E-2</v>
      </c>
      <c r="K625">
        <f t="shared" si="18"/>
        <v>-1.4532215498524126E-2</v>
      </c>
      <c r="L625">
        <f t="shared" si="19"/>
        <v>3.0298780960405812E-4</v>
      </c>
    </row>
    <row r="626" spans="1:12" ht="15" customHeight="1" x14ac:dyDescent="0.3">
      <c r="A626" s="19">
        <v>45201</v>
      </c>
      <c r="B626" s="20">
        <v>5.6926536304898502E-2</v>
      </c>
      <c r="C626" s="20">
        <v>5.6945986731585102E-2</v>
      </c>
      <c r="D626" s="20">
        <v>5.6936260000000002E-2</v>
      </c>
      <c r="E626" s="21">
        <v>-6.0610499999999502E-4</v>
      </c>
      <c r="F626" s="21">
        <v>-1.05331958462255</v>
      </c>
      <c r="G626" s="21">
        <v>16.407605248516401</v>
      </c>
      <c r="H626" s="20">
        <v>5.6936260000000002E-2</v>
      </c>
      <c r="I626" s="20">
        <v>5.6936260000000002E-2</v>
      </c>
      <c r="K626">
        <f t="shared" si="18"/>
        <v>-1.0533195846225585E-2</v>
      </c>
      <c r="L626">
        <f t="shared" si="19"/>
        <v>3.4161756825263836E-4</v>
      </c>
    </row>
    <row r="627" spans="1:12" ht="15" customHeight="1" x14ac:dyDescent="0.3">
      <c r="A627" s="22">
        <v>45198</v>
      </c>
      <c r="B627" s="23">
        <v>5.75364061609984E-2</v>
      </c>
      <c r="C627" s="23">
        <v>5.7548326206932301E-2</v>
      </c>
      <c r="D627" s="23">
        <v>5.7542364999999998E-2</v>
      </c>
      <c r="E627" s="24">
        <v>7.9028499999999398E-4</v>
      </c>
      <c r="F627" s="24">
        <v>1.3925216485457299</v>
      </c>
      <c r="G627" s="24">
        <v>17.6468020552464</v>
      </c>
      <c r="H627" s="23">
        <v>5.7542364999999998E-2</v>
      </c>
      <c r="I627" s="23">
        <v>5.7542364999999998E-2</v>
      </c>
      <c r="K627">
        <f t="shared" si="18"/>
        <v>1.3925216485457304E-2</v>
      </c>
      <c r="L627">
        <f t="shared" si="19"/>
        <v>2.0715252030223494E-4</v>
      </c>
    </row>
    <row r="628" spans="1:12" ht="15" customHeight="1" x14ac:dyDescent="0.3">
      <c r="A628" s="19">
        <v>45197</v>
      </c>
      <c r="B628" s="20">
        <v>5.6745315674191103E-2</v>
      </c>
      <c r="C628" s="20">
        <v>5.6758843027743699E-2</v>
      </c>
      <c r="D628" s="20">
        <v>5.6752080000000003E-2</v>
      </c>
      <c r="E628" s="21">
        <v>1.4135999999999999E-4</v>
      </c>
      <c r="F628" s="21">
        <v>0.24970535615869099</v>
      </c>
      <c r="G628" s="21">
        <v>16.031044639606101</v>
      </c>
      <c r="H628" s="20">
        <v>5.6752080000000003E-2</v>
      </c>
      <c r="I628" s="20">
        <v>5.6752080000000003E-2</v>
      </c>
      <c r="K628">
        <f t="shared" si="18"/>
        <v>2.4970535615869149E-3</v>
      </c>
      <c r="L628">
        <f t="shared" si="19"/>
        <v>2.3835872716200374E-4</v>
      </c>
    </row>
    <row r="629" spans="1:12" ht="15" customHeight="1" x14ac:dyDescent="0.3">
      <c r="A629" s="22">
        <v>45196</v>
      </c>
      <c r="B629" s="23">
        <v>5.6604948404589503E-2</v>
      </c>
      <c r="C629" s="23">
        <v>5.6616485588273598E-2</v>
      </c>
      <c r="D629" s="23">
        <v>5.6610720000000003E-2</v>
      </c>
      <c r="E629" s="24">
        <v>-7.9126999999999605E-4</v>
      </c>
      <c r="F629" s="24">
        <v>-1.37847137355342</v>
      </c>
      <c r="G629" s="24">
        <v>15.7420305898963</v>
      </c>
      <c r="H629" s="23">
        <v>5.6610720000000003E-2</v>
      </c>
      <c r="I629" s="23">
        <v>5.6610720000000003E-2</v>
      </c>
      <c r="K629">
        <f t="shared" si="18"/>
        <v>-1.3784713735534249E-2</v>
      </c>
      <c r="L629">
        <f t="shared" si="19"/>
        <v>2.0379856825870923E-4</v>
      </c>
    </row>
    <row r="630" spans="1:12" ht="15" customHeight="1" x14ac:dyDescent="0.3">
      <c r="A630" s="19">
        <v>45195</v>
      </c>
      <c r="B630" s="20">
        <v>5.7395067467901802E-2</v>
      </c>
      <c r="C630" s="20">
        <v>5.7408906417741601E-2</v>
      </c>
      <c r="D630" s="20">
        <v>5.740199E-2</v>
      </c>
      <c r="E630" s="21">
        <v>-3.46140000000022E-5</v>
      </c>
      <c r="F630" s="21">
        <v>-6.0264705065082802E-2</v>
      </c>
      <c r="G630" s="21">
        <v>17.359801862631699</v>
      </c>
      <c r="H630" s="20">
        <v>5.740199E-2</v>
      </c>
      <c r="I630" s="20">
        <v>5.740199E-2</v>
      </c>
      <c r="K630">
        <f t="shared" si="18"/>
        <v>-6.0264705065082858E-4</v>
      </c>
      <c r="L630">
        <f t="shared" si="19"/>
        <v>2.4108832881576439E-4</v>
      </c>
    </row>
    <row r="631" spans="1:12" ht="15" customHeight="1" x14ac:dyDescent="0.3">
      <c r="A631" s="22">
        <v>45194</v>
      </c>
      <c r="B631" s="23">
        <v>5.7431656328968503E-2</v>
      </c>
      <c r="C631" s="23">
        <v>5.7441553219599102E-2</v>
      </c>
      <c r="D631" s="23">
        <v>5.7436604000000002E-2</v>
      </c>
      <c r="E631" s="24">
        <v>-9.5244599999999503E-4</v>
      </c>
      <c r="F631" s="24">
        <v>-1.63120653615702</v>
      </c>
      <c r="G631" s="24">
        <v>17.430571049931199</v>
      </c>
      <c r="H631" s="23">
        <v>5.7436604000000002E-2</v>
      </c>
      <c r="I631" s="23">
        <v>5.7436604000000002E-2</v>
      </c>
      <c r="K631">
        <f t="shared" si="18"/>
        <v>-1.631206536157026E-2</v>
      </c>
      <c r="L631">
        <f t="shared" si="19"/>
        <v>1.7230981536790269E-4</v>
      </c>
    </row>
    <row r="632" spans="1:12" ht="15" customHeight="1" x14ac:dyDescent="0.3">
      <c r="A632" s="19">
        <v>45191</v>
      </c>
      <c r="B632" s="20">
        <v>5.83829101545396E-2</v>
      </c>
      <c r="C632" s="20">
        <v>5.8395183565259502E-2</v>
      </c>
      <c r="D632" s="20">
        <v>5.8389049999999998E-2</v>
      </c>
      <c r="E632" s="21">
        <v>2.0892299999999899E-4</v>
      </c>
      <c r="F632" s="21">
        <v>0.35909684418529098</v>
      </c>
      <c r="G632" s="21">
        <v>19.377870679175</v>
      </c>
      <c r="H632" s="20">
        <v>5.8389049999999998E-2</v>
      </c>
      <c r="I632" s="20">
        <v>5.8389049999999998E-2</v>
      </c>
      <c r="K632">
        <f t="shared" si="18"/>
        <v>3.5909684418529153E-3</v>
      </c>
      <c r="L632">
        <f t="shared" si="19"/>
        <v>2.1020055506816224E-4</v>
      </c>
    </row>
    <row r="633" spans="1:12" ht="15" customHeight="1" x14ac:dyDescent="0.3">
      <c r="A633" s="22">
        <v>45190</v>
      </c>
      <c r="B633" s="23">
        <v>5.8173695018586498E-2</v>
      </c>
      <c r="C633" s="23">
        <v>5.8186557741430597E-2</v>
      </c>
      <c r="D633" s="23">
        <v>5.8180126999999998E-2</v>
      </c>
      <c r="E633" s="24">
        <v>-5.0531700000000501E-4</v>
      </c>
      <c r="F633" s="24">
        <v>-0.86106019748271001</v>
      </c>
      <c r="G633" s="24">
        <v>18.950722388940701</v>
      </c>
      <c r="H633" s="23">
        <v>5.8180126999999998E-2</v>
      </c>
      <c r="I633" s="23">
        <v>5.8180126999999998E-2</v>
      </c>
      <c r="K633">
        <f t="shared" si="18"/>
        <v>-8.6106019748271034E-3</v>
      </c>
      <c r="L633">
        <f t="shared" si="19"/>
        <v>2.2108447518685289E-4</v>
      </c>
    </row>
    <row r="634" spans="1:12" ht="15" customHeight="1" x14ac:dyDescent="0.3">
      <c r="A634" s="19">
        <v>45189</v>
      </c>
      <c r="B634" s="20">
        <v>5.8678558854594498E-2</v>
      </c>
      <c r="C634" s="20">
        <v>5.8692334781077597E-2</v>
      </c>
      <c r="D634" s="20">
        <v>5.8685444000000003E-2</v>
      </c>
      <c r="E634" s="21">
        <v>1.73404000000002E-4</v>
      </c>
      <c r="F634" s="21">
        <v>0.29635610038549698</v>
      </c>
      <c r="G634" s="21">
        <v>19.983855613029601</v>
      </c>
      <c r="H634" s="20">
        <v>5.8685444000000003E-2</v>
      </c>
      <c r="I634" s="20">
        <v>5.8685444000000003E-2</v>
      </c>
      <c r="K634">
        <f t="shared" si="18"/>
        <v>2.9635610038549753E-3</v>
      </c>
      <c r="L634">
        <f t="shared" si="19"/>
        <v>2.3474179530956883E-4</v>
      </c>
    </row>
    <row r="635" spans="1:12" ht="15" customHeight="1" x14ac:dyDescent="0.3">
      <c r="A635" s="22">
        <v>45188</v>
      </c>
      <c r="B635" s="23">
        <v>5.8503823224847699E-2</v>
      </c>
      <c r="C635" s="23">
        <v>5.8520256786886798E-2</v>
      </c>
      <c r="D635" s="23">
        <v>5.8512040000000001E-2</v>
      </c>
      <c r="E635" s="24">
        <v>2.2763800000000201E-4</v>
      </c>
      <c r="F635" s="24">
        <v>0.39056418559464401</v>
      </c>
      <c r="G635" s="24">
        <v>19.629326805192299</v>
      </c>
      <c r="H635" s="23">
        <v>5.8512040000000001E-2</v>
      </c>
      <c r="I635" s="23">
        <v>5.8512040000000001E-2</v>
      </c>
      <c r="K635">
        <f t="shared" si="18"/>
        <v>3.9056418559464401E-3</v>
      </c>
      <c r="L635">
        <f t="shared" si="19"/>
        <v>2.8085778651879191E-4</v>
      </c>
    </row>
    <row r="636" spans="1:12" ht="15" customHeight="1" x14ac:dyDescent="0.3">
      <c r="A636" s="19">
        <v>45187</v>
      </c>
      <c r="B636" s="20">
        <v>5.8277775187654403E-2</v>
      </c>
      <c r="C636" s="20">
        <v>5.8291023765250402E-2</v>
      </c>
      <c r="D636" s="20">
        <v>5.8284401999999999E-2</v>
      </c>
      <c r="E636" s="21">
        <v>-1.8829499999999799E-4</v>
      </c>
      <c r="F636" s="21">
        <v>-0.32202208836030699</v>
      </c>
      <c r="G636" s="21">
        <v>19.163915230151002</v>
      </c>
      <c r="H636" s="20">
        <v>5.8284401999999999E-2</v>
      </c>
      <c r="I636" s="20">
        <v>5.8284401999999999E-2</v>
      </c>
      <c r="K636">
        <f t="shared" si="18"/>
        <v>-3.2202208836030755E-3</v>
      </c>
      <c r="L636">
        <f t="shared" si="19"/>
        <v>2.273091451808879E-4</v>
      </c>
    </row>
    <row r="637" spans="1:12" ht="15" customHeight="1" x14ac:dyDescent="0.3">
      <c r="A637" s="22">
        <v>45184</v>
      </c>
      <c r="B637" s="23">
        <v>5.8465514116498397E-2</v>
      </c>
      <c r="C637" s="23">
        <v>5.8479874151310798E-2</v>
      </c>
      <c r="D637" s="23">
        <v>5.8472696999999997E-2</v>
      </c>
      <c r="E637" s="24">
        <v>8.7059999999999902E-5</v>
      </c>
      <c r="F637" s="24">
        <v>0.14911201534035801</v>
      </c>
      <c r="G637" s="24">
        <v>19.548889059311399</v>
      </c>
      <c r="H637" s="23">
        <v>5.8472696999999997E-2</v>
      </c>
      <c r="I637" s="23">
        <v>5.8472696999999997E-2</v>
      </c>
      <c r="K637">
        <f t="shared" si="18"/>
        <v>1.4911201534035801E-3</v>
      </c>
      <c r="L637">
        <f t="shared" si="19"/>
        <v>2.4558529962113681E-4</v>
      </c>
    </row>
    <row r="638" spans="1:12" ht="15" customHeight="1" x14ac:dyDescent="0.3">
      <c r="A638" s="19">
        <v>45183</v>
      </c>
      <c r="B638" s="20">
        <v>5.83771161704612E-2</v>
      </c>
      <c r="C638" s="20">
        <v>5.8394160583941597E-2</v>
      </c>
      <c r="D638" s="20">
        <v>5.8385636999999997E-2</v>
      </c>
      <c r="E638" s="21">
        <v>-1.05865000000003E-4</v>
      </c>
      <c r="F638" s="21">
        <v>-0.180992103776034</v>
      </c>
      <c r="G638" s="21">
        <v>19.3708927154536</v>
      </c>
      <c r="H638" s="20">
        <v>5.8385636999999997E-2</v>
      </c>
      <c r="I638" s="20">
        <v>5.8385636999999997E-2</v>
      </c>
      <c r="K638">
        <f t="shared" si="18"/>
        <v>-1.8099210377603425E-3</v>
      </c>
      <c r="L638">
        <f t="shared" si="19"/>
        <v>2.9192819255181781E-4</v>
      </c>
    </row>
    <row r="639" spans="1:12" ht="15" customHeight="1" x14ac:dyDescent="0.3">
      <c r="A639" s="22">
        <v>45182</v>
      </c>
      <c r="B639" s="23">
        <v>5.8484320353713197E-2</v>
      </c>
      <c r="C639" s="23">
        <v>5.8498689629352299E-2</v>
      </c>
      <c r="D639" s="23">
        <v>5.8491502000000001E-2</v>
      </c>
      <c r="E639" s="24">
        <v>6.6129199999999996E-4</v>
      </c>
      <c r="F639" s="24">
        <v>1.14350613632563</v>
      </c>
      <c r="G639" s="24">
        <v>19.5873363513656</v>
      </c>
      <c r="H639" s="23">
        <v>5.8491502000000001E-2</v>
      </c>
      <c r="I639" s="23">
        <v>5.8491502000000001E-2</v>
      </c>
      <c r="K639">
        <f t="shared" si="18"/>
        <v>1.1435061363256338E-2</v>
      </c>
      <c r="L639">
        <f t="shared" si="19"/>
        <v>2.4566432982182625E-4</v>
      </c>
    </row>
    <row r="640" spans="1:12" ht="15" customHeight="1" x14ac:dyDescent="0.3">
      <c r="A640" s="19">
        <v>45181</v>
      </c>
      <c r="B640" s="20">
        <v>5.7822853904777302E-2</v>
      </c>
      <c r="C640" s="20">
        <v>5.7837568971300997E-2</v>
      </c>
      <c r="D640" s="20">
        <v>5.783021E-2</v>
      </c>
      <c r="E640" s="21">
        <v>6.1051499999999898E-4</v>
      </c>
      <c r="F640" s="21">
        <v>1.0669665401047601</v>
      </c>
      <c r="G640" s="21">
        <v>18.2353083451355</v>
      </c>
      <c r="H640" s="20">
        <v>5.783021E-2</v>
      </c>
      <c r="I640" s="20">
        <v>5.783021E-2</v>
      </c>
      <c r="K640">
        <f t="shared" si="18"/>
        <v>1.0669665401047634E-2</v>
      </c>
      <c r="L640">
        <f t="shared" si="19"/>
        <v>2.5445293253638113E-4</v>
      </c>
    </row>
    <row r="641" spans="1:12" ht="15" customHeight="1" x14ac:dyDescent="0.3">
      <c r="A641" s="22">
        <v>45180</v>
      </c>
      <c r="B641" s="23">
        <v>5.7214456948981897E-2</v>
      </c>
      <c r="C641" s="23">
        <v>5.7224934048263502E-2</v>
      </c>
      <c r="D641" s="23">
        <v>5.7219695000000001E-2</v>
      </c>
      <c r="E641" s="24">
        <v>2.7370499999999898E-4</v>
      </c>
      <c r="F641" s="24">
        <v>0.480639637663693</v>
      </c>
      <c r="G641" s="24">
        <v>16.987095183289298</v>
      </c>
      <c r="H641" s="23">
        <v>5.7219695000000001E-2</v>
      </c>
      <c r="I641" s="23">
        <v>5.7219695000000001E-2</v>
      </c>
      <c r="K641">
        <f t="shared" si="18"/>
        <v>4.8063963766369344E-3</v>
      </c>
      <c r="L641">
        <f t="shared" si="19"/>
        <v>1.8310302565586136E-4</v>
      </c>
    </row>
    <row r="642" spans="1:12" ht="15" customHeight="1" x14ac:dyDescent="0.3">
      <c r="A642" s="19">
        <v>45177</v>
      </c>
      <c r="B642" s="20">
        <v>5.6938204966150201E-2</v>
      </c>
      <c r="C642" s="20">
        <v>5.6953770624384198E-2</v>
      </c>
      <c r="D642" s="20">
        <v>5.6945990000000002E-2</v>
      </c>
      <c r="E642" s="21">
        <v>-4.0559999999994997E-5</v>
      </c>
      <c r="F642" s="21">
        <v>-7.1174689466191293E-2</v>
      </c>
      <c r="G642" s="21">
        <v>16.427498476471101</v>
      </c>
      <c r="H642" s="20">
        <v>5.6945990000000002E-2</v>
      </c>
      <c r="I642" s="20">
        <v>5.6945990000000002E-2</v>
      </c>
      <c r="K642">
        <f t="shared" si="18"/>
        <v>-7.1174689466191321E-4</v>
      </c>
      <c r="L642">
        <f t="shared" si="19"/>
        <v>2.7334072572971673E-4</v>
      </c>
    </row>
    <row r="643" spans="1:12" ht="15" customHeight="1" x14ac:dyDescent="0.3">
      <c r="A643" s="22">
        <v>45176</v>
      </c>
      <c r="B643" s="23">
        <v>5.6978109010518203E-2</v>
      </c>
      <c r="C643" s="23">
        <v>5.6994995839365299E-2</v>
      </c>
      <c r="D643" s="23">
        <v>5.6986549999999997E-2</v>
      </c>
      <c r="E643" s="24">
        <v>9.6446000000000005E-5</v>
      </c>
      <c r="F643" s="24">
        <v>0.16953036331239699</v>
      </c>
      <c r="G643" s="24">
        <v>16.510424409240098</v>
      </c>
      <c r="H643" s="23">
        <v>5.6986549999999997E-2</v>
      </c>
      <c r="I643" s="23">
        <v>5.6986549999999997E-2</v>
      </c>
      <c r="K643">
        <f t="shared" si="18"/>
        <v>1.695303633123979E-3</v>
      </c>
      <c r="L643">
        <f t="shared" si="19"/>
        <v>2.9633007871323681E-4</v>
      </c>
    </row>
    <row r="644" spans="1:12" ht="15" customHeight="1" x14ac:dyDescent="0.3">
      <c r="A644" s="19">
        <v>45175</v>
      </c>
      <c r="B644" s="20">
        <v>5.6882497824244503E-2</v>
      </c>
      <c r="C644" s="20">
        <v>5.68977092982237E-2</v>
      </c>
      <c r="D644" s="20">
        <v>5.6890103999999997E-2</v>
      </c>
      <c r="E644" s="21">
        <v>-6.2082300000000602E-4</v>
      </c>
      <c r="F644" s="21">
        <v>-1.0794870338292499</v>
      </c>
      <c r="G644" s="21">
        <v>16.313238154017199</v>
      </c>
      <c r="H644" s="20">
        <v>5.6890103999999997E-2</v>
      </c>
      <c r="I644" s="20">
        <v>5.6890103999999997E-2</v>
      </c>
      <c r="K644">
        <f t="shared" si="18"/>
        <v>-1.0794870338292517E-2</v>
      </c>
      <c r="L644">
        <f t="shared" si="19"/>
        <v>2.6738347989656086E-4</v>
      </c>
    </row>
    <row r="645" spans="1:12" ht="15" customHeight="1" x14ac:dyDescent="0.3">
      <c r="A645" s="22">
        <v>45174</v>
      </c>
      <c r="B645" s="23">
        <v>5.7502659498001797E-2</v>
      </c>
      <c r="C645" s="23">
        <v>5.7519197032009403E-2</v>
      </c>
      <c r="D645" s="23">
        <v>5.7510927000000003E-2</v>
      </c>
      <c r="E645" s="24">
        <v>-6.9120899999999797E-4</v>
      </c>
      <c r="F645" s="24">
        <v>-1.18760074372528</v>
      </c>
      <c r="G645" s="24">
        <v>17.582526279250501</v>
      </c>
      <c r="H645" s="23">
        <v>5.7510927000000003E-2</v>
      </c>
      <c r="I645" s="23">
        <v>5.7510927000000003E-2</v>
      </c>
      <c r="K645">
        <f t="shared" ref="K645:K708" si="20">D645/D646-1</f>
        <v>-1.1876007437252811E-2</v>
      </c>
      <c r="L645">
        <f t="shared" ref="L645:L708" si="21">(C645-B645)/D645</f>
        <v>2.8755464170497532E-4</v>
      </c>
    </row>
    <row r="646" spans="1:12" ht="15" customHeight="1" x14ac:dyDescent="0.3">
      <c r="A646" s="19">
        <v>45173</v>
      </c>
      <c r="B646" s="20">
        <v>5.8189605008961198E-2</v>
      </c>
      <c r="C646" s="20">
        <v>5.8214672426038297E-2</v>
      </c>
      <c r="D646" s="20">
        <v>5.8202136000000002E-2</v>
      </c>
      <c r="E646" s="21">
        <v>-1.8179399999999901E-4</v>
      </c>
      <c r="F646" s="21">
        <v>-0.31137677782224699</v>
      </c>
      <c r="G646" s="21">
        <v>18.9957203389977</v>
      </c>
      <c r="H646" s="20">
        <v>5.8202136000000002E-2</v>
      </c>
      <c r="I646" s="20">
        <v>5.8202136000000002E-2</v>
      </c>
      <c r="K646">
        <f t="shared" si="20"/>
        <v>-3.113767778222476E-3</v>
      </c>
      <c r="L646">
        <f t="shared" si="21"/>
        <v>4.3069582664627111E-4</v>
      </c>
    </row>
    <row r="647" spans="1:12" ht="15" customHeight="1" x14ac:dyDescent="0.3">
      <c r="A647" s="22">
        <v>45170</v>
      </c>
      <c r="B647" s="23">
        <v>5.8376434600880302E-2</v>
      </c>
      <c r="C647" s="23">
        <v>5.8391432808978301E-2</v>
      </c>
      <c r="D647" s="23">
        <v>5.8383930000000001E-2</v>
      </c>
      <c r="E647" s="24">
        <v>-1.02759599999999E-3</v>
      </c>
      <c r="F647" s="24">
        <v>-1.7296239790238599</v>
      </c>
      <c r="G647" s="24">
        <v>19.367402711330399</v>
      </c>
      <c r="H647" s="23">
        <v>5.8383930000000001E-2</v>
      </c>
      <c r="I647" s="23">
        <v>5.8383930000000001E-2</v>
      </c>
      <c r="K647">
        <f t="shared" si="20"/>
        <v>-1.7296239790238643E-2</v>
      </c>
      <c r="L647">
        <f t="shared" si="21"/>
        <v>2.5688932036605524E-4</v>
      </c>
    </row>
    <row r="648" spans="1:12" ht="15" customHeight="1" x14ac:dyDescent="0.3">
      <c r="A648" s="19">
        <v>45169</v>
      </c>
      <c r="B648" s="20">
        <v>5.9403940857436499E-2</v>
      </c>
      <c r="C648" s="20">
        <v>5.9419118695631497E-2</v>
      </c>
      <c r="D648" s="20">
        <v>5.9411525999999999E-2</v>
      </c>
      <c r="E648" s="21">
        <v>-2.2943400000000001E-4</v>
      </c>
      <c r="F648" s="21">
        <v>-0.38469199690950301</v>
      </c>
      <c r="G648" s="21">
        <v>21.468348392043399</v>
      </c>
      <c r="H648" s="20">
        <v>5.9411525999999999E-2</v>
      </c>
      <c r="I648" s="20">
        <v>5.9411525999999999E-2</v>
      </c>
      <c r="K648">
        <f t="shared" si="20"/>
        <v>-3.8469199690950306E-3</v>
      </c>
      <c r="L648">
        <f t="shared" si="21"/>
        <v>2.5546959010946268E-4</v>
      </c>
    </row>
    <row r="649" spans="1:12" ht="15" customHeight="1" x14ac:dyDescent="0.3">
      <c r="A649" s="22">
        <v>45168</v>
      </c>
      <c r="B649" s="23">
        <v>5.96338481722226E-2</v>
      </c>
      <c r="C649" s="23">
        <v>5.9648076349537699E-2</v>
      </c>
      <c r="D649" s="23">
        <v>5.964096E-2</v>
      </c>
      <c r="E649" s="24">
        <v>4.0276499999999899E-4</v>
      </c>
      <c r="F649" s="24">
        <v>0.67990761703660096</v>
      </c>
      <c r="G649" s="24">
        <v>21.937431933930199</v>
      </c>
      <c r="H649" s="23">
        <v>5.964096E-2</v>
      </c>
      <c r="I649" s="23">
        <v>5.964096E-2</v>
      </c>
      <c r="K649">
        <f t="shared" si="20"/>
        <v>6.7990761703660141E-3</v>
      </c>
      <c r="L649">
        <f t="shared" si="21"/>
        <v>2.3856385469144323E-4</v>
      </c>
    </row>
    <row r="650" spans="1:12" ht="15" customHeight="1" x14ac:dyDescent="0.3">
      <c r="A650" s="19">
        <v>45167</v>
      </c>
      <c r="B650" s="20">
        <v>5.92294251784286E-2</v>
      </c>
      <c r="C650" s="20">
        <v>5.9246970998607699E-2</v>
      </c>
      <c r="D650" s="20">
        <v>5.9238195E-2</v>
      </c>
      <c r="E650" s="21">
        <v>-5.5879799999999902E-4</v>
      </c>
      <c r="F650" s="21">
        <v>-0.93449180630202899</v>
      </c>
      <c r="G650" s="21">
        <v>21.113968834528901</v>
      </c>
      <c r="H650" s="20">
        <v>5.9238195E-2</v>
      </c>
      <c r="I650" s="20">
        <v>5.9238195E-2</v>
      </c>
      <c r="K650">
        <f t="shared" si="20"/>
        <v>-9.344918063020291E-3</v>
      </c>
      <c r="L650">
        <f t="shared" si="21"/>
        <v>2.9619099938981943E-4</v>
      </c>
    </row>
    <row r="651" spans="1:12" ht="15" customHeight="1" x14ac:dyDescent="0.3">
      <c r="A651" s="22">
        <v>45166</v>
      </c>
      <c r="B651" s="23">
        <v>5.9789659976203703E-2</v>
      </c>
      <c r="C651" s="23">
        <v>5.9804320264095899E-2</v>
      </c>
      <c r="D651" s="23">
        <v>5.9796993E-2</v>
      </c>
      <c r="E651" s="24">
        <v>3.1035799999999599E-4</v>
      </c>
      <c r="F651" s="24">
        <v>0.52172727537873598</v>
      </c>
      <c r="G651" s="24">
        <v>22.256445298519701</v>
      </c>
      <c r="H651" s="23">
        <v>5.9796993E-2</v>
      </c>
      <c r="I651" s="23">
        <v>5.9796993E-2</v>
      </c>
      <c r="K651">
        <f t="shared" si="20"/>
        <v>5.2172727537873609E-3</v>
      </c>
      <c r="L651">
        <f t="shared" si="21"/>
        <v>2.4516764400169531E-4</v>
      </c>
    </row>
    <row r="652" spans="1:12" ht="15" customHeight="1" x14ac:dyDescent="0.3">
      <c r="A652" s="19">
        <v>45163</v>
      </c>
      <c r="B652" s="20">
        <v>5.9477785047284799E-2</v>
      </c>
      <c r="C652" s="20">
        <v>5.9495478343645901E-2</v>
      </c>
      <c r="D652" s="20">
        <v>5.9486635000000003E-2</v>
      </c>
      <c r="E652" s="21">
        <v>-8.6822000000000207E-5</v>
      </c>
      <c r="F652" s="21">
        <v>-0.145739402029332</v>
      </c>
      <c r="G652" s="21">
        <v>21.621910617988899</v>
      </c>
      <c r="H652" s="20">
        <v>5.9486635000000003E-2</v>
      </c>
      <c r="I652" s="20">
        <v>5.9486635000000003E-2</v>
      </c>
      <c r="K652">
        <f t="shared" si="20"/>
        <v>-1.4573940202933233E-3</v>
      </c>
      <c r="L652">
        <f t="shared" si="21"/>
        <v>2.9743313537740882E-4</v>
      </c>
    </row>
    <row r="653" spans="1:12" ht="15" customHeight="1" x14ac:dyDescent="0.3">
      <c r="A653" s="22">
        <v>45162</v>
      </c>
      <c r="B653" s="23">
        <v>5.9566002108636502E-2</v>
      </c>
      <c r="C653" s="23">
        <v>5.9580907893874498E-2</v>
      </c>
      <c r="D653" s="23">
        <v>5.9573457000000003E-2</v>
      </c>
      <c r="E653" s="24">
        <v>1.78691000000001E-4</v>
      </c>
      <c r="F653" s="24">
        <v>0.30085310884126998</v>
      </c>
      <c r="G653" s="24">
        <v>21.799420364903899</v>
      </c>
      <c r="H653" s="23">
        <v>5.9573457000000003E-2</v>
      </c>
      <c r="I653" s="23">
        <v>5.9573457000000003E-2</v>
      </c>
      <c r="K653">
        <f t="shared" si="20"/>
        <v>3.0085310884127026E-3</v>
      </c>
      <c r="L653">
        <f t="shared" si="21"/>
        <v>2.5020849869422955E-4</v>
      </c>
    </row>
    <row r="654" spans="1:12" ht="15" customHeight="1" x14ac:dyDescent="0.3">
      <c r="A654" s="19">
        <v>45161</v>
      </c>
      <c r="B654" s="20">
        <v>5.9385243954582202E-2</v>
      </c>
      <c r="C654" s="20">
        <v>5.9404293742351698E-2</v>
      </c>
      <c r="D654" s="20">
        <v>5.9394766000000002E-2</v>
      </c>
      <c r="E654" s="21">
        <v>2.38918000000004E-4</v>
      </c>
      <c r="F654" s="21">
        <v>0.40387891996747</v>
      </c>
      <c r="G654" s="21">
        <v>21.434082153552101</v>
      </c>
      <c r="H654" s="20">
        <v>5.9394766000000002E-2</v>
      </c>
      <c r="I654" s="20">
        <v>5.9394766000000002E-2</v>
      </c>
      <c r="K654">
        <f t="shared" si="20"/>
        <v>4.0387891996747083E-3</v>
      </c>
      <c r="L654">
        <f t="shared" si="21"/>
        <v>3.2073175891450805E-4</v>
      </c>
    </row>
    <row r="655" spans="1:12" ht="15" customHeight="1" x14ac:dyDescent="0.3">
      <c r="A655" s="22">
        <v>45160</v>
      </c>
      <c r="B655" s="23">
        <v>5.9149197936876001E-2</v>
      </c>
      <c r="C655" s="23">
        <v>5.9162495710719097E-2</v>
      </c>
      <c r="D655" s="23">
        <v>5.9155847999999997E-2</v>
      </c>
      <c r="E655" s="24">
        <v>4.9105799999999496E-4</v>
      </c>
      <c r="F655" s="24">
        <v>0.83705745814481802</v>
      </c>
      <c r="G655" s="24">
        <v>20.945608336853098</v>
      </c>
      <c r="H655" s="23">
        <v>5.9155847999999997E-2</v>
      </c>
      <c r="I655" s="23">
        <v>5.9155847999999997E-2</v>
      </c>
      <c r="K655">
        <f t="shared" si="20"/>
        <v>8.3705745814481869E-3</v>
      </c>
      <c r="L655">
        <f t="shared" si="21"/>
        <v>2.2479221062127555E-4</v>
      </c>
    </row>
    <row r="656" spans="1:12" ht="15" customHeight="1" x14ac:dyDescent="0.3">
      <c r="A656" s="19">
        <v>45159</v>
      </c>
      <c r="B656" s="20">
        <v>5.8658595243961102E-2</v>
      </c>
      <c r="C656" s="20">
        <v>5.86709848511517E-2</v>
      </c>
      <c r="D656" s="20">
        <v>5.8664790000000001E-2</v>
      </c>
      <c r="E656" s="21">
        <v>3.9554000000004101E-5</v>
      </c>
      <c r="F656" s="21">
        <v>6.7469237991635206E-2</v>
      </c>
      <c r="G656" s="21">
        <v>19.941627994306501</v>
      </c>
      <c r="H656" s="20">
        <v>5.8664790000000001E-2</v>
      </c>
      <c r="I656" s="20">
        <v>5.8664790000000001E-2</v>
      </c>
      <c r="K656">
        <f t="shared" si="20"/>
        <v>6.7469237991635289E-4</v>
      </c>
      <c r="L656">
        <f t="shared" si="21"/>
        <v>2.1119324198719453E-4</v>
      </c>
    </row>
    <row r="657" spans="1:12" ht="15" customHeight="1" x14ac:dyDescent="0.3">
      <c r="A657" s="22">
        <v>45156</v>
      </c>
      <c r="B657" s="23">
        <v>5.8615959953576199E-2</v>
      </c>
      <c r="C657" s="23">
        <v>5.8634519314210702E-2</v>
      </c>
      <c r="D657" s="23">
        <v>5.8625235999999997E-2</v>
      </c>
      <c r="E657" s="24">
        <v>2.6770599999999901E-4</v>
      </c>
      <c r="F657" s="24">
        <v>0.45873428844571601</v>
      </c>
      <c r="G657" s="24">
        <v>19.8607588536569</v>
      </c>
      <c r="H657" s="23">
        <v>5.8625235999999997E-2</v>
      </c>
      <c r="I657" s="23">
        <v>5.8625235999999997E-2</v>
      </c>
      <c r="K657">
        <f t="shared" si="20"/>
        <v>4.5873428844571684E-3</v>
      </c>
      <c r="L657">
        <f t="shared" si="21"/>
        <v>3.1657630571419371E-4</v>
      </c>
    </row>
    <row r="658" spans="1:12" ht="15" customHeight="1" x14ac:dyDescent="0.3">
      <c r="A658" s="19">
        <v>45155</v>
      </c>
      <c r="B658" s="20">
        <v>5.8349184861887497E-2</v>
      </c>
      <c r="C658" s="20">
        <v>5.8365872307144601E-2</v>
      </c>
      <c r="D658" s="20">
        <v>5.8357529999999998E-2</v>
      </c>
      <c r="E658" s="21">
        <v>-3.1070000000000397E-4</v>
      </c>
      <c r="F658" s="21">
        <v>-0.52958816040641299</v>
      </c>
      <c r="G658" s="21">
        <v>19.3134272521316</v>
      </c>
      <c r="H658" s="20">
        <v>5.8357529999999998E-2</v>
      </c>
      <c r="I658" s="20">
        <v>5.8357529999999998E-2</v>
      </c>
      <c r="K658">
        <f t="shared" si="20"/>
        <v>-5.2958816040641343E-3</v>
      </c>
      <c r="L658">
        <f t="shared" si="21"/>
        <v>2.8595187728307491E-4</v>
      </c>
    </row>
    <row r="659" spans="1:12" ht="15" customHeight="1" x14ac:dyDescent="0.3">
      <c r="A659" s="22">
        <v>45154</v>
      </c>
      <c r="B659" s="23">
        <v>5.8661003924421203E-2</v>
      </c>
      <c r="C659" s="23">
        <v>5.86754601622963E-2</v>
      </c>
      <c r="D659" s="23">
        <v>5.8668230000000002E-2</v>
      </c>
      <c r="E659" s="24">
        <v>3.2516999999999898E-4</v>
      </c>
      <c r="F659" s="24">
        <v>0.55734135302467602</v>
      </c>
      <c r="G659" s="24">
        <v>19.948661160202001</v>
      </c>
      <c r="H659" s="23">
        <v>5.8668230000000002E-2</v>
      </c>
      <c r="I659" s="23">
        <v>5.8668230000000002E-2</v>
      </c>
      <c r="K659">
        <f t="shared" si="20"/>
        <v>5.5734135302467624E-3</v>
      </c>
      <c r="L659">
        <f t="shared" si="21"/>
        <v>2.4640657942292767E-4</v>
      </c>
    </row>
    <row r="660" spans="1:12" ht="15" customHeight="1" x14ac:dyDescent="0.3">
      <c r="A660" s="19">
        <v>45153</v>
      </c>
      <c r="B660" s="20">
        <v>5.8335569530165297E-2</v>
      </c>
      <c r="C660" s="20">
        <v>5.8350546744622998E-2</v>
      </c>
      <c r="D660" s="20">
        <v>5.8343060000000002E-2</v>
      </c>
      <c r="E660" s="21">
        <v>-2.30669999999995E-4</v>
      </c>
      <c r="F660" s="21">
        <v>-0.39381135536355999</v>
      </c>
      <c r="G660" s="21">
        <v>19.2838429758208</v>
      </c>
      <c r="H660" s="20">
        <v>5.8343060000000002E-2</v>
      </c>
      <c r="I660" s="20">
        <v>5.8343060000000002E-2</v>
      </c>
      <c r="K660">
        <f t="shared" si="20"/>
        <v>-3.9381135536356027E-3</v>
      </c>
      <c r="L660">
        <f t="shared" si="21"/>
        <v>2.5670944338025719E-4</v>
      </c>
    </row>
    <row r="661" spans="1:12" ht="15" customHeight="1" x14ac:dyDescent="0.3">
      <c r="A661" s="22">
        <v>45152</v>
      </c>
      <c r="B661" s="23">
        <v>5.8566868722363802E-2</v>
      </c>
      <c r="C661" s="23">
        <v>5.8580592249787601E-2</v>
      </c>
      <c r="D661" s="23">
        <v>5.8573729999999997E-2</v>
      </c>
      <c r="E661" s="24">
        <v>-3.50315000000003E-4</v>
      </c>
      <c r="F661" s="24">
        <v>-0.59451960570596696</v>
      </c>
      <c r="G661" s="24">
        <v>19.755453550570099</v>
      </c>
      <c r="H661" s="23">
        <v>5.8573729999999997E-2</v>
      </c>
      <c r="I661" s="23">
        <v>5.8573729999999997E-2</v>
      </c>
      <c r="K661">
        <f t="shared" si="20"/>
        <v>-5.9451960570596762E-3</v>
      </c>
      <c r="L661">
        <f t="shared" si="21"/>
        <v>2.342949206717634E-4</v>
      </c>
    </row>
    <row r="662" spans="1:12" ht="15" customHeight="1" x14ac:dyDescent="0.3">
      <c r="A662" s="19">
        <v>45149</v>
      </c>
      <c r="B662" s="20">
        <v>5.89157151778665E-2</v>
      </c>
      <c r="C662" s="20">
        <v>5.8932380986056597E-2</v>
      </c>
      <c r="D662" s="20">
        <v>5.8924045000000001E-2</v>
      </c>
      <c r="E662" s="21">
        <v>-1.1480299999999599E-4</v>
      </c>
      <c r="F662" s="21">
        <v>-0.19445331995637799</v>
      </c>
      <c r="G662" s="21">
        <v>20.471681315313202</v>
      </c>
      <c r="H662" s="20">
        <v>5.8924045000000001E-2</v>
      </c>
      <c r="I662" s="20">
        <v>5.8924045000000001E-2</v>
      </c>
      <c r="K662">
        <f t="shared" si="20"/>
        <v>-1.9445331995637805E-3</v>
      </c>
      <c r="L662">
        <f t="shared" si="21"/>
        <v>2.8283543993113883E-4</v>
      </c>
    </row>
    <row r="663" spans="1:12" ht="15" customHeight="1" x14ac:dyDescent="0.3">
      <c r="A663" s="22">
        <v>45148</v>
      </c>
      <c r="B663" s="23">
        <v>5.9030483341597599E-2</v>
      </c>
      <c r="C663" s="23">
        <v>5.90472141524363E-2</v>
      </c>
      <c r="D663" s="23">
        <v>5.9038847999999998E-2</v>
      </c>
      <c r="E663" s="24">
        <v>5.2680799999999602E-4</v>
      </c>
      <c r="F663" s="24">
        <v>0.90034119473529906</v>
      </c>
      <c r="G663" s="24">
        <v>20.706398915404002</v>
      </c>
      <c r="H663" s="23">
        <v>5.9038847999999998E-2</v>
      </c>
      <c r="I663" s="23">
        <v>5.9038847999999998E-2</v>
      </c>
      <c r="K663">
        <f t="shared" si="20"/>
        <v>9.0034119473529906E-3</v>
      </c>
      <c r="L663">
        <f t="shared" si="21"/>
        <v>2.8338647188206077E-4</v>
      </c>
    </row>
    <row r="664" spans="1:12" ht="15" customHeight="1" x14ac:dyDescent="0.3">
      <c r="A664" s="19">
        <v>45147</v>
      </c>
      <c r="B664" s="20">
        <v>5.8503823224847699E-2</v>
      </c>
      <c r="C664" s="20">
        <v>5.8520256786886798E-2</v>
      </c>
      <c r="D664" s="20">
        <v>5.8512040000000001E-2</v>
      </c>
      <c r="E664" s="21">
        <v>3.9615999999999903E-4</v>
      </c>
      <c r="F664" s="21">
        <v>0.68167254801958499</v>
      </c>
      <c r="G664" s="21">
        <v>19.629326805192299</v>
      </c>
      <c r="H664" s="20">
        <v>5.8512040000000001E-2</v>
      </c>
      <c r="I664" s="20">
        <v>5.8512040000000001E-2</v>
      </c>
      <c r="K664">
        <f t="shared" si="20"/>
        <v>6.816725480195851E-3</v>
      </c>
      <c r="L664">
        <f t="shared" si="21"/>
        <v>2.8085778651879191E-4</v>
      </c>
    </row>
    <row r="665" spans="1:12" ht="15" customHeight="1" x14ac:dyDescent="0.3">
      <c r="A665" s="22">
        <v>45146</v>
      </c>
      <c r="B665" s="23">
        <v>5.8106427733035801E-2</v>
      </c>
      <c r="C665" s="23">
        <v>5.8125341486381203E-2</v>
      </c>
      <c r="D665" s="23">
        <v>5.8115880000000002E-2</v>
      </c>
      <c r="E665" s="24">
        <v>-4.7844400000000099E-4</v>
      </c>
      <c r="F665" s="24">
        <v>-0.81653642765807599</v>
      </c>
      <c r="G665" s="24">
        <v>18.819367793215601</v>
      </c>
      <c r="H665" s="23">
        <v>5.8115880000000002E-2</v>
      </c>
      <c r="I665" s="23">
        <v>5.8115880000000002E-2</v>
      </c>
      <c r="K665">
        <f t="shared" si="20"/>
        <v>-8.1653642765807666E-3</v>
      </c>
      <c r="L665">
        <f t="shared" si="21"/>
        <v>3.2544897101106094E-4</v>
      </c>
    </row>
    <row r="666" spans="1:12" ht="15" customHeight="1" x14ac:dyDescent="0.3">
      <c r="A666" s="19">
        <v>45145</v>
      </c>
      <c r="B666" s="20">
        <v>5.8585397003942802E-2</v>
      </c>
      <c r="C666" s="20">
        <v>5.8603250136252602E-2</v>
      </c>
      <c r="D666" s="20">
        <v>5.8594324000000003E-2</v>
      </c>
      <c r="E666" s="21">
        <v>-7.9068999999994103E-5</v>
      </c>
      <c r="F666" s="21">
        <v>-0.13476125370829301</v>
      </c>
      <c r="G666" s="21">
        <v>19.797558497795102</v>
      </c>
      <c r="H666" s="20">
        <v>5.8594324000000003E-2</v>
      </c>
      <c r="I666" s="20">
        <v>5.8594324000000003E-2</v>
      </c>
      <c r="K666">
        <f t="shared" si="20"/>
        <v>-1.3476125370829317E-3</v>
      </c>
      <c r="L666">
        <f t="shared" si="21"/>
        <v>3.0469047325813048E-4</v>
      </c>
    </row>
    <row r="667" spans="1:12" ht="15" customHeight="1" x14ac:dyDescent="0.3">
      <c r="A667" s="22">
        <v>45142</v>
      </c>
      <c r="B667" s="23">
        <v>5.8666854400600703E-2</v>
      </c>
      <c r="C667" s="23">
        <v>5.8679936156229497E-2</v>
      </c>
      <c r="D667" s="23">
        <v>5.8673392999999997E-2</v>
      </c>
      <c r="E667" s="24">
        <v>1.0912679999999901E-3</v>
      </c>
      <c r="F667" s="24">
        <v>1.89515062182925</v>
      </c>
      <c r="G667" s="24">
        <v>19.959217042620299</v>
      </c>
      <c r="H667" s="23">
        <v>5.8673392999999997E-2</v>
      </c>
      <c r="I667" s="23">
        <v>5.8673392999999997E-2</v>
      </c>
      <c r="K667">
        <f t="shared" si="20"/>
        <v>1.8951506218292558E-2</v>
      </c>
      <c r="L667">
        <f t="shared" si="21"/>
        <v>2.2295890794646507E-4</v>
      </c>
    </row>
    <row r="668" spans="1:12" ht="15" customHeight="1" x14ac:dyDescent="0.3">
      <c r="A668" s="19">
        <v>45141</v>
      </c>
      <c r="B668" s="20">
        <v>5.7573175506068199E-2</v>
      </c>
      <c r="C668" s="20">
        <v>5.7591080293484101E-2</v>
      </c>
      <c r="D668" s="20">
        <v>5.7582124999999998E-2</v>
      </c>
      <c r="E668" s="21">
        <v>-1.049988E-3</v>
      </c>
      <c r="F668" s="21">
        <v>-1.7908070275413701</v>
      </c>
      <c r="G668" s="21">
        <v>17.7280923680397</v>
      </c>
      <c r="H668" s="20">
        <v>5.7582124999999998E-2</v>
      </c>
      <c r="I668" s="20">
        <v>5.7582124999999998E-2</v>
      </c>
      <c r="K668">
        <f t="shared" si="20"/>
        <v>-1.7908070275413746E-2</v>
      </c>
      <c r="L668">
        <f t="shared" si="21"/>
        <v>3.109434988011029E-4</v>
      </c>
    </row>
    <row r="669" spans="1:12" ht="15" customHeight="1" x14ac:dyDescent="0.3">
      <c r="A669" s="22">
        <v>45140</v>
      </c>
      <c r="B669" s="23">
        <v>5.8622488759137802E-2</v>
      </c>
      <c r="C669" s="23">
        <v>5.8641740017709797E-2</v>
      </c>
      <c r="D669" s="23">
        <v>5.8632113E-2</v>
      </c>
      <c r="E669" s="24">
        <v>-8.9701300000000195E-4</v>
      </c>
      <c r="F669" s="24">
        <v>-1.5068472532252499</v>
      </c>
      <c r="G669" s="24">
        <v>19.8748190518732</v>
      </c>
      <c r="H669" s="23">
        <v>5.8632113E-2</v>
      </c>
      <c r="I669" s="23">
        <v>5.8632113E-2</v>
      </c>
      <c r="K669">
        <f t="shared" si="20"/>
        <v>-1.5068472532252519E-2</v>
      </c>
      <c r="L669">
        <f t="shared" si="21"/>
        <v>3.283398395004979E-4</v>
      </c>
    </row>
    <row r="670" spans="1:12" ht="15" customHeight="1" x14ac:dyDescent="0.3">
      <c r="A670" s="19">
        <v>45139</v>
      </c>
      <c r="B670" s="20">
        <v>5.9520266650794601E-2</v>
      </c>
      <c r="C670" s="20">
        <v>5.9537985234579698E-2</v>
      </c>
      <c r="D670" s="20">
        <v>5.9529126000000002E-2</v>
      </c>
      <c r="E670" s="21">
        <v>-3.4215399999999702E-4</v>
      </c>
      <c r="F670" s="21">
        <v>-0.57148268752563702</v>
      </c>
      <c r="G670" s="21">
        <v>21.7087845284743</v>
      </c>
      <c r="H670" s="20">
        <v>5.9529126000000002E-2</v>
      </c>
      <c r="I670" s="20">
        <v>5.9529126000000002E-2</v>
      </c>
      <c r="K670">
        <f t="shared" si="20"/>
        <v>-5.7148268752563736E-3</v>
      </c>
      <c r="L670">
        <f t="shared" si="21"/>
        <v>2.9764562283505645E-4</v>
      </c>
    </row>
    <row r="671" spans="1:12" ht="15" customHeight="1" x14ac:dyDescent="0.3">
      <c r="A671" s="22">
        <v>45138</v>
      </c>
      <c r="B671" s="23">
        <v>5.9863750104761602E-2</v>
      </c>
      <c r="C671" s="23">
        <v>5.9878805298076702E-2</v>
      </c>
      <c r="D671" s="23">
        <v>5.9871279999999999E-2</v>
      </c>
      <c r="E671" s="24">
        <v>-2.2307300000000399E-4</v>
      </c>
      <c r="F671" s="24">
        <v>-0.371204595546614</v>
      </c>
      <c r="G671" s="24">
        <v>22.408326924940202</v>
      </c>
      <c r="H671" s="23">
        <v>5.9871279999999999E-2</v>
      </c>
      <c r="I671" s="23">
        <v>5.9871279999999999E-2</v>
      </c>
      <c r="K671">
        <f t="shared" si="20"/>
        <v>-3.7120459554661478E-3</v>
      </c>
      <c r="L671">
        <f t="shared" si="21"/>
        <v>2.5145935271636029E-4</v>
      </c>
    </row>
    <row r="672" spans="1:12" ht="15" customHeight="1" x14ac:dyDescent="0.3">
      <c r="A672" s="19">
        <v>45135</v>
      </c>
      <c r="B672" s="20">
        <v>6.0086404249310499E-2</v>
      </c>
      <c r="C672" s="20">
        <v>6.0102294104566002E-2</v>
      </c>
      <c r="D672" s="20">
        <v>6.0094353000000003E-2</v>
      </c>
      <c r="E672" s="21">
        <v>4.4094000000000002E-4</v>
      </c>
      <c r="F672" s="21">
        <v>0.739169777259851</v>
      </c>
      <c r="G672" s="21">
        <v>22.864405243495</v>
      </c>
      <c r="H672" s="20">
        <v>6.0094353000000003E-2</v>
      </c>
      <c r="I672" s="20">
        <v>6.0094353000000003E-2</v>
      </c>
      <c r="K672">
        <f t="shared" si="20"/>
        <v>7.3916977725985156E-3</v>
      </c>
      <c r="L672">
        <f t="shared" si="21"/>
        <v>2.6441511493606403E-4</v>
      </c>
    </row>
    <row r="673" spans="1:12" ht="15" customHeight="1" x14ac:dyDescent="0.3">
      <c r="A673" s="22">
        <v>45134</v>
      </c>
      <c r="B673" s="23">
        <v>5.9648076349537699E-2</v>
      </c>
      <c r="C673" s="23">
        <v>5.9658751938909398E-2</v>
      </c>
      <c r="D673" s="23">
        <v>5.9653413000000002E-2</v>
      </c>
      <c r="E673" s="24">
        <v>2.1717000000000199E-4</v>
      </c>
      <c r="F673" s="24">
        <v>0.36538312154084002</v>
      </c>
      <c r="G673" s="24">
        <v>21.9628924033773</v>
      </c>
      <c r="H673" s="23">
        <v>5.9653413000000002E-2</v>
      </c>
      <c r="I673" s="23">
        <v>5.9653413000000002E-2</v>
      </c>
      <c r="K673">
        <f t="shared" si="20"/>
        <v>3.6538312154084096E-3</v>
      </c>
      <c r="L673">
        <f t="shared" si="21"/>
        <v>1.7896024443226635E-4</v>
      </c>
    </row>
    <row r="674" spans="1:12" ht="15" customHeight="1" x14ac:dyDescent="0.3">
      <c r="A674" s="19">
        <v>45133</v>
      </c>
      <c r="B674" s="20">
        <v>5.9427946586161601E-2</v>
      </c>
      <c r="C674" s="20">
        <v>5.9444550123644697E-2</v>
      </c>
      <c r="D674" s="20">
        <v>5.9436243E-2</v>
      </c>
      <c r="E674" s="21">
        <v>3.7472699999999799E-4</v>
      </c>
      <c r="F674" s="21">
        <v>0.63446898315309097</v>
      </c>
      <c r="G674" s="21">
        <v>21.518882915718301</v>
      </c>
      <c r="H674" s="20">
        <v>5.9436243E-2</v>
      </c>
      <c r="I674" s="20">
        <v>5.9436243E-2</v>
      </c>
      <c r="K674">
        <f t="shared" si="20"/>
        <v>6.3446898315309141E-3</v>
      </c>
      <c r="L674">
        <f t="shared" si="21"/>
        <v>2.7935038698688735E-4</v>
      </c>
    </row>
    <row r="675" spans="1:12" ht="15" customHeight="1" x14ac:dyDescent="0.3">
      <c r="A675" s="22">
        <v>45132</v>
      </c>
      <c r="B675" s="23">
        <v>5.9053839385367603E-2</v>
      </c>
      <c r="C675" s="23">
        <v>5.9069187739599398E-2</v>
      </c>
      <c r="D675" s="23">
        <v>5.9061516000000001E-2</v>
      </c>
      <c r="E675" s="24">
        <v>-3.1209000000000098E-4</v>
      </c>
      <c r="F675" s="24">
        <v>-0.52563760402223303</v>
      </c>
      <c r="G675" s="24">
        <v>20.752744207416001</v>
      </c>
      <c r="H675" s="23">
        <v>5.9061516000000001E-2</v>
      </c>
      <c r="I675" s="23">
        <v>5.9061516000000001E-2</v>
      </c>
      <c r="K675">
        <f t="shared" si="20"/>
        <v>-5.2563760402223325E-3</v>
      </c>
      <c r="L675">
        <f t="shared" si="21"/>
        <v>2.5987064456312021E-4</v>
      </c>
    </row>
    <row r="676" spans="1:12" ht="15" customHeight="1" x14ac:dyDescent="0.3">
      <c r="A676" s="19">
        <v>45131</v>
      </c>
      <c r="B676" s="20">
        <v>5.9365853948126102E-2</v>
      </c>
      <c r="C676" s="20">
        <v>5.9381364940054499E-2</v>
      </c>
      <c r="D676" s="20">
        <v>5.9373606000000002E-2</v>
      </c>
      <c r="E676" s="21">
        <v>3.3649800000000397E-4</v>
      </c>
      <c r="F676" s="21">
        <v>0.56997710660218104</v>
      </c>
      <c r="G676" s="21">
        <v>21.3908200051943</v>
      </c>
      <c r="H676" s="20">
        <v>5.9373606000000002E-2</v>
      </c>
      <c r="I676" s="20">
        <v>5.9373606000000002E-2</v>
      </c>
      <c r="K676">
        <f t="shared" si="20"/>
        <v>5.6997710660218193E-3</v>
      </c>
      <c r="L676">
        <f t="shared" si="21"/>
        <v>2.6124389225065577E-4</v>
      </c>
    </row>
    <row r="677" spans="1:12" ht="15" customHeight="1" x14ac:dyDescent="0.3">
      <c r="A677" s="22">
        <v>45128</v>
      </c>
      <c r="B677" s="23">
        <v>5.9030831803450902E-2</v>
      </c>
      <c r="C677" s="23">
        <v>5.9043379170676702E-2</v>
      </c>
      <c r="D677" s="23">
        <v>5.9037107999999998E-2</v>
      </c>
      <c r="E677" s="24">
        <v>-4.14159000000004E-4</v>
      </c>
      <c r="F677" s="24">
        <v>-0.69663612047158296</v>
      </c>
      <c r="G677" s="24">
        <v>20.702841441956799</v>
      </c>
      <c r="H677" s="23">
        <v>5.9037107999999998E-2</v>
      </c>
      <c r="I677" s="23">
        <v>5.9037107999999998E-2</v>
      </c>
      <c r="K677">
        <f t="shared" si="20"/>
        <v>-6.9663612047158319E-3</v>
      </c>
      <c r="L677">
        <f t="shared" si="21"/>
        <v>2.1253356830758076E-4</v>
      </c>
    </row>
    <row r="678" spans="1:12" ht="15" customHeight="1" x14ac:dyDescent="0.3">
      <c r="A678" s="19">
        <v>45127</v>
      </c>
      <c r="B678" s="20">
        <v>5.9444550123644697E-2</v>
      </c>
      <c r="C678" s="20">
        <v>5.9457981044795598E-2</v>
      </c>
      <c r="D678" s="20">
        <v>5.9451267000000002E-2</v>
      </c>
      <c r="E678" s="21">
        <v>-1.8969299999999699E-4</v>
      </c>
      <c r="F678" s="21">
        <v>-0.31805826063161502</v>
      </c>
      <c r="G678" s="21">
        <v>21.549599858862301</v>
      </c>
      <c r="H678" s="20">
        <v>5.9451267000000002E-2</v>
      </c>
      <c r="I678" s="20">
        <v>5.9451267000000002E-2</v>
      </c>
      <c r="K678">
        <f t="shared" si="20"/>
        <v>-3.1805826063161513E-3</v>
      </c>
      <c r="L678">
        <f t="shared" si="21"/>
        <v>2.25914800956225E-4</v>
      </c>
    </row>
    <row r="679" spans="1:12" ht="15" customHeight="1" x14ac:dyDescent="0.3">
      <c r="A679" s="22">
        <v>45126</v>
      </c>
      <c r="B679" s="23">
        <v>5.9634203793928101E-2</v>
      </c>
      <c r="C679" s="23">
        <v>5.9647720562358703E-2</v>
      </c>
      <c r="D679" s="23">
        <v>5.964096E-2</v>
      </c>
      <c r="E679" s="24">
        <v>-1.98073E-4</v>
      </c>
      <c r="F679" s="24">
        <v>-0.33100969395678498</v>
      </c>
      <c r="G679" s="24">
        <v>21.937431933930199</v>
      </c>
      <c r="H679" s="23">
        <v>5.964096E-2</v>
      </c>
      <c r="I679" s="23">
        <v>5.964096E-2</v>
      </c>
      <c r="K679">
        <f t="shared" si="20"/>
        <v>-3.3100969395678526E-3</v>
      </c>
      <c r="L679">
        <f t="shared" si="21"/>
        <v>2.2663566164263639E-4</v>
      </c>
    </row>
    <row r="680" spans="1:12" ht="15" customHeight="1" x14ac:dyDescent="0.3">
      <c r="A680" s="19">
        <v>45125</v>
      </c>
      <c r="B680" s="20">
        <v>5.9832588417607503E-2</v>
      </c>
      <c r="C680" s="20">
        <v>5.9845478973290997E-2</v>
      </c>
      <c r="D680" s="20">
        <v>5.9839033E-2</v>
      </c>
      <c r="E680" s="21">
        <v>3.77160000000001E-4</v>
      </c>
      <c r="F680" s="21">
        <v>0.63428879880726896</v>
      </c>
      <c r="G680" s="21">
        <v>22.3423971282438</v>
      </c>
      <c r="H680" s="20">
        <v>5.9839033E-2</v>
      </c>
      <c r="I680" s="20">
        <v>5.9839033E-2</v>
      </c>
      <c r="K680">
        <f t="shared" si="20"/>
        <v>6.3428879880726985E-3</v>
      </c>
      <c r="L680">
        <f t="shared" si="21"/>
        <v>2.1542052130912255E-4</v>
      </c>
    </row>
    <row r="681" spans="1:12" ht="15" customHeight="1" x14ac:dyDescent="0.3">
      <c r="A681" s="22">
        <v>45124</v>
      </c>
      <c r="B681" s="23">
        <v>5.9454092522458798E-2</v>
      </c>
      <c r="C681" s="23">
        <v>5.94696496642938E-2</v>
      </c>
      <c r="D681" s="23">
        <v>5.9461872999999998E-2</v>
      </c>
      <c r="E681" s="24">
        <v>7.5924999999997495E-5</v>
      </c>
      <c r="F681" s="24">
        <v>0.127850110265148</v>
      </c>
      <c r="G681" s="24">
        <v>21.571284090690401</v>
      </c>
      <c r="H681" s="23">
        <v>5.9461872999999998E-2</v>
      </c>
      <c r="I681" s="23">
        <v>5.9461872999999998E-2</v>
      </c>
      <c r="K681">
        <f t="shared" si="20"/>
        <v>1.2785011026514859E-3</v>
      </c>
      <c r="L681">
        <f t="shared" si="21"/>
        <v>2.6163221994371844E-4</v>
      </c>
    </row>
    <row r="682" spans="1:12" ht="15" customHeight="1" x14ac:dyDescent="0.3">
      <c r="A682" s="19">
        <v>45121</v>
      </c>
      <c r="B682" s="20">
        <v>5.93781915777973E-2</v>
      </c>
      <c r="C682" s="20">
        <v>5.9393709018340797E-2</v>
      </c>
      <c r="D682" s="20">
        <v>5.9385948000000001E-2</v>
      </c>
      <c r="E682" s="21">
        <v>3.4535800000000302E-4</v>
      </c>
      <c r="F682" s="21">
        <v>0.58495011652153195</v>
      </c>
      <c r="G682" s="21">
        <v>21.416053532369698</v>
      </c>
      <c r="H682" s="20">
        <v>5.9385948000000001E-2</v>
      </c>
      <c r="I682" s="20">
        <v>5.9385948000000001E-2</v>
      </c>
      <c r="K682">
        <f t="shared" si="20"/>
        <v>5.8495011652153206E-3</v>
      </c>
      <c r="L682">
        <f t="shared" si="21"/>
        <v>2.6129818696330533E-4</v>
      </c>
    </row>
    <row r="683" spans="1:12" ht="15" customHeight="1" x14ac:dyDescent="0.3">
      <c r="A683" s="22">
        <v>45120</v>
      </c>
      <c r="B683" s="23">
        <v>5.9032574174429399E-2</v>
      </c>
      <c r="C683" s="23">
        <v>5.9048608814776297E-2</v>
      </c>
      <c r="D683" s="23">
        <v>5.9040589999999997E-2</v>
      </c>
      <c r="E683" s="24">
        <v>-4.1597400000000602E-4</v>
      </c>
      <c r="F683" s="24">
        <v>-0.69962670564010998</v>
      </c>
      <c r="G683" s="24">
        <v>20.709960477901099</v>
      </c>
      <c r="H683" s="23">
        <v>5.9040589999999997E-2</v>
      </c>
      <c r="I683" s="23">
        <v>5.9040589999999997E-2</v>
      </c>
      <c r="K683">
        <f t="shared" si="20"/>
        <v>-6.9962670564011065E-3</v>
      </c>
      <c r="L683">
        <f t="shared" si="21"/>
        <v>2.7158672274275392E-4</v>
      </c>
    </row>
    <row r="684" spans="1:12" ht="15" customHeight="1" x14ac:dyDescent="0.3">
      <c r="A684" s="19">
        <v>45119</v>
      </c>
      <c r="B684" s="20">
        <v>5.9449851078122999E-2</v>
      </c>
      <c r="C684" s="20">
        <v>5.9463284395050303E-2</v>
      </c>
      <c r="D684" s="20">
        <v>5.9456564000000003E-2</v>
      </c>
      <c r="E684" s="21">
        <v>9.2054900000000596E-4</v>
      </c>
      <c r="F684" s="21">
        <v>1.57261986488148</v>
      </c>
      <c r="G684" s="21">
        <v>21.5604297076266</v>
      </c>
      <c r="H684" s="20">
        <v>5.9456564000000003E-2</v>
      </c>
      <c r="I684" s="20">
        <v>5.9456564000000003E-2</v>
      </c>
      <c r="K684">
        <f t="shared" si="20"/>
        <v>1.572619864881486E-2</v>
      </c>
      <c r="L684">
        <f t="shared" si="21"/>
        <v>2.2593496871605362E-4</v>
      </c>
    </row>
    <row r="685" spans="1:12" ht="15" customHeight="1" x14ac:dyDescent="0.3">
      <c r="A685" s="22">
        <v>45118</v>
      </c>
      <c r="B685" s="23">
        <v>5.8527791921994199E-2</v>
      </c>
      <c r="C685" s="23">
        <v>5.8544238954165703E-2</v>
      </c>
      <c r="D685" s="23">
        <v>5.8536014999999997E-2</v>
      </c>
      <c r="E685" s="24">
        <v>-4.1143000000000402E-5</v>
      </c>
      <c r="F685" s="24">
        <v>-7.0237275765405699E-2</v>
      </c>
      <c r="G685" s="24">
        <v>19.678344291339702</v>
      </c>
      <c r="H685" s="23">
        <v>5.8536014999999997E-2</v>
      </c>
      <c r="I685" s="23">
        <v>5.8536014999999997E-2</v>
      </c>
      <c r="K685">
        <f t="shared" si="20"/>
        <v>-7.0237275765405727E-4</v>
      </c>
      <c r="L685">
        <f t="shared" si="21"/>
        <v>2.8097287065927427E-4</v>
      </c>
    </row>
    <row r="686" spans="1:12" ht="15" customHeight="1" x14ac:dyDescent="0.3">
      <c r="A686" s="19">
        <v>45117</v>
      </c>
      <c r="B686" s="20">
        <v>5.8568583811643399E-2</v>
      </c>
      <c r="C686" s="20">
        <v>5.8585740230827799E-2</v>
      </c>
      <c r="D686" s="20">
        <v>5.8577157999999997E-2</v>
      </c>
      <c r="E686" s="21">
        <v>1.5997199999999399E-4</v>
      </c>
      <c r="F686" s="21">
        <v>0.27384407047610299</v>
      </c>
      <c r="G686" s="21">
        <v>19.762462182166001</v>
      </c>
      <c r="H686" s="20">
        <v>5.8577157999999997E-2</v>
      </c>
      <c r="I686" s="20">
        <v>5.8577157999999997E-2</v>
      </c>
      <c r="K686">
        <f t="shared" si="20"/>
        <v>2.738440704761036E-3</v>
      </c>
      <c r="L686">
        <f t="shared" si="21"/>
        <v>2.9288582393157086E-4</v>
      </c>
    </row>
    <row r="687" spans="1:12" ht="15" customHeight="1" x14ac:dyDescent="0.3">
      <c r="A687" s="22">
        <v>45114</v>
      </c>
      <c r="B687" s="23">
        <v>5.8408485584785799E-2</v>
      </c>
      <c r="C687" s="23">
        <v>5.8425889680235099E-2</v>
      </c>
      <c r="D687" s="23">
        <v>5.8417186000000003E-2</v>
      </c>
      <c r="E687" s="24">
        <v>3.4349000000000098E-4</v>
      </c>
      <c r="F687" s="24">
        <v>0.59147260060734497</v>
      </c>
      <c r="G687" s="24">
        <v>19.435395433721101</v>
      </c>
      <c r="H687" s="23">
        <v>5.8417186000000003E-2</v>
      </c>
      <c r="I687" s="23">
        <v>5.8417186000000003E-2</v>
      </c>
      <c r="K687">
        <f t="shared" si="20"/>
        <v>5.9147260060734563E-3</v>
      </c>
      <c r="L687">
        <f t="shared" si="21"/>
        <v>2.9792765863970036E-4</v>
      </c>
    </row>
    <row r="688" spans="1:12" ht="15" customHeight="1" x14ac:dyDescent="0.3">
      <c r="A688" s="19">
        <v>45113</v>
      </c>
      <c r="B688" s="20">
        <v>5.8065939681101901E-2</v>
      </c>
      <c r="C688" s="20">
        <v>5.80814534302906E-2</v>
      </c>
      <c r="D688" s="20">
        <v>5.8073696000000001E-2</v>
      </c>
      <c r="E688" s="21">
        <v>-7.1179799999999895E-4</v>
      </c>
      <c r="F688" s="21">
        <v>-1.2108395312625899</v>
      </c>
      <c r="G688" s="21">
        <v>18.733121551895799</v>
      </c>
      <c r="H688" s="20">
        <v>5.8073696000000001E-2</v>
      </c>
      <c r="I688" s="20">
        <v>5.8073696000000001E-2</v>
      </c>
      <c r="K688">
        <f t="shared" si="20"/>
        <v>-1.2108395312625975E-2</v>
      </c>
      <c r="L688">
        <f t="shared" si="21"/>
        <v>2.6713900194502704E-4</v>
      </c>
    </row>
    <row r="689" spans="1:12" ht="15" customHeight="1" x14ac:dyDescent="0.3">
      <c r="A689" s="22">
        <v>45112</v>
      </c>
      <c r="B689" s="23">
        <v>5.8779617579808E-2</v>
      </c>
      <c r="C689" s="23">
        <v>5.8791367075658602E-2</v>
      </c>
      <c r="D689" s="23">
        <v>5.8785494000000001E-2</v>
      </c>
      <c r="E689" s="24">
        <v>3.4539999999999503E-5</v>
      </c>
      <c r="F689" s="24">
        <v>5.8790534703478899E-2</v>
      </c>
      <c r="G689" s="24">
        <v>20.188410336243098</v>
      </c>
      <c r="H689" s="23">
        <v>5.8785494000000001E-2</v>
      </c>
      <c r="I689" s="23">
        <v>5.8785494000000001E-2</v>
      </c>
      <c r="K689">
        <f t="shared" si="20"/>
        <v>5.8790534703478947E-4</v>
      </c>
      <c r="L689">
        <f t="shared" si="21"/>
        <v>1.9987066623276199E-4</v>
      </c>
    </row>
    <row r="690" spans="1:12" ht="15" customHeight="1" x14ac:dyDescent="0.3">
      <c r="A690" s="19">
        <v>45111</v>
      </c>
      <c r="B690" s="20">
        <v>5.8741291603519798E-2</v>
      </c>
      <c r="C690" s="20">
        <v>5.8760620982242502E-2</v>
      </c>
      <c r="D690" s="20">
        <v>5.8750954000000001E-2</v>
      </c>
      <c r="E690" s="21">
        <v>1.6264400000000299E-4</v>
      </c>
      <c r="F690" s="21">
        <v>0.27760486690946401</v>
      </c>
      <c r="G690" s="21">
        <v>20.117792443791402</v>
      </c>
      <c r="H690" s="20">
        <v>5.8750954000000001E-2</v>
      </c>
      <c r="I690" s="20">
        <v>5.8750954000000001E-2</v>
      </c>
      <c r="K690">
        <f t="shared" si="20"/>
        <v>2.776048669094644E-3</v>
      </c>
      <c r="L690">
        <f t="shared" si="21"/>
        <v>3.2900535917603071E-4</v>
      </c>
    </row>
    <row r="691" spans="1:12" ht="15" customHeight="1" x14ac:dyDescent="0.3">
      <c r="A691" s="22">
        <v>45110</v>
      </c>
      <c r="B691" s="23">
        <v>5.8580592249787601E-2</v>
      </c>
      <c r="C691" s="23">
        <v>5.85960389077698E-2</v>
      </c>
      <c r="D691" s="23">
        <v>5.8588309999999998E-2</v>
      </c>
      <c r="E691" s="24">
        <v>2.8096999999999801E-4</v>
      </c>
      <c r="F691" s="24">
        <v>0.48187758179329898</v>
      </c>
      <c r="G691" s="24">
        <v>19.7852627246276</v>
      </c>
      <c r="H691" s="23">
        <v>5.8588309999999998E-2</v>
      </c>
      <c r="I691" s="23">
        <v>5.8588309999999998E-2</v>
      </c>
      <c r="K691">
        <f t="shared" si="20"/>
        <v>4.8187758179329965E-3</v>
      </c>
      <c r="L691">
        <f t="shared" si="21"/>
        <v>2.6364744062764054E-4</v>
      </c>
    </row>
    <row r="692" spans="1:12" ht="15" customHeight="1" x14ac:dyDescent="0.3">
      <c r="A692" s="19">
        <v>45107</v>
      </c>
      <c r="B692" s="20">
        <v>5.8301219078490903E-2</v>
      </c>
      <c r="C692" s="20">
        <v>5.8313458163009403E-2</v>
      </c>
      <c r="D692" s="20">
        <v>5.8307339999999999E-2</v>
      </c>
      <c r="E692" s="21">
        <v>-5.6145999999999899E-5</v>
      </c>
      <c r="F692" s="21">
        <v>-9.6200559370285196E-2</v>
      </c>
      <c r="G692" s="21">
        <v>19.2108125439049</v>
      </c>
      <c r="H692" s="20">
        <v>5.8307339999999999E-2</v>
      </c>
      <c r="I692" s="20">
        <v>5.8307339999999999E-2</v>
      </c>
      <c r="K692">
        <f t="shared" si="20"/>
        <v>-9.6200559370285266E-4</v>
      </c>
      <c r="L692">
        <f t="shared" si="21"/>
        <v>2.0990641175708808E-4</v>
      </c>
    </row>
    <row r="693" spans="1:12" ht="15" customHeight="1" x14ac:dyDescent="0.3">
      <c r="A693" s="22">
        <v>45106</v>
      </c>
      <c r="B693" s="23">
        <v>5.83573571120111E-2</v>
      </c>
      <c r="C693" s="23">
        <v>5.83696197802967E-2</v>
      </c>
      <c r="D693" s="23">
        <v>5.8363485999999999E-2</v>
      </c>
      <c r="E693" s="24">
        <v>-1.0066100000000099E-4</v>
      </c>
      <c r="F693" s="24">
        <v>-0.172175607043412</v>
      </c>
      <c r="G693" s="24">
        <v>19.325604442850899</v>
      </c>
      <c r="H693" s="23">
        <v>5.8363485999999999E-2</v>
      </c>
      <c r="I693" s="23">
        <v>5.8363485999999999E-2</v>
      </c>
      <c r="K693">
        <f t="shared" si="20"/>
        <v>-1.7217560704341217E-3</v>
      </c>
      <c r="L693">
        <f t="shared" si="21"/>
        <v>2.1010856489277329E-4</v>
      </c>
    </row>
    <row r="694" spans="1:12" ht="15" customHeight="1" x14ac:dyDescent="0.3">
      <c r="A694" s="19">
        <v>45105</v>
      </c>
      <c r="B694" s="20">
        <v>5.8458336743402999E-2</v>
      </c>
      <c r="C694" s="20">
        <v>5.8469958135510001E-2</v>
      </c>
      <c r="D694" s="20">
        <v>5.8464147000000001E-2</v>
      </c>
      <c r="E694" s="21">
        <v>-7.0152999999996399E-5</v>
      </c>
      <c r="F694" s="21">
        <v>-0.11984938745316299</v>
      </c>
      <c r="G694" s="21">
        <v>19.531408370820898</v>
      </c>
      <c r="H694" s="20">
        <v>5.8464147000000001E-2</v>
      </c>
      <c r="I694" s="20">
        <v>5.8464147000000001E-2</v>
      </c>
      <c r="K694">
        <f t="shared" si="20"/>
        <v>-1.1984938745316365E-3</v>
      </c>
      <c r="L694">
        <f t="shared" si="21"/>
        <v>1.9877810082481783E-4</v>
      </c>
    </row>
    <row r="695" spans="1:12" ht="15" customHeight="1" x14ac:dyDescent="0.3">
      <c r="A695" s="22">
        <v>45104</v>
      </c>
      <c r="B695" s="23">
        <v>5.85291621550438E-2</v>
      </c>
      <c r="C695" s="23">
        <v>5.8539440948338899E-2</v>
      </c>
      <c r="D695" s="23">
        <v>5.8534299999999997E-2</v>
      </c>
      <c r="E695" s="24">
        <v>2.38855999999995E-4</v>
      </c>
      <c r="F695" s="24">
        <v>0.409733563398195</v>
      </c>
      <c r="G695" s="24">
        <v>19.6748379310167</v>
      </c>
      <c r="H695" s="23">
        <v>5.8534299999999997E-2</v>
      </c>
      <c r="I695" s="23">
        <v>5.8534299999999997E-2</v>
      </c>
      <c r="K695">
        <f t="shared" si="20"/>
        <v>4.0973356339819578E-3</v>
      </c>
      <c r="L695">
        <f t="shared" si="21"/>
        <v>1.7560290795480139E-4</v>
      </c>
    </row>
    <row r="696" spans="1:12" ht="15" customHeight="1" x14ac:dyDescent="0.3">
      <c r="A696" s="19">
        <v>45103</v>
      </c>
      <c r="B696" s="20">
        <v>5.8288985130479899E-2</v>
      </c>
      <c r="C696" s="20">
        <v>5.8301898892846898E-2</v>
      </c>
      <c r="D696" s="20">
        <v>5.8295444000000002E-2</v>
      </c>
      <c r="E696" s="21">
        <v>1.4745900000000199E-4</v>
      </c>
      <c r="F696" s="21">
        <v>0.25359262234108099</v>
      </c>
      <c r="G696" s="21">
        <v>19.1864908748659</v>
      </c>
      <c r="H696" s="20">
        <v>5.8295444000000002E-2</v>
      </c>
      <c r="I696" s="20">
        <v>5.8295444000000002E-2</v>
      </c>
      <c r="K696">
        <f t="shared" si="20"/>
        <v>2.5359262234108115E-3</v>
      </c>
      <c r="L696">
        <f t="shared" si="21"/>
        <v>2.2152266937016903E-4</v>
      </c>
    </row>
    <row r="697" spans="1:12" ht="15" customHeight="1" x14ac:dyDescent="0.3">
      <c r="A697" s="22">
        <v>45100</v>
      </c>
      <c r="B697" s="23">
        <v>5.8135816895431097E-2</v>
      </c>
      <c r="C697" s="23">
        <v>5.8160161452608203E-2</v>
      </c>
      <c r="D697" s="23">
        <v>5.8147984999999999E-2</v>
      </c>
      <c r="E697" s="24">
        <v>-3.3835000000002802E-5</v>
      </c>
      <c r="F697" s="24">
        <v>-5.8153904432700597E-2</v>
      </c>
      <c r="G697" s="24">
        <v>18.885007267366198</v>
      </c>
      <c r="H697" s="23">
        <v>5.8147984999999999E-2</v>
      </c>
      <c r="I697" s="23">
        <v>5.8147984999999999E-2</v>
      </c>
      <c r="K697">
        <f t="shared" si="20"/>
        <v>-5.8153904432700632E-4</v>
      </c>
      <c r="L697">
        <f t="shared" si="21"/>
        <v>4.1866553376020848E-4</v>
      </c>
    </row>
    <row r="698" spans="1:12" ht="15" customHeight="1" x14ac:dyDescent="0.3">
      <c r="A698" s="19">
        <v>45099</v>
      </c>
      <c r="B698" s="20">
        <v>5.8173356602676002E-2</v>
      </c>
      <c r="C698" s="20">
        <v>5.8190282222868803E-2</v>
      </c>
      <c r="D698" s="20">
        <v>5.8181820000000002E-2</v>
      </c>
      <c r="E698" s="21">
        <v>-4.4039999999995099E-5</v>
      </c>
      <c r="F698" s="21">
        <v>-7.5636495536512902E-2</v>
      </c>
      <c r="G698" s="21">
        <v>18.954183769714302</v>
      </c>
      <c r="H698" s="20">
        <v>5.8181820000000002E-2</v>
      </c>
      <c r="I698" s="20">
        <v>5.8181820000000002E-2</v>
      </c>
      <c r="K698">
        <f t="shared" si="20"/>
        <v>-7.5636495536512971E-4</v>
      </c>
      <c r="L698">
        <f t="shared" si="21"/>
        <v>2.9090908797285578E-4</v>
      </c>
    </row>
    <row r="699" spans="1:12" ht="15" customHeight="1" x14ac:dyDescent="0.3">
      <c r="A699" s="22">
        <v>45098</v>
      </c>
      <c r="B699" s="23">
        <v>5.8217383710775998E-2</v>
      </c>
      <c r="C699" s="23">
        <v>5.8234334963894699E-2</v>
      </c>
      <c r="D699" s="23">
        <v>5.8225859999999997E-2</v>
      </c>
      <c r="E699" s="24">
        <v>-6.8734000000000796E-5</v>
      </c>
      <c r="F699" s="24">
        <v>-0.117908017336909</v>
      </c>
      <c r="G699" s="24">
        <v>19.0442246493777</v>
      </c>
      <c r="H699" s="23">
        <v>5.8225859999999997E-2</v>
      </c>
      <c r="I699" s="23">
        <v>5.8225859999999997E-2</v>
      </c>
      <c r="K699">
        <f t="shared" si="20"/>
        <v>-1.1790801733690959E-3</v>
      </c>
      <c r="L699">
        <f t="shared" si="21"/>
        <v>2.911292872050455E-4</v>
      </c>
    </row>
    <row r="700" spans="1:12" ht="15" customHeight="1" x14ac:dyDescent="0.3">
      <c r="A700" s="19">
        <v>45097</v>
      </c>
      <c r="B700" s="20">
        <v>5.8283889167356398E-2</v>
      </c>
      <c r="C700" s="20">
        <v>5.8305298202447703E-2</v>
      </c>
      <c r="D700" s="20">
        <v>5.8294593999999998E-2</v>
      </c>
      <c r="E700" s="21">
        <v>-1.28564000000004E-4</v>
      </c>
      <c r="F700" s="21">
        <v>-0.22005657414138</v>
      </c>
      <c r="G700" s="21">
        <v>19.184753028641701</v>
      </c>
      <c r="H700" s="20">
        <v>5.8294593999999998E-2</v>
      </c>
      <c r="I700" s="20">
        <v>5.8294593999999998E-2</v>
      </c>
      <c r="K700">
        <f t="shared" si="20"/>
        <v>-2.2005657414138069E-3</v>
      </c>
      <c r="L700">
        <f t="shared" si="21"/>
        <v>3.6725592584631214E-4</v>
      </c>
    </row>
    <row r="701" spans="1:12" ht="15" customHeight="1" x14ac:dyDescent="0.3">
      <c r="A701" s="22">
        <v>45096</v>
      </c>
      <c r="B701" s="23">
        <v>5.8416674455556601E-2</v>
      </c>
      <c r="C701" s="23">
        <v>5.8429644864618498E-2</v>
      </c>
      <c r="D701" s="23">
        <v>5.8423158000000003E-2</v>
      </c>
      <c r="E701" s="24">
        <v>6.6481999999999598E-5</v>
      </c>
      <c r="F701" s="24">
        <v>0.113923555207295</v>
      </c>
      <c r="G701" s="24">
        <v>19.4476053368398</v>
      </c>
      <c r="H701" s="23">
        <v>5.8423158000000003E-2</v>
      </c>
      <c r="I701" s="23">
        <v>5.8423158000000003E-2</v>
      </c>
      <c r="K701">
        <f t="shared" si="20"/>
        <v>1.1392355520729591E-3</v>
      </c>
      <c r="L701">
        <f t="shared" si="21"/>
        <v>2.220080102807264E-4</v>
      </c>
    </row>
    <row r="702" spans="1:12" ht="15" customHeight="1" x14ac:dyDescent="0.3">
      <c r="A702" s="19">
        <v>45093</v>
      </c>
      <c r="B702" s="20">
        <v>5.8350206267979203E-2</v>
      </c>
      <c r="C702" s="20">
        <v>5.83631471743482E-2</v>
      </c>
      <c r="D702" s="20">
        <v>5.8356676000000003E-2</v>
      </c>
      <c r="E702" s="21">
        <v>2.7454600000000002E-4</v>
      </c>
      <c r="F702" s="21">
        <v>0.47268583297479499</v>
      </c>
      <c r="G702" s="21">
        <v>19.311681227807501</v>
      </c>
      <c r="H702" s="20">
        <v>5.8356676000000003E-2</v>
      </c>
      <c r="I702" s="20">
        <v>5.8356676000000003E-2</v>
      </c>
      <c r="K702">
        <f t="shared" si="20"/>
        <v>4.7268583297479516E-3</v>
      </c>
      <c r="L702">
        <f t="shared" si="21"/>
        <v>2.2175537155331971E-4</v>
      </c>
    </row>
    <row r="703" spans="1:12" ht="15" customHeight="1" x14ac:dyDescent="0.3">
      <c r="A703" s="22">
        <v>45092</v>
      </c>
      <c r="B703" s="23">
        <v>5.8071334827702402E-2</v>
      </c>
      <c r="C703" s="23">
        <v>5.80929254435395E-2</v>
      </c>
      <c r="D703" s="23">
        <v>5.8082130000000003E-2</v>
      </c>
      <c r="E703" s="24">
        <v>-3.3931999999999702E-4</v>
      </c>
      <c r="F703" s="24">
        <v>-0.58081406743584196</v>
      </c>
      <c r="G703" s="24">
        <v>18.750365075489899</v>
      </c>
      <c r="H703" s="23">
        <v>5.8082130000000003E-2</v>
      </c>
      <c r="I703" s="23">
        <v>5.8082130000000003E-2</v>
      </c>
      <c r="K703">
        <f t="shared" si="20"/>
        <v>-5.8081406743584196E-3</v>
      </c>
      <c r="L703">
        <f t="shared" si="21"/>
        <v>3.7172562089404229E-4</v>
      </c>
    </row>
    <row r="704" spans="1:12" ht="15" customHeight="1" x14ac:dyDescent="0.3">
      <c r="A704" s="19">
        <v>45091</v>
      </c>
      <c r="B704" s="20">
        <v>5.8414285797734701E-2</v>
      </c>
      <c r="C704" s="20">
        <v>5.8428620675551698E-2</v>
      </c>
      <c r="D704" s="20">
        <v>5.842145E-2</v>
      </c>
      <c r="E704" s="21">
        <v>4.20169999999997E-4</v>
      </c>
      <c r="F704" s="21">
        <v>0.72441504739204599</v>
      </c>
      <c r="G704" s="21">
        <v>19.444113288191701</v>
      </c>
      <c r="H704" s="20">
        <v>5.842145E-2</v>
      </c>
      <c r="I704" s="20">
        <v>5.842145E-2</v>
      </c>
      <c r="K704">
        <f t="shared" si="20"/>
        <v>7.2441504739204632E-3</v>
      </c>
      <c r="L704">
        <f t="shared" si="21"/>
        <v>2.4537011349422922E-4</v>
      </c>
    </row>
    <row r="705" spans="1:12" ht="15" customHeight="1" x14ac:dyDescent="0.3">
      <c r="A705" s="22">
        <v>45090</v>
      </c>
      <c r="B705" s="23">
        <v>5.7994548512439799E-2</v>
      </c>
      <c r="C705" s="23">
        <v>5.8008005104704399E-2</v>
      </c>
      <c r="D705" s="23">
        <v>5.8001280000000002E-2</v>
      </c>
      <c r="E705" s="24">
        <v>2.7122699999999802E-4</v>
      </c>
      <c r="F705" s="24">
        <v>0.46981941970500801</v>
      </c>
      <c r="G705" s="24">
        <v>18.585065231693601</v>
      </c>
      <c r="H705" s="23">
        <v>5.8001280000000002E-2</v>
      </c>
      <c r="I705" s="23">
        <v>5.8001280000000002E-2</v>
      </c>
      <c r="K705">
        <f t="shared" si="20"/>
        <v>4.6981941970500873E-3</v>
      </c>
      <c r="L705">
        <f t="shared" si="21"/>
        <v>2.3200509134626757E-4</v>
      </c>
    </row>
    <row r="706" spans="1:12" ht="15" customHeight="1" x14ac:dyDescent="0.3">
      <c r="A706" s="19">
        <v>45089</v>
      </c>
      <c r="B706" s="20">
        <v>5.7723056320385997E-2</v>
      </c>
      <c r="C706" s="20">
        <v>5.7737053909087198E-2</v>
      </c>
      <c r="D706" s="20">
        <v>5.7730053000000003E-2</v>
      </c>
      <c r="E706" s="21">
        <v>2.4986000000004599E-5</v>
      </c>
      <c r="F706" s="21">
        <v>4.3299490493620099E-2</v>
      </c>
      <c r="G706" s="21">
        <v>18.030534857750201</v>
      </c>
      <c r="H706" s="20">
        <v>5.7730053000000003E-2</v>
      </c>
      <c r="I706" s="20">
        <v>5.7730053000000003E-2</v>
      </c>
      <c r="K706">
        <f t="shared" si="20"/>
        <v>4.3299490493620141E-4</v>
      </c>
      <c r="L706">
        <f t="shared" si="21"/>
        <v>2.4246623680045126E-4</v>
      </c>
    </row>
    <row r="707" spans="1:12" ht="15" customHeight="1" x14ac:dyDescent="0.3">
      <c r="A707" s="22">
        <v>45086</v>
      </c>
      <c r="B707" s="23">
        <v>5.7696413014002898E-2</v>
      </c>
      <c r="C707" s="23">
        <v>5.7713728364566098E-2</v>
      </c>
      <c r="D707" s="23">
        <v>5.7705066999999999E-2</v>
      </c>
      <c r="E707" s="24">
        <v>3.3518999999999899E-4</v>
      </c>
      <c r="F707" s="24">
        <v>0.58426131887994104</v>
      </c>
      <c r="G707" s="24">
        <v>17.9794503568585</v>
      </c>
      <c r="H707" s="23">
        <v>5.7705066999999999E-2</v>
      </c>
      <c r="I707" s="23">
        <v>5.7705066999999999E-2</v>
      </c>
      <c r="K707">
        <f t="shared" si="20"/>
        <v>5.842613188799417E-3</v>
      </c>
      <c r="L707">
        <f t="shared" si="21"/>
        <v>3.0006638001478075E-4</v>
      </c>
    </row>
    <row r="708" spans="1:12" ht="15" customHeight="1" x14ac:dyDescent="0.3">
      <c r="A708" s="19">
        <v>45085</v>
      </c>
      <c r="B708" s="20">
        <v>5.7362473469855998E-2</v>
      </c>
      <c r="C708" s="20">
        <v>5.7377284333132501E-2</v>
      </c>
      <c r="D708" s="20">
        <v>5.7369877E-2</v>
      </c>
      <c r="E708" s="21">
        <v>-1.8159599999999901E-4</v>
      </c>
      <c r="F708" s="21">
        <v>-0.31553666749762899</v>
      </c>
      <c r="G708" s="21">
        <v>17.294146032281301</v>
      </c>
      <c r="H708" s="20">
        <v>5.7369877E-2</v>
      </c>
      <c r="I708" s="20">
        <v>5.7369877E-2</v>
      </c>
      <c r="K708">
        <f t="shared" si="20"/>
        <v>-3.1553666749762899E-3</v>
      </c>
      <c r="L708">
        <f t="shared" si="21"/>
        <v>2.5816445931203379E-4</v>
      </c>
    </row>
    <row r="709" spans="1:12" ht="15" customHeight="1" x14ac:dyDescent="0.3">
      <c r="A709" s="22">
        <v>45084</v>
      </c>
      <c r="B709" s="23">
        <v>5.7545014587661203E-2</v>
      </c>
      <c r="C709" s="23">
        <v>5.7557932058616999E-2</v>
      </c>
      <c r="D709" s="23">
        <v>5.7551472999999999E-2</v>
      </c>
      <c r="E709" s="24">
        <v>2.2023899999999699E-4</v>
      </c>
      <c r="F709" s="24">
        <v>0.384151856909276</v>
      </c>
      <c r="G709" s="24">
        <v>17.665423588669999</v>
      </c>
      <c r="H709" s="23">
        <v>5.7551472999999999E-2</v>
      </c>
      <c r="I709" s="23">
        <v>5.7551472999999999E-2</v>
      </c>
      <c r="K709">
        <f t="shared" ref="K709:K772" si="22">D709/D710-1</f>
        <v>3.8415185690927611E-3</v>
      </c>
      <c r="L709">
        <f t="shared" ref="L709:L772" si="23">(C709-B709)/D709</f>
        <v>2.2445074439356874E-4</v>
      </c>
    </row>
    <row r="710" spans="1:12" ht="15" customHeight="1" x14ac:dyDescent="0.3">
      <c r="A710" s="19">
        <v>45083</v>
      </c>
      <c r="B710" s="20">
        <v>5.7322686599675501E-2</v>
      </c>
      <c r="C710" s="20">
        <v>5.7339778324417001E-2</v>
      </c>
      <c r="D710" s="20">
        <v>5.7331234000000002E-2</v>
      </c>
      <c r="E710" s="21">
        <v>1.0007600000000399E-4</v>
      </c>
      <c r="F710" s="21">
        <v>0.17486279064982099</v>
      </c>
      <c r="G710" s="21">
        <v>17.2151394538791</v>
      </c>
      <c r="H710" s="20">
        <v>5.7331234000000002E-2</v>
      </c>
      <c r="I710" s="20">
        <v>5.7331234000000002E-2</v>
      </c>
      <c r="K710">
        <f t="shared" si="22"/>
        <v>1.7486279064982124E-3</v>
      </c>
      <c r="L710">
        <f t="shared" si="23"/>
        <v>2.9812239418219709E-4</v>
      </c>
    </row>
    <row r="711" spans="1:12" ht="15" customHeight="1" x14ac:dyDescent="0.3">
      <c r="A711" s="22">
        <v>45082</v>
      </c>
      <c r="B711" s="23">
        <v>5.7224934048263502E-2</v>
      </c>
      <c r="C711" s="23">
        <v>5.72373805885147E-2</v>
      </c>
      <c r="D711" s="23">
        <v>5.7231157999999997E-2</v>
      </c>
      <c r="E711" s="24">
        <v>3.2737999999997402E-5</v>
      </c>
      <c r="F711" s="24">
        <v>5.7235846724434901E-2</v>
      </c>
      <c r="G711" s="24">
        <v>17.010531573016401</v>
      </c>
      <c r="H711" s="23">
        <v>5.7231157999999997E-2</v>
      </c>
      <c r="I711" s="23">
        <v>5.7231157999999997E-2</v>
      </c>
      <c r="K711">
        <f t="shared" si="22"/>
        <v>5.7235846724434936E-4</v>
      </c>
      <c r="L711">
        <f t="shared" si="23"/>
        <v>2.1747839264753713E-4</v>
      </c>
    </row>
    <row r="712" spans="1:12" ht="15" customHeight="1" x14ac:dyDescent="0.3">
      <c r="A712" s="19">
        <v>45079</v>
      </c>
      <c r="B712" s="20">
        <v>5.7189916273962603E-2</v>
      </c>
      <c r="C712" s="20">
        <v>5.7206928903228801E-2</v>
      </c>
      <c r="D712" s="20">
        <v>5.719842E-2</v>
      </c>
      <c r="E712" s="21">
        <v>2.34592999999998E-4</v>
      </c>
      <c r="F712" s="21">
        <v>0.41182801850725398</v>
      </c>
      <c r="G712" s="21">
        <v>16.943597914560002</v>
      </c>
      <c r="H712" s="20">
        <v>5.719842E-2</v>
      </c>
      <c r="I712" s="20">
        <v>5.719842E-2</v>
      </c>
      <c r="K712">
        <f t="shared" si="22"/>
        <v>4.1182801850725426E-3</v>
      </c>
      <c r="L712">
        <f t="shared" si="23"/>
        <v>2.9743180434351954E-4</v>
      </c>
    </row>
    <row r="713" spans="1:12" ht="15" customHeight="1" x14ac:dyDescent="0.3">
      <c r="A713" s="22">
        <v>45078</v>
      </c>
      <c r="B713" s="23">
        <v>5.6956365728215601E-2</v>
      </c>
      <c r="C713" s="23">
        <v>5.6971292165877603E-2</v>
      </c>
      <c r="D713" s="23">
        <v>5.6963827000000002E-2</v>
      </c>
      <c r="E713" s="24">
        <v>6.5197000000000096E-4</v>
      </c>
      <c r="F713" s="24">
        <v>1.1577845852251001</v>
      </c>
      <c r="G713" s="24">
        <v>16.463966668354701</v>
      </c>
      <c r="H713" s="23">
        <v>5.6963827000000002E-2</v>
      </c>
      <c r="I713" s="23">
        <v>5.6963827000000002E-2</v>
      </c>
      <c r="K713">
        <f t="shared" si="22"/>
        <v>1.1577845852251079E-2</v>
      </c>
      <c r="L713">
        <f t="shared" si="23"/>
        <v>2.620336176149524E-4</v>
      </c>
    </row>
    <row r="714" spans="1:12" ht="15" customHeight="1" x14ac:dyDescent="0.3">
      <c r="A714" s="19">
        <v>45077</v>
      </c>
      <c r="B714" s="20">
        <v>5.6302502083192603E-2</v>
      </c>
      <c r="C714" s="20">
        <v>5.6321211131324198E-2</v>
      </c>
      <c r="D714" s="20">
        <v>5.6311857E-2</v>
      </c>
      <c r="E714" s="21">
        <v>-3.01263000000003E-4</v>
      </c>
      <c r="F714" s="21">
        <v>-0.53214343247643903</v>
      </c>
      <c r="G714" s="21">
        <v>15.1309977238916</v>
      </c>
      <c r="H714" s="20">
        <v>5.6311857E-2</v>
      </c>
      <c r="I714" s="20">
        <v>5.6311857E-2</v>
      </c>
      <c r="K714">
        <f t="shared" si="22"/>
        <v>-5.3214343247643958E-3</v>
      </c>
      <c r="L714">
        <f t="shared" si="23"/>
        <v>3.3223994249727246E-4</v>
      </c>
    </row>
    <row r="715" spans="1:12" ht="15" customHeight="1" x14ac:dyDescent="0.3">
      <c r="A715" s="22">
        <v>45076</v>
      </c>
      <c r="B715" s="23">
        <v>5.6605909656968198E-2</v>
      </c>
      <c r="C715" s="23">
        <v>5.6620332361351E-2</v>
      </c>
      <c r="D715" s="23">
        <v>5.6613120000000003E-2</v>
      </c>
      <c r="E715" s="24">
        <v>-4.0267499999999801E-4</v>
      </c>
      <c r="F715" s="24">
        <v>-0.70625166236829495</v>
      </c>
      <c r="G715" s="24">
        <v>15.7469374498235</v>
      </c>
      <c r="H715" s="23">
        <v>5.6613120000000003E-2</v>
      </c>
      <c r="I715" s="23">
        <v>5.6613120000000003E-2</v>
      </c>
      <c r="K715">
        <f t="shared" si="22"/>
        <v>-7.0625166236829573E-3</v>
      </c>
      <c r="L715">
        <f t="shared" si="23"/>
        <v>2.5475904494933561E-4</v>
      </c>
    </row>
    <row r="716" spans="1:12" ht="15" customHeight="1" x14ac:dyDescent="0.3">
      <c r="A716" s="19">
        <v>45075</v>
      </c>
      <c r="B716" s="20">
        <v>5.7005392710150399E-2</v>
      </c>
      <c r="C716" s="20">
        <v>5.7026197835285501E-2</v>
      </c>
      <c r="D716" s="20">
        <v>5.7015795000000001E-2</v>
      </c>
      <c r="E716" s="21">
        <v>4.0187300000000398E-4</v>
      </c>
      <c r="F716" s="21">
        <v>0.70984836556633402</v>
      </c>
      <c r="G716" s="21">
        <v>16.570216541977501</v>
      </c>
      <c r="H716" s="20">
        <v>5.7015795000000001E-2</v>
      </c>
      <c r="I716" s="20">
        <v>5.7015795000000001E-2</v>
      </c>
      <c r="K716">
        <f t="shared" si="22"/>
        <v>7.0984836556633457E-3</v>
      </c>
      <c r="L716">
        <f t="shared" si="23"/>
        <v>3.6490107934305588E-4</v>
      </c>
    </row>
    <row r="717" spans="1:12" ht="15" customHeight="1" x14ac:dyDescent="0.3">
      <c r="A717" s="22">
        <v>45072</v>
      </c>
      <c r="B717" s="23">
        <v>5.66091140673649E-2</v>
      </c>
      <c r="C717" s="23">
        <v>5.6618729475710602E-2</v>
      </c>
      <c r="D717" s="23">
        <v>5.6613921999999997E-2</v>
      </c>
      <c r="E717" s="24">
        <v>5.0428500000000004E-4</v>
      </c>
      <c r="F717" s="24">
        <v>0.89874935387659305</v>
      </c>
      <c r="G717" s="24">
        <v>15.7485771588491</v>
      </c>
      <c r="H717" s="23">
        <v>5.6613921999999997E-2</v>
      </c>
      <c r="I717" s="23">
        <v>5.6613921999999997E-2</v>
      </c>
      <c r="K717">
        <f t="shared" si="22"/>
        <v>8.9874935387659338E-3</v>
      </c>
      <c r="L717">
        <f t="shared" si="23"/>
        <v>1.6984176340409724E-4</v>
      </c>
    </row>
    <row r="718" spans="1:12" ht="15" customHeight="1" x14ac:dyDescent="0.3">
      <c r="A718" s="19">
        <v>45071</v>
      </c>
      <c r="B718" s="20">
        <v>5.6100667036931097E-2</v>
      </c>
      <c r="C718" s="20">
        <v>5.6118612298955102E-2</v>
      </c>
      <c r="D718" s="20">
        <v>5.6109636999999997E-2</v>
      </c>
      <c r="E718" s="21">
        <v>5.5069999999948703E-6</v>
      </c>
      <c r="F718" s="21">
        <v>9.81567667119875E-3</v>
      </c>
      <c r="G718" s="21">
        <v>14.7175538845289</v>
      </c>
      <c r="H718" s="20">
        <v>5.6109636999999997E-2</v>
      </c>
      <c r="I718" s="20">
        <v>5.6109636999999997E-2</v>
      </c>
      <c r="K718">
        <f t="shared" si="22"/>
        <v>9.8156766711987586E-5</v>
      </c>
      <c r="L718">
        <f t="shared" si="23"/>
        <v>3.1982495313603686E-4</v>
      </c>
    </row>
    <row r="719" spans="1:12" ht="15" customHeight="1" x14ac:dyDescent="0.3">
      <c r="A719" s="22">
        <v>45070</v>
      </c>
      <c r="B719" s="23">
        <v>5.6097834623583503E-2</v>
      </c>
      <c r="C719" s="23">
        <v>5.6110425317023899E-2</v>
      </c>
      <c r="D719" s="23">
        <v>5.6104130000000002E-2</v>
      </c>
      <c r="E719" s="24">
        <v>5.05330000000005E-4</v>
      </c>
      <c r="F719" s="24">
        <v>0.90888652273071102</v>
      </c>
      <c r="G719" s="24">
        <v>14.706294685521</v>
      </c>
      <c r="H719" s="23">
        <v>5.6104130000000002E-2</v>
      </c>
      <c r="I719" s="23">
        <v>5.6104130000000002E-2</v>
      </c>
      <c r="K719">
        <f t="shared" si="22"/>
        <v>9.0888652273071191E-3</v>
      </c>
      <c r="L719">
        <f t="shared" si="23"/>
        <v>2.2441651693725945E-4</v>
      </c>
    </row>
    <row r="720" spans="1:12" ht="15" customHeight="1" x14ac:dyDescent="0.3">
      <c r="A720" s="19">
        <v>45069</v>
      </c>
      <c r="B720" s="20">
        <v>5.5592308248230797E-2</v>
      </c>
      <c r="C720" s="20">
        <v>5.5605291399529598E-2</v>
      </c>
      <c r="D720" s="20">
        <v>5.5598799999999997E-2</v>
      </c>
      <c r="E720" s="21">
        <v>-3.2023300000000299E-4</v>
      </c>
      <c r="F720" s="21">
        <v>-0.57267263545133196</v>
      </c>
      <c r="G720" s="21">
        <v>13.673134882607499</v>
      </c>
      <c r="H720" s="20">
        <v>5.5598799999999997E-2</v>
      </c>
      <c r="I720" s="20">
        <v>5.5598799999999997E-2</v>
      </c>
      <c r="K720">
        <f t="shared" si="22"/>
        <v>-5.7267263545133229E-3</v>
      </c>
      <c r="L720">
        <f t="shared" si="23"/>
        <v>2.3351495533718372E-4</v>
      </c>
    </row>
    <row r="721" spans="1:12" ht="15" customHeight="1" x14ac:dyDescent="0.3">
      <c r="A721" s="22">
        <v>45068</v>
      </c>
      <c r="B721" s="23">
        <v>5.5912776069331802E-2</v>
      </c>
      <c r="C721" s="23">
        <v>5.5925283820815401E-2</v>
      </c>
      <c r="D721" s="23">
        <v>5.5919033E-2</v>
      </c>
      <c r="E721" s="24">
        <v>-5.5580699999999801E-4</v>
      </c>
      <c r="F721" s="24">
        <v>-0.98416746289143797</v>
      </c>
      <c r="G721" s="24">
        <v>14.327859247213601</v>
      </c>
      <c r="H721" s="23">
        <v>5.5919033E-2</v>
      </c>
      <c r="I721" s="23">
        <v>5.5919033E-2</v>
      </c>
      <c r="K721">
        <f t="shared" si="22"/>
        <v>-9.8416746289143875E-3</v>
      </c>
      <c r="L721">
        <f t="shared" si="23"/>
        <v>2.2367610476381895E-4</v>
      </c>
    </row>
    <row r="722" spans="1:12" ht="15" customHeight="1" x14ac:dyDescent="0.3">
      <c r="A722" s="19">
        <v>45065</v>
      </c>
      <c r="B722" s="20">
        <v>5.6467505773802502E-2</v>
      </c>
      <c r="C722" s="20">
        <v>5.6482177049032203E-2</v>
      </c>
      <c r="D722" s="20">
        <v>5.6474839999999998E-2</v>
      </c>
      <c r="E722" s="21">
        <v>1.3205199999999999E-4</v>
      </c>
      <c r="F722" s="21">
        <v>0.23437249857072201</v>
      </c>
      <c r="G722" s="21">
        <v>15.4642205370202</v>
      </c>
      <c r="H722" s="20">
        <v>5.6474839999999998E-2</v>
      </c>
      <c r="I722" s="20">
        <v>5.6474839999999998E-2</v>
      </c>
      <c r="K722">
        <f t="shared" si="22"/>
        <v>2.3437249857072295E-3</v>
      </c>
      <c r="L722">
        <f t="shared" si="23"/>
        <v>2.5978427260176326E-4</v>
      </c>
    </row>
    <row r="723" spans="1:12" ht="15" customHeight="1" x14ac:dyDescent="0.3">
      <c r="A723" s="22">
        <v>45064</v>
      </c>
      <c r="B723" s="23">
        <v>5.6336441227007698E-2</v>
      </c>
      <c r="C723" s="23">
        <v>5.6349139266897698E-2</v>
      </c>
      <c r="D723" s="23">
        <v>5.6342787999999998E-2</v>
      </c>
      <c r="E723" s="24">
        <v>-4.1573499999999998E-4</v>
      </c>
      <c r="F723" s="24">
        <v>-0.73246268230059397</v>
      </c>
      <c r="G723" s="24">
        <v>15.1942369257279</v>
      </c>
      <c r="H723" s="23">
        <v>5.6342787999999998E-2</v>
      </c>
      <c r="I723" s="23">
        <v>5.6342787999999998E-2</v>
      </c>
      <c r="K723">
        <f t="shared" si="22"/>
        <v>-7.3246268230059419E-3</v>
      </c>
      <c r="L723">
        <f t="shared" si="23"/>
        <v>2.2537116711369542E-4</v>
      </c>
    </row>
    <row r="724" spans="1:12" ht="15" customHeight="1" x14ac:dyDescent="0.3">
      <c r="A724" s="19">
        <v>45063</v>
      </c>
      <c r="B724" s="20">
        <v>5.6752722711872101E-2</v>
      </c>
      <c r="C724" s="20">
        <v>5.6764320218883203E-2</v>
      </c>
      <c r="D724" s="20">
        <v>5.6758522999999998E-2</v>
      </c>
      <c r="E724" s="21">
        <v>-4.8410100000000002E-4</v>
      </c>
      <c r="F724" s="21">
        <v>-0.84570022506306097</v>
      </c>
      <c r="G724" s="21">
        <v>16.0442175139856</v>
      </c>
      <c r="H724" s="20">
        <v>5.6758522999999998E-2</v>
      </c>
      <c r="I724" s="20">
        <v>5.6758522999999998E-2</v>
      </c>
      <c r="K724">
        <f t="shared" si="22"/>
        <v>-8.4570022506306186E-3</v>
      </c>
      <c r="L724">
        <f t="shared" si="23"/>
        <v>2.0433066961770391E-4</v>
      </c>
    </row>
    <row r="725" spans="1:12" ht="15" customHeight="1" x14ac:dyDescent="0.3">
      <c r="A725" s="22">
        <v>45062</v>
      </c>
      <c r="B725" s="23">
        <v>5.7235087397978501E-2</v>
      </c>
      <c r="C725" s="23">
        <v>5.7250160300448799E-2</v>
      </c>
      <c r="D725" s="23">
        <v>5.7242623999999999E-2</v>
      </c>
      <c r="E725" s="24">
        <v>3.5009099999999601E-4</v>
      </c>
      <c r="F725" s="24">
        <v>0.61535491836863798</v>
      </c>
      <c r="G725" s="24">
        <v>17.033974096318399</v>
      </c>
      <c r="H725" s="23">
        <v>5.7242623999999999E-2</v>
      </c>
      <c r="I725" s="23">
        <v>5.7242623999999999E-2</v>
      </c>
      <c r="K725">
        <f t="shared" si="22"/>
        <v>6.1535491836863798E-3</v>
      </c>
      <c r="L725">
        <f t="shared" si="23"/>
        <v>2.6331606444697227E-4</v>
      </c>
    </row>
    <row r="726" spans="1:12" ht="15" customHeight="1" x14ac:dyDescent="0.3">
      <c r="A726" s="19">
        <v>45061</v>
      </c>
      <c r="B726" s="20">
        <v>5.6886057227373603E-2</v>
      </c>
      <c r="C726" s="20">
        <v>5.68990042674253E-2</v>
      </c>
      <c r="D726" s="20">
        <v>5.6892533000000002E-2</v>
      </c>
      <c r="E726" s="21">
        <v>1.2595600000000299E-4</v>
      </c>
      <c r="F726" s="21">
        <v>0.22188408506647</v>
      </c>
      <c r="G726" s="21">
        <v>16.3182043051685</v>
      </c>
      <c r="H726" s="20">
        <v>5.6892533000000002E-2</v>
      </c>
      <c r="I726" s="20">
        <v>5.6892533000000002E-2</v>
      </c>
      <c r="K726">
        <f t="shared" si="22"/>
        <v>2.218840850664705E-3</v>
      </c>
      <c r="L726">
        <f t="shared" si="23"/>
        <v>2.2757011103192282E-4</v>
      </c>
    </row>
    <row r="727" spans="1:12" ht="15" customHeight="1" x14ac:dyDescent="0.3">
      <c r="A727" s="22">
        <v>45058</v>
      </c>
      <c r="B727" s="23">
        <v>5.6758843027743699E-2</v>
      </c>
      <c r="C727" s="23">
        <v>5.67743107598674E-2</v>
      </c>
      <c r="D727" s="23">
        <v>5.6766576999999999E-2</v>
      </c>
      <c r="E727" s="24">
        <v>8.28569999999986E-5</v>
      </c>
      <c r="F727" s="24">
        <v>0.14617424544471899</v>
      </c>
      <c r="G727" s="24">
        <v>16.0606841180911</v>
      </c>
      <c r="H727" s="23">
        <v>5.6766576999999999E-2</v>
      </c>
      <c r="I727" s="23">
        <v>5.6766576999999999E-2</v>
      </c>
      <c r="K727">
        <f t="shared" si="22"/>
        <v>1.4617424544471902E-3</v>
      </c>
      <c r="L727">
        <f t="shared" si="23"/>
        <v>2.7247956352379881E-4</v>
      </c>
    </row>
    <row r="728" spans="1:12" ht="15" customHeight="1" x14ac:dyDescent="0.3">
      <c r="A728" s="19">
        <v>45057</v>
      </c>
      <c r="B728" s="20">
        <v>5.66758481540676E-2</v>
      </c>
      <c r="C728" s="20">
        <v>5.6691592069980097E-2</v>
      </c>
      <c r="D728" s="20">
        <v>5.668372E-2</v>
      </c>
      <c r="E728" s="21">
        <v>-5.5475999999998701E-5</v>
      </c>
      <c r="F728" s="21">
        <v>-9.7773680120527506E-2</v>
      </c>
      <c r="G728" s="21">
        <v>15.8912809126808</v>
      </c>
      <c r="H728" s="20">
        <v>5.668372E-2</v>
      </c>
      <c r="I728" s="20">
        <v>5.668372E-2</v>
      </c>
      <c r="K728">
        <f t="shared" si="22"/>
        <v>-9.7773680120527562E-4</v>
      </c>
      <c r="L728">
        <f t="shared" si="23"/>
        <v>2.7775022374144183E-4</v>
      </c>
    </row>
    <row r="729" spans="1:12" ht="15" customHeight="1" x14ac:dyDescent="0.3">
      <c r="A729" s="22">
        <v>45056</v>
      </c>
      <c r="B729" s="23">
        <v>5.67334040609771E-2</v>
      </c>
      <c r="C729" s="23">
        <v>5.6744993672933203E-2</v>
      </c>
      <c r="D729" s="23">
        <v>5.6739195999999999E-2</v>
      </c>
      <c r="E729" s="24">
        <v>4.4873599999999798E-4</v>
      </c>
      <c r="F729" s="24">
        <v>0.79717948654176496</v>
      </c>
      <c r="G729" s="24">
        <v>16.0047029798971</v>
      </c>
      <c r="H729" s="23">
        <v>5.6739195999999999E-2</v>
      </c>
      <c r="I729" s="23">
        <v>5.6739195999999999E-2</v>
      </c>
      <c r="K729">
        <f t="shared" si="22"/>
        <v>7.9717948654176585E-3</v>
      </c>
      <c r="L729">
        <f t="shared" si="23"/>
        <v>2.0426112411080336E-4</v>
      </c>
    </row>
    <row r="730" spans="1:12" ht="15" customHeight="1" x14ac:dyDescent="0.3">
      <c r="A730" s="19">
        <v>45055</v>
      </c>
      <c r="B730" s="20">
        <v>5.6285706244899099E-2</v>
      </c>
      <c r="C730" s="20">
        <v>5.6295212092211597E-2</v>
      </c>
      <c r="D730" s="20">
        <v>5.629046E-2</v>
      </c>
      <c r="E730" s="21">
        <v>1.70589999999998E-4</v>
      </c>
      <c r="F730" s="21">
        <v>0.303974332085932</v>
      </c>
      <c r="G730" s="21">
        <v>15.087251023116</v>
      </c>
      <c r="H730" s="20">
        <v>5.629046E-2</v>
      </c>
      <c r="I730" s="20">
        <v>5.629046E-2</v>
      </c>
      <c r="K730">
        <f t="shared" si="22"/>
        <v>3.0397433208593228E-3</v>
      </c>
      <c r="L730">
        <f t="shared" si="23"/>
        <v>1.6887137380824162E-4</v>
      </c>
    </row>
    <row r="731" spans="1:12" ht="15" customHeight="1" x14ac:dyDescent="0.3">
      <c r="A731" s="22">
        <v>45054</v>
      </c>
      <c r="B731" s="23">
        <v>5.6113259001969597E-2</v>
      </c>
      <c r="C731" s="23">
        <v>5.6126486650315201E-2</v>
      </c>
      <c r="D731" s="23">
        <v>5.6119870000000002E-2</v>
      </c>
      <c r="E731" s="24">
        <v>1.25899999999998E-5</v>
      </c>
      <c r="F731" s="24">
        <v>2.2439155845721499E-2</v>
      </c>
      <c r="G731" s="24">
        <v>14.738475508543299</v>
      </c>
      <c r="H731" s="23">
        <v>5.6119870000000002E-2</v>
      </c>
      <c r="I731" s="23">
        <v>5.6119870000000002E-2</v>
      </c>
      <c r="K731">
        <f t="shared" si="22"/>
        <v>2.2439155845721537E-4</v>
      </c>
      <c r="L731">
        <f t="shared" si="23"/>
        <v>2.3570347446642286E-4</v>
      </c>
    </row>
    <row r="732" spans="1:12" ht="15" customHeight="1" x14ac:dyDescent="0.3">
      <c r="A732" s="19">
        <v>45051</v>
      </c>
      <c r="B732" s="20">
        <v>5.6098464024055002E-2</v>
      </c>
      <c r="C732" s="20">
        <v>5.6116092973142802E-2</v>
      </c>
      <c r="D732" s="20">
        <v>5.6107280000000002E-2</v>
      </c>
      <c r="E732" s="21">
        <v>5.2393000000000502E-4</v>
      </c>
      <c r="F732" s="21">
        <v>0.94260241601127304</v>
      </c>
      <c r="G732" s="21">
        <v>14.7127349391754</v>
      </c>
      <c r="H732" s="20">
        <v>5.6107280000000002E-2</v>
      </c>
      <c r="I732" s="20">
        <v>5.6107280000000002E-2</v>
      </c>
      <c r="K732">
        <f t="shared" si="22"/>
        <v>9.4260241601127337E-3</v>
      </c>
      <c r="L732">
        <f t="shared" si="23"/>
        <v>3.1420074342937502E-4</v>
      </c>
    </row>
    <row r="733" spans="1:12" ht="15" customHeight="1" x14ac:dyDescent="0.3">
      <c r="A733" s="22">
        <v>45050</v>
      </c>
      <c r="B733" s="23">
        <v>5.55777866702237E-2</v>
      </c>
      <c r="C733" s="23">
        <v>5.55889089008961E-2</v>
      </c>
      <c r="D733" s="23">
        <v>5.5583349999999997E-2</v>
      </c>
      <c r="E733" s="24">
        <v>-2.51380000000002E-4</v>
      </c>
      <c r="F733" s="24">
        <v>-0.45022157356183701</v>
      </c>
      <c r="G733" s="24">
        <v>13.641546971826401</v>
      </c>
      <c r="H733" s="23">
        <v>5.5583349999999997E-2</v>
      </c>
      <c r="I733" s="23">
        <v>5.5583349999999997E-2</v>
      </c>
      <c r="K733">
        <f t="shared" si="22"/>
        <v>-4.5022157356183756E-3</v>
      </c>
      <c r="L733">
        <f t="shared" si="23"/>
        <v>2.0010004205216395E-4</v>
      </c>
    </row>
    <row r="734" spans="1:12" ht="15" customHeight="1" x14ac:dyDescent="0.3">
      <c r="A734" s="19">
        <v>45049</v>
      </c>
      <c r="B734" s="20">
        <v>5.5827559833187303E-2</v>
      </c>
      <c r="C734" s="20">
        <v>5.5841900411554797E-2</v>
      </c>
      <c r="D734" s="20">
        <v>5.5834729999999999E-2</v>
      </c>
      <c r="E734" s="21">
        <v>3.5314999999999598E-4</v>
      </c>
      <c r="F734" s="21">
        <v>0.63651756132394599</v>
      </c>
      <c r="G734" s="21">
        <v>14.155499658697201</v>
      </c>
      <c r="H734" s="20">
        <v>5.5834729999999999E-2</v>
      </c>
      <c r="I734" s="20">
        <v>5.5834729999999999E-2</v>
      </c>
      <c r="K734">
        <f t="shared" si="22"/>
        <v>6.3651756132394599E-3</v>
      </c>
      <c r="L734">
        <f t="shared" si="23"/>
        <v>2.5683975488901553E-4</v>
      </c>
    </row>
    <row r="735" spans="1:12" ht="15" customHeight="1" x14ac:dyDescent="0.3">
      <c r="A735" s="22">
        <v>45048</v>
      </c>
      <c r="B735" s="23">
        <v>5.54769631910349E-2</v>
      </c>
      <c r="C735" s="23">
        <v>5.5486197808295203E-2</v>
      </c>
      <c r="D735" s="23">
        <v>5.5481580000000003E-2</v>
      </c>
      <c r="E735" s="24">
        <v>-3.0953699999999802E-4</v>
      </c>
      <c r="F735" s="24">
        <v>-0.55481412928154406</v>
      </c>
      <c r="G735" s="24">
        <v>13.4334756656651</v>
      </c>
      <c r="H735" s="23">
        <v>5.5481580000000003E-2</v>
      </c>
      <c r="I735" s="23">
        <v>5.5481580000000003E-2</v>
      </c>
      <c r="K735">
        <f t="shared" si="22"/>
        <v>-5.548141292815445E-3</v>
      </c>
      <c r="L735">
        <f t="shared" si="23"/>
        <v>1.6644474184589235E-4</v>
      </c>
    </row>
    <row r="736" spans="1:12" ht="15" customHeight="1" x14ac:dyDescent="0.3">
      <c r="A736" s="19">
        <v>45047</v>
      </c>
      <c r="B736" s="20">
        <v>5.5784893450853502E-2</v>
      </c>
      <c r="C736" s="20">
        <v>5.5797344046423399E-2</v>
      </c>
      <c r="D736" s="20">
        <v>5.5791117000000001E-2</v>
      </c>
      <c r="E736" s="21">
        <v>3.55672000000001E-4</v>
      </c>
      <c r="F736" s="21">
        <v>0.64159672570500703</v>
      </c>
      <c r="G736" s="21">
        <v>14.0663317911958</v>
      </c>
      <c r="H736" s="20">
        <v>5.5791117000000001E-2</v>
      </c>
      <c r="I736" s="20">
        <v>5.5791117000000001E-2</v>
      </c>
      <c r="K736">
        <f t="shared" si="22"/>
        <v>6.4159672570500703E-3</v>
      </c>
      <c r="L736">
        <f t="shared" si="23"/>
        <v>2.2316447921084172E-4</v>
      </c>
    </row>
    <row r="737" spans="1:12" ht="15" customHeight="1" x14ac:dyDescent="0.3">
      <c r="A737" s="22">
        <v>45044</v>
      </c>
      <c r="B737" s="23">
        <v>5.5428070992273301E-2</v>
      </c>
      <c r="C737" s="23">
        <v>5.54428218178592E-2</v>
      </c>
      <c r="D737" s="23">
        <v>5.5435445E-2</v>
      </c>
      <c r="E737" s="24">
        <v>9.5102999999999106E-5</v>
      </c>
      <c r="F737" s="24">
        <v>0.17185112444733</v>
      </c>
      <c r="G737" s="24">
        <v>13.3391515061903</v>
      </c>
      <c r="H737" s="23">
        <v>5.5435445E-2</v>
      </c>
      <c r="I737" s="23">
        <v>5.5435445E-2</v>
      </c>
      <c r="K737">
        <f t="shared" si="22"/>
        <v>1.7185112444733086E-3</v>
      </c>
      <c r="L737">
        <f t="shared" si="23"/>
        <v>2.6609014477829354E-4</v>
      </c>
    </row>
    <row r="738" spans="1:12" ht="15" customHeight="1" x14ac:dyDescent="0.3">
      <c r="A738" s="19">
        <v>45043</v>
      </c>
      <c r="B738" s="20">
        <v>5.5334218680832201E-2</v>
      </c>
      <c r="C738" s="20">
        <v>5.5346468895284502E-2</v>
      </c>
      <c r="D738" s="20">
        <v>5.5340342000000001E-2</v>
      </c>
      <c r="E738" s="21">
        <v>1.69448000000002E-4</v>
      </c>
      <c r="F738" s="21">
        <v>0.30713296036131099</v>
      </c>
      <c r="G738" s="21">
        <v>13.1447110480016</v>
      </c>
      <c r="H738" s="20">
        <v>5.5340342000000001E-2</v>
      </c>
      <c r="I738" s="20">
        <v>5.5340342000000001E-2</v>
      </c>
      <c r="K738">
        <f t="shared" si="22"/>
        <v>3.0713296036131155E-3</v>
      </c>
      <c r="L738">
        <f t="shared" si="23"/>
        <v>2.2136137959359757E-4</v>
      </c>
    </row>
    <row r="739" spans="1:12" ht="15" customHeight="1" x14ac:dyDescent="0.3">
      <c r="A739" s="22">
        <v>45042</v>
      </c>
      <c r="B739" s="23">
        <v>5.5165413492356798E-2</v>
      </c>
      <c r="C739" s="23">
        <v>5.5176371270767001E-2</v>
      </c>
      <c r="D739" s="23">
        <v>5.5170893999999998E-2</v>
      </c>
      <c r="E739" s="24">
        <v>-1.3272100000000201E-4</v>
      </c>
      <c r="F739" s="24">
        <v>-0.239986120256341</v>
      </c>
      <c r="G739" s="24">
        <v>12.798270380944199</v>
      </c>
      <c r="H739" s="23">
        <v>5.5170893999999998E-2</v>
      </c>
      <c r="I739" s="23">
        <v>5.5170893999999998E-2</v>
      </c>
      <c r="K739">
        <f t="shared" si="22"/>
        <v>-2.3998612025634136E-3</v>
      </c>
      <c r="L739">
        <f t="shared" si="23"/>
        <v>1.9861520478901956E-4</v>
      </c>
    </row>
    <row r="740" spans="1:12" ht="15" customHeight="1" x14ac:dyDescent="0.3">
      <c r="A740" s="19">
        <v>45041</v>
      </c>
      <c r="B740" s="20">
        <v>5.5298112122452101E-2</v>
      </c>
      <c r="C740" s="20">
        <v>5.5309122686695897E-2</v>
      </c>
      <c r="D740" s="20">
        <v>5.5303615E-2</v>
      </c>
      <c r="E740" s="21">
        <v>-1.4720099999999901E-4</v>
      </c>
      <c r="F740" s="21">
        <v>-0.26546227922056298</v>
      </c>
      <c r="G740" s="21">
        <v>13.069621779441199</v>
      </c>
      <c r="H740" s="20">
        <v>5.5303615E-2</v>
      </c>
      <c r="I740" s="20">
        <v>5.5303615E-2</v>
      </c>
      <c r="K740">
        <f t="shared" si="22"/>
        <v>-2.6546227922056298E-3</v>
      </c>
      <c r="L740">
        <f t="shared" si="23"/>
        <v>1.9909302933987801E-4</v>
      </c>
    </row>
    <row r="741" spans="1:12" ht="15" customHeight="1" x14ac:dyDescent="0.3">
      <c r="A741" s="22">
        <v>45040</v>
      </c>
      <c r="B741" s="23">
        <v>5.5445281052129702E-2</v>
      </c>
      <c r="C741" s="23">
        <v>5.5456350306673598E-2</v>
      </c>
      <c r="D741" s="23">
        <v>5.5450816E-2</v>
      </c>
      <c r="E741" s="24">
        <v>-1.07823999999999E-4</v>
      </c>
      <c r="F741" s="24">
        <v>-0.194072425098956</v>
      </c>
      <c r="G741" s="24">
        <v>13.3705778994988</v>
      </c>
      <c r="H741" s="23">
        <v>5.5450816E-2</v>
      </c>
      <c r="I741" s="23">
        <v>5.5450816E-2</v>
      </c>
      <c r="K741">
        <f t="shared" si="22"/>
        <v>-1.9407242509895672E-3</v>
      </c>
      <c r="L741">
        <f t="shared" si="23"/>
        <v>1.9962293330174521E-4</v>
      </c>
    </row>
    <row r="742" spans="1:12" ht="15" customHeight="1" x14ac:dyDescent="0.3">
      <c r="A742" s="19">
        <v>45037</v>
      </c>
      <c r="B742" s="20">
        <v>5.5548766261901299E-2</v>
      </c>
      <c r="C742" s="20">
        <v>5.5568521543915797E-2</v>
      </c>
      <c r="D742" s="20">
        <v>5.5558639999999999E-2</v>
      </c>
      <c r="E742" s="21">
        <v>1.9285000000000799E-5</v>
      </c>
      <c r="F742" s="21">
        <v>3.4723125610658302E-2</v>
      </c>
      <c r="G742" s="21">
        <v>13.5910267598264</v>
      </c>
      <c r="H742" s="20">
        <v>5.5558639999999999E-2</v>
      </c>
      <c r="I742" s="20">
        <v>5.5558639999999999E-2</v>
      </c>
      <c r="K742">
        <f t="shared" si="22"/>
        <v>3.4723125610658379E-4</v>
      </c>
      <c r="L742">
        <f t="shared" si="23"/>
        <v>3.5557533471838643E-4</v>
      </c>
    </row>
    <row r="743" spans="1:12" ht="15" customHeight="1" x14ac:dyDescent="0.3">
      <c r="A743" s="22">
        <v>45036</v>
      </c>
      <c r="B743" s="23">
        <v>5.5532725435098899E-2</v>
      </c>
      <c r="C743" s="23">
        <v>5.5545989301842499E-2</v>
      </c>
      <c r="D743" s="23">
        <v>5.5539354999999999E-2</v>
      </c>
      <c r="E743" s="24">
        <v>1.16964999999996E-4</v>
      </c>
      <c r="F743" s="24">
        <v>0.211042865527799</v>
      </c>
      <c r="G743" s="24">
        <v>13.5515980957866</v>
      </c>
      <c r="H743" s="23">
        <v>5.5539354999999999E-2</v>
      </c>
      <c r="I743" s="23">
        <v>5.5539354999999999E-2</v>
      </c>
      <c r="K743">
        <f t="shared" si="22"/>
        <v>2.1104286552779961E-3</v>
      </c>
      <c r="L743">
        <f t="shared" si="23"/>
        <v>2.3881924346438616E-4</v>
      </c>
    </row>
    <row r="744" spans="1:12" ht="15" customHeight="1" x14ac:dyDescent="0.3">
      <c r="A744" s="19">
        <v>45035</v>
      </c>
      <c r="B744" s="20">
        <v>5.5416091724714997E-2</v>
      </c>
      <c r="C744" s="20">
        <v>5.5428685453295802E-2</v>
      </c>
      <c r="D744" s="20">
        <v>5.5422390000000002E-2</v>
      </c>
      <c r="E744" s="21">
        <v>9.1998000000002801E-5</v>
      </c>
      <c r="F744" s="21">
        <v>0.166270284150527</v>
      </c>
      <c r="G744" s="21">
        <v>13.3124602327115</v>
      </c>
      <c r="H744" s="20">
        <v>5.5422390000000002E-2</v>
      </c>
      <c r="I744" s="20">
        <v>5.5422390000000002E-2</v>
      </c>
      <c r="K744">
        <f t="shared" si="22"/>
        <v>1.6627028415052703E-3</v>
      </c>
      <c r="L744">
        <f t="shared" si="23"/>
        <v>2.2723178449729505E-4</v>
      </c>
    </row>
    <row r="745" spans="1:12" ht="15" customHeight="1" x14ac:dyDescent="0.3">
      <c r="A745" s="22">
        <v>45034</v>
      </c>
      <c r="B745" s="23">
        <v>5.5324422413029997E-2</v>
      </c>
      <c r="C745" s="23">
        <v>5.5336362076884298E-2</v>
      </c>
      <c r="D745" s="23">
        <v>5.5330391999999999E-2</v>
      </c>
      <c r="E745" s="24">
        <v>2.1727199999999701E-4</v>
      </c>
      <c r="F745" s="24">
        <v>0.39422917809770402</v>
      </c>
      <c r="G745" s="24">
        <v>13.124368024553601</v>
      </c>
      <c r="H745" s="23">
        <v>5.5330391999999999E-2</v>
      </c>
      <c r="I745" s="23">
        <v>5.5330391999999999E-2</v>
      </c>
      <c r="K745">
        <f t="shared" si="22"/>
        <v>3.9422917809770475E-3</v>
      </c>
      <c r="L745">
        <f t="shared" si="23"/>
        <v>2.1578852819803621E-4</v>
      </c>
    </row>
    <row r="746" spans="1:12" ht="15" customHeight="1" x14ac:dyDescent="0.3">
      <c r="A746" s="19">
        <v>45033</v>
      </c>
      <c r="B746" s="20">
        <v>5.5106741758786798E-2</v>
      </c>
      <c r="C746" s="20">
        <v>5.5119499073992398E-2</v>
      </c>
      <c r="D746" s="20">
        <v>5.5113120000000002E-2</v>
      </c>
      <c r="E746" s="21">
        <v>-1.9355699999999601E-4</v>
      </c>
      <c r="F746" s="21">
        <v>-0.34997040230784199</v>
      </c>
      <c r="G746" s="21">
        <v>12.6801499953476</v>
      </c>
      <c r="H746" s="20">
        <v>5.5113120000000002E-2</v>
      </c>
      <c r="I746" s="20">
        <v>5.5113120000000002E-2</v>
      </c>
      <c r="K746">
        <f t="shared" si="22"/>
        <v>-3.4997040230784204E-3</v>
      </c>
      <c r="L746">
        <f t="shared" si="23"/>
        <v>2.3147510439619208E-4</v>
      </c>
    </row>
    <row r="747" spans="1:12" ht="15" customHeight="1" x14ac:dyDescent="0.3">
      <c r="A747" s="22">
        <v>45030</v>
      </c>
      <c r="B747" s="23">
        <v>5.5297500552974999E-2</v>
      </c>
      <c r="C747" s="23">
        <v>5.5315853523619903E-2</v>
      </c>
      <c r="D747" s="23">
        <v>5.5306676999999999E-2</v>
      </c>
      <c r="E747" s="24">
        <v>-1.4567299999999799E-4</v>
      </c>
      <c r="F747" s="24">
        <v>-0.262699416706413</v>
      </c>
      <c r="G747" s="24">
        <v>13.075882114898301</v>
      </c>
      <c r="H747" s="23">
        <v>5.5306676999999999E-2</v>
      </c>
      <c r="I747" s="23">
        <v>5.5306676999999999E-2</v>
      </c>
      <c r="K747">
        <f t="shared" si="22"/>
        <v>-2.6269941670641339E-3</v>
      </c>
      <c r="L747">
        <f t="shared" si="23"/>
        <v>3.3184005332491747E-4</v>
      </c>
    </row>
    <row r="748" spans="1:12" ht="15" customHeight="1" x14ac:dyDescent="0.3">
      <c r="A748" s="19">
        <v>45029</v>
      </c>
      <c r="B748" s="20">
        <v>5.5446510751078398E-2</v>
      </c>
      <c r="C748" s="20">
        <v>5.5458195612147598E-2</v>
      </c>
      <c r="D748" s="20">
        <v>5.5452349999999997E-2</v>
      </c>
      <c r="E748" s="21">
        <v>1.12007999999996E-4</v>
      </c>
      <c r="F748" s="21">
        <v>0.202398460060115</v>
      </c>
      <c r="G748" s="21">
        <v>13.373714200802199</v>
      </c>
      <c r="H748" s="20">
        <v>5.5452349999999997E-2</v>
      </c>
      <c r="I748" s="20">
        <v>5.5452349999999997E-2</v>
      </c>
      <c r="K748">
        <f t="shared" si="22"/>
        <v>2.0239846006011586E-3</v>
      </c>
      <c r="L748">
        <f t="shared" si="23"/>
        <v>2.1071895184243716E-4</v>
      </c>
    </row>
    <row r="749" spans="1:12" ht="15" customHeight="1" x14ac:dyDescent="0.3">
      <c r="A749" s="22">
        <v>45028</v>
      </c>
      <c r="B749" s="23">
        <v>5.5334218680832201E-2</v>
      </c>
      <c r="C749" s="23">
        <v>5.5346468895284502E-2</v>
      </c>
      <c r="D749" s="23">
        <v>5.5340342000000001E-2</v>
      </c>
      <c r="E749" s="24">
        <v>4.2697199999999698E-4</v>
      </c>
      <c r="F749" s="24">
        <v>0.77753741939348098</v>
      </c>
      <c r="G749" s="24">
        <v>13.1447110480016</v>
      </c>
      <c r="H749" s="23">
        <v>5.5340342000000001E-2</v>
      </c>
      <c r="I749" s="23">
        <v>5.5340342000000001E-2</v>
      </c>
      <c r="K749">
        <f t="shared" si="22"/>
        <v>7.7753741939348142E-3</v>
      </c>
      <c r="L749">
        <f t="shared" si="23"/>
        <v>2.2136137959359757E-4</v>
      </c>
    </row>
    <row r="750" spans="1:12" ht="15" customHeight="1" x14ac:dyDescent="0.3">
      <c r="A750" s="19">
        <v>45027</v>
      </c>
      <c r="B750" s="20">
        <v>5.4905233566863602E-2</v>
      </c>
      <c r="C750" s="20">
        <v>5.4921517151989799E-2</v>
      </c>
      <c r="D750" s="20">
        <v>5.4913370000000003E-2</v>
      </c>
      <c r="E750" s="21">
        <v>-6.0370000000003998E-6</v>
      </c>
      <c r="F750" s="21">
        <v>-1.0992471204218601E-2</v>
      </c>
      <c r="G750" s="21">
        <v>12.271756132659901</v>
      </c>
      <c r="H750" s="20">
        <v>5.4913370000000003E-2</v>
      </c>
      <c r="I750" s="20">
        <v>5.4913370000000003E-2</v>
      </c>
      <c r="K750">
        <f t="shared" si="22"/>
        <v>-1.0992471204218646E-4</v>
      </c>
      <c r="L750">
        <f t="shared" si="23"/>
        <v>2.9653224936288512E-4</v>
      </c>
    </row>
    <row r="751" spans="1:12" ht="15" customHeight="1" x14ac:dyDescent="0.3">
      <c r="A751" s="22">
        <v>45026</v>
      </c>
      <c r="B751" s="23">
        <v>5.4908248317062203E-2</v>
      </c>
      <c r="C751" s="23">
        <v>5.4930567762348399E-2</v>
      </c>
      <c r="D751" s="23">
        <v>5.4919407000000003E-2</v>
      </c>
      <c r="E751" s="24">
        <v>9.7860000000005097E-5</v>
      </c>
      <c r="F751" s="24">
        <v>0.17850645477042101</v>
      </c>
      <c r="G751" s="24">
        <v>12.284098929901701</v>
      </c>
      <c r="H751" s="23">
        <v>5.4919407000000003E-2</v>
      </c>
      <c r="I751" s="23">
        <v>5.4919407000000003E-2</v>
      </c>
      <c r="K751">
        <f t="shared" si="22"/>
        <v>1.7850645477042182E-3</v>
      </c>
      <c r="L751">
        <f t="shared" si="23"/>
        <v>4.0640361040672951E-4</v>
      </c>
    </row>
    <row r="752" spans="1:12" ht="15" customHeight="1" x14ac:dyDescent="0.3">
      <c r="A752" s="19">
        <v>45023</v>
      </c>
      <c r="B752" s="20">
        <v>5.4810137683065897E-2</v>
      </c>
      <c r="C752" s="20">
        <v>5.4832978746737399E-2</v>
      </c>
      <c r="D752" s="20">
        <v>5.4821546999999998E-2</v>
      </c>
      <c r="E752" s="21">
        <v>-1.30000000000962E-8</v>
      </c>
      <c r="F752" s="21">
        <v>-2.3713298202832E-5</v>
      </c>
      <c r="G752" s="21">
        <v>12.0840217163717</v>
      </c>
      <c r="H752" s="20">
        <v>5.4821546999999998E-2</v>
      </c>
      <c r="I752" s="20">
        <v>5.4821546999999998E-2</v>
      </c>
      <c r="K752">
        <f t="shared" si="22"/>
        <v>-2.3713298202832078E-7</v>
      </c>
      <c r="L752">
        <f t="shared" si="23"/>
        <v>4.1664390958360295E-4</v>
      </c>
    </row>
    <row r="753" spans="1:12" ht="15" customHeight="1" x14ac:dyDescent="0.3">
      <c r="A753" s="22">
        <v>45022</v>
      </c>
      <c r="B753" s="23">
        <v>5.4810137683065897E-2</v>
      </c>
      <c r="C753" s="23">
        <v>5.4832978746737399E-2</v>
      </c>
      <c r="D753" s="23">
        <v>5.4821559999999998E-2</v>
      </c>
      <c r="E753" s="24">
        <v>3.6125999999999498E-4</v>
      </c>
      <c r="F753" s="24">
        <v>0.66334559302829699</v>
      </c>
      <c r="G753" s="24">
        <v>12.0840482951963</v>
      </c>
      <c r="H753" s="23">
        <v>5.4821559999999998E-2</v>
      </c>
      <c r="I753" s="23">
        <v>5.4821559999999998E-2</v>
      </c>
      <c r="K753">
        <f t="shared" si="22"/>
        <v>6.6334559302829721E-3</v>
      </c>
      <c r="L753">
        <f t="shared" si="23"/>
        <v>4.1664381078359024E-4</v>
      </c>
    </row>
    <row r="754" spans="1:12" ht="15" customHeight="1" x14ac:dyDescent="0.3">
      <c r="A754" s="19">
        <v>45021</v>
      </c>
      <c r="B754" s="20">
        <v>5.4450216167358199E-2</v>
      </c>
      <c r="C754" s="20">
        <v>5.4470384451973497E-2</v>
      </c>
      <c r="D754" s="20">
        <v>5.4460300000000003E-2</v>
      </c>
      <c r="E754" s="21">
        <v>-7.5476000000000004E-4</v>
      </c>
      <c r="F754" s="21">
        <v>-1.36694590207816</v>
      </c>
      <c r="G754" s="21">
        <v>11.3454432046604</v>
      </c>
      <c r="H754" s="20">
        <v>5.4460300000000003E-2</v>
      </c>
      <c r="I754" s="20">
        <v>5.4460300000000003E-2</v>
      </c>
      <c r="K754">
        <f t="shared" si="22"/>
        <v>-1.3669459020781649E-2</v>
      </c>
      <c r="L754">
        <f t="shared" si="23"/>
        <v>3.7033003151465508E-4</v>
      </c>
    </row>
    <row r="755" spans="1:12" ht="15" customHeight="1" x14ac:dyDescent="0.3">
      <c r="A755" s="22">
        <v>45020</v>
      </c>
      <c r="B755" s="23">
        <v>5.5207441963176597E-2</v>
      </c>
      <c r="C755" s="23">
        <v>5.52226854791949E-2</v>
      </c>
      <c r="D755" s="23">
        <v>5.5215060000000003E-2</v>
      </c>
      <c r="E755" s="24">
        <v>-1.6358999999999799E-4</v>
      </c>
      <c r="F755" s="24">
        <v>-0.29540265066049198</v>
      </c>
      <c r="G755" s="24">
        <v>12.888568870753801</v>
      </c>
      <c r="H755" s="23">
        <v>5.5215060000000003E-2</v>
      </c>
      <c r="I755" s="23">
        <v>5.5215060000000003E-2</v>
      </c>
      <c r="K755">
        <f t="shared" si="22"/>
        <v>-2.9540265066049232E-3</v>
      </c>
      <c r="L755">
        <f t="shared" si="23"/>
        <v>2.7607533195295983E-4</v>
      </c>
    </row>
    <row r="756" spans="1:12" ht="15" customHeight="1" x14ac:dyDescent="0.3">
      <c r="A756" s="19">
        <v>45019</v>
      </c>
      <c r="B756" s="20">
        <v>5.53737450925018E-2</v>
      </c>
      <c r="C756" s="20">
        <v>5.5383558836723697E-2</v>
      </c>
      <c r="D756" s="20">
        <v>5.5378650000000001E-2</v>
      </c>
      <c r="E756" s="21">
        <v>-4.60399999999833E-6</v>
      </c>
      <c r="F756" s="21">
        <v>-8.3129821154881399E-3</v>
      </c>
      <c r="G756" s="21">
        <v>13.223032710539</v>
      </c>
      <c r="H756" s="20">
        <v>5.5378650000000001E-2</v>
      </c>
      <c r="I756" s="20">
        <v>5.5378650000000001E-2</v>
      </c>
      <c r="K756">
        <f t="shared" si="22"/>
        <v>-8.3129821154881434E-5</v>
      </c>
      <c r="L756">
        <f t="shared" si="23"/>
        <v>1.7721169118237428E-4</v>
      </c>
    </row>
    <row r="757" spans="1:12" ht="15" customHeight="1" x14ac:dyDescent="0.3">
      <c r="A757" s="22">
        <v>45016</v>
      </c>
      <c r="B757" s="23">
        <v>5.5375584904615603E-2</v>
      </c>
      <c r="C757" s="23">
        <v>5.5390921427978003E-2</v>
      </c>
      <c r="D757" s="23">
        <v>5.5383254E-2</v>
      </c>
      <c r="E757" s="24">
        <v>2.1997099999999901E-4</v>
      </c>
      <c r="F757" s="24">
        <v>0.39876343110325502</v>
      </c>
      <c r="G757" s="24">
        <v>13.2324457034992</v>
      </c>
      <c r="H757" s="23">
        <v>5.5383254E-2</v>
      </c>
      <c r="I757" s="23">
        <v>5.5383254E-2</v>
      </c>
      <c r="K757">
        <f t="shared" si="22"/>
        <v>3.9876343110325507E-3</v>
      </c>
      <c r="L757">
        <f t="shared" si="23"/>
        <v>2.7691625635430827E-4</v>
      </c>
    </row>
    <row r="758" spans="1:12" ht="15" customHeight="1" x14ac:dyDescent="0.3">
      <c r="A758" s="19">
        <v>45015</v>
      </c>
      <c r="B758" s="20">
        <v>5.5155981114592099E-2</v>
      </c>
      <c r="C758" s="20">
        <v>5.5170587456415197E-2</v>
      </c>
      <c r="D758" s="20">
        <v>5.5163283E-2</v>
      </c>
      <c r="E758" s="21">
        <v>-3.5013999999999797E-5</v>
      </c>
      <c r="F758" s="21">
        <v>-6.3433116423861E-2</v>
      </c>
      <c r="G758" s="21">
        <v>12.7827095014002</v>
      </c>
      <c r="H758" s="20">
        <v>5.5163283E-2</v>
      </c>
      <c r="I758" s="20">
        <v>5.5163283E-2</v>
      </c>
      <c r="K758">
        <f t="shared" si="22"/>
        <v>-6.3433116423861069E-4</v>
      </c>
      <c r="L758">
        <f t="shared" si="23"/>
        <v>2.6478376609851057E-4</v>
      </c>
    </row>
    <row r="759" spans="1:12" ht="15" customHeight="1" x14ac:dyDescent="0.3">
      <c r="A759" s="22">
        <v>45014</v>
      </c>
      <c r="B759" s="23">
        <v>5.5189770024228299E-2</v>
      </c>
      <c r="C759" s="23">
        <v>5.5206832397577503E-2</v>
      </c>
      <c r="D759" s="23">
        <v>5.5198297E-2</v>
      </c>
      <c r="E759" s="24">
        <v>4.5926499999999999E-4</v>
      </c>
      <c r="F759" s="24">
        <v>0.83900826013876195</v>
      </c>
      <c r="G759" s="24">
        <v>12.854296498687599</v>
      </c>
      <c r="H759" s="23">
        <v>5.5198297E-2</v>
      </c>
      <c r="I759" s="23">
        <v>5.5198297E-2</v>
      </c>
      <c r="K759">
        <f t="shared" si="22"/>
        <v>8.3900826013876273E-3</v>
      </c>
      <c r="L759">
        <f t="shared" si="23"/>
        <v>3.0911050297808938E-4</v>
      </c>
    </row>
    <row r="760" spans="1:12" ht="15" customHeight="1" x14ac:dyDescent="0.3">
      <c r="A760" s="19">
        <v>45013</v>
      </c>
      <c r="B760" s="20">
        <v>5.4733638747037502E-2</v>
      </c>
      <c r="C760" s="20">
        <v>5.47444256488583E-2</v>
      </c>
      <c r="D760" s="20">
        <v>5.4739032E-2</v>
      </c>
      <c r="E760" s="21">
        <v>3.7347499999999801E-4</v>
      </c>
      <c r="F760" s="21">
        <v>0.68696987690202105</v>
      </c>
      <c r="G760" s="21">
        <v>11.915317738501001</v>
      </c>
      <c r="H760" s="20">
        <v>5.4739032E-2</v>
      </c>
      <c r="I760" s="20">
        <v>5.4739032E-2</v>
      </c>
      <c r="K760">
        <f t="shared" si="22"/>
        <v>6.869698769020216E-3</v>
      </c>
      <c r="L760">
        <f t="shared" si="23"/>
        <v>1.9706051471274344E-4</v>
      </c>
    </row>
    <row r="761" spans="1:12" ht="15" customHeight="1" x14ac:dyDescent="0.3">
      <c r="A761" s="22">
        <v>45012</v>
      </c>
      <c r="B761" s="23">
        <v>5.4360234401330698E-2</v>
      </c>
      <c r="C761" s="23">
        <v>5.4370874609889E-2</v>
      </c>
      <c r="D761" s="23">
        <v>5.4365557000000002E-2</v>
      </c>
      <c r="E761" s="24">
        <v>3.1004100000000298E-4</v>
      </c>
      <c r="F761" s="24">
        <v>0.57356033748712199</v>
      </c>
      <c r="G761" s="24">
        <v>11.1517387754608</v>
      </c>
      <c r="H761" s="23">
        <v>5.4365557000000002E-2</v>
      </c>
      <c r="I761" s="23">
        <v>5.4365557000000002E-2</v>
      </c>
      <c r="K761">
        <f t="shared" si="22"/>
        <v>5.7356033748712232E-3</v>
      </c>
      <c r="L761">
        <f t="shared" si="23"/>
        <v>1.9571598536738681E-4</v>
      </c>
    </row>
    <row r="762" spans="1:12" ht="15" customHeight="1" x14ac:dyDescent="0.3">
      <c r="A762" s="19">
        <v>45009</v>
      </c>
      <c r="B762" s="20">
        <v>5.40467504391298E-2</v>
      </c>
      <c r="C762" s="20">
        <v>5.4064282431811397E-2</v>
      </c>
      <c r="D762" s="20">
        <v>5.4055515999999998E-2</v>
      </c>
      <c r="E762" s="21">
        <v>-2.5581000000003599E-5</v>
      </c>
      <c r="F762" s="21">
        <v>-4.7301185477066597E-2</v>
      </c>
      <c r="G762" s="21">
        <v>10.5178522093453</v>
      </c>
      <c r="H762" s="20">
        <v>5.4055515999999998E-2</v>
      </c>
      <c r="I762" s="20">
        <v>5.4055515999999998E-2</v>
      </c>
      <c r="K762">
        <f t="shared" si="22"/>
        <v>-4.7301185477066632E-4</v>
      </c>
      <c r="L762">
        <f t="shared" si="23"/>
        <v>3.2433309269673478E-4</v>
      </c>
    </row>
    <row r="763" spans="1:12" ht="15" customHeight="1" x14ac:dyDescent="0.3">
      <c r="A763" s="22">
        <v>45008</v>
      </c>
      <c r="B763" s="23">
        <v>5.4074222277498099E-2</v>
      </c>
      <c r="C763" s="23">
        <v>5.40879686722485E-2</v>
      </c>
      <c r="D763" s="23">
        <v>5.4081097000000002E-2</v>
      </c>
      <c r="E763" s="24">
        <v>1.17469000000001E-4</v>
      </c>
      <c r="F763" s="24">
        <v>0.21768180597494499</v>
      </c>
      <c r="G763" s="24">
        <v>10.570153202594</v>
      </c>
      <c r="H763" s="23">
        <v>5.4081097000000002E-2</v>
      </c>
      <c r="I763" s="23">
        <v>5.4081097000000002E-2</v>
      </c>
      <c r="K763">
        <f t="shared" si="22"/>
        <v>2.1768180597494524E-3</v>
      </c>
      <c r="L763">
        <f t="shared" si="23"/>
        <v>2.5418113745734512E-4</v>
      </c>
    </row>
    <row r="764" spans="1:12" ht="15" customHeight="1" x14ac:dyDescent="0.3">
      <c r="A764" s="19">
        <v>45007</v>
      </c>
      <c r="B764" s="20">
        <v>5.3958096142535703E-2</v>
      </c>
      <c r="C764" s="20">
        <v>5.3969162020821297E-2</v>
      </c>
      <c r="D764" s="20">
        <v>5.3963628E-2</v>
      </c>
      <c r="E764" s="21">
        <v>4.0319800000000001E-4</v>
      </c>
      <c r="F764" s="21">
        <v>0.75279081964054695</v>
      </c>
      <c r="G764" s="21">
        <v>10.3299848989341</v>
      </c>
      <c r="H764" s="20">
        <v>5.3963628E-2</v>
      </c>
      <c r="I764" s="20">
        <v>5.3963628E-2</v>
      </c>
      <c r="K764">
        <f t="shared" si="22"/>
        <v>7.527908196405475E-3</v>
      </c>
      <c r="L764">
        <f t="shared" si="23"/>
        <v>2.0506179246500313E-4</v>
      </c>
    </row>
    <row r="765" spans="1:12" ht="15" customHeight="1" x14ac:dyDescent="0.3">
      <c r="A765" s="22">
        <v>45006</v>
      </c>
      <c r="B765" s="23">
        <v>5.3552685131632499E-2</v>
      </c>
      <c r="C765" s="23">
        <v>5.35681762178725E-2</v>
      </c>
      <c r="D765" s="23">
        <v>5.3560429999999999E-2</v>
      </c>
      <c r="E765" s="24">
        <v>4.1982299999999902E-4</v>
      </c>
      <c r="F765" s="24">
        <v>0.79002296680577</v>
      </c>
      <c r="G765" s="24">
        <v>9.5056365202209605</v>
      </c>
      <c r="H765" s="23">
        <v>5.3560429999999999E-2</v>
      </c>
      <c r="I765" s="23">
        <v>5.3560429999999999E-2</v>
      </c>
      <c r="K765">
        <f t="shared" si="22"/>
        <v>7.9002296680577011E-3</v>
      </c>
      <c r="L765">
        <f t="shared" si="23"/>
        <v>2.892263232390157E-4</v>
      </c>
    </row>
    <row r="766" spans="1:12" ht="15" customHeight="1" x14ac:dyDescent="0.3">
      <c r="A766" s="19">
        <v>45005</v>
      </c>
      <c r="B766" s="20">
        <v>5.3127623176394301E-2</v>
      </c>
      <c r="C766" s="20">
        <v>5.3153603282766498E-2</v>
      </c>
      <c r="D766" s="20">
        <v>5.3140606999999999E-2</v>
      </c>
      <c r="E766" s="21">
        <v>4.6189700000000202E-4</v>
      </c>
      <c r="F766" s="21">
        <v>0.87681911724870598</v>
      </c>
      <c r="G766" s="21">
        <v>8.6472979138873498</v>
      </c>
      <c r="H766" s="20">
        <v>5.3140606999999999E-2</v>
      </c>
      <c r="I766" s="20">
        <v>5.3140606999999999E-2</v>
      </c>
      <c r="K766">
        <f t="shared" si="22"/>
        <v>8.7681911724870609E-3</v>
      </c>
      <c r="L766">
        <f t="shared" si="23"/>
        <v>4.8889366981068934E-4</v>
      </c>
    </row>
    <row r="767" spans="1:12" ht="15" customHeight="1" x14ac:dyDescent="0.3">
      <c r="A767" s="22">
        <v>45002</v>
      </c>
      <c r="B767" s="23">
        <v>5.2669833879343902E-2</v>
      </c>
      <c r="C767" s="23">
        <v>5.26875941790746E-2</v>
      </c>
      <c r="D767" s="23">
        <v>5.2678709999999997E-2</v>
      </c>
      <c r="E767" s="24">
        <v>-1.9218200000000599E-4</v>
      </c>
      <c r="F767" s="24">
        <v>-0.36349301615717899</v>
      </c>
      <c r="G767" s="24">
        <v>7.7029379639806601</v>
      </c>
      <c r="H767" s="23">
        <v>5.2678709999999997E-2</v>
      </c>
      <c r="I767" s="23">
        <v>5.2678709999999997E-2</v>
      </c>
      <c r="K767">
        <f t="shared" si="22"/>
        <v>-3.6349301615717922E-3</v>
      </c>
      <c r="L767">
        <f t="shared" si="23"/>
        <v>3.3714378599432684E-4</v>
      </c>
    </row>
    <row r="768" spans="1:12" ht="15" customHeight="1" x14ac:dyDescent="0.3">
      <c r="A768" s="19">
        <v>45001</v>
      </c>
      <c r="B768" s="20">
        <v>5.2857754496873501E-2</v>
      </c>
      <c r="C768" s="20">
        <v>5.2884030609276898E-2</v>
      </c>
      <c r="D768" s="20">
        <v>5.2870892000000003E-2</v>
      </c>
      <c r="E768" s="21">
        <v>1.2967000000000501E-4</v>
      </c>
      <c r="F768" s="21">
        <v>0.245860818317789</v>
      </c>
      <c r="G768" s="21">
        <v>8.0958588616980496</v>
      </c>
      <c r="H768" s="20">
        <v>5.2870892000000003E-2</v>
      </c>
      <c r="I768" s="20">
        <v>5.2870892000000003E-2</v>
      </c>
      <c r="K768">
        <f t="shared" si="22"/>
        <v>2.4586081831778905E-3</v>
      </c>
      <c r="L768">
        <f t="shared" si="23"/>
        <v>4.9698636450842891E-4</v>
      </c>
    </row>
    <row r="769" spans="1:12" ht="15" customHeight="1" x14ac:dyDescent="0.3">
      <c r="A769" s="22">
        <v>45000</v>
      </c>
      <c r="B769" s="23">
        <v>5.2732881588314399E-2</v>
      </c>
      <c r="C769" s="23">
        <v>5.2749571409732299E-2</v>
      </c>
      <c r="D769" s="23">
        <v>5.2741221999999997E-2</v>
      </c>
      <c r="E769" s="24">
        <v>-6.6474100000000298E-4</v>
      </c>
      <c r="F769" s="24">
        <v>-1.2446943424651</v>
      </c>
      <c r="G769" s="24">
        <v>7.8307453088834604</v>
      </c>
      <c r="H769" s="23">
        <v>5.2741221999999997E-2</v>
      </c>
      <c r="I769" s="23">
        <v>5.2741221999999997E-2</v>
      </c>
      <c r="K769">
        <f t="shared" si="22"/>
        <v>-1.2446943424651025E-2</v>
      </c>
      <c r="L769">
        <f t="shared" si="23"/>
        <v>3.1644737806604605E-4</v>
      </c>
    </row>
    <row r="770" spans="1:12" ht="15" customHeight="1" x14ac:dyDescent="0.3">
      <c r="A770" s="19">
        <v>44999</v>
      </c>
      <c r="B770" s="20">
        <v>5.3395129296305598E-2</v>
      </c>
      <c r="C770" s="20">
        <v>5.3416805995502303E-2</v>
      </c>
      <c r="D770" s="20">
        <v>5.3405963000000001E-2</v>
      </c>
      <c r="E770" s="21">
        <v>1.36550999999998E-4</v>
      </c>
      <c r="F770" s="21">
        <v>0.256340355324358</v>
      </c>
      <c r="G770" s="21">
        <v>9.1898248817339496</v>
      </c>
      <c r="H770" s="20">
        <v>5.3405963000000001E-2</v>
      </c>
      <c r="I770" s="20">
        <v>5.3405963000000001E-2</v>
      </c>
      <c r="K770">
        <f t="shared" si="22"/>
        <v>2.5634035532435817E-3</v>
      </c>
      <c r="L770">
        <f t="shared" si="23"/>
        <v>4.0588537270090473E-4</v>
      </c>
    </row>
    <row r="771" spans="1:12" ht="15" customHeight="1" x14ac:dyDescent="0.3">
      <c r="A771" s="22">
        <v>44998</v>
      </c>
      <c r="B771" s="23">
        <v>5.3259196531761102E-2</v>
      </c>
      <c r="C771" s="23">
        <v>5.3279627468844702E-2</v>
      </c>
      <c r="D771" s="23">
        <v>5.3269412000000002E-2</v>
      </c>
      <c r="E771" s="24">
        <v>-1.10500799999999E-3</v>
      </c>
      <c r="F771" s="24">
        <v>-2.0322202977061501</v>
      </c>
      <c r="G771" s="24">
        <v>8.9106429526031992</v>
      </c>
      <c r="H771" s="23">
        <v>5.3269412000000002E-2</v>
      </c>
      <c r="I771" s="23">
        <v>5.3269412000000002E-2</v>
      </c>
      <c r="K771">
        <f t="shared" si="22"/>
        <v>-2.0322202977061554E-2</v>
      </c>
      <c r="L771">
        <f t="shared" si="23"/>
        <v>3.835397522991253E-4</v>
      </c>
    </row>
    <row r="772" spans="1:12" ht="15" customHeight="1" x14ac:dyDescent="0.3">
      <c r="A772" s="19">
        <v>44995</v>
      </c>
      <c r="B772" s="20">
        <v>5.43667362560891E-2</v>
      </c>
      <c r="C772" s="20">
        <v>5.4382110460942802E-2</v>
      </c>
      <c r="D772" s="20">
        <v>5.437442E-2</v>
      </c>
      <c r="E772" s="21">
        <v>-1.0295459999999899E-3</v>
      </c>
      <c r="F772" s="21">
        <v>-1.8582532521227699</v>
      </c>
      <c r="G772" s="21">
        <v>11.1698594002668</v>
      </c>
      <c r="H772" s="20">
        <v>5.437442E-2</v>
      </c>
      <c r="I772" s="20">
        <v>5.437442E-2</v>
      </c>
      <c r="K772">
        <f t="shared" si="22"/>
        <v>-1.8582532521227768E-2</v>
      </c>
      <c r="L772">
        <f t="shared" si="23"/>
        <v>2.827470132776037E-4</v>
      </c>
    </row>
    <row r="773" spans="1:12" ht="15" customHeight="1" x14ac:dyDescent="0.3">
      <c r="A773" s="22">
        <v>44994</v>
      </c>
      <c r="B773" s="23">
        <v>5.5398899777850397E-2</v>
      </c>
      <c r="C773" s="23">
        <v>5.5409029455440101E-2</v>
      </c>
      <c r="D773" s="23">
        <v>5.5403965999999999E-2</v>
      </c>
      <c r="E773" s="24">
        <v>-2.9703400000000098E-4</v>
      </c>
      <c r="F773" s="24">
        <v>-0.53326511193695303</v>
      </c>
      <c r="G773" s="24">
        <v>13.2747919046706</v>
      </c>
      <c r="H773" s="23">
        <v>5.5403965999999999E-2</v>
      </c>
      <c r="I773" s="23">
        <v>5.5403965999999999E-2</v>
      </c>
      <c r="K773">
        <f t="shared" ref="K773:K836" si="24">D773/D774-1</f>
        <v>-5.3326511193695358E-3</v>
      </c>
      <c r="L773">
        <f t="shared" ref="L773:L836" si="25">(C773-B773)/D773</f>
        <v>1.8283307714296444E-4</v>
      </c>
    </row>
    <row r="774" spans="1:12" ht="15" customHeight="1" x14ac:dyDescent="0.3">
      <c r="A774" s="19">
        <v>44993</v>
      </c>
      <c r="B774" s="20">
        <v>5.5692000957902402E-2</v>
      </c>
      <c r="C774" s="20">
        <v>5.5709996044590301E-2</v>
      </c>
      <c r="D774" s="20">
        <v>5.5701000000000001E-2</v>
      </c>
      <c r="E774" s="21">
        <v>6.6371400000000199E-4</v>
      </c>
      <c r="F774" s="21">
        <v>1.2059351909176701</v>
      </c>
      <c r="G774" s="21">
        <v>13.882085334505801</v>
      </c>
      <c r="H774" s="20">
        <v>5.5701000000000001E-2</v>
      </c>
      <c r="I774" s="20">
        <v>5.5701000000000001E-2</v>
      </c>
      <c r="K774">
        <f t="shared" si="24"/>
        <v>1.205935190917673E-2</v>
      </c>
      <c r="L774">
        <f t="shared" si="25"/>
        <v>3.2306577418537784E-4</v>
      </c>
    </row>
    <row r="775" spans="1:12" ht="15" customHeight="1" x14ac:dyDescent="0.3">
      <c r="A775" s="22">
        <v>44992</v>
      </c>
      <c r="B775" s="23">
        <v>5.5030018875296502E-2</v>
      </c>
      <c r="C775" s="23">
        <v>5.5044558570162501E-2</v>
      </c>
      <c r="D775" s="23">
        <v>5.5037285999999998E-2</v>
      </c>
      <c r="E775" s="24">
        <v>-4.48916E-4</v>
      </c>
      <c r="F775" s="24">
        <v>-0.80905879987965801</v>
      </c>
      <c r="G775" s="24">
        <v>12.5251054887992</v>
      </c>
      <c r="H775" s="23">
        <v>5.5037285999999998E-2</v>
      </c>
      <c r="I775" s="23">
        <v>5.5037285999999998E-2</v>
      </c>
      <c r="K775">
        <f t="shared" si="24"/>
        <v>-8.0905879987965834E-3</v>
      </c>
      <c r="L775">
        <f t="shared" si="25"/>
        <v>2.6417899432757254E-4</v>
      </c>
    </row>
    <row r="776" spans="1:12" ht="15" customHeight="1" x14ac:dyDescent="0.3">
      <c r="A776" s="19">
        <v>44991</v>
      </c>
      <c r="B776" s="20">
        <v>5.5480348860433598E-2</v>
      </c>
      <c r="C776" s="20">
        <v>5.5492047989523098E-2</v>
      </c>
      <c r="D776" s="20">
        <v>5.5486201999999998E-2</v>
      </c>
      <c r="E776" s="21">
        <v>-1.6163999999999E-5</v>
      </c>
      <c r="F776" s="21">
        <v>-2.9123082788939901E-2</v>
      </c>
      <c r="G776" s="21">
        <v>13.4429254600748</v>
      </c>
      <c r="H776" s="20">
        <v>5.5486201999999998E-2</v>
      </c>
      <c r="I776" s="20">
        <v>5.5486201999999998E-2</v>
      </c>
      <c r="K776">
        <f t="shared" si="24"/>
        <v>-2.9123082788939936E-4</v>
      </c>
      <c r="L776">
        <f t="shared" si="25"/>
        <v>2.1084753808703536E-4</v>
      </c>
    </row>
    <row r="777" spans="1:12" ht="15" customHeight="1" x14ac:dyDescent="0.3">
      <c r="A777" s="22">
        <v>44988</v>
      </c>
      <c r="B777" s="23">
        <v>5.5497591404533003E-2</v>
      </c>
      <c r="C777" s="23">
        <v>5.5507140993688801E-2</v>
      </c>
      <c r="D777" s="23">
        <v>5.5502365999999997E-2</v>
      </c>
      <c r="E777" s="24">
        <v>3.1167999999999398E-4</v>
      </c>
      <c r="F777" s="24">
        <v>0.56473296961736497</v>
      </c>
      <c r="G777" s="24">
        <v>13.4759731616842</v>
      </c>
      <c r="H777" s="23">
        <v>5.5502365999999997E-2</v>
      </c>
      <c r="I777" s="23">
        <v>5.5502365999999997E-2</v>
      </c>
      <c r="K777">
        <f t="shared" si="24"/>
        <v>5.647329696173653E-3</v>
      </c>
      <c r="L777">
        <f t="shared" si="25"/>
        <v>1.7205733456116307E-4</v>
      </c>
    </row>
    <row r="778" spans="1:12" ht="15" customHeight="1" x14ac:dyDescent="0.3">
      <c r="A778" s="19">
        <v>44987</v>
      </c>
      <c r="B778" s="20">
        <v>5.51848969973898E-2</v>
      </c>
      <c r="C778" s="20">
        <v>5.5196471841519899E-2</v>
      </c>
      <c r="D778" s="20">
        <v>5.5190686000000003E-2</v>
      </c>
      <c r="E778" s="21">
        <v>5.1736000000003599E-5</v>
      </c>
      <c r="F778" s="21">
        <v>9.3828409862717302E-2</v>
      </c>
      <c r="G778" s="21">
        <v>12.8387356191436</v>
      </c>
      <c r="H778" s="20">
        <v>5.5190686000000003E-2</v>
      </c>
      <c r="I778" s="20">
        <v>5.5190686000000003E-2</v>
      </c>
      <c r="K778">
        <f t="shared" si="24"/>
        <v>9.3828409862717344E-4</v>
      </c>
      <c r="L778">
        <f t="shared" si="25"/>
        <v>2.0972459248104759E-4</v>
      </c>
    </row>
    <row r="779" spans="1:12" ht="15" customHeight="1" x14ac:dyDescent="0.3">
      <c r="A779" s="22">
        <v>44986</v>
      </c>
      <c r="B779" s="23">
        <v>5.51319583422923E-2</v>
      </c>
      <c r="C779" s="23">
        <v>5.51459437401082E-2</v>
      </c>
      <c r="D779" s="23">
        <v>5.5138949999999999E-2</v>
      </c>
      <c r="E779" s="24">
        <v>5.6869199999999499E-4</v>
      </c>
      <c r="F779" s="24">
        <v>1.0421281130831199</v>
      </c>
      <c r="G779" s="24">
        <v>12.7329600753137</v>
      </c>
      <c r="H779" s="23">
        <v>5.5138949999999999E-2</v>
      </c>
      <c r="I779" s="23">
        <v>5.5138949999999999E-2</v>
      </c>
      <c r="K779">
        <f t="shared" si="24"/>
        <v>1.0421281130831295E-2</v>
      </c>
      <c r="L779">
        <f t="shared" si="25"/>
        <v>2.5363917549934049E-4</v>
      </c>
    </row>
    <row r="780" spans="1:12" ht="15" customHeight="1" x14ac:dyDescent="0.3">
      <c r="A780" s="19">
        <v>44985</v>
      </c>
      <c r="B780" s="20">
        <v>5.4565494963604799E-2</v>
      </c>
      <c r="C780" s="20">
        <v>5.4575024285885801E-2</v>
      </c>
      <c r="D780" s="20">
        <v>5.4570258000000003E-2</v>
      </c>
      <c r="E780" s="21">
        <v>1.6033300000000501E-4</v>
      </c>
      <c r="F780" s="21">
        <v>0.294676017289141</v>
      </c>
      <c r="G780" s="21">
        <v>11.570255081273199</v>
      </c>
      <c r="H780" s="20">
        <v>5.4570258000000003E-2</v>
      </c>
      <c r="I780" s="20">
        <v>5.4570258000000003E-2</v>
      </c>
      <c r="K780">
        <f t="shared" si="24"/>
        <v>2.9467601728914161E-3</v>
      </c>
      <c r="L780">
        <f t="shared" si="25"/>
        <v>1.7462483466729574E-4</v>
      </c>
    </row>
    <row r="781" spans="1:12" ht="15" customHeight="1" x14ac:dyDescent="0.3">
      <c r="A781" s="22">
        <v>44984</v>
      </c>
      <c r="B781" s="23">
        <v>5.4404300115881203E-2</v>
      </c>
      <c r="C781" s="23">
        <v>5.4415549787507303E-2</v>
      </c>
      <c r="D781" s="23">
        <v>5.4409924999999998E-2</v>
      </c>
      <c r="E781" s="24">
        <v>1.79990999999997E-4</v>
      </c>
      <c r="F781" s="24">
        <v>0.33190340965563098</v>
      </c>
      <c r="G781" s="24">
        <v>11.2424502593142</v>
      </c>
      <c r="H781" s="23">
        <v>5.4409924999999998E-2</v>
      </c>
      <c r="I781" s="23">
        <v>5.4409924999999998E-2</v>
      </c>
      <c r="K781">
        <f t="shared" si="24"/>
        <v>3.319034096556317E-3</v>
      </c>
      <c r="L781">
        <f t="shared" si="25"/>
        <v>2.0675771242286873E-4</v>
      </c>
    </row>
    <row r="782" spans="1:12" ht="15" customHeight="1" x14ac:dyDescent="0.3">
      <c r="A782" s="19">
        <v>44981</v>
      </c>
      <c r="B782" s="20">
        <v>5.4223759767054701E-2</v>
      </c>
      <c r="C782" s="20">
        <v>5.4236111487750802E-2</v>
      </c>
      <c r="D782" s="20">
        <v>5.4229934E-2</v>
      </c>
      <c r="E782" s="21">
        <v>-1.12723000000002E-4</v>
      </c>
      <c r="F782" s="21">
        <v>-0.20743004892087499</v>
      </c>
      <c r="G782" s="21">
        <v>10.874454165501801</v>
      </c>
      <c r="H782" s="20">
        <v>5.4229934E-2</v>
      </c>
      <c r="I782" s="20">
        <v>5.4229934E-2</v>
      </c>
      <c r="K782">
        <f t="shared" si="24"/>
        <v>-2.074300489208758E-3</v>
      </c>
      <c r="L782">
        <f t="shared" si="25"/>
        <v>2.277657335172258E-4</v>
      </c>
    </row>
    <row r="783" spans="1:12" ht="15" customHeight="1" x14ac:dyDescent="0.3">
      <c r="A783" s="22">
        <v>44980</v>
      </c>
      <c r="B783" s="23">
        <v>5.4336899645180001E-2</v>
      </c>
      <c r="C783" s="23">
        <v>5.4348416830617703E-2</v>
      </c>
      <c r="D783" s="23">
        <v>5.4342657000000003E-2</v>
      </c>
      <c r="E783" s="24">
        <v>-1.4583099999999899E-4</v>
      </c>
      <c r="F783" s="24">
        <v>-0.26763634916792101</v>
      </c>
      <c r="G783" s="24">
        <v>11.1049191536558</v>
      </c>
      <c r="H783" s="23">
        <v>5.4342657000000003E-2</v>
      </c>
      <c r="I783" s="23">
        <v>5.4342657000000003E-2</v>
      </c>
      <c r="K783">
        <f t="shared" si="24"/>
        <v>-2.6763634916792123E-3</v>
      </c>
      <c r="L783">
        <f t="shared" si="25"/>
        <v>2.119363695761595E-4</v>
      </c>
    </row>
    <row r="784" spans="1:12" ht="15" customHeight="1" x14ac:dyDescent="0.3">
      <c r="A784" s="19">
        <v>44979</v>
      </c>
      <c r="B784" s="20">
        <v>5.4482551962733897E-2</v>
      </c>
      <c r="C784" s="20">
        <v>5.4494427944742699E-2</v>
      </c>
      <c r="D784" s="20">
        <v>5.4488488000000002E-2</v>
      </c>
      <c r="E784" s="21">
        <v>9.3363999999998505E-5</v>
      </c>
      <c r="F784" s="21">
        <v>0.171640384531523</v>
      </c>
      <c r="G784" s="21">
        <v>11.403074274504901</v>
      </c>
      <c r="H784" s="20">
        <v>5.4488488000000002E-2</v>
      </c>
      <c r="I784" s="20">
        <v>5.4488488000000002E-2</v>
      </c>
      <c r="K784">
        <f t="shared" si="24"/>
        <v>1.7164038453152397E-3</v>
      </c>
      <c r="L784">
        <f t="shared" si="25"/>
        <v>2.1795396504307722E-4</v>
      </c>
    </row>
    <row r="785" spans="1:12" ht="15" customHeight="1" x14ac:dyDescent="0.3">
      <c r="A785" s="22">
        <v>44978</v>
      </c>
      <c r="B785" s="23">
        <v>5.4390392481072102E-2</v>
      </c>
      <c r="C785" s="23">
        <v>5.4399860736356498E-2</v>
      </c>
      <c r="D785" s="23">
        <v>5.4395124000000003E-2</v>
      </c>
      <c r="E785" s="24">
        <v>5.3204000000001099E-5</v>
      </c>
      <c r="F785" s="24">
        <v>9.7905999640790498E-2</v>
      </c>
      <c r="G785" s="24">
        <v>11.212189245238401</v>
      </c>
      <c r="H785" s="23">
        <v>5.4395124000000003E-2</v>
      </c>
      <c r="I785" s="23">
        <v>5.4395124000000003E-2</v>
      </c>
      <c r="K785">
        <f t="shared" si="24"/>
        <v>9.7905999640790498E-4</v>
      </c>
      <c r="L785">
        <f t="shared" si="25"/>
        <v>1.7406441217776019E-4</v>
      </c>
    </row>
    <row r="786" spans="1:12" ht="15" customHeight="1" x14ac:dyDescent="0.3">
      <c r="A786" s="19">
        <v>44977</v>
      </c>
      <c r="B786" s="20">
        <v>5.4335718671383003E-2</v>
      </c>
      <c r="C786" s="20">
        <v>5.4348121457181799E-2</v>
      </c>
      <c r="D786" s="20">
        <v>5.4341920000000002E-2</v>
      </c>
      <c r="E786" s="21">
        <v>2.3668699999999899E-4</v>
      </c>
      <c r="F786" s="21">
        <v>0.43745676134505601</v>
      </c>
      <c r="G786" s="21">
        <v>11.103412338753101</v>
      </c>
      <c r="H786" s="20">
        <v>5.4341920000000002E-2</v>
      </c>
      <c r="I786" s="20">
        <v>5.4341920000000002E-2</v>
      </c>
      <c r="K786">
        <f t="shared" si="24"/>
        <v>4.374567613450564E-3</v>
      </c>
      <c r="L786">
        <f t="shared" si="25"/>
        <v>2.2823606156712392E-4</v>
      </c>
    </row>
    <row r="787" spans="1:12" ht="15" customHeight="1" x14ac:dyDescent="0.3">
      <c r="A787" s="22">
        <v>44974</v>
      </c>
      <c r="B787" s="23">
        <v>5.40985025534493E-2</v>
      </c>
      <c r="C787" s="23">
        <v>5.41119684851896E-2</v>
      </c>
      <c r="D787" s="23">
        <v>5.4105233000000003E-2</v>
      </c>
      <c r="E787" s="24">
        <v>2.21569000000004E-4</v>
      </c>
      <c r="F787" s="24">
        <v>0.41119883755493802</v>
      </c>
      <c r="G787" s="24">
        <v>10.6194998572615</v>
      </c>
      <c r="H787" s="23">
        <v>5.4105233000000003E-2</v>
      </c>
      <c r="I787" s="23">
        <v>5.4105233000000003E-2</v>
      </c>
      <c r="K787">
        <f t="shared" si="24"/>
        <v>4.1119883755493802E-3</v>
      </c>
      <c r="L787">
        <f t="shared" si="25"/>
        <v>2.4888409112479369E-4</v>
      </c>
    </row>
    <row r="788" spans="1:12" ht="15" customHeight="1" x14ac:dyDescent="0.3">
      <c r="A788" s="19">
        <v>44973</v>
      </c>
      <c r="B788" s="20">
        <v>5.3876988060859402E-2</v>
      </c>
      <c r="C788" s="20">
        <v>5.3890343928174898E-2</v>
      </c>
      <c r="D788" s="20">
        <v>5.3883663999999998E-2</v>
      </c>
      <c r="E788" s="21">
        <v>2.7441899999999699E-4</v>
      </c>
      <c r="F788" s="21">
        <v>0.51188745523276202</v>
      </c>
      <c r="G788" s="21">
        <v>10.1664965042609</v>
      </c>
      <c r="H788" s="20">
        <v>5.3883663999999998E-2</v>
      </c>
      <c r="I788" s="20">
        <v>5.3883663999999998E-2</v>
      </c>
      <c r="K788">
        <f t="shared" si="24"/>
        <v>5.1188745523276236E-3</v>
      </c>
      <c r="L788">
        <f t="shared" si="25"/>
        <v>2.4786486894240928E-4</v>
      </c>
    </row>
    <row r="789" spans="1:12" ht="15" customHeight="1" x14ac:dyDescent="0.3">
      <c r="A789" s="22">
        <v>44972</v>
      </c>
      <c r="B789" s="23">
        <v>5.3601483689068502E-2</v>
      </c>
      <c r="C789" s="23">
        <v>5.3617003023999001E-2</v>
      </c>
      <c r="D789" s="23">
        <v>5.3609245E-2</v>
      </c>
      <c r="E789" s="24">
        <v>-1.90355000000003E-4</v>
      </c>
      <c r="F789" s="24">
        <v>-0.35382233325155199</v>
      </c>
      <c r="G789" s="24">
        <v>9.6054400066144492</v>
      </c>
      <c r="H789" s="23">
        <v>5.3609245E-2</v>
      </c>
      <c r="I789" s="23">
        <v>5.3609245E-2</v>
      </c>
      <c r="K789">
        <f t="shared" si="24"/>
        <v>-3.5382233325155221E-3</v>
      </c>
      <c r="L789">
        <f t="shared" si="25"/>
        <v>2.8948989918620497E-4</v>
      </c>
    </row>
    <row r="790" spans="1:12" ht="15" customHeight="1" x14ac:dyDescent="0.3">
      <c r="A790" s="19">
        <v>44971</v>
      </c>
      <c r="B790" s="20">
        <v>5.3793808332660897E-2</v>
      </c>
      <c r="C790" s="20">
        <v>5.3805385919130498E-2</v>
      </c>
      <c r="D790" s="20">
        <v>5.3799600000000003E-2</v>
      </c>
      <c r="E790" s="21">
        <v>1.2345699999999999E-4</v>
      </c>
      <c r="F790" s="21">
        <v>0.23000348590620501</v>
      </c>
      <c r="G790" s="21">
        <v>9.9946255572122897</v>
      </c>
      <c r="H790" s="20">
        <v>5.3799600000000003E-2</v>
      </c>
      <c r="I790" s="20">
        <v>5.3799600000000003E-2</v>
      </c>
      <c r="K790">
        <f t="shared" si="24"/>
        <v>2.3000348590620501E-3</v>
      </c>
      <c r="L790">
        <f t="shared" si="25"/>
        <v>2.1519837451581007E-4</v>
      </c>
    </row>
    <row r="791" spans="1:12" ht="15" customHeight="1" x14ac:dyDescent="0.3">
      <c r="A791" s="22">
        <v>44970</v>
      </c>
      <c r="B791" s="23">
        <v>5.3670815420698702E-2</v>
      </c>
      <c r="C791" s="23">
        <v>5.3681475596401199E-2</v>
      </c>
      <c r="D791" s="23">
        <v>5.3676143000000003E-2</v>
      </c>
      <c r="E791" s="24">
        <v>1.9305900000000199E-4</v>
      </c>
      <c r="F791" s="24">
        <v>0.36097207857348401</v>
      </c>
      <c r="G791" s="24">
        <v>9.7422146380341399</v>
      </c>
      <c r="H791" s="23">
        <v>5.3676143000000003E-2</v>
      </c>
      <c r="I791" s="23">
        <v>5.3676143000000003E-2</v>
      </c>
      <c r="K791">
        <f t="shared" si="24"/>
        <v>3.609720785734849E-3</v>
      </c>
      <c r="L791">
        <f t="shared" si="25"/>
        <v>1.9860174570473203E-4</v>
      </c>
    </row>
    <row r="792" spans="1:12" ht="15" customHeight="1" x14ac:dyDescent="0.3">
      <c r="A792" s="19">
        <v>44967</v>
      </c>
      <c r="B792" s="20">
        <v>5.34765077701366E-2</v>
      </c>
      <c r="C792" s="20">
        <v>5.3489665796568102E-2</v>
      </c>
      <c r="D792" s="20">
        <v>5.3483084E-2</v>
      </c>
      <c r="E792" s="21">
        <v>7.0010100000000104E-4</v>
      </c>
      <c r="F792" s="21">
        <v>1.3263763436788001</v>
      </c>
      <c r="G792" s="21">
        <v>9.3475006919183699</v>
      </c>
      <c r="H792" s="20">
        <v>5.3483084E-2</v>
      </c>
      <c r="I792" s="20">
        <v>5.3483084E-2</v>
      </c>
      <c r="K792">
        <f t="shared" si="24"/>
        <v>1.3263763436788034E-2</v>
      </c>
      <c r="L792">
        <f t="shared" si="25"/>
        <v>2.4602220828368922E-4</v>
      </c>
    </row>
    <row r="793" spans="1:12" ht="15" customHeight="1" x14ac:dyDescent="0.3">
      <c r="A793" s="22">
        <v>44966</v>
      </c>
      <c r="B793" s="23">
        <v>5.2777411267977303E-2</v>
      </c>
      <c r="C793" s="23">
        <v>5.2788555441180399E-2</v>
      </c>
      <c r="D793" s="23">
        <v>5.2782982999999999E-2</v>
      </c>
      <c r="E793" s="24">
        <v>-1.25389999999989E-5</v>
      </c>
      <c r="F793" s="24">
        <v>-2.3750120322707499E-2</v>
      </c>
      <c r="G793" s="24">
        <v>7.91612671614104</v>
      </c>
      <c r="H793" s="23">
        <v>5.2782982999999999E-2</v>
      </c>
      <c r="I793" s="23">
        <v>5.2782982999999999E-2</v>
      </c>
      <c r="K793">
        <f t="shared" si="24"/>
        <v>-2.3750120322707513E-4</v>
      </c>
      <c r="L793">
        <f t="shared" si="25"/>
        <v>2.1113193248466753E-4</v>
      </c>
    </row>
    <row r="794" spans="1:12" ht="15" customHeight="1" x14ac:dyDescent="0.3">
      <c r="A794" s="19">
        <v>44965</v>
      </c>
      <c r="B794" s="20">
        <v>5.2789948793749701E-2</v>
      </c>
      <c r="C794" s="20">
        <v>5.2801098262843897E-2</v>
      </c>
      <c r="D794" s="20">
        <v>5.2795521999999998E-2</v>
      </c>
      <c r="E794" s="21">
        <v>3.3925499999999599E-4</v>
      </c>
      <c r="F794" s="21">
        <v>0.64673873952942795</v>
      </c>
      <c r="G794" s="21">
        <v>7.9417630147354803</v>
      </c>
      <c r="H794" s="20">
        <v>5.2795521999999998E-2</v>
      </c>
      <c r="I794" s="20">
        <v>5.2795521999999998E-2</v>
      </c>
      <c r="K794">
        <f t="shared" si="24"/>
        <v>6.4673873952942884E-3</v>
      </c>
      <c r="L794">
        <f t="shared" si="25"/>
        <v>2.1118209787178557E-4</v>
      </c>
    </row>
    <row r="795" spans="1:12" ht="15" customHeight="1" x14ac:dyDescent="0.3">
      <c r="A795" s="22">
        <v>44964</v>
      </c>
      <c r="B795" s="23">
        <v>5.2451312069571397E-2</v>
      </c>
      <c r="C795" s="23">
        <v>5.2461218044560602E-2</v>
      </c>
      <c r="D795" s="23">
        <v>5.2456267000000001E-2</v>
      </c>
      <c r="E795" s="24">
        <v>4.3998700000000198E-4</v>
      </c>
      <c r="F795" s="24">
        <v>0.84586402564736896</v>
      </c>
      <c r="G795" s="24">
        <v>7.24814769615669</v>
      </c>
      <c r="H795" s="23">
        <v>5.2456267000000001E-2</v>
      </c>
      <c r="I795" s="23">
        <v>5.2456267000000001E-2</v>
      </c>
      <c r="K795">
        <f t="shared" si="24"/>
        <v>8.4586402564736929E-3</v>
      </c>
      <c r="L795">
        <f t="shared" si="25"/>
        <v>1.8884254552854437E-4</v>
      </c>
    </row>
    <row r="796" spans="1:12" ht="15" customHeight="1" x14ac:dyDescent="0.3">
      <c r="A796" s="19">
        <v>44963</v>
      </c>
      <c r="B796" s="20">
        <v>5.2008030039838199E-2</v>
      </c>
      <c r="C796" s="20">
        <v>5.2024534770597798E-2</v>
      </c>
      <c r="D796" s="20">
        <v>5.2016279999999998E-2</v>
      </c>
      <c r="E796" s="21">
        <v>-9.9193700000000501E-4</v>
      </c>
      <c r="F796" s="21">
        <v>-1.87128912485399</v>
      </c>
      <c r="G796" s="21">
        <v>6.3485832883350399</v>
      </c>
      <c r="H796" s="20">
        <v>5.2016279999999998E-2</v>
      </c>
      <c r="I796" s="20">
        <v>5.2016279999999998E-2</v>
      </c>
      <c r="K796">
        <f t="shared" si="24"/>
        <v>-1.871289124853992E-2</v>
      </c>
      <c r="L796">
        <f t="shared" si="25"/>
        <v>3.1729932935610131E-4</v>
      </c>
    </row>
    <row r="797" spans="1:12" ht="15" customHeight="1" x14ac:dyDescent="0.3">
      <c r="A797" s="22">
        <v>44960</v>
      </c>
      <c r="B797" s="23">
        <v>5.30011925268319E-2</v>
      </c>
      <c r="C797" s="23">
        <v>5.3015241882041098E-2</v>
      </c>
      <c r="D797" s="23">
        <v>5.3008217000000003E-2</v>
      </c>
      <c r="E797" s="24">
        <v>-7.7257299999999797E-4</v>
      </c>
      <c r="F797" s="24">
        <v>-1.4365222228978001</v>
      </c>
      <c r="G797" s="24">
        <v>8.3766232531553193</v>
      </c>
      <c r="H797" s="23">
        <v>5.3008217000000003E-2</v>
      </c>
      <c r="I797" s="23">
        <v>5.3008217000000003E-2</v>
      </c>
      <c r="K797">
        <f t="shared" si="24"/>
        <v>-1.436522222897807E-2</v>
      </c>
      <c r="L797">
        <f t="shared" si="25"/>
        <v>2.6504108238912237E-4</v>
      </c>
    </row>
    <row r="798" spans="1:12" ht="15" customHeight="1" x14ac:dyDescent="0.3">
      <c r="A798" s="19">
        <v>44959</v>
      </c>
      <c r="B798" s="20">
        <v>5.3774137866134698E-2</v>
      </c>
      <c r="C798" s="20">
        <v>5.3787442783607697E-2</v>
      </c>
      <c r="D798" s="20">
        <v>5.3780790000000002E-2</v>
      </c>
      <c r="E798" s="21">
        <v>4.56700000000004E-4</v>
      </c>
      <c r="F798" s="21">
        <v>0.85646093538587198</v>
      </c>
      <c r="G798" s="21">
        <v>9.9561680425331591</v>
      </c>
      <c r="H798" s="20">
        <v>5.3780790000000002E-2</v>
      </c>
      <c r="I798" s="20">
        <v>5.3780790000000002E-2</v>
      </c>
      <c r="K798">
        <f t="shared" si="24"/>
        <v>8.5646093538587209E-3</v>
      </c>
      <c r="L798">
        <f t="shared" si="25"/>
        <v>2.4739163320209792E-4</v>
      </c>
    </row>
    <row r="799" spans="1:12" ht="15" customHeight="1" x14ac:dyDescent="0.3">
      <c r="A799" s="22">
        <v>44958</v>
      </c>
      <c r="B799" s="23">
        <v>5.3318830611406999E-2</v>
      </c>
      <c r="C799" s="23">
        <v>5.3329351408428198E-2</v>
      </c>
      <c r="D799" s="23">
        <v>5.3324089999999998E-2</v>
      </c>
      <c r="E799" s="24">
        <v>1.3259999999999601E-4</v>
      </c>
      <c r="F799" s="24">
        <v>0.24928799700854001</v>
      </c>
      <c r="G799" s="24">
        <v>9.0224334888937392</v>
      </c>
      <c r="H799" s="23">
        <v>5.3324089999999998E-2</v>
      </c>
      <c r="I799" s="23">
        <v>5.3324089999999998E-2</v>
      </c>
      <c r="K799">
        <f t="shared" si="24"/>
        <v>2.4928799700854043E-3</v>
      </c>
      <c r="L799">
        <f t="shared" si="25"/>
        <v>1.9729913855443223E-4</v>
      </c>
    </row>
    <row r="800" spans="1:12" ht="15" customHeight="1" x14ac:dyDescent="0.3">
      <c r="A800" s="19">
        <v>44957</v>
      </c>
      <c r="B800" s="20">
        <v>5.3187245698481503E-2</v>
      </c>
      <c r="C800" s="20">
        <v>5.3195733702157098E-2</v>
      </c>
      <c r="D800" s="20">
        <v>5.3191490000000001E-2</v>
      </c>
      <c r="E800" s="21">
        <v>-7.6500000000000098E-5</v>
      </c>
      <c r="F800" s="21">
        <v>-0.14361345340794199</v>
      </c>
      <c r="G800" s="21">
        <v>8.7513294779180804</v>
      </c>
      <c r="H800" s="20">
        <v>5.3191490000000001E-2</v>
      </c>
      <c r="I800" s="20">
        <v>5.3191490000000001E-2</v>
      </c>
      <c r="K800">
        <f t="shared" si="24"/>
        <v>-1.4361345340794252E-3</v>
      </c>
      <c r="L800">
        <f t="shared" si="25"/>
        <v>1.5957446718630161E-4</v>
      </c>
    </row>
    <row r="801" spans="1:12" ht="15" customHeight="1" x14ac:dyDescent="0.3">
      <c r="A801" s="22">
        <v>44956</v>
      </c>
      <c r="B801" s="23">
        <v>5.3262884291710201E-2</v>
      </c>
      <c r="C801" s="23">
        <v>5.3273099215819998E-2</v>
      </c>
      <c r="D801" s="23">
        <v>5.3267990000000001E-2</v>
      </c>
      <c r="E801" s="24">
        <v>5.5270000000003E-5</v>
      </c>
      <c r="F801" s="24">
        <v>0.103866143283037</v>
      </c>
      <c r="G801" s="24">
        <v>8.9077356380963497</v>
      </c>
      <c r="H801" s="23">
        <v>5.3267990000000001E-2</v>
      </c>
      <c r="I801" s="23">
        <v>5.3267990000000001E-2</v>
      </c>
      <c r="K801">
        <f t="shared" si="24"/>
        <v>1.0386614328303789E-3</v>
      </c>
      <c r="L801">
        <f t="shared" si="25"/>
        <v>1.9176477486379859E-4</v>
      </c>
    </row>
    <row r="802" spans="1:12" ht="15" customHeight="1" x14ac:dyDescent="0.3">
      <c r="A802" s="19">
        <v>44953</v>
      </c>
      <c r="B802" s="20">
        <v>5.3205639797818602E-2</v>
      </c>
      <c r="C802" s="20">
        <v>5.3219797764768498E-2</v>
      </c>
      <c r="D802" s="20">
        <v>5.3212719999999998E-2</v>
      </c>
      <c r="E802" s="21">
        <v>1.4402300000000001E-4</v>
      </c>
      <c r="F802" s="21">
        <v>0.27138974224296603</v>
      </c>
      <c r="G802" s="21">
        <v>8.7947347430237599</v>
      </c>
      <c r="H802" s="20">
        <v>5.3212719999999998E-2</v>
      </c>
      <c r="I802" s="20">
        <v>5.3212719999999998E-2</v>
      </c>
      <c r="K802">
        <f t="shared" si="24"/>
        <v>2.7138974224296675E-3</v>
      </c>
      <c r="L802">
        <f t="shared" si="25"/>
        <v>2.6606358310373736E-4</v>
      </c>
    </row>
    <row r="803" spans="1:12" ht="15" customHeight="1" x14ac:dyDescent="0.3">
      <c r="A803" s="22">
        <v>44952</v>
      </c>
      <c r="B803" s="23">
        <v>5.3063628597050702E-2</v>
      </c>
      <c r="C803" s="23">
        <v>5.30737672290717E-2</v>
      </c>
      <c r="D803" s="23">
        <v>5.3068696999999998E-2</v>
      </c>
      <c r="E803" s="24">
        <v>-5.6385999999998501E-5</v>
      </c>
      <c r="F803" s="24">
        <v>-0.10613818711586701</v>
      </c>
      <c r="G803" s="24">
        <v>8.5002761233197699</v>
      </c>
      <c r="H803" s="23">
        <v>5.3068696999999998E-2</v>
      </c>
      <c r="I803" s="23">
        <v>5.3068696999999998E-2</v>
      </c>
      <c r="K803">
        <f t="shared" si="24"/>
        <v>-1.0613818711586731E-3</v>
      </c>
      <c r="L803">
        <f t="shared" si="25"/>
        <v>1.9104731403143084E-4</v>
      </c>
    </row>
    <row r="804" spans="1:12" ht="15" customHeight="1" x14ac:dyDescent="0.3">
      <c r="A804" s="19">
        <v>44951</v>
      </c>
      <c r="B804" s="20">
        <v>5.31183104127824E-2</v>
      </c>
      <c r="C804" s="20">
        <v>5.31318573303367E-2</v>
      </c>
      <c r="D804" s="20">
        <v>5.3125082999999997E-2</v>
      </c>
      <c r="E804" s="21">
        <v>4.0887999999995798E-5</v>
      </c>
      <c r="F804" s="21">
        <v>7.7024809361803101E-2</v>
      </c>
      <c r="G804" s="21">
        <v>8.6155587082584901</v>
      </c>
      <c r="H804" s="20">
        <v>5.3125082999999997E-2</v>
      </c>
      <c r="I804" s="20">
        <v>5.3125082999999997E-2</v>
      </c>
      <c r="K804">
        <f t="shared" si="24"/>
        <v>7.7024809361803115E-4</v>
      </c>
      <c r="L804">
        <f t="shared" si="25"/>
        <v>2.5500040262148104E-4</v>
      </c>
    </row>
    <row r="805" spans="1:12" ht="15" customHeight="1" x14ac:dyDescent="0.3">
      <c r="A805" s="22">
        <v>44950</v>
      </c>
      <c r="B805" s="23">
        <v>5.3079964967223101E-2</v>
      </c>
      <c r="C805" s="23">
        <v>5.3088418761447202E-2</v>
      </c>
      <c r="D805" s="23">
        <v>5.3084195000000001E-2</v>
      </c>
      <c r="E805" s="24">
        <v>-5.7831000000001202E-5</v>
      </c>
      <c r="F805" s="24">
        <v>-0.10882347616931699</v>
      </c>
      <c r="G805" s="24">
        <v>8.5319621712994191</v>
      </c>
      <c r="H805" s="23">
        <v>5.3084195000000001E-2</v>
      </c>
      <c r="I805" s="23">
        <v>5.3084195000000001E-2</v>
      </c>
      <c r="K805">
        <f t="shared" si="24"/>
        <v>-1.0882347616931742E-3</v>
      </c>
      <c r="L805">
        <f t="shared" si="25"/>
        <v>1.5925256517691747E-4</v>
      </c>
    </row>
    <row r="806" spans="1:12" ht="15" customHeight="1" x14ac:dyDescent="0.3">
      <c r="A806" s="19">
        <v>44949</v>
      </c>
      <c r="B806" s="20">
        <v>5.3135245139453398E-2</v>
      </c>
      <c r="C806" s="20">
        <v>5.3148800697312301E-2</v>
      </c>
      <c r="D806" s="20">
        <v>5.3142026000000002E-2</v>
      </c>
      <c r="E806" s="21">
        <v>2.80915999999999E-4</v>
      </c>
      <c r="F806" s="21">
        <v>0.53142281726585805</v>
      </c>
      <c r="G806" s="21">
        <v>8.6501990948192908</v>
      </c>
      <c r="H806" s="20">
        <v>5.3142026000000002E-2</v>
      </c>
      <c r="I806" s="20">
        <v>5.3142026000000002E-2</v>
      </c>
      <c r="K806">
        <f t="shared" si="24"/>
        <v>5.314228172658586E-3</v>
      </c>
      <c r="L806">
        <f t="shared" si="25"/>
        <v>2.5508169106882249E-4</v>
      </c>
    </row>
    <row r="807" spans="1:12" ht="15" customHeight="1" x14ac:dyDescent="0.3">
      <c r="A807" s="22">
        <v>44946</v>
      </c>
      <c r="B807" s="23">
        <v>5.28546813391262E-2</v>
      </c>
      <c r="C807" s="23">
        <v>5.2867535104043302E-2</v>
      </c>
      <c r="D807" s="23">
        <v>5.2861110000000003E-2</v>
      </c>
      <c r="E807" s="24">
        <v>3.13886000000006E-4</v>
      </c>
      <c r="F807" s="24">
        <v>0.59734078435809101</v>
      </c>
      <c r="G807" s="24">
        <v>8.0758593184449303</v>
      </c>
      <c r="H807" s="23">
        <v>5.2861110000000003E-2</v>
      </c>
      <c r="I807" s="23">
        <v>5.2861110000000003E-2</v>
      </c>
      <c r="K807">
        <f t="shared" si="24"/>
        <v>5.9734078435809135E-3</v>
      </c>
      <c r="L807">
        <f t="shared" si="25"/>
        <v>2.4316108604420243E-4</v>
      </c>
    </row>
    <row r="808" spans="1:12" ht="15" customHeight="1" x14ac:dyDescent="0.3">
      <c r="A808" s="19">
        <v>44945</v>
      </c>
      <c r="B808" s="20">
        <v>5.2543085329970603E-2</v>
      </c>
      <c r="C808" s="20">
        <v>5.2551368963161503E-2</v>
      </c>
      <c r="D808" s="20">
        <v>5.2547223999999997E-2</v>
      </c>
      <c r="E808" s="21">
        <v>-9.1727600000000105E-4</v>
      </c>
      <c r="F808" s="21">
        <v>-1.7156730166746199</v>
      </c>
      <c r="G808" s="21">
        <v>7.4341115538211797</v>
      </c>
      <c r="H808" s="20">
        <v>5.2547223999999997E-2</v>
      </c>
      <c r="I808" s="20">
        <v>5.2547223999999997E-2</v>
      </c>
      <c r="K808">
        <f t="shared" si="24"/>
        <v>-1.7156730166746237E-2</v>
      </c>
      <c r="L808">
        <f t="shared" si="25"/>
        <v>1.5764168989974254E-4</v>
      </c>
    </row>
    <row r="809" spans="1:12" ht="15" customHeight="1" x14ac:dyDescent="0.3">
      <c r="A809" s="22">
        <v>44944</v>
      </c>
      <c r="B809" s="23">
        <v>5.3458497495469402E-2</v>
      </c>
      <c r="C809" s="23">
        <v>5.3470502997021697E-2</v>
      </c>
      <c r="D809" s="23">
        <v>5.3464499999999998E-2</v>
      </c>
      <c r="E809" s="24">
        <v>1.6953999999999499E-4</v>
      </c>
      <c r="F809" s="24">
        <v>0.31811638473881998</v>
      </c>
      <c r="G809" s="24">
        <v>9.3095052398823697</v>
      </c>
      <c r="H809" s="23">
        <v>5.3464499999999998E-2</v>
      </c>
      <c r="I809" s="23">
        <v>5.3464499999999998E-2</v>
      </c>
      <c r="K809">
        <f t="shared" si="24"/>
        <v>3.181163847388202E-3</v>
      </c>
      <c r="L809">
        <f t="shared" si="25"/>
        <v>2.2455089923772192E-4</v>
      </c>
    </row>
    <row r="810" spans="1:12" ht="15" customHeight="1" x14ac:dyDescent="0.3">
      <c r="A810" s="19">
        <v>44943</v>
      </c>
      <c r="B810" s="20">
        <v>5.3289564837413497E-2</v>
      </c>
      <c r="C810" s="20">
        <v>5.3300358178406997E-2</v>
      </c>
      <c r="D810" s="20">
        <v>5.3294960000000002E-2</v>
      </c>
      <c r="E810" s="21">
        <v>9.0736000000000901E-5</v>
      </c>
      <c r="F810" s="21">
        <v>0.170542850131605</v>
      </c>
      <c r="G810" s="21">
        <v>8.9628764765278301</v>
      </c>
      <c r="H810" s="20">
        <v>5.3294960000000002E-2</v>
      </c>
      <c r="I810" s="20">
        <v>5.3294960000000002E-2</v>
      </c>
      <c r="K810">
        <f t="shared" si="24"/>
        <v>1.7054285013160531E-3</v>
      </c>
      <c r="L810">
        <f t="shared" si="25"/>
        <v>2.0252085738500081E-4</v>
      </c>
    </row>
    <row r="811" spans="1:12" ht="15" customHeight="1" x14ac:dyDescent="0.3">
      <c r="A811" s="22">
        <v>44942</v>
      </c>
      <c r="B811" s="23">
        <v>5.3198563638781803E-2</v>
      </c>
      <c r="C811" s="23">
        <v>5.3209886396892503E-2</v>
      </c>
      <c r="D811" s="23">
        <v>5.3204224000000001E-2</v>
      </c>
      <c r="E811" s="24">
        <v>-3.0445999999996401E-5</v>
      </c>
      <c r="F811" s="24">
        <v>-5.7192051721177598E-2</v>
      </c>
      <c r="G811" s="24">
        <v>8.7773644588816104</v>
      </c>
      <c r="H811" s="23">
        <v>5.3204224000000001E-2</v>
      </c>
      <c r="I811" s="23">
        <v>5.3204224000000001E-2</v>
      </c>
      <c r="K811">
        <f t="shared" si="24"/>
        <v>-5.7192051721177695E-4</v>
      </c>
      <c r="L811">
        <f t="shared" si="25"/>
        <v>2.1281690173134235E-4</v>
      </c>
    </row>
    <row r="812" spans="1:12" ht="15" customHeight="1" x14ac:dyDescent="0.3">
      <c r="A812" s="19">
        <v>44939</v>
      </c>
      <c r="B812" s="20">
        <v>5.3227162885763901E-2</v>
      </c>
      <c r="C812" s="20">
        <v>5.3242182716522597E-2</v>
      </c>
      <c r="D812" s="20">
        <v>5.3234669999999998E-2</v>
      </c>
      <c r="E812" s="21">
        <v>2.3488299999999799E-4</v>
      </c>
      <c r="F812" s="21">
        <v>0.44317725276894399</v>
      </c>
      <c r="G812" s="21">
        <v>8.8396120661075894</v>
      </c>
      <c r="H812" s="20">
        <v>5.3234669999999998E-2</v>
      </c>
      <c r="I812" s="20">
        <v>5.3234669999999998E-2</v>
      </c>
      <c r="K812">
        <f t="shared" si="24"/>
        <v>4.4317725276894482E-3</v>
      </c>
      <c r="L812">
        <f t="shared" si="25"/>
        <v>2.821437750754538E-4</v>
      </c>
    </row>
    <row r="813" spans="1:12" ht="15" customHeight="1" x14ac:dyDescent="0.3">
      <c r="A813" s="22">
        <v>44938</v>
      </c>
      <c r="B813" s="23">
        <v>5.29950131692608E-2</v>
      </c>
      <c r="C813" s="23">
        <v>5.3004563692933999E-2</v>
      </c>
      <c r="D813" s="23">
        <v>5.2999787E-2</v>
      </c>
      <c r="E813" s="24">
        <v>3.9589399999999999E-4</v>
      </c>
      <c r="F813" s="24">
        <v>0.75259448953710595</v>
      </c>
      <c r="G813" s="24">
        <v>8.3593879076611604</v>
      </c>
      <c r="H813" s="23">
        <v>5.2999787E-2</v>
      </c>
      <c r="I813" s="23">
        <v>5.2999787E-2</v>
      </c>
      <c r="K813">
        <f t="shared" si="24"/>
        <v>7.5259448953710617E-3</v>
      </c>
      <c r="L813">
        <f t="shared" si="25"/>
        <v>1.8019928406880361E-4</v>
      </c>
    </row>
    <row r="814" spans="1:12" ht="15" customHeight="1" x14ac:dyDescent="0.3">
      <c r="A814" s="19">
        <v>44937</v>
      </c>
      <c r="B814" s="20">
        <v>5.2598912254494597E-2</v>
      </c>
      <c r="C814" s="20">
        <v>5.2608874064877298E-2</v>
      </c>
      <c r="D814" s="20">
        <v>5.2603892999999999E-2</v>
      </c>
      <c r="E814" s="21">
        <v>3.1015699999999803E-4</v>
      </c>
      <c r="F814" s="21">
        <v>0.59310545339503695</v>
      </c>
      <c r="G814" s="21">
        <v>7.5499727393263196</v>
      </c>
      <c r="H814" s="20">
        <v>5.2603892999999999E-2</v>
      </c>
      <c r="I814" s="20">
        <v>5.2603892999999999E-2</v>
      </c>
      <c r="K814">
        <f t="shared" si="24"/>
        <v>5.9310545339503751E-3</v>
      </c>
      <c r="L814">
        <f t="shared" si="25"/>
        <v>1.8937401425216227E-4</v>
      </c>
    </row>
    <row r="815" spans="1:12" ht="15" customHeight="1" x14ac:dyDescent="0.3">
      <c r="A815" s="22">
        <v>44936</v>
      </c>
      <c r="B815" s="23">
        <v>5.2288675318699497E-2</v>
      </c>
      <c r="C815" s="23">
        <v>5.2298793466834699E-2</v>
      </c>
      <c r="D815" s="23">
        <v>5.2293736E-2</v>
      </c>
      <c r="E815" s="24">
        <v>1.3025600000000199E-4</v>
      </c>
      <c r="F815" s="24">
        <v>0.24970726646305</v>
      </c>
      <c r="G815" s="24">
        <v>6.9158490083144102</v>
      </c>
      <c r="H815" s="23">
        <v>5.2293736E-2</v>
      </c>
      <c r="I815" s="23">
        <v>5.2293736E-2</v>
      </c>
      <c r="K815">
        <f t="shared" si="24"/>
        <v>2.4970726646305064E-3</v>
      </c>
      <c r="L815">
        <f t="shared" si="25"/>
        <v>1.9348680949477304E-4</v>
      </c>
    </row>
    <row r="816" spans="1:12" ht="15" customHeight="1" x14ac:dyDescent="0.3">
      <c r="A816" s="19">
        <v>44935</v>
      </c>
      <c r="B816" s="20">
        <v>5.2156950696034501E-2</v>
      </c>
      <c r="C816" s="20">
        <v>5.2170011633912598E-2</v>
      </c>
      <c r="D816" s="20">
        <v>5.2163479999999998E-2</v>
      </c>
      <c r="E816" s="21">
        <v>-4.6299999999999099E-5</v>
      </c>
      <c r="F816" s="21">
        <v>-8.8680703117305304E-2</v>
      </c>
      <c r="G816" s="21">
        <v>6.6495373638675996</v>
      </c>
      <c r="H816" s="20">
        <v>5.2163479999999998E-2</v>
      </c>
      <c r="I816" s="20">
        <v>5.2163479999999998E-2</v>
      </c>
      <c r="K816">
        <f t="shared" si="24"/>
        <v>-8.8680703117305359E-4</v>
      </c>
      <c r="L816">
        <f t="shared" si="25"/>
        <v>2.5038471125961819E-4</v>
      </c>
    </row>
    <row r="817" spans="1:12" ht="15" customHeight="1" x14ac:dyDescent="0.3">
      <c r="A817" s="22">
        <v>44932</v>
      </c>
      <c r="B817" s="23">
        <v>5.2203510164023401E-2</v>
      </c>
      <c r="C817" s="23">
        <v>5.2216049124858999E-2</v>
      </c>
      <c r="D817" s="23">
        <v>5.2209779999999997E-2</v>
      </c>
      <c r="E817" s="24">
        <v>6.0885999999999503E-4</v>
      </c>
      <c r="F817" s="24">
        <v>1.17994020261653</v>
      </c>
      <c r="G817" s="24">
        <v>6.7441988699624202</v>
      </c>
      <c r="H817" s="23">
        <v>5.2209779999999997E-2</v>
      </c>
      <c r="I817" s="23">
        <v>5.2209779999999997E-2</v>
      </c>
      <c r="K817">
        <f t="shared" si="24"/>
        <v>1.1799402026165362E-2</v>
      </c>
      <c r="L817">
        <f t="shared" si="25"/>
        <v>2.4016498126592419E-4</v>
      </c>
    </row>
    <row r="818" spans="1:12" ht="15" customHeight="1" x14ac:dyDescent="0.3">
      <c r="A818" s="19">
        <v>44931</v>
      </c>
      <c r="B818" s="20">
        <v>5.1595593736294902E-2</v>
      </c>
      <c r="C818" s="20">
        <v>5.1606244355567002E-2</v>
      </c>
      <c r="D818" s="20">
        <v>5.1600920000000002E-2</v>
      </c>
      <c r="E818" s="21">
        <v>-3.5305999999998798E-5</v>
      </c>
      <c r="F818" s="21">
        <v>-6.8374478026334007E-2</v>
      </c>
      <c r="G818" s="21">
        <v>5.49936939694099</v>
      </c>
      <c r="H818" s="20">
        <v>5.1600920000000002E-2</v>
      </c>
      <c r="I818" s="20">
        <v>5.1600920000000002E-2</v>
      </c>
      <c r="K818">
        <f t="shared" si="24"/>
        <v>-6.8374478026334007E-4</v>
      </c>
      <c r="L818">
        <f t="shared" si="25"/>
        <v>2.0640367016905542E-4</v>
      </c>
    </row>
    <row r="819" spans="1:12" ht="15" customHeight="1" x14ac:dyDescent="0.3">
      <c r="A819" s="22">
        <v>44930</v>
      </c>
      <c r="B819" s="23">
        <v>5.1628624974830999E-2</v>
      </c>
      <c r="C819" s="23">
        <v>5.1643822882345002E-2</v>
      </c>
      <c r="D819" s="23">
        <v>5.1636226E-2</v>
      </c>
      <c r="E819" s="24">
        <v>1.6014999999999701E-4</v>
      </c>
      <c r="F819" s="24">
        <v>0.31111540048234199</v>
      </c>
      <c r="G819" s="24">
        <v>5.5715533955194703</v>
      </c>
      <c r="H819" s="23">
        <v>5.1636226E-2</v>
      </c>
      <c r="I819" s="23">
        <v>5.1636226E-2</v>
      </c>
      <c r="K819">
        <f t="shared" si="24"/>
        <v>3.1111540048234243E-3</v>
      </c>
      <c r="L819">
        <f t="shared" si="25"/>
        <v>2.9432645821177871E-4</v>
      </c>
    </row>
    <row r="820" spans="1:12" ht="15" customHeight="1" x14ac:dyDescent="0.3">
      <c r="A820" s="19">
        <v>44929</v>
      </c>
      <c r="B820" s="20">
        <v>5.1469717791537403E-2</v>
      </c>
      <c r="C820" s="20">
        <v>5.1482436766696997E-2</v>
      </c>
      <c r="D820" s="20">
        <v>5.1476076000000003E-2</v>
      </c>
      <c r="E820" s="21">
        <v>1.60441000000004E-4</v>
      </c>
      <c r="F820" s="21">
        <v>0.31265519758256699</v>
      </c>
      <c r="G820" s="21">
        <v>5.2441227216299398</v>
      </c>
      <c r="H820" s="20">
        <v>5.1476076000000003E-2</v>
      </c>
      <c r="I820" s="20">
        <v>5.1476076000000003E-2</v>
      </c>
      <c r="K820">
        <f t="shared" si="24"/>
        <v>3.1265519758256755E-3</v>
      </c>
      <c r="L820">
        <f t="shared" si="25"/>
        <v>2.470851733064075E-4</v>
      </c>
    </row>
    <row r="821" spans="1:12" ht="15" customHeight="1" x14ac:dyDescent="0.3">
      <c r="A821" s="22">
        <v>44928</v>
      </c>
      <c r="B821" s="23">
        <v>5.1310732665951701E-2</v>
      </c>
      <c r="C821" s="23">
        <v>5.1320475843452E-2</v>
      </c>
      <c r="D821" s="23">
        <v>5.1315634999999998E-2</v>
      </c>
      <c r="E821" s="24">
        <v>2.8999999998613399E-8</v>
      </c>
      <c r="F821" s="24">
        <v>5.6513022572701703E-5</v>
      </c>
      <c r="G821" s="24">
        <v>4.9160970909742199</v>
      </c>
      <c r="H821" s="23">
        <v>5.1315634999999998E-2</v>
      </c>
      <c r="I821" s="23">
        <v>5.1315634999999998E-2</v>
      </c>
      <c r="K821">
        <f t="shared" si="24"/>
        <v>5.6513022572701743E-7</v>
      </c>
      <c r="L821">
        <f t="shared" si="25"/>
        <v>1.8986762027399133E-4</v>
      </c>
    </row>
    <row r="822" spans="1:12" ht="15" customHeight="1" x14ac:dyDescent="0.3">
      <c r="A822" s="19">
        <v>44925</v>
      </c>
      <c r="B822" s="20">
        <v>5.1310732665951701E-2</v>
      </c>
      <c r="C822" s="20">
        <v>5.1320475843452E-2</v>
      </c>
      <c r="D822" s="20">
        <v>5.1315606E-2</v>
      </c>
      <c r="E822" s="21">
        <v>-4.4155099999999798E-4</v>
      </c>
      <c r="F822" s="21">
        <v>-0.85312066116768304</v>
      </c>
      <c r="G822" s="21">
        <v>4.9160377997501099</v>
      </c>
      <c r="H822" s="20">
        <v>5.1315606E-2</v>
      </c>
      <c r="I822" s="20">
        <v>5.1315606E-2</v>
      </c>
      <c r="K822">
        <f t="shared" si="24"/>
        <v>-8.5312066116768337E-3</v>
      </c>
      <c r="L822">
        <f t="shared" si="25"/>
        <v>1.8986772757392242E-4</v>
      </c>
    </row>
    <row r="823" spans="1:12" ht="15" customHeight="1" x14ac:dyDescent="0.3">
      <c r="A823" s="22">
        <v>44924</v>
      </c>
      <c r="B823" s="23">
        <v>5.1751530551516101E-2</v>
      </c>
      <c r="C823" s="23">
        <v>5.1762781524828001E-2</v>
      </c>
      <c r="D823" s="23">
        <v>5.1757156999999998E-2</v>
      </c>
      <c r="E823" s="24">
        <v>2.54566999999997E-4</v>
      </c>
      <c r="F823" s="24">
        <v>0.49427999640405601</v>
      </c>
      <c r="G823" s="24">
        <v>5.8187998446242801</v>
      </c>
      <c r="H823" s="23">
        <v>5.1757156999999998E-2</v>
      </c>
      <c r="I823" s="23">
        <v>5.1757156999999998E-2</v>
      </c>
      <c r="K823">
        <f t="shared" si="24"/>
        <v>4.9427999640405673E-3</v>
      </c>
      <c r="L823">
        <f t="shared" si="25"/>
        <v>2.1738004875153149E-4</v>
      </c>
    </row>
    <row r="824" spans="1:12" ht="15" customHeight="1" x14ac:dyDescent="0.3">
      <c r="A824" s="19">
        <v>44923</v>
      </c>
      <c r="B824" s="20">
        <v>5.1495162029527301E-2</v>
      </c>
      <c r="C824" s="20">
        <v>5.1510016122634998E-2</v>
      </c>
      <c r="D824" s="20">
        <v>5.1502590000000001E-2</v>
      </c>
      <c r="E824" s="21">
        <v>4.10799999999988E-5</v>
      </c>
      <c r="F824" s="21">
        <v>7.9826651025194303E-2</v>
      </c>
      <c r="G824" s="21">
        <v>5.2983312566752501</v>
      </c>
      <c r="H824" s="20">
        <v>5.1502590000000001E-2</v>
      </c>
      <c r="I824" s="20">
        <v>5.1502590000000001E-2</v>
      </c>
      <c r="K824">
        <f t="shared" si="24"/>
        <v>7.9826651025194373E-4</v>
      </c>
      <c r="L824">
        <f t="shared" si="25"/>
        <v>2.8841448765385991E-4</v>
      </c>
    </row>
    <row r="825" spans="1:12" ht="15" customHeight="1" x14ac:dyDescent="0.3">
      <c r="A825" s="22">
        <v>44922</v>
      </c>
      <c r="B825" s="23">
        <v>5.14538279075272E-2</v>
      </c>
      <c r="C825" s="23">
        <v>5.1469187970621402E-2</v>
      </c>
      <c r="D825" s="23">
        <v>5.1461510000000002E-2</v>
      </c>
      <c r="E825" s="24">
        <v>-1.33999999999551E-6</v>
      </c>
      <c r="F825" s="24">
        <v>-2.60382003716141E-3</v>
      </c>
      <c r="G825" s="24">
        <v>5.2143421709220101</v>
      </c>
      <c r="H825" s="23">
        <v>5.1461510000000002E-2</v>
      </c>
      <c r="I825" s="23">
        <v>5.1461510000000002E-2</v>
      </c>
      <c r="K825">
        <f t="shared" si="24"/>
        <v>-2.6038200371614195E-5</v>
      </c>
      <c r="L825">
        <f t="shared" si="25"/>
        <v>2.984767274454725E-4</v>
      </c>
    </row>
    <row r="826" spans="1:12" ht="15" customHeight="1" x14ac:dyDescent="0.3">
      <c r="A826" s="19">
        <v>44921</v>
      </c>
      <c r="B826" s="20">
        <v>5.1456740318414303E-2</v>
      </c>
      <c r="C826" s="20">
        <v>5.1468923064253803E-2</v>
      </c>
      <c r="D826" s="20">
        <v>5.1462849999999997E-2</v>
      </c>
      <c r="E826" s="21">
        <v>1.6999999997990801E-8</v>
      </c>
      <c r="F826" s="21">
        <v>3.3033548696437197E-5</v>
      </c>
      <c r="G826" s="21">
        <v>5.2170818343813297</v>
      </c>
      <c r="H826" s="20">
        <v>5.1462849999999997E-2</v>
      </c>
      <c r="I826" s="20">
        <v>5.1462849999999997E-2</v>
      </c>
      <c r="K826">
        <f t="shared" si="24"/>
        <v>3.3033548696437265E-7</v>
      </c>
      <c r="L826">
        <f t="shared" si="25"/>
        <v>2.3672893824381553E-4</v>
      </c>
    </row>
    <row r="827" spans="1:12" ht="15" customHeight="1" x14ac:dyDescent="0.3">
      <c r="A827" s="22">
        <v>44918</v>
      </c>
      <c r="B827" s="23">
        <v>5.1456740318414303E-2</v>
      </c>
      <c r="C827" s="23">
        <v>5.1468923064253803E-2</v>
      </c>
      <c r="D827" s="23">
        <v>5.1462832999999999E-2</v>
      </c>
      <c r="E827" s="24">
        <v>3.4462300000000202E-4</v>
      </c>
      <c r="F827" s="24">
        <v>0.67416875512660202</v>
      </c>
      <c r="G827" s="24">
        <v>5.2170470774568498</v>
      </c>
      <c r="H827" s="23">
        <v>5.1462832999999999E-2</v>
      </c>
      <c r="I827" s="23">
        <v>5.1462832999999999E-2</v>
      </c>
      <c r="K827">
        <f t="shared" si="24"/>
        <v>6.741687551266029E-3</v>
      </c>
      <c r="L827">
        <f t="shared" si="25"/>
        <v>2.3672901644378462E-4</v>
      </c>
    </row>
    <row r="828" spans="1:12" ht="15" customHeight="1" x14ac:dyDescent="0.3">
      <c r="A828" s="19">
        <v>44917</v>
      </c>
      <c r="B828" s="20">
        <v>5.1112462751792799E-2</v>
      </c>
      <c r="C828" s="20">
        <v>5.1123960266458102E-2</v>
      </c>
      <c r="D828" s="20">
        <v>5.1118209999999997E-2</v>
      </c>
      <c r="E828" s="21">
        <v>3.81253999999997E-4</v>
      </c>
      <c r="F828" s="21">
        <v>0.751432545539376</v>
      </c>
      <c r="G828" s="21">
        <v>4.5124567488409602</v>
      </c>
      <c r="H828" s="20">
        <v>5.1118209999999997E-2</v>
      </c>
      <c r="I828" s="20">
        <v>5.1118209999999997E-2</v>
      </c>
      <c r="K828">
        <f t="shared" si="24"/>
        <v>7.5143254553937666E-3</v>
      </c>
      <c r="L828">
        <f t="shared" si="25"/>
        <v>2.2492013443551004E-4</v>
      </c>
    </row>
    <row r="829" spans="1:12" ht="15" customHeight="1" x14ac:dyDescent="0.3">
      <c r="A829" s="22">
        <v>44916</v>
      </c>
      <c r="B829" s="23">
        <v>5.0731806305963502E-2</v>
      </c>
      <c r="C829" s="23">
        <v>5.0742103260180103E-2</v>
      </c>
      <c r="D829" s="23">
        <v>5.0736956E-2</v>
      </c>
      <c r="E829" s="24">
        <v>1.2710999999999899E-4</v>
      </c>
      <c r="F829" s="24">
        <v>0.25115666228268102</v>
      </c>
      <c r="G829" s="24">
        <v>3.7329734260618102</v>
      </c>
      <c r="H829" s="23">
        <v>5.0736956E-2</v>
      </c>
      <c r="I829" s="23">
        <v>5.0736956E-2</v>
      </c>
      <c r="K829">
        <f t="shared" si="24"/>
        <v>2.5115666228268108E-3</v>
      </c>
      <c r="L829">
        <f t="shared" si="25"/>
        <v>2.0294781217465005E-4</v>
      </c>
    </row>
    <row r="830" spans="1:12" ht="15" customHeight="1" x14ac:dyDescent="0.3">
      <c r="A830" s="19">
        <v>44915</v>
      </c>
      <c r="B830" s="20">
        <v>5.0606006933022897E-2</v>
      </c>
      <c r="C830" s="20">
        <v>5.0613691003416401E-2</v>
      </c>
      <c r="D830" s="20">
        <v>5.0609846E-2</v>
      </c>
      <c r="E830" s="21">
        <v>1.09895999999998E-4</v>
      </c>
      <c r="F830" s="21">
        <v>0.217616057045599</v>
      </c>
      <c r="G830" s="21">
        <v>3.47309385716953</v>
      </c>
      <c r="H830" s="20">
        <v>5.0609846E-2</v>
      </c>
      <c r="I830" s="20">
        <v>5.0609846E-2</v>
      </c>
      <c r="K830">
        <f t="shared" si="24"/>
        <v>2.1761605704559983E-3</v>
      </c>
      <c r="L830">
        <f t="shared" si="25"/>
        <v>1.5182955493491096E-4</v>
      </c>
    </row>
    <row r="831" spans="1:12" ht="15" customHeight="1" x14ac:dyDescent="0.3">
      <c r="A831" s="22">
        <v>44914</v>
      </c>
      <c r="B831" s="23">
        <v>5.0492299924261602E-2</v>
      </c>
      <c r="C831" s="23">
        <v>5.0507601394009803E-2</v>
      </c>
      <c r="D831" s="23">
        <v>5.0499950000000002E-2</v>
      </c>
      <c r="E831" s="24">
        <v>4.2044000000004899E-5</v>
      </c>
      <c r="F831" s="24">
        <v>8.3324900561687607E-2</v>
      </c>
      <c r="G831" s="24">
        <v>3.2484087411048099</v>
      </c>
      <c r="H831" s="23">
        <v>5.0499950000000002E-2</v>
      </c>
      <c r="I831" s="23">
        <v>5.0499950000000002E-2</v>
      </c>
      <c r="K831">
        <f t="shared" si="24"/>
        <v>8.332490056168762E-4</v>
      </c>
      <c r="L831">
        <f t="shared" si="25"/>
        <v>3.029997009541783E-4</v>
      </c>
    </row>
    <row r="832" spans="1:12" ht="15" customHeight="1" x14ac:dyDescent="0.3">
      <c r="A832" s="19">
        <v>44911</v>
      </c>
      <c r="B832" s="20">
        <v>5.0452050371327099E-2</v>
      </c>
      <c r="C832" s="20">
        <v>5.0463761972527499E-2</v>
      </c>
      <c r="D832" s="20">
        <v>5.0457905999999997E-2</v>
      </c>
      <c r="E832" s="21">
        <v>-2.1651000000004401E-5</v>
      </c>
      <c r="F832" s="21">
        <v>-4.2890629963343502E-2</v>
      </c>
      <c r="G832" s="21">
        <v>3.16244873328082</v>
      </c>
      <c r="H832" s="20">
        <v>5.0457905999999997E-2</v>
      </c>
      <c r="I832" s="20">
        <v>5.0457905999999997E-2</v>
      </c>
      <c r="K832">
        <f t="shared" si="24"/>
        <v>-4.2890629963343585E-4</v>
      </c>
      <c r="L832">
        <f t="shared" si="25"/>
        <v>2.3210636605489626E-4</v>
      </c>
    </row>
    <row r="833" spans="1:12" ht="15" customHeight="1" x14ac:dyDescent="0.3">
      <c r="A833" s="22">
        <v>44910</v>
      </c>
      <c r="B833" s="23">
        <v>5.0473186119873802E-2</v>
      </c>
      <c r="C833" s="23">
        <v>5.0485927047835402E-2</v>
      </c>
      <c r="D833" s="23">
        <v>5.0479557000000001E-2</v>
      </c>
      <c r="E833" s="24">
        <v>-2.14957000000001E-4</v>
      </c>
      <c r="F833" s="24">
        <v>-0.42402418533887798</v>
      </c>
      <c r="G833" s="24">
        <v>3.20671474339873</v>
      </c>
      <c r="H833" s="23">
        <v>5.0479557000000001E-2</v>
      </c>
      <c r="I833" s="23">
        <v>5.0479557000000001E-2</v>
      </c>
      <c r="K833">
        <f t="shared" si="24"/>
        <v>-4.240241853388782E-3</v>
      </c>
      <c r="L833">
        <f t="shared" si="25"/>
        <v>2.523977768188534E-4</v>
      </c>
    </row>
    <row r="834" spans="1:12" ht="15" customHeight="1" x14ac:dyDescent="0.3">
      <c r="A834" s="19">
        <v>44909</v>
      </c>
      <c r="B834" s="20">
        <v>5.0688347762616298E-2</v>
      </c>
      <c r="C834" s="20">
        <v>5.0700683445212801E-2</v>
      </c>
      <c r="D834" s="20">
        <v>5.0694514000000003E-2</v>
      </c>
      <c r="E834" s="21">
        <v>-2.6868999999999499E-4</v>
      </c>
      <c r="F834" s="21">
        <v>-0.52722352385849902</v>
      </c>
      <c r="G834" s="21">
        <v>3.64619969729991</v>
      </c>
      <c r="H834" s="20">
        <v>5.0694514000000003E-2</v>
      </c>
      <c r="I834" s="20">
        <v>5.0694514000000003E-2</v>
      </c>
      <c r="K834">
        <f t="shared" si="24"/>
        <v>-5.2722352385849991E-3</v>
      </c>
      <c r="L834">
        <f t="shared" si="25"/>
        <v>2.4333367899537139E-4</v>
      </c>
    </row>
    <row r="835" spans="1:12" ht="15" customHeight="1" x14ac:dyDescent="0.3">
      <c r="A835" s="22">
        <v>44908</v>
      </c>
      <c r="B835" s="23">
        <v>5.0958270272473898E-2</v>
      </c>
      <c r="C835" s="23">
        <v>5.0968139815801103E-2</v>
      </c>
      <c r="D835" s="23">
        <v>5.0963203999999998E-2</v>
      </c>
      <c r="E835" s="24">
        <v>5.4854399999999803E-4</v>
      </c>
      <c r="F835" s="24">
        <v>1.0880644637889001</v>
      </c>
      <c r="G835" s="24">
        <v>4.1955431113953097</v>
      </c>
      <c r="H835" s="23">
        <v>5.0963203999999998E-2</v>
      </c>
      <c r="I835" s="23">
        <v>5.0963203999999998E-2</v>
      </c>
      <c r="K835">
        <f t="shared" si="24"/>
        <v>1.088064463788907E-2</v>
      </c>
      <c r="L835">
        <f t="shared" si="25"/>
        <v>1.9366018131837431E-4</v>
      </c>
    </row>
    <row r="836" spans="1:12" ht="15" customHeight="1" x14ac:dyDescent="0.3">
      <c r="A836" s="19">
        <v>44907</v>
      </c>
      <c r="B836" s="20">
        <v>5.04083072890412E-2</v>
      </c>
      <c r="C836" s="20">
        <v>5.0421015479251798E-2</v>
      </c>
      <c r="D836" s="20">
        <v>5.041466E-2</v>
      </c>
      <c r="E836" s="21">
        <v>-2.6699999999997501E-5</v>
      </c>
      <c r="F836" s="21">
        <v>-5.29327520114364E-2</v>
      </c>
      <c r="G836" s="21">
        <v>3.0740312064433102</v>
      </c>
      <c r="H836" s="20">
        <v>5.041466E-2</v>
      </c>
      <c r="I836" s="20">
        <v>5.041466E-2</v>
      </c>
      <c r="K836">
        <f t="shared" si="24"/>
        <v>-5.2932752011436435E-4</v>
      </c>
      <c r="L836">
        <f t="shared" si="25"/>
        <v>2.5207330983879363E-4</v>
      </c>
    </row>
    <row r="837" spans="1:12" ht="15" customHeight="1" x14ac:dyDescent="0.3">
      <c r="A837" s="22">
        <v>44904</v>
      </c>
      <c r="B837" s="23">
        <v>5.0434238796033801E-2</v>
      </c>
      <c r="C837" s="23">
        <v>5.0448487049873397E-2</v>
      </c>
      <c r="D837" s="23">
        <v>5.0441359999999998E-2</v>
      </c>
      <c r="E837" s="24">
        <v>-3.8714500000000502E-4</v>
      </c>
      <c r="F837" s="24">
        <v>-0.76166906738650497</v>
      </c>
      <c r="G837" s="24">
        <v>3.1286200231329802</v>
      </c>
      <c r="H837" s="23">
        <v>5.0441359999999998E-2</v>
      </c>
      <c r="I837" s="23">
        <v>5.0441359999999998E-2</v>
      </c>
      <c r="K837">
        <f t="shared" ref="K837:K900" si="26">D837/D838-1</f>
        <v>-7.6166906738650564E-3</v>
      </c>
      <c r="L837">
        <f t="shared" ref="L837:L900" si="27">(C837-B837)/D837</f>
        <v>2.8247164310392511E-4</v>
      </c>
    </row>
    <row r="838" spans="1:12" ht="15" customHeight="1" x14ac:dyDescent="0.3">
      <c r="A838" s="19">
        <v>44903</v>
      </c>
      <c r="B838" s="20">
        <v>5.0822304893171501E-2</v>
      </c>
      <c r="C838" s="20">
        <v>5.0834705870391801E-2</v>
      </c>
      <c r="D838" s="20">
        <v>5.0828505000000003E-2</v>
      </c>
      <c r="E838" s="21">
        <v>1.9046300000000101E-4</v>
      </c>
      <c r="F838" s="21">
        <v>0.37612631230883298</v>
      </c>
      <c r="G838" s="21">
        <v>3.9201476425083599</v>
      </c>
      <c r="H838" s="20">
        <v>5.0828505000000003E-2</v>
      </c>
      <c r="I838" s="20">
        <v>5.0828505000000003E-2</v>
      </c>
      <c r="K838">
        <f t="shared" si="26"/>
        <v>3.761263123088332E-3</v>
      </c>
      <c r="L838">
        <f t="shared" si="27"/>
        <v>2.4397682403408134E-4</v>
      </c>
    </row>
    <row r="839" spans="1:12" ht="15" customHeight="1" x14ac:dyDescent="0.3">
      <c r="A839" s="22">
        <v>44902</v>
      </c>
      <c r="B839" s="23">
        <v>5.0633167762874701E-2</v>
      </c>
      <c r="C839" s="23">
        <v>5.0642911764854803E-2</v>
      </c>
      <c r="D839" s="23">
        <v>5.0638042000000001E-2</v>
      </c>
      <c r="E839" s="24">
        <v>1.10025999999999E-4</v>
      </c>
      <c r="F839" s="24">
        <v>0.21775246429625</v>
      </c>
      <c r="G839" s="24">
        <v>3.5307412832137999</v>
      </c>
      <c r="H839" s="23">
        <v>5.0638042000000001E-2</v>
      </c>
      <c r="I839" s="23">
        <v>5.0638042000000001E-2</v>
      </c>
      <c r="K839">
        <f t="shared" si="26"/>
        <v>2.1775246429625028E-3</v>
      </c>
      <c r="L839">
        <f t="shared" si="27"/>
        <v>1.924245408245171E-4</v>
      </c>
    </row>
    <row r="840" spans="1:12" ht="15" customHeight="1" x14ac:dyDescent="0.3">
      <c r="A840" s="19">
        <v>44901</v>
      </c>
      <c r="B840" s="20">
        <v>5.0523422658744599E-2</v>
      </c>
      <c r="C840" s="20">
        <v>5.0532613748913498E-2</v>
      </c>
      <c r="D840" s="20">
        <v>5.0528016000000002E-2</v>
      </c>
      <c r="E840" s="21">
        <v>-9.4643999999997896E-5</v>
      </c>
      <c r="F840" s="21">
        <v>-0.186959752806348</v>
      </c>
      <c r="G840" s="21">
        <v>3.3057903789030298</v>
      </c>
      <c r="H840" s="20">
        <v>5.0528016000000002E-2</v>
      </c>
      <c r="I840" s="20">
        <v>5.0528016000000002E-2</v>
      </c>
      <c r="K840">
        <f t="shared" si="26"/>
        <v>-1.8695975280634825E-3</v>
      </c>
      <c r="L840">
        <f t="shared" si="27"/>
        <v>1.8190087196178051E-4</v>
      </c>
    </row>
    <row r="841" spans="1:12" ht="15" customHeight="1" x14ac:dyDescent="0.3">
      <c r="A841" s="22">
        <v>44900</v>
      </c>
      <c r="B841" s="23">
        <v>5.0617021491987303E-2</v>
      </c>
      <c r="C841" s="23">
        <v>5.0628297167853102E-2</v>
      </c>
      <c r="D841" s="23">
        <v>5.062266E-2</v>
      </c>
      <c r="E841" s="24">
        <v>-1.007565E-3</v>
      </c>
      <c r="F841" s="24">
        <v>-1.9515022450512201</v>
      </c>
      <c r="G841" s="24">
        <v>3.49929240013063</v>
      </c>
      <c r="H841" s="23">
        <v>5.062266E-2</v>
      </c>
      <c r="I841" s="23">
        <v>5.062266E-2</v>
      </c>
      <c r="K841">
        <f t="shared" si="26"/>
        <v>-1.9515022450512287E-2</v>
      </c>
      <c r="L841">
        <f t="shared" si="27"/>
        <v>2.2273969534194603E-4</v>
      </c>
    </row>
    <row r="842" spans="1:12" ht="15" customHeight="1" x14ac:dyDescent="0.3">
      <c r="A842" s="19">
        <v>44897</v>
      </c>
      <c r="B842" s="20">
        <v>5.16256930749295E-2</v>
      </c>
      <c r="C842" s="20">
        <v>5.1634756387219399E-2</v>
      </c>
      <c r="D842" s="20">
        <v>5.1630225000000002E-2</v>
      </c>
      <c r="E842" s="21">
        <v>-6.0000500000000003E-4</v>
      </c>
      <c r="F842" s="21">
        <v>-1.14876959186279</v>
      </c>
      <c r="G842" s="21">
        <v>5.5592842011765997</v>
      </c>
      <c r="H842" s="20">
        <v>5.1630225000000002E-2</v>
      </c>
      <c r="I842" s="20">
        <v>5.1630225000000002E-2</v>
      </c>
      <c r="K842">
        <f t="shared" si="26"/>
        <v>-1.1487695918627971E-2</v>
      </c>
      <c r="L842">
        <f t="shared" si="27"/>
        <v>1.7554276182021148E-4</v>
      </c>
    </row>
    <row r="843" spans="1:12" ht="15" customHeight="1" x14ac:dyDescent="0.3">
      <c r="A843" s="22">
        <v>44896</v>
      </c>
      <c r="B843" s="23">
        <v>5.2223411755490001E-2</v>
      </c>
      <c r="C843" s="23">
        <v>5.2237051740799699E-2</v>
      </c>
      <c r="D843" s="23">
        <v>5.2230230000000002E-2</v>
      </c>
      <c r="E843" s="24">
        <v>6.1333399999999999E-4</v>
      </c>
      <c r="F843" s="24">
        <v>1.1882427025445299</v>
      </c>
      <c r="G843" s="24">
        <v>6.7860094055917903</v>
      </c>
      <c r="H843" s="23">
        <v>5.2230230000000002E-2</v>
      </c>
      <c r="I843" s="23">
        <v>5.2230230000000002E-2</v>
      </c>
      <c r="K843">
        <f t="shared" si="26"/>
        <v>1.1882427025445397E-2</v>
      </c>
      <c r="L843">
        <f t="shared" si="27"/>
        <v>2.6115116302757489E-4</v>
      </c>
    </row>
    <row r="844" spans="1:12" ht="15" customHeight="1" x14ac:dyDescent="0.3">
      <c r="A844" s="19">
        <v>44895</v>
      </c>
      <c r="B844" s="20">
        <v>5.16129032258065E-2</v>
      </c>
      <c r="C844" s="20">
        <v>5.1620896138756998E-2</v>
      </c>
      <c r="D844" s="20">
        <v>5.1616896000000002E-2</v>
      </c>
      <c r="E844" s="21">
        <v>-4.4339099999999399E-4</v>
      </c>
      <c r="F844" s="21">
        <v>-0.85168758289787505</v>
      </c>
      <c r="G844" s="21">
        <v>5.5320327278561301</v>
      </c>
      <c r="H844" s="20">
        <v>5.1616896000000002E-2</v>
      </c>
      <c r="I844" s="20">
        <v>5.1616896000000002E-2</v>
      </c>
      <c r="K844">
        <f t="shared" si="26"/>
        <v>-8.5168758289787538E-3</v>
      </c>
      <c r="L844">
        <f t="shared" si="27"/>
        <v>1.5485070916504266E-4</v>
      </c>
    </row>
    <row r="845" spans="1:12" ht="15" customHeight="1" x14ac:dyDescent="0.3">
      <c r="A845" s="22">
        <v>44894</v>
      </c>
      <c r="B845" s="23">
        <v>5.2055949734774898E-2</v>
      </c>
      <c r="C845" s="23">
        <v>5.2064622609583E-2</v>
      </c>
      <c r="D845" s="23">
        <v>5.2060286999999997E-2</v>
      </c>
      <c r="E845" s="24">
        <v>2.5620699999999398E-4</v>
      </c>
      <c r="F845" s="24">
        <v>0.49456915362648901</v>
      </c>
      <c r="G845" s="24">
        <v>6.43855669867445</v>
      </c>
      <c r="H845" s="23">
        <v>5.2060286999999997E-2</v>
      </c>
      <c r="I845" s="23">
        <v>5.2060286999999997E-2</v>
      </c>
      <c r="K845">
        <f t="shared" si="26"/>
        <v>4.9456915362648957E-3</v>
      </c>
      <c r="L845">
        <f t="shared" si="27"/>
        <v>1.6659291194653217E-4</v>
      </c>
    </row>
    <row r="846" spans="1:12" ht="15" customHeight="1" x14ac:dyDescent="0.3">
      <c r="A846" s="19">
        <v>44893</v>
      </c>
      <c r="B846" s="20">
        <v>5.1800051800051802E-2</v>
      </c>
      <c r="C846" s="20">
        <v>5.1808102787275899E-2</v>
      </c>
      <c r="D846" s="20">
        <v>5.1804080000000002E-2</v>
      </c>
      <c r="E846" s="21">
        <v>8.1725000000004697E-5</v>
      </c>
      <c r="F846" s="21">
        <v>0.158007113171865</v>
      </c>
      <c r="G846" s="21">
        <v>5.9147350897752</v>
      </c>
      <c r="H846" s="20">
        <v>5.1804080000000002E-2</v>
      </c>
      <c r="I846" s="20">
        <v>5.1804080000000002E-2</v>
      </c>
      <c r="K846">
        <f t="shared" si="26"/>
        <v>1.5800711317186522E-3</v>
      </c>
      <c r="L846">
        <f t="shared" si="27"/>
        <v>1.5541222282292513E-4</v>
      </c>
    </row>
    <row r="847" spans="1:12" ht="15" customHeight="1" x14ac:dyDescent="0.3">
      <c r="A847" s="22">
        <v>44890</v>
      </c>
      <c r="B847" s="23">
        <v>5.1716469626917401E-2</v>
      </c>
      <c r="C847" s="23">
        <v>5.1728240515627098E-2</v>
      </c>
      <c r="D847" s="23">
        <v>5.1722354999999998E-2</v>
      </c>
      <c r="E847" s="24">
        <v>8.1464999999995806E-5</v>
      </c>
      <c r="F847" s="24">
        <v>0.157752896977569</v>
      </c>
      <c r="G847" s="24">
        <v>5.7476462866305003</v>
      </c>
      <c r="H847" s="23">
        <v>5.1722354999999998E-2</v>
      </c>
      <c r="I847" s="23">
        <v>5.1722354999999998E-2</v>
      </c>
      <c r="K847">
        <f t="shared" si="26"/>
        <v>1.5775289697756989E-3</v>
      </c>
      <c r="L847">
        <f t="shared" si="27"/>
        <v>2.2757835968020669E-4</v>
      </c>
    </row>
    <row r="848" spans="1:12" ht="15" customHeight="1" x14ac:dyDescent="0.3">
      <c r="A848" s="19">
        <v>44889</v>
      </c>
      <c r="B848" s="20">
        <v>5.1635023003402697E-2</v>
      </c>
      <c r="C848" s="20">
        <v>5.1646756841904097E-2</v>
      </c>
      <c r="D848" s="20">
        <v>5.1640890000000002E-2</v>
      </c>
      <c r="E848" s="21">
        <v>9.33000000000183E-6</v>
      </c>
      <c r="F848" s="21">
        <v>1.8070343022769102E-2</v>
      </c>
      <c r="G848" s="21">
        <v>5.5810890599779199</v>
      </c>
      <c r="H848" s="20">
        <v>5.1640890000000002E-2</v>
      </c>
      <c r="I848" s="20">
        <v>5.1640890000000002E-2</v>
      </c>
      <c r="K848">
        <f t="shared" si="26"/>
        <v>1.8070343022769109E-4</v>
      </c>
      <c r="L848">
        <f t="shared" si="27"/>
        <v>2.2721991238726017E-4</v>
      </c>
    </row>
    <row r="849" spans="1:12" ht="15" customHeight="1" x14ac:dyDescent="0.3">
      <c r="A849" s="22">
        <v>44888</v>
      </c>
      <c r="B849" s="23">
        <v>5.1625160037996103E-2</v>
      </c>
      <c r="C849" s="23">
        <v>5.1637955963151197E-2</v>
      </c>
      <c r="D849" s="23">
        <v>5.163156E-2</v>
      </c>
      <c r="E849" s="24">
        <v>2.2428199999999899E-4</v>
      </c>
      <c r="F849" s="24">
        <v>0.436284527649966</v>
      </c>
      <c r="G849" s="24">
        <v>5.5620136420110802</v>
      </c>
      <c r="H849" s="23">
        <v>5.163156E-2</v>
      </c>
      <c r="I849" s="23">
        <v>5.163156E-2</v>
      </c>
      <c r="K849">
        <f t="shared" si="26"/>
        <v>4.3628452764996606E-3</v>
      </c>
      <c r="L849">
        <f t="shared" si="27"/>
        <v>2.4783146500114209E-4</v>
      </c>
    </row>
    <row r="850" spans="1:12" ht="15" customHeight="1" x14ac:dyDescent="0.3">
      <c r="A850" s="19">
        <v>44887</v>
      </c>
      <c r="B850" s="20">
        <v>5.14019892569842E-2</v>
      </c>
      <c r="C850" s="20">
        <v>5.14125600884296E-2</v>
      </c>
      <c r="D850" s="20">
        <v>5.1407278000000001E-2</v>
      </c>
      <c r="E850" s="21">
        <v>5.1483999999997402E-5</v>
      </c>
      <c r="F850" s="21">
        <v>0.10024964271801901</v>
      </c>
      <c r="G850" s="21">
        <v>5.1034634927679203</v>
      </c>
      <c r="H850" s="20">
        <v>5.1407278000000001E-2</v>
      </c>
      <c r="I850" s="20">
        <v>5.1407278000000001E-2</v>
      </c>
      <c r="K850">
        <f t="shared" si="26"/>
        <v>1.0024964271801995E-3</v>
      </c>
      <c r="L850">
        <f t="shared" si="27"/>
        <v>2.056290832088027E-4</v>
      </c>
    </row>
    <row r="851" spans="1:12" ht="15" customHeight="1" x14ac:dyDescent="0.3">
      <c r="A851" s="22">
        <v>44886</v>
      </c>
      <c r="B851" s="23">
        <v>5.1350518640238298E-2</v>
      </c>
      <c r="C851" s="23">
        <v>5.13610683102209E-2</v>
      </c>
      <c r="D851" s="23">
        <v>5.1355794000000003E-2</v>
      </c>
      <c r="E851" s="24">
        <v>3.2950000000003803E-5</v>
      </c>
      <c r="F851" s="24">
        <v>6.4201430458532494E-2</v>
      </c>
      <c r="G851" s="24">
        <v>4.9982031692304298</v>
      </c>
      <c r="H851" s="23">
        <v>5.1355794000000003E-2</v>
      </c>
      <c r="I851" s="23">
        <v>5.1355794000000003E-2</v>
      </c>
      <c r="K851">
        <f t="shared" si="26"/>
        <v>6.4201430458532549E-4</v>
      </c>
      <c r="L851">
        <f t="shared" si="27"/>
        <v>2.0542316963501148E-4</v>
      </c>
    </row>
    <row r="852" spans="1:12" ht="15" customHeight="1" x14ac:dyDescent="0.3">
      <c r="A852" s="19">
        <v>44883</v>
      </c>
      <c r="B852" s="20">
        <v>5.13188956173663E-2</v>
      </c>
      <c r="C852" s="20">
        <v>5.1326797721090202E-2</v>
      </c>
      <c r="D852" s="20">
        <v>5.1322843999999999E-2</v>
      </c>
      <c r="E852" s="21">
        <v>-1.08222999999997E-4</v>
      </c>
      <c r="F852" s="21">
        <v>-0.210423400315606</v>
      </c>
      <c r="G852" s="21">
        <v>4.9308360714804396</v>
      </c>
      <c r="H852" s="20">
        <v>5.1322843999999999E-2</v>
      </c>
      <c r="I852" s="20">
        <v>5.1322843999999999E-2</v>
      </c>
      <c r="K852">
        <f t="shared" si="26"/>
        <v>-2.1042340031560691E-3</v>
      </c>
      <c r="L852">
        <f t="shared" si="27"/>
        <v>1.539685471035393E-4</v>
      </c>
    </row>
    <row r="853" spans="1:12" ht="15" customHeight="1" x14ac:dyDescent="0.3">
      <c r="A853" s="22">
        <v>44882</v>
      </c>
      <c r="B853" s="23">
        <v>5.1426837609474897E-2</v>
      </c>
      <c r="C853" s="23">
        <v>5.1435302105246897E-2</v>
      </c>
      <c r="D853" s="23">
        <v>5.1431066999999997E-2</v>
      </c>
      <c r="E853" s="24">
        <v>-3.6227300000000301E-4</v>
      </c>
      <c r="F853" s="24">
        <v>-0.69945865626739301</v>
      </c>
      <c r="G853" s="24">
        <v>5.15210069727092</v>
      </c>
      <c r="H853" s="23">
        <v>5.1431066999999997E-2</v>
      </c>
      <c r="I853" s="23">
        <v>5.1431066999999997E-2</v>
      </c>
      <c r="K853">
        <f t="shared" si="26"/>
        <v>-6.9945865626739323E-3</v>
      </c>
      <c r="L853">
        <f t="shared" si="27"/>
        <v>1.6457943157196286E-4</v>
      </c>
    </row>
    <row r="854" spans="1:12" ht="15" customHeight="1" x14ac:dyDescent="0.3">
      <c r="A854" s="19">
        <v>44881</v>
      </c>
      <c r="B854" s="20">
        <v>5.1788248210716002E-2</v>
      </c>
      <c r="C854" s="20">
        <v>5.1798441902867601E-2</v>
      </c>
      <c r="D854" s="20">
        <v>5.179334E-2</v>
      </c>
      <c r="E854" s="21">
        <v>1.8643000000000099E-4</v>
      </c>
      <c r="F854" s="21">
        <v>0.36125007290690397</v>
      </c>
      <c r="G854" s="21">
        <v>5.8927768916011498</v>
      </c>
      <c r="H854" s="20">
        <v>5.179334E-2</v>
      </c>
      <c r="I854" s="20">
        <v>5.179334E-2</v>
      </c>
      <c r="K854">
        <f t="shared" si="26"/>
        <v>3.6125007290690458E-3</v>
      </c>
      <c r="L854">
        <f t="shared" si="27"/>
        <v>1.9681472852684426E-4</v>
      </c>
    </row>
    <row r="855" spans="1:12" ht="15" customHeight="1" x14ac:dyDescent="0.3">
      <c r="A855" s="22">
        <v>44880</v>
      </c>
      <c r="B855" s="23">
        <v>5.1601983580248798E-2</v>
      </c>
      <c r="C855" s="23">
        <v>5.1611837691092802E-2</v>
      </c>
      <c r="D855" s="23">
        <v>5.1606909999999999E-2</v>
      </c>
      <c r="E855" s="24">
        <v>5.9190000000000597E-5</v>
      </c>
      <c r="F855" s="24">
        <v>0.114825641172888</v>
      </c>
      <c r="G855" s="24">
        <v>5.5116161015091896</v>
      </c>
      <c r="H855" s="23">
        <v>5.1606909999999999E-2</v>
      </c>
      <c r="I855" s="23">
        <v>5.1606909999999999E-2</v>
      </c>
      <c r="K855">
        <f t="shared" si="26"/>
        <v>1.1482564117288874E-3</v>
      </c>
      <c r="L855">
        <f t="shared" si="27"/>
        <v>1.9094556996348411E-4</v>
      </c>
    </row>
    <row r="856" spans="1:12" ht="15" customHeight="1" x14ac:dyDescent="0.3">
      <c r="A856" s="19">
        <v>44879</v>
      </c>
      <c r="B856" s="20">
        <v>5.1543734859027898E-2</v>
      </c>
      <c r="C856" s="20">
        <v>5.1551706361480598E-2</v>
      </c>
      <c r="D856" s="20">
        <v>5.1547719999999998E-2</v>
      </c>
      <c r="E856" s="21">
        <v>3.3067399999999597E-4</v>
      </c>
      <c r="F856" s="21">
        <v>0.64563270595496802</v>
      </c>
      <c r="G856" s="21">
        <v>5.3906006685555701</v>
      </c>
      <c r="H856" s="20">
        <v>5.1547719999999998E-2</v>
      </c>
      <c r="I856" s="20">
        <v>5.1547719999999998E-2</v>
      </c>
      <c r="K856">
        <f t="shared" si="26"/>
        <v>6.4563270595496824E-3</v>
      </c>
      <c r="L856">
        <f t="shared" si="27"/>
        <v>1.5464316273736166E-4</v>
      </c>
    </row>
    <row r="857" spans="1:12" ht="15" customHeight="1" x14ac:dyDescent="0.3">
      <c r="A857" s="22">
        <v>44876</v>
      </c>
      <c r="B857" s="23">
        <v>5.12129794175036E-2</v>
      </c>
      <c r="C857" s="23">
        <v>5.1221111293230599E-2</v>
      </c>
      <c r="D857" s="23">
        <v>5.1217046000000002E-2</v>
      </c>
      <c r="E857" s="24">
        <v>-4.24507999999997E-4</v>
      </c>
      <c r="F857" s="24">
        <v>-0.822027935100477</v>
      </c>
      <c r="G857" s="24">
        <v>4.7145294187413498</v>
      </c>
      <c r="H857" s="23">
        <v>5.1217046000000002E-2</v>
      </c>
      <c r="I857" s="23">
        <v>5.1217046000000002E-2</v>
      </c>
      <c r="K857">
        <f t="shared" si="26"/>
        <v>-8.2202793510047778E-3</v>
      </c>
      <c r="L857">
        <f t="shared" si="27"/>
        <v>1.5877283760175001E-4</v>
      </c>
    </row>
    <row r="858" spans="1:12" ht="15" customHeight="1" x14ac:dyDescent="0.3">
      <c r="A858" s="19">
        <v>44875</v>
      </c>
      <c r="B858" s="20">
        <v>5.1637422672959503E-2</v>
      </c>
      <c r="C858" s="20">
        <v>5.1645689908948599E-2</v>
      </c>
      <c r="D858" s="20">
        <v>5.1641553999999999E-2</v>
      </c>
      <c r="E858" s="21">
        <v>6.0161599999999905E-4</v>
      </c>
      <c r="F858" s="21">
        <v>1.17871616536837</v>
      </c>
      <c r="G858" s="21">
        <v>5.58244662455777</v>
      </c>
      <c r="H858" s="20">
        <v>5.1641553999999999E-2</v>
      </c>
      <c r="I858" s="20">
        <v>5.1641553999999999E-2</v>
      </c>
      <c r="K858">
        <f t="shared" si="26"/>
        <v>1.1787161653683764E-2</v>
      </c>
      <c r="L858">
        <f t="shared" si="27"/>
        <v>1.6008883057809652E-4</v>
      </c>
    </row>
    <row r="859" spans="1:12" ht="15" customHeight="1" x14ac:dyDescent="0.3">
      <c r="A859" s="22">
        <v>44874</v>
      </c>
      <c r="B859" s="23">
        <v>5.1034729133175097E-2</v>
      </c>
      <c r="C859" s="23">
        <v>5.1045149434675002E-2</v>
      </c>
      <c r="D859" s="23">
        <v>5.1039938E-2</v>
      </c>
      <c r="E859" s="24">
        <v>-3.3168499999999801E-4</v>
      </c>
      <c r="F859" s="24">
        <v>-0.64565801240111798</v>
      </c>
      <c r="G859" s="24">
        <v>4.35242769041648</v>
      </c>
      <c r="H859" s="23">
        <v>5.1039938E-2</v>
      </c>
      <c r="I859" s="23">
        <v>5.1039938E-2</v>
      </c>
      <c r="K859">
        <f t="shared" si="26"/>
        <v>-6.4565801240111798E-3</v>
      </c>
      <c r="L859">
        <f t="shared" si="27"/>
        <v>2.04159760145192E-4</v>
      </c>
    </row>
    <row r="860" spans="1:12" ht="15" customHeight="1" x14ac:dyDescent="0.3">
      <c r="A860" s="19">
        <v>44873</v>
      </c>
      <c r="B860" s="20">
        <v>5.13658170760522E-2</v>
      </c>
      <c r="C860" s="20">
        <v>5.1377428867949701E-2</v>
      </c>
      <c r="D860" s="20">
        <v>5.1371622999999998E-2</v>
      </c>
      <c r="E860" s="21">
        <v>-4.0937000000004701E-5</v>
      </c>
      <c r="F860" s="21">
        <v>-7.9624511986964297E-2</v>
      </c>
      <c r="G860" s="21">
        <v>5.0305659549750201</v>
      </c>
      <c r="H860" s="20">
        <v>5.1371622999999998E-2</v>
      </c>
      <c r="I860" s="20">
        <v>5.1371622999999998E-2</v>
      </c>
      <c r="K860">
        <f t="shared" si="26"/>
        <v>-7.9624511986964297E-4</v>
      </c>
      <c r="L860">
        <f t="shared" si="27"/>
        <v>2.2603513806641095E-4</v>
      </c>
    </row>
    <row r="861" spans="1:12" ht="15" customHeight="1" x14ac:dyDescent="0.3">
      <c r="A861" s="22">
        <v>44872</v>
      </c>
      <c r="B861" s="23">
        <v>5.1408595517170502E-2</v>
      </c>
      <c r="C861" s="23">
        <v>5.1416525271222202E-2</v>
      </c>
      <c r="D861" s="23">
        <v>5.1412560000000003E-2</v>
      </c>
      <c r="E861" s="24">
        <v>2.07968000000002E-4</v>
      </c>
      <c r="F861" s="24">
        <v>0.406151073325622</v>
      </c>
      <c r="G861" s="24">
        <v>5.1142626736576098</v>
      </c>
      <c r="H861" s="23">
        <v>5.1412560000000003E-2</v>
      </c>
      <c r="I861" s="23">
        <v>5.1412560000000003E-2</v>
      </c>
      <c r="K861">
        <f t="shared" si="26"/>
        <v>4.0615107332562239E-3</v>
      </c>
      <c r="L861">
        <f t="shared" si="27"/>
        <v>1.542376814478762E-4</v>
      </c>
    </row>
    <row r="862" spans="1:12" ht="15" customHeight="1" x14ac:dyDescent="0.3">
      <c r="A862" s="19">
        <v>44869</v>
      </c>
      <c r="B862" s="20">
        <v>5.1199606787019902E-2</v>
      </c>
      <c r="C862" s="20">
        <v>5.1209570044449898E-2</v>
      </c>
      <c r="D862" s="20">
        <v>5.1204592E-2</v>
      </c>
      <c r="E862" s="21">
        <v>3.8254599999999701E-4</v>
      </c>
      <c r="F862" s="21">
        <v>0.752716645843021</v>
      </c>
      <c r="G862" s="21">
        <v>4.6890669047693203</v>
      </c>
      <c r="H862" s="20">
        <v>5.1204592E-2</v>
      </c>
      <c r="I862" s="20">
        <v>5.1204592E-2</v>
      </c>
      <c r="K862">
        <f t="shared" si="26"/>
        <v>7.5271664584302123E-3</v>
      </c>
      <c r="L862">
        <f t="shared" si="27"/>
        <v>1.9457742051720106E-4</v>
      </c>
    </row>
    <row r="863" spans="1:12" ht="15" customHeight="1" x14ac:dyDescent="0.3">
      <c r="A863" s="22">
        <v>44868</v>
      </c>
      <c r="B863" s="23">
        <v>5.0815332001971601E-2</v>
      </c>
      <c r="C863" s="23">
        <v>5.0828762980395299E-2</v>
      </c>
      <c r="D863" s="23">
        <v>5.0822046000000003E-2</v>
      </c>
      <c r="E863" s="24">
        <v>-2.1967999999997198E-5</v>
      </c>
      <c r="F863" s="24">
        <v>-4.3206659489936003E-2</v>
      </c>
      <c r="G863" s="24">
        <v>3.9069420557293801</v>
      </c>
      <c r="H863" s="23">
        <v>5.0822046000000003E-2</v>
      </c>
      <c r="I863" s="23">
        <v>5.0822046000000003E-2</v>
      </c>
      <c r="K863">
        <f t="shared" si="26"/>
        <v>-4.3206659489936072E-4</v>
      </c>
      <c r="L863">
        <f t="shared" si="27"/>
        <v>2.6427465009374088E-4</v>
      </c>
    </row>
    <row r="864" spans="1:12" ht="15" customHeight="1" x14ac:dyDescent="0.3">
      <c r="A864" s="19">
        <v>44867</v>
      </c>
      <c r="B864" s="20">
        <v>5.0838582416967898E-2</v>
      </c>
      <c r="C864" s="20">
        <v>5.0849439893419598E-2</v>
      </c>
      <c r="D864" s="20">
        <v>5.0844014E-2</v>
      </c>
      <c r="E864" s="21">
        <v>1.7133799999999999E-4</v>
      </c>
      <c r="F864" s="21">
        <v>0.33812700162114601</v>
      </c>
      <c r="G864" s="21">
        <v>3.9518561802626602</v>
      </c>
      <c r="H864" s="20">
        <v>5.0844014E-2</v>
      </c>
      <c r="I864" s="20">
        <v>5.0844014E-2</v>
      </c>
      <c r="K864">
        <f t="shared" si="26"/>
        <v>3.3812700162114684E-3</v>
      </c>
      <c r="L864">
        <f t="shared" si="27"/>
        <v>2.1354483246937471E-4</v>
      </c>
    </row>
    <row r="865" spans="1:12" ht="15" customHeight="1" x14ac:dyDescent="0.3">
      <c r="A865" s="22">
        <v>44866</v>
      </c>
      <c r="B865" s="23">
        <v>5.0665234529370599E-2</v>
      </c>
      <c r="C865" s="23">
        <v>5.0680127308479803E-2</v>
      </c>
      <c r="D865" s="23">
        <v>5.0672676E-2</v>
      </c>
      <c r="E865" s="24">
        <v>2.9230799999999802E-4</v>
      </c>
      <c r="F865" s="24">
        <v>0.58020219304470899</v>
      </c>
      <c r="G865" s="24">
        <v>3.6015513610126701</v>
      </c>
      <c r="H865" s="23">
        <v>5.0672676E-2</v>
      </c>
      <c r="I865" s="23">
        <v>5.0672676E-2</v>
      </c>
      <c r="K865">
        <f t="shared" si="26"/>
        <v>5.8020219304470988E-3</v>
      </c>
      <c r="L865">
        <f t="shared" si="27"/>
        <v>2.9390157151367385E-4</v>
      </c>
    </row>
    <row r="866" spans="1:12" ht="15" customHeight="1" x14ac:dyDescent="0.3">
      <c r="A866" s="19">
        <v>44865</v>
      </c>
      <c r="B866" s="20">
        <v>5.0376564822044799E-2</v>
      </c>
      <c r="C866" s="20">
        <v>5.03841793676785E-2</v>
      </c>
      <c r="D866" s="20">
        <v>5.0380368000000002E-2</v>
      </c>
      <c r="E866" s="21">
        <v>-7.7537999999995001E-5</v>
      </c>
      <c r="F866" s="21">
        <v>-0.15366868375392601</v>
      </c>
      <c r="G866" s="21">
        <v>3.0039203561840599</v>
      </c>
      <c r="H866" s="20">
        <v>5.0380368000000002E-2</v>
      </c>
      <c r="I866" s="20">
        <v>5.0380368000000002E-2</v>
      </c>
      <c r="K866">
        <f t="shared" si="26"/>
        <v>-1.5366868375392695E-3</v>
      </c>
      <c r="L866">
        <f t="shared" si="27"/>
        <v>1.5114112770476295E-4</v>
      </c>
    </row>
    <row r="867" spans="1:12" ht="15" customHeight="1" x14ac:dyDescent="0.3">
      <c r="A867" s="22">
        <v>44862</v>
      </c>
      <c r="B867" s="23">
        <v>5.04517958316726E-2</v>
      </c>
      <c r="C867" s="23">
        <v>5.0464016632939902E-2</v>
      </c>
      <c r="D867" s="23">
        <v>5.0457905999999997E-2</v>
      </c>
      <c r="E867" s="24">
        <v>6.1030999999996103E-5</v>
      </c>
      <c r="F867" s="24">
        <v>0.121100762696091</v>
      </c>
      <c r="G867" s="24">
        <v>3.16244873328082</v>
      </c>
      <c r="H867" s="23">
        <v>5.0457905999999997E-2</v>
      </c>
      <c r="I867" s="23">
        <v>5.0457905999999997E-2</v>
      </c>
      <c r="K867">
        <f t="shared" si="26"/>
        <v>1.2110076269609138E-3</v>
      </c>
      <c r="L867">
        <f t="shared" si="27"/>
        <v>2.4219794747928691E-4</v>
      </c>
    </row>
    <row r="868" spans="1:12" ht="15" customHeight="1" x14ac:dyDescent="0.3">
      <c r="A868" s="19">
        <v>44861</v>
      </c>
      <c r="B868" s="20">
        <v>5.0392050150168302E-2</v>
      </c>
      <c r="C868" s="20">
        <v>5.0401701561444703E-2</v>
      </c>
      <c r="D868" s="20">
        <v>5.0396875000000001E-2</v>
      </c>
      <c r="E868" s="21">
        <v>6.3415000000004095E-5</v>
      </c>
      <c r="F868" s="21">
        <v>0.12598974916486699</v>
      </c>
      <c r="G868" s="21">
        <v>3.0376693298580801</v>
      </c>
      <c r="H868" s="20">
        <v>5.0396875000000001E-2</v>
      </c>
      <c r="I868" s="20">
        <v>5.0396875000000001E-2</v>
      </c>
      <c r="K868">
        <f t="shared" si="26"/>
        <v>1.259897491648676E-3</v>
      </c>
      <c r="L868">
        <f t="shared" si="27"/>
        <v>1.9150812974814873E-4</v>
      </c>
    </row>
    <row r="869" spans="1:12" ht="15" customHeight="1" x14ac:dyDescent="0.3">
      <c r="A869" s="22">
        <v>44860</v>
      </c>
      <c r="B869" s="23">
        <v>5.0329405962021401E-2</v>
      </c>
      <c r="C869" s="23">
        <v>5.0337513024831498E-2</v>
      </c>
      <c r="D869" s="23">
        <v>5.0333459999999997E-2</v>
      </c>
      <c r="E869" s="24">
        <v>7.0836999999997194E-5</v>
      </c>
      <c r="F869" s="24">
        <v>0.14093375110963899</v>
      </c>
      <c r="G869" s="24">
        <v>2.9080157789076799</v>
      </c>
      <c r="H869" s="23">
        <v>5.0333459999999997E-2</v>
      </c>
      <c r="I869" s="23">
        <v>5.0333459999999997E-2</v>
      </c>
      <c r="K869">
        <f t="shared" si="26"/>
        <v>1.4093375110963979E-3</v>
      </c>
      <c r="L869">
        <f t="shared" si="27"/>
        <v>1.6106706771395517E-4</v>
      </c>
    </row>
    <row r="870" spans="1:12" ht="15" customHeight="1" x14ac:dyDescent="0.3">
      <c r="A870" s="19">
        <v>44859</v>
      </c>
      <c r="B870" s="20">
        <v>5.0258327804917298E-2</v>
      </c>
      <c r="C870" s="20">
        <v>5.0266917331027797E-2</v>
      </c>
      <c r="D870" s="20">
        <v>5.0262622999999999E-2</v>
      </c>
      <c r="E870" s="21">
        <v>1.3856599999999901E-4</v>
      </c>
      <c r="F870" s="21">
        <v>0.276446098527105</v>
      </c>
      <c r="G870" s="21">
        <v>2.7631877636325499</v>
      </c>
      <c r="H870" s="20">
        <v>5.0262622999999999E-2</v>
      </c>
      <c r="I870" s="20">
        <v>5.0262622999999999E-2</v>
      </c>
      <c r="K870">
        <f t="shared" si="26"/>
        <v>2.7644609852710555E-3</v>
      </c>
      <c r="L870">
        <f t="shared" si="27"/>
        <v>1.7089291401482839E-4</v>
      </c>
    </row>
    <row r="871" spans="1:12" ht="15" customHeight="1" x14ac:dyDescent="0.3">
      <c r="A871" s="22">
        <v>44858</v>
      </c>
      <c r="B871" s="23">
        <v>5.0117525597526198E-2</v>
      </c>
      <c r="C871" s="23">
        <v>5.0130590187438297E-2</v>
      </c>
      <c r="D871" s="23">
        <v>5.0124057E-2</v>
      </c>
      <c r="E871" s="24">
        <v>7.1503999999999998E-5</v>
      </c>
      <c r="F871" s="24">
        <v>0.14285784783045699</v>
      </c>
      <c r="G871" s="24">
        <v>2.47988611668795</v>
      </c>
      <c r="H871" s="23">
        <v>5.0124057E-2</v>
      </c>
      <c r="I871" s="23">
        <v>5.0124057E-2</v>
      </c>
      <c r="K871">
        <f t="shared" si="26"/>
        <v>1.4285784783045763E-3</v>
      </c>
      <c r="L871">
        <f t="shared" si="27"/>
        <v>2.6064510125544044E-4</v>
      </c>
    </row>
    <row r="872" spans="1:12" ht="15" customHeight="1" x14ac:dyDescent="0.3">
      <c r="A872" s="19">
        <v>44855</v>
      </c>
      <c r="B872" s="20">
        <v>5.0047044221568297E-2</v>
      </c>
      <c r="C872" s="20">
        <v>5.0058067358135401E-2</v>
      </c>
      <c r="D872" s="20">
        <v>5.0052553E-2</v>
      </c>
      <c r="E872" s="21">
        <v>1.4363900000000001E-4</v>
      </c>
      <c r="F872" s="21">
        <v>0.28780229519720302</v>
      </c>
      <c r="G872" s="21">
        <v>2.3336944032580602</v>
      </c>
      <c r="H872" s="20">
        <v>5.0052553E-2</v>
      </c>
      <c r="I872" s="20">
        <v>5.0052553E-2</v>
      </c>
      <c r="K872">
        <f t="shared" si="26"/>
        <v>2.8780229519720368E-3</v>
      </c>
      <c r="L872">
        <f t="shared" si="27"/>
        <v>2.2023125507911138E-4</v>
      </c>
    </row>
    <row r="873" spans="1:12" ht="15" customHeight="1" x14ac:dyDescent="0.3">
      <c r="A873" s="22">
        <v>44854</v>
      </c>
      <c r="B873" s="23">
        <v>4.9904433010784399E-2</v>
      </c>
      <c r="C873" s="23">
        <v>4.9913400250565301E-2</v>
      </c>
      <c r="D873" s="23">
        <v>4.9908913999999999E-2</v>
      </c>
      <c r="E873" s="24">
        <v>2.00949999999998E-4</v>
      </c>
      <c r="F873" s="24">
        <v>0.40426117633785003</v>
      </c>
      <c r="G873" s="24">
        <v>2.0400208811424201</v>
      </c>
      <c r="H873" s="23">
        <v>4.9908913999999999E-2</v>
      </c>
      <c r="I873" s="23">
        <v>4.9908913999999999E-2</v>
      </c>
      <c r="K873">
        <f t="shared" si="26"/>
        <v>4.0426117633785008E-3</v>
      </c>
      <c r="L873">
        <f t="shared" si="27"/>
        <v>1.7967210789042776E-4</v>
      </c>
    </row>
    <row r="874" spans="1:12" ht="15" customHeight="1" x14ac:dyDescent="0.3">
      <c r="A874" s="19">
        <v>44853</v>
      </c>
      <c r="B874" s="20">
        <v>4.9704259655052402E-2</v>
      </c>
      <c r="C874" s="20">
        <v>4.97116723006562E-2</v>
      </c>
      <c r="D874" s="20">
        <v>4.9707964E-2</v>
      </c>
      <c r="E874" s="21">
        <v>-2.7204599999999801E-4</v>
      </c>
      <c r="F874" s="21">
        <v>-0.54430961498406205</v>
      </c>
      <c r="G874" s="21">
        <v>1.62917358849114</v>
      </c>
      <c r="H874" s="20">
        <v>4.9707964E-2</v>
      </c>
      <c r="I874" s="20">
        <v>4.9707964E-2</v>
      </c>
      <c r="K874">
        <f t="shared" si="26"/>
        <v>-5.4430961498406205E-3</v>
      </c>
      <c r="L874">
        <f t="shared" si="27"/>
        <v>1.4912390303891538E-4</v>
      </c>
    </row>
    <row r="875" spans="1:12" ht="15" customHeight="1" x14ac:dyDescent="0.3">
      <c r="A875" s="22">
        <v>44852</v>
      </c>
      <c r="B875" s="23">
        <v>4.9975761755548603E-2</v>
      </c>
      <c r="C875" s="23">
        <v>4.9984254959687703E-2</v>
      </c>
      <c r="D875" s="23">
        <v>4.9980009999999998E-2</v>
      </c>
      <c r="E875" s="24">
        <v>-5.00049999999988E-5</v>
      </c>
      <c r="F875" s="24">
        <v>-9.9950000014992199E-2</v>
      </c>
      <c r="G875" s="24">
        <v>2.18537842838469</v>
      </c>
      <c r="H875" s="23">
        <v>4.9980009999999998E-2</v>
      </c>
      <c r="I875" s="23">
        <v>4.9980009999999998E-2</v>
      </c>
      <c r="K875">
        <f t="shared" si="26"/>
        <v>-9.9950000014992213E-4</v>
      </c>
      <c r="L875">
        <f t="shared" si="27"/>
        <v>1.6993202160423264E-4</v>
      </c>
    </row>
    <row r="876" spans="1:12" ht="15" customHeight="1" x14ac:dyDescent="0.3">
      <c r="A876" s="19">
        <v>44851</v>
      </c>
      <c r="B876" s="20">
        <v>5.0024261766956998E-2</v>
      </c>
      <c r="C876" s="20">
        <v>5.00357755795394E-2</v>
      </c>
      <c r="D876" s="20">
        <v>5.0030014999999997E-2</v>
      </c>
      <c r="E876" s="21">
        <v>1.5719200000000001E-4</v>
      </c>
      <c r="F876" s="21">
        <v>0.31518568740334002</v>
      </c>
      <c r="G876" s="21">
        <v>2.2876148994920702</v>
      </c>
      <c r="H876" s="20">
        <v>5.0030014999999997E-2</v>
      </c>
      <c r="I876" s="20">
        <v>5.0030014999999997E-2</v>
      </c>
      <c r="K876">
        <f t="shared" si="26"/>
        <v>3.1518568740334096E-3</v>
      </c>
      <c r="L876">
        <f t="shared" si="27"/>
        <v>2.3013809974675926E-4</v>
      </c>
    </row>
    <row r="877" spans="1:12" ht="15" customHeight="1" x14ac:dyDescent="0.3">
      <c r="A877" s="22">
        <v>44848</v>
      </c>
      <c r="B877" s="23">
        <v>4.9867352841441802E-2</v>
      </c>
      <c r="C877" s="23">
        <v>4.9878296955428801E-2</v>
      </c>
      <c r="D877" s="23">
        <v>4.9872822999999997E-2</v>
      </c>
      <c r="E877" s="24">
        <v>1.8648999999995501E-5</v>
      </c>
      <c r="F877" s="24">
        <v>3.7407098551067698E-2</v>
      </c>
      <c r="G877" s="24">
        <v>1.96623193046276</v>
      </c>
      <c r="H877" s="23">
        <v>4.9872822999999997E-2</v>
      </c>
      <c r="I877" s="23">
        <v>4.9872822999999997E-2</v>
      </c>
      <c r="K877">
        <f t="shared" si="26"/>
        <v>3.7407098551067719E-4</v>
      </c>
      <c r="L877">
        <f t="shared" si="27"/>
        <v>2.1944043526469793E-4</v>
      </c>
    </row>
    <row r="878" spans="1:12" ht="15" customHeight="1" x14ac:dyDescent="0.3">
      <c r="A878" s="19">
        <v>44847</v>
      </c>
      <c r="B878" s="20">
        <v>4.9848957658295397E-2</v>
      </c>
      <c r="C878" s="20">
        <v>4.9859396501864703E-2</v>
      </c>
      <c r="D878" s="20">
        <v>4.9854174000000001E-2</v>
      </c>
      <c r="E878" s="21">
        <v>-5.7236000000002099E-5</v>
      </c>
      <c r="F878" s="21">
        <v>-0.114675181486567</v>
      </c>
      <c r="G878" s="21">
        <v>1.92810358430375</v>
      </c>
      <c r="H878" s="20">
        <v>4.9854174000000001E-2</v>
      </c>
      <c r="I878" s="20">
        <v>4.9854174000000001E-2</v>
      </c>
      <c r="K878">
        <f t="shared" si="26"/>
        <v>-1.1467518148656763E-3</v>
      </c>
      <c r="L878">
        <f t="shared" si="27"/>
        <v>2.0938755437621307E-4</v>
      </c>
    </row>
    <row r="879" spans="1:12" ht="15" customHeight="1" x14ac:dyDescent="0.3">
      <c r="A879" s="22">
        <v>44846</v>
      </c>
      <c r="B879" s="23">
        <v>4.9905927326988599E-2</v>
      </c>
      <c r="C879" s="23">
        <v>4.9916888380845903E-2</v>
      </c>
      <c r="D879" s="23">
        <v>4.9911410000000003E-2</v>
      </c>
      <c r="E879" s="24">
        <v>-6.7974999999997898E-5</v>
      </c>
      <c r="F879" s="24">
        <v>-0.13600607530483899</v>
      </c>
      <c r="G879" s="24">
        <v>2.0451240154666799</v>
      </c>
      <c r="H879" s="23">
        <v>4.9911410000000003E-2</v>
      </c>
      <c r="I879" s="23">
        <v>4.9911410000000003E-2</v>
      </c>
      <c r="K879">
        <f t="shared" si="26"/>
        <v>-1.3600607530483977E-3</v>
      </c>
      <c r="L879">
        <f t="shared" si="27"/>
        <v>2.1961018246738242E-4</v>
      </c>
    </row>
    <row r="880" spans="1:12" ht="15" customHeight="1" x14ac:dyDescent="0.3">
      <c r="A880" s="19">
        <v>44845</v>
      </c>
      <c r="B880" s="20">
        <v>4.9974512998370801E-2</v>
      </c>
      <c r="C880" s="20">
        <v>4.9984254959687703E-2</v>
      </c>
      <c r="D880" s="20">
        <v>4.9979385000000001E-2</v>
      </c>
      <c r="E880" s="21">
        <v>-8.1941000000001999E-5</v>
      </c>
      <c r="F880" s="21">
        <v>-0.16368124168345499</v>
      </c>
      <c r="G880" s="21">
        <v>2.1841006002786698</v>
      </c>
      <c r="H880" s="20">
        <v>4.9979385000000001E-2</v>
      </c>
      <c r="I880" s="20">
        <v>4.9979385000000001E-2</v>
      </c>
      <c r="K880">
        <f t="shared" si="26"/>
        <v>-1.6368124168345544E-3</v>
      </c>
      <c r="L880">
        <f t="shared" si="27"/>
        <v>1.9491959168568585E-4</v>
      </c>
    </row>
    <row r="881" spans="1:12" ht="15" customHeight="1" x14ac:dyDescent="0.3">
      <c r="A881" s="22">
        <v>44844</v>
      </c>
      <c r="B881" s="23">
        <v>5.0054058383053698E-2</v>
      </c>
      <c r="C881" s="23">
        <v>5.0068593973743997E-2</v>
      </c>
      <c r="D881" s="23">
        <v>5.0061326000000003E-2</v>
      </c>
      <c r="E881" s="24">
        <v>1.4991599999999899E-4</v>
      </c>
      <c r="F881" s="24">
        <v>0.30036418526344599</v>
      </c>
      <c r="G881" s="24">
        <v>2.3516310208168099</v>
      </c>
      <c r="H881" s="23">
        <v>5.0061326000000003E-2</v>
      </c>
      <c r="I881" s="23">
        <v>5.0061326000000003E-2</v>
      </c>
      <c r="K881">
        <f t="shared" si="26"/>
        <v>3.0036418526344644E-3</v>
      </c>
      <c r="L881">
        <f t="shared" si="27"/>
        <v>2.9035568674905466E-4</v>
      </c>
    </row>
    <row r="882" spans="1:12" ht="15" customHeight="1" x14ac:dyDescent="0.3">
      <c r="A882" s="19">
        <v>44841</v>
      </c>
      <c r="B882" s="20">
        <v>4.9905180157700402E-2</v>
      </c>
      <c r="C882" s="20">
        <v>4.9917635900763702E-2</v>
      </c>
      <c r="D882" s="20">
        <v>4.9911410000000003E-2</v>
      </c>
      <c r="E882" s="21">
        <v>1.2053200000000599E-4</v>
      </c>
      <c r="F882" s="21">
        <v>0.242076470312513</v>
      </c>
      <c r="G882" s="21">
        <v>2.0451240154666799</v>
      </c>
      <c r="H882" s="20">
        <v>4.9911410000000003E-2</v>
      </c>
      <c r="I882" s="20">
        <v>4.9911410000000003E-2</v>
      </c>
      <c r="K882">
        <f t="shared" si="26"/>
        <v>2.4207647031251334E-3</v>
      </c>
      <c r="L882">
        <f t="shared" si="27"/>
        <v>2.4955702640538273E-4</v>
      </c>
    </row>
    <row r="883" spans="1:12" ht="15" customHeight="1" x14ac:dyDescent="0.3">
      <c r="A883" s="22">
        <v>44840</v>
      </c>
      <c r="B883" s="23">
        <v>4.9786168406693303E-2</v>
      </c>
      <c r="C883" s="23">
        <v>4.97955891067169E-2</v>
      </c>
      <c r="D883" s="23">
        <v>4.9790877999999997E-2</v>
      </c>
      <c r="E883" s="24">
        <v>1.3228099999999701E-4</v>
      </c>
      <c r="F883" s="24">
        <v>0.26638086452583898</v>
      </c>
      <c r="G883" s="24">
        <v>1.79869333182474</v>
      </c>
      <c r="H883" s="23">
        <v>4.9790877999999997E-2</v>
      </c>
      <c r="I883" s="23">
        <v>4.9790877999999997E-2</v>
      </c>
      <c r="K883">
        <f t="shared" si="26"/>
        <v>2.663808645258392E-3</v>
      </c>
      <c r="L883">
        <f t="shared" si="27"/>
        <v>1.8920534045609085E-4</v>
      </c>
    </row>
    <row r="884" spans="1:12" ht="15" customHeight="1" x14ac:dyDescent="0.3">
      <c r="A884" s="19">
        <v>44839</v>
      </c>
      <c r="B884" s="20">
        <v>4.9652432969215503E-2</v>
      </c>
      <c r="C884" s="20">
        <v>4.9664762850757403E-2</v>
      </c>
      <c r="D884" s="20">
        <v>4.9658596999999999E-2</v>
      </c>
      <c r="E884" s="21">
        <v>-3.68292999999998E-4</v>
      </c>
      <c r="F884" s="21">
        <v>-0.736190076976595</v>
      </c>
      <c r="G884" s="21">
        <v>1.5282415243144001</v>
      </c>
      <c r="H884" s="20">
        <v>4.9658596999999999E-2</v>
      </c>
      <c r="I884" s="20">
        <v>4.9658596999999999E-2</v>
      </c>
      <c r="K884">
        <f t="shared" si="26"/>
        <v>-7.36190076976595E-3</v>
      </c>
      <c r="L884">
        <f t="shared" si="27"/>
        <v>2.4829299027317265E-4</v>
      </c>
    </row>
    <row r="885" spans="1:12" ht="15" customHeight="1" x14ac:dyDescent="0.3">
      <c r="A885" s="22">
        <v>44838</v>
      </c>
      <c r="B885" s="23">
        <v>5.0022760355962002E-2</v>
      </c>
      <c r="C885" s="23">
        <v>5.0031019231923803E-2</v>
      </c>
      <c r="D885" s="23">
        <v>5.0026889999999997E-2</v>
      </c>
      <c r="E885" s="24">
        <v>4.3769999999998498E-6</v>
      </c>
      <c r="F885" s="24">
        <v>8.7500601978929195E-3</v>
      </c>
      <c r="G885" s="24">
        <v>2.2812257589619098</v>
      </c>
      <c r="H885" s="23">
        <v>5.0026889999999997E-2</v>
      </c>
      <c r="I885" s="23">
        <v>5.0026889999999997E-2</v>
      </c>
      <c r="K885">
        <f t="shared" si="26"/>
        <v>8.7500601978929282E-5</v>
      </c>
      <c r="L885">
        <f t="shared" si="27"/>
        <v>1.6508873451458194E-4</v>
      </c>
    </row>
    <row r="886" spans="1:12" ht="15" customHeight="1" x14ac:dyDescent="0.3">
      <c r="A886" s="19">
        <v>44837</v>
      </c>
      <c r="B886" s="20">
        <v>5.0016255282967E-2</v>
      </c>
      <c r="C886" s="20">
        <v>5.0028766540760897E-2</v>
      </c>
      <c r="D886" s="20">
        <v>5.0022512999999998E-2</v>
      </c>
      <c r="E886" s="21">
        <v>2.89827999999998E-4</v>
      </c>
      <c r="F886" s="21">
        <v>0.58277167219102899</v>
      </c>
      <c r="G886" s="21">
        <v>2.27227687316975</v>
      </c>
      <c r="H886" s="20">
        <v>5.0022512999999998E-2</v>
      </c>
      <c r="I886" s="20">
        <v>5.0022512999999998E-2</v>
      </c>
      <c r="K886">
        <f t="shared" si="26"/>
        <v>5.8277167219102921E-3</v>
      </c>
      <c r="L886">
        <f t="shared" si="27"/>
        <v>2.5011254020558928E-4</v>
      </c>
    </row>
    <row r="887" spans="1:12" ht="15" customHeight="1" x14ac:dyDescent="0.3">
      <c r="A887" s="22">
        <v>44834</v>
      </c>
      <c r="B887" s="23">
        <v>4.9727740620104897E-2</v>
      </c>
      <c r="C887" s="23">
        <v>4.9737633980751497E-2</v>
      </c>
      <c r="D887" s="23">
        <v>4.9732684999999999E-2</v>
      </c>
      <c r="E887" s="24">
        <v>2.5528999999999803E-4</v>
      </c>
      <c r="F887" s="24">
        <v>0.51597300140802105</v>
      </c>
      <c r="G887" s="24">
        <v>1.67971629026587</v>
      </c>
      <c r="H887" s="23">
        <v>4.9732684999999999E-2</v>
      </c>
      <c r="I887" s="23">
        <v>4.9732684999999999E-2</v>
      </c>
      <c r="K887">
        <f t="shared" si="26"/>
        <v>5.1597300140802105E-3</v>
      </c>
      <c r="L887">
        <f t="shared" si="27"/>
        <v>1.9893075643512495E-4</v>
      </c>
    </row>
    <row r="888" spans="1:12" ht="15" customHeight="1" x14ac:dyDescent="0.3">
      <c r="A888" s="19">
        <v>44833</v>
      </c>
      <c r="B888" s="20">
        <v>4.94726218510676E-2</v>
      </c>
      <c r="C888" s="20">
        <v>4.9482169100364702E-2</v>
      </c>
      <c r="D888" s="20">
        <v>4.9477395E-2</v>
      </c>
      <c r="E888" s="21">
        <v>2.4662499999999999E-4</v>
      </c>
      <c r="F888" s="21">
        <v>0.500957023422543</v>
      </c>
      <c r="G888" s="21">
        <v>1.15776951076378</v>
      </c>
      <c r="H888" s="20">
        <v>4.9477395E-2</v>
      </c>
      <c r="I888" s="20">
        <v>4.9477395E-2</v>
      </c>
      <c r="K888">
        <f t="shared" si="26"/>
        <v>5.0095702342254356E-3</v>
      </c>
      <c r="L888">
        <f t="shared" si="27"/>
        <v>1.9296184241515612E-4</v>
      </c>
    </row>
    <row r="889" spans="1:12" ht="15" customHeight="1" x14ac:dyDescent="0.3">
      <c r="A889" s="22">
        <v>44832</v>
      </c>
      <c r="B889" s="23">
        <v>4.9224710804823997E-2</v>
      </c>
      <c r="C889" s="23">
        <v>4.9236829148202897E-2</v>
      </c>
      <c r="D889" s="23">
        <v>4.923077E-2</v>
      </c>
      <c r="E889" s="24">
        <v>2.1804999999999701E-5</v>
      </c>
      <c r="F889" s="24">
        <v>4.4311031536636798E-2</v>
      </c>
      <c r="G889" s="24">
        <v>0.65353854012371604</v>
      </c>
      <c r="H889" s="23">
        <v>4.923077E-2</v>
      </c>
      <c r="I889" s="23">
        <v>4.923077E-2</v>
      </c>
      <c r="K889">
        <f t="shared" si="26"/>
        <v>4.4311031536636847E-4</v>
      </c>
      <c r="L889">
        <f t="shared" si="27"/>
        <v>2.4615384603775574E-4</v>
      </c>
    </row>
    <row r="890" spans="1:12" ht="15" customHeight="1" x14ac:dyDescent="0.3">
      <c r="A890" s="19">
        <v>44831</v>
      </c>
      <c r="B890" s="20">
        <v>4.9204123305532997E-2</v>
      </c>
      <c r="C890" s="20">
        <v>4.9213809394916201E-2</v>
      </c>
      <c r="D890" s="20">
        <v>4.9208965E-2</v>
      </c>
      <c r="E890" s="21">
        <v>3.7502000000001702E-5</v>
      </c>
      <c r="F890" s="21">
        <v>7.6267814118113897E-2</v>
      </c>
      <c r="G890" s="21">
        <v>0.60895767316048599</v>
      </c>
      <c r="H890" s="20">
        <v>4.9208965E-2</v>
      </c>
      <c r="I890" s="20">
        <v>4.9208965E-2</v>
      </c>
      <c r="K890">
        <f t="shared" si="26"/>
        <v>7.6267814118113897E-4</v>
      </c>
      <c r="L890">
        <f t="shared" si="27"/>
        <v>1.968358688951095E-4</v>
      </c>
    </row>
    <row r="891" spans="1:12" ht="15" customHeight="1" x14ac:dyDescent="0.3">
      <c r="A891" s="22">
        <v>44830</v>
      </c>
      <c r="B891" s="23">
        <v>4.9165175323015203E-2</v>
      </c>
      <c r="C891" s="23">
        <v>4.9177748052561199E-2</v>
      </c>
      <c r="D891" s="23">
        <v>4.9171462999999999E-2</v>
      </c>
      <c r="E891" s="24">
        <v>-4.4278400000000102E-4</v>
      </c>
      <c r="F891" s="24">
        <v>-0.89245333099583402</v>
      </c>
      <c r="G891" s="24">
        <v>0.53228389774864804</v>
      </c>
      <c r="H891" s="23">
        <v>4.9171462999999999E-2</v>
      </c>
      <c r="I891" s="23">
        <v>4.9171462999999999E-2</v>
      </c>
      <c r="K891">
        <f t="shared" si="26"/>
        <v>-8.924533309958349E-3</v>
      </c>
      <c r="L891">
        <f t="shared" si="27"/>
        <v>2.5569158977424409E-4</v>
      </c>
    </row>
    <row r="892" spans="1:12" ht="15" customHeight="1" x14ac:dyDescent="0.3">
      <c r="A892" s="19">
        <v>44827</v>
      </c>
      <c r="B892" s="20">
        <v>4.9609818775332E-2</v>
      </c>
      <c r="C892" s="20">
        <v>4.9618680440812399E-2</v>
      </c>
      <c r="D892" s="20">
        <v>4.9614247E-2</v>
      </c>
      <c r="E892" s="21">
        <v>-4.47079000000003E-4</v>
      </c>
      <c r="F892" s="21">
        <v>-0.89306264080980502</v>
      </c>
      <c r="G892" s="21">
        <v>1.4375668419104</v>
      </c>
      <c r="H892" s="20">
        <v>4.9614247E-2</v>
      </c>
      <c r="I892" s="20">
        <v>4.9614247E-2</v>
      </c>
      <c r="K892">
        <f t="shared" si="26"/>
        <v>-8.9306264080980524E-3</v>
      </c>
      <c r="L892">
        <f t="shared" si="27"/>
        <v>1.7861130655472511E-4</v>
      </c>
    </row>
    <row r="893" spans="1:12" ht="15" customHeight="1" x14ac:dyDescent="0.3">
      <c r="A893" s="22">
        <v>44826</v>
      </c>
      <c r="B893" s="23">
        <v>5.0055060566623302E-2</v>
      </c>
      <c r="C893" s="23">
        <v>5.0067591248185099E-2</v>
      </c>
      <c r="D893" s="23">
        <v>5.0061326000000003E-2</v>
      </c>
      <c r="E893" s="24">
        <v>7.5076000000000296E-5</v>
      </c>
      <c r="F893" s="24">
        <v>0.15019330315837401</v>
      </c>
      <c r="G893" s="24">
        <v>2.3516310208168099</v>
      </c>
      <c r="H893" s="23">
        <v>5.0061326000000003E-2</v>
      </c>
      <c r="I893" s="23">
        <v>5.0061326000000003E-2</v>
      </c>
      <c r="K893">
        <f t="shared" si="26"/>
        <v>1.5019330315837465E-3</v>
      </c>
      <c r="L893">
        <f t="shared" si="27"/>
        <v>2.503066251540513E-4</v>
      </c>
    </row>
    <row r="894" spans="1:12" ht="15" customHeight="1" x14ac:dyDescent="0.3">
      <c r="A894" s="19">
        <v>44825</v>
      </c>
      <c r="B894" s="20">
        <v>4.9978759027413298E-2</v>
      </c>
      <c r="C894" s="20">
        <v>4.9993750781152403E-2</v>
      </c>
      <c r="D894" s="20">
        <v>4.9986250000000003E-2</v>
      </c>
      <c r="E894" s="21">
        <v>-7.8829999999995002E-5</v>
      </c>
      <c r="F894" s="21">
        <v>-0.15745505649845601</v>
      </c>
      <c r="G894" s="21">
        <v>2.1981362641953202</v>
      </c>
      <c r="H894" s="20">
        <v>4.9986250000000003E-2</v>
      </c>
      <c r="I894" s="20">
        <v>4.9986250000000003E-2</v>
      </c>
      <c r="K894">
        <f t="shared" si="26"/>
        <v>-1.574550564984567E-3</v>
      </c>
      <c r="L894">
        <f t="shared" si="27"/>
        <v>2.9991755210892544E-4</v>
      </c>
    </row>
    <row r="895" spans="1:12" ht="15" customHeight="1" x14ac:dyDescent="0.3">
      <c r="A895" s="22">
        <v>44824</v>
      </c>
      <c r="B895" s="23">
        <v>5.0058819112457097E-2</v>
      </c>
      <c r="C895" s="23">
        <v>5.0071351676138499E-2</v>
      </c>
      <c r="D895" s="23">
        <v>5.0065079999999998E-2</v>
      </c>
      <c r="E895" s="24">
        <v>5.7576999999996098E-5</v>
      </c>
      <c r="F895" s="24">
        <v>0.115136722583408</v>
      </c>
      <c r="G895" s="24">
        <v>2.3593061675528699</v>
      </c>
      <c r="H895" s="23">
        <v>5.0065079999999998E-2</v>
      </c>
      <c r="I895" s="23">
        <v>5.0065079999999998E-2</v>
      </c>
      <c r="K895">
        <f t="shared" si="26"/>
        <v>1.1513672258340879E-3</v>
      </c>
      <c r="L895">
        <f t="shared" si="27"/>
        <v>2.5032545002230628E-4</v>
      </c>
    </row>
    <row r="896" spans="1:12" ht="15" customHeight="1" x14ac:dyDescent="0.3">
      <c r="A896" s="19">
        <v>44823</v>
      </c>
      <c r="B896" s="20">
        <v>5.00022501012546E-2</v>
      </c>
      <c r="C896" s="20">
        <v>5.0012753252079302E-2</v>
      </c>
      <c r="D896" s="20">
        <v>5.0007503000000002E-2</v>
      </c>
      <c r="E896" s="21">
        <v>9.3605000000003506E-5</v>
      </c>
      <c r="F896" s="21">
        <v>0.18753293922266701</v>
      </c>
      <c r="G896" s="21">
        <v>2.2415885533752999</v>
      </c>
      <c r="H896" s="20">
        <v>5.0007503000000002E-2</v>
      </c>
      <c r="I896" s="20">
        <v>5.0007503000000002E-2</v>
      </c>
      <c r="K896">
        <f t="shared" si="26"/>
        <v>1.8753293922266767E-3</v>
      </c>
      <c r="L896">
        <f t="shared" si="27"/>
        <v>2.1003149916727363E-4</v>
      </c>
    </row>
    <row r="897" spans="1:12" ht="15" customHeight="1" x14ac:dyDescent="0.3">
      <c r="A897" s="22">
        <v>44820</v>
      </c>
      <c r="B897" s="23">
        <v>4.9905927326988599E-2</v>
      </c>
      <c r="C897" s="23">
        <v>4.9921872269897603E-2</v>
      </c>
      <c r="D897" s="23">
        <v>4.9913897999999998E-2</v>
      </c>
      <c r="E897" s="24">
        <v>1.0566E-4</v>
      </c>
      <c r="F897" s="24">
        <v>0.212133583203644</v>
      </c>
      <c r="G897" s="24">
        <v>2.0502107935911602</v>
      </c>
      <c r="H897" s="23">
        <v>4.9913897999999998E-2</v>
      </c>
      <c r="I897" s="23">
        <v>4.9913897999999998E-2</v>
      </c>
      <c r="K897">
        <f t="shared" si="26"/>
        <v>2.1213358320364417E-3</v>
      </c>
      <c r="L897">
        <f t="shared" si="27"/>
        <v>3.1944896207073873E-4</v>
      </c>
    </row>
    <row r="898" spans="1:12" ht="15" customHeight="1" x14ac:dyDescent="0.3">
      <c r="A898" s="19">
        <v>44819</v>
      </c>
      <c r="B898" s="20">
        <v>4.9804517269716402E-2</v>
      </c>
      <c r="C898" s="20">
        <v>4.9811959851560401E-2</v>
      </c>
      <c r="D898" s="20">
        <v>4.9808237999999998E-2</v>
      </c>
      <c r="E898" s="21">
        <v>-1.78639000000001E-4</v>
      </c>
      <c r="F898" s="21">
        <v>-0.357371795801531</v>
      </c>
      <c r="G898" s="21">
        <v>1.8341862852978801</v>
      </c>
      <c r="H898" s="20">
        <v>4.9808237999999998E-2</v>
      </c>
      <c r="I898" s="20">
        <v>4.9808237999999998E-2</v>
      </c>
      <c r="K898">
        <f t="shared" si="26"/>
        <v>-3.57371795801531E-3</v>
      </c>
      <c r="L898">
        <f t="shared" si="27"/>
        <v>1.4942471652982243E-4</v>
      </c>
    </row>
    <row r="899" spans="1:12" ht="15" customHeight="1" x14ac:dyDescent="0.3">
      <c r="A899" s="22">
        <v>44818</v>
      </c>
      <c r="B899" s="23">
        <v>4.9982755949197502E-2</v>
      </c>
      <c r="C899" s="23">
        <v>4.99910016197085E-2</v>
      </c>
      <c r="D899" s="23">
        <v>4.9986876999999999E-2</v>
      </c>
      <c r="E899" s="24">
        <v>1.2026700000000001E-4</v>
      </c>
      <c r="F899" s="24">
        <v>0.24117741310267701</v>
      </c>
      <c r="G899" s="24">
        <v>2.1994181813512901</v>
      </c>
      <c r="H899" s="23">
        <v>4.9986876999999999E-2</v>
      </c>
      <c r="I899" s="23">
        <v>4.9986876999999999E-2</v>
      </c>
      <c r="K899">
        <f t="shared" si="26"/>
        <v>2.4117741310267782E-3</v>
      </c>
      <c r="L899">
        <f t="shared" si="27"/>
        <v>1.6495670475668832E-4</v>
      </c>
    </row>
    <row r="900" spans="1:12" ht="15" customHeight="1" x14ac:dyDescent="0.3">
      <c r="A900" s="19">
        <v>44817</v>
      </c>
      <c r="B900" s="20">
        <v>4.9862379831664597E-2</v>
      </c>
      <c r="C900" s="20">
        <v>4.9870834538545197E-2</v>
      </c>
      <c r="D900" s="20">
        <v>4.9866609999999999E-2</v>
      </c>
      <c r="E900" s="21">
        <v>-6.5566499999999896E-4</v>
      </c>
      <c r="F900" s="21">
        <v>-1.2977741006318499</v>
      </c>
      <c r="G900" s="21">
        <v>1.95352929682632</v>
      </c>
      <c r="H900" s="20">
        <v>4.9866609999999999E-2</v>
      </c>
      <c r="I900" s="20">
        <v>4.9866609999999999E-2</v>
      </c>
      <c r="K900">
        <f t="shared" si="26"/>
        <v>-1.2977741006318544E-2</v>
      </c>
      <c r="L900">
        <f t="shared" si="27"/>
        <v>1.6954645364103722E-4</v>
      </c>
    </row>
    <row r="901" spans="1:12" ht="15" customHeight="1" x14ac:dyDescent="0.3">
      <c r="A901" s="22">
        <v>44816</v>
      </c>
      <c r="B901" s="23">
        <v>5.0518062733330302E-2</v>
      </c>
      <c r="C901" s="23">
        <v>5.0526485983952797E-2</v>
      </c>
      <c r="D901" s="23">
        <v>5.0522274999999998E-2</v>
      </c>
      <c r="E901" s="24">
        <v>2.4575500000000001E-4</v>
      </c>
      <c r="F901" s="24">
        <v>0.48880670340747301</v>
      </c>
      <c r="G901" s="24">
        <v>3.2940527610522601</v>
      </c>
      <c r="H901" s="23">
        <v>5.0522274999999998E-2</v>
      </c>
      <c r="I901" s="23">
        <v>5.0522274999999998E-2</v>
      </c>
      <c r="K901">
        <f t="shared" ref="K901:K964" si="28">D901/D902-1</f>
        <v>4.888067034074739E-3</v>
      </c>
      <c r="L901">
        <f t="shared" ref="L901:L964" si="29">(C901-B901)/D901</f>
        <v>1.6672350210863301E-4</v>
      </c>
    </row>
    <row r="902" spans="1:12" ht="15" customHeight="1" x14ac:dyDescent="0.3">
      <c r="A902" s="19">
        <v>44813</v>
      </c>
      <c r="B902" s="20">
        <v>5.02704550481591E-2</v>
      </c>
      <c r="C902" s="20">
        <v>5.0282588145376998E-2</v>
      </c>
      <c r="D902" s="20">
        <v>5.0276519999999998E-2</v>
      </c>
      <c r="E902" s="21">
        <v>3.6137799999999499E-4</v>
      </c>
      <c r="F902" s="21">
        <v>0.72398471790382501</v>
      </c>
      <c r="G902" s="21">
        <v>2.7916005271357802</v>
      </c>
      <c r="H902" s="20">
        <v>5.0276519999999998E-2</v>
      </c>
      <c r="I902" s="20">
        <v>5.0276519999999998E-2</v>
      </c>
      <c r="K902">
        <f t="shared" si="28"/>
        <v>7.2398471790382501E-3</v>
      </c>
      <c r="L902">
        <f t="shared" si="29"/>
        <v>2.4132730781481899E-4</v>
      </c>
    </row>
    <row r="903" spans="1:12" ht="15" customHeight="1" x14ac:dyDescent="0.3">
      <c r="A903" s="22">
        <v>44812</v>
      </c>
      <c r="B903" s="23">
        <v>4.9908667139135401E-2</v>
      </c>
      <c r="C903" s="23">
        <v>4.9921623051808701E-2</v>
      </c>
      <c r="D903" s="23">
        <v>4.9915142000000003E-2</v>
      </c>
      <c r="E903" s="24">
        <v>1.43160000000003E-5</v>
      </c>
      <c r="F903" s="24">
        <v>2.8688903867046801E-2</v>
      </c>
      <c r="G903" s="24">
        <v>2.0527541826534099</v>
      </c>
      <c r="H903" s="23">
        <v>4.9915142000000003E-2</v>
      </c>
      <c r="I903" s="23">
        <v>4.9915142000000003E-2</v>
      </c>
      <c r="K903">
        <f t="shared" si="28"/>
        <v>2.8688903867046811E-4</v>
      </c>
      <c r="L903">
        <f t="shared" si="29"/>
        <v>2.595587662216816E-4</v>
      </c>
    </row>
    <row r="904" spans="1:12" ht="15" customHeight="1" x14ac:dyDescent="0.3">
      <c r="A904" s="19">
        <v>44811</v>
      </c>
      <c r="B904" s="20">
        <v>4.9896962771876101E-2</v>
      </c>
      <c r="C904" s="20">
        <v>4.9904682057270597E-2</v>
      </c>
      <c r="D904" s="20">
        <v>4.9900826000000002E-2</v>
      </c>
      <c r="E904" s="21">
        <v>2.2496300000000101E-4</v>
      </c>
      <c r="F904" s="21">
        <v>0.45286178520944598</v>
      </c>
      <c r="G904" s="21">
        <v>2.0234847631878901</v>
      </c>
      <c r="H904" s="20">
        <v>4.9900826000000002E-2</v>
      </c>
      <c r="I904" s="20">
        <v>4.9900826000000002E-2</v>
      </c>
      <c r="K904">
        <f t="shared" si="28"/>
        <v>4.5286178520944631E-3</v>
      </c>
      <c r="L904">
        <f t="shared" si="29"/>
        <v>1.5469253744408983E-4</v>
      </c>
    </row>
    <row r="905" spans="1:12" ht="15" customHeight="1" x14ac:dyDescent="0.3">
      <c r="A905" s="22">
        <v>44810</v>
      </c>
      <c r="B905" s="23">
        <v>4.9671670259584098E-2</v>
      </c>
      <c r="C905" s="23">
        <v>4.9680060410953499E-2</v>
      </c>
      <c r="D905" s="23">
        <v>4.9675863000000001E-2</v>
      </c>
      <c r="E905" s="24">
        <v>-3.91729E-4</v>
      </c>
      <c r="F905" s="24">
        <v>-0.78240031995148096</v>
      </c>
      <c r="G905" s="24">
        <v>1.5635422924403899</v>
      </c>
      <c r="H905" s="23">
        <v>4.9675863000000001E-2</v>
      </c>
      <c r="I905" s="23">
        <v>4.9675863000000001E-2</v>
      </c>
      <c r="K905">
        <f t="shared" si="28"/>
        <v>-7.8240031995148174E-3</v>
      </c>
      <c r="L905">
        <f t="shared" si="29"/>
        <v>1.6889794887710625E-4</v>
      </c>
    </row>
    <row r="906" spans="1:12" ht="15" customHeight="1" x14ac:dyDescent="0.3">
      <c r="A906" s="19">
        <v>44809</v>
      </c>
      <c r="B906" s="20">
        <v>5.0061325123275997E-2</v>
      </c>
      <c r="C906" s="20">
        <v>5.00738589419394E-2</v>
      </c>
      <c r="D906" s="20">
        <v>5.0067592000000001E-2</v>
      </c>
      <c r="E906" s="21">
        <v>-6.4629999999995998E-5</v>
      </c>
      <c r="F906" s="21">
        <v>-0.128919081224843</v>
      </c>
      <c r="G906" s="21">
        <v>2.3644420142766398</v>
      </c>
      <c r="H906" s="20">
        <v>5.0067592000000001E-2</v>
      </c>
      <c r="I906" s="20">
        <v>5.0067592000000001E-2</v>
      </c>
      <c r="K906">
        <f t="shared" si="28"/>
        <v>-1.2891908122484308E-3</v>
      </c>
      <c r="L906">
        <f t="shared" si="29"/>
        <v>2.5033795640507395E-4</v>
      </c>
    </row>
    <row r="907" spans="1:12" ht="15" customHeight="1" x14ac:dyDescent="0.3">
      <c r="A907" s="22">
        <v>44806</v>
      </c>
      <c r="B907" s="23">
        <v>5.0126318322171903E-2</v>
      </c>
      <c r="C907" s="23">
        <v>5.0138130549664303E-2</v>
      </c>
      <c r="D907" s="23">
        <v>5.0132221999999997E-2</v>
      </c>
      <c r="E907" s="24">
        <v>7.5925799999999801E-4</v>
      </c>
      <c r="F907" s="24">
        <v>1.5378011334300199</v>
      </c>
      <c r="G907" s="24">
        <v>2.4965796630651398</v>
      </c>
      <c r="H907" s="23">
        <v>5.0132221999999997E-2</v>
      </c>
      <c r="I907" s="23">
        <v>5.0132221999999997E-2</v>
      </c>
      <c r="K907">
        <f t="shared" si="28"/>
        <v>1.5378011334300279E-2</v>
      </c>
      <c r="L907">
        <f t="shared" si="29"/>
        <v>2.3562146302631175E-4</v>
      </c>
    </row>
    <row r="908" spans="1:12" ht="15" customHeight="1" x14ac:dyDescent="0.3">
      <c r="A908" s="19">
        <v>44805</v>
      </c>
      <c r="B908" s="20">
        <v>4.9369063370129702E-2</v>
      </c>
      <c r="C908" s="20">
        <v>4.9376863976615101E-2</v>
      </c>
      <c r="D908" s="20">
        <v>4.9372963999999998E-2</v>
      </c>
      <c r="E908" s="21">
        <v>-3.4859599999999898E-4</v>
      </c>
      <c r="F908" s="21">
        <v>-0.70109626487986298</v>
      </c>
      <c r="G908" s="21">
        <v>0.94425772365820504</v>
      </c>
      <c r="H908" s="20">
        <v>4.9372963999999998E-2</v>
      </c>
      <c r="I908" s="20">
        <v>4.9372963999999998E-2</v>
      </c>
      <c r="K908">
        <f t="shared" si="28"/>
        <v>-7.0109626487986354E-3</v>
      </c>
      <c r="L908">
        <f t="shared" si="29"/>
        <v>1.5799348172410463E-4</v>
      </c>
    </row>
    <row r="909" spans="1:12" ht="15" customHeight="1" x14ac:dyDescent="0.3">
      <c r="A909" s="22">
        <v>44804</v>
      </c>
      <c r="B909" s="23">
        <v>4.9714885133757901E-2</v>
      </c>
      <c r="C909" s="23">
        <v>4.9728235194661199E-2</v>
      </c>
      <c r="D909" s="23">
        <v>4.9721559999999998E-2</v>
      </c>
      <c r="E909" s="24">
        <v>2.59449999999994E-5</v>
      </c>
      <c r="F909" s="24">
        <v>5.2207825579775297E-2</v>
      </c>
      <c r="G909" s="24">
        <v>1.6569709499785099</v>
      </c>
      <c r="H909" s="23">
        <v>4.9721559999999998E-2</v>
      </c>
      <c r="I909" s="23">
        <v>4.9721559999999998E-2</v>
      </c>
      <c r="K909">
        <f t="shared" si="28"/>
        <v>5.2207825579775324E-4</v>
      </c>
      <c r="L909">
        <f t="shared" si="29"/>
        <v>2.6849642093487302E-4</v>
      </c>
    </row>
    <row r="910" spans="1:12" ht="15" customHeight="1" x14ac:dyDescent="0.3">
      <c r="A910" s="19">
        <v>44803</v>
      </c>
      <c r="B910" s="20">
        <v>4.9690181716994498E-2</v>
      </c>
      <c r="C910" s="20">
        <v>4.9701048195106401E-2</v>
      </c>
      <c r="D910" s="20">
        <v>4.9695614999999999E-2</v>
      </c>
      <c r="E910" s="21">
        <v>-2.25137999999999E-4</v>
      </c>
      <c r="F910" s="21">
        <v>-0.45099079334800501</v>
      </c>
      <c r="G910" s="21">
        <v>1.6039257496409201</v>
      </c>
      <c r="H910" s="20">
        <v>4.9695614999999999E-2</v>
      </c>
      <c r="I910" s="20">
        <v>4.9695614999999999E-2</v>
      </c>
      <c r="K910">
        <f t="shared" si="28"/>
        <v>-4.5099079334800507E-3</v>
      </c>
      <c r="L910">
        <f t="shared" si="29"/>
        <v>2.1866070299970128E-4</v>
      </c>
    </row>
    <row r="911" spans="1:12" ht="15" customHeight="1" x14ac:dyDescent="0.3">
      <c r="A911" s="22">
        <v>44802</v>
      </c>
      <c r="B911" s="23">
        <v>4.9915144254766897E-2</v>
      </c>
      <c r="C911" s="23">
        <v>4.9926358621033999E-2</v>
      </c>
      <c r="D911" s="23">
        <v>4.9920752999999998E-2</v>
      </c>
      <c r="E911" s="24">
        <v>-2.3347099999999801E-4</v>
      </c>
      <c r="F911" s="24">
        <v>-0.46550615557325797</v>
      </c>
      <c r="G911" s="24">
        <v>2.0642260122581102</v>
      </c>
      <c r="H911" s="23">
        <v>4.9920752999999998E-2</v>
      </c>
      <c r="I911" s="23">
        <v>4.9920752999999998E-2</v>
      </c>
      <c r="K911">
        <f t="shared" si="28"/>
        <v>-4.655061555732587E-3</v>
      </c>
      <c r="L911">
        <f t="shared" si="29"/>
        <v>2.2464337160744405E-4</v>
      </c>
    </row>
    <row r="912" spans="1:12" ht="15" customHeight="1" x14ac:dyDescent="0.3">
      <c r="A912" s="19">
        <v>44799</v>
      </c>
      <c r="B912" s="20">
        <v>5.0148690868424897E-2</v>
      </c>
      <c r="C912" s="20">
        <v>5.0159758831879502E-2</v>
      </c>
      <c r="D912" s="20">
        <v>5.0154223999999997E-2</v>
      </c>
      <c r="E912" s="21">
        <v>-4.4059000000006003E-5</v>
      </c>
      <c r="F912" s="21">
        <v>-8.7769934282422302E-2</v>
      </c>
      <c r="G912" s="21">
        <v>2.5415633014473902</v>
      </c>
      <c r="H912" s="20">
        <v>5.0154223999999997E-2</v>
      </c>
      <c r="I912" s="20">
        <v>5.0154223999999997E-2</v>
      </c>
      <c r="K912">
        <f t="shared" si="28"/>
        <v>-8.7769934282422302E-4</v>
      </c>
      <c r="L912">
        <f t="shared" si="29"/>
        <v>2.2067859039358906E-4</v>
      </c>
    </row>
    <row r="913" spans="1:12" ht="15" customHeight="1" x14ac:dyDescent="0.3">
      <c r="A913" s="22">
        <v>44798</v>
      </c>
      <c r="B913" s="23">
        <v>5.0190724754065399E-2</v>
      </c>
      <c r="C913" s="23">
        <v>5.0205843960237001E-2</v>
      </c>
      <c r="D913" s="23">
        <v>5.0198283000000003E-2</v>
      </c>
      <c r="E913" s="24">
        <v>-3.2778999999996597E-5</v>
      </c>
      <c r="F913" s="24">
        <v>-6.5256434355298598E-2</v>
      </c>
      <c r="G913" s="24">
        <v>2.6316430270852398</v>
      </c>
      <c r="H913" s="23">
        <v>5.0198283000000003E-2</v>
      </c>
      <c r="I913" s="23">
        <v>5.0198283000000003E-2</v>
      </c>
      <c r="K913">
        <f t="shared" si="28"/>
        <v>-6.5256434355298598E-4</v>
      </c>
      <c r="L913">
        <f t="shared" si="29"/>
        <v>3.0118970745675826E-4</v>
      </c>
    </row>
    <row r="914" spans="1:12" ht="15" customHeight="1" x14ac:dyDescent="0.3">
      <c r="A914" s="19">
        <v>44797</v>
      </c>
      <c r="B914" s="20">
        <v>5.0225764812833702E-2</v>
      </c>
      <c r="C914" s="20">
        <v>5.0236362083603402E-2</v>
      </c>
      <c r="D914" s="20">
        <v>5.0231062E-2</v>
      </c>
      <c r="E914" s="21">
        <v>3.1093199999999901E-4</v>
      </c>
      <c r="F914" s="21">
        <v>0.62285895489455601</v>
      </c>
      <c r="G914" s="21">
        <v>2.6986605110654098</v>
      </c>
      <c r="H914" s="20">
        <v>5.0231062E-2</v>
      </c>
      <c r="I914" s="20">
        <v>5.0231062E-2</v>
      </c>
      <c r="K914">
        <f t="shared" si="28"/>
        <v>6.2285895489455623E-3</v>
      </c>
      <c r="L914">
        <f t="shared" si="29"/>
        <v>2.10970470218197E-4</v>
      </c>
    </row>
    <row r="915" spans="1:12" ht="15" customHeight="1" x14ac:dyDescent="0.3">
      <c r="A915" s="22">
        <v>44796</v>
      </c>
      <c r="B915" s="23">
        <v>4.9913898525044298E-2</v>
      </c>
      <c r="C915" s="23">
        <v>4.9926358621033999E-2</v>
      </c>
      <c r="D915" s="23">
        <v>4.992013E-2</v>
      </c>
      <c r="E915" s="24">
        <v>3.5260599999999799E-4</v>
      </c>
      <c r="F915" s="24">
        <v>0.71136496549635198</v>
      </c>
      <c r="G915" s="24">
        <v>2.0629522732020198</v>
      </c>
      <c r="H915" s="23">
        <v>4.992013E-2</v>
      </c>
      <c r="I915" s="23">
        <v>4.992013E-2</v>
      </c>
      <c r="K915">
        <f t="shared" si="28"/>
        <v>7.1136496549635275E-3</v>
      </c>
      <c r="L915">
        <f t="shared" si="29"/>
        <v>2.4960063184332971E-4</v>
      </c>
    </row>
    <row r="916" spans="1:12" ht="15" customHeight="1" x14ac:dyDescent="0.3">
      <c r="A916" s="19">
        <v>44795</v>
      </c>
      <c r="B916" s="20">
        <v>4.9559416784783303E-2</v>
      </c>
      <c r="C916" s="20">
        <v>4.9575632585071798E-2</v>
      </c>
      <c r="D916" s="20">
        <v>4.9567524000000002E-2</v>
      </c>
      <c r="E916" s="21">
        <v>5.8283999999998699E-5</v>
      </c>
      <c r="F916" s="21">
        <v>0.117723479495945</v>
      </c>
      <c r="G916" s="21">
        <v>1.34204050175342</v>
      </c>
      <c r="H916" s="20">
        <v>4.9567524000000002E-2</v>
      </c>
      <c r="I916" s="20">
        <v>4.9567524000000002E-2</v>
      </c>
      <c r="K916">
        <f t="shared" si="28"/>
        <v>1.1772347949594586E-3</v>
      </c>
      <c r="L916">
        <f t="shared" si="29"/>
        <v>3.2714565868763535E-4</v>
      </c>
    </row>
    <row r="917" spans="1:12" ht="15" customHeight="1" x14ac:dyDescent="0.3">
      <c r="A917" s="22">
        <v>44792</v>
      </c>
      <c r="B917" s="23">
        <v>4.9503725155317903E-2</v>
      </c>
      <c r="C917" s="23">
        <v>4.9514755397108298E-2</v>
      </c>
      <c r="D917" s="23">
        <v>4.9509240000000003E-2</v>
      </c>
      <c r="E917" s="24">
        <v>-3.6295999999999502E-4</v>
      </c>
      <c r="F917" s="24">
        <v>-0.72778020620705097</v>
      </c>
      <c r="G917" s="24">
        <v>1.22287740842231</v>
      </c>
      <c r="H917" s="23">
        <v>4.9509240000000003E-2</v>
      </c>
      <c r="I917" s="23">
        <v>4.9509240000000003E-2</v>
      </c>
      <c r="K917">
        <f t="shared" si="28"/>
        <v>-7.2778020620705153E-3</v>
      </c>
      <c r="L917">
        <f t="shared" si="29"/>
        <v>2.2279157972118763E-4</v>
      </c>
    </row>
    <row r="918" spans="1:12" ht="15" customHeight="1" x14ac:dyDescent="0.3">
      <c r="A918" s="19">
        <v>44791</v>
      </c>
      <c r="B918" s="20">
        <v>4.9866358160130901E-2</v>
      </c>
      <c r="C918" s="20">
        <v>4.98780481722189E-2</v>
      </c>
      <c r="D918" s="20">
        <v>4.9872199999999998E-2</v>
      </c>
      <c r="E918" s="21">
        <v>4.28659999999955E-5</v>
      </c>
      <c r="F918" s="21">
        <v>8.6025633013675495E-2</v>
      </c>
      <c r="G918" s="21">
        <v>1.9649581914066701</v>
      </c>
      <c r="H918" s="20">
        <v>4.9872199999999998E-2</v>
      </c>
      <c r="I918" s="20">
        <v>4.9872199999999998E-2</v>
      </c>
      <c r="K918">
        <f t="shared" si="28"/>
        <v>8.6025633013675495E-4</v>
      </c>
      <c r="L918">
        <f t="shared" si="29"/>
        <v>2.3439936654085782E-4</v>
      </c>
    </row>
    <row r="919" spans="1:12" ht="15" customHeight="1" x14ac:dyDescent="0.3">
      <c r="A919" s="22">
        <v>44790</v>
      </c>
      <c r="B919" s="23">
        <v>4.9823624369731201E-2</v>
      </c>
      <c r="C919" s="23">
        <v>4.9835045997747497E-2</v>
      </c>
      <c r="D919" s="23">
        <v>4.9829334000000003E-2</v>
      </c>
      <c r="E919" s="24">
        <v>-3.11057999999996E-4</v>
      </c>
      <c r="F919" s="24">
        <v>-0.62037408881844203</v>
      </c>
      <c r="G919" s="24">
        <v>1.8773175840576399</v>
      </c>
      <c r="H919" s="23">
        <v>4.9829334000000003E-2</v>
      </c>
      <c r="I919" s="23">
        <v>4.9829334000000003E-2</v>
      </c>
      <c r="K919">
        <f t="shared" si="28"/>
        <v>-6.203740888184428E-3</v>
      </c>
      <c r="L919">
        <f t="shared" si="29"/>
        <v>2.2921494427953338E-4</v>
      </c>
    </row>
    <row r="920" spans="1:12" ht="15" customHeight="1" x14ac:dyDescent="0.3">
      <c r="A920" s="19">
        <v>44789</v>
      </c>
      <c r="B920" s="20">
        <v>5.0133354723564699E-2</v>
      </c>
      <c r="C920" s="20">
        <v>5.0147433454355801E-2</v>
      </c>
      <c r="D920" s="20">
        <v>5.0140391999999999E-2</v>
      </c>
      <c r="E920" s="21">
        <v>-2.3617199999999901E-4</v>
      </c>
      <c r="F920" s="21">
        <v>-0.46881323625009802</v>
      </c>
      <c r="G920" s="21">
        <v>2.51328343206719</v>
      </c>
      <c r="H920" s="20">
        <v>5.0140391999999999E-2</v>
      </c>
      <c r="I920" s="20">
        <v>5.0140391999999999E-2</v>
      </c>
      <c r="K920">
        <f t="shared" si="28"/>
        <v>-4.6881323625009852E-3</v>
      </c>
      <c r="L920">
        <f t="shared" si="29"/>
        <v>2.8078621306155618E-4</v>
      </c>
    </row>
    <row r="921" spans="1:12" ht="15" customHeight="1" x14ac:dyDescent="0.3">
      <c r="A921" s="22">
        <v>44788</v>
      </c>
      <c r="B921" s="23">
        <v>5.0370982284525502E-2</v>
      </c>
      <c r="C921" s="23">
        <v>5.03821485971091E-2</v>
      </c>
      <c r="D921" s="23">
        <v>5.0376563999999999E-2</v>
      </c>
      <c r="E921" s="24">
        <v>1.2593699999999901E-4</v>
      </c>
      <c r="F921" s="24">
        <v>0.25061776841113198</v>
      </c>
      <c r="G921" s="24">
        <v>2.9961429831994999</v>
      </c>
      <c r="H921" s="23">
        <v>5.0376563999999999E-2</v>
      </c>
      <c r="I921" s="23">
        <v>5.0376563999999999E-2</v>
      </c>
      <c r="K921">
        <f t="shared" si="28"/>
        <v>2.5061776841113215E-3</v>
      </c>
      <c r="L921">
        <f t="shared" si="29"/>
        <v>2.2165689155770625E-4</v>
      </c>
    </row>
    <row r="922" spans="1:12" ht="15" customHeight="1" x14ac:dyDescent="0.3">
      <c r="A922" s="19">
        <v>44785</v>
      </c>
      <c r="B922" s="20">
        <v>5.0243934301031502E-2</v>
      </c>
      <c r="C922" s="20">
        <v>5.0257317465423001E-2</v>
      </c>
      <c r="D922" s="20">
        <v>5.0250626999999999E-2</v>
      </c>
      <c r="E922" s="21">
        <v>1.98698999999996E-4</v>
      </c>
      <c r="F922" s="21">
        <v>0.39698570652462101</v>
      </c>
      <c r="G922" s="21">
        <v>2.7386616420966199</v>
      </c>
      <c r="H922" s="20">
        <v>5.0250626999999999E-2</v>
      </c>
      <c r="I922" s="20">
        <v>5.0250626999999999E-2</v>
      </c>
      <c r="K922">
        <f t="shared" si="28"/>
        <v>3.9698570652462184E-3</v>
      </c>
      <c r="L922">
        <f t="shared" si="29"/>
        <v>2.6632830654031779E-4</v>
      </c>
    </row>
    <row r="923" spans="1:12" ht="15" customHeight="1" x14ac:dyDescent="0.3">
      <c r="A923" s="22">
        <v>44784</v>
      </c>
      <c r="B923" s="23">
        <v>5.0046292820859303E-2</v>
      </c>
      <c r="C923" s="23">
        <v>5.0057566201131297E-2</v>
      </c>
      <c r="D923" s="23">
        <v>5.0051928000000002E-2</v>
      </c>
      <c r="E923" s="24">
        <v>-8.5321999999998706E-5</v>
      </c>
      <c r="F923" s="24">
        <v>-0.17017686450692099</v>
      </c>
      <c r="G923" s="24">
        <v>2.3324165751520298</v>
      </c>
      <c r="H923" s="23">
        <v>5.0051928000000002E-2</v>
      </c>
      <c r="I923" s="23">
        <v>5.0051928000000002E-2</v>
      </c>
      <c r="K923">
        <f t="shared" si="28"/>
        <v>-1.7017686450692127E-3</v>
      </c>
      <c r="L923">
        <f t="shared" si="29"/>
        <v>2.2523368674216891E-4</v>
      </c>
    </row>
    <row r="924" spans="1:12" ht="15" customHeight="1" x14ac:dyDescent="0.3">
      <c r="A924" s="19">
        <v>44783</v>
      </c>
      <c r="B924" s="20">
        <v>5.0130590187438297E-2</v>
      </c>
      <c r="C924" s="20">
        <v>5.0143913030397197E-2</v>
      </c>
      <c r="D924" s="20">
        <v>5.0137250000000001E-2</v>
      </c>
      <c r="E924" s="21">
        <v>8.0812599999999896E-4</v>
      </c>
      <c r="F924" s="21">
        <v>1.6382330243691401</v>
      </c>
      <c r="G924" s="21">
        <v>2.5068595346125502</v>
      </c>
      <c r="H924" s="20">
        <v>5.0137250000000001E-2</v>
      </c>
      <c r="I924" s="20">
        <v>5.0137250000000001E-2</v>
      </c>
      <c r="K924">
        <f t="shared" si="28"/>
        <v>1.6382330243691401E-2</v>
      </c>
      <c r="L924">
        <f t="shared" si="29"/>
        <v>2.6572743736244487E-4</v>
      </c>
    </row>
    <row r="925" spans="1:12" ht="15" customHeight="1" x14ac:dyDescent="0.3">
      <c r="A925" s="22">
        <v>44782</v>
      </c>
      <c r="B925" s="23">
        <v>4.9322068172962599E-2</v>
      </c>
      <c r="C925" s="23">
        <v>4.9336181675555403E-2</v>
      </c>
      <c r="D925" s="23">
        <v>4.9329124000000002E-2</v>
      </c>
      <c r="E925" s="24">
        <v>-3.2019000000001097E-5</v>
      </c>
      <c r="F925" s="24">
        <v>-6.4866812342656496E-2</v>
      </c>
      <c r="G925" s="24">
        <v>0.854625748988731</v>
      </c>
      <c r="H925" s="23">
        <v>4.9329124000000002E-2</v>
      </c>
      <c r="I925" s="23">
        <v>4.9329124000000002E-2</v>
      </c>
      <c r="K925">
        <f t="shared" si="28"/>
        <v>-6.4866812342656566E-4</v>
      </c>
      <c r="L925">
        <f t="shared" si="29"/>
        <v>2.8610892406692251E-4</v>
      </c>
    </row>
    <row r="926" spans="1:12" ht="15" customHeight="1" x14ac:dyDescent="0.3">
      <c r="A926" s="19">
        <v>44781</v>
      </c>
      <c r="B926" s="20">
        <v>4.93573670806104E-2</v>
      </c>
      <c r="C926" s="20">
        <v>4.93649203003362E-2</v>
      </c>
      <c r="D926" s="20">
        <v>4.9361143000000003E-2</v>
      </c>
      <c r="E926" s="21">
        <v>2.37993000000005E-4</v>
      </c>
      <c r="F926" s="21">
        <v>0.484482367274918</v>
      </c>
      <c r="G926" s="21">
        <v>0.92008939399197498</v>
      </c>
      <c r="H926" s="20">
        <v>4.9361143000000003E-2</v>
      </c>
      <c r="I926" s="20">
        <v>4.9361143000000003E-2</v>
      </c>
      <c r="K926">
        <f t="shared" si="28"/>
        <v>4.8448236727491878E-3</v>
      </c>
      <c r="L926">
        <f t="shared" si="29"/>
        <v>1.5301954668676279E-4</v>
      </c>
    </row>
    <row r="927" spans="1:12" ht="15" customHeight="1" x14ac:dyDescent="0.3">
      <c r="A927" s="22">
        <v>44778</v>
      </c>
      <c r="B927" s="23">
        <v>4.9115431086138597E-2</v>
      </c>
      <c r="C927" s="23">
        <v>4.9130874824357101E-2</v>
      </c>
      <c r="D927" s="23">
        <v>4.9123149999999997E-2</v>
      </c>
      <c r="E927" s="24">
        <v>8.4419999999973893E-6</v>
      </c>
      <c r="F927" s="24">
        <v>1.7188333889706E-2</v>
      </c>
      <c r="G927" s="24">
        <v>0.43350676288991802</v>
      </c>
      <c r="H927" s="23">
        <v>4.9123149999999997E-2</v>
      </c>
      <c r="I927" s="23">
        <v>4.9123149999999997E-2</v>
      </c>
      <c r="K927">
        <f t="shared" si="28"/>
        <v>1.7188333889706087E-4</v>
      </c>
      <c r="L927">
        <f t="shared" si="29"/>
        <v>3.1438819005914906E-4</v>
      </c>
    </row>
    <row r="928" spans="1:12" ht="15" customHeight="1" x14ac:dyDescent="0.3">
      <c r="A928" s="19">
        <v>44777</v>
      </c>
      <c r="B928" s="20">
        <v>4.9108436338278598E-2</v>
      </c>
      <c r="C928" s="20">
        <v>4.9120980061794203E-2</v>
      </c>
      <c r="D928" s="20">
        <v>4.9114708E-2</v>
      </c>
      <c r="E928" s="21">
        <v>7.7867499999999896E-4</v>
      </c>
      <c r="F928" s="21">
        <v>1.6109617435919801</v>
      </c>
      <c r="G928" s="21">
        <v>0.416246883096133</v>
      </c>
      <c r="H928" s="20">
        <v>4.9114708E-2</v>
      </c>
      <c r="I928" s="20">
        <v>4.9114708E-2</v>
      </c>
      <c r="K928">
        <f t="shared" si="28"/>
        <v>1.6109617435919876E-2</v>
      </c>
      <c r="L928">
        <f t="shared" si="29"/>
        <v>2.5539647951496204E-4</v>
      </c>
    </row>
    <row r="929" spans="1:12" ht="15" customHeight="1" x14ac:dyDescent="0.3">
      <c r="A929" s="22">
        <v>44776</v>
      </c>
      <c r="B929" s="23">
        <v>4.8330191870861697E-2</v>
      </c>
      <c r="C929" s="23">
        <v>4.8341873731025803E-2</v>
      </c>
      <c r="D929" s="23">
        <v>4.8336033E-2</v>
      </c>
      <c r="E929" s="24">
        <v>-4.8613200000000001E-4</v>
      </c>
      <c r="F929" s="24">
        <v>-0.99571987436444198</v>
      </c>
      <c r="G929" s="24">
        <v>-1.17577359764651</v>
      </c>
      <c r="H929" s="23">
        <v>4.8336033E-2</v>
      </c>
      <c r="I929" s="23">
        <v>4.8336033E-2</v>
      </c>
      <c r="K929">
        <f t="shared" si="28"/>
        <v>-9.9571987436444243E-3</v>
      </c>
      <c r="L929">
        <f t="shared" si="29"/>
        <v>2.4168015948073575E-4</v>
      </c>
    </row>
    <row r="930" spans="1:12" ht="15" customHeight="1" x14ac:dyDescent="0.3">
      <c r="A930" s="19">
        <v>44775</v>
      </c>
      <c r="B930" s="20">
        <v>4.8815730380958003E-2</v>
      </c>
      <c r="C930" s="20">
        <v>4.8828601841814902E-2</v>
      </c>
      <c r="D930" s="20">
        <v>4.8822165000000001E-2</v>
      </c>
      <c r="E930" s="21">
        <v>-5.0452299999999902E-4</v>
      </c>
      <c r="F930" s="21">
        <v>-1.0228195333122601</v>
      </c>
      <c r="G930" s="21">
        <v>-0.181864585100349</v>
      </c>
      <c r="H930" s="20">
        <v>4.8822165000000001E-2</v>
      </c>
      <c r="I930" s="20">
        <v>4.8822165000000001E-2</v>
      </c>
      <c r="K930">
        <f t="shared" si="28"/>
        <v>-1.0228195333122692E-2</v>
      </c>
      <c r="L930">
        <f t="shared" si="29"/>
        <v>2.6363969842179032E-4</v>
      </c>
    </row>
    <row r="931" spans="1:12" ht="15" customHeight="1" x14ac:dyDescent="0.3">
      <c r="A931" s="22">
        <v>44774</v>
      </c>
      <c r="B931" s="23">
        <v>4.93193923850858E-2</v>
      </c>
      <c r="C931" s="23">
        <v>4.9333991119881598E-2</v>
      </c>
      <c r="D931" s="23">
        <v>4.9326688E-2</v>
      </c>
      <c r="E931" s="24">
        <v>2.1198000000000001E-4</v>
      </c>
      <c r="F931" s="24">
        <v>0.43160187371977798</v>
      </c>
      <c r="G931" s="24">
        <v>0.84964528616266</v>
      </c>
      <c r="H931" s="23">
        <v>4.9326688E-2</v>
      </c>
      <c r="I931" s="23">
        <v>4.9326688E-2</v>
      </c>
      <c r="K931">
        <f t="shared" si="28"/>
        <v>4.3160187371977798E-3</v>
      </c>
      <c r="L931">
        <f t="shared" si="29"/>
        <v>2.9596016654915506E-4</v>
      </c>
    </row>
    <row r="932" spans="1:12" ht="15" customHeight="1" x14ac:dyDescent="0.3">
      <c r="A932" s="19">
        <v>44771</v>
      </c>
      <c r="B932" s="20">
        <v>4.9110848095235797E-2</v>
      </c>
      <c r="C932" s="20">
        <v>4.91185673096287E-2</v>
      </c>
      <c r="D932" s="20">
        <v>4.9114708E-2</v>
      </c>
      <c r="E932" s="21">
        <v>3.55540000000001E-5</v>
      </c>
      <c r="F932" s="21">
        <v>7.2442161492847199E-2</v>
      </c>
      <c r="G932" s="21">
        <v>0.416246883096133</v>
      </c>
      <c r="H932" s="20">
        <v>4.9114708E-2</v>
      </c>
      <c r="I932" s="20">
        <v>4.9114708E-2</v>
      </c>
      <c r="K932">
        <f t="shared" si="28"/>
        <v>7.2442161492847212E-4</v>
      </c>
      <c r="L932">
        <f t="shared" si="29"/>
        <v>1.5716706272390988E-4</v>
      </c>
    </row>
    <row r="933" spans="1:12" ht="15" customHeight="1" x14ac:dyDescent="0.3">
      <c r="A933" s="22">
        <v>44770</v>
      </c>
      <c r="B933" s="23">
        <v>4.9072288388024403E-2</v>
      </c>
      <c r="C933" s="23">
        <v>4.90860183385365E-2</v>
      </c>
      <c r="D933" s="23">
        <v>4.9079154E-2</v>
      </c>
      <c r="E933" s="24">
        <v>4.0255100000000099E-4</v>
      </c>
      <c r="F933" s="24">
        <v>0.82699074132186401</v>
      </c>
      <c r="G933" s="24">
        <v>0.343555842325177</v>
      </c>
      <c r="H933" s="23">
        <v>4.9079154E-2</v>
      </c>
      <c r="I933" s="23">
        <v>4.9079154E-2</v>
      </c>
      <c r="K933">
        <f t="shared" si="28"/>
        <v>8.2699074132186468E-3</v>
      </c>
      <c r="L933">
        <f t="shared" si="29"/>
        <v>2.7975116506891363E-4</v>
      </c>
    </row>
    <row r="934" spans="1:12" ht="15" customHeight="1" x14ac:dyDescent="0.3">
      <c r="A934" s="19">
        <v>44769</v>
      </c>
      <c r="B934" s="20">
        <v>4.8671511104405298E-2</v>
      </c>
      <c r="C934" s="20">
        <v>4.8681699575495598E-2</v>
      </c>
      <c r="D934" s="20">
        <v>4.8676602999999999E-2</v>
      </c>
      <c r="E934" s="21">
        <v>-2.86601000000004E-4</v>
      </c>
      <c r="F934" s="21">
        <v>-0.58533955416807304</v>
      </c>
      <c r="G934" s="21">
        <v>-0.479469728732627</v>
      </c>
      <c r="H934" s="20">
        <v>4.8676602999999999E-2</v>
      </c>
      <c r="I934" s="20">
        <v>4.8676602999999999E-2</v>
      </c>
      <c r="K934">
        <f t="shared" si="28"/>
        <v>-5.8533955416807393E-3</v>
      </c>
      <c r="L934">
        <f t="shared" si="29"/>
        <v>2.0930941073065364E-4</v>
      </c>
    </row>
    <row r="935" spans="1:12" ht="15" customHeight="1" x14ac:dyDescent="0.3">
      <c r="A935" s="22">
        <v>44768</v>
      </c>
      <c r="B935" s="23">
        <v>4.8958170139432898E-2</v>
      </c>
      <c r="C935" s="23">
        <v>4.89682392000549E-2</v>
      </c>
      <c r="D935" s="23">
        <v>4.8963204000000003E-2</v>
      </c>
      <c r="E935" s="24">
        <v>1.60098000000004E-4</v>
      </c>
      <c r="F935" s="24">
        <v>0.32804879263217401</v>
      </c>
      <c r="G935" s="24">
        <v>0.10649317209420101</v>
      </c>
      <c r="H935" s="23">
        <v>4.8963204000000003E-2</v>
      </c>
      <c r="I935" s="23">
        <v>4.8963204000000003E-2</v>
      </c>
      <c r="K935">
        <f t="shared" si="28"/>
        <v>3.2804879263217401E-3</v>
      </c>
      <c r="L935">
        <f t="shared" si="29"/>
        <v>2.0564546025219087E-4</v>
      </c>
    </row>
    <row r="936" spans="1:12" ht="15" customHeight="1" x14ac:dyDescent="0.3">
      <c r="A936" s="19">
        <v>44767</v>
      </c>
      <c r="B936" s="20">
        <v>4.87971502464256E-2</v>
      </c>
      <c r="C936" s="20">
        <v>4.8809058961343202E-2</v>
      </c>
      <c r="D936" s="20">
        <v>4.8803105999999999E-2</v>
      </c>
      <c r="E936" s="21">
        <v>4.9965999999998498E-5</v>
      </c>
      <c r="F936" s="21">
        <v>0.1024877577116</v>
      </c>
      <c r="G936" s="21">
        <v>-0.22083118649692199</v>
      </c>
      <c r="H936" s="20">
        <v>4.8803105999999999E-2</v>
      </c>
      <c r="I936" s="20">
        <v>4.8803105999999999E-2</v>
      </c>
      <c r="K936">
        <f t="shared" si="28"/>
        <v>1.0248775771160012E-3</v>
      </c>
      <c r="L936">
        <f t="shared" si="29"/>
        <v>2.4401551240616241E-4</v>
      </c>
    </row>
    <row r="937" spans="1:12" ht="15" customHeight="1" x14ac:dyDescent="0.3">
      <c r="A937" s="22">
        <v>44764</v>
      </c>
      <c r="B937" s="23">
        <v>4.8747197036170399E-2</v>
      </c>
      <c r="C937" s="23">
        <v>4.8759081378906798E-2</v>
      </c>
      <c r="D937" s="23">
        <v>4.875314E-2</v>
      </c>
      <c r="E937" s="24">
        <v>4.0367000000000099E-4</v>
      </c>
      <c r="F937" s="24">
        <v>0.83490056871358098</v>
      </c>
      <c r="G937" s="24">
        <v>-0.32298792113047903</v>
      </c>
      <c r="H937" s="23">
        <v>4.875314E-2</v>
      </c>
      <c r="I937" s="23">
        <v>4.875314E-2</v>
      </c>
      <c r="K937">
        <f t="shared" si="28"/>
        <v>8.3490056871358131E-3</v>
      </c>
      <c r="L937">
        <f t="shared" si="29"/>
        <v>2.4376568845408707E-4</v>
      </c>
    </row>
    <row r="938" spans="1:12" ht="15" customHeight="1" x14ac:dyDescent="0.3">
      <c r="A938" s="19">
        <v>44763</v>
      </c>
      <c r="B938" s="20">
        <v>4.8343042227647397E-2</v>
      </c>
      <c r="C938" s="20">
        <v>4.8355899419729197E-2</v>
      </c>
      <c r="D938" s="20">
        <v>4.8349469999999999E-2</v>
      </c>
      <c r="E938" s="21">
        <v>-4.9177000000000205E-4</v>
      </c>
      <c r="F938" s="21">
        <v>-1.00687451833737</v>
      </c>
      <c r="G938" s="21">
        <v>-1.14830131562932</v>
      </c>
      <c r="H938" s="20">
        <v>4.8349469999999999E-2</v>
      </c>
      <c r="I938" s="20">
        <v>4.8349469999999999E-2</v>
      </c>
      <c r="K938">
        <f t="shared" si="28"/>
        <v>-1.0068745183373751E-2</v>
      </c>
      <c r="L938">
        <f t="shared" si="29"/>
        <v>2.659220893589923E-4</v>
      </c>
    </row>
    <row r="939" spans="1:12" ht="15" customHeight="1" x14ac:dyDescent="0.3">
      <c r="A939" s="22">
        <v>44762</v>
      </c>
      <c r="B939" s="23">
        <v>4.8835278605264397E-2</v>
      </c>
      <c r="C939" s="23">
        <v>4.8847205939820199E-2</v>
      </c>
      <c r="D939" s="23">
        <v>4.8841240000000001E-2</v>
      </c>
      <c r="E939" s="24">
        <v>-1.48349999999998E-4</v>
      </c>
      <c r="F939" s="24">
        <v>-0.302819435720935</v>
      </c>
      <c r="G939" s="24">
        <v>-0.14286527130426299</v>
      </c>
      <c r="H939" s="23">
        <v>4.8841240000000001E-2</v>
      </c>
      <c r="I939" s="23">
        <v>4.8841240000000001E-2</v>
      </c>
      <c r="K939">
        <f t="shared" si="28"/>
        <v>-3.0281943572093573E-3</v>
      </c>
      <c r="L939">
        <f t="shared" si="29"/>
        <v>2.4420621908456013E-4</v>
      </c>
    </row>
    <row r="940" spans="1:12" ht="15" customHeight="1" x14ac:dyDescent="0.3">
      <c r="A940" s="19">
        <v>44761</v>
      </c>
      <c r="B940" s="20">
        <v>4.8982870690119702E-2</v>
      </c>
      <c r="C940" s="20">
        <v>4.89963105778135E-2</v>
      </c>
      <c r="D940" s="20">
        <v>4.898959E-2</v>
      </c>
      <c r="E940" s="21">
        <v>-3.9030000000002301E-5</v>
      </c>
      <c r="F940" s="21">
        <v>-7.9606564492340395E-2</v>
      </c>
      <c r="G940" s="21">
        <v>0.160440007943393</v>
      </c>
      <c r="H940" s="20">
        <v>4.898959E-2</v>
      </c>
      <c r="I940" s="20">
        <v>4.898959E-2</v>
      </c>
      <c r="K940">
        <f t="shared" si="28"/>
        <v>-7.9606564492340492E-4</v>
      </c>
      <c r="L940">
        <f t="shared" si="29"/>
        <v>2.7434170593788291E-4</v>
      </c>
    </row>
    <row r="941" spans="1:12" ht="15" customHeight="1" x14ac:dyDescent="0.3">
      <c r="A941" s="22">
        <v>44760</v>
      </c>
      <c r="B941" s="23">
        <v>4.9022972164756401E-2</v>
      </c>
      <c r="C941" s="23">
        <v>4.9034270051338903E-2</v>
      </c>
      <c r="D941" s="23">
        <v>4.9028620000000002E-2</v>
      </c>
      <c r="E941" s="24">
        <v>5.24960000000004E-4</v>
      </c>
      <c r="F941" s="24">
        <v>1.08231007721892</v>
      </c>
      <c r="G941" s="24">
        <v>0.240237817508859</v>
      </c>
      <c r="H941" s="23">
        <v>4.9028620000000002E-2</v>
      </c>
      <c r="I941" s="23">
        <v>4.9028620000000002E-2</v>
      </c>
      <c r="K941">
        <f t="shared" si="28"/>
        <v>1.0823100772189287E-2</v>
      </c>
      <c r="L941">
        <f t="shared" si="29"/>
        <v>2.3043452135716337E-4</v>
      </c>
    </row>
    <row r="942" spans="1:12" ht="15" customHeight="1" x14ac:dyDescent="0.3">
      <c r="A942" s="19">
        <v>44757</v>
      </c>
      <c r="B942" s="20">
        <v>4.8498486847210399E-2</v>
      </c>
      <c r="C942" s="20">
        <v>4.8508838310340099E-2</v>
      </c>
      <c r="D942" s="20">
        <v>4.8503659999999997E-2</v>
      </c>
      <c r="E942" s="21">
        <v>7.5728999999999304E-4</v>
      </c>
      <c r="F942" s="21">
        <v>1.5860682183797199</v>
      </c>
      <c r="G942" s="21">
        <v>-0.83305601055890799</v>
      </c>
      <c r="H942" s="20">
        <v>4.8503659999999997E-2</v>
      </c>
      <c r="I942" s="20">
        <v>4.8503659999999997E-2</v>
      </c>
      <c r="K942">
        <f t="shared" si="28"/>
        <v>1.5860682183797215E-2</v>
      </c>
      <c r="L942">
        <f t="shared" si="29"/>
        <v>2.1341612426155012E-4</v>
      </c>
    </row>
    <row r="943" spans="1:12" ht="15" customHeight="1" x14ac:dyDescent="0.3">
      <c r="A943" s="22">
        <v>44756</v>
      </c>
      <c r="B943" s="23">
        <v>4.7739761014756403E-2</v>
      </c>
      <c r="C943" s="23">
        <v>4.77529833676359E-2</v>
      </c>
      <c r="D943" s="23">
        <v>4.7746370000000003E-2</v>
      </c>
      <c r="E943" s="24">
        <v>-4.5976199999999502E-4</v>
      </c>
      <c r="F943" s="24">
        <v>-0.95374173559495901</v>
      </c>
      <c r="G943" s="24">
        <v>-2.3813543248255602</v>
      </c>
      <c r="H943" s="23">
        <v>4.7746370000000003E-2</v>
      </c>
      <c r="I943" s="23">
        <v>4.7746370000000003E-2</v>
      </c>
      <c r="K943">
        <f t="shared" si="28"/>
        <v>-9.5374173559495956E-3</v>
      </c>
      <c r="L943">
        <f t="shared" si="29"/>
        <v>2.7692896610772064E-4</v>
      </c>
    </row>
    <row r="944" spans="1:12" ht="15" customHeight="1" x14ac:dyDescent="0.3">
      <c r="A944" s="19">
        <v>44755</v>
      </c>
      <c r="B944" s="20">
        <v>4.8199275082902802E-2</v>
      </c>
      <c r="C944" s="20">
        <v>4.8212985685564501E-2</v>
      </c>
      <c r="D944" s="20">
        <v>4.8206131999999999E-2</v>
      </c>
      <c r="E944" s="21">
        <v>2.6289799999999698E-4</v>
      </c>
      <c r="F944" s="21">
        <v>0.54835266223382995</v>
      </c>
      <c r="G944" s="21">
        <v>-1.44135943572909</v>
      </c>
      <c r="H944" s="20">
        <v>4.8206131999999999E-2</v>
      </c>
      <c r="I944" s="20">
        <v>4.8206131999999999E-2</v>
      </c>
      <c r="K944">
        <f t="shared" si="28"/>
        <v>5.4835266223383083E-3</v>
      </c>
      <c r="L944">
        <f t="shared" si="29"/>
        <v>2.8441615398012922E-4</v>
      </c>
    </row>
    <row r="945" spans="1:12" ht="15" customHeight="1" x14ac:dyDescent="0.3">
      <c r="A945" s="22">
        <v>44754</v>
      </c>
      <c r="B945" s="23">
        <v>4.7938178924459E-2</v>
      </c>
      <c r="C945" s="23">
        <v>4.7948292561301897E-2</v>
      </c>
      <c r="D945" s="23">
        <v>4.7943234000000001E-2</v>
      </c>
      <c r="E945" s="24">
        <v>-1.73013999999999E-4</v>
      </c>
      <c r="F945" s="24">
        <v>-0.35957500260618203</v>
      </c>
      <c r="G945" s="24">
        <v>-1.9788609612002801</v>
      </c>
      <c r="H945" s="23">
        <v>4.7943234000000001E-2</v>
      </c>
      <c r="I945" s="23">
        <v>4.7943234000000001E-2</v>
      </c>
      <c r="K945">
        <f t="shared" si="28"/>
        <v>-3.595750026061828E-3</v>
      </c>
      <c r="L945">
        <f t="shared" si="29"/>
        <v>2.1095024259099743E-4</v>
      </c>
    </row>
    <row r="946" spans="1:12" ht="15" customHeight="1" x14ac:dyDescent="0.3">
      <c r="A946" s="19">
        <v>44753</v>
      </c>
      <c r="B946" s="20">
        <v>4.8110693082644498E-2</v>
      </c>
      <c r="C946" s="20">
        <v>4.8121805915132397E-2</v>
      </c>
      <c r="D946" s="20">
        <v>4.8116248E-2</v>
      </c>
      <c r="E946" s="21">
        <v>-8.7934199999999802E-4</v>
      </c>
      <c r="F946" s="21">
        <v>-1.7947370365373601</v>
      </c>
      <c r="G946" s="21">
        <v>-1.62512951810116</v>
      </c>
      <c r="H946" s="20">
        <v>4.8116248E-2</v>
      </c>
      <c r="I946" s="20">
        <v>4.8116248E-2</v>
      </c>
      <c r="K946">
        <f t="shared" si="28"/>
        <v>-1.7947370365373638E-2</v>
      </c>
      <c r="L946">
        <f t="shared" si="29"/>
        <v>2.3095800171074609E-4</v>
      </c>
    </row>
    <row r="947" spans="1:12" ht="15" customHeight="1" x14ac:dyDescent="0.3">
      <c r="A947" s="22">
        <v>44750</v>
      </c>
      <c r="B947" s="23">
        <v>4.8990309716737998E-2</v>
      </c>
      <c r="C947" s="23">
        <v>4.9000872215525397E-2</v>
      </c>
      <c r="D947" s="23">
        <v>4.8995589999999999E-2</v>
      </c>
      <c r="E947" s="24">
        <v>5.0133699999999699E-4</v>
      </c>
      <c r="F947" s="24">
        <v>1.0338070368874399</v>
      </c>
      <c r="G947" s="24">
        <v>0.172707157761295</v>
      </c>
      <c r="H947" s="23">
        <v>4.8995589999999999E-2</v>
      </c>
      <c r="I947" s="23">
        <v>4.8995589999999999E-2</v>
      </c>
      <c r="K947">
        <f t="shared" si="28"/>
        <v>1.0338070368874464E-2</v>
      </c>
      <c r="L947">
        <f t="shared" si="29"/>
        <v>2.1558060199701554E-4</v>
      </c>
    </row>
    <row r="948" spans="1:12" ht="15" customHeight="1" x14ac:dyDescent="0.3">
      <c r="A948" s="19">
        <v>44749</v>
      </c>
      <c r="B948" s="20">
        <v>4.8487199379363799E-2</v>
      </c>
      <c r="C948" s="20">
        <v>4.8501309535357501E-2</v>
      </c>
      <c r="D948" s="20">
        <v>4.8494253000000001E-2</v>
      </c>
      <c r="E948" s="21">
        <v>2.9218899999999798E-4</v>
      </c>
      <c r="F948" s="21">
        <v>0.60617528743167604</v>
      </c>
      <c r="G948" s="21">
        <v>-0.85228885694840295</v>
      </c>
      <c r="H948" s="20">
        <v>4.8494253000000001E-2</v>
      </c>
      <c r="I948" s="20">
        <v>4.8494253000000001E-2</v>
      </c>
      <c r="K948">
        <f t="shared" si="28"/>
        <v>6.0617528743167615E-3</v>
      </c>
      <c r="L948">
        <f t="shared" si="29"/>
        <v>2.9096552933193551E-4</v>
      </c>
    </row>
    <row r="949" spans="1:12" ht="15" customHeight="1" x14ac:dyDescent="0.3">
      <c r="A949" s="22">
        <v>44748</v>
      </c>
      <c r="B949" s="23">
        <v>4.8195790579650802E-2</v>
      </c>
      <c r="C949" s="23">
        <v>4.8208337149826697E-2</v>
      </c>
      <c r="D949" s="23">
        <v>4.8202064000000003E-2</v>
      </c>
      <c r="E949" s="24">
        <v>-3.8880099999999402E-4</v>
      </c>
      <c r="F949" s="24">
        <v>-0.80015245663972401</v>
      </c>
      <c r="G949" s="24">
        <v>-1.4496765633056199</v>
      </c>
      <c r="H949" s="23">
        <v>4.8202064000000003E-2</v>
      </c>
      <c r="I949" s="23">
        <v>4.8202064000000003E-2</v>
      </c>
      <c r="K949">
        <f t="shared" si="28"/>
        <v>-8.0015245663972445E-3</v>
      </c>
      <c r="L949">
        <f t="shared" si="29"/>
        <v>2.6029113972992479E-4</v>
      </c>
    </row>
    <row r="950" spans="1:12" ht="15" customHeight="1" x14ac:dyDescent="0.3">
      <c r="A950" s="19">
        <v>44747</v>
      </c>
      <c r="B950" s="20">
        <v>4.8585671113875101E-2</v>
      </c>
      <c r="C950" s="20">
        <v>4.8596059831468898E-2</v>
      </c>
      <c r="D950" s="20">
        <v>4.8590864999999997E-2</v>
      </c>
      <c r="E950" s="21">
        <v>-6.9328000000000401E-4</v>
      </c>
      <c r="F950" s="21">
        <v>-1.4066998626028699</v>
      </c>
      <c r="G950" s="21">
        <v>-0.654763210580531</v>
      </c>
      <c r="H950" s="20">
        <v>4.8590864999999997E-2</v>
      </c>
      <c r="I950" s="20">
        <v>4.8590864999999997E-2</v>
      </c>
      <c r="K950">
        <f t="shared" si="28"/>
        <v>-1.4066998626028782E-2</v>
      </c>
      <c r="L950">
        <f t="shared" si="29"/>
        <v>2.1379980771688153E-4</v>
      </c>
    </row>
    <row r="951" spans="1:12" ht="15" customHeight="1" x14ac:dyDescent="0.3">
      <c r="A951" s="22">
        <v>44746</v>
      </c>
      <c r="B951" s="23">
        <v>4.9275405167018997E-2</v>
      </c>
      <c r="C951" s="23">
        <v>4.9292893443552199E-2</v>
      </c>
      <c r="D951" s="23">
        <v>4.9284145000000001E-2</v>
      </c>
      <c r="E951" s="24">
        <v>2.7174500000000298E-4</v>
      </c>
      <c r="F951" s="24">
        <v>0.55444132505244603</v>
      </c>
      <c r="G951" s="24">
        <v>0.76266506037881798</v>
      </c>
      <c r="H951" s="23">
        <v>4.9284145000000001E-2</v>
      </c>
      <c r="I951" s="23">
        <v>4.9284145000000001E-2</v>
      </c>
      <c r="K951">
        <f t="shared" si="28"/>
        <v>5.5444132505244603E-3</v>
      </c>
      <c r="L951">
        <f t="shared" si="29"/>
        <v>3.5484589482483907E-4</v>
      </c>
    </row>
    <row r="952" spans="1:12" ht="15" customHeight="1" x14ac:dyDescent="0.3">
      <c r="A952" s="19">
        <v>44743</v>
      </c>
      <c r="B952" s="20">
        <v>4.9003993825496799E-2</v>
      </c>
      <c r="C952" s="20">
        <v>4.90208093335621E-2</v>
      </c>
      <c r="D952" s="20">
        <v>4.9012399999999998E-2</v>
      </c>
      <c r="E952" s="21">
        <v>-5.5205000000000499E-4</v>
      </c>
      <c r="F952" s="21">
        <v>-1.1138023321150601</v>
      </c>
      <c r="G952" s="21">
        <v>0.207075622501118</v>
      </c>
      <c r="H952" s="20">
        <v>4.9012399999999998E-2</v>
      </c>
      <c r="I952" s="20">
        <v>4.9012399999999998E-2</v>
      </c>
      <c r="K952">
        <f t="shared" si="28"/>
        <v>-1.1138023321150659E-2</v>
      </c>
      <c r="L952">
        <f t="shared" si="29"/>
        <v>3.4308681201699004E-4</v>
      </c>
    </row>
    <row r="953" spans="1:12" ht="15" customHeight="1" x14ac:dyDescent="0.3">
      <c r="A953" s="22">
        <v>44742</v>
      </c>
      <c r="B953" s="23">
        <v>4.9559908016810698E-2</v>
      </c>
      <c r="C953" s="23">
        <v>4.9568997566162197E-2</v>
      </c>
      <c r="D953" s="23">
        <v>4.9564450000000003E-2</v>
      </c>
      <c r="E953" s="24">
        <v>-5.1030000000000499E-5</v>
      </c>
      <c r="F953" s="24">
        <v>-0.102850965061707</v>
      </c>
      <c r="G953" s="24">
        <v>1.3357556319967201</v>
      </c>
      <c r="H953" s="23">
        <v>4.9564450000000003E-2</v>
      </c>
      <c r="I953" s="23">
        <v>4.9564450000000003E-2</v>
      </c>
      <c r="K953">
        <f t="shared" si="28"/>
        <v>-1.028509650617071E-3</v>
      </c>
      <c r="L953">
        <f t="shared" si="29"/>
        <v>1.8338848411509939E-4</v>
      </c>
    </row>
    <row r="954" spans="1:12" ht="15" customHeight="1" x14ac:dyDescent="0.3">
      <c r="A954" s="19">
        <v>44741</v>
      </c>
      <c r="B954" s="20">
        <v>4.9608096041273898E-2</v>
      </c>
      <c r="C954" s="20">
        <v>4.9622866216752701E-2</v>
      </c>
      <c r="D954" s="20">
        <v>4.9615480000000003E-2</v>
      </c>
      <c r="E954" s="21">
        <v>-4.3331999999999399E-4</v>
      </c>
      <c r="F954" s="21">
        <v>-0.86579498409551303</v>
      </c>
      <c r="G954" s="21">
        <v>1.44008774119799</v>
      </c>
      <c r="H954" s="20">
        <v>4.9615480000000003E-2</v>
      </c>
      <c r="I954" s="20">
        <v>4.9615480000000003E-2</v>
      </c>
      <c r="K954">
        <f t="shared" si="28"/>
        <v>-8.657949840955137E-3</v>
      </c>
      <c r="L954">
        <f t="shared" si="29"/>
        <v>2.9769288695387776E-4</v>
      </c>
    </row>
    <row r="955" spans="1:12" ht="15" customHeight="1" x14ac:dyDescent="0.3">
      <c r="A955" s="22">
        <v>44740</v>
      </c>
      <c r="B955" s="23">
        <v>5.0042536155732398E-2</v>
      </c>
      <c r="C955" s="23">
        <v>5.0055060566623302E-2</v>
      </c>
      <c r="D955" s="23">
        <v>5.0048799999999997E-2</v>
      </c>
      <c r="E955" s="24">
        <v>-2.25192000000006E-4</v>
      </c>
      <c r="F955" s="24">
        <v>-0.44792941845558298</v>
      </c>
      <c r="G955" s="24">
        <v>2.3260213010469499</v>
      </c>
      <c r="H955" s="23">
        <v>5.0048799999999997E-2</v>
      </c>
      <c r="I955" s="23">
        <v>5.0048799999999997E-2</v>
      </c>
      <c r="K955">
        <f t="shared" si="28"/>
        <v>-4.4792941845558376E-3</v>
      </c>
      <c r="L955">
        <f t="shared" si="29"/>
        <v>2.5024397969390883E-4</v>
      </c>
    </row>
    <row r="956" spans="1:12" ht="15" customHeight="1" x14ac:dyDescent="0.3">
      <c r="A956" s="19">
        <v>44739</v>
      </c>
      <c r="B956" s="20">
        <v>5.0269191520592803E-2</v>
      </c>
      <c r="C956" s="20">
        <v>5.0278795923395202E-2</v>
      </c>
      <c r="D956" s="20">
        <v>5.0273992000000003E-2</v>
      </c>
      <c r="E956" s="21">
        <v>4.5452000000001299E-5</v>
      </c>
      <c r="F956" s="21">
        <v>9.0490386541208695E-2</v>
      </c>
      <c r="G956" s="21">
        <v>2.7864319680125198</v>
      </c>
      <c r="H956" s="20">
        <v>5.0273992000000003E-2</v>
      </c>
      <c r="I956" s="20">
        <v>5.0273992000000003E-2</v>
      </c>
      <c r="K956">
        <f t="shared" si="28"/>
        <v>9.0490386541208778E-4</v>
      </c>
      <c r="L956">
        <f t="shared" si="29"/>
        <v>1.9104118094300003E-4</v>
      </c>
    </row>
    <row r="957" spans="1:12" ht="15" customHeight="1" x14ac:dyDescent="0.3">
      <c r="A957" s="22">
        <v>44736</v>
      </c>
      <c r="B957" s="23">
        <v>5.0223242312077199E-2</v>
      </c>
      <c r="C957" s="23">
        <v>5.0233838518302702E-2</v>
      </c>
      <c r="D957" s="23">
        <v>5.0228540000000002E-2</v>
      </c>
      <c r="E957" s="24">
        <v>2.8597600000000001E-4</v>
      </c>
      <c r="F957" s="24">
        <v>0.57260976829303001</v>
      </c>
      <c r="G957" s="24">
        <v>2.69350421909196</v>
      </c>
      <c r="H957" s="23">
        <v>5.0228540000000002E-2</v>
      </c>
      <c r="I957" s="23">
        <v>5.0228540000000002E-2</v>
      </c>
      <c r="K957">
        <f t="shared" si="28"/>
        <v>5.726097682930309E-3</v>
      </c>
      <c r="L957">
        <f t="shared" si="29"/>
        <v>2.1095986914020508E-4</v>
      </c>
    </row>
    <row r="958" spans="1:12" ht="15" customHeight="1" x14ac:dyDescent="0.3">
      <c r="A958" s="19">
        <v>44735</v>
      </c>
      <c r="B958" s="20">
        <v>4.9933588327524397E-2</v>
      </c>
      <c r="C958" s="20">
        <v>4.9951546999410602E-2</v>
      </c>
      <c r="D958" s="20">
        <v>4.9942564000000002E-2</v>
      </c>
      <c r="E958" s="21">
        <v>3.9872000000003199E-5</v>
      </c>
      <c r="F958" s="21">
        <v>7.9899497205482201E-2</v>
      </c>
      <c r="G958" s="21">
        <v>2.1088191463711699</v>
      </c>
      <c r="H958" s="20">
        <v>4.9942564000000002E-2</v>
      </c>
      <c r="I958" s="20">
        <v>4.9942564000000002E-2</v>
      </c>
      <c r="K958">
        <f t="shared" si="28"/>
        <v>7.9899497205482284E-4</v>
      </c>
      <c r="L958">
        <f t="shared" si="29"/>
        <v>3.5958650193059508E-4</v>
      </c>
    </row>
    <row r="959" spans="1:12" ht="15" customHeight="1" x14ac:dyDescent="0.3">
      <c r="A959" s="22">
        <v>44734</v>
      </c>
      <c r="B959" s="23">
        <v>4.9898207656380998E-2</v>
      </c>
      <c r="C959" s="23">
        <v>4.9907172658854498E-2</v>
      </c>
      <c r="D959" s="23">
        <v>4.9902691999999998E-2</v>
      </c>
      <c r="E959" s="24">
        <v>3.68315000000001E-4</v>
      </c>
      <c r="F959" s="24">
        <v>0.74355431986154996</v>
      </c>
      <c r="G959" s="24">
        <v>2.0272998467812502</v>
      </c>
      <c r="H959" s="23">
        <v>4.9902691999999998E-2</v>
      </c>
      <c r="I959" s="23">
        <v>4.9902691999999998E-2</v>
      </c>
      <c r="K959">
        <f t="shared" si="28"/>
        <v>7.4355431986155018E-3</v>
      </c>
      <c r="L959">
        <f t="shared" si="29"/>
        <v>1.7964967648439163E-4</v>
      </c>
    </row>
    <row r="960" spans="1:12" ht="15" customHeight="1" x14ac:dyDescent="0.3">
      <c r="A960" s="19">
        <v>44733</v>
      </c>
      <c r="B960" s="20">
        <v>4.9526526407543903E-2</v>
      </c>
      <c r="C960" s="20">
        <v>4.9542229796678702E-2</v>
      </c>
      <c r="D960" s="20">
        <v>4.9534376999999997E-2</v>
      </c>
      <c r="E960" s="21">
        <v>1.3092699999999499E-4</v>
      </c>
      <c r="F960" s="21">
        <v>0.26501590475966802</v>
      </c>
      <c r="G960" s="21">
        <v>1.2742706325844</v>
      </c>
      <c r="H960" s="20">
        <v>4.9534376999999997E-2</v>
      </c>
      <c r="I960" s="20">
        <v>4.9534376999999997E-2</v>
      </c>
      <c r="K960">
        <f t="shared" si="28"/>
        <v>2.6501590475966896E-3</v>
      </c>
      <c r="L960">
        <f t="shared" si="29"/>
        <v>3.1702001894158533E-4</v>
      </c>
    </row>
    <row r="961" spans="1:12" ht="15" customHeight="1" x14ac:dyDescent="0.3">
      <c r="A961" s="22">
        <v>44732</v>
      </c>
      <c r="B961" s="23">
        <v>4.9395400300324001E-2</v>
      </c>
      <c r="C961" s="23">
        <v>4.9411508928659698E-2</v>
      </c>
      <c r="D961" s="23">
        <v>4.9403450000000002E-2</v>
      </c>
      <c r="E961" s="24">
        <v>7.1914400000000402E-4</v>
      </c>
      <c r="F961" s="24">
        <v>1.4771577518225301</v>
      </c>
      <c r="G961" s="24">
        <v>1.0065871118829699</v>
      </c>
      <c r="H961" s="23">
        <v>4.9403450000000002E-2</v>
      </c>
      <c r="I961" s="23">
        <v>4.9403450000000002E-2</v>
      </c>
      <c r="K961">
        <f t="shared" si="28"/>
        <v>1.4771577518225332E-2</v>
      </c>
      <c r="L961">
        <f t="shared" si="29"/>
        <v>3.2606282224615409E-4</v>
      </c>
    </row>
    <row r="962" spans="1:12" ht="15" customHeight="1" x14ac:dyDescent="0.3">
      <c r="A962" s="19">
        <v>44729</v>
      </c>
      <c r="B962" s="20">
        <v>4.8678855852172E-2</v>
      </c>
      <c r="C962" s="20">
        <v>4.8689758596176899E-2</v>
      </c>
      <c r="D962" s="20">
        <v>4.8684305999999997E-2</v>
      </c>
      <c r="E962" s="21">
        <v>3.31911999999996E-4</v>
      </c>
      <c r="F962" s="21">
        <v>0.68644377773723297</v>
      </c>
      <c r="G962" s="21">
        <v>-0.46372075289141401</v>
      </c>
      <c r="H962" s="20">
        <v>4.8684305999999997E-2</v>
      </c>
      <c r="I962" s="20">
        <v>4.8684305999999997E-2</v>
      </c>
      <c r="K962">
        <f t="shared" si="28"/>
        <v>6.8644377773723342E-3</v>
      </c>
      <c r="L962">
        <f t="shared" si="29"/>
        <v>2.2394781605594811E-4</v>
      </c>
    </row>
    <row r="963" spans="1:12" ht="15" customHeight="1" x14ac:dyDescent="0.3">
      <c r="A963" s="22">
        <v>44728</v>
      </c>
      <c r="B963" s="23">
        <v>4.8348184283939201E-2</v>
      </c>
      <c r="C963" s="23">
        <v>4.8356600917808301E-2</v>
      </c>
      <c r="D963" s="23">
        <v>4.8352394E-2</v>
      </c>
      <c r="E963" s="24">
        <v>-1.8708999999998699E-5</v>
      </c>
      <c r="F963" s="24">
        <v>-3.8678051232365798E-2</v>
      </c>
      <c r="G963" s="24">
        <v>-1.1423231246180601</v>
      </c>
      <c r="H963" s="23">
        <v>4.8352394E-2</v>
      </c>
      <c r="I963" s="23">
        <v>4.8352394E-2</v>
      </c>
      <c r="K963">
        <f t="shared" si="28"/>
        <v>-3.8678051232365895E-4</v>
      </c>
      <c r="L963">
        <f t="shared" si="29"/>
        <v>1.7406860700837777E-4</v>
      </c>
    </row>
    <row r="964" spans="1:12" ht="15" customHeight="1" x14ac:dyDescent="0.3">
      <c r="A964" s="19">
        <v>44727</v>
      </c>
      <c r="B964" s="20">
        <v>4.8363850923265901E-2</v>
      </c>
      <c r="C964" s="20">
        <v>4.8378357458007601E-2</v>
      </c>
      <c r="D964" s="20">
        <v>4.8371102999999999E-2</v>
      </c>
      <c r="E964" s="21">
        <v>-1.25501E-4</v>
      </c>
      <c r="F964" s="21">
        <v>-0.25878306860414002</v>
      </c>
      <c r="G964" s="21">
        <v>-1.1040721069608701</v>
      </c>
      <c r="H964" s="20">
        <v>4.8371102999999999E-2</v>
      </c>
      <c r="I964" s="20">
        <v>4.8371102999999999E-2</v>
      </c>
      <c r="K964">
        <f t="shared" si="28"/>
        <v>-2.5878306860414035E-3</v>
      </c>
      <c r="L964">
        <f t="shared" si="29"/>
        <v>2.9990084662116908E-4</v>
      </c>
    </row>
    <row r="965" spans="1:12" ht="15" customHeight="1" x14ac:dyDescent="0.3">
      <c r="A965" s="22">
        <v>44726</v>
      </c>
      <c r="B965" s="23">
        <v>4.8490726148624097E-2</v>
      </c>
      <c r="C965" s="23">
        <v>4.8502485752394797E-2</v>
      </c>
      <c r="D965" s="23">
        <v>4.8496603999999999E-2</v>
      </c>
      <c r="E965" s="24">
        <v>-3.3986899999999899E-4</v>
      </c>
      <c r="F965" s="24">
        <v>-0.69593273044103998</v>
      </c>
      <c r="G965" s="24">
        <v>-0.84748217874475895</v>
      </c>
      <c r="H965" s="23">
        <v>4.8496603999999999E-2</v>
      </c>
      <c r="I965" s="23">
        <v>4.8496603999999999E-2</v>
      </c>
      <c r="K965">
        <f t="shared" ref="K965:K1028" si="30">D965/D966-1</f>
        <v>-6.9593273044104009E-3</v>
      </c>
      <c r="L965">
        <f t="shared" ref="L965:L1028" si="31">(C965-B965)/D965</f>
        <v>2.4248303594000476E-4</v>
      </c>
    </row>
    <row r="966" spans="1:12" ht="15" customHeight="1" x14ac:dyDescent="0.3">
      <c r="A966" s="19">
        <v>44725</v>
      </c>
      <c r="B966" s="20">
        <v>4.8832178452312899E-2</v>
      </c>
      <c r="C966" s="20">
        <v>4.8840764455645301E-2</v>
      </c>
      <c r="D966" s="20">
        <v>4.8836472999999998E-2</v>
      </c>
      <c r="E966" s="21">
        <v>-1.3914369999999999E-3</v>
      </c>
      <c r="F966" s="21">
        <v>-2.77024666166679</v>
      </c>
      <c r="G966" s="21">
        <v>-0.15261152183459301</v>
      </c>
      <c r="H966" s="20">
        <v>4.8836472999999998E-2</v>
      </c>
      <c r="I966" s="20">
        <v>4.8836472999999998E-2</v>
      </c>
      <c r="K966">
        <f t="shared" si="30"/>
        <v>-2.7702466616667976E-2</v>
      </c>
      <c r="L966">
        <f t="shared" si="31"/>
        <v>1.7581129031168417E-4</v>
      </c>
    </row>
    <row r="967" spans="1:12" ht="15" customHeight="1" x14ac:dyDescent="0.3">
      <c r="A967" s="22">
        <v>44722</v>
      </c>
      <c r="B967" s="23">
        <v>5.0223242312077199E-2</v>
      </c>
      <c r="C967" s="23">
        <v>5.0232576830726301E-2</v>
      </c>
      <c r="D967" s="23">
        <v>5.0227910000000001E-2</v>
      </c>
      <c r="E967" s="24">
        <v>-7.5088499999999899E-4</v>
      </c>
      <c r="F967" s="24">
        <v>-1.4729359530761701</v>
      </c>
      <c r="G967" s="24">
        <v>2.6922161683610701</v>
      </c>
      <c r="H967" s="23">
        <v>5.0227910000000001E-2</v>
      </c>
      <c r="I967" s="23">
        <v>5.0227910000000001E-2</v>
      </c>
      <c r="K967">
        <f t="shared" si="30"/>
        <v>-1.472935953076171E-2</v>
      </c>
      <c r="L967">
        <f t="shared" si="31"/>
        <v>1.85843262224181E-4</v>
      </c>
    </row>
    <row r="968" spans="1:12" ht="15" customHeight="1" x14ac:dyDescent="0.3">
      <c r="A968" s="19">
        <v>44721</v>
      </c>
      <c r="B968" s="20">
        <v>5.0973855509509197E-2</v>
      </c>
      <c r="C968" s="20">
        <v>5.0983731091408697E-2</v>
      </c>
      <c r="D968" s="20">
        <v>5.0978795E-2</v>
      </c>
      <c r="E968" s="21">
        <v>-1.8197999999996999E-5</v>
      </c>
      <c r="F968" s="21">
        <v>-3.56844569247338E-2</v>
      </c>
      <c r="G968" s="21">
        <v>4.2274193001971296</v>
      </c>
      <c r="H968" s="20">
        <v>5.0978795E-2</v>
      </c>
      <c r="I968" s="20">
        <v>5.0978795E-2</v>
      </c>
      <c r="K968">
        <f t="shared" si="30"/>
        <v>-3.5684456924733876E-4</v>
      </c>
      <c r="L968">
        <f t="shared" si="31"/>
        <v>1.9371940626490433E-4</v>
      </c>
    </row>
    <row r="969" spans="1:12" ht="15" customHeight="1" x14ac:dyDescent="0.3">
      <c r="A969" s="22">
        <v>44720</v>
      </c>
      <c r="B969" s="23">
        <v>5.0990750277899601E-2</v>
      </c>
      <c r="C969" s="23">
        <v>5.1003233605010599E-2</v>
      </c>
      <c r="D969" s="23">
        <v>5.0996992999999997E-2</v>
      </c>
      <c r="E969" s="24">
        <v>-6.5751000000002698E-5</v>
      </c>
      <c r="F969" s="24">
        <v>-0.12876511297552601</v>
      </c>
      <c r="G969" s="24">
        <v>4.2646255655948302</v>
      </c>
      <c r="H969" s="23">
        <v>5.0996992999999997E-2</v>
      </c>
      <c r="I969" s="23">
        <v>5.0996992999999997E-2</v>
      </c>
      <c r="K969">
        <f t="shared" si="30"/>
        <v>-1.2876511297552629E-3</v>
      </c>
      <c r="L969">
        <f t="shared" si="31"/>
        <v>2.4478555257167111E-4</v>
      </c>
    </row>
    <row r="970" spans="1:12" ht="15" customHeight="1" x14ac:dyDescent="0.3">
      <c r="A970" s="19">
        <v>44719</v>
      </c>
      <c r="B970" s="20">
        <v>5.1055834660784997E-2</v>
      </c>
      <c r="C970" s="20">
        <v>5.1069653900955497E-2</v>
      </c>
      <c r="D970" s="20">
        <v>5.1062744E-2</v>
      </c>
      <c r="E970" s="21">
        <v>-7.0496000000003196E-5</v>
      </c>
      <c r="F970" s="21">
        <v>-0.13786726598979901</v>
      </c>
      <c r="G970" s="21">
        <v>4.3990551268743303</v>
      </c>
      <c r="H970" s="20">
        <v>5.1062744E-2</v>
      </c>
      <c r="I970" s="20">
        <v>5.1062744E-2</v>
      </c>
      <c r="K970">
        <f t="shared" si="30"/>
        <v>-1.3786726598979948E-3</v>
      </c>
      <c r="L970">
        <f t="shared" si="31"/>
        <v>2.7063254122222245E-4</v>
      </c>
    </row>
    <row r="971" spans="1:12" ht="15" customHeight="1" x14ac:dyDescent="0.3">
      <c r="A971" s="22">
        <v>44718</v>
      </c>
      <c r="B971" s="23">
        <v>5.1128403873487903E-2</v>
      </c>
      <c r="C971" s="23">
        <v>5.11380779242031E-2</v>
      </c>
      <c r="D971" s="23">
        <v>5.1133240000000003E-2</v>
      </c>
      <c r="E971" s="24">
        <v>4.3756000000005901E-5</v>
      </c>
      <c r="F971" s="24">
        <v>8.5645805308986994E-2</v>
      </c>
      <c r="G971" s="24">
        <v>4.5431859591348198</v>
      </c>
      <c r="H971" s="23">
        <v>5.1133240000000003E-2</v>
      </c>
      <c r="I971" s="23">
        <v>5.1133240000000003E-2</v>
      </c>
      <c r="K971">
        <f t="shared" si="30"/>
        <v>8.5645805308987022E-4</v>
      </c>
      <c r="L971">
        <f t="shared" si="31"/>
        <v>1.8919299295716666E-4</v>
      </c>
    </row>
    <row r="972" spans="1:12" ht="15" customHeight="1" x14ac:dyDescent="0.3">
      <c r="A972" s="19">
        <v>44715</v>
      </c>
      <c r="B972" s="20">
        <v>5.1084785418358897E-2</v>
      </c>
      <c r="C972" s="20">
        <v>5.1094181905506401E-2</v>
      </c>
      <c r="D972" s="20">
        <v>5.1089483999999998E-2</v>
      </c>
      <c r="E972" s="21">
        <v>-6.0100000000000397E-5</v>
      </c>
      <c r="F972" s="21">
        <v>-0.11749851181585</v>
      </c>
      <c r="G972" s="21">
        <v>4.4537257245627799</v>
      </c>
      <c r="H972" s="20">
        <v>5.1089483999999998E-2</v>
      </c>
      <c r="I972" s="20">
        <v>5.1089483999999998E-2</v>
      </c>
      <c r="K972">
        <f t="shared" si="30"/>
        <v>-1.1749851181585003E-3</v>
      </c>
      <c r="L972">
        <f t="shared" si="31"/>
        <v>1.8392213840924063E-4</v>
      </c>
    </row>
    <row r="973" spans="1:12" ht="15" customHeight="1" x14ac:dyDescent="0.3">
      <c r="A973" s="22">
        <v>44714</v>
      </c>
      <c r="B973" s="23">
        <v>5.1142523985843701E-2</v>
      </c>
      <c r="C973" s="23">
        <v>5.1156651899446501E-2</v>
      </c>
      <c r="D973" s="23">
        <v>5.1149583999999998E-2</v>
      </c>
      <c r="E973" s="24">
        <v>4.9871899999999404E-4</v>
      </c>
      <c r="F973" s="24">
        <v>0.98462089443092005</v>
      </c>
      <c r="G973" s="24">
        <v>4.5766016752387797</v>
      </c>
      <c r="H973" s="23">
        <v>5.1149583999999998E-2</v>
      </c>
      <c r="I973" s="23">
        <v>5.1149583999999998E-2</v>
      </c>
      <c r="K973">
        <f t="shared" si="30"/>
        <v>9.8462089443092093E-3</v>
      </c>
      <c r="L973">
        <f t="shared" si="31"/>
        <v>2.7620779091380775E-4</v>
      </c>
    </row>
    <row r="974" spans="1:12" ht="15" customHeight="1" x14ac:dyDescent="0.3">
      <c r="A974" s="19">
        <v>44713</v>
      </c>
      <c r="B974" s="20">
        <v>5.06436811878982E-2</v>
      </c>
      <c r="C974" s="20">
        <v>5.0658048044092803E-2</v>
      </c>
      <c r="D974" s="20">
        <v>5.0650865000000003E-2</v>
      </c>
      <c r="E974" s="21">
        <v>-7.7084999999997504E-5</v>
      </c>
      <c r="F974" s="21">
        <v>-0.15195764859411401</v>
      </c>
      <c r="G974" s="21">
        <v>3.55695822689963</v>
      </c>
      <c r="H974" s="20">
        <v>5.0650865000000003E-2</v>
      </c>
      <c r="I974" s="20">
        <v>5.0650865000000003E-2</v>
      </c>
      <c r="K974">
        <f t="shared" si="30"/>
        <v>-1.5195764859411431E-3</v>
      </c>
      <c r="L974">
        <f t="shared" si="31"/>
        <v>2.8364483399450518E-4</v>
      </c>
    </row>
    <row r="975" spans="1:12" ht="15" customHeight="1" x14ac:dyDescent="0.3">
      <c r="A975" s="22">
        <v>44712</v>
      </c>
      <c r="B975" s="23">
        <v>5.0724086332394898E-2</v>
      </c>
      <c r="C975" s="23">
        <v>5.0731806305963502E-2</v>
      </c>
      <c r="D975" s="23">
        <v>5.0727950000000001E-2</v>
      </c>
      <c r="E975" s="24">
        <v>-5.8304399999999697E-4</v>
      </c>
      <c r="F975" s="24">
        <v>-1.13629449470419</v>
      </c>
      <c r="G975" s="24">
        <v>3.7145604341851399</v>
      </c>
      <c r="H975" s="23">
        <v>5.0727950000000001E-2</v>
      </c>
      <c r="I975" s="23">
        <v>5.0727950000000001E-2</v>
      </c>
      <c r="K975">
        <f t="shared" si="30"/>
        <v>-1.1362944947041931E-2</v>
      </c>
      <c r="L975">
        <f t="shared" si="31"/>
        <v>1.5218382703428756E-4</v>
      </c>
    </row>
    <row r="976" spans="1:12" ht="15" customHeight="1" x14ac:dyDescent="0.3">
      <c r="A976" s="19">
        <v>44711</v>
      </c>
      <c r="B976" s="20">
        <v>5.1305730850135997E-2</v>
      </c>
      <c r="C976" s="20">
        <v>5.1316262123466898E-2</v>
      </c>
      <c r="D976" s="20">
        <v>5.1310993999999999E-2</v>
      </c>
      <c r="E976" s="21">
        <v>2.5672100000000099E-4</v>
      </c>
      <c r="F976" s="21">
        <v>0.50283939994602</v>
      </c>
      <c r="G976" s="21">
        <v>4.9066084505900802</v>
      </c>
      <c r="H976" s="20">
        <v>5.1310993999999999E-2</v>
      </c>
      <c r="I976" s="20">
        <v>5.1310993999999999E-2</v>
      </c>
      <c r="K976">
        <f t="shared" si="30"/>
        <v>5.0283939994602012E-3</v>
      </c>
      <c r="L976">
        <f t="shared" si="31"/>
        <v>2.0524399373164949E-4</v>
      </c>
    </row>
    <row r="977" spans="1:12" ht="15" customHeight="1" x14ac:dyDescent="0.3">
      <c r="A977" s="22">
        <v>44708</v>
      </c>
      <c r="B977" s="23">
        <v>5.1048536948931002E-2</v>
      </c>
      <c r="C977" s="23">
        <v>5.1060005718720602E-2</v>
      </c>
      <c r="D977" s="23">
        <v>5.1054272999999997E-2</v>
      </c>
      <c r="E977" s="24">
        <v>5.1412299999999795E-4</v>
      </c>
      <c r="F977" s="24">
        <v>1.0172565771965301</v>
      </c>
      <c r="G977" s="24">
        <v>4.38173595585641</v>
      </c>
      <c r="H977" s="23">
        <v>5.1054272999999997E-2</v>
      </c>
      <c r="I977" s="23">
        <v>5.1054272999999997E-2</v>
      </c>
      <c r="K977">
        <f t="shared" si="30"/>
        <v>1.0172565771965347E-2</v>
      </c>
      <c r="L977">
        <f t="shared" si="31"/>
        <v>2.2463878370377948E-4</v>
      </c>
    </row>
    <row r="978" spans="1:12" ht="15" customHeight="1" x14ac:dyDescent="0.3">
      <c r="A978" s="19">
        <v>44707</v>
      </c>
      <c r="B978" s="20">
        <v>5.0534401293680697E-2</v>
      </c>
      <c r="C978" s="20">
        <v>5.05458956732713E-2</v>
      </c>
      <c r="D978" s="20">
        <v>5.0540149999999999E-2</v>
      </c>
      <c r="E978" s="21">
        <v>9.3700000000002101E-5</v>
      </c>
      <c r="F978" s="21">
        <v>0.18574151402130901</v>
      </c>
      <c r="G978" s="21">
        <v>3.33059864488476</v>
      </c>
      <c r="H978" s="20">
        <v>5.0540149999999999E-2</v>
      </c>
      <c r="I978" s="20">
        <v>5.0540149999999999E-2</v>
      </c>
      <c r="K978">
        <f t="shared" si="30"/>
        <v>1.8574151402130923E-3</v>
      </c>
      <c r="L978">
        <f t="shared" si="31"/>
        <v>2.2743065840926053E-4</v>
      </c>
    </row>
    <row r="979" spans="1:12" ht="15" customHeight="1" x14ac:dyDescent="0.3">
      <c r="A979" s="22">
        <v>44706</v>
      </c>
      <c r="B979" s="23">
        <v>5.0441870788103797E-2</v>
      </c>
      <c r="C979" s="23">
        <v>5.0451032228119398E-2</v>
      </c>
      <c r="D979" s="23">
        <v>5.0446449999999997E-2</v>
      </c>
      <c r="E979" s="24">
        <v>2.5068999999999699E-4</v>
      </c>
      <c r="F979" s="24">
        <v>0.49942465260013302</v>
      </c>
      <c r="G979" s="24">
        <v>3.1390266552285002</v>
      </c>
      <c r="H979" s="23">
        <v>5.0446449999999997E-2</v>
      </c>
      <c r="I979" s="23">
        <v>5.0446449999999997E-2</v>
      </c>
      <c r="K979">
        <f t="shared" si="30"/>
        <v>4.9942465260013336E-3</v>
      </c>
      <c r="L979">
        <f t="shared" si="31"/>
        <v>1.8160722936105377E-4</v>
      </c>
    </row>
    <row r="980" spans="1:12" ht="15" customHeight="1" x14ac:dyDescent="0.3">
      <c r="A980" s="19">
        <v>44705</v>
      </c>
      <c r="B980" s="20">
        <v>5.0190220937352599E-2</v>
      </c>
      <c r="C980" s="20">
        <v>5.0201307242040603E-2</v>
      </c>
      <c r="D980" s="20">
        <v>5.0195759999999999E-2</v>
      </c>
      <c r="E980" s="21">
        <v>-2.23984000000003E-4</v>
      </c>
      <c r="F980" s="21">
        <v>-0.44423866967671</v>
      </c>
      <c r="G980" s="21">
        <v>2.6264846905867998</v>
      </c>
      <c r="H980" s="20">
        <v>5.0195759999999999E-2</v>
      </c>
      <c r="I980" s="20">
        <v>5.0195759999999999E-2</v>
      </c>
      <c r="K980">
        <f t="shared" si="30"/>
        <v>-4.4423866967671088E-3</v>
      </c>
      <c r="L980">
        <f t="shared" si="31"/>
        <v>2.2086137729570034E-4</v>
      </c>
    </row>
    <row r="981" spans="1:12" ht="15" customHeight="1" x14ac:dyDescent="0.3">
      <c r="A981" s="22">
        <v>44704</v>
      </c>
      <c r="B981" s="23">
        <v>5.0415931434333199E-2</v>
      </c>
      <c r="C981" s="23">
        <v>5.0423557886244502E-2</v>
      </c>
      <c r="D981" s="23">
        <v>5.0419744000000002E-2</v>
      </c>
      <c r="E981" s="24">
        <v>1.2552000000000301E-4</v>
      </c>
      <c r="F981" s="24">
        <v>0.249571402075909</v>
      </c>
      <c r="G981" s="24">
        <v>3.0844255713890201</v>
      </c>
      <c r="H981" s="23">
        <v>5.0419744000000002E-2</v>
      </c>
      <c r="I981" s="23">
        <v>5.0419744000000002E-2</v>
      </c>
      <c r="K981">
        <f t="shared" si="30"/>
        <v>2.4957140207590989E-3</v>
      </c>
      <c r="L981">
        <f t="shared" si="31"/>
        <v>1.5125923509852962E-4</v>
      </c>
    </row>
    <row r="982" spans="1:12" ht="15" customHeight="1" x14ac:dyDescent="0.3">
      <c r="A982" s="19">
        <v>44701</v>
      </c>
      <c r="B982" s="20">
        <v>5.0289921396852899E-2</v>
      </c>
      <c r="C982" s="20">
        <v>5.0298521726446499E-2</v>
      </c>
      <c r="D982" s="20">
        <v>5.0294223999999998E-2</v>
      </c>
      <c r="E982" s="21">
        <v>1.4502899999999699E-4</v>
      </c>
      <c r="F982" s="21">
        <v>0.289195070828141</v>
      </c>
      <c r="G982" s="21">
        <v>2.8277967971984799</v>
      </c>
      <c r="H982" s="20">
        <v>5.0294223999999998E-2</v>
      </c>
      <c r="I982" s="20">
        <v>5.0294223999999998E-2</v>
      </c>
      <c r="K982">
        <f t="shared" si="30"/>
        <v>2.89195070828141E-3</v>
      </c>
      <c r="L982">
        <f t="shared" si="31"/>
        <v>1.7100034376909583E-4</v>
      </c>
    </row>
    <row r="983" spans="1:12" ht="15" customHeight="1" x14ac:dyDescent="0.3">
      <c r="A983" s="22">
        <v>44700</v>
      </c>
      <c r="B983" s="23">
        <v>5.01434101530377E-2</v>
      </c>
      <c r="C983" s="23">
        <v>5.0154978884753898E-2</v>
      </c>
      <c r="D983" s="23">
        <v>5.0149195000000001E-2</v>
      </c>
      <c r="E983" s="24">
        <v>1.17924999999997E-4</v>
      </c>
      <c r="F983" s="24">
        <v>0.235702591599218</v>
      </c>
      <c r="G983" s="24">
        <v>2.53128138537503</v>
      </c>
      <c r="H983" s="23">
        <v>5.0149195000000001E-2</v>
      </c>
      <c r="I983" s="23">
        <v>5.0149195000000001E-2</v>
      </c>
      <c r="K983">
        <f t="shared" si="30"/>
        <v>2.3570259159921836E-3</v>
      </c>
      <c r="L983">
        <f t="shared" si="31"/>
        <v>2.3068628950470777E-4</v>
      </c>
    </row>
    <row r="984" spans="1:12" ht="15" customHeight="1" x14ac:dyDescent="0.3">
      <c r="A984" s="19">
        <v>44699</v>
      </c>
      <c r="B984" s="20">
        <v>5.0025262757692597E-2</v>
      </c>
      <c r="C984" s="20">
        <v>5.00372777719401E-2</v>
      </c>
      <c r="D984" s="20">
        <v>5.0031270000000003E-2</v>
      </c>
      <c r="E984" s="21">
        <v>-3.7560000000005901E-6</v>
      </c>
      <c r="F984" s="21">
        <v>-7.5067413775276003E-3</v>
      </c>
      <c r="G984" s="21">
        <v>2.29018077832899</v>
      </c>
      <c r="H984" s="20">
        <v>5.0031270000000003E-2</v>
      </c>
      <c r="I984" s="20">
        <v>5.0031270000000003E-2</v>
      </c>
      <c r="K984">
        <f t="shared" si="30"/>
        <v>-7.5067413775276037E-5</v>
      </c>
      <c r="L984">
        <f t="shared" si="31"/>
        <v>2.4015009508059898E-4</v>
      </c>
    </row>
    <row r="985" spans="1:12" ht="15" customHeight="1" x14ac:dyDescent="0.3">
      <c r="A985" s="22">
        <v>44698</v>
      </c>
      <c r="B985" s="23">
        <v>5.0030018010806497E-2</v>
      </c>
      <c r="C985" s="23">
        <v>5.0040032025620497E-2</v>
      </c>
      <c r="D985" s="23">
        <v>5.0035026000000003E-2</v>
      </c>
      <c r="E985" s="24">
        <v>2.6397000000000199E-4</v>
      </c>
      <c r="F985" s="24">
        <v>0.53036849368839301</v>
      </c>
      <c r="G985" s="24">
        <v>2.2978600141149998</v>
      </c>
      <c r="H985" s="23">
        <v>5.0035026000000003E-2</v>
      </c>
      <c r="I985" s="23">
        <v>5.0035026000000003E-2</v>
      </c>
      <c r="K985">
        <f t="shared" si="30"/>
        <v>5.3036849368839345E-3</v>
      </c>
      <c r="L985">
        <f t="shared" si="31"/>
        <v>2.0014009414124983E-4</v>
      </c>
    </row>
    <row r="986" spans="1:12" ht="15" customHeight="1" x14ac:dyDescent="0.3">
      <c r="A986" s="19">
        <v>44697</v>
      </c>
      <c r="B986" s="20">
        <v>4.9763870434786903E-2</v>
      </c>
      <c r="C986" s="20">
        <v>4.97782379499331E-2</v>
      </c>
      <c r="D986" s="20">
        <v>4.9771056000000001E-2</v>
      </c>
      <c r="E986" s="21">
        <v>2.28089E-4</v>
      </c>
      <c r="F986" s="21">
        <v>0.46038623403399298</v>
      </c>
      <c r="G986" s="21">
        <v>1.75816675787634</v>
      </c>
      <c r="H986" s="20">
        <v>4.9771056000000001E-2</v>
      </c>
      <c r="I986" s="20">
        <v>4.9771056000000001E-2</v>
      </c>
      <c r="K986">
        <f t="shared" si="30"/>
        <v>4.603862340339937E-3</v>
      </c>
      <c r="L986">
        <f t="shared" si="31"/>
        <v>2.8867209781921791E-4</v>
      </c>
    </row>
    <row r="987" spans="1:12" ht="15" customHeight="1" x14ac:dyDescent="0.3">
      <c r="A987" s="22">
        <v>44694</v>
      </c>
      <c r="B987" s="23">
        <v>4.9537566813793198E-2</v>
      </c>
      <c r="C987" s="23">
        <v>4.9548366638093803E-2</v>
      </c>
      <c r="D987" s="23">
        <v>4.9542967E-2</v>
      </c>
      <c r="E987" s="24">
        <v>2.6367699999999602E-4</v>
      </c>
      <c r="F987" s="24">
        <v>0.53506655635662204</v>
      </c>
      <c r="G987" s="24">
        <v>1.2918331020737099</v>
      </c>
      <c r="H987" s="23">
        <v>4.9542967E-2</v>
      </c>
      <c r="I987" s="23">
        <v>4.9542967E-2</v>
      </c>
      <c r="K987">
        <f t="shared" si="30"/>
        <v>5.3506655635662259E-3</v>
      </c>
      <c r="L987">
        <f t="shared" si="31"/>
        <v>2.1798904980006094E-4</v>
      </c>
    </row>
    <row r="988" spans="1:12" ht="15" customHeight="1" x14ac:dyDescent="0.3">
      <c r="A988" s="19">
        <v>44693</v>
      </c>
      <c r="B988" s="20">
        <v>4.9274191164151999E-2</v>
      </c>
      <c r="C988" s="20">
        <v>4.9284390647794003E-2</v>
      </c>
      <c r="D988" s="20">
        <v>4.9279290000000003E-2</v>
      </c>
      <c r="E988" s="21">
        <v>-1.5792999999999999E-5</v>
      </c>
      <c r="F988" s="21">
        <v>-3.2037678078356002E-2</v>
      </c>
      <c r="G988" s="21">
        <v>0.75273889165116803</v>
      </c>
      <c r="H988" s="20">
        <v>4.9279290000000003E-2</v>
      </c>
      <c r="I988" s="20">
        <v>4.9279290000000003E-2</v>
      </c>
      <c r="K988">
        <f t="shared" si="30"/>
        <v>-3.2037678078356002E-4</v>
      </c>
      <c r="L988">
        <f t="shared" si="31"/>
        <v>2.0697302339388104E-4</v>
      </c>
    </row>
    <row r="989" spans="1:12" ht="15" customHeight="1" x14ac:dyDescent="0.3">
      <c r="A989" s="22">
        <v>44692</v>
      </c>
      <c r="B989" s="23">
        <v>4.9289249029001801E-2</v>
      </c>
      <c r="C989" s="23">
        <v>4.9300913052909699E-2</v>
      </c>
      <c r="D989" s="23">
        <v>4.9295083000000003E-2</v>
      </c>
      <c r="E989" s="24">
        <v>2.6946500000000302E-4</v>
      </c>
      <c r="F989" s="24">
        <v>0.54964121003024902</v>
      </c>
      <c r="G989" s="24">
        <v>0.78502807449685996</v>
      </c>
      <c r="H989" s="23">
        <v>4.9295083000000003E-2</v>
      </c>
      <c r="I989" s="23">
        <v>4.9295083000000003E-2</v>
      </c>
      <c r="K989">
        <f t="shared" si="30"/>
        <v>5.4964121003024946E-3</v>
      </c>
      <c r="L989">
        <f t="shared" si="31"/>
        <v>2.3661637628032804E-4</v>
      </c>
    </row>
    <row r="990" spans="1:12" ht="15" customHeight="1" x14ac:dyDescent="0.3">
      <c r="A990" s="19">
        <v>44691</v>
      </c>
      <c r="B990" s="20">
        <v>4.9018886977152301E-2</v>
      </c>
      <c r="C990" s="20">
        <v>4.9032346639077802E-2</v>
      </c>
      <c r="D990" s="20">
        <v>4.9025618E-2</v>
      </c>
      <c r="E990" s="21">
        <v>-1.71242000000002E-4</v>
      </c>
      <c r="F990" s="21">
        <v>-0.34807506007498101</v>
      </c>
      <c r="G990" s="21">
        <v>0.234100153549964</v>
      </c>
      <c r="H990" s="20">
        <v>4.9025618E-2</v>
      </c>
      <c r="I990" s="20">
        <v>4.9025618E-2</v>
      </c>
      <c r="K990">
        <f t="shared" si="30"/>
        <v>-3.4807506007498157E-3</v>
      </c>
      <c r="L990">
        <f t="shared" si="31"/>
        <v>2.7454344227748257E-4</v>
      </c>
    </row>
    <row r="991" spans="1:12" ht="15" customHeight="1" x14ac:dyDescent="0.3">
      <c r="A991" s="22">
        <v>44690</v>
      </c>
      <c r="B991" s="23">
        <v>4.9190569184076001E-2</v>
      </c>
      <c r="C991" s="23">
        <v>4.9203154906292602E-2</v>
      </c>
      <c r="D991" s="23">
        <v>4.9196860000000002E-2</v>
      </c>
      <c r="E991" s="24">
        <v>-5.5314799999999604E-4</v>
      </c>
      <c r="F991" s="24">
        <v>-1.1118550975911301</v>
      </c>
      <c r="G991" s="24">
        <v>0.58420869840287004</v>
      </c>
      <c r="H991" s="23">
        <v>4.9196860000000002E-2</v>
      </c>
      <c r="I991" s="23">
        <v>4.9196860000000002E-2</v>
      </c>
      <c r="K991">
        <f t="shared" si="30"/>
        <v>-1.1118550975911301E-2</v>
      </c>
      <c r="L991">
        <f t="shared" si="31"/>
        <v>2.5582368908506518E-4</v>
      </c>
    </row>
    <row r="992" spans="1:12" ht="15" customHeight="1" x14ac:dyDescent="0.3">
      <c r="A992" s="19">
        <v>44687</v>
      </c>
      <c r="B992" s="20">
        <v>4.9744066776435197E-2</v>
      </c>
      <c r="C992" s="20">
        <v>4.9755947079574703E-2</v>
      </c>
      <c r="D992" s="20">
        <v>4.9750007999999998E-2</v>
      </c>
      <c r="E992" s="21">
        <v>2.4995599999999498E-4</v>
      </c>
      <c r="F992" s="21">
        <v>0.50496108569744103</v>
      </c>
      <c r="G992" s="21">
        <v>1.71513359631513</v>
      </c>
      <c r="H992" s="20">
        <v>4.9750007999999998E-2</v>
      </c>
      <c r="I992" s="20">
        <v>4.9750007999999998E-2</v>
      </c>
      <c r="K992">
        <f t="shared" si="30"/>
        <v>5.049610856974418E-3</v>
      </c>
      <c r="L992">
        <f t="shared" si="31"/>
        <v>2.3880002470563197E-4</v>
      </c>
    </row>
    <row r="993" spans="1:12" ht="15" customHeight="1" x14ac:dyDescent="0.3">
      <c r="A993" s="22">
        <v>44686</v>
      </c>
      <c r="B993" s="23">
        <v>4.9494904499581799E-2</v>
      </c>
      <c r="C993" s="23">
        <v>4.95051955702751E-2</v>
      </c>
      <c r="D993" s="23">
        <v>4.9500052000000003E-2</v>
      </c>
      <c r="E993" s="24">
        <v>9.0499000000000802E-5</v>
      </c>
      <c r="F993" s="24">
        <v>0.18316093650958501</v>
      </c>
      <c r="G993" s="24">
        <v>1.20409231300116</v>
      </c>
      <c r="H993" s="23">
        <v>4.9500052000000003E-2</v>
      </c>
      <c r="I993" s="23">
        <v>4.9500052000000003E-2</v>
      </c>
      <c r="K993">
        <f t="shared" si="30"/>
        <v>1.8316093650958543E-3</v>
      </c>
      <c r="L993">
        <f t="shared" si="31"/>
        <v>2.0790019964627481E-4</v>
      </c>
    </row>
    <row r="994" spans="1:12" ht="15" customHeight="1" x14ac:dyDescent="0.3">
      <c r="A994" s="19">
        <v>44685</v>
      </c>
      <c r="B994" s="20">
        <v>4.9404185522597503E-2</v>
      </c>
      <c r="C994" s="20">
        <v>4.94149272612271E-2</v>
      </c>
      <c r="D994" s="20">
        <v>4.9409553000000002E-2</v>
      </c>
      <c r="E994" s="21">
        <v>2.4534300000000198E-4</v>
      </c>
      <c r="F994" s="21">
        <v>0.49902764633054097</v>
      </c>
      <c r="G994" s="21">
        <v>1.01906484777275</v>
      </c>
      <c r="H994" s="20">
        <v>4.9409553000000002E-2</v>
      </c>
      <c r="I994" s="20">
        <v>4.9409553000000002E-2</v>
      </c>
      <c r="K994">
        <f t="shared" si="30"/>
        <v>4.9902764633054097E-3</v>
      </c>
      <c r="L994">
        <f t="shared" si="31"/>
        <v>2.1740206048001683E-4</v>
      </c>
    </row>
    <row r="995" spans="1:12" ht="15" customHeight="1" x14ac:dyDescent="0.3">
      <c r="A995" s="22">
        <v>44684</v>
      </c>
      <c r="B995" s="23">
        <v>4.9159374692753902E-2</v>
      </c>
      <c r="C995" s="23">
        <v>4.9169043170419903E-2</v>
      </c>
      <c r="D995" s="23">
        <v>4.916421E-2</v>
      </c>
      <c r="E995" s="24">
        <v>1.7582000000000001E-4</v>
      </c>
      <c r="F995" s="24">
        <v>0.35890136418037499</v>
      </c>
      <c r="G995" s="24">
        <v>0.51745495814377496</v>
      </c>
      <c r="H995" s="23">
        <v>4.916421E-2</v>
      </c>
      <c r="I995" s="23">
        <v>4.916421E-2</v>
      </c>
      <c r="K995">
        <f t="shared" si="30"/>
        <v>3.589013641803751E-3</v>
      </c>
      <c r="L995">
        <f t="shared" si="31"/>
        <v>1.9665682955144348E-4</v>
      </c>
    </row>
    <row r="996" spans="1:12" ht="15" customHeight="1" x14ac:dyDescent="0.3">
      <c r="A996" s="19">
        <v>44683</v>
      </c>
      <c r="B996" s="20">
        <v>4.8981431139455002E-2</v>
      </c>
      <c r="C996" s="20">
        <v>4.8995350341252603E-2</v>
      </c>
      <c r="D996" s="20">
        <v>4.898839E-2</v>
      </c>
      <c r="E996" s="21">
        <v>-1.0799999999998301E-5</v>
      </c>
      <c r="F996" s="21">
        <v>-2.2041180680743001E-2</v>
      </c>
      <c r="G996" s="21">
        <v>0.157986577979813</v>
      </c>
      <c r="H996" s="20">
        <v>4.898839E-2</v>
      </c>
      <c r="I996" s="20">
        <v>4.898839E-2</v>
      </c>
      <c r="K996">
        <f t="shared" si="30"/>
        <v>-2.2041180680743011E-4</v>
      </c>
      <c r="L996">
        <f t="shared" si="31"/>
        <v>2.8413266485386823E-4</v>
      </c>
    </row>
    <row r="997" spans="1:12" ht="15" customHeight="1" x14ac:dyDescent="0.3">
      <c r="A997" s="22">
        <v>44680</v>
      </c>
      <c r="B997" s="23">
        <v>4.8994150098478198E-2</v>
      </c>
      <c r="C997" s="23">
        <v>4.9004233965814603E-2</v>
      </c>
      <c r="D997" s="23">
        <v>4.8999189999999998E-2</v>
      </c>
      <c r="E997" s="24">
        <v>4.2838199999999799E-4</v>
      </c>
      <c r="F997" s="24">
        <v>0.88197420969402496</v>
      </c>
      <c r="G997" s="24">
        <v>0.180067447652035</v>
      </c>
      <c r="H997" s="23">
        <v>4.8999189999999998E-2</v>
      </c>
      <c r="I997" s="23">
        <v>4.8999189999999998E-2</v>
      </c>
      <c r="K997">
        <f t="shared" si="30"/>
        <v>8.8197420969402529E-3</v>
      </c>
      <c r="L997">
        <f t="shared" si="31"/>
        <v>2.0579661289105177E-4</v>
      </c>
    </row>
    <row r="998" spans="1:12" ht="15" customHeight="1" x14ac:dyDescent="0.3">
      <c r="A998" s="19">
        <v>44679</v>
      </c>
      <c r="B998" s="20">
        <v>4.85632560691929E-2</v>
      </c>
      <c r="C998" s="20">
        <v>4.8578354456821099E-2</v>
      </c>
      <c r="D998" s="20">
        <v>4.8570808E-2</v>
      </c>
      <c r="E998" s="21">
        <v>-2.7759000000000101E-4</v>
      </c>
      <c r="F998" s="21">
        <v>-0.56826838006028801</v>
      </c>
      <c r="G998" s="21">
        <v>-0.69577024789680597</v>
      </c>
      <c r="H998" s="20">
        <v>4.8570808E-2</v>
      </c>
      <c r="I998" s="20">
        <v>4.8570808E-2</v>
      </c>
      <c r="K998">
        <f t="shared" si="30"/>
        <v>-5.6826838006028835E-3</v>
      </c>
      <c r="L998">
        <f t="shared" si="31"/>
        <v>3.1085312865700078E-4</v>
      </c>
    </row>
    <row r="999" spans="1:12" ht="15" customHeight="1" x14ac:dyDescent="0.3">
      <c r="A999" s="22">
        <v>44678</v>
      </c>
      <c r="B999" s="23">
        <v>4.8841718642395601E-2</v>
      </c>
      <c r="C999" s="23">
        <v>4.8855081172717398E-2</v>
      </c>
      <c r="D999" s="23">
        <v>4.8848398000000001E-2</v>
      </c>
      <c r="E999" s="24">
        <v>-2.42196E-4</v>
      </c>
      <c r="F999" s="24">
        <v>-0.49336538889710402</v>
      </c>
      <c r="G999" s="24">
        <v>-0.128230561571504</v>
      </c>
      <c r="H999" s="23">
        <v>4.8848398000000001E-2</v>
      </c>
      <c r="I999" s="23">
        <v>4.8848398000000001E-2</v>
      </c>
      <c r="K999">
        <f t="shared" si="30"/>
        <v>-4.9336538889710457E-3</v>
      </c>
      <c r="L999">
        <f t="shared" si="31"/>
        <v>2.7355104504750178E-4</v>
      </c>
    </row>
    <row r="1000" spans="1:12" ht="15" customHeight="1" x14ac:dyDescent="0.3">
      <c r="A1000" s="19">
        <v>44677</v>
      </c>
      <c r="B1000" s="20">
        <v>4.9085536455827902E-2</v>
      </c>
      <c r="C1000" s="20">
        <v>4.90956579800082E-2</v>
      </c>
      <c r="D1000" s="20">
        <v>4.9090594000000001E-2</v>
      </c>
      <c r="E1000" s="21">
        <v>-8.9332999999996998E-5</v>
      </c>
      <c r="F1000" s="21">
        <v>-0.18164524725706699</v>
      </c>
      <c r="G1000" s="21">
        <v>0.36694520797798202</v>
      </c>
      <c r="H1000" s="20">
        <v>4.9090594000000001E-2</v>
      </c>
      <c r="I1000" s="20">
        <v>4.9090594000000001E-2</v>
      </c>
      <c r="K1000">
        <f t="shared" si="30"/>
        <v>-1.8164524725706732E-3</v>
      </c>
      <c r="L1000">
        <f t="shared" si="31"/>
        <v>2.0618051963881744E-4</v>
      </c>
    </row>
    <row r="1001" spans="1:12" ht="15" customHeight="1" x14ac:dyDescent="0.3">
      <c r="A1001" s="22">
        <v>44676</v>
      </c>
      <c r="B1001" s="23">
        <v>4.9175329720585803E-2</v>
      </c>
      <c r="C1001" s="23">
        <v>4.9184520647661802E-2</v>
      </c>
      <c r="D1001" s="23">
        <v>4.9179926999999998E-2</v>
      </c>
      <c r="E1001" s="24">
        <v>-1.4516999999998601E-5</v>
      </c>
      <c r="F1001" s="24">
        <v>-2.9509429967333699E-2</v>
      </c>
      <c r="G1001" s="24">
        <v>0.54958875709176902</v>
      </c>
      <c r="H1001" s="23">
        <v>4.9179926999999998E-2</v>
      </c>
      <c r="I1001" s="23">
        <v>4.9179926999999998E-2</v>
      </c>
      <c r="K1001">
        <f t="shared" si="30"/>
        <v>-2.9509429967333745E-4</v>
      </c>
      <c r="L1001">
        <f t="shared" si="31"/>
        <v>1.868837071677333E-4</v>
      </c>
    </row>
    <row r="1002" spans="1:12" ht="15" customHeight="1" x14ac:dyDescent="0.3">
      <c r="A1002" s="19">
        <v>44673</v>
      </c>
      <c r="B1002" s="20">
        <v>4.9187423759493198E-2</v>
      </c>
      <c r="C1002" s="20">
        <v>4.92014602993417E-2</v>
      </c>
      <c r="D1002" s="20">
        <v>4.9194443999999997E-2</v>
      </c>
      <c r="E1002" s="21">
        <v>-3.6202400000000202E-4</v>
      </c>
      <c r="F1002" s="21">
        <v>-0.73052825314346903</v>
      </c>
      <c r="G1002" s="21">
        <v>0.57926912607618397</v>
      </c>
      <c r="H1002" s="20">
        <v>4.9194443999999997E-2</v>
      </c>
      <c r="I1002" s="20">
        <v>4.9194443999999997E-2</v>
      </c>
      <c r="K1002">
        <f t="shared" si="30"/>
        <v>-7.3052825314346981E-3</v>
      </c>
      <c r="L1002">
        <f t="shared" si="31"/>
        <v>2.8532774653375955E-4</v>
      </c>
    </row>
    <row r="1003" spans="1:12" ht="15" customHeight="1" x14ac:dyDescent="0.3">
      <c r="A1003" s="22">
        <v>44672</v>
      </c>
      <c r="B1003" s="23">
        <v>4.9549594188823598E-2</v>
      </c>
      <c r="C1003" s="23">
        <v>4.9563346913690402E-2</v>
      </c>
      <c r="D1003" s="23">
        <v>4.9556467999999999E-2</v>
      </c>
      <c r="E1003" s="24">
        <v>-4.37282000000004E-4</v>
      </c>
      <c r="F1003" s="24">
        <v>-0.87467333416677495</v>
      </c>
      <c r="G1003" s="24">
        <v>1.31943623368896</v>
      </c>
      <c r="H1003" s="23">
        <v>4.9556467999999999E-2</v>
      </c>
      <c r="I1003" s="23">
        <v>4.9556467999999999E-2</v>
      </c>
      <c r="K1003">
        <f t="shared" si="30"/>
        <v>-8.7467333416677562E-3</v>
      </c>
      <c r="L1003">
        <f t="shared" si="31"/>
        <v>2.7751624403103724E-4</v>
      </c>
    </row>
    <row r="1004" spans="1:12" ht="15" customHeight="1" x14ac:dyDescent="0.3">
      <c r="A1004" s="19">
        <v>44671</v>
      </c>
      <c r="B1004" s="20">
        <v>4.9988752530680601E-2</v>
      </c>
      <c r="C1004" s="20">
        <v>4.9998750031249199E-2</v>
      </c>
      <c r="D1004" s="20">
        <v>4.9993750000000003E-2</v>
      </c>
      <c r="E1004" s="21">
        <v>9.9775000000003306E-5</v>
      </c>
      <c r="F1004" s="21">
        <v>0.199974044962347</v>
      </c>
      <c r="G1004" s="21">
        <v>2.2134702014676999</v>
      </c>
      <c r="H1004" s="20">
        <v>4.9993750000000003E-2</v>
      </c>
      <c r="I1004" s="20">
        <v>4.9993750000000003E-2</v>
      </c>
      <c r="K1004">
        <f t="shared" si="30"/>
        <v>1.9997404496234772E-3</v>
      </c>
      <c r="L1004">
        <f t="shared" si="31"/>
        <v>1.9997500824799422E-4</v>
      </c>
    </row>
    <row r="1005" spans="1:12" ht="15" customHeight="1" x14ac:dyDescent="0.3">
      <c r="A1005" s="22">
        <v>44670</v>
      </c>
      <c r="B1005" s="23">
        <v>4.9887005931564997E-2</v>
      </c>
      <c r="C1005" s="23">
        <v>4.9900946620957398E-2</v>
      </c>
      <c r="D1005" s="23">
        <v>4.9893975E-2</v>
      </c>
      <c r="E1005" s="24">
        <v>-2.69054999999997E-4</v>
      </c>
      <c r="F1005" s="24">
        <v>-0.53636114086409403</v>
      </c>
      <c r="G1005" s="24">
        <v>2.0094777226208098</v>
      </c>
      <c r="H1005" s="23">
        <v>4.9893975E-2</v>
      </c>
      <c r="I1005" s="23">
        <v>4.9893975E-2</v>
      </c>
      <c r="K1005">
        <f t="shared" si="30"/>
        <v>-5.3636114086409448E-3</v>
      </c>
      <c r="L1005">
        <f t="shared" si="31"/>
        <v>2.7940626884110324E-4</v>
      </c>
    </row>
    <row r="1006" spans="1:12" ht="15" customHeight="1" x14ac:dyDescent="0.3">
      <c r="A1006" s="19">
        <v>44669</v>
      </c>
      <c r="B1006" s="20">
        <v>5.0155481994182002E-2</v>
      </c>
      <c r="C1006" s="20">
        <v>5.0170579971904501E-2</v>
      </c>
      <c r="D1006" s="20">
        <v>5.0163029999999997E-2</v>
      </c>
      <c r="E1006" s="21">
        <v>8.9145999999998201E-5</v>
      </c>
      <c r="F1006" s="21">
        <v>0.17802893021039401</v>
      </c>
      <c r="G1006" s="21">
        <v>2.55956738833014</v>
      </c>
      <c r="H1006" s="20">
        <v>5.0163029999999997E-2</v>
      </c>
      <c r="I1006" s="20">
        <v>5.0163029999999997E-2</v>
      </c>
      <c r="K1006">
        <f t="shared" si="30"/>
        <v>1.7802893021039434E-3</v>
      </c>
      <c r="L1006">
        <f t="shared" si="31"/>
        <v>3.0097818498003062E-4</v>
      </c>
    </row>
    <row r="1007" spans="1:12" ht="15" customHeight="1" x14ac:dyDescent="0.3">
      <c r="A1007" s="22">
        <v>44666</v>
      </c>
      <c r="B1007" s="23">
        <v>5.0065836575096299E-2</v>
      </c>
      <c r="C1007" s="23">
        <v>5.0081883880144E-2</v>
      </c>
      <c r="D1007" s="23">
        <v>5.0073883999999999E-2</v>
      </c>
      <c r="E1007" s="24">
        <v>2.4000000001245201E-8</v>
      </c>
      <c r="F1007" s="24">
        <v>4.79291989874397E-5</v>
      </c>
      <c r="G1007" s="24">
        <v>2.37730616538567</v>
      </c>
      <c r="H1007" s="23">
        <v>5.0073883999999999E-2</v>
      </c>
      <c r="I1007" s="23">
        <v>5.0073883999999999E-2</v>
      </c>
      <c r="K1007">
        <f t="shared" si="30"/>
        <v>4.7929198987439747E-7</v>
      </c>
      <c r="L1007">
        <f t="shared" si="31"/>
        <v>3.2047254508359244E-4</v>
      </c>
    </row>
    <row r="1008" spans="1:12" ht="15" customHeight="1" x14ac:dyDescent="0.3">
      <c r="A1008" s="19">
        <v>44665</v>
      </c>
      <c r="B1008" s="20">
        <v>5.0065836575096299E-2</v>
      </c>
      <c r="C1008" s="20">
        <v>5.0081883880144E-2</v>
      </c>
      <c r="D1008" s="20">
        <v>5.0073859999999998E-2</v>
      </c>
      <c r="E1008" s="21">
        <v>-3.96142000000002E-4</v>
      </c>
      <c r="F1008" s="21">
        <v>-0.78490585358011999</v>
      </c>
      <c r="G1008" s="21">
        <v>2.3772570967864</v>
      </c>
      <c r="H1008" s="20">
        <v>5.0073859999999998E-2</v>
      </c>
      <c r="I1008" s="20">
        <v>5.0073859999999998E-2</v>
      </c>
      <c r="K1008">
        <f t="shared" si="30"/>
        <v>-7.8490585358012011E-3</v>
      </c>
      <c r="L1008">
        <f t="shared" si="31"/>
        <v>3.2047269868351629E-4</v>
      </c>
    </row>
    <row r="1009" spans="1:12" ht="15" customHeight="1" x14ac:dyDescent="0.3">
      <c r="A1009" s="22">
        <v>44664</v>
      </c>
      <c r="B1009" s="23">
        <v>5.0464780629598603E-2</v>
      </c>
      <c r="C1009" s="23">
        <v>5.0475224236183697E-2</v>
      </c>
      <c r="D1009" s="23">
        <v>5.0470002E-2</v>
      </c>
      <c r="E1009" s="24">
        <v>7.5668000000000903E-5</v>
      </c>
      <c r="F1009" s="24">
        <v>0.15015180079569401</v>
      </c>
      <c r="G1009" s="24">
        <v>3.1871793073137198</v>
      </c>
      <c r="H1009" s="23">
        <v>5.0470002E-2</v>
      </c>
      <c r="I1009" s="23">
        <v>5.0470002E-2</v>
      </c>
      <c r="K1009">
        <f t="shared" si="30"/>
        <v>1.5015180079569479E-3</v>
      </c>
      <c r="L1009">
        <f t="shared" si="31"/>
        <v>2.0692700953515959E-4</v>
      </c>
    </row>
    <row r="1010" spans="1:12" ht="15" customHeight="1" x14ac:dyDescent="0.3">
      <c r="A1010" s="19">
        <v>44663</v>
      </c>
      <c r="B1010" s="20">
        <v>5.0388749200078603E-2</v>
      </c>
      <c r="C1010" s="20">
        <v>5.0399923392116401E-2</v>
      </c>
      <c r="D1010" s="20">
        <v>5.0394333999999999E-2</v>
      </c>
      <c r="E1010" s="21">
        <v>4.6485999999999701E-4</v>
      </c>
      <c r="F1010" s="21">
        <v>0.93103324100709495</v>
      </c>
      <c r="G1010" s="21">
        <v>3.0324741919101901</v>
      </c>
      <c r="H1010" s="20">
        <v>5.0394333999999999E-2</v>
      </c>
      <c r="I1010" s="20">
        <v>5.0394333999999999E-2</v>
      </c>
      <c r="K1010">
        <f t="shared" si="30"/>
        <v>9.3103324100709539E-3</v>
      </c>
      <c r="L1010">
        <f t="shared" si="31"/>
        <v>2.2173508707939407E-4</v>
      </c>
    </row>
    <row r="1011" spans="1:12" ht="15" customHeight="1" x14ac:dyDescent="0.3">
      <c r="A1011" s="22">
        <v>44662</v>
      </c>
      <c r="B1011" s="23">
        <v>4.9925112331502701E-2</v>
      </c>
      <c r="C1011" s="23">
        <v>4.9933837665093801E-2</v>
      </c>
      <c r="D1011" s="23">
        <v>4.9929474000000001E-2</v>
      </c>
      <c r="E1011" s="24">
        <v>1.9678900000000201E-4</v>
      </c>
      <c r="F1011" s="24">
        <v>0.39569349613841598</v>
      </c>
      <c r="G1011" s="24">
        <v>2.0820563145184399</v>
      </c>
      <c r="H1011" s="23">
        <v>4.9929474000000001E-2</v>
      </c>
      <c r="I1011" s="23">
        <v>4.9929474000000001E-2</v>
      </c>
      <c r="K1011">
        <f t="shared" si="30"/>
        <v>3.956934961384162E-3</v>
      </c>
      <c r="L1011">
        <f t="shared" si="31"/>
        <v>1.7475316465581596E-4</v>
      </c>
    </row>
    <row r="1012" spans="1:12" ht="15" customHeight="1" x14ac:dyDescent="0.3">
      <c r="A1012" s="19">
        <v>44659</v>
      </c>
      <c r="B1012" s="20">
        <v>4.9725020635883597E-2</v>
      </c>
      <c r="C1012" s="20">
        <v>4.9740355345098602E-2</v>
      </c>
      <c r="D1012" s="20">
        <v>4.9732684999999999E-2</v>
      </c>
      <c r="E1012" s="21">
        <v>1.6270499999999899E-4</v>
      </c>
      <c r="F1012" s="21">
        <v>0.32823293453012597</v>
      </c>
      <c r="G1012" s="21">
        <v>1.67971629026587</v>
      </c>
      <c r="H1012" s="20">
        <v>4.9732684999999999E-2</v>
      </c>
      <c r="I1012" s="20">
        <v>4.9732684999999999E-2</v>
      </c>
      <c r="K1012">
        <f t="shared" si="30"/>
        <v>3.2823293453012603E-3</v>
      </c>
      <c r="L1012">
        <f t="shared" si="31"/>
        <v>3.083426767528228E-4</v>
      </c>
    </row>
    <row r="1013" spans="1:12" ht="15" customHeight="1" x14ac:dyDescent="0.3">
      <c r="A1013" s="22">
        <v>44658</v>
      </c>
      <c r="B1013" s="23">
        <v>4.9562609967040899E-2</v>
      </c>
      <c r="C1013" s="23">
        <v>4.95773530651199E-2</v>
      </c>
      <c r="D1013" s="23">
        <v>4.956998E-2</v>
      </c>
      <c r="E1013" s="24">
        <v>-3.6136400000000198E-4</v>
      </c>
      <c r="F1013" s="24">
        <v>-0.72372175681872897</v>
      </c>
      <c r="G1013" s="24">
        <v>1.34706185507888</v>
      </c>
      <c r="H1013" s="23">
        <v>4.956998E-2</v>
      </c>
      <c r="I1013" s="23">
        <v>4.956998E-2</v>
      </c>
      <c r="K1013">
        <f t="shared" si="30"/>
        <v>-7.237217568187293E-3</v>
      </c>
      <c r="L1013">
        <f t="shared" si="31"/>
        <v>2.9741989161587054E-4</v>
      </c>
    </row>
    <row r="1014" spans="1:12" ht="15" customHeight="1" x14ac:dyDescent="0.3">
      <c r="A1014" s="19">
        <v>44657</v>
      </c>
      <c r="B1014" s="20">
        <v>4.9926109358149902E-2</v>
      </c>
      <c r="C1014" s="20">
        <v>4.9936580542710801E-2</v>
      </c>
      <c r="D1014" s="20">
        <v>4.9931344000000003E-2</v>
      </c>
      <c r="E1014" s="21">
        <v>-3.7805599999999402E-4</v>
      </c>
      <c r="F1014" s="21">
        <v>-0.75146195343215305</v>
      </c>
      <c r="G1014" s="21">
        <v>2.0858795762116902</v>
      </c>
      <c r="H1014" s="20">
        <v>4.9931344000000003E-2</v>
      </c>
      <c r="I1014" s="20">
        <v>4.9931344000000003E-2</v>
      </c>
      <c r="K1014">
        <f t="shared" si="30"/>
        <v>-7.5146195343215316E-3</v>
      </c>
      <c r="L1014">
        <f t="shared" si="31"/>
        <v>2.0971165047949228E-4</v>
      </c>
    </row>
    <row r="1015" spans="1:12" ht="15" customHeight="1" x14ac:dyDescent="0.3">
      <c r="A1015" s="22">
        <v>44656</v>
      </c>
      <c r="B1015" s="23">
        <v>5.0302063893681602E-2</v>
      </c>
      <c r="C1015" s="23">
        <v>5.0316743902868603E-2</v>
      </c>
      <c r="D1015" s="23">
        <v>5.0309399999999997E-2</v>
      </c>
      <c r="E1015" s="24">
        <v>-3.44028000000003E-4</v>
      </c>
      <c r="F1015" s="24">
        <v>-0.67918009418830305</v>
      </c>
      <c r="G1015" s="24">
        <v>2.8588245081378898</v>
      </c>
      <c r="H1015" s="23">
        <v>5.0309399999999997E-2</v>
      </c>
      <c r="I1015" s="23">
        <v>5.0309399999999997E-2</v>
      </c>
      <c r="K1015">
        <f t="shared" si="30"/>
        <v>-6.7918009418830305E-3</v>
      </c>
      <c r="L1015">
        <f t="shared" si="31"/>
        <v>2.9179455900888124E-4</v>
      </c>
    </row>
    <row r="1016" spans="1:12" ht="15" customHeight="1" x14ac:dyDescent="0.3">
      <c r="A1016" s="19">
        <v>44655</v>
      </c>
      <c r="B1016" s="20">
        <v>5.0646759113884297E-2</v>
      </c>
      <c r="C1016" s="20">
        <v>5.06601011175618E-2</v>
      </c>
      <c r="D1016" s="20">
        <v>5.0653428E-2</v>
      </c>
      <c r="E1016" s="21">
        <v>2.0824800000000099E-4</v>
      </c>
      <c r="F1016" s="21">
        <v>0.41282041217813797</v>
      </c>
      <c r="G1016" s="21">
        <v>3.5621983443968399</v>
      </c>
      <c r="H1016" s="20">
        <v>5.0653428E-2</v>
      </c>
      <c r="I1016" s="20">
        <v>5.0653428E-2</v>
      </c>
      <c r="K1016">
        <f t="shared" si="30"/>
        <v>4.128204121781387E-3</v>
      </c>
      <c r="L1016">
        <f t="shared" si="31"/>
        <v>2.6339784303447866E-4</v>
      </c>
    </row>
    <row r="1017" spans="1:12" ht="15" customHeight="1" x14ac:dyDescent="0.3">
      <c r="A1017" s="22">
        <v>44652</v>
      </c>
      <c r="B1017" s="23">
        <v>5.0441361916771801E-2</v>
      </c>
      <c r="C1017" s="23">
        <v>5.0448996064978303E-2</v>
      </c>
      <c r="D1017" s="23">
        <v>5.0445179999999999E-2</v>
      </c>
      <c r="E1017" s="24">
        <v>2.9975499999999801E-4</v>
      </c>
      <c r="F1017" s="24">
        <v>0.59777138193564106</v>
      </c>
      <c r="G1017" s="24">
        <v>3.1364301085170498</v>
      </c>
      <c r="H1017" s="23">
        <v>5.0445179999999999E-2</v>
      </c>
      <c r="I1017" s="23">
        <v>5.0445179999999999E-2</v>
      </c>
      <c r="K1017">
        <f t="shared" si="30"/>
        <v>5.9777138193564117E-3</v>
      </c>
      <c r="L1017">
        <f t="shared" si="31"/>
        <v>1.5133553307773002E-4</v>
      </c>
    </row>
    <row r="1018" spans="1:12" ht="15" customHeight="1" x14ac:dyDescent="0.3">
      <c r="A1018" s="19">
        <v>44651</v>
      </c>
      <c r="B1018" s="20">
        <v>5.0141650161706797E-2</v>
      </c>
      <c r="C1018" s="20">
        <v>5.0149193851708802E-2</v>
      </c>
      <c r="D1018" s="20">
        <v>5.0145425E-2</v>
      </c>
      <c r="E1018" s="21">
        <v>-2.4637200000000099E-4</v>
      </c>
      <c r="F1018" s="21">
        <v>-0.48891290778933999</v>
      </c>
      <c r="G1018" s="21">
        <v>2.5235735262394501</v>
      </c>
      <c r="H1018" s="20">
        <v>5.0145425E-2</v>
      </c>
      <c r="I1018" s="20">
        <v>5.0145425E-2</v>
      </c>
      <c r="K1018">
        <f t="shared" si="30"/>
        <v>-4.889129077893406E-3</v>
      </c>
      <c r="L1018">
        <f t="shared" si="31"/>
        <v>1.5043625618898763E-4</v>
      </c>
    </row>
    <row r="1019" spans="1:12" ht="15" customHeight="1" x14ac:dyDescent="0.3">
      <c r="A1019" s="22">
        <v>44650</v>
      </c>
      <c r="B1019" s="23">
        <v>5.03872258305074E-2</v>
      </c>
      <c r="C1019" s="23">
        <v>5.0396367429835699E-2</v>
      </c>
      <c r="D1019" s="23">
        <v>5.0391797000000002E-2</v>
      </c>
      <c r="E1019" s="24">
        <v>3.7491700000000201E-4</v>
      </c>
      <c r="F1019" s="24">
        <v>0.74958094147416998</v>
      </c>
      <c r="G1019" s="24">
        <v>3.0272872320622</v>
      </c>
      <c r="H1019" s="23">
        <v>5.0391797000000002E-2</v>
      </c>
      <c r="I1019" s="23">
        <v>5.0391797000000002E-2</v>
      </c>
      <c r="K1019">
        <f t="shared" si="30"/>
        <v>7.4958094147417054E-3</v>
      </c>
      <c r="L1019">
        <f t="shared" si="31"/>
        <v>1.8141046504651338E-4</v>
      </c>
    </row>
    <row r="1020" spans="1:12" ht="15" customHeight="1" x14ac:dyDescent="0.3">
      <c r="A1020" s="19">
        <v>44649</v>
      </c>
      <c r="B1020" s="20">
        <v>5.00105022054632E-2</v>
      </c>
      <c r="C1020" s="20">
        <v>5.0023260816279599E-2</v>
      </c>
      <c r="D1020" s="20">
        <v>5.001688E-2</v>
      </c>
      <c r="E1020" s="21">
        <v>3.66297000000001E-4</v>
      </c>
      <c r="F1020" s="21">
        <v>0.737749645356644</v>
      </c>
      <c r="G1020" s="21">
        <v>2.2607600640157099</v>
      </c>
      <c r="H1020" s="20">
        <v>5.001688E-2</v>
      </c>
      <c r="I1020" s="20">
        <v>5.001688E-2</v>
      </c>
      <c r="K1020">
        <f t="shared" si="30"/>
        <v>7.3774964535664456E-3</v>
      </c>
      <c r="L1020">
        <f t="shared" si="31"/>
        <v>2.5508609926087081E-4</v>
      </c>
    </row>
    <row r="1021" spans="1:12" ht="15" customHeight="1" x14ac:dyDescent="0.3">
      <c r="A1021" s="22">
        <v>44648</v>
      </c>
      <c r="B1021" s="23">
        <v>4.9646763279268001E-2</v>
      </c>
      <c r="C1021" s="23">
        <v>4.9654405338841703E-2</v>
      </c>
      <c r="D1021" s="23">
        <v>4.9650582999999998E-2</v>
      </c>
      <c r="E1021" s="24">
        <v>-4.9358299999999796E-4</v>
      </c>
      <c r="F1021" s="24">
        <v>-0.98432786777229397</v>
      </c>
      <c r="G1021" s="24">
        <v>1.5118567012076201</v>
      </c>
      <c r="H1021" s="23">
        <v>4.9650582999999998E-2</v>
      </c>
      <c r="I1021" s="23">
        <v>4.9650582999999998E-2</v>
      </c>
      <c r="K1021">
        <f t="shared" si="30"/>
        <v>-9.8432786777229442E-3</v>
      </c>
      <c r="L1021">
        <f t="shared" si="31"/>
        <v>1.539168145055273E-4</v>
      </c>
    </row>
    <row r="1022" spans="1:12" ht="15" customHeight="1" x14ac:dyDescent="0.3">
      <c r="A1022" s="19">
        <v>44645</v>
      </c>
      <c r="B1022" s="20">
        <v>5.0137376411367097E-2</v>
      </c>
      <c r="C1022" s="20">
        <v>5.0150954372661698E-2</v>
      </c>
      <c r="D1022" s="20">
        <v>5.0144165999999997E-2</v>
      </c>
      <c r="E1022" s="21">
        <v>4.4484799999999698E-4</v>
      </c>
      <c r="F1022" s="21">
        <v>0.89507868095894905</v>
      </c>
      <c r="G1022" s="21">
        <v>2.5209994693026498</v>
      </c>
      <c r="H1022" s="20">
        <v>5.0144165999999997E-2</v>
      </c>
      <c r="I1022" s="20">
        <v>5.0144165999999997E-2</v>
      </c>
      <c r="K1022">
        <f t="shared" si="30"/>
        <v>8.9507868095894949E-3</v>
      </c>
      <c r="L1022">
        <f t="shared" si="31"/>
        <v>2.7077848487100587E-4</v>
      </c>
    </row>
    <row r="1023" spans="1:12" ht="15" customHeight="1" x14ac:dyDescent="0.3">
      <c r="A1023" s="22">
        <v>44644</v>
      </c>
      <c r="B1023" s="23">
        <v>4.9693638717307802E-2</v>
      </c>
      <c r="C1023" s="23">
        <v>4.9705000820132503E-2</v>
      </c>
      <c r="D1023" s="23">
        <v>4.9699317999999999E-2</v>
      </c>
      <c r="E1023" s="24">
        <v>1.23192000000001E-4</v>
      </c>
      <c r="F1023" s="24">
        <v>0.24849057387017401</v>
      </c>
      <c r="G1023" s="24">
        <v>1.6114966256035399</v>
      </c>
      <c r="H1023" s="23">
        <v>4.9699317999999999E-2</v>
      </c>
      <c r="I1023" s="23">
        <v>4.9699317999999999E-2</v>
      </c>
      <c r="K1023">
        <f t="shared" si="30"/>
        <v>2.4849057387017481E-3</v>
      </c>
      <c r="L1023">
        <f t="shared" si="31"/>
        <v>2.286168760847184E-4</v>
      </c>
    </row>
    <row r="1024" spans="1:12" ht="15" customHeight="1" x14ac:dyDescent="0.3">
      <c r="A1024" s="19">
        <v>44643</v>
      </c>
      <c r="B1024" s="20">
        <v>4.95702261393716E-2</v>
      </c>
      <c r="C1024" s="20">
        <v>4.9582023541544798E-2</v>
      </c>
      <c r="D1024" s="20">
        <v>4.9576125999999998E-2</v>
      </c>
      <c r="E1024" s="21">
        <v>2.4213599999999599E-4</v>
      </c>
      <c r="F1024" s="21">
        <v>0.49080968314136802</v>
      </c>
      <c r="G1024" s="21">
        <v>1.3596275055423499</v>
      </c>
      <c r="H1024" s="20">
        <v>4.9576125999999998E-2</v>
      </c>
      <c r="I1024" s="20">
        <v>4.9576125999999998E-2</v>
      </c>
      <c r="K1024">
        <f t="shared" si="30"/>
        <v>4.9080968314136886E-3</v>
      </c>
      <c r="L1024">
        <f t="shared" si="31"/>
        <v>2.3796539030093665E-4</v>
      </c>
    </row>
    <row r="1025" spans="1:12" ht="15" customHeight="1" x14ac:dyDescent="0.3">
      <c r="A1025" s="22">
        <v>44642</v>
      </c>
      <c r="B1025" s="23">
        <v>4.9329123914759299E-2</v>
      </c>
      <c r="C1025" s="23">
        <v>4.93388592855733E-2</v>
      </c>
      <c r="D1025" s="23">
        <v>4.9333990000000001E-2</v>
      </c>
      <c r="E1025" s="24">
        <v>4.7412000000003598E-5</v>
      </c>
      <c r="F1025" s="24">
        <v>9.6196575059459499E-2</v>
      </c>
      <c r="G1025" s="24">
        <v>0.86457440749104997</v>
      </c>
      <c r="H1025" s="23">
        <v>4.9333990000000001E-2</v>
      </c>
      <c r="I1025" s="23">
        <v>4.9333990000000001E-2</v>
      </c>
      <c r="K1025">
        <f t="shared" si="30"/>
        <v>9.6196575059459555E-4</v>
      </c>
      <c r="L1025">
        <f t="shared" si="31"/>
        <v>1.9733597087933353E-4</v>
      </c>
    </row>
    <row r="1026" spans="1:12" ht="15" customHeight="1" x14ac:dyDescent="0.3">
      <c r="A1026" s="19">
        <v>44641</v>
      </c>
      <c r="B1026" s="20">
        <v>4.9279776072697498E-2</v>
      </c>
      <c r="C1026" s="20">
        <v>4.9293379406212E-2</v>
      </c>
      <c r="D1026" s="20">
        <v>4.9286577999999998E-2</v>
      </c>
      <c r="E1026" s="21">
        <v>2.78982999999996E-4</v>
      </c>
      <c r="F1026" s="21">
        <v>0.56926482517658505</v>
      </c>
      <c r="G1026" s="21">
        <v>0.76763938962997003</v>
      </c>
      <c r="H1026" s="20">
        <v>4.9286577999999998E-2</v>
      </c>
      <c r="I1026" s="20">
        <v>4.9286577999999998E-2</v>
      </c>
      <c r="K1026">
        <f t="shared" si="30"/>
        <v>5.6926482517658528E-3</v>
      </c>
      <c r="L1026">
        <f t="shared" si="31"/>
        <v>2.7600482862700793E-4</v>
      </c>
    </row>
    <row r="1027" spans="1:12" ht="15" customHeight="1" x14ac:dyDescent="0.3">
      <c r="A1027" s="22">
        <v>44638</v>
      </c>
      <c r="B1027" s="23">
        <v>4.9003033287760497E-2</v>
      </c>
      <c r="C1027" s="23">
        <v>4.9012159916875402E-2</v>
      </c>
      <c r="D1027" s="23">
        <v>4.9007595000000001E-2</v>
      </c>
      <c r="E1027" s="24">
        <v>3.6473199999999901E-4</v>
      </c>
      <c r="F1027" s="24">
        <v>0.74981606243036403</v>
      </c>
      <c r="G1027" s="24">
        <v>0.19725168002195401</v>
      </c>
      <c r="H1027" s="23">
        <v>4.9007595000000001E-2</v>
      </c>
      <c r="I1027" s="23">
        <v>4.9007595000000001E-2</v>
      </c>
      <c r="K1027">
        <f t="shared" si="30"/>
        <v>7.4981606243036403E-3</v>
      </c>
      <c r="L1027">
        <f t="shared" si="31"/>
        <v>1.8622887156376873E-4</v>
      </c>
    </row>
    <row r="1028" spans="1:12" ht="15" customHeight="1" x14ac:dyDescent="0.3">
      <c r="A1028" s="19">
        <v>44637</v>
      </c>
      <c r="B1028" s="20">
        <v>4.8638368863661803E-2</v>
      </c>
      <c r="C1028" s="20">
        <v>4.8647360151001399E-2</v>
      </c>
      <c r="D1028" s="20">
        <v>4.8642863000000001E-2</v>
      </c>
      <c r="E1028" s="21">
        <v>4.0825300000000398E-4</v>
      </c>
      <c r="F1028" s="21">
        <v>0.84639017502163805</v>
      </c>
      <c r="G1028" s="21">
        <v>-0.54845200120863202</v>
      </c>
      <c r="H1028" s="20">
        <v>4.8642863000000001E-2</v>
      </c>
      <c r="I1028" s="20">
        <v>4.8642863000000001E-2</v>
      </c>
      <c r="K1028">
        <f t="shared" si="30"/>
        <v>8.4639017502163849E-3</v>
      </c>
      <c r="L1028">
        <f t="shared" si="31"/>
        <v>1.8484288927640672E-4</v>
      </c>
    </row>
    <row r="1029" spans="1:12" ht="15" customHeight="1" x14ac:dyDescent="0.3">
      <c r="A1029" s="22">
        <v>44636</v>
      </c>
      <c r="B1029" s="23">
        <v>4.8227867026124999E-2</v>
      </c>
      <c r="C1029" s="23">
        <v>4.8241361178246997E-2</v>
      </c>
      <c r="D1029" s="23">
        <v>4.8234609999999997E-2</v>
      </c>
      <c r="E1029" s="24">
        <v>3.60233999999994E-4</v>
      </c>
      <c r="F1029" s="24">
        <v>0.75245680486779598</v>
      </c>
      <c r="G1029" s="24">
        <v>-1.38313545364339</v>
      </c>
      <c r="H1029" s="23">
        <v>4.8234609999999997E-2</v>
      </c>
      <c r="I1029" s="23">
        <v>4.8234609999999997E-2</v>
      </c>
      <c r="K1029">
        <f t="shared" ref="K1029:K1092" si="32">D1029/D1030-1</f>
        <v>7.5245680486779598E-3</v>
      </c>
      <c r="L1029">
        <f t="shared" ref="L1029:L1092" si="33">(C1029-B1029)/D1029</f>
        <v>2.7976078011200542E-4</v>
      </c>
    </row>
    <row r="1030" spans="1:12" ht="15" customHeight="1" x14ac:dyDescent="0.3">
      <c r="A1030" s="19">
        <v>44635</v>
      </c>
      <c r="B1030" s="20">
        <v>4.7869335860834299E-2</v>
      </c>
      <c r="C1030" s="20">
        <v>4.7879420467494702E-2</v>
      </c>
      <c r="D1030" s="20">
        <v>4.7874376000000003E-2</v>
      </c>
      <c r="E1030" s="21">
        <v>5.0369000000001401E-5</v>
      </c>
      <c r="F1030" s="21">
        <v>0.105321580435546</v>
      </c>
      <c r="G1030" s="21">
        <v>-2.1196428615604699</v>
      </c>
      <c r="H1030" s="20">
        <v>4.7874376000000003E-2</v>
      </c>
      <c r="I1030" s="20">
        <v>4.7874376000000003E-2</v>
      </c>
      <c r="K1030">
        <f t="shared" si="32"/>
        <v>1.0532158043554674E-3</v>
      </c>
      <c r="L1030">
        <f t="shared" si="33"/>
        <v>2.1064727110809653E-4</v>
      </c>
    </row>
    <row r="1031" spans="1:12" ht="15" customHeight="1" x14ac:dyDescent="0.3">
      <c r="A1031" s="22">
        <v>44634</v>
      </c>
      <c r="B1031" s="23">
        <v>4.7820577194366699E-2</v>
      </c>
      <c r="C1031" s="23">
        <v>4.7827438601525697E-2</v>
      </c>
      <c r="D1031" s="23">
        <v>4.7824007000000002E-2</v>
      </c>
      <c r="E1031" s="24">
        <v>2.80029999999986E-5</v>
      </c>
      <c r="F1031" s="24">
        <v>5.8588579915585998E-2</v>
      </c>
      <c r="G1031" s="24">
        <v>-2.2226235397568099</v>
      </c>
      <c r="H1031" s="23">
        <v>4.7824007000000002E-2</v>
      </c>
      <c r="I1031" s="23">
        <v>4.7824007000000002E-2</v>
      </c>
      <c r="K1031">
        <f t="shared" si="32"/>
        <v>5.8588579915586081E-4</v>
      </c>
      <c r="L1031">
        <f t="shared" si="33"/>
        <v>1.4347202565016888E-4</v>
      </c>
    </row>
    <row r="1032" spans="1:12" ht="15" customHeight="1" x14ac:dyDescent="0.3">
      <c r="A1032" s="19">
        <v>44631</v>
      </c>
      <c r="B1032" s="20">
        <v>4.7788583307447903E-2</v>
      </c>
      <c r="C1032" s="20">
        <v>4.7803432286438199E-2</v>
      </c>
      <c r="D1032" s="20">
        <v>4.7796004000000003E-2</v>
      </c>
      <c r="E1032" s="21">
        <v>9.0634000000006099E-5</v>
      </c>
      <c r="F1032" s="21">
        <v>0.18998699727097401</v>
      </c>
      <c r="G1032" s="21">
        <v>-2.27987637248193</v>
      </c>
      <c r="H1032" s="20">
        <v>4.7796004000000003E-2</v>
      </c>
      <c r="I1032" s="20">
        <v>4.7796004000000003E-2</v>
      </c>
      <c r="K1032">
        <f t="shared" si="32"/>
        <v>1.8998699727097446E-3</v>
      </c>
      <c r="L1032">
        <f t="shared" si="33"/>
        <v>3.106740678634225E-4</v>
      </c>
    </row>
    <row r="1033" spans="1:12" ht="15" customHeight="1" x14ac:dyDescent="0.3">
      <c r="A1033" s="22">
        <v>44630</v>
      </c>
      <c r="B1033" s="23">
        <v>4.7696725142851698E-2</v>
      </c>
      <c r="C1033" s="23">
        <v>4.7714021242282301E-2</v>
      </c>
      <c r="D1033" s="23">
        <v>4.7705369999999997E-2</v>
      </c>
      <c r="E1033" s="24">
        <v>9.0999999999979901E-6</v>
      </c>
      <c r="F1033" s="24">
        <v>1.9079060060667102E-2</v>
      </c>
      <c r="G1033" s="24">
        <v>-2.4651798485812502</v>
      </c>
      <c r="H1033" s="23">
        <v>4.7705369999999997E-2</v>
      </c>
      <c r="I1033" s="23">
        <v>4.7705369999999997E-2</v>
      </c>
      <c r="K1033">
        <f t="shared" si="32"/>
        <v>1.9079060060667175E-4</v>
      </c>
      <c r="L1033">
        <f t="shared" si="33"/>
        <v>3.6256084861311462E-4</v>
      </c>
    </row>
    <row r="1034" spans="1:12" ht="15" customHeight="1" x14ac:dyDescent="0.3">
      <c r="A1034" s="19">
        <v>44629</v>
      </c>
      <c r="B1034" s="20">
        <v>4.7690356056198299E-2</v>
      </c>
      <c r="C1034" s="20">
        <v>4.77021857141494E-2</v>
      </c>
      <c r="D1034" s="20">
        <v>4.7696269999999999E-2</v>
      </c>
      <c r="E1034" s="21">
        <v>1.06752699999999E-3</v>
      </c>
      <c r="F1034" s="21">
        <v>2.2894183529673802</v>
      </c>
      <c r="G1034" s="21">
        <v>-2.4837850258050702</v>
      </c>
      <c r="H1034" s="20">
        <v>4.7696269999999999E-2</v>
      </c>
      <c r="I1034" s="20">
        <v>4.7696269999999999E-2</v>
      </c>
      <c r="K1034">
        <f t="shared" si="32"/>
        <v>2.2894183529673873E-2</v>
      </c>
      <c r="L1034">
        <f t="shared" si="33"/>
        <v>2.480206093914943E-4</v>
      </c>
    </row>
    <row r="1035" spans="1:12" ht="15" customHeight="1" x14ac:dyDescent="0.3">
      <c r="A1035" s="22">
        <v>44628</v>
      </c>
      <c r="B1035" s="23">
        <v>4.6621568069820499E-2</v>
      </c>
      <c r="C1035" s="23">
        <v>4.66359180513648E-2</v>
      </c>
      <c r="D1035" s="23">
        <v>4.6628743E-2</v>
      </c>
      <c r="E1035" s="24">
        <v>-5.44406999999996E-4</v>
      </c>
      <c r="F1035" s="24">
        <v>-1.1540611555514</v>
      </c>
      <c r="G1035" s="24">
        <v>-4.66637063308122</v>
      </c>
      <c r="H1035" s="23">
        <v>4.6628743E-2</v>
      </c>
      <c r="I1035" s="23">
        <v>4.6628743E-2</v>
      </c>
      <c r="K1035">
        <f t="shared" si="32"/>
        <v>-1.1540611555514002E-2</v>
      </c>
      <c r="L1035">
        <f t="shared" si="33"/>
        <v>3.0774969731225661E-4</v>
      </c>
    </row>
    <row r="1036" spans="1:12" ht="15" customHeight="1" x14ac:dyDescent="0.3">
      <c r="A1036" s="19">
        <v>44627</v>
      </c>
      <c r="B1036" s="20">
        <v>4.7165361758324698E-2</v>
      </c>
      <c r="C1036" s="20">
        <v>4.7180938900684102E-2</v>
      </c>
      <c r="D1036" s="20">
        <v>4.7173149999999997E-2</v>
      </c>
      <c r="E1036" s="21">
        <v>-5.6296600000000502E-4</v>
      </c>
      <c r="F1036" s="21">
        <v>-1.1793292944067799</v>
      </c>
      <c r="G1036" s="21">
        <v>-3.55331692792867</v>
      </c>
      <c r="H1036" s="20">
        <v>4.7173149999999997E-2</v>
      </c>
      <c r="I1036" s="20">
        <v>4.7173149999999997E-2</v>
      </c>
      <c r="K1036">
        <f t="shared" si="32"/>
        <v>-1.1793292944067835E-2</v>
      </c>
      <c r="L1036">
        <f t="shared" si="33"/>
        <v>3.3021204561079284E-4</v>
      </c>
    </row>
    <row r="1037" spans="1:12" ht="15" customHeight="1" x14ac:dyDescent="0.3">
      <c r="A1037" s="22">
        <v>44624</v>
      </c>
      <c r="B1037" s="23">
        <v>4.7729051719200402E-2</v>
      </c>
      <c r="C1037" s="23">
        <v>4.7743179886753202E-2</v>
      </c>
      <c r="D1037" s="23">
        <v>4.7736116000000002E-2</v>
      </c>
      <c r="E1037" s="24">
        <v>-5.4157900000000004E-4</v>
      </c>
      <c r="F1037" s="24">
        <v>-1.12179962195793</v>
      </c>
      <c r="G1037" s="24">
        <v>-2.4023188838643601</v>
      </c>
      <c r="H1037" s="23">
        <v>4.7736116000000002E-2</v>
      </c>
      <c r="I1037" s="23">
        <v>4.7736116000000002E-2</v>
      </c>
      <c r="K1037">
        <f t="shared" si="32"/>
        <v>-1.1217996219579307E-2</v>
      </c>
      <c r="L1037">
        <f t="shared" si="33"/>
        <v>2.9596391027707751E-4</v>
      </c>
    </row>
    <row r="1038" spans="1:12" ht="15" customHeight="1" x14ac:dyDescent="0.3">
      <c r="A1038" s="19">
        <v>44623</v>
      </c>
      <c r="B1038" s="20">
        <v>4.82690711099956E-2</v>
      </c>
      <c r="C1038" s="20">
        <v>4.8286318554500801E-2</v>
      </c>
      <c r="D1038" s="20">
        <v>4.8277695000000002E-2</v>
      </c>
      <c r="E1038" s="21">
        <v>1.4755200000000199E-4</v>
      </c>
      <c r="F1038" s="21">
        <v>0.30656879619077498</v>
      </c>
      <c r="G1038" s="21">
        <v>-1.2950470953259801</v>
      </c>
      <c r="H1038" s="20">
        <v>4.8277695000000002E-2</v>
      </c>
      <c r="I1038" s="20">
        <v>4.8277695000000002E-2</v>
      </c>
      <c r="K1038">
        <f t="shared" si="32"/>
        <v>3.0656879619077593E-3</v>
      </c>
      <c r="L1038">
        <f t="shared" si="33"/>
        <v>3.5725492911791855E-4</v>
      </c>
    </row>
    <row r="1039" spans="1:12" ht="15" customHeight="1" x14ac:dyDescent="0.3">
      <c r="A1039" s="22">
        <v>44622</v>
      </c>
      <c r="B1039" s="23">
        <v>4.8122963797094298E-2</v>
      </c>
      <c r="C1039" s="23">
        <v>4.8137326164080903E-2</v>
      </c>
      <c r="D1039" s="23">
        <v>4.8130143E-2</v>
      </c>
      <c r="E1039" s="24">
        <v>-6.0992700000000305E-4</v>
      </c>
      <c r="F1039" s="24">
        <v>-1.2513872056400399</v>
      </c>
      <c r="G1039" s="24">
        <v>-1.5967208436478699</v>
      </c>
      <c r="H1039" s="23">
        <v>4.8130143E-2</v>
      </c>
      <c r="I1039" s="23">
        <v>4.8130143E-2</v>
      </c>
      <c r="K1039">
        <f t="shared" si="32"/>
        <v>-1.2513872056400421E-2</v>
      </c>
      <c r="L1039">
        <f t="shared" si="33"/>
        <v>2.9840690451729394E-4</v>
      </c>
    </row>
    <row r="1040" spans="1:12" ht="15" customHeight="1" x14ac:dyDescent="0.3">
      <c r="A1040" s="19">
        <v>44621</v>
      </c>
      <c r="B1040" s="20">
        <v>4.87315185715817E-2</v>
      </c>
      <c r="C1040" s="20">
        <v>4.8748622851404397E-2</v>
      </c>
      <c r="D1040" s="20">
        <v>4.8740070000000003E-2</v>
      </c>
      <c r="E1040" s="21">
        <v>-2.0156499999999299E-4</v>
      </c>
      <c r="F1040" s="21">
        <v>-0.411847703902812</v>
      </c>
      <c r="G1040" s="21">
        <v>-0.34970986248380598</v>
      </c>
      <c r="H1040" s="20">
        <v>4.8740070000000003E-2</v>
      </c>
      <c r="I1040" s="20">
        <v>4.8740070000000003E-2</v>
      </c>
      <c r="K1040">
        <f t="shared" si="32"/>
        <v>-4.1184770390281233E-3</v>
      </c>
      <c r="L1040">
        <f t="shared" si="33"/>
        <v>3.5092850344073547E-4</v>
      </c>
    </row>
    <row r="1041" spans="1:12" ht="15" customHeight="1" x14ac:dyDescent="0.3">
      <c r="A1041" s="22">
        <v>44620</v>
      </c>
      <c r="B1041" s="23">
        <v>4.8932297273492402E-2</v>
      </c>
      <c r="C1041" s="23">
        <v>4.8950980488139201E-2</v>
      </c>
      <c r="D1041" s="23">
        <v>4.8941634999999997E-2</v>
      </c>
      <c r="E1041" s="24">
        <v>2.3934999999995701E-5</v>
      </c>
      <c r="F1041" s="24">
        <v>4.8929119725560299E-2</v>
      </c>
      <c r="G1041" s="24">
        <v>6.2394813023796201E-2</v>
      </c>
      <c r="H1041" s="23">
        <v>4.8941634999999997E-2</v>
      </c>
      <c r="I1041" s="23">
        <v>4.8941634999999997E-2</v>
      </c>
      <c r="K1041">
        <f t="shared" si="32"/>
        <v>4.8929119725560355E-4</v>
      </c>
      <c r="L1041">
        <f t="shared" si="33"/>
        <v>3.8174479963325381E-4</v>
      </c>
    </row>
    <row r="1042" spans="1:12" ht="15" customHeight="1" x14ac:dyDescent="0.3">
      <c r="A1042" s="19">
        <v>44617</v>
      </c>
      <c r="B1042" s="20">
        <v>4.8911235889108402E-2</v>
      </c>
      <c r="C1042" s="20">
        <v>4.8924157770623998E-2</v>
      </c>
      <c r="D1042" s="20">
        <v>4.8917700000000001E-2</v>
      </c>
      <c r="E1042" s="21">
        <v>5.4308800000000396E-4</v>
      </c>
      <c r="F1042" s="21">
        <v>1.12267153687972</v>
      </c>
      <c r="G1042" s="21">
        <v>1.3459107875218699E-2</v>
      </c>
      <c r="H1042" s="20">
        <v>4.8917700000000001E-2</v>
      </c>
      <c r="I1042" s="20">
        <v>4.8917700000000001E-2</v>
      </c>
      <c r="K1042">
        <f t="shared" si="32"/>
        <v>1.1226715368797269E-2</v>
      </c>
      <c r="L1042">
        <f t="shared" si="33"/>
        <v>2.6415554115577185E-4</v>
      </c>
    </row>
    <row r="1043" spans="1:12" ht="15" customHeight="1" x14ac:dyDescent="0.3">
      <c r="A1043" s="22">
        <v>44616</v>
      </c>
      <c r="B1043" s="23">
        <v>4.8367359770932199E-2</v>
      </c>
      <c r="C1043" s="23">
        <v>4.8381868410994303E-2</v>
      </c>
      <c r="D1043" s="23">
        <v>4.8374611999999997E-2</v>
      </c>
      <c r="E1043" s="24">
        <v>-1.0428799999999999E-3</v>
      </c>
      <c r="F1043" s="24">
        <v>-2.1103458670059601</v>
      </c>
      <c r="G1043" s="24">
        <v>-1.0968978688423701</v>
      </c>
      <c r="H1043" s="23">
        <v>4.8374611999999997E-2</v>
      </c>
      <c r="I1043" s="23">
        <v>4.8374611999999997E-2</v>
      </c>
      <c r="K1043">
        <f t="shared" si="32"/>
        <v>-2.1103458670059694E-2</v>
      </c>
      <c r="L1043">
        <f t="shared" si="33"/>
        <v>2.9992261358300704E-4</v>
      </c>
    </row>
    <row r="1044" spans="1:12" ht="15" customHeight="1" x14ac:dyDescent="0.3">
      <c r="A1044" s="19">
        <v>44615</v>
      </c>
      <c r="B1044" s="20">
        <v>4.9412729707427203E-2</v>
      </c>
      <c r="C1044" s="20">
        <v>4.9422253852464702E-2</v>
      </c>
      <c r="D1044" s="20">
        <v>4.9417492E-2</v>
      </c>
      <c r="E1044" s="21">
        <v>1.0539600000000001E-4</v>
      </c>
      <c r="F1044" s="21">
        <v>0.21373254951482201</v>
      </c>
      <c r="G1044" s="21">
        <v>1.0352963315068</v>
      </c>
      <c r="H1044" s="20">
        <v>4.9417492E-2</v>
      </c>
      <c r="I1044" s="20">
        <v>4.9417492E-2</v>
      </c>
      <c r="K1044">
        <f t="shared" si="32"/>
        <v>2.1373254951482235E-3</v>
      </c>
      <c r="L1044">
        <f t="shared" si="33"/>
        <v>1.927282152946918E-4</v>
      </c>
    </row>
    <row r="1045" spans="1:12" ht="15" customHeight="1" x14ac:dyDescent="0.3">
      <c r="A1045" s="22">
        <v>44614</v>
      </c>
      <c r="B1045" s="23">
        <v>4.9306747135278002E-2</v>
      </c>
      <c r="C1045" s="23">
        <v>4.9317446539887899E-2</v>
      </c>
      <c r="D1045" s="23">
        <v>4.9312096E-2</v>
      </c>
      <c r="E1045" s="24">
        <v>-2.3111999999998701E-5</v>
      </c>
      <c r="F1045" s="24">
        <v>-4.6846868467642598E-2</v>
      </c>
      <c r="G1045" s="24">
        <v>0.81981157780551706</v>
      </c>
      <c r="H1045" s="23">
        <v>4.9312096E-2</v>
      </c>
      <c r="I1045" s="23">
        <v>4.9312096E-2</v>
      </c>
      <c r="K1045">
        <f t="shared" si="32"/>
        <v>-4.6846868467642633E-4</v>
      </c>
      <c r="L1045">
        <f t="shared" si="33"/>
        <v>2.1697322721583566E-4</v>
      </c>
    </row>
    <row r="1046" spans="1:12" ht="15" customHeight="1" x14ac:dyDescent="0.3">
      <c r="A1046" s="19">
        <v>44613</v>
      </c>
      <c r="B1046" s="20">
        <v>4.9327177301606101E-2</v>
      </c>
      <c r="C1046" s="20">
        <v>4.9343241456217699E-2</v>
      </c>
      <c r="D1046" s="20">
        <v>4.9335207999999998E-2</v>
      </c>
      <c r="E1046" s="21">
        <v>9.7168000000001601E-5</v>
      </c>
      <c r="F1046" s="21">
        <v>0.197343354853285</v>
      </c>
      <c r="G1046" s="21">
        <v>0.86706463890407803</v>
      </c>
      <c r="H1046" s="20">
        <v>4.9335207999999998E-2</v>
      </c>
      <c r="I1046" s="20">
        <v>4.9335207999999998E-2</v>
      </c>
      <c r="K1046">
        <f t="shared" si="32"/>
        <v>1.9734335485328547E-3</v>
      </c>
      <c r="L1046">
        <f t="shared" si="33"/>
        <v>3.2561238236995967E-4</v>
      </c>
    </row>
    <row r="1047" spans="1:12" ht="15" customHeight="1" x14ac:dyDescent="0.3">
      <c r="A1047" s="22">
        <v>44610</v>
      </c>
      <c r="B1047" s="23">
        <v>4.9231011598826299E-2</v>
      </c>
      <c r="C1047" s="23">
        <v>4.9245073030443301E-2</v>
      </c>
      <c r="D1047" s="23">
        <v>4.9238039999999997E-2</v>
      </c>
      <c r="E1047" s="24">
        <v>-1.5766000000000299E-5</v>
      </c>
      <c r="F1047" s="24">
        <v>-3.2009709056801602E-2</v>
      </c>
      <c r="G1047" s="24">
        <v>0.66840223665306897</v>
      </c>
      <c r="H1047" s="23">
        <v>4.9238039999999997E-2</v>
      </c>
      <c r="I1047" s="23">
        <v>4.9238039999999997E-2</v>
      </c>
      <c r="K1047">
        <f t="shared" si="32"/>
        <v>-3.2009709056801672E-4</v>
      </c>
      <c r="L1047">
        <f t="shared" si="33"/>
        <v>2.8558065302765497E-4</v>
      </c>
    </row>
    <row r="1048" spans="1:12" ht="15" customHeight="1" x14ac:dyDescent="0.3">
      <c r="A1048" s="19">
        <v>44609</v>
      </c>
      <c r="B1048" s="20">
        <v>4.92414356832988E-2</v>
      </c>
      <c r="C1048" s="20">
        <v>4.92661802452471E-2</v>
      </c>
      <c r="D1048" s="20">
        <v>4.9253805999999997E-2</v>
      </c>
      <c r="E1048" s="21">
        <v>8.8992999999995494E-5</v>
      </c>
      <c r="F1048" s="21">
        <v>0.18100953623070201</v>
      </c>
      <c r="G1048" s="21">
        <v>0.70063621732458103</v>
      </c>
      <c r="H1048" s="20">
        <v>4.9253805999999997E-2</v>
      </c>
      <c r="I1048" s="20">
        <v>4.9253805999999997E-2</v>
      </c>
      <c r="K1048">
        <f t="shared" si="32"/>
        <v>1.8100953623070293E-3</v>
      </c>
      <c r="L1048">
        <f t="shared" si="33"/>
        <v>5.0238882957188221E-4</v>
      </c>
    </row>
    <row r="1049" spans="1:12" ht="15" customHeight="1" x14ac:dyDescent="0.3">
      <c r="A1049" s="22">
        <v>44608</v>
      </c>
      <c r="B1049" s="23">
        <v>4.9159374692753902E-2</v>
      </c>
      <c r="C1049" s="23">
        <v>4.9170251997541499E-2</v>
      </c>
      <c r="D1049" s="23">
        <v>4.9164813000000002E-2</v>
      </c>
      <c r="E1049" s="24">
        <v>1.2657300000000401E-4</v>
      </c>
      <c r="F1049" s="24">
        <v>0.25811081311239897</v>
      </c>
      <c r="G1049" s="24">
        <v>0.51868780670047798</v>
      </c>
      <c r="H1049" s="23">
        <v>4.9164813000000002E-2</v>
      </c>
      <c r="I1049" s="23">
        <v>4.9164813000000002E-2</v>
      </c>
      <c r="K1049">
        <f t="shared" si="32"/>
        <v>2.5811081311239992E-3</v>
      </c>
      <c r="L1049">
        <f t="shared" si="33"/>
        <v>2.2124165889937083E-4</v>
      </c>
    </row>
    <row r="1050" spans="1:12" ht="15" customHeight="1" x14ac:dyDescent="0.3">
      <c r="A1050" s="19">
        <v>44607</v>
      </c>
      <c r="B1050" s="20">
        <v>4.9032106223154903E-2</v>
      </c>
      <c r="C1050" s="20">
        <v>4.9044370441938802E-2</v>
      </c>
      <c r="D1050" s="20">
        <v>4.9038239999999997E-2</v>
      </c>
      <c r="E1050" s="21">
        <v>1.56299999999956E-5</v>
      </c>
      <c r="F1050" s="21">
        <v>3.1883247342401298E-2</v>
      </c>
      <c r="G1050" s="21">
        <v>0.25990614771688703</v>
      </c>
      <c r="H1050" s="20">
        <v>4.9038239999999997E-2</v>
      </c>
      <c r="I1050" s="20">
        <v>4.9038239999999997E-2</v>
      </c>
      <c r="K1050">
        <f t="shared" si="32"/>
        <v>3.1883247342401333E-4</v>
      </c>
      <c r="L1050">
        <f t="shared" si="33"/>
        <v>2.5009500308124157E-4</v>
      </c>
    </row>
    <row r="1051" spans="1:12" ht="15" customHeight="1" x14ac:dyDescent="0.3">
      <c r="A1051" s="22">
        <v>44606</v>
      </c>
      <c r="B1051" s="23">
        <v>4.9015523216202603E-2</v>
      </c>
      <c r="C1051" s="23">
        <v>4.9029702193588903E-2</v>
      </c>
      <c r="D1051" s="23">
        <v>4.9022610000000001E-2</v>
      </c>
      <c r="E1051" s="24">
        <v>5.4040000000005102E-6</v>
      </c>
      <c r="F1051" s="24">
        <v>1.1024700183859201E-2</v>
      </c>
      <c r="G1051" s="24">
        <v>0.22795022244125801</v>
      </c>
      <c r="H1051" s="23">
        <v>4.9022610000000001E-2</v>
      </c>
      <c r="I1051" s="23">
        <v>4.9022610000000001E-2</v>
      </c>
      <c r="K1051">
        <f t="shared" si="32"/>
        <v>1.102470018385926E-4</v>
      </c>
      <c r="L1051">
        <f t="shared" si="33"/>
        <v>2.8923342486865698E-4</v>
      </c>
    </row>
    <row r="1052" spans="1:12" ht="15" customHeight="1" x14ac:dyDescent="0.3">
      <c r="A1052" s="19">
        <v>44603</v>
      </c>
      <c r="B1052" s="20">
        <v>4.9012159916875402E-2</v>
      </c>
      <c r="C1052" s="20">
        <v>4.9022251199819601E-2</v>
      </c>
      <c r="D1052" s="20">
        <v>4.9017206000000001E-2</v>
      </c>
      <c r="E1052" s="21">
        <v>-1.50199999999975E-5</v>
      </c>
      <c r="F1052" s="21">
        <v>-3.06329147691464E-2</v>
      </c>
      <c r="G1052" s="21">
        <v>0.21690160950526499</v>
      </c>
      <c r="H1052" s="20">
        <v>4.9017206000000001E-2</v>
      </c>
      <c r="I1052" s="20">
        <v>4.9017206000000001E-2</v>
      </c>
      <c r="K1052">
        <f t="shared" si="32"/>
        <v>-3.0632914769146424E-4</v>
      </c>
      <c r="L1052">
        <f t="shared" si="33"/>
        <v>2.0587225930828425E-4</v>
      </c>
    </row>
    <row r="1053" spans="1:12" ht="15" customHeight="1" x14ac:dyDescent="0.3">
      <c r="A1053" s="22">
        <v>44602</v>
      </c>
      <c r="B1053" s="23">
        <v>4.9024654498747398E-2</v>
      </c>
      <c r="C1053" s="23">
        <v>4.9039800702249899E-2</v>
      </c>
      <c r="D1053" s="23">
        <v>4.9032225999999998E-2</v>
      </c>
      <c r="E1053" s="24">
        <v>2.31505999999999E-4</v>
      </c>
      <c r="F1053" s="24">
        <v>0.47439054177889001</v>
      </c>
      <c r="G1053" s="24">
        <v>0.24761037454941201</v>
      </c>
      <c r="H1053" s="23">
        <v>4.9032225999999998E-2</v>
      </c>
      <c r="I1053" s="23">
        <v>4.9032225999999998E-2</v>
      </c>
      <c r="K1053">
        <f t="shared" si="32"/>
        <v>4.7439054177889073E-3</v>
      </c>
      <c r="L1053">
        <f t="shared" si="33"/>
        <v>3.0890303659679202E-4</v>
      </c>
    </row>
    <row r="1054" spans="1:12" ht="15" customHeight="1" x14ac:dyDescent="0.3">
      <c r="A1054" s="19">
        <v>44601</v>
      </c>
      <c r="B1054" s="20">
        <v>4.8796435908321299E-2</v>
      </c>
      <c r="C1054" s="20">
        <v>4.8805009346159299E-2</v>
      </c>
      <c r="D1054" s="20">
        <v>4.8800719999999999E-2</v>
      </c>
      <c r="E1054" s="21">
        <v>3.9800999999999698E-4</v>
      </c>
      <c r="F1054" s="21">
        <v>0.82228866937408196</v>
      </c>
      <c r="G1054" s="21">
        <v>-0.225709423074509</v>
      </c>
      <c r="H1054" s="20">
        <v>4.8800719999999999E-2</v>
      </c>
      <c r="I1054" s="20">
        <v>4.8800719999999999E-2</v>
      </c>
      <c r="K1054">
        <f t="shared" si="32"/>
        <v>8.2228866937408274E-3</v>
      </c>
      <c r="L1054">
        <f t="shared" si="33"/>
        <v>1.7568260955985482E-4</v>
      </c>
    </row>
    <row r="1055" spans="1:12" ht="15" customHeight="1" x14ac:dyDescent="0.3">
      <c r="A1055" s="22">
        <v>44600</v>
      </c>
      <c r="B1055" s="23">
        <v>4.83977911248131E-2</v>
      </c>
      <c r="C1055" s="23">
        <v>4.84076309789475E-2</v>
      </c>
      <c r="D1055" s="23">
        <v>4.8402710000000002E-2</v>
      </c>
      <c r="E1055" s="24">
        <v>-1.16249999999998E-4</v>
      </c>
      <c r="F1055" s="24">
        <v>-0.23959705649090299</v>
      </c>
      <c r="G1055" s="24">
        <v>-1.03945080624512</v>
      </c>
      <c r="H1055" s="23">
        <v>4.8402710000000002E-2</v>
      </c>
      <c r="I1055" s="23">
        <v>4.8402710000000002E-2</v>
      </c>
      <c r="K1055">
        <f t="shared" si="32"/>
        <v>-2.3959705649090335E-3</v>
      </c>
      <c r="L1055">
        <f t="shared" si="33"/>
        <v>2.0329138873421951E-4</v>
      </c>
    </row>
    <row r="1056" spans="1:12" ht="15" customHeight="1" x14ac:dyDescent="0.3">
      <c r="A1056" s="19">
        <v>44599</v>
      </c>
      <c r="B1056" s="20">
        <v>4.8512603574408598E-2</v>
      </c>
      <c r="C1056" s="20">
        <v>4.8525315657178297E-2</v>
      </c>
      <c r="D1056" s="20">
        <v>4.851896E-2</v>
      </c>
      <c r="E1056" s="21">
        <v>3.6563999999999998E-4</v>
      </c>
      <c r="F1056" s="21">
        <v>0.75932459070320302</v>
      </c>
      <c r="G1056" s="21">
        <v>-0.80177477852324897</v>
      </c>
      <c r="H1056" s="20">
        <v>4.851896E-2</v>
      </c>
      <c r="I1056" s="20">
        <v>4.851896E-2</v>
      </c>
      <c r="K1056">
        <f t="shared" si="32"/>
        <v>7.5932459070320313E-3</v>
      </c>
      <c r="L1056">
        <f t="shared" si="33"/>
        <v>2.6200237535385905E-4</v>
      </c>
    </row>
    <row r="1057" spans="1:12" ht="15" customHeight="1" x14ac:dyDescent="0.3">
      <c r="A1057" s="22">
        <v>44596</v>
      </c>
      <c r="B1057" s="23">
        <v>4.8147292196286898E-2</v>
      </c>
      <c r="C1057" s="23">
        <v>4.81593496561422E-2</v>
      </c>
      <c r="D1057" s="23">
        <v>4.8153319999999999E-2</v>
      </c>
      <c r="E1057" s="24">
        <v>-5.3928300000000097E-4</v>
      </c>
      <c r="F1057" s="24">
        <v>-1.10752551059962</v>
      </c>
      <c r="G1057" s="24">
        <v>-1.5493348884262801</v>
      </c>
      <c r="H1057" s="23">
        <v>4.8153319999999999E-2</v>
      </c>
      <c r="I1057" s="23">
        <v>4.8153319999999999E-2</v>
      </c>
      <c r="K1057">
        <f t="shared" si="32"/>
        <v>-1.1075255105996273E-2</v>
      </c>
      <c r="L1057">
        <f t="shared" si="33"/>
        <v>2.5039726970648107E-4</v>
      </c>
    </row>
    <row r="1058" spans="1:12" ht="15" customHeight="1" x14ac:dyDescent="0.3">
      <c r="A1058" s="19">
        <v>44595</v>
      </c>
      <c r="B1058" s="20">
        <v>4.8686439852772198E-2</v>
      </c>
      <c r="C1058" s="20">
        <v>4.8698768895122299E-2</v>
      </c>
      <c r="D1058" s="20">
        <v>4.8692603000000001E-2</v>
      </c>
      <c r="E1058" s="21">
        <v>1.79530000000004E-4</v>
      </c>
      <c r="F1058" s="21">
        <v>0.37006519871458599</v>
      </c>
      <c r="G1058" s="21">
        <v>-0.44675732921821398</v>
      </c>
      <c r="H1058" s="20">
        <v>4.8692603000000001E-2</v>
      </c>
      <c r="I1058" s="20">
        <v>4.8692603000000001E-2</v>
      </c>
      <c r="K1058">
        <f t="shared" si="32"/>
        <v>3.7006519871458643E-3</v>
      </c>
      <c r="L1058">
        <f t="shared" si="33"/>
        <v>2.5320154583029821E-4</v>
      </c>
    </row>
    <row r="1059" spans="1:12" ht="15" customHeight="1" x14ac:dyDescent="0.3">
      <c r="A1059" s="22">
        <v>44594</v>
      </c>
      <c r="B1059" s="23">
        <v>4.8506955897475702E-2</v>
      </c>
      <c r="C1059" s="23">
        <v>4.85191941932228E-2</v>
      </c>
      <c r="D1059" s="23">
        <v>4.8513072999999997E-2</v>
      </c>
      <c r="E1059" s="24">
        <v>-1.23877000000001E-4</v>
      </c>
      <c r="F1059" s="24">
        <v>-0.25469730318204897</v>
      </c>
      <c r="G1059" s="24">
        <v>-0.81381089701958798</v>
      </c>
      <c r="H1059" s="23">
        <v>4.8513072999999997E-2</v>
      </c>
      <c r="I1059" s="23">
        <v>4.8513072999999997E-2</v>
      </c>
      <c r="K1059">
        <f t="shared" si="32"/>
        <v>-2.5469730318204986E-3</v>
      </c>
      <c r="L1059">
        <f t="shared" si="33"/>
        <v>2.522679968572218E-4</v>
      </c>
    </row>
    <row r="1060" spans="1:12" ht="15" customHeight="1" x14ac:dyDescent="0.3">
      <c r="A1060" s="19">
        <v>44593</v>
      </c>
      <c r="B1060" s="20">
        <v>4.8631272826303702E-2</v>
      </c>
      <c r="C1060" s="20">
        <v>4.8642627480165998E-2</v>
      </c>
      <c r="D1060" s="20">
        <v>4.8636949999999998E-2</v>
      </c>
      <c r="E1060" s="21">
        <v>2.08455999999995E-4</v>
      </c>
      <c r="F1060" s="21">
        <v>0.43044080619147801</v>
      </c>
      <c r="G1060" s="21">
        <v>-0.56054127735418202</v>
      </c>
      <c r="H1060" s="20">
        <v>4.8636949999999998E-2</v>
      </c>
      <c r="I1060" s="20">
        <v>4.8636949999999998E-2</v>
      </c>
      <c r="K1060">
        <f t="shared" si="32"/>
        <v>4.3044080619147884E-3</v>
      </c>
      <c r="L1060">
        <f t="shared" si="33"/>
        <v>2.3345735829026661E-4</v>
      </c>
    </row>
    <row r="1061" spans="1:12" ht="15" customHeight="1" x14ac:dyDescent="0.3">
      <c r="A1061" s="22">
        <v>44592</v>
      </c>
      <c r="B1061" s="23">
        <v>4.8419350309157602E-2</v>
      </c>
      <c r="C1061" s="23">
        <v>4.8437643799254998E-2</v>
      </c>
      <c r="D1061" s="23">
        <v>4.8428494000000002E-2</v>
      </c>
      <c r="E1061" s="24">
        <v>5.4953200000000502E-4</v>
      </c>
      <c r="F1061" s="24">
        <v>1.1477525348189499</v>
      </c>
      <c r="G1061" s="24">
        <v>-0.98673477442765101</v>
      </c>
      <c r="H1061" s="23">
        <v>4.8428494000000002E-2</v>
      </c>
      <c r="I1061" s="23">
        <v>4.8428494000000002E-2</v>
      </c>
      <c r="K1061">
        <f t="shared" si="32"/>
        <v>1.1477525348189577E-2</v>
      </c>
      <c r="L1061">
        <f t="shared" si="33"/>
        <v>3.7774228736899771E-4</v>
      </c>
    </row>
    <row r="1062" spans="1:12" ht="15" customHeight="1" x14ac:dyDescent="0.3">
      <c r="A1062" s="19">
        <v>44589</v>
      </c>
      <c r="B1062" s="20">
        <v>4.7874148438584598E-2</v>
      </c>
      <c r="C1062" s="20">
        <v>4.7883776497684799E-2</v>
      </c>
      <c r="D1062" s="20">
        <v>4.7878961999999997E-2</v>
      </c>
      <c r="E1062" s="21">
        <v>-3.55068E-4</v>
      </c>
      <c r="F1062" s="21">
        <v>-0.7361358775122</v>
      </c>
      <c r="G1062" s="21">
        <v>-2.1102666700496702</v>
      </c>
      <c r="H1062" s="20">
        <v>4.7878961999999997E-2</v>
      </c>
      <c r="I1062" s="20">
        <v>4.7878961999999997E-2</v>
      </c>
      <c r="K1062">
        <f t="shared" si="32"/>
        <v>-7.3613587751220066E-3</v>
      </c>
      <c r="L1062">
        <f t="shared" si="33"/>
        <v>2.0109164230004687E-4</v>
      </c>
    </row>
    <row r="1063" spans="1:12" ht="15" customHeight="1" x14ac:dyDescent="0.3">
      <c r="A1063" s="22">
        <v>44588</v>
      </c>
      <c r="B1063" s="23">
        <v>4.8227169258073202E-2</v>
      </c>
      <c r="C1063" s="23">
        <v>4.8240895736951998E-2</v>
      </c>
      <c r="D1063" s="23">
        <v>4.8234029999999997E-2</v>
      </c>
      <c r="E1063" s="24">
        <v>-1.9094800000000301E-4</v>
      </c>
      <c r="F1063" s="24">
        <v>-0.39431716417094298</v>
      </c>
      <c r="G1063" s="24">
        <v>-1.3843212781257801</v>
      </c>
      <c r="H1063" s="23">
        <v>4.8234029999999997E-2</v>
      </c>
      <c r="I1063" s="23">
        <v>4.8234029999999997E-2</v>
      </c>
      <c r="K1063">
        <f t="shared" si="32"/>
        <v>-3.9431716417094309E-3</v>
      </c>
      <c r="L1063">
        <f t="shared" si="33"/>
        <v>2.8458080070846984E-4</v>
      </c>
    </row>
    <row r="1064" spans="1:12" ht="15" customHeight="1" x14ac:dyDescent="0.3">
      <c r="A1064" s="19">
        <v>44587</v>
      </c>
      <c r="B1064" s="20">
        <v>4.8419819200395099E-2</v>
      </c>
      <c r="C1064" s="20">
        <v>4.8430137105718099E-2</v>
      </c>
      <c r="D1064" s="20">
        <v>4.8424978E-2</v>
      </c>
      <c r="E1064" s="21">
        <v>6.2064000000000495E-5</v>
      </c>
      <c r="F1064" s="21">
        <v>0.128329736293397</v>
      </c>
      <c r="G1064" s="21">
        <v>-0.99392332422094598</v>
      </c>
      <c r="H1064" s="20">
        <v>4.8424978E-2</v>
      </c>
      <c r="I1064" s="20">
        <v>4.8424978E-2</v>
      </c>
      <c r="K1064">
        <f t="shared" si="32"/>
        <v>1.2832973629339772E-3</v>
      </c>
      <c r="L1064">
        <f t="shared" si="33"/>
        <v>2.1306990212777927E-4</v>
      </c>
    </row>
    <row r="1065" spans="1:12" ht="15" customHeight="1" x14ac:dyDescent="0.3">
      <c r="A1065" s="22">
        <v>44586</v>
      </c>
      <c r="B1065" s="23">
        <v>4.8355899419729197E-2</v>
      </c>
      <c r="C1065" s="23">
        <v>4.8369933249492097E-2</v>
      </c>
      <c r="D1065" s="23">
        <v>4.8362914E-2</v>
      </c>
      <c r="E1065" s="24">
        <v>-9.6090999999999497E-5</v>
      </c>
      <c r="F1065" s="24">
        <v>-0.19829338221037901</v>
      </c>
      <c r="G1065" s="24">
        <v>-1.1208147219373401</v>
      </c>
      <c r="H1065" s="23">
        <v>4.8362914E-2</v>
      </c>
      <c r="I1065" s="23">
        <v>4.8362914E-2</v>
      </c>
      <c r="K1065">
        <f t="shared" si="32"/>
        <v>-1.982933822103794E-3</v>
      </c>
      <c r="L1065">
        <f t="shared" si="33"/>
        <v>2.9017750590671298E-4</v>
      </c>
    </row>
    <row r="1066" spans="1:12" ht="15" customHeight="1" x14ac:dyDescent="0.3">
      <c r="A1066" s="19">
        <v>44585</v>
      </c>
      <c r="B1066" s="20">
        <v>4.8453368478176599E-2</v>
      </c>
      <c r="C1066" s="20">
        <v>4.8464640198511197E-2</v>
      </c>
      <c r="D1066" s="20">
        <v>4.8459004999999999E-2</v>
      </c>
      <c r="E1066" s="21">
        <v>-3.9297500000000298E-4</v>
      </c>
      <c r="F1066" s="21">
        <v>-0.80441980038475902</v>
      </c>
      <c r="G1066" s="21">
        <v>-0.92435427307864904</v>
      </c>
      <c r="H1066" s="20">
        <v>4.8459004999999999E-2</v>
      </c>
      <c r="I1066" s="20">
        <v>4.8459004999999999E-2</v>
      </c>
      <c r="K1066">
        <f t="shared" si="32"/>
        <v>-8.0441980038475913E-3</v>
      </c>
      <c r="L1066">
        <f t="shared" si="33"/>
        <v>2.3260321450260324E-4</v>
      </c>
    </row>
    <row r="1067" spans="1:12" ht="15" customHeight="1" x14ac:dyDescent="0.3">
      <c r="A1067" s="22">
        <v>44582</v>
      </c>
      <c r="B1067" s="23">
        <v>4.8842195749752099E-2</v>
      </c>
      <c r="C1067" s="23">
        <v>4.8861765180128899E-2</v>
      </c>
      <c r="D1067" s="23">
        <v>4.8851980000000003E-2</v>
      </c>
      <c r="E1067" s="24">
        <v>-7.10999999999975E-5</v>
      </c>
      <c r="F1067" s="24">
        <v>-0.145330179538982</v>
      </c>
      <c r="G1067" s="24">
        <v>-0.120907073130212</v>
      </c>
      <c r="H1067" s="23">
        <v>4.8851980000000003E-2</v>
      </c>
      <c r="I1067" s="23">
        <v>4.8851980000000003E-2</v>
      </c>
      <c r="K1067">
        <f t="shared" si="32"/>
        <v>-1.4533017953898275E-3</v>
      </c>
      <c r="L1067">
        <f t="shared" si="33"/>
        <v>4.0058622755517173E-4</v>
      </c>
    </row>
    <row r="1068" spans="1:12" ht="15" customHeight="1" x14ac:dyDescent="0.3">
      <c r="A1068" s="19">
        <v>44581</v>
      </c>
      <c r="B1068" s="20">
        <v>4.8917695976519501E-2</v>
      </c>
      <c r="C1068" s="20">
        <v>4.8928466581857302E-2</v>
      </c>
      <c r="D1068" s="20">
        <v>4.8923080000000001E-2</v>
      </c>
      <c r="E1068" s="21">
        <v>6.6926000000001805E-5</v>
      </c>
      <c r="F1068" s="21">
        <v>0.13698581349650399</v>
      </c>
      <c r="G1068" s="21">
        <v>2.4458652211937201E-2</v>
      </c>
      <c r="H1068" s="20">
        <v>4.8923080000000001E-2</v>
      </c>
      <c r="I1068" s="20">
        <v>4.8923080000000001E-2</v>
      </c>
      <c r="K1068">
        <f t="shared" si="32"/>
        <v>1.3698581349650407E-3</v>
      </c>
      <c r="L1068">
        <f t="shared" si="33"/>
        <v>2.201538688447445E-4</v>
      </c>
    </row>
    <row r="1069" spans="1:12" ht="15" customHeight="1" x14ac:dyDescent="0.3">
      <c r="A1069" s="22">
        <v>44580</v>
      </c>
      <c r="B1069" s="23">
        <v>4.8851023917461302E-2</v>
      </c>
      <c r="C1069" s="23">
        <v>4.8861287690375801E-2</v>
      </c>
      <c r="D1069" s="23">
        <v>4.8856153999999999E-2</v>
      </c>
      <c r="E1069" s="24">
        <v>-2.1276600000000301E-4</v>
      </c>
      <c r="F1069" s="24">
        <v>-0.43360644579094598</v>
      </c>
      <c r="G1069" s="24">
        <v>-0.11237322590689899</v>
      </c>
      <c r="H1069" s="23">
        <v>4.8856153999999999E-2</v>
      </c>
      <c r="I1069" s="23">
        <v>4.8856153999999999E-2</v>
      </c>
      <c r="K1069">
        <f t="shared" si="32"/>
        <v>-4.3360644579094609E-3</v>
      </c>
      <c r="L1069">
        <f t="shared" si="33"/>
        <v>2.1008147539611289E-4</v>
      </c>
    </row>
    <row r="1070" spans="1:12" ht="15" customHeight="1" x14ac:dyDescent="0.3">
      <c r="A1070" s="19">
        <v>44579</v>
      </c>
      <c r="B1070" s="20">
        <v>4.9061935787738403E-2</v>
      </c>
      <c r="C1070" s="20">
        <v>4.9075900788159002E-2</v>
      </c>
      <c r="D1070" s="20">
        <v>4.9068920000000002E-2</v>
      </c>
      <c r="E1070" s="21">
        <v>-1.82457999999996E-4</v>
      </c>
      <c r="F1070" s="21">
        <v>-0.37046273101231098</v>
      </c>
      <c r="G1070" s="21">
        <v>0.32263217378577702</v>
      </c>
      <c r="H1070" s="20">
        <v>4.9068920000000002E-2</v>
      </c>
      <c r="I1070" s="20">
        <v>4.9068920000000002E-2</v>
      </c>
      <c r="K1070">
        <f t="shared" si="32"/>
        <v>-3.7046273101231098E-3</v>
      </c>
      <c r="L1070">
        <f t="shared" si="33"/>
        <v>2.8459971037876484E-4</v>
      </c>
    </row>
    <row r="1071" spans="1:12" ht="15" customHeight="1" x14ac:dyDescent="0.3">
      <c r="A1071" s="22">
        <v>44578</v>
      </c>
      <c r="B1071" s="23">
        <v>4.9242163109741097E-2</v>
      </c>
      <c r="C1071" s="23">
        <v>4.9260598417749601E-2</v>
      </c>
      <c r="D1071" s="23">
        <v>4.9251377999999998E-2</v>
      </c>
      <c r="E1071" s="24">
        <v>1.81879999999953E-5</v>
      </c>
      <c r="F1071" s="24">
        <v>3.6942558465113899E-2</v>
      </c>
      <c r="G1071" s="24">
        <v>0.69567211069827195</v>
      </c>
      <c r="H1071" s="23">
        <v>4.9251377999999998E-2</v>
      </c>
      <c r="I1071" s="23">
        <v>4.9251377999999998E-2</v>
      </c>
      <c r="K1071">
        <f t="shared" si="32"/>
        <v>3.6942558465113962E-4</v>
      </c>
      <c r="L1071">
        <f t="shared" si="33"/>
        <v>3.7431050169814113E-4</v>
      </c>
    </row>
    <row r="1072" spans="1:12" ht="15" customHeight="1" x14ac:dyDescent="0.3">
      <c r="A1072" s="19">
        <v>44575</v>
      </c>
      <c r="B1072" s="20">
        <v>4.9226891666379502E-2</v>
      </c>
      <c r="C1072" s="20">
        <v>4.9239495984519099E-2</v>
      </c>
      <c r="D1072" s="20">
        <v>4.9233190000000003E-2</v>
      </c>
      <c r="E1072" s="21">
        <v>1.3657000000000201E-4</v>
      </c>
      <c r="F1072" s="21">
        <v>0.27816578819479498</v>
      </c>
      <c r="G1072" s="21">
        <v>0.65848629055027696</v>
      </c>
      <c r="H1072" s="20">
        <v>4.9233190000000003E-2</v>
      </c>
      <c r="I1072" s="20">
        <v>4.9233190000000003E-2</v>
      </c>
      <c r="K1072">
        <f t="shared" si="32"/>
        <v>2.781657881947952E-3</v>
      </c>
      <c r="L1072">
        <f t="shared" si="33"/>
        <v>2.5601262358984644E-4</v>
      </c>
    </row>
    <row r="1073" spans="1:12" ht="15" customHeight="1" x14ac:dyDescent="0.3">
      <c r="A1073" s="22">
        <v>44574</v>
      </c>
      <c r="B1073" s="23">
        <v>4.9091560669805301E-2</v>
      </c>
      <c r="C1073" s="23">
        <v>4.9101684678801299E-2</v>
      </c>
      <c r="D1073" s="23">
        <v>4.9096620000000001E-2</v>
      </c>
      <c r="E1073" s="24">
        <v>1.6867000000003699E-5</v>
      </c>
      <c r="F1073" s="24">
        <v>3.4366513621209002E-2</v>
      </c>
      <c r="G1073" s="24">
        <v>0.37926551544509501</v>
      </c>
      <c r="H1073" s="23">
        <v>4.9096620000000001E-2</v>
      </c>
      <c r="I1073" s="23">
        <v>4.9096620000000001E-2</v>
      </c>
      <c r="K1073">
        <f t="shared" si="32"/>
        <v>3.4366513621209016E-4</v>
      </c>
      <c r="L1073">
        <f t="shared" si="33"/>
        <v>2.0620582427056353E-4</v>
      </c>
    </row>
    <row r="1074" spans="1:12" ht="15" customHeight="1" x14ac:dyDescent="0.3">
      <c r="A1074" s="19">
        <v>44573</v>
      </c>
      <c r="B1074" s="20">
        <v>4.9073010825506198E-2</v>
      </c>
      <c r="C1074" s="20">
        <v>4.9086500230706501E-2</v>
      </c>
      <c r="D1074" s="20">
        <v>4.9079752999999997E-2</v>
      </c>
      <c r="E1074" s="21">
        <v>-2.4110000000007698E-6</v>
      </c>
      <c r="F1074" s="21">
        <v>-4.9121713541433404E-3</v>
      </c>
      <c r="G1074" s="21">
        <v>0.34478051278199101</v>
      </c>
      <c r="H1074" s="20">
        <v>4.9079752999999997E-2</v>
      </c>
      <c r="I1074" s="20">
        <v>4.9079752999999997E-2</v>
      </c>
      <c r="K1074">
        <f t="shared" si="32"/>
        <v>-4.9121713541433465E-5</v>
      </c>
      <c r="L1074">
        <f t="shared" si="33"/>
        <v>2.748466399230318E-4</v>
      </c>
    </row>
    <row r="1075" spans="1:12" ht="15" customHeight="1" x14ac:dyDescent="0.3">
      <c r="A1075" s="22">
        <v>44572</v>
      </c>
      <c r="B1075" s="23">
        <v>4.90751782655851E-2</v>
      </c>
      <c r="C1075" s="23">
        <v>4.9089150806780203E-2</v>
      </c>
      <c r="D1075" s="23">
        <v>4.9082163999999998E-2</v>
      </c>
      <c r="E1075" s="24">
        <v>2.5046399999999799E-4</v>
      </c>
      <c r="F1075" s="24">
        <v>0.51291271858240295</v>
      </c>
      <c r="G1075" s="24">
        <v>0.34970986248382002</v>
      </c>
      <c r="H1075" s="23">
        <v>4.9082163999999998E-2</v>
      </c>
      <c r="I1075" s="23">
        <v>4.9082163999999998E-2</v>
      </c>
      <c r="K1075">
        <f t="shared" si="32"/>
        <v>5.1291271858240339E-3</v>
      </c>
      <c r="L1075">
        <f t="shared" si="33"/>
        <v>2.8467655165130058E-4</v>
      </c>
    </row>
    <row r="1076" spans="1:12" ht="15" customHeight="1" x14ac:dyDescent="0.3">
      <c r="A1076" s="19">
        <v>44571</v>
      </c>
      <c r="B1076" s="20">
        <v>4.8824787368051001E-2</v>
      </c>
      <c r="C1076" s="20">
        <v>4.8838617671765401E-2</v>
      </c>
      <c r="D1076" s="20">
        <v>4.8831699999999999E-2</v>
      </c>
      <c r="E1076" s="21">
        <v>-8.8986999999998706E-5</v>
      </c>
      <c r="F1076" s="21">
        <v>-0.18190055262305899</v>
      </c>
      <c r="G1076" s="21">
        <v>-0.162370039514735</v>
      </c>
      <c r="H1076" s="20">
        <v>4.8831699999999999E-2</v>
      </c>
      <c r="I1076" s="20">
        <v>4.8831699999999999E-2</v>
      </c>
      <c r="K1076">
        <f t="shared" si="32"/>
        <v>-1.8190055262305993E-3</v>
      </c>
      <c r="L1076">
        <f t="shared" si="33"/>
        <v>2.8322388355105907E-4</v>
      </c>
    </row>
    <row r="1077" spans="1:12" ht="15" customHeight="1" x14ac:dyDescent="0.3">
      <c r="A1077" s="22">
        <v>44568</v>
      </c>
      <c r="B1077" s="23">
        <v>4.8914824615896302E-2</v>
      </c>
      <c r="C1077" s="23">
        <v>4.89265514609468E-2</v>
      </c>
      <c r="D1077" s="23">
        <v>4.8920686999999997E-2</v>
      </c>
      <c r="E1077" s="24">
        <v>1.01669999999984E-5</v>
      </c>
      <c r="F1077" s="24">
        <v>2.0786939087957802E-2</v>
      </c>
      <c r="G1077" s="24">
        <v>1.9566103959556699E-2</v>
      </c>
      <c r="H1077" s="23">
        <v>4.8920686999999997E-2</v>
      </c>
      <c r="I1077" s="23">
        <v>4.8920686999999997E-2</v>
      </c>
      <c r="K1077">
        <f t="shared" si="32"/>
        <v>2.0786939087957812E-4</v>
      </c>
      <c r="L1077">
        <f t="shared" si="33"/>
        <v>2.3971137303322059E-4</v>
      </c>
    </row>
    <row r="1078" spans="1:12" ht="15" customHeight="1" x14ac:dyDescent="0.3">
      <c r="A1078" s="19">
        <v>44567</v>
      </c>
      <c r="B1078" s="20">
        <v>4.8903342543462798E-2</v>
      </c>
      <c r="C1078" s="20">
        <v>4.8917695976519501E-2</v>
      </c>
      <c r="D1078" s="20">
        <v>4.8910519999999999E-2</v>
      </c>
      <c r="E1078" s="21">
        <v>-7.8470000000003997E-5</v>
      </c>
      <c r="F1078" s="21">
        <v>-0.16017884834940099</v>
      </c>
      <c r="G1078" s="21">
        <v>-1.2205814068773199E-3</v>
      </c>
      <c r="H1078" s="20">
        <v>4.8910519999999999E-2</v>
      </c>
      <c r="I1078" s="20">
        <v>4.8910519999999999E-2</v>
      </c>
      <c r="K1078">
        <f t="shared" si="32"/>
        <v>-1.6017884834940155E-3</v>
      </c>
      <c r="L1078">
        <f t="shared" si="33"/>
        <v>2.9346310480246948E-4</v>
      </c>
    </row>
    <row r="1079" spans="1:12" ht="15" customHeight="1" x14ac:dyDescent="0.3">
      <c r="A1079" s="22">
        <v>44566</v>
      </c>
      <c r="B1079" s="23">
        <v>4.89816710586898E-2</v>
      </c>
      <c r="C1079" s="23">
        <v>4.89963105778135E-2</v>
      </c>
      <c r="D1079" s="23">
        <v>4.8988990000000003E-2</v>
      </c>
      <c r="E1079" s="24">
        <v>1.3462399999999899E-4</v>
      </c>
      <c r="F1079" s="24">
        <v>0.27556186073522898</v>
      </c>
      <c r="G1079" s="24">
        <v>0.15921329296160999</v>
      </c>
      <c r="H1079" s="23">
        <v>4.8988990000000003E-2</v>
      </c>
      <c r="I1079" s="23">
        <v>4.8988990000000003E-2</v>
      </c>
      <c r="K1079">
        <f t="shared" si="32"/>
        <v>2.7556186073522948E-3</v>
      </c>
      <c r="L1079">
        <f t="shared" si="33"/>
        <v>2.9883284231210333E-4</v>
      </c>
    </row>
    <row r="1080" spans="1:12" ht="15" customHeight="1" x14ac:dyDescent="0.3">
      <c r="A1080" s="19">
        <v>44565</v>
      </c>
      <c r="B1080" s="20">
        <v>4.8847205939820199E-2</v>
      </c>
      <c r="C1080" s="20">
        <v>4.8861526434085797E-2</v>
      </c>
      <c r="D1080" s="20">
        <v>4.8854366000000003E-2</v>
      </c>
      <c r="E1080" s="21">
        <v>3.4482000000000197E-4</v>
      </c>
      <c r="F1080" s="21">
        <v>0.71082916339806301</v>
      </c>
      <c r="G1080" s="21">
        <v>-0.116028836552626</v>
      </c>
      <c r="H1080" s="20">
        <v>4.8854366000000003E-2</v>
      </c>
      <c r="I1080" s="20">
        <v>4.8854366000000003E-2</v>
      </c>
      <c r="K1080">
        <f t="shared" si="32"/>
        <v>7.1082916339806346E-3</v>
      </c>
      <c r="L1080">
        <f t="shared" si="33"/>
        <v>2.9312619194769396E-4</v>
      </c>
    </row>
    <row r="1081" spans="1:12" ht="15" customHeight="1" x14ac:dyDescent="0.3">
      <c r="A1081" s="22">
        <v>44564</v>
      </c>
      <c r="B1081" s="23">
        <v>4.8501309535357501E-2</v>
      </c>
      <c r="C1081" s="23">
        <v>4.8517781767017598E-2</v>
      </c>
      <c r="D1081" s="23">
        <v>4.8509546000000001E-2</v>
      </c>
      <c r="E1081" s="24">
        <v>-3.5436799999999998E-4</v>
      </c>
      <c r="F1081" s="24">
        <v>-0.72521411199274399</v>
      </c>
      <c r="G1081" s="24">
        <v>-0.82102193658753697</v>
      </c>
      <c r="H1081" s="23">
        <v>4.8509546000000001E-2</v>
      </c>
      <c r="I1081" s="23">
        <v>4.8509546000000001E-2</v>
      </c>
      <c r="K1081">
        <f t="shared" si="32"/>
        <v>-7.2521411199274466E-3</v>
      </c>
      <c r="L1081">
        <f t="shared" si="33"/>
        <v>3.3956680732689953E-4</v>
      </c>
    </row>
    <row r="1082" spans="1:12" ht="15" customHeight="1" x14ac:dyDescent="0.3">
      <c r="A1082" s="19">
        <v>44561</v>
      </c>
      <c r="B1082" s="20">
        <v>4.88548424919878E-2</v>
      </c>
      <c r="C1082" s="20">
        <v>4.8872988876507699E-2</v>
      </c>
      <c r="D1082" s="20">
        <v>4.8863914000000001E-2</v>
      </c>
      <c r="E1082" s="21">
        <v>6.9144000000000096E-5</v>
      </c>
      <c r="F1082" s="21">
        <v>0.14170371127888401</v>
      </c>
      <c r="G1082" s="21">
        <v>-9.6507712142406499E-2</v>
      </c>
      <c r="H1082" s="20">
        <v>4.8863914000000001E-2</v>
      </c>
      <c r="I1082" s="20">
        <v>4.8863914000000001E-2</v>
      </c>
      <c r="K1082">
        <f t="shared" si="32"/>
        <v>1.4170371127888437E-3</v>
      </c>
      <c r="L1082">
        <f t="shared" si="33"/>
        <v>3.7136575919601315E-4</v>
      </c>
    </row>
    <row r="1083" spans="1:12" ht="15" customHeight="1" x14ac:dyDescent="0.3">
      <c r="A1083" s="22">
        <v>44560</v>
      </c>
      <c r="B1083" s="23">
        <v>4.8790483904019397E-2</v>
      </c>
      <c r="C1083" s="23">
        <v>4.87990552502904E-2</v>
      </c>
      <c r="D1083" s="23">
        <v>4.8794770000000001E-2</v>
      </c>
      <c r="E1083" s="24">
        <v>1.43626E-4</v>
      </c>
      <c r="F1083" s="24">
        <v>0.29521607960545299</v>
      </c>
      <c r="G1083" s="24">
        <v>-0.23787434664392501</v>
      </c>
      <c r="H1083" s="23">
        <v>4.8794770000000001E-2</v>
      </c>
      <c r="I1083" s="23">
        <v>4.8794770000000001E-2</v>
      </c>
      <c r="K1083">
        <f t="shared" si="32"/>
        <v>2.9521607960545371E-3</v>
      </c>
      <c r="L1083">
        <f t="shared" si="33"/>
        <v>1.7566116760062215E-4</v>
      </c>
    </row>
    <row r="1084" spans="1:12" ht="15" customHeight="1" x14ac:dyDescent="0.3">
      <c r="A1084" s="19">
        <v>44559</v>
      </c>
      <c r="B1084" s="20">
        <v>4.86442838102095E-2</v>
      </c>
      <c r="C1084" s="20">
        <v>4.8658012028260603E-2</v>
      </c>
      <c r="D1084" s="20">
        <v>4.8651144E-2</v>
      </c>
      <c r="E1084" s="21">
        <v>7.68010000000013E-5</v>
      </c>
      <c r="F1084" s="21">
        <v>0.158110218804208</v>
      </c>
      <c r="G1084" s="21">
        <v>-0.53152128993495795</v>
      </c>
      <c r="H1084" s="20">
        <v>4.8651144E-2</v>
      </c>
      <c r="I1084" s="20">
        <v>4.8651144E-2</v>
      </c>
      <c r="K1084">
        <f t="shared" si="32"/>
        <v>1.5811021880420828E-3</v>
      </c>
      <c r="L1084">
        <f t="shared" si="33"/>
        <v>2.8217667504596653E-4</v>
      </c>
    </row>
    <row r="1085" spans="1:12" ht="15" customHeight="1" x14ac:dyDescent="0.3">
      <c r="A1085" s="22">
        <v>44558</v>
      </c>
      <c r="B1085" s="23">
        <v>4.85651428543677E-2</v>
      </c>
      <c r="C1085" s="23">
        <v>4.8583546696075897E-2</v>
      </c>
      <c r="D1085" s="23">
        <v>4.8574342999999999E-2</v>
      </c>
      <c r="E1085" s="24">
        <v>3.3681799999999503E-4</v>
      </c>
      <c r="F1085" s="24">
        <v>0.69824892549938899</v>
      </c>
      <c r="G1085" s="24">
        <v>-0.68854285212909305</v>
      </c>
      <c r="H1085" s="23">
        <v>4.8574342999999999E-2</v>
      </c>
      <c r="I1085" s="23">
        <v>4.8574342999999999E-2</v>
      </c>
      <c r="K1085">
        <f t="shared" si="32"/>
        <v>6.9824892549938955E-3</v>
      </c>
      <c r="L1085">
        <f t="shared" si="33"/>
        <v>3.7887988949632045E-4</v>
      </c>
    </row>
    <row r="1086" spans="1:12" ht="15" customHeight="1" x14ac:dyDescent="0.3">
      <c r="A1086" s="19">
        <v>44557</v>
      </c>
      <c r="B1086" s="20">
        <v>4.8231821426504402E-2</v>
      </c>
      <c r="C1086" s="20">
        <v>4.8243223033244402E-2</v>
      </c>
      <c r="D1086" s="20">
        <v>4.8237525000000003E-2</v>
      </c>
      <c r="E1086" s="21">
        <v>-2.6261099999999501E-4</v>
      </c>
      <c r="F1086" s="21">
        <v>-0.54146446104810197</v>
      </c>
      <c r="G1086" s="21">
        <v>-1.3771756633568399</v>
      </c>
      <c r="H1086" s="20">
        <v>4.8237525000000003E-2</v>
      </c>
      <c r="I1086" s="20">
        <v>4.8237525000000003E-2</v>
      </c>
      <c r="K1086">
        <f t="shared" si="32"/>
        <v>-5.4146446104810231E-3</v>
      </c>
      <c r="L1086">
        <f t="shared" si="33"/>
        <v>2.3636384205034732E-4</v>
      </c>
    </row>
    <row r="1087" spans="1:12" ht="15" customHeight="1" x14ac:dyDescent="0.3">
      <c r="A1087" s="22">
        <v>44554</v>
      </c>
      <c r="B1087" s="23">
        <v>4.8472157592678797E-2</v>
      </c>
      <c r="C1087" s="23">
        <v>4.8528141469237999E-2</v>
      </c>
      <c r="D1087" s="23">
        <v>4.8500135999999999E-2</v>
      </c>
      <c r="E1087" s="24">
        <v>1.1791600000000201E-4</v>
      </c>
      <c r="F1087" s="24">
        <v>0.24371763015422701</v>
      </c>
      <c r="G1087" s="24">
        <v>-0.84026091655195201</v>
      </c>
      <c r="H1087" s="23">
        <v>4.8500135999999999E-2</v>
      </c>
      <c r="I1087" s="23">
        <v>4.8500135999999999E-2</v>
      </c>
      <c r="K1087">
        <f t="shared" si="32"/>
        <v>2.4371763015422765E-3</v>
      </c>
      <c r="L1087">
        <f t="shared" si="33"/>
        <v>1.1543034963696335E-3</v>
      </c>
    </row>
    <row r="1088" spans="1:12" ht="15" customHeight="1" x14ac:dyDescent="0.3">
      <c r="A1088" s="19">
        <v>44553</v>
      </c>
      <c r="B1088" s="20">
        <v>4.8374613003095999E-2</v>
      </c>
      <c r="C1088" s="20">
        <v>4.8389828458058101E-2</v>
      </c>
      <c r="D1088" s="20">
        <v>4.8382219999999997E-2</v>
      </c>
      <c r="E1088" s="21">
        <v>2.3121999999999699E-4</v>
      </c>
      <c r="F1088" s="21">
        <v>0.48019771136631401</v>
      </c>
      <c r="G1088" s="21">
        <v>-1.0813431228732699</v>
      </c>
      <c r="H1088" s="20">
        <v>4.8382219999999997E-2</v>
      </c>
      <c r="I1088" s="20">
        <v>4.8382219999999997E-2</v>
      </c>
      <c r="K1088">
        <f t="shared" si="32"/>
        <v>4.8019771136631473E-3</v>
      </c>
      <c r="L1088">
        <f t="shared" si="33"/>
        <v>3.1448443172102673E-4</v>
      </c>
    </row>
    <row r="1089" spans="1:12" ht="15" customHeight="1" x14ac:dyDescent="0.3">
      <c r="A1089" s="22">
        <v>44552</v>
      </c>
      <c r="B1089" s="23">
        <v>4.8144974146148899E-2</v>
      </c>
      <c r="C1089" s="23">
        <v>4.8157030444874599E-2</v>
      </c>
      <c r="D1089" s="23">
        <v>4.8150999999999999E-2</v>
      </c>
      <c r="E1089" s="24">
        <v>-4.52520000000025E-5</v>
      </c>
      <c r="F1089" s="24">
        <v>-9.3891118338418303E-2</v>
      </c>
      <c r="G1089" s="24">
        <v>-1.5540781863558699</v>
      </c>
      <c r="H1089" s="23">
        <v>4.8150999999999999E-2</v>
      </c>
      <c r="I1089" s="23">
        <v>4.8150999999999999E-2</v>
      </c>
      <c r="K1089">
        <f t="shared" si="32"/>
        <v>-9.3891118338418345E-4</v>
      </c>
      <c r="L1089">
        <f t="shared" si="33"/>
        <v>2.5038521994767086E-4</v>
      </c>
    </row>
    <row r="1090" spans="1:12" ht="15" customHeight="1" x14ac:dyDescent="0.3">
      <c r="A1090" s="19">
        <v>44551</v>
      </c>
      <c r="B1090" s="20">
        <v>4.8187894237209698E-2</v>
      </c>
      <c r="C1090" s="20">
        <v>4.8204618966589403E-2</v>
      </c>
      <c r="D1090" s="20">
        <v>4.8196252000000002E-2</v>
      </c>
      <c r="E1090" s="21">
        <v>-6.3879999999960601E-6</v>
      </c>
      <c r="F1090" s="21">
        <v>-1.32523861763544E-2</v>
      </c>
      <c r="G1090" s="21">
        <v>-1.4615593424292299</v>
      </c>
      <c r="H1090" s="20">
        <v>4.8196252000000002E-2</v>
      </c>
      <c r="I1090" s="20">
        <v>4.8196252000000002E-2</v>
      </c>
      <c r="K1090">
        <f t="shared" si="32"/>
        <v>-1.3252386176354491E-4</v>
      </c>
      <c r="L1090">
        <f t="shared" si="33"/>
        <v>3.4701307022183282E-4</v>
      </c>
    </row>
    <row r="1091" spans="1:12" ht="15" customHeight="1" x14ac:dyDescent="0.3">
      <c r="A1091" s="22">
        <v>44550</v>
      </c>
      <c r="B1091" s="23">
        <v>4.8194396919414101E-2</v>
      </c>
      <c r="C1091" s="23">
        <v>4.8210893733547998E-2</v>
      </c>
      <c r="D1091" s="23">
        <v>4.8202639999999998E-2</v>
      </c>
      <c r="E1091" s="24">
        <v>-3.1969999999999201E-5</v>
      </c>
      <c r="F1091" s="24">
        <v>-6.62802083400304E-2</v>
      </c>
      <c r="G1091" s="24">
        <v>-1.4484989169231099</v>
      </c>
      <c r="H1091" s="23">
        <v>4.8202639999999998E-2</v>
      </c>
      <c r="I1091" s="23">
        <v>4.8202639999999998E-2</v>
      </c>
      <c r="K1091">
        <f t="shared" si="32"/>
        <v>-6.6280208340030455E-4</v>
      </c>
      <c r="L1091">
        <f t="shared" si="33"/>
        <v>3.4223880961492932E-4</v>
      </c>
    </row>
    <row r="1092" spans="1:12" ht="15" customHeight="1" x14ac:dyDescent="0.3">
      <c r="A1092" s="19">
        <v>44547</v>
      </c>
      <c r="B1092" s="20">
        <v>4.8230193065462799E-2</v>
      </c>
      <c r="C1092" s="20">
        <v>4.8239034061581899E-2</v>
      </c>
      <c r="D1092" s="20">
        <v>4.8234609999999997E-2</v>
      </c>
      <c r="E1092" s="21">
        <v>4.4259999999999401E-4</v>
      </c>
      <c r="F1092" s="21">
        <v>0.92609622403407799</v>
      </c>
      <c r="G1092" s="21">
        <v>-1.38313545364339</v>
      </c>
      <c r="H1092" s="20">
        <v>4.8234609999999997E-2</v>
      </c>
      <c r="I1092" s="20">
        <v>4.8234609999999997E-2</v>
      </c>
      <c r="K1092">
        <f t="shared" si="32"/>
        <v>9.2609622403407865E-3</v>
      </c>
      <c r="L1092">
        <f t="shared" si="33"/>
        <v>1.8329154354311029E-4</v>
      </c>
    </row>
    <row r="1093" spans="1:12" ht="15" customHeight="1" x14ac:dyDescent="0.3">
      <c r="A1093" s="22">
        <v>44546</v>
      </c>
      <c r="B1093" s="23">
        <v>4.7785386273169903E-2</v>
      </c>
      <c r="C1093" s="23">
        <v>4.7798633915042701E-2</v>
      </c>
      <c r="D1093" s="23">
        <v>4.7792010000000003E-2</v>
      </c>
      <c r="E1093" s="24">
        <v>7.2045000000000399E-4</v>
      </c>
      <c r="F1093" s="24">
        <v>1.5305420088053301</v>
      </c>
      <c r="G1093" s="24">
        <v>-2.2880422052107101</v>
      </c>
      <c r="H1093" s="23">
        <v>4.7792010000000003E-2</v>
      </c>
      <c r="I1093" s="23">
        <v>4.7792010000000003E-2</v>
      </c>
      <c r="K1093">
        <f t="shared" ref="K1093:K1156" si="34">D1093/D1094-1</f>
        <v>1.5305420088053356E-2</v>
      </c>
      <c r="L1093">
        <f t="shared" ref="L1093:L1156" si="35">(C1093-B1093)/D1093</f>
        <v>2.7719365376762599E-4</v>
      </c>
    </row>
    <row r="1094" spans="1:12" ht="15" customHeight="1" x14ac:dyDescent="0.3">
      <c r="A1094" s="19">
        <v>44545</v>
      </c>
      <c r="B1094" s="20">
        <v>4.7063696006174799E-2</v>
      </c>
      <c r="C1094" s="20">
        <v>4.7079427702476799E-2</v>
      </c>
      <c r="D1094" s="20">
        <v>4.7071559999999998E-2</v>
      </c>
      <c r="E1094" s="21">
        <v>-9.2689999999999399E-5</v>
      </c>
      <c r="F1094" s="21">
        <v>-0.196525970411909</v>
      </c>
      <c r="G1094" s="21">
        <v>-3.7610202195954701</v>
      </c>
      <c r="H1094" s="20">
        <v>4.7071559999999998E-2</v>
      </c>
      <c r="I1094" s="20">
        <v>4.7071559999999998E-2</v>
      </c>
      <c r="K1094">
        <f t="shared" si="34"/>
        <v>-1.9652597041190933E-3</v>
      </c>
      <c r="L1094">
        <f t="shared" si="35"/>
        <v>3.3420809299713382E-4</v>
      </c>
    </row>
    <row r="1095" spans="1:12" ht="15" customHeight="1" x14ac:dyDescent="0.3">
      <c r="A1095" s="22">
        <v>44544</v>
      </c>
      <c r="B1095" s="23">
        <v>4.71586889884461E-2</v>
      </c>
      <c r="C1095" s="23">
        <v>4.71698113207547E-2</v>
      </c>
      <c r="D1095" s="23">
        <v>4.7164249999999998E-2</v>
      </c>
      <c r="E1095" s="24">
        <v>-6.0264800000000402E-4</v>
      </c>
      <c r="F1095" s="24">
        <v>-1.2616435758503699</v>
      </c>
      <c r="G1095" s="24">
        <v>-3.5715132001585599</v>
      </c>
      <c r="H1095" s="23">
        <v>4.7164249999999998E-2</v>
      </c>
      <c r="I1095" s="23">
        <v>4.7164249999999998E-2</v>
      </c>
      <c r="K1095">
        <f t="shared" si="34"/>
        <v>-1.2616435758503797E-2</v>
      </c>
      <c r="L1095">
        <f t="shared" si="35"/>
        <v>2.3582124826748233E-4</v>
      </c>
    </row>
    <row r="1096" spans="1:12" ht="15" customHeight="1" x14ac:dyDescent="0.3">
      <c r="A1096" s="19">
        <v>44543</v>
      </c>
      <c r="B1096" s="20">
        <v>4.7760965917774699E-2</v>
      </c>
      <c r="C1096" s="20">
        <v>4.77728306357608E-2</v>
      </c>
      <c r="D1096" s="20">
        <v>4.7766898000000002E-2</v>
      </c>
      <c r="E1096" s="21">
        <v>3.42400000000187E-6</v>
      </c>
      <c r="F1096" s="21">
        <v>7.1686577906904204E-3</v>
      </c>
      <c r="G1096" s="21">
        <v>-2.3393843162485801</v>
      </c>
      <c r="H1096" s="20">
        <v>4.7766898000000002E-2</v>
      </c>
      <c r="I1096" s="20">
        <v>4.7766898000000002E-2</v>
      </c>
      <c r="K1096">
        <f t="shared" si="34"/>
        <v>7.1686577906904247E-5</v>
      </c>
      <c r="L1096">
        <f t="shared" si="35"/>
        <v>2.4838786864705861E-4</v>
      </c>
    </row>
    <row r="1097" spans="1:12" ht="15" customHeight="1" x14ac:dyDescent="0.3">
      <c r="A1097" s="22">
        <v>44540</v>
      </c>
      <c r="B1097" s="23">
        <v>4.7757544498092101E-2</v>
      </c>
      <c r="C1097" s="23">
        <v>4.7769407516038601E-2</v>
      </c>
      <c r="D1097" s="23">
        <v>4.7763474E-2</v>
      </c>
      <c r="E1097" s="24">
        <v>2.5527899999999698E-4</v>
      </c>
      <c r="F1097" s="24">
        <v>0.53733676895111304</v>
      </c>
      <c r="G1097" s="24">
        <v>-2.3463847697446698</v>
      </c>
      <c r="H1097" s="23">
        <v>4.7763474E-2</v>
      </c>
      <c r="I1097" s="23">
        <v>4.7763474E-2</v>
      </c>
      <c r="K1097">
        <f t="shared" si="34"/>
        <v>5.3733676895111326E-3</v>
      </c>
      <c r="L1097">
        <f t="shared" si="35"/>
        <v>2.4837008184327839E-4</v>
      </c>
    </row>
    <row r="1098" spans="1:12" ht="15" customHeight="1" x14ac:dyDescent="0.3">
      <c r="A1098" s="19">
        <v>44539</v>
      </c>
      <c r="B1098" s="20">
        <v>4.7500973769962297E-2</v>
      </c>
      <c r="C1098" s="20">
        <v>4.7515418753385497E-2</v>
      </c>
      <c r="D1098" s="20">
        <v>4.7508195000000003E-2</v>
      </c>
      <c r="E1098" s="21">
        <v>-2.7468099999999798E-4</v>
      </c>
      <c r="F1098" s="21">
        <v>-0.57485238017066498</v>
      </c>
      <c r="G1098" s="21">
        <v>-2.8683090594720899</v>
      </c>
      <c r="H1098" s="20">
        <v>4.7508195000000003E-2</v>
      </c>
      <c r="I1098" s="20">
        <v>4.7508195000000003E-2</v>
      </c>
      <c r="K1098">
        <f t="shared" si="34"/>
        <v>-5.7485238017066509E-3</v>
      </c>
      <c r="L1098">
        <f t="shared" si="35"/>
        <v>3.0405245712238456E-4</v>
      </c>
    </row>
    <row r="1099" spans="1:12" ht="15" customHeight="1" x14ac:dyDescent="0.3">
      <c r="A1099" s="22">
        <v>44538</v>
      </c>
      <c r="B1099" s="23">
        <v>4.7776939027070399E-2</v>
      </c>
      <c r="C1099" s="23">
        <v>4.7788811683408698E-2</v>
      </c>
      <c r="D1099" s="23">
        <v>4.7782876000000002E-2</v>
      </c>
      <c r="E1099" s="24">
        <v>4.3663600000000402E-4</v>
      </c>
      <c r="F1099" s="24">
        <v>0.922218955507347</v>
      </c>
      <c r="G1099" s="24">
        <v>-2.3067168962835001</v>
      </c>
      <c r="H1099" s="23">
        <v>4.7782876000000002E-2</v>
      </c>
      <c r="I1099" s="23">
        <v>4.7782876000000002E-2</v>
      </c>
      <c r="K1099">
        <f t="shared" si="34"/>
        <v>9.2221895550734789E-3</v>
      </c>
      <c r="L1099">
        <f t="shared" si="35"/>
        <v>2.4847094466015938E-4</v>
      </c>
    </row>
    <row r="1100" spans="1:12" ht="15" customHeight="1" x14ac:dyDescent="0.3">
      <c r="A1100" s="19">
        <v>44537</v>
      </c>
      <c r="B1100" s="20">
        <v>4.7340191349053401E-2</v>
      </c>
      <c r="C1100" s="20">
        <v>4.7352296349611502E-2</v>
      </c>
      <c r="D1100" s="20">
        <v>4.7346239999999998E-2</v>
      </c>
      <c r="E1100" s="21">
        <v>1.5973500000000099E-4</v>
      </c>
      <c r="F1100" s="21">
        <v>0.338518396308429</v>
      </c>
      <c r="G1100" s="21">
        <v>-3.19943010093185</v>
      </c>
      <c r="H1100" s="20">
        <v>4.7346239999999998E-2</v>
      </c>
      <c r="I1100" s="20">
        <v>4.7346239999999998E-2</v>
      </c>
      <c r="K1100">
        <f t="shared" si="34"/>
        <v>3.3851839630842928E-3</v>
      </c>
      <c r="L1100">
        <f t="shared" si="35"/>
        <v>2.5566973339594747E-4</v>
      </c>
    </row>
    <row r="1101" spans="1:12" ht="15" customHeight="1" x14ac:dyDescent="0.3">
      <c r="A1101" s="22">
        <v>44536</v>
      </c>
      <c r="B1101" s="23">
        <v>4.7179158135102199E-2</v>
      </c>
      <c r="C1101" s="23">
        <v>4.7193853472523702E-2</v>
      </c>
      <c r="D1101" s="23">
        <v>4.7186504999999997E-2</v>
      </c>
      <c r="E1101" s="24">
        <v>5.3710099999999795E-4</v>
      </c>
      <c r="F1101" s="24">
        <v>1.15135661754648</v>
      </c>
      <c r="G1101" s="24">
        <v>-3.52601229695899</v>
      </c>
      <c r="H1101" s="23">
        <v>4.7186504999999997E-2</v>
      </c>
      <c r="I1101" s="23">
        <v>4.7186504999999997E-2</v>
      </c>
      <c r="K1101">
        <f t="shared" si="34"/>
        <v>1.151356617546484E-2</v>
      </c>
      <c r="L1101">
        <f t="shared" si="35"/>
        <v>3.1143093605899677E-4</v>
      </c>
    </row>
    <row r="1102" spans="1:12" ht="15" customHeight="1" x14ac:dyDescent="0.3">
      <c r="A1102" s="19">
        <v>44533</v>
      </c>
      <c r="B1102" s="20">
        <v>4.6645054458101097E-2</v>
      </c>
      <c r="C1102" s="20">
        <v>4.6653759126641603E-2</v>
      </c>
      <c r="D1102" s="20">
        <v>4.6649403999999998E-2</v>
      </c>
      <c r="E1102" s="21">
        <v>-3.4859599999999898E-4</v>
      </c>
      <c r="F1102" s="21">
        <v>-0.74172517979488295</v>
      </c>
      <c r="G1102" s="21">
        <v>-4.6241287026832696</v>
      </c>
      <c r="H1102" s="20">
        <v>4.6649403999999998E-2</v>
      </c>
      <c r="I1102" s="20">
        <v>4.6649403999999998E-2</v>
      </c>
      <c r="K1102">
        <f t="shared" si="34"/>
        <v>-7.4172517979488317E-3</v>
      </c>
      <c r="L1102">
        <f t="shared" si="35"/>
        <v>1.8659763671377119E-4</v>
      </c>
    </row>
    <row r="1103" spans="1:12" ht="15" customHeight="1" x14ac:dyDescent="0.3">
      <c r="A1103" s="22">
        <v>44532</v>
      </c>
      <c r="B1103" s="23">
        <v>4.6989610597096998E-2</v>
      </c>
      <c r="C1103" s="23">
        <v>4.7006397570709402E-2</v>
      </c>
      <c r="D1103" s="23">
        <v>4.6997999999999998E-2</v>
      </c>
      <c r="E1103" s="24">
        <v>-4.2008000000003098E-5</v>
      </c>
      <c r="F1103" s="24">
        <v>-8.9302705900906595E-2</v>
      </c>
      <c r="G1103" s="24">
        <v>-3.9114154763629601</v>
      </c>
      <c r="H1103" s="23">
        <v>4.6997999999999998E-2</v>
      </c>
      <c r="I1103" s="23">
        <v>4.6997999999999998E-2</v>
      </c>
      <c r="K1103">
        <f t="shared" si="34"/>
        <v>-8.9302705900906609E-4</v>
      </c>
      <c r="L1103">
        <f t="shared" si="35"/>
        <v>3.5718485068308818E-4</v>
      </c>
    </row>
    <row r="1104" spans="1:12" ht="15" customHeight="1" x14ac:dyDescent="0.3">
      <c r="A1104" s="19">
        <v>44531</v>
      </c>
      <c r="B1104" s="20">
        <v>4.7032706544130803E-2</v>
      </c>
      <c r="C1104" s="20">
        <v>4.7047310775716097E-2</v>
      </c>
      <c r="D1104" s="20">
        <v>4.7040008000000001E-2</v>
      </c>
      <c r="E1104" s="21">
        <v>5.0565200000000205E-4</v>
      </c>
      <c r="F1104" s="21">
        <v>1.0866208183906101</v>
      </c>
      <c r="G1104" s="21">
        <v>-3.82552907143788</v>
      </c>
      <c r="H1104" s="20">
        <v>4.7040008000000001E-2</v>
      </c>
      <c r="I1104" s="20">
        <v>4.7040008000000001E-2</v>
      </c>
      <c r="K1104">
        <f t="shared" si="34"/>
        <v>1.0866208183906156E-2</v>
      </c>
      <c r="L1104">
        <f t="shared" si="35"/>
        <v>3.1046405403022044E-4</v>
      </c>
    </row>
    <row r="1105" spans="1:12" ht="15" customHeight="1" x14ac:dyDescent="0.3">
      <c r="A1105" s="22">
        <v>44530</v>
      </c>
      <c r="B1105" s="23">
        <v>4.6523529274930801E-2</v>
      </c>
      <c r="C1105" s="23">
        <v>4.6545183737112798E-2</v>
      </c>
      <c r="D1105" s="23">
        <v>4.6534355999999999E-2</v>
      </c>
      <c r="E1105" s="24">
        <v>5.5892799999999999E-4</v>
      </c>
      <c r="F1105" s="24">
        <v>1.2157102702774201</v>
      </c>
      <c r="G1105" s="24">
        <v>-4.8593472113916301</v>
      </c>
      <c r="H1105" s="23">
        <v>4.6534355999999999E-2</v>
      </c>
      <c r="I1105" s="23">
        <v>4.6534355999999999E-2</v>
      </c>
      <c r="K1105">
        <f t="shared" si="34"/>
        <v>1.2157102702774258E-2</v>
      </c>
      <c r="L1105">
        <f t="shared" si="35"/>
        <v>4.653435449283312E-4</v>
      </c>
    </row>
    <row r="1106" spans="1:12" ht="15" customHeight="1" x14ac:dyDescent="0.3">
      <c r="A1106" s="19">
        <v>44529</v>
      </c>
      <c r="B1106" s="20">
        <v>4.5968557506665397E-2</v>
      </c>
      <c r="C1106" s="20">
        <v>4.5982296815726E-2</v>
      </c>
      <c r="D1106" s="20">
        <v>4.5975427999999999E-2</v>
      </c>
      <c r="E1106" s="21">
        <v>1.38038E-4</v>
      </c>
      <c r="F1106" s="21">
        <v>0.30114716392011198</v>
      </c>
      <c r="G1106" s="21">
        <v>-6.0020894636284696</v>
      </c>
      <c r="H1106" s="20">
        <v>4.5975427999999999E-2</v>
      </c>
      <c r="I1106" s="20">
        <v>4.5975427999999999E-2</v>
      </c>
      <c r="K1106">
        <f t="shared" si="34"/>
        <v>3.0114716392011243E-3</v>
      </c>
      <c r="L1106">
        <f t="shared" si="35"/>
        <v>2.9884026442564542E-4</v>
      </c>
    </row>
    <row r="1107" spans="1:12" ht="15" customHeight="1" x14ac:dyDescent="0.3">
      <c r="A1107" s="22">
        <v>44526</v>
      </c>
      <c r="B1107" s="23">
        <v>4.5829934279874203E-2</v>
      </c>
      <c r="C1107" s="23">
        <v>4.5844851852361201E-2</v>
      </c>
      <c r="D1107" s="23">
        <v>4.5837389999999999E-2</v>
      </c>
      <c r="E1107" s="24">
        <v>-5.3457999999999902E-4</v>
      </c>
      <c r="F1107" s="24">
        <v>-1.15280847460221</v>
      </c>
      <c r="G1107" s="24">
        <v>-6.2843116013891001</v>
      </c>
      <c r="H1107" s="23">
        <v>4.5837389999999999E-2</v>
      </c>
      <c r="I1107" s="23">
        <v>4.5837389999999999E-2</v>
      </c>
      <c r="K1107">
        <f t="shared" si="34"/>
        <v>-1.1528084746022182E-2</v>
      </c>
      <c r="L1107">
        <f t="shared" si="35"/>
        <v>3.2544550392154718E-4</v>
      </c>
    </row>
    <row r="1108" spans="1:12" ht="15" customHeight="1" x14ac:dyDescent="0.3">
      <c r="A1108" s="19">
        <v>44525</v>
      </c>
      <c r="B1108" s="20">
        <v>4.6360686138154798E-2</v>
      </c>
      <c r="C1108" s="20">
        <v>4.63832649180176E-2</v>
      </c>
      <c r="D1108" s="20">
        <v>4.6371969999999998E-2</v>
      </c>
      <c r="E1108" s="21">
        <v>-2.9267399999999901E-4</v>
      </c>
      <c r="F1108" s="21">
        <v>-0.62718575545117605</v>
      </c>
      <c r="G1108" s="21">
        <v>-5.1913494431132996</v>
      </c>
      <c r="H1108" s="20">
        <v>4.6371969999999998E-2</v>
      </c>
      <c r="I1108" s="20">
        <v>4.6371969999999998E-2</v>
      </c>
      <c r="K1108">
        <f t="shared" si="34"/>
        <v>-6.2718575545117616E-3</v>
      </c>
      <c r="L1108">
        <f t="shared" si="35"/>
        <v>4.8690577223270008E-4</v>
      </c>
    </row>
    <row r="1109" spans="1:12" ht="15" customHeight="1" x14ac:dyDescent="0.3">
      <c r="A1109" s="22">
        <v>44524</v>
      </c>
      <c r="B1109" s="23">
        <v>4.6656371160763897E-2</v>
      </c>
      <c r="C1109" s="23">
        <v>4.6672920838058997E-2</v>
      </c>
      <c r="D1109" s="23">
        <v>4.6664643999999998E-2</v>
      </c>
      <c r="E1109" s="24">
        <v>-3.24525999999998E-4</v>
      </c>
      <c r="F1109" s="24">
        <v>-0.69063999215137595</v>
      </c>
      <c r="G1109" s="24">
        <v>-4.5929701421458002</v>
      </c>
      <c r="H1109" s="23">
        <v>4.6664643999999998E-2</v>
      </c>
      <c r="I1109" s="23">
        <v>4.6664643999999998E-2</v>
      </c>
      <c r="K1109">
        <f t="shared" si="34"/>
        <v>-6.9063999215137617E-3</v>
      </c>
      <c r="L1109">
        <f t="shared" si="35"/>
        <v>3.5465131363907108E-4</v>
      </c>
    </row>
    <row r="1110" spans="1:12" ht="15" customHeight="1" x14ac:dyDescent="0.3">
      <c r="A1110" s="19">
        <v>44523</v>
      </c>
      <c r="B1110" s="20">
        <v>4.6980338728242199E-2</v>
      </c>
      <c r="C1110" s="20">
        <v>4.6998002584890099E-2</v>
      </c>
      <c r="D1110" s="20">
        <v>4.6989169999999997E-2</v>
      </c>
      <c r="E1110" s="21">
        <v>-7.3897000000000502E-4</v>
      </c>
      <c r="F1110" s="21">
        <v>-1.5482899605976801</v>
      </c>
      <c r="G1110" s="21">
        <v>-3.9294686318449799</v>
      </c>
      <c r="H1110" s="20">
        <v>4.6989169999999997E-2</v>
      </c>
      <c r="I1110" s="20">
        <v>4.6989169999999997E-2</v>
      </c>
      <c r="K1110">
        <f t="shared" si="34"/>
        <v>-1.5482899605976819E-2</v>
      </c>
      <c r="L1110">
        <f t="shared" si="35"/>
        <v>3.7591335722464447E-4</v>
      </c>
    </row>
    <row r="1111" spans="1:12" ht="15" customHeight="1" x14ac:dyDescent="0.3">
      <c r="A1111" s="22">
        <v>44522</v>
      </c>
      <c r="B1111" s="23">
        <v>4.7721535297233601E-2</v>
      </c>
      <c r="C1111" s="23">
        <v>4.7734747554787599E-2</v>
      </c>
      <c r="D1111" s="23">
        <v>4.7728140000000002E-2</v>
      </c>
      <c r="E1111" s="24">
        <v>-2.5650499999999699E-4</v>
      </c>
      <c r="F1111" s="24">
        <v>-0.53455641903779005</v>
      </c>
      <c r="G1111" s="24">
        <v>-2.4186260150223</v>
      </c>
      <c r="H1111" s="23">
        <v>4.7728140000000002E-2</v>
      </c>
      <c r="I1111" s="23">
        <v>4.7728140000000002E-2</v>
      </c>
      <c r="K1111">
        <f t="shared" si="34"/>
        <v>-5.345564190377905E-3</v>
      </c>
      <c r="L1111">
        <f t="shared" si="35"/>
        <v>2.7682322323890099E-4</v>
      </c>
    </row>
    <row r="1112" spans="1:12" ht="15" customHeight="1" x14ac:dyDescent="0.3">
      <c r="A1112" s="19">
        <v>44519</v>
      </c>
      <c r="B1112" s="20">
        <v>4.7976587425336399E-2</v>
      </c>
      <c r="C1112" s="20">
        <v>4.7992705108823502E-2</v>
      </c>
      <c r="D1112" s="20">
        <v>4.7984644999999999E-2</v>
      </c>
      <c r="E1112" s="21">
        <v>-1.4607500000000199E-4</v>
      </c>
      <c r="F1112" s="21">
        <v>-0.30349639481811402</v>
      </c>
      <c r="G1112" s="21">
        <v>-1.89419513768208</v>
      </c>
      <c r="H1112" s="20">
        <v>4.7984644999999999E-2</v>
      </c>
      <c r="I1112" s="20">
        <v>4.7984644999999999E-2</v>
      </c>
      <c r="K1112">
        <f t="shared" si="34"/>
        <v>-3.0349639481811463E-3</v>
      </c>
      <c r="L1112">
        <f t="shared" si="35"/>
        <v>3.3589252326662498E-4</v>
      </c>
    </row>
    <row r="1113" spans="1:12" ht="15" customHeight="1" x14ac:dyDescent="0.3">
      <c r="A1113" s="22">
        <v>44518</v>
      </c>
      <c r="B1113" s="23">
        <v>4.81238901427836E-2</v>
      </c>
      <c r="C1113" s="23">
        <v>4.81375578854134E-2</v>
      </c>
      <c r="D1113" s="23">
        <v>4.8130720000000002E-2</v>
      </c>
      <c r="E1113" s="24">
        <v>-1.6329499999999999E-4</v>
      </c>
      <c r="F1113" s="24">
        <v>-0.33812678444731198</v>
      </c>
      <c r="G1113" s="24">
        <v>-1.59554115274037</v>
      </c>
      <c r="H1113" s="23">
        <v>4.8130720000000002E-2</v>
      </c>
      <c r="I1113" s="23">
        <v>4.8130720000000002E-2</v>
      </c>
      <c r="K1113">
        <f t="shared" si="34"/>
        <v>-3.3812678444731237E-3</v>
      </c>
      <c r="L1113">
        <f t="shared" si="35"/>
        <v>2.8397128964203865E-4</v>
      </c>
    </row>
    <row r="1114" spans="1:12" ht="15" customHeight="1" x14ac:dyDescent="0.3">
      <c r="A1114" s="19">
        <v>44517</v>
      </c>
      <c r="B1114" s="20">
        <v>4.8287950707659899E-2</v>
      </c>
      <c r="C1114" s="20">
        <v>4.8300078729128303E-2</v>
      </c>
      <c r="D1114" s="20">
        <v>4.8294015000000003E-2</v>
      </c>
      <c r="E1114" s="21">
        <v>3.2087800000000301E-4</v>
      </c>
      <c r="F1114" s="21">
        <v>0.66887016373351404</v>
      </c>
      <c r="G1114" s="21">
        <v>-1.26168044782128</v>
      </c>
      <c r="H1114" s="20">
        <v>4.8294015000000003E-2</v>
      </c>
      <c r="I1114" s="20">
        <v>4.8294015000000003E-2</v>
      </c>
      <c r="K1114">
        <f t="shared" si="34"/>
        <v>6.6887016373351482E-3</v>
      </c>
      <c r="L1114">
        <f t="shared" si="35"/>
        <v>2.51128871111743E-4</v>
      </c>
    </row>
    <row r="1115" spans="1:12" ht="15" customHeight="1" x14ac:dyDescent="0.3">
      <c r="A1115" s="22">
        <v>44516</v>
      </c>
      <c r="B1115" s="23">
        <v>4.7965771625368102E-2</v>
      </c>
      <c r="C1115" s="23">
        <v>4.7980500724505597E-2</v>
      </c>
      <c r="D1115" s="23">
        <v>4.7973136999999999E-2</v>
      </c>
      <c r="E1115" s="24">
        <v>-4.2079100000000299E-4</v>
      </c>
      <c r="F1115" s="24">
        <v>-0.86951197679180303</v>
      </c>
      <c r="G1115" s="24">
        <v>-1.91772353103282</v>
      </c>
      <c r="H1115" s="23">
        <v>4.7973136999999999E-2</v>
      </c>
      <c r="I1115" s="23">
        <v>4.7973136999999999E-2</v>
      </c>
      <c r="K1115">
        <f t="shared" si="34"/>
        <v>-8.6951197679180359E-3</v>
      </c>
      <c r="L1115">
        <f t="shared" si="35"/>
        <v>3.0702805900508179E-4</v>
      </c>
    </row>
    <row r="1116" spans="1:12" ht="15" customHeight="1" x14ac:dyDescent="0.3">
      <c r="A1116" s="19">
        <v>44515</v>
      </c>
      <c r="B1116" s="20">
        <v>4.8387486995862899E-2</v>
      </c>
      <c r="C1116" s="20">
        <v>4.8400367842795597E-2</v>
      </c>
      <c r="D1116" s="20">
        <v>4.8393928000000003E-2</v>
      </c>
      <c r="E1116" s="21">
        <v>-4.1393899999999501E-4</v>
      </c>
      <c r="F1116" s="21">
        <v>-0.84809893454265095</v>
      </c>
      <c r="G1116" s="21">
        <v>-1.05740582452859</v>
      </c>
      <c r="H1116" s="20">
        <v>4.8393928000000003E-2</v>
      </c>
      <c r="I1116" s="20">
        <v>4.8393928000000003E-2</v>
      </c>
      <c r="K1116">
        <f t="shared" si="34"/>
        <v>-8.4809893454265151E-3</v>
      </c>
      <c r="L1116">
        <f t="shared" si="35"/>
        <v>2.6616659289771684E-4</v>
      </c>
    </row>
    <row r="1117" spans="1:12" ht="15" customHeight="1" x14ac:dyDescent="0.3">
      <c r="A1117" s="22">
        <v>44512</v>
      </c>
      <c r="B1117" s="23">
        <v>4.8802151198824799E-2</v>
      </c>
      <c r="C1117" s="23">
        <v>4.8813585797199098E-2</v>
      </c>
      <c r="D1117" s="23">
        <v>4.8807866999999998E-2</v>
      </c>
      <c r="E1117" s="24">
        <v>-7.0378000000002801E-5</v>
      </c>
      <c r="F1117" s="24">
        <v>-0.14398634811868499</v>
      </c>
      <c r="G1117" s="24">
        <v>-0.211097203116418</v>
      </c>
      <c r="H1117" s="23">
        <v>4.8807866999999998E-2</v>
      </c>
      <c r="I1117" s="23">
        <v>4.8807866999999998E-2</v>
      </c>
      <c r="K1117">
        <f t="shared" si="34"/>
        <v>-1.4398634811868538E-3</v>
      </c>
      <c r="L1117">
        <f t="shared" si="35"/>
        <v>2.342777727676394E-4</v>
      </c>
    </row>
    <row r="1118" spans="1:12" ht="15" customHeight="1" x14ac:dyDescent="0.3">
      <c r="A1118" s="19">
        <v>44511</v>
      </c>
      <c r="B1118" s="20">
        <v>4.8871794621170299E-2</v>
      </c>
      <c r="C1118" s="20">
        <v>4.8884695668327101E-2</v>
      </c>
      <c r="D1118" s="20">
        <v>4.8878245000000001E-2</v>
      </c>
      <c r="E1118" s="21">
        <v>1.19449999999993E-5</v>
      </c>
      <c r="F1118" s="21">
        <v>2.4444248899557701E-2</v>
      </c>
      <c r="G1118" s="21">
        <v>-6.72076248023456E-2</v>
      </c>
      <c r="H1118" s="20">
        <v>4.8878245000000001E-2</v>
      </c>
      <c r="I1118" s="20">
        <v>4.8878245000000001E-2</v>
      </c>
      <c r="K1118">
        <f t="shared" si="34"/>
        <v>2.4444248899557763E-4</v>
      </c>
      <c r="L1118">
        <f t="shared" si="35"/>
        <v>2.6394251996572215E-4</v>
      </c>
    </row>
    <row r="1119" spans="1:12" ht="15" customHeight="1" x14ac:dyDescent="0.3">
      <c r="A1119" s="22">
        <v>44510</v>
      </c>
      <c r="B1119" s="23">
        <v>4.8859377824682797E-2</v>
      </c>
      <c r="C1119" s="23">
        <v>4.8873227734579298E-2</v>
      </c>
      <c r="D1119" s="23">
        <v>4.8866300000000001E-2</v>
      </c>
      <c r="E1119" s="24">
        <v>-4.8717299999999998E-4</v>
      </c>
      <c r="F1119" s="24">
        <v>-0.98710986357535202</v>
      </c>
      <c r="G1119" s="24">
        <v>-9.1629475564820095E-2</v>
      </c>
      <c r="H1119" s="23">
        <v>4.8866300000000001E-2</v>
      </c>
      <c r="I1119" s="23">
        <v>4.8866300000000001E-2</v>
      </c>
      <c r="K1119">
        <f t="shared" si="34"/>
        <v>-9.871098635753528E-3</v>
      </c>
      <c r="L1119">
        <f t="shared" si="35"/>
        <v>2.8342456655203484E-4</v>
      </c>
    </row>
    <row r="1120" spans="1:12" ht="15" customHeight="1" x14ac:dyDescent="0.3">
      <c r="A1120" s="19">
        <v>44509</v>
      </c>
      <c r="B1120" s="20">
        <v>4.9348354972587001E-2</v>
      </c>
      <c r="C1120" s="20">
        <v>4.9358585185514198E-2</v>
      </c>
      <c r="D1120" s="20">
        <v>4.9353473000000002E-2</v>
      </c>
      <c r="E1120" s="21">
        <v>1.9409500000000499E-4</v>
      </c>
      <c r="F1120" s="21">
        <v>0.39482802243755399</v>
      </c>
      <c r="G1120" s="21">
        <v>0.90440788747475298</v>
      </c>
      <c r="H1120" s="20">
        <v>4.9353473000000002E-2</v>
      </c>
      <c r="I1120" s="20">
        <v>4.9353473000000002E-2</v>
      </c>
      <c r="K1120">
        <f t="shared" si="34"/>
        <v>3.9482802243755444E-3</v>
      </c>
      <c r="L1120">
        <f t="shared" si="35"/>
        <v>2.0728455983627878E-4</v>
      </c>
    </row>
    <row r="1121" spans="1:12" ht="15" customHeight="1" x14ac:dyDescent="0.3">
      <c r="A1121" s="22">
        <v>44508</v>
      </c>
      <c r="B1121" s="23">
        <v>4.9152850619571697E-2</v>
      </c>
      <c r="C1121" s="23">
        <v>4.9165900498050599E-2</v>
      </c>
      <c r="D1121" s="23">
        <v>4.9159377999999997E-2</v>
      </c>
      <c r="E1121" s="24">
        <v>1.94973999999993E-4</v>
      </c>
      <c r="F1121" s="24">
        <v>0.39819539108449897</v>
      </c>
      <c r="G1121" s="24">
        <v>0.50757581349041703</v>
      </c>
      <c r="H1121" s="23">
        <v>4.9159377999999997E-2</v>
      </c>
      <c r="I1121" s="23">
        <v>4.9159377999999997E-2</v>
      </c>
      <c r="K1121">
        <f t="shared" si="34"/>
        <v>3.9819539108449931E-3</v>
      </c>
      <c r="L1121">
        <f t="shared" si="35"/>
        <v>2.6546061015869285E-4</v>
      </c>
    </row>
    <row r="1122" spans="1:12" ht="15" customHeight="1" x14ac:dyDescent="0.3">
      <c r="A1122" s="19">
        <v>44505</v>
      </c>
      <c r="B1122" s="20">
        <v>4.8959608323133397E-2</v>
      </c>
      <c r="C1122" s="20">
        <v>4.8969198374222603E-2</v>
      </c>
      <c r="D1122" s="20">
        <v>4.8964404000000003E-2</v>
      </c>
      <c r="E1122" s="21">
        <v>4.8425800000000097E-4</v>
      </c>
      <c r="F1122" s="21">
        <v>0.99887900502610905</v>
      </c>
      <c r="G1122" s="21">
        <v>0.10894660205778101</v>
      </c>
      <c r="H1122" s="20">
        <v>4.8964404000000003E-2</v>
      </c>
      <c r="I1122" s="20">
        <v>4.8964404000000003E-2</v>
      </c>
      <c r="K1122">
        <f t="shared" si="34"/>
        <v>9.9887900502610982E-3</v>
      </c>
      <c r="L1122">
        <f t="shared" si="35"/>
        <v>1.9585760891128328E-4</v>
      </c>
    </row>
    <row r="1123" spans="1:12" ht="15" customHeight="1" x14ac:dyDescent="0.3">
      <c r="A1123" s="22">
        <v>44504</v>
      </c>
      <c r="B1123" s="23">
        <v>4.8474977216760702E-2</v>
      </c>
      <c r="C1123" s="23">
        <v>4.84853186455141E-2</v>
      </c>
      <c r="D1123" s="23">
        <v>4.8480146000000002E-2</v>
      </c>
      <c r="E1123" s="24">
        <v>4.66700999999999E-4</v>
      </c>
      <c r="F1123" s="24">
        <v>0.97202148273258704</v>
      </c>
      <c r="G1123" s="24">
        <v>-0.88113097069526203</v>
      </c>
      <c r="H1123" s="23">
        <v>4.8480146000000002E-2</v>
      </c>
      <c r="I1123" s="23">
        <v>4.8480146000000002E-2</v>
      </c>
      <c r="K1123">
        <f t="shared" si="34"/>
        <v>9.7202148273258793E-3</v>
      </c>
      <c r="L1123">
        <f t="shared" si="35"/>
        <v>2.1331265696678976E-4</v>
      </c>
    </row>
    <row r="1124" spans="1:12" ht="15" customHeight="1" x14ac:dyDescent="0.3">
      <c r="A1124" s="19">
        <v>44503</v>
      </c>
      <c r="B1124" s="20">
        <v>4.8007911703848799E-2</v>
      </c>
      <c r="C1124" s="20">
        <v>4.8018977099749803E-2</v>
      </c>
      <c r="D1124" s="20">
        <v>4.8013445000000002E-2</v>
      </c>
      <c r="E1124" s="21">
        <v>-1.7642499999999999E-4</v>
      </c>
      <c r="F1124" s="21">
        <v>-0.366103913540338</v>
      </c>
      <c r="G1124" s="21">
        <v>-1.83531281855614</v>
      </c>
      <c r="H1124" s="20">
        <v>4.8013445000000002E-2</v>
      </c>
      <c r="I1124" s="20">
        <v>4.8013445000000002E-2</v>
      </c>
      <c r="K1124">
        <f t="shared" si="34"/>
        <v>-3.6610391354033878E-3</v>
      </c>
      <c r="L1124">
        <f t="shared" si="35"/>
        <v>2.304645271965806E-4</v>
      </c>
    </row>
    <row r="1125" spans="1:12" ht="15" customHeight="1" x14ac:dyDescent="0.3">
      <c r="A1125" s="22">
        <v>44502</v>
      </c>
      <c r="B1125" s="23">
        <v>4.8185107910549203E-2</v>
      </c>
      <c r="C1125" s="23">
        <v>4.8194629190523003E-2</v>
      </c>
      <c r="D1125" s="23">
        <v>4.8189870000000003E-2</v>
      </c>
      <c r="E1125" s="24">
        <v>2.4088700000000199E-4</v>
      </c>
      <c r="F1125" s="24">
        <v>0.50238187533613299</v>
      </c>
      <c r="G1125" s="24">
        <v>-1.4746075007855399</v>
      </c>
      <c r="H1125" s="23">
        <v>4.8189870000000003E-2</v>
      </c>
      <c r="I1125" s="23">
        <v>4.8189870000000003E-2</v>
      </c>
      <c r="K1125">
        <f t="shared" si="34"/>
        <v>5.023818753361331E-3</v>
      </c>
      <c r="L1125">
        <f t="shared" si="35"/>
        <v>1.9757845318527597E-4</v>
      </c>
    </row>
    <row r="1126" spans="1:12" ht="15" customHeight="1" x14ac:dyDescent="0.3">
      <c r="A1126" s="19">
        <v>44501</v>
      </c>
      <c r="B1126" s="20">
        <v>4.7944844251173499E-2</v>
      </c>
      <c r="C1126" s="20">
        <v>4.7953121028882197E-2</v>
      </c>
      <c r="D1126" s="20">
        <v>4.7948983000000001E-2</v>
      </c>
      <c r="E1126" s="21">
        <v>-7.29399999999998E-4</v>
      </c>
      <c r="F1126" s="21">
        <v>-1.4984063870815001</v>
      </c>
      <c r="G1126" s="21">
        <v>-1.96710698714976</v>
      </c>
      <c r="H1126" s="20">
        <v>4.7948983000000001E-2</v>
      </c>
      <c r="I1126" s="20">
        <v>4.7948983000000001E-2</v>
      </c>
      <c r="K1126">
        <f t="shared" si="34"/>
        <v>-1.4984063870815079E-2</v>
      </c>
      <c r="L1126">
        <f t="shared" si="35"/>
        <v>1.7261633492200571E-4</v>
      </c>
    </row>
    <row r="1127" spans="1:12" ht="15" customHeight="1" x14ac:dyDescent="0.3">
      <c r="A1127" s="22">
        <v>44498</v>
      </c>
      <c r="B1127" s="23">
        <v>4.86719848922159E-2</v>
      </c>
      <c r="C1127" s="23">
        <v>4.8684780650720801E-2</v>
      </c>
      <c r="D1127" s="23">
        <v>4.8678382999999999E-2</v>
      </c>
      <c r="E1127" s="24">
        <v>-5.0154399999999895E-4</v>
      </c>
      <c r="F1127" s="24">
        <v>-1.01981444584088</v>
      </c>
      <c r="G1127" s="24">
        <v>-0.47583047428664998</v>
      </c>
      <c r="H1127" s="23">
        <v>4.8678382999999999E-2</v>
      </c>
      <c r="I1127" s="23">
        <v>4.8678382999999999E-2</v>
      </c>
      <c r="K1127">
        <f t="shared" si="34"/>
        <v>-1.0198144458408831E-2</v>
      </c>
      <c r="L1127">
        <f t="shared" si="35"/>
        <v>2.6286326119133257E-4</v>
      </c>
    </row>
    <row r="1128" spans="1:12" ht="15" customHeight="1" x14ac:dyDescent="0.3">
      <c r="A1128" s="19">
        <v>44497</v>
      </c>
      <c r="B1128" s="20">
        <v>4.9175087900469601E-2</v>
      </c>
      <c r="C1128" s="20">
        <v>4.9184762560558697E-2</v>
      </c>
      <c r="D1128" s="20">
        <v>4.9179926999999998E-2</v>
      </c>
      <c r="E1128" s="21">
        <v>-3.48313000000002E-4</v>
      </c>
      <c r="F1128" s="21">
        <v>-0.70326141207521697</v>
      </c>
      <c r="G1128" s="21">
        <v>0.54958875709176902</v>
      </c>
      <c r="H1128" s="20">
        <v>4.9179926999999998E-2</v>
      </c>
      <c r="I1128" s="20">
        <v>4.9179926999999998E-2</v>
      </c>
      <c r="K1128">
        <f t="shared" si="34"/>
        <v>-7.0326141207521786E-3</v>
      </c>
      <c r="L1128">
        <f t="shared" si="35"/>
        <v>1.9671969194048777E-4</v>
      </c>
    </row>
    <row r="1129" spans="1:12" ht="15" customHeight="1" x14ac:dyDescent="0.3">
      <c r="A1129" s="22">
        <v>44496</v>
      </c>
      <c r="B1129" s="23">
        <v>4.9521375901908103E-2</v>
      </c>
      <c r="C1129" s="23">
        <v>4.9535112964825101E-2</v>
      </c>
      <c r="D1129" s="23">
        <v>4.9528240000000001E-2</v>
      </c>
      <c r="E1129" s="24">
        <v>-2.5772999999999701E-5</v>
      </c>
      <c r="F1129" s="24">
        <v>-5.2009914918493799E-2</v>
      </c>
      <c r="G1129" s="24">
        <v>1.26172338284567</v>
      </c>
      <c r="H1129" s="23">
        <v>4.9528240000000001E-2</v>
      </c>
      <c r="I1129" s="23">
        <v>4.9528240000000001E-2</v>
      </c>
      <c r="K1129">
        <f t="shared" si="34"/>
        <v>-5.2009914918493827E-4</v>
      </c>
      <c r="L1129">
        <f t="shared" si="35"/>
        <v>2.7735818831837712E-4</v>
      </c>
    </row>
    <row r="1130" spans="1:12" ht="15" customHeight="1" x14ac:dyDescent="0.3">
      <c r="A1130" s="19">
        <v>44495</v>
      </c>
      <c r="B1130" s="20">
        <v>4.9548612143373902E-2</v>
      </c>
      <c r="C1130" s="20">
        <v>4.9559416784783303E-2</v>
      </c>
      <c r="D1130" s="20">
        <v>4.9554013000000001E-2</v>
      </c>
      <c r="E1130" s="21">
        <v>2.82230000000008E-5</v>
      </c>
      <c r="F1130" s="21">
        <v>5.6986471089115399E-2</v>
      </c>
      <c r="G1130" s="21">
        <v>1.3144169248884701</v>
      </c>
      <c r="H1130" s="20">
        <v>4.9554013000000001E-2</v>
      </c>
      <c r="I1130" s="20">
        <v>4.9554013000000001E-2</v>
      </c>
      <c r="K1130">
        <f t="shared" si="34"/>
        <v>5.6986471089115476E-4</v>
      </c>
      <c r="L1130">
        <f t="shared" si="35"/>
        <v>2.1803766749225659E-4</v>
      </c>
    </row>
    <row r="1131" spans="1:12" ht="15" customHeight="1" x14ac:dyDescent="0.3">
      <c r="A1131" s="22">
        <v>44494</v>
      </c>
      <c r="B1131" s="23">
        <v>4.9519414086292499E-2</v>
      </c>
      <c r="C1131" s="23">
        <v>4.9532168666940699E-2</v>
      </c>
      <c r="D1131" s="23">
        <v>4.952579E-2</v>
      </c>
      <c r="E1131" s="24">
        <v>-8.1688000000003301E-5</v>
      </c>
      <c r="F1131" s="24">
        <v>-0.16466872192132301</v>
      </c>
      <c r="G1131" s="24">
        <v>1.25671429667002</v>
      </c>
      <c r="H1131" s="23">
        <v>4.952579E-2</v>
      </c>
      <c r="I1131" s="23">
        <v>4.952579E-2</v>
      </c>
      <c r="K1131">
        <f t="shared" si="34"/>
        <v>-1.6466872192132387E-3</v>
      </c>
      <c r="L1131">
        <f t="shared" si="35"/>
        <v>2.5753411804637337E-4</v>
      </c>
    </row>
    <row r="1132" spans="1:12" ht="15" customHeight="1" x14ac:dyDescent="0.3">
      <c r="A1132" s="19">
        <v>44491</v>
      </c>
      <c r="B1132" s="20">
        <v>4.9599976192011397E-2</v>
      </c>
      <c r="C1132" s="20">
        <v>4.9614987695483101E-2</v>
      </c>
      <c r="D1132" s="20">
        <v>4.9607478000000003E-2</v>
      </c>
      <c r="E1132" s="21">
        <v>2.5035400000000103E-4</v>
      </c>
      <c r="F1132" s="21">
        <v>0.50722971622090196</v>
      </c>
      <c r="G1132" s="21">
        <v>1.4237274523908401</v>
      </c>
      <c r="H1132" s="20">
        <v>4.9607478000000003E-2</v>
      </c>
      <c r="I1132" s="20">
        <v>4.9607478000000003E-2</v>
      </c>
      <c r="K1132">
        <f t="shared" si="34"/>
        <v>5.0722971622090274E-3</v>
      </c>
      <c r="L1132">
        <f t="shared" si="35"/>
        <v>3.0260565698792631E-4</v>
      </c>
    </row>
    <row r="1133" spans="1:12" ht="15" customHeight="1" x14ac:dyDescent="0.3">
      <c r="A1133" s="22">
        <v>44490</v>
      </c>
      <c r="B1133" s="23">
        <v>4.93507903529075E-2</v>
      </c>
      <c r="C1133" s="23">
        <v>4.9363458206428103E-2</v>
      </c>
      <c r="D1133" s="23">
        <v>4.9357124000000002E-2</v>
      </c>
      <c r="E1133" s="24">
        <v>-1.8338799999999901E-4</v>
      </c>
      <c r="F1133" s="24">
        <v>-0.37017784555799499</v>
      </c>
      <c r="G1133" s="24">
        <v>0.91187244813894797</v>
      </c>
      <c r="H1133" s="23">
        <v>4.9357124000000002E-2</v>
      </c>
      <c r="I1133" s="23">
        <v>4.9357124000000002E-2</v>
      </c>
      <c r="K1133">
        <f t="shared" si="34"/>
        <v>-3.7017784555799516E-3</v>
      </c>
      <c r="L1133">
        <f t="shared" si="35"/>
        <v>2.5665704348175442E-4</v>
      </c>
    </row>
    <row r="1134" spans="1:12" ht="15" customHeight="1" x14ac:dyDescent="0.3">
      <c r="A1134" s="19">
        <v>44489</v>
      </c>
      <c r="B1134" s="20">
        <v>4.9533640772130398E-2</v>
      </c>
      <c r="C1134" s="20">
        <v>4.9547384641301699E-2</v>
      </c>
      <c r="D1134" s="20">
        <v>4.9540512000000002E-2</v>
      </c>
      <c r="E1134" s="21">
        <v>1.65112000000001E-4</v>
      </c>
      <c r="F1134" s="21">
        <v>0.33440134155875401</v>
      </c>
      <c r="G1134" s="21">
        <v>1.28681379327322</v>
      </c>
      <c r="H1134" s="20">
        <v>4.9540512000000002E-2</v>
      </c>
      <c r="I1134" s="20">
        <v>4.9540512000000002E-2</v>
      </c>
      <c r="K1134">
        <f t="shared" si="34"/>
        <v>3.3440134155875434E-3</v>
      </c>
      <c r="L1134">
        <f t="shared" si="35"/>
        <v>2.7742686977682006E-4</v>
      </c>
    </row>
    <row r="1135" spans="1:12" ht="15" customHeight="1" x14ac:dyDescent="0.3">
      <c r="A1135" s="22">
        <v>44488</v>
      </c>
      <c r="B1135" s="23">
        <v>4.9370282052421402E-2</v>
      </c>
      <c r="C1135" s="23">
        <v>4.9380521359544502E-2</v>
      </c>
      <c r="D1135" s="23">
        <v>4.93754E-2</v>
      </c>
      <c r="E1135" s="24">
        <v>2.4741999999999798E-4</v>
      </c>
      <c r="F1135" s="24">
        <v>0.50362339343079598</v>
      </c>
      <c r="G1135" s="24">
        <v>0.94923818648427605</v>
      </c>
      <c r="H1135" s="23">
        <v>4.93754E-2</v>
      </c>
      <c r="I1135" s="23">
        <v>4.93754E-2</v>
      </c>
      <c r="K1135">
        <f t="shared" si="34"/>
        <v>5.0362339343079654E-3</v>
      </c>
      <c r="L1135">
        <f t="shared" si="35"/>
        <v>2.0737669209970857E-4</v>
      </c>
    </row>
    <row r="1136" spans="1:12" ht="15" customHeight="1" x14ac:dyDescent="0.3">
      <c r="A1136" s="19">
        <v>44487</v>
      </c>
      <c r="B1136" s="20">
        <v>4.9121462640671597E-2</v>
      </c>
      <c r="C1136" s="20">
        <v>4.9134495855505299E-2</v>
      </c>
      <c r="D1136" s="20">
        <v>4.9127980000000002E-2</v>
      </c>
      <c r="E1136" s="21">
        <v>2.4496000000000202E-4</v>
      </c>
      <c r="F1136" s="21">
        <v>0.50111470199674102</v>
      </c>
      <c r="G1136" s="21">
        <v>0.44338181849333802</v>
      </c>
      <c r="H1136" s="20">
        <v>4.9127980000000002E-2</v>
      </c>
      <c r="I1136" s="20">
        <v>4.9127980000000002E-2</v>
      </c>
      <c r="K1136">
        <f t="shared" si="34"/>
        <v>5.0111470199674102E-3</v>
      </c>
      <c r="L1136">
        <f t="shared" si="35"/>
        <v>2.6529107921192794E-4</v>
      </c>
    </row>
    <row r="1137" spans="1:12" ht="15" customHeight="1" x14ac:dyDescent="0.3">
      <c r="A1137" s="22">
        <v>44484</v>
      </c>
      <c r="B1137" s="23">
        <v>4.8877766481582902E-2</v>
      </c>
      <c r="C1137" s="23">
        <v>4.88882805013982E-2</v>
      </c>
      <c r="D1137" s="23">
        <v>4.8883019999999999E-2</v>
      </c>
      <c r="E1137" s="24">
        <v>4.2518999999999798E-4</v>
      </c>
      <c r="F1137" s="24">
        <v>0.87744333578287903</v>
      </c>
      <c r="G1137" s="24">
        <v>-5.74450180722672E-2</v>
      </c>
      <c r="H1137" s="23">
        <v>4.8883019999999999E-2</v>
      </c>
      <c r="I1137" s="23">
        <v>4.8883019999999999E-2</v>
      </c>
      <c r="K1137">
        <f t="shared" si="34"/>
        <v>8.7744333578287925E-3</v>
      </c>
      <c r="L1137">
        <f t="shared" si="35"/>
        <v>2.1508531623656577E-4</v>
      </c>
    </row>
    <row r="1138" spans="1:12" ht="15" customHeight="1" x14ac:dyDescent="0.3">
      <c r="A1138" s="19">
        <v>44483</v>
      </c>
      <c r="B1138" s="20">
        <v>4.8451725123673003E-2</v>
      </c>
      <c r="C1138" s="20">
        <v>4.8463935562351297E-2</v>
      </c>
      <c r="D1138" s="20">
        <v>4.845783E-2</v>
      </c>
      <c r="E1138" s="21">
        <v>1.39314000000001E-4</v>
      </c>
      <c r="F1138" s="21">
        <v>0.28832425234253101</v>
      </c>
      <c r="G1138" s="21">
        <v>-0.92675658991798604</v>
      </c>
      <c r="H1138" s="20">
        <v>4.845783E-2</v>
      </c>
      <c r="I1138" s="20">
        <v>4.845783E-2</v>
      </c>
      <c r="K1138">
        <f t="shared" si="34"/>
        <v>2.8832425234253112E-3</v>
      </c>
      <c r="L1138">
        <f t="shared" si="35"/>
        <v>2.519807155684373E-4</v>
      </c>
    </row>
    <row r="1139" spans="1:12" ht="15" customHeight="1" x14ac:dyDescent="0.3">
      <c r="A1139" s="22">
        <v>44482</v>
      </c>
      <c r="B1139" s="23">
        <v>4.8312913075406798E-2</v>
      </c>
      <c r="C1139" s="23">
        <v>4.8324119534542097E-2</v>
      </c>
      <c r="D1139" s="23">
        <v>4.8318515999999999E-2</v>
      </c>
      <c r="E1139" s="24">
        <v>2.4332800000000099E-4</v>
      </c>
      <c r="F1139" s="24">
        <v>0.50614050640842501</v>
      </c>
      <c r="G1139" s="24">
        <v>-1.21158754153988</v>
      </c>
      <c r="H1139" s="23">
        <v>4.8318515999999999E-2</v>
      </c>
      <c r="I1139" s="23">
        <v>4.8318515999999999E-2</v>
      </c>
      <c r="K1139">
        <f t="shared" si="34"/>
        <v>5.0614050640842567E-3</v>
      </c>
      <c r="L1139">
        <f t="shared" si="35"/>
        <v>2.3192887660910242E-4</v>
      </c>
    </row>
    <row r="1140" spans="1:12" ht="15" customHeight="1" x14ac:dyDescent="0.3">
      <c r="A1140" s="19">
        <v>44481</v>
      </c>
      <c r="B1140" s="20">
        <v>4.8069065633502203E-2</v>
      </c>
      <c r="C1140" s="20">
        <v>4.8081315120131203E-2</v>
      </c>
      <c r="D1140" s="20">
        <v>4.8075187999999998E-2</v>
      </c>
      <c r="E1140" s="21">
        <v>6.3520000000011303E-6</v>
      </c>
      <c r="F1140" s="21">
        <v>1.3214382807191701E-2</v>
      </c>
      <c r="G1140" s="21">
        <v>-1.7090777133550199</v>
      </c>
      <c r="H1140" s="20">
        <v>4.8075187999999998E-2</v>
      </c>
      <c r="I1140" s="20">
        <v>4.8075187999999998E-2</v>
      </c>
      <c r="K1140">
        <f t="shared" si="34"/>
        <v>1.3214382807191782E-4</v>
      </c>
      <c r="L1140">
        <f t="shared" si="35"/>
        <v>2.5479851745977331E-4</v>
      </c>
    </row>
    <row r="1141" spans="1:12" ht="15" customHeight="1" x14ac:dyDescent="0.3">
      <c r="A1141" s="22">
        <v>44480</v>
      </c>
      <c r="B1141" s="23">
        <v>4.8063058733057801E-2</v>
      </c>
      <c r="C1141" s="23">
        <v>4.80746117975097E-2</v>
      </c>
      <c r="D1141" s="23">
        <v>4.8068835999999997E-2</v>
      </c>
      <c r="E1141" s="24">
        <v>-1.97206000000005E-4</v>
      </c>
      <c r="F1141" s="24">
        <v>-0.40858125470492002</v>
      </c>
      <c r="G1141" s="24">
        <v>-1.72206453596224</v>
      </c>
      <c r="H1141" s="23">
        <v>4.8068835999999997E-2</v>
      </c>
      <c r="I1141" s="23">
        <v>4.8068835999999997E-2</v>
      </c>
      <c r="K1141">
        <f t="shared" si="34"/>
        <v>-4.0858125470492057E-3</v>
      </c>
      <c r="L1141">
        <f t="shared" si="35"/>
        <v>2.4034416918062321E-4</v>
      </c>
    </row>
    <row r="1142" spans="1:12" ht="15" customHeight="1" x14ac:dyDescent="0.3">
      <c r="A1142" s="19">
        <v>44477</v>
      </c>
      <c r="B1142" s="20">
        <v>4.8260684915640298E-2</v>
      </c>
      <c r="C1142" s="20">
        <v>4.8271401125689103E-2</v>
      </c>
      <c r="D1142" s="20">
        <v>4.8266042000000002E-2</v>
      </c>
      <c r="E1142" s="21">
        <v>-2.3997599999999499E-4</v>
      </c>
      <c r="F1142" s="21">
        <v>-0.494734488409243</v>
      </c>
      <c r="G1142" s="21">
        <v>-1.3188719447973201</v>
      </c>
      <c r="H1142" s="20">
        <v>4.8266042000000002E-2</v>
      </c>
      <c r="I1142" s="20">
        <v>4.8266042000000002E-2</v>
      </c>
      <c r="K1142">
        <f t="shared" si="34"/>
        <v>-4.9473448840924306E-3</v>
      </c>
      <c r="L1142">
        <f t="shared" si="35"/>
        <v>2.2202379985509542E-4</v>
      </c>
    </row>
    <row r="1143" spans="1:12" ht="15" customHeight="1" x14ac:dyDescent="0.3">
      <c r="A1143" s="22">
        <v>44476</v>
      </c>
      <c r="B1143" s="23">
        <v>4.8501309535357501E-2</v>
      </c>
      <c r="C1143" s="23">
        <v>4.8510720869312102E-2</v>
      </c>
      <c r="D1143" s="23">
        <v>4.8506017999999998E-2</v>
      </c>
      <c r="E1143" s="24">
        <v>1.4895199999999999E-4</v>
      </c>
      <c r="F1143" s="24">
        <v>0.308025304926484</v>
      </c>
      <c r="G1143" s="24">
        <v>-0.82823502068046995</v>
      </c>
      <c r="H1143" s="23">
        <v>4.8506017999999998E-2</v>
      </c>
      <c r="I1143" s="23">
        <v>4.8506017999999998E-2</v>
      </c>
      <c r="K1143">
        <f t="shared" si="34"/>
        <v>3.0802530492648472E-3</v>
      </c>
      <c r="L1143">
        <f t="shared" si="35"/>
        <v>1.9402404779136727E-4</v>
      </c>
    </row>
    <row r="1144" spans="1:12" ht="15" customHeight="1" x14ac:dyDescent="0.3">
      <c r="A1144" s="19">
        <v>44475</v>
      </c>
      <c r="B1144" s="20">
        <v>4.8351223285949103E-2</v>
      </c>
      <c r="C1144" s="20">
        <v>4.8362915316535297E-2</v>
      </c>
      <c r="D1144" s="20">
        <v>4.8357065999999997E-2</v>
      </c>
      <c r="E1144" s="21">
        <v>-1.78377999999999E-4</v>
      </c>
      <c r="F1144" s="21">
        <v>-0.36752110478271899</v>
      </c>
      <c r="G1144" s="21">
        <v>-1.13277110395986</v>
      </c>
      <c r="H1144" s="20">
        <v>4.8357065999999997E-2</v>
      </c>
      <c r="I1144" s="20">
        <v>4.8357065999999997E-2</v>
      </c>
      <c r="K1144">
        <f t="shared" si="34"/>
        <v>-3.6752110478271982E-3</v>
      </c>
      <c r="L1144">
        <f t="shared" si="35"/>
        <v>2.4178535947970761E-4</v>
      </c>
    </row>
    <row r="1145" spans="1:12" ht="15" customHeight="1" x14ac:dyDescent="0.3">
      <c r="A1145" s="22">
        <v>44474</v>
      </c>
      <c r="B1145" s="23">
        <v>4.8530025526793398E-2</v>
      </c>
      <c r="C1145" s="23">
        <v>4.8540861697376897E-2</v>
      </c>
      <c r="D1145" s="23">
        <v>4.8535443999999997E-2</v>
      </c>
      <c r="E1145" s="24">
        <v>-2.5926000000002499E-5</v>
      </c>
      <c r="F1145" s="24">
        <v>-5.3388114874031098E-2</v>
      </c>
      <c r="G1145" s="24">
        <v>-0.76807282892353401</v>
      </c>
      <c r="H1145" s="23">
        <v>4.8535443999999997E-2</v>
      </c>
      <c r="I1145" s="23">
        <v>4.8535443999999997E-2</v>
      </c>
      <c r="K1145">
        <f t="shared" si="34"/>
        <v>-5.3388114874031167E-4</v>
      </c>
      <c r="L1145">
        <f t="shared" si="35"/>
        <v>2.2326303605049735E-4</v>
      </c>
    </row>
    <row r="1146" spans="1:12" ht="15" customHeight="1" x14ac:dyDescent="0.3">
      <c r="A1146" s="19">
        <v>44473</v>
      </c>
      <c r="B1146" s="20">
        <v>4.85550031075202E-2</v>
      </c>
      <c r="C1146" s="20">
        <v>4.8567737423384397E-2</v>
      </c>
      <c r="D1146" s="20">
        <v>4.856137E-2</v>
      </c>
      <c r="E1146" s="21">
        <v>-1.7572999999999799E-4</v>
      </c>
      <c r="F1146" s="21">
        <v>-0.36056720650181601</v>
      </c>
      <c r="G1146" s="21">
        <v>-0.71506647456036898</v>
      </c>
      <c r="H1146" s="20">
        <v>4.856137E-2</v>
      </c>
      <c r="I1146" s="20">
        <v>4.856137E-2</v>
      </c>
      <c r="K1146">
        <f t="shared" si="34"/>
        <v>-3.6056720650181617E-3</v>
      </c>
      <c r="L1146">
        <f t="shared" si="35"/>
        <v>2.6223139635879852E-4</v>
      </c>
    </row>
    <row r="1147" spans="1:12" ht="15" customHeight="1" x14ac:dyDescent="0.3">
      <c r="A1147" s="22">
        <v>44470</v>
      </c>
      <c r="B1147" s="23">
        <v>4.8731043624030197E-2</v>
      </c>
      <c r="C1147" s="23">
        <v>4.8743157679240798E-2</v>
      </c>
      <c r="D1147" s="23">
        <v>4.8737099999999998E-2</v>
      </c>
      <c r="E1147" s="24">
        <v>6.2274000000000997E-5</v>
      </c>
      <c r="F1147" s="24">
        <v>0.12793882406483201</v>
      </c>
      <c r="G1147" s="24">
        <v>-0.35578210164367802</v>
      </c>
      <c r="H1147" s="23">
        <v>4.8737099999999998E-2</v>
      </c>
      <c r="I1147" s="23">
        <v>4.8737099999999998E-2</v>
      </c>
      <c r="K1147">
        <f t="shared" si="34"/>
        <v>1.279388240648327E-3</v>
      </c>
      <c r="L1147">
        <f t="shared" si="35"/>
        <v>2.4855921280914436E-4</v>
      </c>
    </row>
    <row r="1148" spans="1:12" ht="15" customHeight="1" x14ac:dyDescent="0.3">
      <c r="A1148" s="19">
        <v>44469</v>
      </c>
      <c r="B1148" s="20">
        <v>4.8670089796315701E-2</v>
      </c>
      <c r="C1148" s="20">
        <v>4.8679566751855897E-2</v>
      </c>
      <c r="D1148" s="20">
        <v>4.8674825999999997E-2</v>
      </c>
      <c r="E1148" s="21">
        <v>-2.40474000000004E-4</v>
      </c>
      <c r="F1148" s="21">
        <v>-0.49161305358447199</v>
      </c>
      <c r="G1148" s="21">
        <v>-0.48310284960369898</v>
      </c>
      <c r="H1148" s="20">
        <v>4.8674825999999997E-2</v>
      </c>
      <c r="I1148" s="20">
        <v>4.8674825999999997E-2</v>
      </c>
      <c r="K1148">
        <f t="shared" si="34"/>
        <v>-4.9161305358447205E-3</v>
      </c>
      <c r="L1148">
        <f t="shared" si="35"/>
        <v>1.9469932034676192E-4</v>
      </c>
    </row>
    <row r="1149" spans="1:12" ht="15" customHeight="1" x14ac:dyDescent="0.3">
      <c r="A1149" s="22">
        <v>44468</v>
      </c>
      <c r="B1149" s="23">
        <v>4.8909800545833403E-2</v>
      </c>
      <c r="C1149" s="23">
        <v>4.8920806997632203E-2</v>
      </c>
      <c r="D1149" s="23">
        <v>4.8915300000000002E-2</v>
      </c>
      <c r="E1149" s="24">
        <v>-3.55493999999997E-4</v>
      </c>
      <c r="F1149" s="24">
        <v>-0.72151059712980403</v>
      </c>
      <c r="G1149" s="24">
        <v>8.55224794805815E-3</v>
      </c>
      <c r="H1149" s="23">
        <v>4.8915300000000002E-2</v>
      </c>
      <c r="I1149" s="23">
        <v>4.8915300000000002E-2</v>
      </c>
      <c r="K1149">
        <f t="shared" si="34"/>
        <v>-7.2151059712980414E-3</v>
      </c>
      <c r="L1149">
        <f t="shared" si="35"/>
        <v>2.2501041185070243E-4</v>
      </c>
    </row>
    <row r="1150" spans="1:12" ht="15" customHeight="1" x14ac:dyDescent="0.3">
      <c r="A1150" s="19">
        <v>44467</v>
      </c>
      <c r="B1150" s="20">
        <v>4.9263510517759498E-2</v>
      </c>
      <c r="C1150" s="20">
        <v>4.9278076183905797E-2</v>
      </c>
      <c r="D1150" s="20">
        <v>4.9270794E-2</v>
      </c>
      <c r="E1150" s="21">
        <v>-4.8045E-4</v>
      </c>
      <c r="F1150" s="21">
        <v>-0.96570449575089601</v>
      </c>
      <c r="G1150" s="21">
        <v>0.73536860750901001</v>
      </c>
      <c r="H1150" s="20">
        <v>4.9270794E-2</v>
      </c>
      <c r="I1150" s="20">
        <v>4.9270794E-2</v>
      </c>
      <c r="K1150">
        <f t="shared" si="34"/>
        <v>-9.6570449575089645E-3</v>
      </c>
      <c r="L1150">
        <f t="shared" si="35"/>
        <v>2.9562474975132225E-4</v>
      </c>
    </row>
    <row r="1151" spans="1:12" ht="15" customHeight="1" x14ac:dyDescent="0.3">
      <c r="A1151" s="22">
        <v>44466</v>
      </c>
      <c r="B1151" s="23">
        <v>4.9747283798304599E-2</v>
      </c>
      <c r="C1151" s="23">
        <v>4.97552043943797E-2</v>
      </c>
      <c r="D1151" s="23">
        <v>4.9751244E-2</v>
      </c>
      <c r="E1151" s="24">
        <v>9.6346999999996603E-5</v>
      </c>
      <c r="F1151" s="24">
        <v>0.19403322898845499</v>
      </c>
      <c r="G1151" s="24">
        <v>1.71766062917762</v>
      </c>
      <c r="H1151" s="23">
        <v>4.9751244E-2</v>
      </c>
      <c r="I1151" s="23">
        <v>4.9751244E-2</v>
      </c>
      <c r="K1151">
        <f t="shared" si="34"/>
        <v>1.9403322898845499E-3</v>
      </c>
      <c r="L1151">
        <f t="shared" si="35"/>
        <v>1.5920398040902332E-4</v>
      </c>
    </row>
    <row r="1152" spans="1:12" ht="15" customHeight="1" x14ac:dyDescent="0.3">
      <c r="A1152" s="19">
        <v>44463</v>
      </c>
      <c r="B1152" s="20">
        <v>4.96492282027476E-2</v>
      </c>
      <c r="C1152" s="20">
        <v>4.9660570004022499E-2</v>
      </c>
      <c r="D1152" s="20">
        <v>4.9654897000000003E-2</v>
      </c>
      <c r="E1152" s="21">
        <v>-2.7083599999999598E-4</v>
      </c>
      <c r="F1152" s="21">
        <v>-0.54247776392185498</v>
      </c>
      <c r="G1152" s="21">
        <v>1.5206767819267</v>
      </c>
      <c r="H1152" s="20">
        <v>4.9654897000000003E-2</v>
      </c>
      <c r="I1152" s="20">
        <v>4.9654897000000003E-2</v>
      </c>
      <c r="K1152">
        <f t="shared" si="34"/>
        <v>-5.4247776392185587E-3</v>
      </c>
      <c r="L1152">
        <f t="shared" si="35"/>
        <v>2.2841254257155428E-4</v>
      </c>
    </row>
    <row r="1153" spans="1:12" ht="15" customHeight="1" x14ac:dyDescent="0.3">
      <c r="A1153" s="22">
        <v>44462</v>
      </c>
      <c r="B1153" s="23">
        <v>4.9920127795527201E-2</v>
      </c>
      <c r="C1153" s="23">
        <v>4.9931344401448002E-2</v>
      </c>
      <c r="D1153" s="23">
        <v>4.9925733E-2</v>
      </c>
      <c r="E1153" s="24">
        <v>3.54929999999975E-5</v>
      </c>
      <c r="F1153" s="24">
        <v>7.1142171294424905E-2</v>
      </c>
      <c r="G1153" s="24">
        <v>2.0744077466069699</v>
      </c>
      <c r="H1153" s="23">
        <v>4.9925733E-2</v>
      </c>
      <c r="I1153" s="23">
        <v>4.9925733E-2</v>
      </c>
      <c r="K1153">
        <f t="shared" si="34"/>
        <v>7.1142171294424905E-4</v>
      </c>
      <c r="L1153">
        <f t="shared" si="35"/>
        <v>2.2466582355037306E-4</v>
      </c>
    </row>
    <row r="1154" spans="1:12" ht="15" customHeight="1" x14ac:dyDescent="0.3">
      <c r="A1154" s="19">
        <v>44461</v>
      </c>
      <c r="B1154" s="20">
        <v>4.9885512748242801E-2</v>
      </c>
      <c r="C1154" s="20">
        <v>4.9894971085864201E-2</v>
      </c>
      <c r="D1154" s="20">
        <v>4.9890240000000002E-2</v>
      </c>
      <c r="E1154" s="21">
        <v>2.7968000000000399E-4</v>
      </c>
      <c r="F1154" s="21">
        <v>0.56375094334755105</v>
      </c>
      <c r="G1154" s="21">
        <v>2.00184142185917</v>
      </c>
      <c r="H1154" s="20">
        <v>4.9890240000000002E-2</v>
      </c>
      <c r="I1154" s="20">
        <v>4.9890240000000002E-2</v>
      </c>
      <c r="K1154">
        <f t="shared" si="34"/>
        <v>5.6375094334755183E-3</v>
      </c>
      <c r="L1154">
        <f t="shared" si="35"/>
        <v>1.895829248646623E-4</v>
      </c>
    </row>
    <row r="1155" spans="1:12" ht="15" customHeight="1" x14ac:dyDescent="0.3">
      <c r="A1155" s="22">
        <v>44460</v>
      </c>
      <c r="B1155" s="23">
        <v>4.96048969954314E-2</v>
      </c>
      <c r="C1155" s="23">
        <v>4.9616218549519503E-2</v>
      </c>
      <c r="D1155" s="23">
        <v>4.9610559999999998E-2</v>
      </c>
      <c r="E1155" s="24">
        <v>7.8635000000000496E-5</v>
      </c>
      <c r="F1155" s="24">
        <v>0.15875619613008299</v>
      </c>
      <c r="G1155" s="24">
        <v>1.43002867834729</v>
      </c>
      <c r="H1155" s="23">
        <v>4.9610559999999998E-2</v>
      </c>
      <c r="I1155" s="23">
        <v>4.9610559999999998E-2</v>
      </c>
      <c r="K1155">
        <f t="shared" si="34"/>
        <v>1.5875619613008318E-3</v>
      </c>
      <c r="L1155">
        <f t="shared" si="35"/>
        <v>2.2820855253606137E-4</v>
      </c>
    </row>
    <row r="1156" spans="1:12" ht="15" customHeight="1" x14ac:dyDescent="0.3">
      <c r="A1156" s="19">
        <v>44459</v>
      </c>
      <c r="B1156" s="20">
        <v>4.9527998177369699E-2</v>
      </c>
      <c r="C1156" s="20">
        <v>4.9535849093989302E-2</v>
      </c>
      <c r="D1156" s="20">
        <v>4.9531924999999997E-2</v>
      </c>
      <c r="E1156" s="21">
        <v>-4.4183899999999899E-4</v>
      </c>
      <c r="F1156" s="21">
        <v>-0.88414192695190896</v>
      </c>
      <c r="G1156" s="21">
        <v>1.26925745735882</v>
      </c>
      <c r="H1156" s="20">
        <v>4.9531924999999997E-2</v>
      </c>
      <c r="I1156" s="20">
        <v>4.9531924999999997E-2</v>
      </c>
      <c r="K1156">
        <f t="shared" si="34"/>
        <v>-8.8414192695190907E-3</v>
      </c>
      <c r="L1156">
        <f t="shared" si="35"/>
        <v>1.5850215027183689E-4</v>
      </c>
    </row>
    <row r="1157" spans="1:12" ht="15" customHeight="1" x14ac:dyDescent="0.3">
      <c r="A1157" s="22">
        <v>44456</v>
      </c>
      <c r="B1157" s="23">
        <v>4.9966772096555798E-2</v>
      </c>
      <c r="C1157" s="23">
        <v>4.9980757408397802E-2</v>
      </c>
      <c r="D1157" s="23">
        <v>4.9973763999999997E-2</v>
      </c>
      <c r="E1157" s="24">
        <v>-1.33966000000006E-4</v>
      </c>
      <c r="F1157" s="24">
        <v>-0.26735595485967101</v>
      </c>
      <c r="G1157" s="24">
        <v>2.1726083254242501</v>
      </c>
      <c r="H1157" s="23">
        <v>4.9973763999999997E-2</v>
      </c>
      <c r="I1157" s="23">
        <v>4.9973763999999997E-2</v>
      </c>
      <c r="K1157">
        <f t="shared" ref="K1157:K1220" si="36">D1157/D1158-1</f>
        <v>-2.6735595485967156E-3</v>
      </c>
      <c r="L1157">
        <f t="shared" ref="L1157:L1220" si="37">(C1157-B1157)/D1157</f>
        <v>2.7985308134893919E-4</v>
      </c>
    </row>
    <row r="1158" spans="1:12" ht="15" customHeight="1" x14ac:dyDescent="0.3">
      <c r="A1158" s="19">
        <v>44455</v>
      </c>
      <c r="B1158" s="20">
        <v>5.0101706464122202E-2</v>
      </c>
      <c r="C1158" s="20">
        <v>5.0113758231184802E-2</v>
      </c>
      <c r="D1158" s="20">
        <v>5.0107730000000003E-2</v>
      </c>
      <c r="E1158" s="21">
        <v>-1.4226399999999601E-4</v>
      </c>
      <c r="F1158" s="21">
        <v>-0.28311247161540898</v>
      </c>
      <c r="G1158" s="21">
        <v>2.44650515750847</v>
      </c>
      <c r="H1158" s="20">
        <v>5.0107730000000003E-2</v>
      </c>
      <c r="I1158" s="20">
        <v>5.0107730000000003E-2</v>
      </c>
      <c r="K1158">
        <f t="shared" si="36"/>
        <v>-2.8311247161540987E-3</v>
      </c>
      <c r="L1158">
        <f t="shared" si="37"/>
        <v>2.4051712305865725E-4</v>
      </c>
    </row>
    <row r="1159" spans="1:12" ht="15" customHeight="1" x14ac:dyDescent="0.3">
      <c r="A1159" s="22">
        <v>44454</v>
      </c>
      <c r="B1159" s="23">
        <v>5.0242924540151598E-2</v>
      </c>
      <c r="C1159" s="23">
        <v>5.0257064886896498E-2</v>
      </c>
      <c r="D1159" s="23">
        <v>5.0249993999999999E-2</v>
      </c>
      <c r="E1159" s="24">
        <v>2.27169999999984E-5</v>
      </c>
      <c r="F1159" s="24">
        <v>4.5228412442099797E-2</v>
      </c>
      <c r="G1159" s="24">
        <v>2.73736745779083</v>
      </c>
      <c r="H1159" s="23">
        <v>5.0249993999999999E-2</v>
      </c>
      <c r="I1159" s="23">
        <v>5.0249993999999999E-2</v>
      </c>
      <c r="K1159">
        <f t="shared" si="36"/>
        <v>4.5228412442099852E-4</v>
      </c>
      <c r="L1159">
        <f t="shared" si="37"/>
        <v>2.813999688218758E-4</v>
      </c>
    </row>
    <row r="1160" spans="1:12" ht="15" customHeight="1" x14ac:dyDescent="0.3">
      <c r="A1160" s="19">
        <v>44453</v>
      </c>
      <c r="B1160" s="20">
        <v>5.02204678538785E-2</v>
      </c>
      <c r="C1160" s="20">
        <v>5.0234090863423599E-2</v>
      </c>
      <c r="D1160" s="20">
        <v>5.0227277000000001E-2</v>
      </c>
      <c r="E1160" s="21">
        <v>-1.42942999999999E-4</v>
      </c>
      <c r="F1160" s="21">
        <v>-0.28378474423974498</v>
      </c>
      <c r="G1160" s="21">
        <v>2.6909219840552798</v>
      </c>
      <c r="H1160" s="20">
        <v>5.0227277000000001E-2</v>
      </c>
      <c r="I1160" s="20">
        <v>5.0227277000000001E-2</v>
      </c>
      <c r="K1160">
        <f t="shared" si="36"/>
        <v>-2.8378474423974565E-3</v>
      </c>
      <c r="L1160">
        <f t="shared" si="37"/>
        <v>2.7122731628668925E-4</v>
      </c>
    </row>
    <row r="1161" spans="1:12" ht="15" customHeight="1" x14ac:dyDescent="0.3">
      <c r="A1161" s="22">
        <v>44452</v>
      </c>
      <c r="B1161" s="23">
        <v>5.0365908323973703E-2</v>
      </c>
      <c r="C1161" s="23">
        <v>5.0374534665235997E-2</v>
      </c>
      <c r="D1161" s="23">
        <v>5.037022E-2</v>
      </c>
      <c r="E1161" s="24">
        <v>3.1690000000000803E-5</v>
      </c>
      <c r="F1161" s="24">
        <v>6.2953765237083695E-2</v>
      </c>
      <c r="G1161" s="24">
        <v>2.98317251679204</v>
      </c>
      <c r="H1161" s="23">
        <v>5.037022E-2</v>
      </c>
      <c r="I1161" s="23">
        <v>5.037022E-2</v>
      </c>
      <c r="K1161">
        <f t="shared" si="36"/>
        <v>6.2953765237083736E-4</v>
      </c>
      <c r="L1161">
        <f t="shared" si="37"/>
        <v>1.7125875690624125E-4</v>
      </c>
    </row>
    <row r="1162" spans="1:12" ht="15" customHeight="1" x14ac:dyDescent="0.3">
      <c r="A1162" s="19">
        <v>44449</v>
      </c>
      <c r="B1162" s="20">
        <v>5.0332699141324197E-2</v>
      </c>
      <c r="C1162" s="20">
        <v>5.0344355390873598E-2</v>
      </c>
      <c r="D1162" s="20">
        <v>5.0338529999999999E-2</v>
      </c>
      <c r="E1162" s="21">
        <v>1.9436400000000199E-4</v>
      </c>
      <c r="F1162" s="21">
        <v>0.38761039519532497</v>
      </c>
      <c r="G1162" s="21">
        <v>2.9183815205038202</v>
      </c>
      <c r="H1162" s="20">
        <v>5.0338529999999999E-2</v>
      </c>
      <c r="I1162" s="20">
        <v>5.0338529999999999E-2</v>
      </c>
      <c r="K1162">
        <f t="shared" si="36"/>
        <v>3.8761039519532581E-3</v>
      </c>
      <c r="L1162">
        <f t="shared" si="37"/>
        <v>2.3155720974372423E-4</v>
      </c>
    </row>
    <row r="1163" spans="1:12" ht="15" customHeight="1" x14ac:dyDescent="0.3">
      <c r="A1163" s="22">
        <v>44448</v>
      </c>
      <c r="B1163" s="23">
        <v>5.0135114132587297E-2</v>
      </c>
      <c r="C1163" s="23">
        <v>5.0153218081238203E-2</v>
      </c>
      <c r="D1163" s="23">
        <v>5.0144165999999997E-2</v>
      </c>
      <c r="E1163" s="24">
        <v>1.63389999999971E-5</v>
      </c>
      <c r="F1163" s="24">
        <v>3.2594670421270899E-2</v>
      </c>
      <c r="G1163" s="24">
        <v>2.5209994693026498</v>
      </c>
      <c r="H1163" s="23">
        <v>5.0144165999999997E-2</v>
      </c>
      <c r="I1163" s="23">
        <v>5.0144165999999997E-2</v>
      </c>
      <c r="K1163">
        <f t="shared" si="36"/>
        <v>3.2594670421270955E-4</v>
      </c>
      <c r="L1163">
        <f t="shared" si="37"/>
        <v>3.6103798497528729E-4</v>
      </c>
    </row>
    <row r="1164" spans="1:12" ht="15" customHeight="1" x14ac:dyDescent="0.3">
      <c r="A1164" s="19">
        <v>44447</v>
      </c>
      <c r="B1164" s="20">
        <v>5.0121042317196003E-2</v>
      </c>
      <c r="C1164" s="20">
        <v>5.01346114316941E-2</v>
      </c>
      <c r="D1164" s="20">
        <v>5.0127827E-2</v>
      </c>
      <c r="E1164" s="21">
        <v>-4.6529000000003403E-5</v>
      </c>
      <c r="F1164" s="21">
        <v>-9.2734623240608993E-2</v>
      </c>
      <c r="G1164" s="21">
        <v>2.4875939758235299</v>
      </c>
      <c r="H1164" s="20">
        <v>5.0127827E-2</v>
      </c>
      <c r="I1164" s="20">
        <v>5.0127827E-2</v>
      </c>
      <c r="K1164">
        <f t="shared" si="36"/>
        <v>-9.2734623240608993E-4</v>
      </c>
      <c r="L1164">
        <f t="shared" si="37"/>
        <v>2.7069025948594383E-4</v>
      </c>
    </row>
    <row r="1165" spans="1:12" ht="15" customHeight="1" x14ac:dyDescent="0.3">
      <c r="A1165" s="22">
        <v>44446</v>
      </c>
      <c r="B1165" s="23">
        <v>5.0169824857141401E-2</v>
      </c>
      <c r="C1165" s="23">
        <v>5.0178887734774497E-2</v>
      </c>
      <c r="D1165" s="23">
        <v>5.0174356000000003E-2</v>
      </c>
      <c r="E1165" s="24">
        <v>-1.12279999999999E-4</v>
      </c>
      <c r="F1165" s="24">
        <v>-0.22327999828821701</v>
      </c>
      <c r="G1165" s="24">
        <v>2.5827236781364098</v>
      </c>
      <c r="H1165" s="23">
        <v>5.0174356000000003E-2</v>
      </c>
      <c r="I1165" s="23">
        <v>5.0174356000000003E-2</v>
      </c>
      <c r="K1165">
        <f t="shared" si="36"/>
        <v>-2.2327999828821721E-3</v>
      </c>
      <c r="L1165">
        <f t="shared" si="37"/>
        <v>1.8062768225854902E-4</v>
      </c>
    </row>
    <row r="1166" spans="1:12" ht="15" customHeight="1" x14ac:dyDescent="0.3">
      <c r="A1166" s="19">
        <v>44445</v>
      </c>
      <c r="B1166" s="20">
        <v>5.0279554322030497E-2</v>
      </c>
      <c r="C1166" s="20">
        <v>5.0293715297336401E-2</v>
      </c>
      <c r="D1166" s="20">
        <v>5.0286636000000003E-2</v>
      </c>
      <c r="E1166" s="21">
        <v>3.28540000000057E-5</v>
      </c>
      <c r="F1166" s="21">
        <v>6.5376174075826299E-2</v>
      </c>
      <c r="G1166" s="21">
        <v>2.81228294172878</v>
      </c>
      <c r="H1166" s="20">
        <v>5.0286636000000003E-2</v>
      </c>
      <c r="I1166" s="20">
        <v>5.0286636000000003E-2</v>
      </c>
      <c r="K1166">
        <f t="shared" si="36"/>
        <v>6.5376174075826299E-4</v>
      </c>
      <c r="L1166">
        <f t="shared" si="37"/>
        <v>2.8160514268452266E-4</v>
      </c>
    </row>
    <row r="1167" spans="1:12" ht="15" customHeight="1" x14ac:dyDescent="0.3">
      <c r="A1167" s="22">
        <v>44442</v>
      </c>
      <c r="B1167" s="23">
        <v>5.0245701480238401E-2</v>
      </c>
      <c r="C1167" s="23">
        <v>5.02618643130711E-2</v>
      </c>
      <c r="D1167" s="23">
        <v>5.0253781999999997E-2</v>
      </c>
      <c r="E1167" s="24">
        <v>1.4228199999999301E-4</v>
      </c>
      <c r="F1167" s="24">
        <v>0.283930834239631</v>
      </c>
      <c r="G1167" s="24">
        <v>2.74511211837586</v>
      </c>
      <c r="H1167" s="23">
        <v>5.0253781999999997E-2</v>
      </c>
      <c r="I1167" s="23">
        <v>5.0253781999999997E-2</v>
      </c>
      <c r="K1167">
        <f t="shared" si="36"/>
        <v>2.8393083423963184E-3</v>
      </c>
      <c r="L1167">
        <f t="shared" si="37"/>
        <v>3.2162420795908974E-4</v>
      </c>
    </row>
    <row r="1168" spans="1:12" ht="15" customHeight="1" x14ac:dyDescent="0.3">
      <c r="A1168" s="19">
        <v>44441</v>
      </c>
      <c r="B1168" s="20">
        <v>5.0104969911965599E-2</v>
      </c>
      <c r="C1168" s="20">
        <v>5.0118027955836003E-2</v>
      </c>
      <c r="D1168" s="20">
        <v>5.0111500000000003E-2</v>
      </c>
      <c r="E1168" s="21">
        <v>-4.6497999999998903E-5</v>
      </c>
      <c r="F1168" s="21">
        <v>-9.2703062032095607E-2</v>
      </c>
      <c r="G1168" s="21">
        <v>2.4542130166440601</v>
      </c>
      <c r="H1168" s="20">
        <v>5.0111500000000003E-2</v>
      </c>
      <c r="I1168" s="20">
        <v>5.0111500000000003E-2</v>
      </c>
      <c r="K1168">
        <f t="shared" si="36"/>
        <v>-9.2703062032095662E-4</v>
      </c>
      <c r="L1168">
        <f t="shared" si="37"/>
        <v>2.6057978448866342E-4</v>
      </c>
    </row>
    <row r="1169" spans="1:12" ht="15" customHeight="1" x14ac:dyDescent="0.3">
      <c r="A1169" s="22">
        <v>44440</v>
      </c>
      <c r="B1169" s="23">
        <v>5.0153721155341099E-2</v>
      </c>
      <c r="C1169" s="23">
        <v>5.0162274959493998E-2</v>
      </c>
      <c r="D1169" s="23">
        <v>5.0157998000000002E-2</v>
      </c>
      <c r="E1169" s="24">
        <v>2.56548000000002E-4</v>
      </c>
      <c r="F1169" s="24">
        <v>0.51410930944892896</v>
      </c>
      <c r="G1169" s="24">
        <v>2.54927933868287</v>
      </c>
      <c r="H1169" s="23">
        <v>5.0157998000000002E-2</v>
      </c>
      <c r="I1169" s="23">
        <v>5.0157998000000002E-2</v>
      </c>
      <c r="K1169">
        <f t="shared" si="36"/>
        <v>5.1410930944892907E-3</v>
      </c>
      <c r="L1169">
        <f t="shared" si="37"/>
        <v>1.7053719235162596E-4</v>
      </c>
    </row>
    <row r="1170" spans="1:12" ht="15" customHeight="1" x14ac:dyDescent="0.3">
      <c r="A1170" s="19">
        <v>44439</v>
      </c>
      <c r="B1170" s="20">
        <v>4.9894473189204799E-2</v>
      </c>
      <c r="C1170" s="20">
        <v>4.9908418052873001E-2</v>
      </c>
      <c r="D1170" s="20">
        <v>4.990145E-2</v>
      </c>
      <c r="E1170" s="21">
        <v>2.24349999999998E-4</v>
      </c>
      <c r="F1170" s="21">
        <v>0.45161653961280901</v>
      </c>
      <c r="G1170" s="21">
        <v>2.0247605467689498</v>
      </c>
      <c r="H1170" s="20">
        <v>4.990145E-2</v>
      </c>
      <c r="I1170" s="20">
        <v>4.990145E-2</v>
      </c>
      <c r="K1170">
        <f t="shared" si="36"/>
        <v>4.5161653961280912E-3</v>
      </c>
      <c r="L1170">
        <f t="shared" si="37"/>
        <v>2.7944806550112878E-4</v>
      </c>
    </row>
    <row r="1171" spans="1:12" ht="15" customHeight="1" x14ac:dyDescent="0.3">
      <c r="A1171" s="22">
        <v>44438</v>
      </c>
      <c r="B1171" s="23">
        <v>4.96729039276365E-2</v>
      </c>
      <c r="C1171" s="23">
        <v>4.9681294495809401E-2</v>
      </c>
      <c r="D1171" s="23">
        <v>4.9677100000000002E-2</v>
      </c>
      <c r="E1171" s="24">
        <v>3.4675700000000298E-4</v>
      </c>
      <c r="F1171" s="24">
        <v>0.70292841872192602</v>
      </c>
      <c r="G1171" s="24">
        <v>1.5660713698278499</v>
      </c>
      <c r="H1171" s="23">
        <v>4.9677100000000002E-2</v>
      </c>
      <c r="I1171" s="23">
        <v>4.9677100000000002E-2</v>
      </c>
      <c r="K1171">
        <f t="shared" si="36"/>
        <v>7.0292841872192646E-3</v>
      </c>
      <c r="L1171">
        <f t="shared" si="37"/>
        <v>1.689021334357595E-4</v>
      </c>
    </row>
    <row r="1172" spans="1:12" ht="15" customHeight="1" x14ac:dyDescent="0.3">
      <c r="A1172" s="19">
        <v>44435</v>
      </c>
      <c r="B1172" s="20">
        <v>4.93254741411202E-2</v>
      </c>
      <c r="C1172" s="20">
        <v>4.9335208071239998E-2</v>
      </c>
      <c r="D1172" s="20">
        <v>4.9330342999999999E-2</v>
      </c>
      <c r="E1172" s="21">
        <v>2.5540599999999898E-4</v>
      </c>
      <c r="F1172" s="21">
        <v>0.52044081075437398</v>
      </c>
      <c r="G1172" s="21">
        <v>0.85711802492672895</v>
      </c>
      <c r="H1172" s="20">
        <v>4.9330342999999999E-2</v>
      </c>
      <c r="I1172" s="20">
        <v>4.9330342999999999E-2</v>
      </c>
      <c r="K1172">
        <f t="shared" si="36"/>
        <v>5.2044081075437454E-3</v>
      </c>
      <c r="L1172">
        <f t="shared" si="37"/>
        <v>1.9732135492750387E-4</v>
      </c>
    </row>
    <row r="1173" spans="1:12" ht="15" customHeight="1" x14ac:dyDescent="0.3">
      <c r="A1173" s="22">
        <v>44434</v>
      </c>
      <c r="B1173" s="23">
        <v>4.9067954209785103E-2</v>
      </c>
      <c r="C1173" s="23">
        <v>4.9081922637073498E-2</v>
      </c>
      <c r="D1173" s="23">
        <v>4.9074936999999999E-2</v>
      </c>
      <c r="E1173" s="24">
        <v>-1.4856099999999801E-4</v>
      </c>
      <c r="F1173" s="24">
        <v>-0.301809107512018</v>
      </c>
      <c r="G1173" s="24">
        <v>0.33493408052815798</v>
      </c>
      <c r="H1173" s="23">
        <v>4.9074936999999999E-2</v>
      </c>
      <c r="I1173" s="23">
        <v>4.9074936999999999E-2</v>
      </c>
      <c r="K1173">
        <f t="shared" si="36"/>
        <v>-3.0180910751201884E-3</v>
      </c>
      <c r="L1173">
        <f t="shared" si="37"/>
        <v>2.8463464534646797E-4</v>
      </c>
    </row>
    <row r="1174" spans="1:12" ht="15" customHeight="1" x14ac:dyDescent="0.3">
      <c r="A1174" s="19">
        <v>44433</v>
      </c>
      <c r="B1174" s="20">
        <v>4.9216231513152998E-2</v>
      </c>
      <c r="C1174" s="20">
        <v>4.9230769230769203E-2</v>
      </c>
      <c r="D1174" s="20">
        <v>4.9223497999999997E-2</v>
      </c>
      <c r="E1174" s="21">
        <v>-7.6442000000002898E-5</v>
      </c>
      <c r="F1174" s="21">
        <v>-0.15505495544214601</v>
      </c>
      <c r="G1174" s="21">
        <v>0.63867075454441202</v>
      </c>
      <c r="H1174" s="20">
        <v>4.9223497999999997E-2</v>
      </c>
      <c r="I1174" s="20">
        <v>4.9223497999999997E-2</v>
      </c>
      <c r="K1174">
        <f t="shared" si="36"/>
        <v>-1.5505495544214654E-3</v>
      </c>
      <c r="L1174">
        <f t="shared" si="37"/>
        <v>2.9534101002339446E-4</v>
      </c>
    </row>
    <row r="1175" spans="1:12" ht="15" customHeight="1" x14ac:dyDescent="0.3">
      <c r="A1175" s="22">
        <v>44432</v>
      </c>
      <c r="B1175" s="23">
        <v>4.92911926496973E-2</v>
      </c>
      <c r="C1175" s="23">
        <v>4.9308692136249797E-2</v>
      </c>
      <c r="D1175" s="23">
        <v>4.929994E-2</v>
      </c>
      <c r="E1175" s="24">
        <v>2.1175200000000201E-4</v>
      </c>
      <c r="F1175" s="24">
        <v>0.43137057737800899</v>
      </c>
      <c r="G1175" s="24">
        <v>0.79495833227444601</v>
      </c>
      <c r="H1175" s="23">
        <v>4.929994E-2</v>
      </c>
      <c r="I1175" s="23">
        <v>4.929994E-2</v>
      </c>
      <c r="K1175">
        <f t="shared" si="36"/>
        <v>4.3137057737800966E-3</v>
      </c>
      <c r="L1175">
        <f t="shared" si="37"/>
        <v>3.5495959127935833E-4</v>
      </c>
    </row>
    <row r="1176" spans="1:12" ht="15" customHeight="1" x14ac:dyDescent="0.3">
      <c r="A1176" s="19">
        <v>44431</v>
      </c>
      <c r="B1176" s="20">
        <v>4.9084090864469E-2</v>
      </c>
      <c r="C1176" s="20">
        <v>4.9092283674852001E-2</v>
      </c>
      <c r="D1176" s="20">
        <v>4.9088187999999998E-2</v>
      </c>
      <c r="E1176" s="21">
        <v>8.1792999999996606E-5</v>
      </c>
      <c r="F1176" s="21">
        <v>0.166902707289517</v>
      </c>
      <c r="G1176" s="21">
        <v>0.36202608090099597</v>
      </c>
      <c r="H1176" s="20">
        <v>4.9088187999999998E-2</v>
      </c>
      <c r="I1176" s="20">
        <v>4.9088187999999998E-2</v>
      </c>
      <c r="K1176">
        <f t="shared" si="36"/>
        <v>1.6690270728951795E-3</v>
      </c>
      <c r="L1176">
        <f t="shared" si="37"/>
        <v>1.6689983307187676E-4</v>
      </c>
    </row>
    <row r="1177" spans="1:12" ht="15" customHeight="1" x14ac:dyDescent="0.3">
      <c r="A1177" s="22">
        <v>44428</v>
      </c>
      <c r="B1177" s="23">
        <v>4.90018326685418E-2</v>
      </c>
      <c r="C1177" s="23">
        <v>4.9010958850398897E-2</v>
      </c>
      <c r="D1177" s="23">
        <v>4.9006395000000001E-2</v>
      </c>
      <c r="E1177" s="24">
        <v>-5.9308899999999803E-4</v>
      </c>
      <c r="F1177" s="24">
        <v>-1.19575639133664</v>
      </c>
      <c r="G1177" s="24">
        <v>0.19479825005837401</v>
      </c>
      <c r="H1177" s="23">
        <v>4.9006395000000001E-2</v>
      </c>
      <c r="I1177" s="23">
        <v>4.9006395000000001E-2</v>
      </c>
      <c r="K1177">
        <f t="shared" si="36"/>
        <v>-1.1957563913366442E-2</v>
      </c>
      <c r="L1177">
        <f t="shared" si="37"/>
        <v>1.8622430515643958E-4</v>
      </c>
    </row>
    <row r="1178" spans="1:12" ht="15" customHeight="1" x14ac:dyDescent="0.3">
      <c r="A1178" s="19">
        <v>44427</v>
      </c>
      <c r="B1178" s="20">
        <v>4.9594318474875498E-2</v>
      </c>
      <c r="C1178" s="20">
        <v>4.9604650932071399E-2</v>
      </c>
      <c r="D1178" s="20">
        <v>4.9599483999999999E-2</v>
      </c>
      <c r="E1178" s="21">
        <v>-4.2427999999999899E-4</v>
      </c>
      <c r="F1178" s="21">
        <v>-0.84815688799426603</v>
      </c>
      <c r="G1178" s="21">
        <v>1.4073835197834501</v>
      </c>
      <c r="H1178" s="20">
        <v>4.9599483999999999E-2</v>
      </c>
      <c r="I1178" s="20">
        <v>4.9599483999999999E-2</v>
      </c>
      <c r="K1178">
        <f t="shared" si="36"/>
        <v>-8.4815688799426692E-3</v>
      </c>
      <c r="L1178">
        <f t="shared" si="37"/>
        <v>2.0831783644968926E-4</v>
      </c>
    </row>
    <row r="1179" spans="1:12" ht="15" customHeight="1" x14ac:dyDescent="0.3">
      <c r="A1179" s="22">
        <v>44426</v>
      </c>
      <c r="B1179" s="23">
        <v>5.0019007222744598E-2</v>
      </c>
      <c r="C1179" s="23">
        <v>5.0028516254264903E-2</v>
      </c>
      <c r="D1179" s="23">
        <v>5.0023763999999998E-2</v>
      </c>
      <c r="E1179" s="24">
        <v>1.25139999999981E-5</v>
      </c>
      <c r="F1179" s="24">
        <v>2.5022369966753999E-2</v>
      </c>
      <c r="G1179" s="24">
        <v>2.2748345739067899</v>
      </c>
      <c r="H1179" s="23">
        <v>5.0023763999999998E-2</v>
      </c>
      <c r="I1179" s="23">
        <v>5.0023763999999998E-2</v>
      </c>
      <c r="K1179">
        <f t="shared" si="36"/>
        <v>2.5022369966753999E-4</v>
      </c>
      <c r="L1179">
        <f t="shared" si="37"/>
        <v>1.9009028429578035E-4</v>
      </c>
    </row>
    <row r="1180" spans="1:12" ht="15" customHeight="1" x14ac:dyDescent="0.3">
      <c r="A1180" s="19">
        <v>44425</v>
      </c>
      <c r="B1180" s="20">
        <v>5.0004750451292899E-2</v>
      </c>
      <c r="C1180" s="20">
        <v>5.0017756303487697E-2</v>
      </c>
      <c r="D1180" s="20">
        <v>5.001125E-2</v>
      </c>
      <c r="E1180" s="21">
        <v>-2.7854499999999799E-4</v>
      </c>
      <c r="F1180" s="21">
        <v>-0.55387976825118601</v>
      </c>
      <c r="G1180" s="21">
        <v>2.2492493884365801</v>
      </c>
      <c r="H1180" s="20">
        <v>5.001125E-2</v>
      </c>
      <c r="I1180" s="20">
        <v>5.001125E-2</v>
      </c>
      <c r="K1180">
        <f t="shared" si="36"/>
        <v>-5.5387976825118646E-3</v>
      </c>
      <c r="L1180">
        <f t="shared" si="37"/>
        <v>2.6005853072653311E-4</v>
      </c>
    </row>
    <row r="1181" spans="1:12" ht="15" customHeight="1" x14ac:dyDescent="0.3">
      <c r="A1181" s="22">
        <v>44424</v>
      </c>
      <c r="B1181" s="23">
        <v>5.0283852346496002E-2</v>
      </c>
      <c r="C1181" s="23">
        <v>5.0295738944996601E-2</v>
      </c>
      <c r="D1181" s="23">
        <v>5.0289794999999998E-2</v>
      </c>
      <c r="E1181" s="24">
        <v>-6.1405000000000406E-5</v>
      </c>
      <c r="F1181" s="24">
        <v>-0.12195339932316</v>
      </c>
      <c r="G1181" s="24">
        <v>2.8187415961078899</v>
      </c>
      <c r="H1181" s="23">
        <v>5.0289794999999998E-2</v>
      </c>
      <c r="I1181" s="23">
        <v>5.0289794999999998E-2</v>
      </c>
      <c r="K1181">
        <f t="shared" si="36"/>
        <v>-1.2195339932316029E-3</v>
      </c>
      <c r="L1181">
        <f t="shared" si="37"/>
        <v>2.3636203926858166E-4</v>
      </c>
    </row>
    <row r="1182" spans="1:12" ht="15" customHeight="1" x14ac:dyDescent="0.3">
      <c r="A1182" s="19">
        <v>44421</v>
      </c>
      <c r="B1182" s="20">
        <v>5.0346636592942397E-2</v>
      </c>
      <c r="C1182" s="20">
        <v>5.0355763468907799E-2</v>
      </c>
      <c r="D1182" s="20">
        <v>5.0351199999999999E-2</v>
      </c>
      <c r="E1182" s="21">
        <v>1.3463999999999799E-4</v>
      </c>
      <c r="F1182" s="21">
        <v>0.26811872418181998</v>
      </c>
      <c r="G1182" s="21">
        <v>2.9442856518692899</v>
      </c>
      <c r="H1182" s="20">
        <v>5.0351199999999999E-2</v>
      </c>
      <c r="I1182" s="20">
        <v>5.0351199999999999E-2</v>
      </c>
      <c r="K1182">
        <f t="shared" si="36"/>
        <v>2.6811872418182059E-3</v>
      </c>
      <c r="L1182">
        <f t="shared" si="37"/>
        <v>1.8126431873326894E-4</v>
      </c>
    </row>
    <row r="1183" spans="1:12" ht="15" customHeight="1" x14ac:dyDescent="0.3">
      <c r="A1183" s="22">
        <v>44420</v>
      </c>
      <c r="B1183" s="23">
        <v>5.02106336079855E-2</v>
      </c>
      <c r="C1183" s="23">
        <v>5.0222485611257903E-2</v>
      </c>
      <c r="D1183" s="23">
        <v>5.021656E-2</v>
      </c>
      <c r="E1183" s="24">
        <v>9.3133000000002105E-5</v>
      </c>
      <c r="F1183" s="24">
        <v>0.185807327180564</v>
      </c>
      <c r="G1183" s="24">
        <v>2.6690108099555401</v>
      </c>
      <c r="H1183" s="23">
        <v>5.021656E-2</v>
      </c>
      <c r="I1183" s="23">
        <v>5.021656E-2</v>
      </c>
      <c r="K1183">
        <f t="shared" si="36"/>
        <v>1.8580732718056492E-3</v>
      </c>
      <c r="L1183">
        <f t="shared" si="37"/>
        <v>2.3601782504422601E-4</v>
      </c>
    </row>
    <row r="1184" spans="1:12" ht="15" customHeight="1" x14ac:dyDescent="0.3">
      <c r="A1184" s="19">
        <v>44419</v>
      </c>
      <c r="B1184" s="20">
        <v>5.0118530324216801E-2</v>
      </c>
      <c r="C1184" s="20">
        <v>5.0128328521013801E-2</v>
      </c>
      <c r="D1184" s="20">
        <v>5.0123426999999998E-2</v>
      </c>
      <c r="E1184" s="21">
        <v>4.6421699999999502E-4</v>
      </c>
      <c r="F1184" s="21">
        <v>0.934805446965425</v>
      </c>
      <c r="G1184" s="21">
        <v>2.4785980659570699</v>
      </c>
      <c r="H1184" s="20">
        <v>5.0123426999999998E-2</v>
      </c>
      <c r="I1184" s="20">
        <v>5.0123426999999998E-2</v>
      </c>
      <c r="K1184">
        <f t="shared" si="36"/>
        <v>9.3480544696542545E-3</v>
      </c>
      <c r="L1184">
        <f t="shared" si="37"/>
        <v>1.9548138232848024E-4</v>
      </c>
    </row>
    <row r="1185" spans="1:12" ht="15" customHeight="1" x14ac:dyDescent="0.3">
      <c r="A1185" s="22">
        <v>44418</v>
      </c>
      <c r="B1185" s="23">
        <v>4.9653172589462599E-2</v>
      </c>
      <c r="C1185" s="23">
        <v>4.9665256173391299E-2</v>
      </c>
      <c r="D1185" s="23">
        <v>4.9659210000000002E-2</v>
      </c>
      <c r="E1185" s="24">
        <v>-5.6785999999996098E-5</v>
      </c>
      <c r="F1185" s="24">
        <v>-0.11422078318614701</v>
      </c>
      <c r="G1185" s="24">
        <v>1.5294948181207999</v>
      </c>
      <c r="H1185" s="23">
        <v>4.9659210000000002E-2</v>
      </c>
      <c r="I1185" s="23">
        <v>4.9659210000000002E-2</v>
      </c>
      <c r="K1185">
        <f t="shared" si="36"/>
        <v>-1.1422078318614748E-3</v>
      </c>
      <c r="L1185">
        <f t="shared" si="37"/>
        <v>2.4333016833534142E-4</v>
      </c>
    </row>
    <row r="1186" spans="1:12" ht="15" customHeight="1" x14ac:dyDescent="0.3">
      <c r="A1186" s="19">
        <v>44417</v>
      </c>
      <c r="B1186" s="20">
        <v>4.9709695378986701E-2</v>
      </c>
      <c r="C1186" s="20">
        <v>4.9722300949198703E-2</v>
      </c>
      <c r="D1186" s="20">
        <v>4.9715995999999998E-2</v>
      </c>
      <c r="E1186" s="21">
        <v>-2.0662400000000201E-4</v>
      </c>
      <c r="F1186" s="21">
        <v>-0.41388853389505698</v>
      </c>
      <c r="G1186" s="21">
        <v>1.6455952130473701</v>
      </c>
      <c r="H1186" s="20">
        <v>4.9715995999999998E-2</v>
      </c>
      <c r="I1186" s="20">
        <v>4.9715995999999998E-2</v>
      </c>
      <c r="K1186">
        <f t="shared" si="36"/>
        <v>-4.1388853389505709E-3</v>
      </c>
      <c r="L1186">
        <f t="shared" si="37"/>
        <v>2.5355159759851703E-4</v>
      </c>
    </row>
    <row r="1187" spans="1:12" ht="15" customHeight="1" x14ac:dyDescent="0.3">
      <c r="A1187" s="22">
        <v>44414</v>
      </c>
      <c r="B1187" s="23">
        <v>4.9915144254766897E-2</v>
      </c>
      <c r="C1187" s="23">
        <v>4.9930097862991803E-2</v>
      </c>
      <c r="D1187" s="23">
        <v>4.9922620000000001E-2</v>
      </c>
      <c r="E1187" s="24">
        <v>-2.7188200000000101E-4</v>
      </c>
      <c r="F1187" s="24">
        <v>-0.54165693286487504</v>
      </c>
      <c r="G1187" s="24">
        <v>2.0680431403764499</v>
      </c>
      <c r="H1187" s="23">
        <v>4.9922620000000001E-2</v>
      </c>
      <c r="I1187" s="23">
        <v>4.9922620000000001E-2</v>
      </c>
      <c r="K1187">
        <f t="shared" si="36"/>
        <v>-5.4165693286487571E-3</v>
      </c>
      <c r="L1187">
        <f t="shared" si="37"/>
        <v>2.9953572598765939E-4</v>
      </c>
    </row>
    <row r="1188" spans="1:12" ht="15" customHeight="1" x14ac:dyDescent="0.3">
      <c r="A1188" s="19">
        <v>44413</v>
      </c>
      <c r="B1188" s="20">
        <v>5.01882057716437E-2</v>
      </c>
      <c r="C1188" s="20">
        <v>5.0200803212851398E-2</v>
      </c>
      <c r="D1188" s="20">
        <v>5.0194502000000002E-2</v>
      </c>
      <c r="E1188" s="21">
        <v>3.7132000000002198E-5</v>
      </c>
      <c r="F1188" s="21">
        <v>7.4030994846818701E-2</v>
      </c>
      <c r="G1188" s="21">
        <v>2.6239126781749902</v>
      </c>
      <c r="H1188" s="20">
        <v>5.0194502000000002E-2</v>
      </c>
      <c r="I1188" s="20">
        <v>5.0194502000000002E-2</v>
      </c>
      <c r="K1188">
        <f t="shared" si="36"/>
        <v>7.4030994846818743E-4</v>
      </c>
      <c r="L1188">
        <f t="shared" si="37"/>
        <v>2.5097253096959617E-4</v>
      </c>
    </row>
    <row r="1189" spans="1:12" ht="15" customHeight="1" x14ac:dyDescent="0.3">
      <c r="A1189" s="22">
        <v>44412</v>
      </c>
      <c r="B1189" s="23">
        <v>5.0150199848546399E-2</v>
      </c>
      <c r="C1189" s="23">
        <v>5.01645396901838E-2</v>
      </c>
      <c r="D1189" s="23">
        <v>5.015737E-2</v>
      </c>
      <c r="E1189" s="24">
        <v>-7.3692000000000202E-5</v>
      </c>
      <c r="F1189" s="24">
        <v>-0.146706036197286</v>
      </c>
      <c r="G1189" s="24">
        <v>2.5479953770019201</v>
      </c>
      <c r="H1189" s="23">
        <v>5.015737E-2</v>
      </c>
      <c r="I1189" s="23">
        <v>5.015737E-2</v>
      </c>
      <c r="K1189">
        <f t="shared" si="36"/>
        <v>-1.4670603619728606E-3</v>
      </c>
      <c r="L1189">
        <f t="shared" si="37"/>
        <v>2.8589700052855172E-4</v>
      </c>
    </row>
    <row r="1190" spans="1:12" ht="15" customHeight="1" x14ac:dyDescent="0.3">
      <c r="A1190" s="19">
        <v>44411</v>
      </c>
      <c r="B1190" s="20">
        <v>5.0223999035699199E-2</v>
      </c>
      <c r="C1190" s="20">
        <v>5.0238128730181103E-2</v>
      </c>
      <c r="D1190" s="20">
        <v>5.0231062E-2</v>
      </c>
      <c r="E1190" s="21">
        <v>-1.7406799999999901E-4</v>
      </c>
      <c r="F1190" s="21">
        <v>-0.34533786541171002</v>
      </c>
      <c r="G1190" s="21">
        <v>2.6986605110654098</v>
      </c>
      <c r="H1190" s="20">
        <v>5.0231062E-2</v>
      </c>
      <c r="I1190" s="20">
        <v>5.0231062E-2</v>
      </c>
      <c r="K1190">
        <f t="shared" si="36"/>
        <v>-3.4533786541171008E-3</v>
      </c>
      <c r="L1190">
        <f t="shared" si="37"/>
        <v>2.8129396272577622E-4</v>
      </c>
    </row>
    <row r="1191" spans="1:12" ht="15" customHeight="1" x14ac:dyDescent="0.3">
      <c r="A1191" s="22">
        <v>44410</v>
      </c>
      <c r="B1191" s="23">
        <v>5.0398907351688602E-2</v>
      </c>
      <c r="C1191" s="23">
        <v>5.0411356670430701E-2</v>
      </c>
      <c r="D1191" s="23">
        <v>5.0405129999999999E-2</v>
      </c>
      <c r="E1191" s="24">
        <v>5.1398000000001103E-5</v>
      </c>
      <c r="F1191" s="24">
        <v>0.10207386415768099</v>
      </c>
      <c r="G1191" s="24">
        <v>3.0545468834825402</v>
      </c>
      <c r="H1191" s="23">
        <v>5.0405129999999999E-2</v>
      </c>
      <c r="I1191" s="23">
        <v>5.0405129999999999E-2</v>
      </c>
      <c r="K1191">
        <f t="shared" si="36"/>
        <v>1.0207386415768127E-3</v>
      </c>
      <c r="L1191">
        <f t="shared" si="37"/>
        <v>2.4698515294177136E-4</v>
      </c>
    </row>
    <row r="1192" spans="1:12" ht="15" customHeight="1" x14ac:dyDescent="0.3">
      <c r="A1192" s="19">
        <v>44407</v>
      </c>
      <c r="B1192" s="20">
        <v>5.0348411004148698E-2</v>
      </c>
      <c r="C1192" s="20">
        <v>5.0359060098502301E-2</v>
      </c>
      <c r="D1192" s="20">
        <v>5.0353731999999998E-2</v>
      </c>
      <c r="E1192" s="21">
        <v>-1.7755000000001201E-5</v>
      </c>
      <c r="F1192" s="21">
        <v>-3.5248115665120698E-2</v>
      </c>
      <c r="G1192" s="21">
        <v>2.9494623890924401</v>
      </c>
      <c r="H1192" s="20">
        <v>5.0353731999999998E-2</v>
      </c>
      <c r="I1192" s="20">
        <v>5.0353731999999998E-2</v>
      </c>
      <c r="K1192">
        <f t="shared" si="36"/>
        <v>-3.5248115665120761E-4</v>
      </c>
      <c r="L1192">
        <f t="shared" si="37"/>
        <v>2.1148570186620497E-4</v>
      </c>
    </row>
    <row r="1193" spans="1:12" ht="15" customHeight="1" x14ac:dyDescent="0.3">
      <c r="A1193" s="22">
        <v>44406</v>
      </c>
      <c r="B1193" s="23">
        <v>5.0365400984139899E-2</v>
      </c>
      <c r="C1193" s="23">
        <v>5.0377579961813801E-2</v>
      </c>
      <c r="D1193" s="23">
        <v>5.0371487E-2</v>
      </c>
      <c r="E1193" s="24">
        <v>2.4806000000000101E-4</v>
      </c>
      <c r="F1193" s="24">
        <v>0.49489832369202702</v>
      </c>
      <c r="G1193" s="24">
        <v>2.9857629299285899</v>
      </c>
      <c r="H1193" s="23">
        <v>5.0371487E-2</v>
      </c>
      <c r="I1193" s="23">
        <v>5.0371487E-2</v>
      </c>
      <c r="K1193">
        <f t="shared" si="36"/>
        <v>4.9489832369202791E-3</v>
      </c>
      <c r="L1193">
        <f t="shared" si="37"/>
        <v>2.4178316740781837E-4</v>
      </c>
    </row>
    <row r="1194" spans="1:12" ht="15" customHeight="1" x14ac:dyDescent="0.3">
      <c r="A1194" s="19">
        <v>44405</v>
      </c>
      <c r="B1194" s="20">
        <v>5.0116520911118401E-2</v>
      </c>
      <c r="C1194" s="20">
        <v>5.0130338881090801E-2</v>
      </c>
      <c r="D1194" s="20">
        <v>5.0123426999999998E-2</v>
      </c>
      <c r="E1194" s="21">
        <v>6.2699999999610205E-7</v>
      </c>
      <c r="F1194" s="21">
        <v>1.2509277215189099E-3</v>
      </c>
      <c r="G1194" s="21">
        <v>2.4785980659570699</v>
      </c>
      <c r="H1194" s="20">
        <v>5.0123426999999998E-2</v>
      </c>
      <c r="I1194" s="20">
        <v>5.0123426999999998E-2</v>
      </c>
      <c r="K1194">
        <f t="shared" si="36"/>
        <v>1.250927721518913E-5</v>
      </c>
      <c r="L1194">
        <f t="shared" si="37"/>
        <v>2.756788751176234E-4</v>
      </c>
    </row>
    <row r="1195" spans="1:12" ht="15" customHeight="1" x14ac:dyDescent="0.3">
      <c r="A1195" s="22">
        <v>44404</v>
      </c>
      <c r="B1195" s="23">
        <v>5.0118279138767499E-2</v>
      </c>
      <c r="C1195" s="23">
        <v>5.0127323401439702E-2</v>
      </c>
      <c r="D1195" s="23">
        <v>5.0122800000000002E-2</v>
      </c>
      <c r="E1195" s="24">
        <v>1.74E-4</v>
      </c>
      <c r="F1195" s="24">
        <v>0.34835671727848599</v>
      </c>
      <c r="G1195" s="24">
        <v>2.4773161488011102</v>
      </c>
      <c r="H1195" s="23">
        <v>5.0122800000000002E-2</v>
      </c>
      <c r="I1195" s="23">
        <v>5.0122800000000002E-2</v>
      </c>
      <c r="K1195">
        <f t="shared" si="36"/>
        <v>3.4835671727848627E-3</v>
      </c>
      <c r="L1195">
        <f t="shared" si="37"/>
        <v>1.8044208767672897E-4</v>
      </c>
    </row>
    <row r="1196" spans="1:12" ht="15" customHeight="1" x14ac:dyDescent="0.3">
      <c r="A1196" s="19">
        <v>44403</v>
      </c>
      <c r="B1196" s="20">
        <v>4.9943314338226102E-2</v>
      </c>
      <c r="C1196" s="20">
        <v>4.9954291822982E-2</v>
      </c>
      <c r="D1196" s="20">
        <v>4.9948800000000002E-2</v>
      </c>
      <c r="E1196" s="21">
        <v>4.7350000000001503E-5</v>
      </c>
      <c r="F1196" s="21">
        <v>9.4887022320988501E-2</v>
      </c>
      <c r="G1196" s="21">
        <v>2.1215688040819098</v>
      </c>
      <c r="H1196" s="20">
        <v>4.9948800000000002E-2</v>
      </c>
      <c r="I1196" s="20">
        <v>4.9948800000000002E-2</v>
      </c>
      <c r="K1196">
        <f t="shared" si="36"/>
        <v>9.4887022320988557E-4</v>
      </c>
      <c r="L1196">
        <f t="shared" si="37"/>
        <v>2.1977474445627196E-4</v>
      </c>
    </row>
    <row r="1197" spans="1:12" ht="15" customHeight="1" x14ac:dyDescent="0.3">
      <c r="A1197" s="22">
        <v>44400</v>
      </c>
      <c r="B1197" s="23">
        <v>4.9892481701932299E-2</v>
      </c>
      <c r="C1197" s="23">
        <v>4.9910410812591399E-2</v>
      </c>
      <c r="D1197" s="23">
        <v>4.990145E-2</v>
      </c>
      <c r="E1197" s="24">
        <v>3.1672199999999802E-4</v>
      </c>
      <c r="F1197" s="24">
        <v>0.63874909226082599</v>
      </c>
      <c r="G1197" s="24">
        <v>2.0247605467689498</v>
      </c>
      <c r="H1197" s="23">
        <v>4.990145E-2</v>
      </c>
      <c r="I1197" s="23">
        <v>4.990145E-2</v>
      </c>
      <c r="K1197">
        <f t="shared" si="36"/>
        <v>6.3874909226082632E-3</v>
      </c>
      <c r="L1197">
        <f t="shared" si="37"/>
        <v>3.5929037451015554E-4</v>
      </c>
    </row>
    <row r="1198" spans="1:12" ht="15" customHeight="1" x14ac:dyDescent="0.3">
      <c r="A1198" s="19">
        <v>44399</v>
      </c>
      <c r="B1198" s="20">
        <v>4.9579811100919698E-2</v>
      </c>
      <c r="C1198" s="20">
        <v>4.9589645681981598E-2</v>
      </c>
      <c r="D1198" s="20">
        <v>4.9584728000000002E-2</v>
      </c>
      <c r="E1198" s="21">
        <v>4.6670999999998097E-5</v>
      </c>
      <c r="F1198" s="21">
        <v>9.4212415315353404E-2</v>
      </c>
      <c r="G1198" s="21">
        <v>1.37721450933129</v>
      </c>
      <c r="H1198" s="20">
        <v>4.9584728000000002E-2</v>
      </c>
      <c r="I1198" s="20">
        <v>4.9584728000000002E-2</v>
      </c>
      <c r="K1198">
        <f t="shared" si="36"/>
        <v>9.4212415315353404E-4</v>
      </c>
      <c r="L1198">
        <f t="shared" si="37"/>
        <v>1.9833891318109511E-4</v>
      </c>
    </row>
    <row r="1199" spans="1:12" ht="15" customHeight="1" x14ac:dyDescent="0.3">
      <c r="A1199" s="22">
        <v>44398</v>
      </c>
      <c r="B1199" s="23">
        <v>4.95319233245827E-2</v>
      </c>
      <c r="C1199" s="23">
        <v>4.9544193420531103E-2</v>
      </c>
      <c r="D1199" s="23">
        <v>4.9538057000000003E-2</v>
      </c>
      <c r="E1199" s="24">
        <v>-1.2608999999999499E-4</v>
      </c>
      <c r="F1199" s="24">
        <v>-0.253885363217842</v>
      </c>
      <c r="G1199" s="24">
        <v>1.28179448447273</v>
      </c>
      <c r="H1199" s="23">
        <v>4.9538057000000003E-2</v>
      </c>
      <c r="I1199" s="23">
        <v>4.9538057000000003E-2</v>
      </c>
      <c r="K1199">
        <f t="shared" si="36"/>
        <v>-2.5388536321784283E-3</v>
      </c>
      <c r="L1199">
        <f t="shared" si="37"/>
        <v>2.4769029492625687E-4</v>
      </c>
    </row>
    <row r="1200" spans="1:12" ht="15" customHeight="1" x14ac:dyDescent="0.3">
      <c r="A1200" s="19">
        <v>44397</v>
      </c>
      <c r="B1200" s="20">
        <v>4.9655884718898001E-2</v>
      </c>
      <c r="C1200" s="20">
        <v>4.9672410453062102E-2</v>
      </c>
      <c r="D1200" s="20">
        <v>4.9664146999999999E-2</v>
      </c>
      <c r="E1200" s="21">
        <v>-3.8339600000000102E-4</v>
      </c>
      <c r="F1200" s="21">
        <v>-0.76606358078358205</v>
      </c>
      <c r="G1200" s="21">
        <v>1.53958863789596</v>
      </c>
      <c r="H1200" s="20">
        <v>4.9664146999999999E-2</v>
      </c>
      <c r="I1200" s="20">
        <v>4.9664146999999999E-2</v>
      </c>
      <c r="K1200">
        <f t="shared" si="36"/>
        <v>-7.660635807835825E-3</v>
      </c>
      <c r="L1200">
        <f t="shared" si="37"/>
        <v>3.3274978354306406E-4</v>
      </c>
    </row>
    <row r="1201" spans="1:12" ht="15" customHeight="1" x14ac:dyDescent="0.3">
      <c r="A1201" s="22">
        <v>44396</v>
      </c>
      <c r="B1201" s="23">
        <v>5.0041033647591E-2</v>
      </c>
      <c r="C1201" s="23">
        <v>5.0054058383053698E-2</v>
      </c>
      <c r="D1201" s="23">
        <v>5.0047543E-2</v>
      </c>
      <c r="E1201" s="24">
        <v>-3.68390000000003E-4</v>
      </c>
      <c r="F1201" s="24">
        <v>-0.73070154230806506</v>
      </c>
      <c r="G1201" s="24">
        <v>2.3234513331601101</v>
      </c>
      <c r="H1201" s="23">
        <v>5.0047543E-2</v>
      </c>
      <c r="I1201" s="23">
        <v>5.0047543E-2</v>
      </c>
      <c r="K1201">
        <f t="shared" si="36"/>
        <v>-7.3070154230806539E-3</v>
      </c>
      <c r="L1201">
        <f t="shared" si="37"/>
        <v>2.6024725055330002E-4</v>
      </c>
    </row>
    <row r="1202" spans="1:12" ht="15" customHeight="1" x14ac:dyDescent="0.3">
      <c r="A1202" s="19">
        <v>44393</v>
      </c>
      <c r="B1202" s="20">
        <v>5.0410848414578803E-2</v>
      </c>
      <c r="C1202" s="20">
        <v>5.0421015479251798E-2</v>
      </c>
      <c r="D1202" s="20">
        <v>5.0415933000000003E-2</v>
      </c>
      <c r="E1202" s="21">
        <v>2.6611300000000499E-4</v>
      </c>
      <c r="F1202" s="21">
        <v>0.53063600228277996</v>
      </c>
      <c r="G1202" s="21">
        <v>3.0766338867296898</v>
      </c>
      <c r="H1202" s="20">
        <v>5.0415933000000003E-2</v>
      </c>
      <c r="I1202" s="20">
        <v>5.0415933000000003E-2</v>
      </c>
      <c r="K1202">
        <f t="shared" si="36"/>
        <v>5.3063600228278052E-3</v>
      </c>
      <c r="L1202">
        <f t="shared" si="37"/>
        <v>2.0166372152618007E-4</v>
      </c>
    </row>
    <row r="1203" spans="1:12" ht="15" customHeight="1" x14ac:dyDescent="0.3">
      <c r="A1203" s="22">
        <v>44392</v>
      </c>
      <c r="B1203" s="23">
        <v>5.0143158718140297E-2</v>
      </c>
      <c r="C1203" s="23">
        <v>5.0156488243319197E-2</v>
      </c>
      <c r="D1203" s="23">
        <v>5.0149819999999998E-2</v>
      </c>
      <c r="E1203" s="24">
        <v>-1.1406500000000299E-4</v>
      </c>
      <c r="F1203" s="24">
        <v>-0.22693231929844501</v>
      </c>
      <c r="G1203" s="24">
        <v>2.5325592134810502</v>
      </c>
      <c r="H1203" s="23">
        <v>5.0149819999999998E-2</v>
      </c>
      <c r="I1203" s="23">
        <v>5.0149819999999998E-2</v>
      </c>
      <c r="K1203">
        <f t="shared" si="36"/>
        <v>-2.2693231929844515E-3</v>
      </c>
      <c r="L1203">
        <f t="shared" si="37"/>
        <v>2.657940782020712E-4</v>
      </c>
    </row>
    <row r="1204" spans="1:12" ht="15" customHeight="1" x14ac:dyDescent="0.3">
      <c r="A1204" s="19">
        <v>44391</v>
      </c>
      <c r="B1204" s="20">
        <v>5.0256054598177703E-2</v>
      </c>
      <c r="C1204" s="20">
        <v>5.0271718639245101E-2</v>
      </c>
      <c r="D1204" s="20">
        <v>5.0263885000000001E-2</v>
      </c>
      <c r="E1204" s="21">
        <v>2.20097000000002E-4</v>
      </c>
      <c r="F1204" s="21">
        <v>0.43980883301639701</v>
      </c>
      <c r="G1204" s="21">
        <v>2.7657679541442501</v>
      </c>
      <c r="H1204" s="20">
        <v>5.0263885000000001E-2</v>
      </c>
      <c r="I1204" s="20">
        <v>5.0263885000000001E-2</v>
      </c>
      <c r="K1204">
        <f t="shared" si="36"/>
        <v>4.3980883301639739E-3</v>
      </c>
      <c r="L1204">
        <f t="shared" si="37"/>
        <v>3.1163609950560027E-4</v>
      </c>
    </row>
    <row r="1205" spans="1:12" ht="15" customHeight="1" x14ac:dyDescent="0.3">
      <c r="A1205" s="22">
        <v>44390</v>
      </c>
      <c r="B1205" s="23">
        <v>5.00372777719401E-2</v>
      </c>
      <c r="C1205" s="23">
        <v>5.0050300552054797E-2</v>
      </c>
      <c r="D1205" s="23">
        <v>5.0043787999999999E-2</v>
      </c>
      <c r="E1205" s="24">
        <v>-3.1755500000000398E-4</v>
      </c>
      <c r="F1205" s="24">
        <v>-0.63055308115990105</v>
      </c>
      <c r="G1205" s="24">
        <v>2.31577414189907</v>
      </c>
      <c r="H1205" s="23">
        <v>5.0043787999999999E-2</v>
      </c>
      <c r="I1205" s="23">
        <v>5.0043787999999999E-2</v>
      </c>
      <c r="K1205">
        <f t="shared" si="36"/>
        <v>-6.3055308115990139E-3</v>
      </c>
      <c r="L1205">
        <f t="shared" si="37"/>
        <v>2.602277052787548E-4</v>
      </c>
    </row>
    <row r="1206" spans="1:12" ht="15" customHeight="1" x14ac:dyDescent="0.3">
      <c r="A1206" s="19">
        <v>44389</v>
      </c>
      <c r="B1206" s="20">
        <v>5.0354242093125098E-2</v>
      </c>
      <c r="C1206" s="20">
        <v>5.0368445176465798E-2</v>
      </c>
      <c r="D1206" s="20">
        <v>5.0361343000000003E-2</v>
      </c>
      <c r="E1206" s="21">
        <v>5.7633000000001303E-5</v>
      </c>
      <c r="F1206" s="21">
        <v>0.11457007842960901</v>
      </c>
      <c r="G1206" s="21">
        <v>2.9650232686364602</v>
      </c>
      <c r="H1206" s="20">
        <v>5.0361343000000003E-2</v>
      </c>
      <c r="I1206" s="20">
        <v>5.0361343000000003E-2</v>
      </c>
      <c r="K1206">
        <f t="shared" si="36"/>
        <v>1.1457007842960998E-3</v>
      </c>
      <c r="L1206">
        <f t="shared" si="37"/>
        <v>2.8202352230161435E-4</v>
      </c>
    </row>
    <row r="1207" spans="1:12" ht="15" customHeight="1" x14ac:dyDescent="0.3">
      <c r="A1207" s="22">
        <v>44386</v>
      </c>
      <c r="B1207" s="23">
        <v>5.0297003807483198E-2</v>
      </c>
      <c r="C1207" s="23">
        <v>5.0310415262167597E-2</v>
      </c>
      <c r="D1207" s="23">
        <v>5.0303710000000001E-2</v>
      </c>
      <c r="E1207" s="24">
        <v>3.8919000000000399E-4</v>
      </c>
      <c r="F1207" s="24">
        <v>0.77971299734025301</v>
      </c>
      <c r="G1207" s="24">
        <v>2.8471911610605898</v>
      </c>
      <c r="H1207" s="23">
        <v>5.0303710000000001E-2</v>
      </c>
      <c r="I1207" s="23">
        <v>5.0303710000000001E-2</v>
      </c>
      <c r="K1207">
        <f t="shared" si="36"/>
        <v>7.797129973402539E-3</v>
      </c>
      <c r="L1207">
        <f t="shared" si="37"/>
        <v>2.6660965333171523E-4</v>
      </c>
    </row>
    <row r="1208" spans="1:12" ht="15" customHeight="1" x14ac:dyDescent="0.3">
      <c r="A1208" s="19">
        <v>44385</v>
      </c>
      <c r="B1208" s="20">
        <v>4.9909165319119202E-2</v>
      </c>
      <c r="C1208" s="20">
        <v>4.9919878594855298E-2</v>
      </c>
      <c r="D1208" s="20">
        <v>4.9914519999999997E-2</v>
      </c>
      <c r="E1208" s="21">
        <v>4.3599999999949201E-6</v>
      </c>
      <c r="F1208" s="21">
        <v>8.7356962990892094E-3</v>
      </c>
      <c r="G1208" s="21">
        <v>2.05148248812228</v>
      </c>
      <c r="H1208" s="20">
        <v>4.9914519999999997E-2</v>
      </c>
      <c r="I1208" s="20">
        <v>4.9914519999999997E-2</v>
      </c>
      <c r="K1208">
        <f t="shared" si="36"/>
        <v>8.7356962990892129E-5</v>
      </c>
      <c r="L1208">
        <f t="shared" si="37"/>
        <v>2.1463245035905688E-4</v>
      </c>
    </row>
    <row r="1209" spans="1:12" ht="15" customHeight="1" x14ac:dyDescent="0.3">
      <c r="A1209" s="22">
        <v>44384</v>
      </c>
      <c r="B1209" s="23">
        <v>4.9900697611752601E-2</v>
      </c>
      <c r="C1209" s="23">
        <v>4.9919629396671397E-2</v>
      </c>
      <c r="D1209" s="23">
        <v>4.9910160000000002E-2</v>
      </c>
      <c r="E1209" s="24">
        <v>-1.04845999999998E-4</v>
      </c>
      <c r="F1209" s="24">
        <v>-0.20962908611866701</v>
      </c>
      <c r="G1209" s="24">
        <v>2.0425683592546102</v>
      </c>
      <c r="H1209" s="23">
        <v>4.9910160000000002E-2</v>
      </c>
      <c r="I1209" s="23">
        <v>4.9910160000000002E-2</v>
      </c>
      <c r="K1209">
        <f t="shared" si="36"/>
        <v>-2.0962908611866782E-3</v>
      </c>
      <c r="L1209">
        <f t="shared" si="37"/>
        <v>3.7931725562082816E-4</v>
      </c>
    </row>
    <row r="1210" spans="1:12" ht="15" customHeight="1" x14ac:dyDescent="0.3">
      <c r="A1210" s="19">
        <v>44383</v>
      </c>
      <c r="B1210" s="20">
        <v>5.0006000720086402E-2</v>
      </c>
      <c r="C1210" s="20">
        <v>5.0024011525532201E-2</v>
      </c>
      <c r="D1210" s="20">
        <v>5.0015006000000001E-2</v>
      </c>
      <c r="E1210" s="21">
        <v>-3.5014399999999598E-4</v>
      </c>
      <c r="F1210" s="21">
        <v>-0.69521087498001199</v>
      </c>
      <c r="G1210" s="21">
        <v>2.2569286242225899</v>
      </c>
      <c r="H1210" s="20">
        <v>5.0015006000000001E-2</v>
      </c>
      <c r="I1210" s="20">
        <v>5.0015006000000001E-2</v>
      </c>
      <c r="K1210">
        <f t="shared" si="36"/>
        <v>-6.9521087498001233E-3</v>
      </c>
      <c r="L1210">
        <f t="shared" si="37"/>
        <v>3.6010803329303195E-4</v>
      </c>
    </row>
    <row r="1211" spans="1:12" ht="15" customHeight="1" x14ac:dyDescent="0.3">
      <c r="A1211" s="22">
        <v>44382</v>
      </c>
      <c r="B1211" s="23">
        <v>5.0356270614598297E-2</v>
      </c>
      <c r="C1211" s="23">
        <v>5.0374027151600602E-2</v>
      </c>
      <c r="D1211" s="23">
        <v>5.0365149999999997E-2</v>
      </c>
      <c r="E1211" s="24">
        <v>4.68900000000008E-5</v>
      </c>
      <c r="F1211" s="24">
        <v>9.3186847080972607E-2</v>
      </c>
      <c r="G1211" s="24">
        <v>2.97280677519591</v>
      </c>
      <c r="H1211" s="23">
        <v>5.0365149999999997E-2</v>
      </c>
      <c r="I1211" s="23">
        <v>5.0365149999999997E-2</v>
      </c>
      <c r="K1211">
        <f t="shared" si="36"/>
        <v>9.318684708097269E-4</v>
      </c>
      <c r="L1211">
        <f t="shared" si="37"/>
        <v>3.5255602340714663E-4</v>
      </c>
    </row>
    <row r="1212" spans="1:12" ht="15" customHeight="1" x14ac:dyDescent="0.3">
      <c r="A1212" s="19">
        <v>44379</v>
      </c>
      <c r="B1212" s="20">
        <v>5.0310415262167597E-2</v>
      </c>
      <c r="C1212" s="20">
        <v>5.0326113213624298E-2</v>
      </c>
      <c r="D1212" s="20">
        <v>5.0318259999999997E-2</v>
      </c>
      <c r="E1212" s="21">
        <v>3.7444399999999402E-4</v>
      </c>
      <c r="F1212" s="21">
        <v>0.74973045712005604</v>
      </c>
      <c r="G1212" s="21">
        <v>2.8769389993689898</v>
      </c>
      <c r="H1212" s="20">
        <v>5.0318259999999997E-2</v>
      </c>
      <c r="I1212" s="20">
        <v>5.0318259999999997E-2</v>
      </c>
      <c r="K1212">
        <f t="shared" si="36"/>
        <v>7.4973045712005693E-3</v>
      </c>
      <c r="L1212">
        <f t="shared" si="37"/>
        <v>3.1197325695880911E-4</v>
      </c>
    </row>
    <row r="1213" spans="1:12" ht="15" customHeight="1" x14ac:dyDescent="0.3">
      <c r="A1213" s="22">
        <v>44378</v>
      </c>
      <c r="B1213" s="23">
        <v>4.9936829910163599E-2</v>
      </c>
      <c r="C1213" s="23">
        <v>4.9950798463513399E-2</v>
      </c>
      <c r="D1213" s="23">
        <v>4.9943816000000002E-2</v>
      </c>
      <c r="E1213" s="24">
        <v>-2.8094399999999798E-4</v>
      </c>
      <c r="F1213" s="24">
        <v>-0.55937350422381404</v>
      </c>
      <c r="G1213" s="24">
        <v>2.1113788916331702</v>
      </c>
      <c r="H1213" s="23">
        <v>4.9943816000000002E-2</v>
      </c>
      <c r="I1213" s="23">
        <v>4.9943816000000002E-2</v>
      </c>
      <c r="K1213">
        <f t="shared" si="36"/>
        <v>-5.593735042238146E-3</v>
      </c>
      <c r="L1213">
        <f t="shared" si="37"/>
        <v>2.7968534382313972E-4</v>
      </c>
    </row>
    <row r="1214" spans="1:12" ht="15" customHeight="1" x14ac:dyDescent="0.3">
      <c r="A1214" s="19">
        <v>44377</v>
      </c>
      <c r="B1214" s="20">
        <v>5.0218450258625001E-2</v>
      </c>
      <c r="C1214" s="20">
        <v>5.0231062889290697E-2</v>
      </c>
      <c r="D1214" s="20">
        <v>5.022476E-2</v>
      </c>
      <c r="E1214" s="21">
        <v>-2.8156699999999603E-4</v>
      </c>
      <c r="F1214" s="21">
        <v>-0.55748856969939298</v>
      </c>
      <c r="G1214" s="21">
        <v>2.68577591470667</v>
      </c>
      <c r="H1214" s="20">
        <v>5.022476E-2</v>
      </c>
      <c r="I1214" s="20">
        <v>5.022476E-2</v>
      </c>
      <c r="K1214">
        <f t="shared" si="36"/>
        <v>-5.5748856969939364E-3</v>
      </c>
      <c r="L1214">
        <f t="shared" si="37"/>
        <v>2.5112376177995478E-4</v>
      </c>
    </row>
    <row r="1215" spans="1:12" ht="15" customHeight="1" x14ac:dyDescent="0.3">
      <c r="A1215" s="22">
        <v>44376</v>
      </c>
      <c r="B1215" s="23">
        <v>5.0497654383953899E-2</v>
      </c>
      <c r="C1215" s="23">
        <v>5.0515000429377503E-2</v>
      </c>
      <c r="D1215" s="23">
        <v>5.0506326999999997E-2</v>
      </c>
      <c r="E1215" s="24">
        <v>-4.4683000000003597E-5</v>
      </c>
      <c r="F1215" s="24">
        <v>-8.8391903544560099E-2</v>
      </c>
      <c r="G1215" s="24">
        <v>3.2614466768362602</v>
      </c>
      <c r="H1215" s="23">
        <v>5.0506326999999997E-2</v>
      </c>
      <c r="I1215" s="23">
        <v>5.0506326999999997E-2</v>
      </c>
      <c r="K1215">
        <f t="shared" si="36"/>
        <v>-8.8391903544560169E-4</v>
      </c>
      <c r="L1215">
        <f t="shared" si="37"/>
        <v>3.434430190024271E-4</v>
      </c>
    </row>
    <row r="1216" spans="1:12" ht="15" customHeight="1" x14ac:dyDescent="0.3">
      <c r="A1216" s="19">
        <v>44375</v>
      </c>
      <c r="B1216" s="20">
        <v>5.05438518458615E-2</v>
      </c>
      <c r="C1216" s="20">
        <v>5.0558162109691003E-2</v>
      </c>
      <c r="D1216" s="20">
        <v>5.055101E-2</v>
      </c>
      <c r="E1216" s="21">
        <v>2.8735000000001899E-5</v>
      </c>
      <c r="F1216" s="21">
        <v>5.6875902757758098E-2</v>
      </c>
      <c r="G1216" s="21">
        <v>3.35280218605517</v>
      </c>
      <c r="H1216" s="20">
        <v>5.055101E-2</v>
      </c>
      <c r="I1216" s="20">
        <v>5.055101E-2</v>
      </c>
      <c r="K1216">
        <f t="shared" si="36"/>
        <v>5.6875902757758112E-4</v>
      </c>
      <c r="L1216">
        <f t="shared" si="37"/>
        <v>2.8308561647934238E-4</v>
      </c>
    </row>
    <row r="1217" spans="1:12" ht="15" customHeight="1" x14ac:dyDescent="0.3">
      <c r="A1217" s="22">
        <v>44372</v>
      </c>
      <c r="B1217" s="23">
        <v>5.05139797438941E-2</v>
      </c>
      <c r="C1217" s="23">
        <v>5.0530570995452301E-2</v>
      </c>
      <c r="D1217" s="23">
        <v>5.0522274999999998E-2</v>
      </c>
      <c r="E1217" s="24">
        <v>7.0410900000000105E-4</v>
      </c>
      <c r="F1217" s="24">
        <v>1.41335793051875</v>
      </c>
      <c r="G1217" s="24">
        <v>3.2940527610522601</v>
      </c>
      <c r="H1217" s="23">
        <v>5.0522274999999998E-2</v>
      </c>
      <c r="I1217" s="23">
        <v>5.0522274999999998E-2</v>
      </c>
      <c r="K1217">
        <f t="shared" si="36"/>
        <v>1.4133579305187549E-2</v>
      </c>
      <c r="L1217">
        <f t="shared" si="37"/>
        <v>3.283947834534605E-4</v>
      </c>
    </row>
    <row r="1218" spans="1:12" ht="15" customHeight="1" x14ac:dyDescent="0.3">
      <c r="A1218" s="19">
        <v>44371</v>
      </c>
      <c r="B1218" s="20">
        <v>4.9810719266786201E-2</v>
      </c>
      <c r="C1218" s="20">
        <v>4.9825610363726999E-2</v>
      </c>
      <c r="D1218" s="20">
        <v>4.9818165999999997E-2</v>
      </c>
      <c r="E1218" s="21">
        <v>5.8254599999999596E-4</v>
      </c>
      <c r="F1218" s="21">
        <v>1.1831799822973501</v>
      </c>
      <c r="G1218" s="21">
        <v>1.85448432919657</v>
      </c>
      <c r="H1218" s="20">
        <v>4.9818165999999997E-2</v>
      </c>
      <c r="I1218" s="20">
        <v>4.9818165999999997E-2</v>
      </c>
      <c r="K1218">
        <f t="shared" si="36"/>
        <v>1.1831799822973554E-2</v>
      </c>
      <c r="L1218">
        <f t="shared" si="37"/>
        <v>2.989089751075673E-4</v>
      </c>
    </row>
    <row r="1219" spans="1:12" ht="15" customHeight="1" x14ac:dyDescent="0.3">
      <c r="A1219" s="22">
        <v>44370</v>
      </c>
      <c r="B1219" s="23">
        <v>4.9228830372219201E-2</v>
      </c>
      <c r="C1219" s="23">
        <v>4.9242405589997901E-2</v>
      </c>
      <c r="D1219" s="23">
        <v>4.9235620000000001E-2</v>
      </c>
      <c r="E1219" s="24">
        <v>7.5429700000000099E-4</v>
      </c>
      <c r="F1219" s="24">
        <v>1.55585069326593</v>
      </c>
      <c r="G1219" s="24">
        <v>0.66345448622652303</v>
      </c>
      <c r="H1219" s="23">
        <v>4.9235620000000001E-2</v>
      </c>
      <c r="I1219" s="23">
        <v>4.9235620000000001E-2</v>
      </c>
      <c r="K1219">
        <f t="shared" si="36"/>
        <v>1.5558506932659366E-2</v>
      </c>
      <c r="L1219">
        <f t="shared" si="37"/>
        <v>2.7571944414835504E-4</v>
      </c>
    </row>
    <row r="1220" spans="1:12" ht="15" customHeight="1" x14ac:dyDescent="0.3">
      <c r="A1220" s="19">
        <v>44369</v>
      </c>
      <c r="B1220" s="20">
        <v>4.8474742235558199E-2</v>
      </c>
      <c r="C1220" s="20">
        <v>4.8487904692174497E-2</v>
      </c>
      <c r="D1220" s="20">
        <v>4.8481323E-2</v>
      </c>
      <c r="E1220" s="21">
        <v>-1.1769999999980401E-6</v>
      </c>
      <c r="F1220" s="21">
        <v>-2.4276800907552199E-3</v>
      </c>
      <c r="G1220" s="21">
        <v>-0.87872456480598704</v>
      </c>
      <c r="H1220" s="20">
        <v>4.8481323E-2</v>
      </c>
      <c r="I1220" s="20">
        <v>4.8481323E-2</v>
      </c>
      <c r="K1220">
        <f t="shared" si="36"/>
        <v>-2.4276800907552243E-5</v>
      </c>
      <c r="L1220">
        <f t="shared" si="37"/>
        <v>2.7149540899074569E-4</v>
      </c>
    </row>
    <row r="1221" spans="1:12" ht="15" customHeight="1" x14ac:dyDescent="0.3">
      <c r="A1221" s="22">
        <v>44368</v>
      </c>
      <c r="B1221" s="23">
        <v>4.8473567363716601E-2</v>
      </c>
      <c r="C1221" s="23">
        <v>4.8491431564042599E-2</v>
      </c>
      <c r="D1221" s="23">
        <v>4.8482499999999998E-2</v>
      </c>
      <c r="E1221" s="24">
        <v>1.94315E-4</v>
      </c>
      <c r="F1221" s="24">
        <v>0.40240692417823298</v>
      </c>
      <c r="G1221" s="24">
        <v>-0.87631815891671205</v>
      </c>
      <c r="H1221" s="23">
        <v>4.8482499999999998E-2</v>
      </c>
      <c r="I1221" s="23">
        <v>4.8482499999999998E-2</v>
      </c>
      <c r="K1221">
        <f t="shared" ref="K1221:K1284" si="38">D1221/D1222-1</f>
        <v>4.0240692417823354E-3</v>
      </c>
      <c r="L1221">
        <f t="shared" ref="L1221:L1284" si="39">(C1221-B1221)/D1221</f>
        <v>3.6846697934302531E-4</v>
      </c>
    </row>
    <row r="1222" spans="1:12" ht="15" customHeight="1" x14ac:dyDescent="0.3">
      <c r="A1222" s="19">
        <v>44365</v>
      </c>
      <c r="B1222" s="20">
        <v>4.8281189648512898E-2</v>
      </c>
      <c r="C1222" s="20">
        <v>4.8295180141021903E-2</v>
      </c>
      <c r="D1222" s="20">
        <v>4.8288184999999997E-2</v>
      </c>
      <c r="E1222" s="21">
        <v>-6.3070999999999895E-4</v>
      </c>
      <c r="F1222" s="21">
        <v>-1.2892973154851399</v>
      </c>
      <c r="G1222" s="21">
        <v>-1.27360002839436</v>
      </c>
      <c r="H1222" s="20">
        <v>4.8288184999999997E-2</v>
      </c>
      <c r="I1222" s="20">
        <v>4.8288184999999997E-2</v>
      </c>
      <c r="K1222">
        <f t="shared" si="38"/>
        <v>-1.2892973154851495E-2</v>
      </c>
      <c r="L1222">
        <f t="shared" si="39"/>
        <v>2.8972910265739432E-4</v>
      </c>
    </row>
    <row r="1223" spans="1:12" ht="15" customHeight="1" x14ac:dyDescent="0.3">
      <c r="A1223" s="22">
        <v>44364</v>
      </c>
      <c r="B1223" s="23">
        <v>4.8911953592338402E-2</v>
      </c>
      <c r="C1223" s="23">
        <v>4.8925833329256201E-2</v>
      </c>
      <c r="D1223" s="23">
        <v>4.8918894999999997E-2</v>
      </c>
      <c r="E1223" s="24">
        <v>-7.6931499999999904E-4</v>
      </c>
      <c r="F1223" s="24">
        <v>-1.5482847943204201</v>
      </c>
      <c r="G1223" s="24">
        <v>1.5902315213941899E-2</v>
      </c>
      <c r="H1223" s="23">
        <v>4.8918894999999997E-2</v>
      </c>
      <c r="I1223" s="23">
        <v>4.8918894999999997E-2</v>
      </c>
      <c r="K1223">
        <f t="shared" si="38"/>
        <v>-1.5482847943204203E-2</v>
      </c>
      <c r="L1223">
        <f t="shared" si="39"/>
        <v>2.8372956743603835E-4</v>
      </c>
    </row>
    <row r="1224" spans="1:12" ht="15" customHeight="1" x14ac:dyDescent="0.3">
      <c r="A1224" s="19">
        <v>44363</v>
      </c>
      <c r="B1224" s="20">
        <v>4.96808008545098E-2</v>
      </c>
      <c r="C1224" s="20">
        <v>4.9695614362032597E-2</v>
      </c>
      <c r="D1224" s="20">
        <v>4.9688209999999997E-2</v>
      </c>
      <c r="E1224" s="21">
        <v>-4.8185000000006099E-5</v>
      </c>
      <c r="F1224" s="21">
        <v>-9.6880765081597195E-2</v>
      </c>
      <c r="G1224" s="21">
        <v>1.5887860422406599</v>
      </c>
      <c r="H1224" s="20">
        <v>4.9688209999999997E-2</v>
      </c>
      <c r="I1224" s="20">
        <v>4.9688209999999997E-2</v>
      </c>
      <c r="K1224">
        <f t="shared" si="38"/>
        <v>-9.6880765081597264E-4</v>
      </c>
      <c r="L1224">
        <f t="shared" si="39"/>
        <v>2.9812922467517007E-4</v>
      </c>
    </row>
    <row r="1225" spans="1:12" ht="15" customHeight="1" x14ac:dyDescent="0.3">
      <c r="A1225" s="22">
        <v>44362</v>
      </c>
      <c r="B1225" s="23">
        <v>4.9729966283082898E-2</v>
      </c>
      <c r="C1225" s="23">
        <v>4.9742829571117302E-2</v>
      </c>
      <c r="D1225" s="23">
        <v>4.9736395000000003E-2</v>
      </c>
      <c r="E1225" s="24">
        <v>-4.8205499999999502E-4</v>
      </c>
      <c r="F1225" s="24">
        <v>-0.95991612644355995</v>
      </c>
      <c r="G1225" s="24">
        <v>1.68730147790328</v>
      </c>
      <c r="H1225" s="23">
        <v>4.9736395000000003E-2</v>
      </c>
      <c r="I1225" s="23">
        <v>4.9736395000000003E-2</v>
      </c>
      <c r="K1225">
        <f t="shared" si="38"/>
        <v>-9.5991612644356072E-3</v>
      </c>
      <c r="L1225">
        <f t="shared" si="39"/>
        <v>2.5862928011577294E-4</v>
      </c>
    </row>
    <row r="1226" spans="1:12" ht="15" customHeight="1" x14ac:dyDescent="0.3">
      <c r="A1226" s="19">
        <v>44361</v>
      </c>
      <c r="B1226" s="20">
        <v>5.0212146318194401E-2</v>
      </c>
      <c r="C1226" s="20">
        <v>5.0224755782125E-2</v>
      </c>
      <c r="D1226" s="20">
        <v>5.0218449999999998E-2</v>
      </c>
      <c r="E1226" s="21">
        <v>-1.2451000000000099E-4</v>
      </c>
      <c r="F1226" s="21">
        <v>-0.247323558249257</v>
      </c>
      <c r="G1226" s="21">
        <v>2.6728749621481702</v>
      </c>
      <c r="H1226" s="20">
        <v>5.0218449999999998E-2</v>
      </c>
      <c r="I1226" s="20">
        <v>5.0218449999999998E-2</v>
      </c>
      <c r="K1226">
        <f t="shared" si="38"/>
        <v>-2.4732355824925722E-3</v>
      </c>
      <c r="L1226">
        <f t="shared" si="39"/>
        <v>2.5109225654314362E-4</v>
      </c>
    </row>
    <row r="1227" spans="1:12" ht="15" customHeight="1" x14ac:dyDescent="0.3">
      <c r="A1227" s="22">
        <v>44358</v>
      </c>
      <c r="B1227" s="23">
        <v>5.0336246124109099E-2</v>
      </c>
      <c r="C1227" s="23">
        <v>5.0349678517302703E-2</v>
      </c>
      <c r="D1227" s="23">
        <v>5.0342959999999999E-2</v>
      </c>
      <c r="E1227" s="24">
        <v>-3.4127999999999898E-4</v>
      </c>
      <c r="F1227" s="24">
        <v>-0.67334540283133704</v>
      </c>
      <c r="G1227" s="24">
        <v>2.9274387661193702</v>
      </c>
      <c r="H1227" s="23">
        <v>5.0342959999999999E-2</v>
      </c>
      <c r="I1227" s="23">
        <v>5.0342959999999999E-2</v>
      </c>
      <c r="K1227">
        <f t="shared" si="38"/>
        <v>-6.7334540283133792E-3</v>
      </c>
      <c r="L1227">
        <f t="shared" si="39"/>
        <v>2.6681770785038061E-4</v>
      </c>
    </row>
    <row r="1228" spans="1:12" ht="15" customHeight="1" x14ac:dyDescent="0.3">
      <c r="A1228" s="19">
        <v>44357</v>
      </c>
      <c r="B1228" s="20">
        <v>5.06757612766238E-2</v>
      </c>
      <c r="C1228" s="20">
        <v>5.0692715963643199E-2</v>
      </c>
      <c r="D1228" s="20">
        <v>5.0684239999999998E-2</v>
      </c>
      <c r="E1228" s="21">
        <v>-2.15409999999999E-4</v>
      </c>
      <c r="F1228" s="21">
        <v>-0.42320526761971899</v>
      </c>
      <c r="G1228" s="21">
        <v>3.6251942477617098</v>
      </c>
      <c r="H1228" s="20">
        <v>5.0684239999999998E-2</v>
      </c>
      <c r="I1228" s="20">
        <v>5.0684239999999998E-2</v>
      </c>
      <c r="K1228">
        <f t="shared" si="38"/>
        <v>-4.2320526761971955E-3</v>
      </c>
      <c r="L1228">
        <f t="shared" si="39"/>
        <v>3.3451595642746708E-4</v>
      </c>
    </row>
    <row r="1229" spans="1:12" ht="15" customHeight="1" x14ac:dyDescent="0.3">
      <c r="A1229" s="22">
        <v>44356</v>
      </c>
      <c r="B1229" s="23">
        <v>5.0893434238048901E-2</v>
      </c>
      <c r="C1229" s="23">
        <v>5.0905869955864602E-2</v>
      </c>
      <c r="D1229" s="23">
        <v>5.0899649999999998E-2</v>
      </c>
      <c r="E1229" s="24">
        <v>2.8980399999999702E-4</v>
      </c>
      <c r="F1229" s="24">
        <v>0.57262375388378295</v>
      </c>
      <c r="G1229" s="24">
        <v>4.0656053714741303</v>
      </c>
      <c r="H1229" s="23">
        <v>5.0899649999999998E-2</v>
      </c>
      <c r="I1229" s="23">
        <v>5.0899649999999998E-2</v>
      </c>
      <c r="K1229">
        <f t="shared" si="38"/>
        <v>5.7262375388378306E-3</v>
      </c>
      <c r="L1229">
        <f t="shared" si="39"/>
        <v>2.4431833648563112E-4</v>
      </c>
    </row>
    <row r="1230" spans="1:12" ht="15" customHeight="1" x14ac:dyDescent="0.3">
      <c r="A1230" s="19">
        <v>44355</v>
      </c>
      <c r="B1230" s="20">
        <v>5.0602933958110899E-2</v>
      </c>
      <c r="C1230" s="20">
        <v>5.06167652849977E-2</v>
      </c>
      <c r="D1230" s="20">
        <v>5.0609846E-2</v>
      </c>
      <c r="E1230" s="21">
        <v>5.6286000000002598E-5</v>
      </c>
      <c r="F1230" s="21">
        <v>0.111339339900107</v>
      </c>
      <c r="G1230" s="21">
        <v>3.47309385716953</v>
      </c>
      <c r="H1230" s="20">
        <v>5.0609846E-2</v>
      </c>
      <c r="I1230" s="20">
        <v>5.0609846E-2</v>
      </c>
      <c r="K1230">
        <f t="shared" si="38"/>
        <v>1.1133933990010725E-3</v>
      </c>
      <c r="L1230">
        <f t="shared" si="39"/>
        <v>2.7329320240968962E-4</v>
      </c>
    </row>
    <row r="1231" spans="1:12" ht="15" customHeight="1" x14ac:dyDescent="0.3">
      <c r="A1231" s="22">
        <v>44354</v>
      </c>
      <c r="B1231" s="23">
        <v>5.05481951766912E-2</v>
      </c>
      <c r="C1231" s="23">
        <v>5.0558928959648898E-2</v>
      </c>
      <c r="D1231" s="23">
        <v>5.0553559999999997E-2</v>
      </c>
      <c r="E1231" s="24">
        <v>4.2322300000000002E-4</v>
      </c>
      <c r="F1231" s="24">
        <v>0.84424527207946898</v>
      </c>
      <c r="G1231" s="24">
        <v>3.3580157247277702</v>
      </c>
      <c r="H1231" s="23">
        <v>5.0553559999999997E-2</v>
      </c>
      <c r="I1231" s="23">
        <v>5.0553559999999997E-2</v>
      </c>
      <c r="K1231">
        <f t="shared" si="38"/>
        <v>8.4424527207946909E-3</v>
      </c>
      <c r="L1231">
        <f t="shared" si="39"/>
        <v>2.1232496697952741E-4</v>
      </c>
    </row>
    <row r="1232" spans="1:12" ht="15" customHeight="1" x14ac:dyDescent="0.3">
      <c r="A1232" s="19">
        <v>44351</v>
      </c>
      <c r="B1232" s="20">
        <v>5.0123554561995298E-2</v>
      </c>
      <c r="C1232" s="20">
        <v>5.01371250369761E-2</v>
      </c>
      <c r="D1232" s="20">
        <v>5.0130336999999997E-2</v>
      </c>
      <c r="E1232" s="21">
        <v>2.4258299999999701E-4</v>
      </c>
      <c r="F1232" s="21">
        <v>0.48625760943257201</v>
      </c>
      <c r="G1232" s="21">
        <v>2.49272573349735</v>
      </c>
      <c r="H1232" s="20">
        <v>5.0130336999999997E-2</v>
      </c>
      <c r="I1232" s="20">
        <v>5.0130336999999997E-2</v>
      </c>
      <c r="K1232">
        <f t="shared" si="38"/>
        <v>4.8625760943257212E-3</v>
      </c>
      <c r="L1232">
        <f t="shared" si="39"/>
        <v>2.7070384507493263E-4</v>
      </c>
    </row>
    <row r="1233" spans="1:12" ht="15" customHeight="1" x14ac:dyDescent="0.3">
      <c r="A1233" s="22">
        <v>44350</v>
      </c>
      <c r="B1233" s="23">
        <v>4.9880536116002197E-2</v>
      </c>
      <c r="C1233" s="23">
        <v>4.9894971085864201E-2</v>
      </c>
      <c r="D1233" s="23">
        <v>4.9887753999999999E-2</v>
      </c>
      <c r="E1233" s="24">
        <v>-2.9918899999999799E-4</v>
      </c>
      <c r="F1233" s="24">
        <v>-0.59614908204310701</v>
      </c>
      <c r="G1233" s="24">
        <v>1.9967587327846099</v>
      </c>
      <c r="H1233" s="23">
        <v>4.9887753999999999E-2</v>
      </c>
      <c r="I1233" s="23">
        <v>4.9887753999999999E-2</v>
      </c>
      <c r="K1233">
        <f t="shared" si="38"/>
        <v>-5.9614908204310701E-3</v>
      </c>
      <c r="L1233">
        <f t="shared" si="39"/>
        <v>2.8934896251300222E-4</v>
      </c>
    </row>
    <row r="1234" spans="1:12" ht="15" customHeight="1" x14ac:dyDescent="0.3">
      <c r="A1234" s="19">
        <v>44349</v>
      </c>
      <c r="B1234" s="20">
        <v>5.0181405781901597E-2</v>
      </c>
      <c r="C1234" s="20">
        <v>5.0192488192217201E-2</v>
      </c>
      <c r="D1234" s="20">
        <v>5.0186942999999998E-2</v>
      </c>
      <c r="E1234" s="21">
        <v>-1.43349E-4</v>
      </c>
      <c r="F1234" s="21">
        <v>-0.284816547458144</v>
      </c>
      <c r="G1234" s="21">
        <v>2.6084581139293901</v>
      </c>
      <c r="H1234" s="20">
        <v>5.0186942999999998E-2</v>
      </c>
      <c r="I1234" s="20">
        <v>5.0186942999999998E-2</v>
      </c>
      <c r="K1234">
        <f t="shared" si="38"/>
        <v>-2.8481654745814433E-3</v>
      </c>
      <c r="L1234">
        <f t="shared" si="39"/>
        <v>2.2082258159464855E-4</v>
      </c>
    </row>
    <row r="1235" spans="1:12" ht="15" customHeight="1" x14ac:dyDescent="0.3">
      <c r="A1235" s="22">
        <v>44348</v>
      </c>
      <c r="B1235" s="23">
        <v>5.03245936289064E-2</v>
      </c>
      <c r="C1235" s="23">
        <v>5.0335992751617001E-2</v>
      </c>
      <c r="D1235" s="23">
        <v>5.0330291999999999E-2</v>
      </c>
      <c r="E1235" s="24">
        <v>9.9861999999999106E-5</v>
      </c>
      <c r="F1235" s="24">
        <v>0.19880777449048301</v>
      </c>
      <c r="G1235" s="24">
        <v>2.9015387238038302</v>
      </c>
      <c r="H1235" s="23">
        <v>5.0330291999999999E-2</v>
      </c>
      <c r="I1235" s="23">
        <v>5.0330291999999999E-2</v>
      </c>
      <c r="K1235">
        <f t="shared" si="38"/>
        <v>1.988077744904837E-3</v>
      </c>
      <c r="L1235">
        <f t="shared" si="39"/>
        <v>2.2648632180796488E-4</v>
      </c>
    </row>
    <row r="1236" spans="1:12" ht="15" customHeight="1" x14ac:dyDescent="0.3">
      <c r="A1236" s="19">
        <v>44347</v>
      </c>
      <c r="B1236" s="20">
        <v>5.0223242312077199E-2</v>
      </c>
      <c r="C1236" s="20">
        <v>5.0237623961337102E-2</v>
      </c>
      <c r="D1236" s="20">
        <v>5.023043E-2</v>
      </c>
      <c r="E1236" s="21">
        <v>1.16419999999999E-4</v>
      </c>
      <c r="F1236" s="21">
        <v>0.23231028608565699</v>
      </c>
      <c r="G1236" s="21">
        <v>2.6973683712845902</v>
      </c>
      <c r="H1236" s="20">
        <v>5.023043E-2</v>
      </c>
      <c r="I1236" s="20">
        <v>5.023043E-2</v>
      </c>
      <c r="K1236">
        <f t="shared" si="38"/>
        <v>2.323102860856574E-3</v>
      </c>
      <c r="L1236">
        <f t="shared" si="39"/>
        <v>2.8631348089004204E-4</v>
      </c>
    </row>
    <row r="1237" spans="1:12" ht="15" customHeight="1" x14ac:dyDescent="0.3">
      <c r="A1237" s="22">
        <v>44344</v>
      </c>
      <c r="B1237" s="23">
        <v>5.0108233784975503E-2</v>
      </c>
      <c r="C1237" s="23">
        <v>5.0119786289231298E-2</v>
      </c>
      <c r="D1237" s="23">
        <v>5.011401E-2</v>
      </c>
      <c r="E1237" s="24">
        <v>3.5136999999997499E-5</v>
      </c>
      <c r="F1237" s="24">
        <v>7.0163320168958807E-2</v>
      </c>
      <c r="G1237" s="24">
        <v>2.45934477431787</v>
      </c>
      <c r="H1237" s="23">
        <v>5.011401E-2</v>
      </c>
      <c r="I1237" s="23">
        <v>5.011401E-2</v>
      </c>
      <c r="K1237">
        <f t="shared" si="38"/>
        <v>7.0163320168958876E-4</v>
      </c>
      <c r="L1237">
        <f t="shared" si="39"/>
        <v>2.3052444328032915E-4</v>
      </c>
    </row>
    <row r="1238" spans="1:12" ht="15" customHeight="1" x14ac:dyDescent="0.3">
      <c r="A1238" s="19">
        <v>44343</v>
      </c>
      <c r="B1238" s="20">
        <v>5.0074109682329802E-2</v>
      </c>
      <c r="C1238" s="20">
        <v>5.0083639678262702E-2</v>
      </c>
      <c r="D1238" s="20">
        <v>5.0078873000000003E-2</v>
      </c>
      <c r="E1238" s="21">
        <v>-2.5205299999999498E-4</v>
      </c>
      <c r="F1238" s="21">
        <v>-0.50079150143192896</v>
      </c>
      <c r="G1238" s="21">
        <v>2.38750630045927</v>
      </c>
      <c r="H1238" s="20">
        <v>5.0078873000000003E-2</v>
      </c>
      <c r="I1238" s="20">
        <v>5.0078873000000003E-2</v>
      </c>
      <c r="K1238">
        <f t="shared" si="38"/>
        <v>-5.0079150143192974E-3</v>
      </c>
      <c r="L1238">
        <f t="shared" si="39"/>
        <v>1.9029972844835836E-4</v>
      </c>
    </row>
    <row r="1239" spans="1:12" ht="15" customHeight="1" x14ac:dyDescent="0.3">
      <c r="A1239" s="22">
        <v>44342</v>
      </c>
      <c r="B1239" s="23">
        <v>5.0323833870959601E-2</v>
      </c>
      <c r="C1239" s="23">
        <v>5.0338019802977002E-2</v>
      </c>
      <c r="D1239" s="23">
        <v>5.0330925999999998E-2</v>
      </c>
      <c r="E1239" s="24">
        <v>3.5438999999998202E-5</v>
      </c>
      <c r="F1239" s="24">
        <v>7.0461590321202403E-2</v>
      </c>
      <c r="G1239" s="24">
        <v>2.9028349526345898</v>
      </c>
      <c r="H1239" s="23">
        <v>5.0330925999999998E-2</v>
      </c>
      <c r="I1239" s="23">
        <v>5.0330925999999998E-2</v>
      </c>
      <c r="K1239">
        <f t="shared" si="38"/>
        <v>7.0461590321202472E-4</v>
      </c>
      <c r="L1239">
        <f t="shared" si="39"/>
        <v>2.8185318937705715E-4</v>
      </c>
    </row>
    <row r="1240" spans="1:12" ht="15" customHeight="1" x14ac:dyDescent="0.3">
      <c r="A1240" s="19">
        <v>44341</v>
      </c>
      <c r="B1240" s="20">
        <v>5.0289668490505299E-2</v>
      </c>
      <c r="C1240" s="20">
        <v>5.0301304815846902E-2</v>
      </c>
      <c r="D1240" s="20">
        <v>5.0295487E-2</v>
      </c>
      <c r="E1240" s="21">
        <v>-8.1076999999998804E-5</v>
      </c>
      <c r="F1240" s="21">
        <v>-0.16094190147625201</v>
      </c>
      <c r="G1240" s="21">
        <v>2.8303790322351499</v>
      </c>
      <c r="H1240" s="20">
        <v>5.0295487E-2</v>
      </c>
      <c r="I1240" s="20">
        <v>5.0295487E-2</v>
      </c>
      <c r="K1240">
        <f t="shared" si="38"/>
        <v>-1.6094190147625254E-3</v>
      </c>
      <c r="L1240">
        <f t="shared" si="39"/>
        <v>2.3135923391303973E-4</v>
      </c>
    </row>
    <row r="1241" spans="1:12" ht="15" customHeight="1" x14ac:dyDescent="0.3">
      <c r="A1241" s="22">
        <v>44340</v>
      </c>
      <c r="B1241" s="23">
        <v>5.0370474842466303E-2</v>
      </c>
      <c r="C1241" s="23">
        <v>5.0382656274404101E-2</v>
      </c>
      <c r="D1241" s="23">
        <v>5.0376563999999999E-2</v>
      </c>
      <c r="E1241" s="24">
        <v>2.3239800000000101E-4</v>
      </c>
      <c r="F1241" s="24">
        <v>0.46345969738534798</v>
      </c>
      <c r="G1241" s="24">
        <v>2.9961429831994999</v>
      </c>
      <c r="H1241" s="23">
        <v>5.0376563999999999E-2</v>
      </c>
      <c r="I1241" s="23">
        <v>5.0376563999999999E-2</v>
      </c>
      <c r="K1241">
        <f t="shared" si="38"/>
        <v>4.6345969738534887E-3</v>
      </c>
      <c r="L1241">
        <f t="shared" si="39"/>
        <v>2.4180751862707482E-4</v>
      </c>
    </row>
    <row r="1242" spans="1:12" ht="15" customHeight="1" x14ac:dyDescent="0.3">
      <c r="A1242" s="19">
        <v>44337</v>
      </c>
      <c r="B1242" s="20">
        <v>5.01346114316941E-2</v>
      </c>
      <c r="C1242" s="20">
        <v>5.0153721155341099E-2</v>
      </c>
      <c r="D1242" s="20">
        <v>5.0144165999999997E-2</v>
      </c>
      <c r="E1242" s="21">
        <v>-1.3172600000000499E-4</v>
      </c>
      <c r="F1242" s="21">
        <v>-0.26200629120614</v>
      </c>
      <c r="G1242" s="21">
        <v>2.5209994693026498</v>
      </c>
      <c r="H1242" s="20">
        <v>5.0144165999999997E-2</v>
      </c>
      <c r="I1242" s="20">
        <v>5.0144165999999997E-2</v>
      </c>
      <c r="K1242">
        <f t="shared" si="38"/>
        <v>-2.620062912061405E-3</v>
      </c>
      <c r="L1242">
        <f t="shared" si="39"/>
        <v>3.8109565222402454E-4</v>
      </c>
    </row>
    <row r="1243" spans="1:12" ht="15" customHeight="1" x14ac:dyDescent="0.3">
      <c r="A1243" s="22">
        <v>44336</v>
      </c>
      <c r="B1243" s="23">
        <v>5.0269191520592803E-2</v>
      </c>
      <c r="C1243" s="23">
        <v>5.0282588145376998E-2</v>
      </c>
      <c r="D1243" s="23">
        <v>5.0275892000000003E-2</v>
      </c>
      <c r="E1243" s="24">
        <v>-2.25331999999994E-4</v>
      </c>
      <c r="F1243" s="24">
        <v>-0.44619116558440802</v>
      </c>
      <c r="G1243" s="24">
        <v>2.7903165654548499</v>
      </c>
      <c r="H1243" s="23">
        <v>5.0275892000000003E-2</v>
      </c>
      <c r="I1243" s="23">
        <v>5.0275892000000003E-2</v>
      </c>
      <c r="K1243">
        <f t="shared" si="38"/>
        <v>-4.4619116558440863E-3</v>
      </c>
      <c r="L1243">
        <f t="shared" si="39"/>
        <v>2.6646219989881936E-4</v>
      </c>
    </row>
    <row r="1244" spans="1:12" ht="15" customHeight="1" x14ac:dyDescent="0.3">
      <c r="A1244" s="19">
        <v>44335</v>
      </c>
      <c r="B1244" s="20">
        <v>5.0493319733799197E-2</v>
      </c>
      <c r="C1244" s="20">
        <v>5.0509132051074802E-2</v>
      </c>
      <c r="D1244" s="20">
        <v>5.0501223999999997E-2</v>
      </c>
      <c r="E1244" s="21">
        <v>-3.0626000000005802E-5</v>
      </c>
      <c r="F1244" s="21">
        <v>-6.0607319937833103E-2</v>
      </c>
      <c r="G1244" s="21">
        <v>3.2510134659161398</v>
      </c>
      <c r="H1244" s="20">
        <v>5.0501223999999997E-2</v>
      </c>
      <c r="I1244" s="20">
        <v>5.0501223999999997E-2</v>
      </c>
      <c r="K1244">
        <f t="shared" si="38"/>
        <v>-6.0607319937833193E-4</v>
      </c>
      <c r="L1244">
        <f t="shared" si="39"/>
        <v>3.1310760459203049E-4</v>
      </c>
    </row>
    <row r="1245" spans="1:12" ht="15" customHeight="1" x14ac:dyDescent="0.3">
      <c r="A1245" s="22">
        <v>44334</v>
      </c>
      <c r="B1245" s="23">
        <v>5.0524698999105701E-2</v>
      </c>
      <c r="C1245" s="23">
        <v>5.0538998418129401E-2</v>
      </c>
      <c r="D1245" s="23">
        <v>5.0531850000000003E-2</v>
      </c>
      <c r="E1245" s="24">
        <v>3.5723000000001298E-5</v>
      </c>
      <c r="F1245" s="24">
        <v>7.0744039438919104E-2</v>
      </c>
      <c r="G1245" s="24">
        <v>3.3136290876366701</v>
      </c>
      <c r="H1245" s="23">
        <v>5.0531850000000003E-2</v>
      </c>
      <c r="I1245" s="23">
        <v>5.0531850000000003E-2</v>
      </c>
      <c r="K1245">
        <f t="shared" si="38"/>
        <v>7.074403943891916E-4</v>
      </c>
      <c r="L1245">
        <f t="shared" si="39"/>
        <v>2.8297833987277372E-4</v>
      </c>
    </row>
    <row r="1246" spans="1:12" ht="15" customHeight="1" x14ac:dyDescent="0.3">
      <c r="A1246" s="19">
        <v>44333</v>
      </c>
      <c r="B1246" s="20">
        <v>5.0487966193257801E-2</v>
      </c>
      <c r="C1246" s="20">
        <v>5.0504285288606697E-2</v>
      </c>
      <c r="D1246" s="20">
        <v>5.0496127000000002E-2</v>
      </c>
      <c r="E1246" s="21">
        <v>1.3097700000000399E-4</v>
      </c>
      <c r="F1246" s="21">
        <v>0.26005481965209998</v>
      </c>
      <c r="G1246" s="21">
        <v>3.2405925221458398</v>
      </c>
      <c r="H1246" s="20">
        <v>5.0496127000000002E-2</v>
      </c>
      <c r="I1246" s="20">
        <v>5.0496127000000002E-2</v>
      </c>
      <c r="K1246">
        <f t="shared" si="38"/>
        <v>2.600548196521002E-3</v>
      </c>
      <c r="L1246">
        <f t="shared" si="39"/>
        <v>3.2317518824554988E-4</v>
      </c>
    </row>
    <row r="1247" spans="1:12" ht="15" customHeight="1" x14ac:dyDescent="0.3">
      <c r="A1247" s="22">
        <v>44330</v>
      </c>
      <c r="B1247" s="23">
        <v>5.0358552896623998E-2</v>
      </c>
      <c r="C1247" s="23">
        <v>5.0371743466784899E-2</v>
      </c>
      <c r="D1247" s="23">
        <v>5.0365149999999997E-2</v>
      </c>
      <c r="E1247" s="24">
        <v>5.6806999999999604E-4</v>
      </c>
      <c r="F1247" s="24">
        <v>1.1407696997494501</v>
      </c>
      <c r="G1247" s="24">
        <v>2.97280677519591</v>
      </c>
      <c r="H1247" s="23">
        <v>5.0365149999999997E-2</v>
      </c>
      <c r="I1247" s="23">
        <v>5.0365149999999997E-2</v>
      </c>
      <c r="K1247">
        <f t="shared" si="38"/>
        <v>1.1407696997494554E-2</v>
      </c>
      <c r="L1247">
        <f t="shared" si="39"/>
        <v>2.6189875659857783E-4</v>
      </c>
    </row>
    <row r="1248" spans="1:12" ht="15" customHeight="1" x14ac:dyDescent="0.3">
      <c r="A1248" s="19">
        <v>44329</v>
      </c>
      <c r="B1248" s="20">
        <v>4.9787655648658502E-2</v>
      </c>
      <c r="C1248" s="20">
        <v>4.9806501740737197E-2</v>
      </c>
      <c r="D1248" s="20">
        <v>4.9797080000000001E-2</v>
      </c>
      <c r="E1248" s="21">
        <v>-8.5069999999999496E-5</v>
      </c>
      <c r="F1248" s="21">
        <v>-0.17054196741720301</v>
      </c>
      <c r="G1248" s="21">
        <v>1.8113734756865201</v>
      </c>
      <c r="H1248" s="20">
        <v>4.9797080000000001E-2</v>
      </c>
      <c r="I1248" s="20">
        <v>4.9797080000000001E-2</v>
      </c>
      <c r="K1248">
        <f t="shared" si="38"/>
        <v>-1.7054196741720373E-3</v>
      </c>
      <c r="L1248">
        <f t="shared" si="39"/>
        <v>3.7845777460635861E-4</v>
      </c>
    </row>
    <row r="1249" spans="1:12" ht="15" customHeight="1" x14ac:dyDescent="0.3">
      <c r="A1249" s="22">
        <v>44328</v>
      </c>
      <c r="B1249" s="23">
        <v>4.9874565467848402E-2</v>
      </c>
      <c r="C1249" s="23">
        <v>4.9889743666496997E-2</v>
      </c>
      <c r="D1249" s="23">
        <v>4.988215E-2</v>
      </c>
      <c r="E1249" s="24">
        <v>-4.3864700000000002E-4</v>
      </c>
      <c r="F1249" s="24">
        <v>-0.87170121729193095</v>
      </c>
      <c r="G1249" s="24">
        <v>1.98530121485469</v>
      </c>
      <c r="H1249" s="23">
        <v>4.988215E-2</v>
      </c>
      <c r="I1249" s="23">
        <v>4.988215E-2</v>
      </c>
      <c r="K1249">
        <f t="shared" si="38"/>
        <v>-8.717012172919314E-3</v>
      </c>
      <c r="L1249">
        <f t="shared" si="39"/>
        <v>3.042811636746854E-4</v>
      </c>
    </row>
    <row r="1250" spans="1:12" ht="15" customHeight="1" x14ac:dyDescent="0.3">
      <c r="A1250" s="19">
        <v>44327</v>
      </c>
      <c r="B1250" s="20">
        <v>5.0314212255535798E-2</v>
      </c>
      <c r="C1250" s="20">
        <v>5.0327379604326102E-2</v>
      </c>
      <c r="D1250" s="20">
        <v>5.0320797E-2</v>
      </c>
      <c r="E1250" s="21">
        <v>-6.3289999999993604E-6</v>
      </c>
      <c r="F1250" s="21">
        <v>-1.25757230802325E-2</v>
      </c>
      <c r="G1250" s="21">
        <v>2.8821259592169999</v>
      </c>
      <c r="H1250" s="20">
        <v>5.0320797E-2</v>
      </c>
      <c r="I1250" s="20">
        <v>5.0320797E-2</v>
      </c>
      <c r="K1250">
        <f t="shared" si="38"/>
        <v>-1.2575723080232581E-4</v>
      </c>
      <c r="L1250">
        <f t="shared" si="39"/>
        <v>2.616681287918318E-4</v>
      </c>
    </row>
    <row r="1251" spans="1:12" ht="15" customHeight="1" x14ac:dyDescent="0.3">
      <c r="A1251" s="22">
        <v>44326</v>
      </c>
      <c r="B1251" s="23">
        <v>5.0318516207594102E-2</v>
      </c>
      <c r="C1251" s="23">
        <v>5.0335739381675799E-2</v>
      </c>
      <c r="D1251" s="23">
        <v>5.0327126E-2</v>
      </c>
      <c r="E1251" s="24">
        <v>7.7132000000000494E-5</v>
      </c>
      <c r="F1251" s="24">
        <v>0.15349653574088201</v>
      </c>
      <c r="G1251" s="24">
        <v>2.8950657577499199</v>
      </c>
      <c r="H1251" s="23">
        <v>5.0327126E-2</v>
      </c>
      <c r="I1251" s="23">
        <v>5.0327126E-2</v>
      </c>
      <c r="K1251">
        <f t="shared" si="38"/>
        <v>1.534965357408824E-3</v>
      </c>
      <c r="L1251">
        <f t="shared" si="39"/>
        <v>3.4222447118671575E-4</v>
      </c>
    </row>
    <row r="1252" spans="1:12" ht="15" customHeight="1" x14ac:dyDescent="0.3">
      <c r="A1252" s="19">
        <v>44323</v>
      </c>
      <c r="B1252" s="20">
        <v>5.02451965592089E-2</v>
      </c>
      <c r="C1252" s="20">
        <v>5.0254791794397603E-2</v>
      </c>
      <c r="D1252" s="20">
        <v>5.0249993999999999E-2</v>
      </c>
      <c r="E1252" s="21">
        <v>7.2420399999999902E-4</v>
      </c>
      <c r="F1252" s="21">
        <v>1.4622765229994299</v>
      </c>
      <c r="G1252" s="21">
        <v>2.73736745779083</v>
      </c>
      <c r="H1252" s="20">
        <v>5.0249993999999999E-2</v>
      </c>
      <c r="I1252" s="20">
        <v>5.0249993999999999E-2</v>
      </c>
      <c r="K1252">
        <f t="shared" si="38"/>
        <v>1.4622765229994394E-2</v>
      </c>
      <c r="L1252">
        <f t="shared" si="39"/>
        <v>1.9094997680403657E-4</v>
      </c>
    </row>
    <row r="1253" spans="1:12" ht="15" customHeight="1" x14ac:dyDescent="0.3">
      <c r="A1253" s="22">
        <v>44322</v>
      </c>
      <c r="B1253" s="23">
        <v>4.9518678445509598E-2</v>
      </c>
      <c r="C1253" s="23">
        <v>4.9532904708597898E-2</v>
      </c>
      <c r="D1253" s="23">
        <v>4.952579E-2</v>
      </c>
      <c r="E1253" s="24">
        <v>1.2263999999997899E-5</v>
      </c>
      <c r="F1253" s="24">
        <v>2.4768989386858498E-2</v>
      </c>
      <c r="G1253" s="24">
        <v>1.25671429667002</v>
      </c>
      <c r="H1253" s="23">
        <v>4.952579E-2</v>
      </c>
      <c r="I1253" s="23">
        <v>4.952579E-2</v>
      </c>
      <c r="K1253">
        <f t="shared" si="38"/>
        <v>2.4768989386858564E-4</v>
      </c>
      <c r="L1253">
        <f t="shared" si="39"/>
        <v>2.8724959436891915E-4</v>
      </c>
    </row>
    <row r="1254" spans="1:12" ht="15" customHeight="1" x14ac:dyDescent="0.3">
      <c r="A1254" s="19">
        <v>44321</v>
      </c>
      <c r="B1254" s="20">
        <v>4.9506666072586698E-2</v>
      </c>
      <c r="C1254" s="20">
        <v>4.9520394974670298E-2</v>
      </c>
      <c r="D1254" s="20">
        <v>4.9513526000000002E-2</v>
      </c>
      <c r="E1254" s="21">
        <v>1.24710999999999E-4</v>
      </c>
      <c r="F1254" s="21">
        <v>0.252508589242328</v>
      </c>
      <c r="G1254" s="21">
        <v>1.2316402424422299</v>
      </c>
      <c r="H1254" s="20">
        <v>4.9513526000000002E-2</v>
      </c>
      <c r="I1254" s="20">
        <v>4.9513526000000002E-2</v>
      </c>
      <c r="K1254">
        <f t="shared" si="38"/>
        <v>2.5250858924232844E-3</v>
      </c>
      <c r="L1254">
        <f t="shared" si="39"/>
        <v>2.7727579093437692E-4</v>
      </c>
    </row>
    <row r="1255" spans="1:12" ht="15" customHeight="1" x14ac:dyDescent="0.3">
      <c r="A1255" s="22">
        <v>44320</v>
      </c>
      <c r="B1255" s="23">
        <v>4.93817406075929E-2</v>
      </c>
      <c r="C1255" s="23">
        <v>4.9395888286259099E-2</v>
      </c>
      <c r="D1255" s="23">
        <v>4.9388815000000003E-2</v>
      </c>
      <c r="E1255" s="24">
        <v>-1.1123700000000001E-4</v>
      </c>
      <c r="F1255" s="24">
        <v>-0.22472097605069599</v>
      </c>
      <c r="G1255" s="24">
        <v>0.976665488952144</v>
      </c>
      <c r="H1255" s="23">
        <v>4.9388815000000003E-2</v>
      </c>
      <c r="I1255" s="23">
        <v>4.9388815000000003E-2</v>
      </c>
      <c r="K1255">
        <f t="shared" si="38"/>
        <v>-2.247209760506963E-3</v>
      </c>
      <c r="L1255">
        <f t="shared" si="39"/>
        <v>2.8645511470965044E-4</v>
      </c>
    </row>
    <row r="1256" spans="1:12" ht="15" customHeight="1" x14ac:dyDescent="0.3">
      <c r="A1256" s="19">
        <v>44319</v>
      </c>
      <c r="B1256" s="20">
        <v>4.9492209926157597E-2</v>
      </c>
      <c r="C1256" s="20">
        <v>4.9507891557914303E-2</v>
      </c>
      <c r="D1256" s="20">
        <v>4.9500052000000003E-2</v>
      </c>
      <c r="E1256" s="21">
        <v>-6.7471999999998896E-5</v>
      </c>
      <c r="F1256" s="21">
        <v>-0.13612138463885401</v>
      </c>
      <c r="G1256" s="21">
        <v>1.20409231300116</v>
      </c>
      <c r="H1256" s="20">
        <v>4.9500052000000003E-2</v>
      </c>
      <c r="I1256" s="20">
        <v>4.9500052000000003E-2</v>
      </c>
      <c r="K1256">
        <f t="shared" si="38"/>
        <v>-1.3612138463885426E-3</v>
      </c>
      <c r="L1256">
        <f t="shared" si="39"/>
        <v>3.1680030874929192E-4</v>
      </c>
    </row>
    <row r="1257" spans="1:12" ht="15" customHeight="1" x14ac:dyDescent="0.3">
      <c r="A1257" s="22">
        <v>44316</v>
      </c>
      <c r="B1257" s="23">
        <v>4.9561136139484901E-2</v>
      </c>
      <c r="C1257" s="23">
        <v>4.9573912224430999E-2</v>
      </c>
      <c r="D1257" s="23">
        <v>4.9567524000000002E-2</v>
      </c>
      <c r="E1257" s="24">
        <v>-2.2583600000000001E-4</v>
      </c>
      <c r="F1257" s="24">
        <v>-0.45354641663065598</v>
      </c>
      <c r="G1257" s="24">
        <v>1.34204050175342</v>
      </c>
      <c r="H1257" s="23">
        <v>4.9567524000000002E-2</v>
      </c>
      <c r="I1257" s="23">
        <v>4.9567524000000002E-2</v>
      </c>
      <c r="K1257">
        <f t="shared" si="38"/>
        <v>-4.5354641663065687E-3</v>
      </c>
      <c r="L1257">
        <f t="shared" si="39"/>
        <v>2.5775112241026668E-4</v>
      </c>
    </row>
    <row r="1258" spans="1:12" ht="15" customHeight="1" x14ac:dyDescent="0.3">
      <c r="A1258" s="19">
        <v>44315</v>
      </c>
      <c r="B1258" s="20">
        <v>4.9786168406693303E-2</v>
      </c>
      <c r="C1258" s="20">
        <v>4.9800548802047803E-2</v>
      </c>
      <c r="D1258" s="20">
        <v>4.9793360000000002E-2</v>
      </c>
      <c r="E1258" s="21">
        <v>-2.7610999999999603E-4</v>
      </c>
      <c r="F1258" s="21">
        <v>-0.55145381007627403</v>
      </c>
      <c r="G1258" s="21">
        <v>1.8037678427994199</v>
      </c>
      <c r="H1258" s="20">
        <v>4.9793360000000002E-2</v>
      </c>
      <c r="I1258" s="20">
        <v>4.9793360000000002E-2</v>
      </c>
      <c r="K1258">
        <f t="shared" si="38"/>
        <v>-5.5145381007627448E-3</v>
      </c>
      <c r="L1258">
        <f t="shared" si="39"/>
        <v>2.8880146578781738E-4</v>
      </c>
    </row>
    <row r="1259" spans="1:12" ht="15" customHeight="1" x14ac:dyDescent="0.3">
      <c r="A1259" s="22">
        <v>44314</v>
      </c>
      <c r="B1259" s="23">
        <v>5.0063330112592397E-2</v>
      </c>
      <c r="C1259" s="23">
        <v>5.0075614177407898E-2</v>
      </c>
      <c r="D1259" s="23">
        <v>5.0069469999999998E-2</v>
      </c>
      <c r="E1259" s="24">
        <v>-1.5675999999999099E-5</v>
      </c>
      <c r="F1259" s="24">
        <v>-3.1298700816406698E-2</v>
      </c>
      <c r="G1259" s="24">
        <v>2.3682816321696301</v>
      </c>
      <c r="H1259" s="23">
        <v>5.0069469999999998E-2</v>
      </c>
      <c r="I1259" s="23">
        <v>5.0069469999999998E-2</v>
      </c>
      <c r="K1259">
        <f t="shared" si="38"/>
        <v>-3.1298700816406733E-4</v>
      </c>
      <c r="L1259">
        <f t="shared" si="39"/>
        <v>2.4534042033002315E-4</v>
      </c>
    </row>
    <row r="1260" spans="1:12" ht="15" customHeight="1" x14ac:dyDescent="0.3">
      <c r="A1260" s="19">
        <v>44313</v>
      </c>
      <c r="B1260" s="20">
        <v>5.0078874226907398E-2</v>
      </c>
      <c r="C1260" s="20">
        <v>5.0091416835725197E-2</v>
      </c>
      <c r="D1260" s="20">
        <v>5.0085145999999997E-2</v>
      </c>
      <c r="E1260" s="21">
        <v>-3.3904600000000203E-4</v>
      </c>
      <c r="F1260" s="21">
        <v>-0.672387571426036</v>
      </c>
      <c r="G1260" s="21">
        <v>2.4003316055938702</v>
      </c>
      <c r="H1260" s="20">
        <v>5.0085145999999997E-2</v>
      </c>
      <c r="I1260" s="20">
        <v>5.0085145999999997E-2</v>
      </c>
      <c r="K1260">
        <f t="shared" si="38"/>
        <v>-6.7238757142603633E-3</v>
      </c>
      <c r="L1260">
        <f t="shared" si="39"/>
        <v>2.5042572138651772E-4</v>
      </c>
    </row>
    <row r="1261" spans="1:12" ht="15" customHeight="1" x14ac:dyDescent="0.3">
      <c r="A1261" s="22">
        <v>44312</v>
      </c>
      <c r="B1261" s="23">
        <v>5.0416693975709199E-2</v>
      </c>
      <c r="C1261" s="23">
        <v>5.0431695311869598E-2</v>
      </c>
      <c r="D1261" s="23">
        <v>5.0424192E-2</v>
      </c>
      <c r="E1261" s="24">
        <v>2.0069599999999999E-4</v>
      </c>
      <c r="F1261" s="24">
        <v>0.39960579406896901</v>
      </c>
      <c r="G1261" s="24">
        <v>3.0935196184540201</v>
      </c>
      <c r="H1261" s="23">
        <v>5.0424192E-2</v>
      </c>
      <c r="I1261" s="23">
        <v>5.0424192E-2</v>
      </c>
      <c r="K1261">
        <f t="shared" si="38"/>
        <v>3.9960579406896901E-3</v>
      </c>
      <c r="L1261">
        <f t="shared" si="39"/>
        <v>2.9750275741451099E-4</v>
      </c>
    </row>
    <row r="1262" spans="1:12" ht="15" customHeight="1" x14ac:dyDescent="0.3">
      <c r="A1262" s="19">
        <v>44309</v>
      </c>
      <c r="B1262" s="20">
        <v>5.0215676329836603E-2</v>
      </c>
      <c r="C1262" s="20">
        <v>5.02313152065261E-2</v>
      </c>
      <c r="D1262" s="20">
        <v>5.0223495999999999E-2</v>
      </c>
      <c r="E1262" s="21">
        <v>-8.8438000000003099E-5</v>
      </c>
      <c r="F1262" s="21">
        <v>-0.17577936876765801</v>
      </c>
      <c r="G1262" s="21">
        <v>2.6831916351450298</v>
      </c>
      <c r="H1262" s="20">
        <v>5.0223495999999999E-2</v>
      </c>
      <c r="I1262" s="20">
        <v>5.0223495999999999E-2</v>
      </c>
      <c r="K1262">
        <f t="shared" si="38"/>
        <v>-1.7577936876765898E-3</v>
      </c>
      <c r="L1262">
        <f t="shared" si="39"/>
        <v>3.1138566477923303E-4</v>
      </c>
    </row>
    <row r="1263" spans="1:12" ht="15" customHeight="1" x14ac:dyDescent="0.3">
      <c r="A1263" s="22">
        <v>44308</v>
      </c>
      <c r="B1263" s="23">
        <v>5.0307378080069201E-2</v>
      </c>
      <c r="C1263" s="23">
        <v>5.0316490726670798E-2</v>
      </c>
      <c r="D1263" s="23">
        <v>5.0311934000000003E-2</v>
      </c>
      <c r="E1263" s="24">
        <v>1.51840000000014E-5</v>
      </c>
      <c r="F1263" s="24">
        <v>3.0188829298127801E-2</v>
      </c>
      <c r="G1263" s="24">
        <v>2.8640053344109999</v>
      </c>
      <c r="H1263" s="23">
        <v>5.0311934000000003E-2</v>
      </c>
      <c r="I1263" s="23">
        <v>5.0311934000000003E-2</v>
      </c>
      <c r="K1263">
        <f t="shared" si="38"/>
        <v>3.0188829298127828E-4</v>
      </c>
      <c r="L1263">
        <f t="shared" si="39"/>
        <v>1.8112296382002079E-4</v>
      </c>
    </row>
    <row r="1264" spans="1:12" ht="15" customHeight="1" x14ac:dyDescent="0.3">
      <c r="A1264" s="19">
        <v>44307</v>
      </c>
      <c r="B1264" s="20">
        <v>5.0289162685441299E-2</v>
      </c>
      <c r="C1264" s="20">
        <v>5.0304341264651102E-2</v>
      </c>
      <c r="D1264" s="20">
        <v>5.0296750000000001E-2</v>
      </c>
      <c r="E1264" s="21">
        <v>-7.0933000000002094E-5</v>
      </c>
      <c r="F1264" s="21">
        <v>-0.14083038125856001</v>
      </c>
      <c r="G1264" s="21">
        <v>2.8329612672718198</v>
      </c>
      <c r="H1264" s="20">
        <v>5.0296750000000001E-2</v>
      </c>
      <c r="I1264" s="20">
        <v>5.0296750000000001E-2</v>
      </c>
      <c r="K1264">
        <f t="shared" si="38"/>
        <v>-1.4083038125856095E-3</v>
      </c>
      <c r="L1264">
        <f t="shared" si="39"/>
        <v>3.0178051682867694E-4</v>
      </c>
    </row>
    <row r="1265" spans="1:12" ht="15" customHeight="1" x14ac:dyDescent="0.3">
      <c r="A1265" s="22">
        <v>44306</v>
      </c>
      <c r="B1265" s="23">
        <v>5.0357031352287702E-2</v>
      </c>
      <c r="C1265" s="23">
        <v>5.0378341343489598E-2</v>
      </c>
      <c r="D1265" s="23">
        <v>5.0367683000000003E-2</v>
      </c>
      <c r="E1265" s="24">
        <v>-1.2971699999999399E-4</v>
      </c>
      <c r="F1265" s="24">
        <v>-0.256878571966068</v>
      </c>
      <c r="G1265" s="24">
        <v>2.9779855569440499</v>
      </c>
      <c r="H1265" s="23">
        <v>5.0367683000000003E-2</v>
      </c>
      <c r="I1265" s="23">
        <v>5.0367683000000003E-2</v>
      </c>
      <c r="K1265">
        <f t="shared" si="38"/>
        <v>-2.5687857196606823E-3</v>
      </c>
      <c r="L1265">
        <f t="shared" si="39"/>
        <v>4.2308857451107035E-4</v>
      </c>
    </row>
    <row r="1266" spans="1:12" ht="15" customHeight="1" x14ac:dyDescent="0.3">
      <c r="A1266" s="19">
        <v>44305</v>
      </c>
      <c r="B1266" s="20">
        <v>5.0491790034940302E-2</v>
      </c>
      <c r="C1266" s="20">
        <v>5.0503009979394803E-2</v>
      </c>
      <c r="D1266" s="20">
        <v>5.0497399999999998E-2</v>
      </c>
      <c r="E1266" s="21">
        <v>2.8146999999999802E-4</v>
      </c>
      <c r="F1266" s="21">
        <v>0.56051934117320401</v>
      </c>
      <c r="G1266" s="21">
        <v>3.2431952024321999</v>
      </c>
      <c r="H1266" s="20">
        <v>5.0497399999999998E-2</v>
      </c>
      <c r="I1266" s="20">
        <v>5.0497399999999998E-2</v>
      </c>
      <c r="K1266">
        <f t="shared" si="38"/>
        <v>5.6051934117320457E-3</v>
      </c>
      <c r="L1266">
        <f t="shared" si="39"/>
        <v>2.2218855732177362E-4</v>
      </c>
    </row>
    <row r="1267" spans="1:12" ht="15" customHeight="1" x14ac:dyDescent="0.3">
      <c r="A1267" s="22">
        <v>44302</v>
      </c>
      <c r="B1267" s="23">
        <v>5.0209120988918901E-2</v>
      </c>
      <c r="C1267" s="23">
        <v>5.0222737842330702E-2</v>
      </c>
      <c r="D1267" s="23">
        <v>5.0215929999999999E-2</v>
      </c>
      <c r="E1267" s="24">
        <v>-3.7800000000018298E-6</v>
      </c>
      <c r="F1267" s="24">
        <v>-7.5269251853526901E-3</v>
      </c>
      <c r="G1267" s="24">
        <v>2.66772275922466</v>
      </c>
      <c r="H1267" s="23">
        <v>5.0215929999999999E-2</v>
      </c>
      <c r="I1267" s="23">
        <v>5.0215929999999999E-2</v>
      </c>
      <c r="K1267">
        <f t="shared" si="38"/>
        <v>-7.5269251853526953E-5</v>
      </c>
      <c r="L1267">
        <f t="shared" si="39"/>
        <v>2.7116601070219308E-4</v>
      </c>
    </row>
    <row r="1268" spans="1:12" ht="15" customHeight="1" x14ac:dyDescent="0.3">
      <c r="A1268" s="19">
        <v>44301</v>
      </c>
      <c r="B1268" s="20">
        <v>5.0212650575185903E-2</v>
      </c>
      <c r="C1268" s="20">
        <v>5.0226773884086598E-2</v>
      </c>
      <c r="D1268" s="20">
        <v>5.0219710000000001E-2</v>
      </c>
      <c r="E1268" s="21">
        <v>3.3195600000000098E-4</v>
      </c>
      <c r="F1268" s="21">
        <v>0.665405782749806</v>
      </c>
      <c r="G1268" s="21">
        <v>2.6754510636099398</v>
      </c>
      <c r="H1268" s="20">
        <v>5.0219710000000001E-2</v>
      </c>
      <c r="I1268" s="20">
        <v>5.0219710000000001E-2</v>
      </c>
      <c r="K1268">
        <f t="shared" si="38"/>
        <v>6.6540578274980611E-3</v>
      </c>
      <c r="L1268">
        <f t="shared" si="39"/>
        <v>2.8123039541037809E-4</v>
      </c>
    </row>
    <row r="1269" spans="1:12" ht="15" customHeight="1" x14ac:dyDescent="0.3">
      <c r="A1269" s="22">
        <v>44300</v>
      </c>
      <c r="B1269" s="23">
        <v>4.98787945292938E-2</v>
      </c>
      <c r="C1269" s="23">
        <v>4.9896713802429001E-2</v>
      </c>
      <c r="D1269" s="23">
        <v>4.9887753999999999E-2</v>
      </c>
      <c r="E1269" s="24">
        <v>1.17944000000001E-4</v>
      </c>
      <c r="F1269" s="24">
        <v>0.23697900393833099</v>
      </c>
      <c r="G1269" s="24">
        <v>1.9967587327846099</v>
      </c>
      <c r="H1269" s="23">
        <v>4.9887753999999999E-2</v>
      </c>
      <c r="I1269" s="23">
        <v>4.9887753999999999E-2</v>
      </c>
      <c r="K1269">
        <f t="shared" si="38"/>
        <v>2.3697900393833127E-3</v>
      </c>
      <c r="L1269">
        <f t="shared" si="39"/>
        <v>3.5919181960366751E-4</v>
      </c>
    </row>
    <row r="1270" spans="1:12" ht="15" customHeight="1" x14ac:dyDescent="0.3">
      <c r="A1270" s="19">
        <v>44299</v>
      </c>
      <c r="B1270" s="20">
        <v>4.9761146496815303E-2</v>
      </c>
      <c r="C1270" s="20">
        <v>4.9778485738463801E-2</v>
      </c>
      <c r="D1270" s="20">
        <v>4.9769809999999998E-2</v>
      </c>
      <c r="E1270" s="21">
        <v>-3.7189999999999398E-5</v>
      </c>
      <c r="F1270" s="21">
        <v>-7.4668219326601198E-2</v>
      </c>
      <c r="G1270" s="21">
        <v>1.7556192797641399</v>
      </c>
      <c r="H1270" s="20">
        <v>4.9769809999999998E-2</v>
      </c>
      <c r="I1270" s="20">
        <v>4.9769809999999998E-2</v>
      </c>
      <c r="K1270">
        <f t="shared" si="38"/>
        <v>-7.4668219326601282E-4</v>
      </c>
      <c r="L1270">
        <f t="shared" si="39"/>
        <v>3.4838874507453379E-4</v>
      </c>
    </row>
    <row r="1271" spans="1:12" ht="15" customHeight="1" x14ac:dyDescent="0.3">
      <c r="A1271" s="22">
        <v>44298</v>
      </c>
      <c r="B1271" s="23">
        <v>4.9797324887707002E-2</v>
      </c>
      <c r="C1271" s="23">
        <v>4.98166746373346E-2</v>
      </c>
      <c r="D1271" s="23">
        <v>4.9806999999999997E-2</v>
      </c>
      <c r="E1271" s="24">
        <v>2.07515999999997E-4</v>
      </c>
      <c r="F1271" s="24">
        <v>0.41838338479489501</v>
      </c>
      <c r="G1271" s="24">
        <v>1.8316551633854501</v>
      </c>
      <c r="H1271" s="23">
        <v>4.9806999999999997E-2</v>
      </c>
      <c r="I1271" s="23">
        <v>4.9806999999999997E-2</v>
      </c>
      <c r="K1271">
        <f t="shared" si="38"/>
        <v>4.183833847948959E-3</v>
      </c>
      <c r="L1271">
        <f t="shared" si="39"/>
        <v>3.8849458163707804E-4</v>
      </c>
    </row>
    <row r="1272" spans="1:12" ht="15" customHeight="1" x14ac:dyDescent="0.3">
      <c r="A1272" s="19">
        <v>44295</v>
      </c>
      <c r="B1272" s="20">
        <v>4.9592350875800897E-2</v>
      </c>
      <c r="C1272" s="20">
        <v>4.9606619507307097E-2</v>
      </c>
      <c r="D1272" s="20">
        <v>4.9599483999999999E-2</v>
      </c>
      <c r="E1272" s="21">
        <v>-1.86435999999998E-4</v>
      </c>
      <c r="F1272" s="21">
        <v>-0.37447535367428603</v>
      </c>
      <c r="G1272" s="21">
        <v>1.4073835197834501</v>
      </c>
      <c r="H1272" s="20">
        <v>4.9599483999999999E-2</v>
      </c>
      <c r="I1272" s="20">
        <v>4.9599483999999999E-2</v>
      </c>
      <c r="K1272">
        <f t="shared" si="38"/>
        <v>-3.7447535367428619E-3</v>
      </c>
      <c r="L1272">
        <f t="shared" si="39"/>
        <v>2.8767701507135309E-4</v>
      </c>
    </row>
    <row r="1273" spans="1:12" ht="15" customHeight="1" x14ac:dyDescent="0.3">
      <c r="A1273" s="22">
        <v>44294</v>
      </c>
      <c r="B1273" s="23">
        <v>4.9776751270551603E-2</v>
      </c>
      <c r="C1273" s="23">
        <v>4.9795093191516898E-2</v>
      </c>
      <c r="D1273" s="23">
        <v>4.9785919999999997E-2</v>
      </c>
      <c r="E1273" s="24">
        <v>1.6243799999999999E-4</v>
      </c>
      <c r="F1273" s="24">
        <v>0.32734099553917101</v>
      </c>
      <c r="G1273" s="24">
        <v>1.7885565770252101</v>
      </c>
      <c r="H1273" s="23">
        <v>4.9785919999999997E-2</v>
      </c>
      <c r="I1273" s="23">
        <v>4.9785919999999997E-2</v>
      </c>
      <c r="K1273">
        <f t="shared" si="38"/>
        <v>3.2734099553917151E-3</v>
      </c>
      <c r="L1273">
        <f t="shared" si="39"/>
        <v>3.684158285172834E-4</v>
      </c>
    </row>
    <row r="1274" spans="1:12" ht="15" customHeight="1" x14ac:dyDescent="0.3">
      <c r="A1274" s="19">
        <v>44293</v>
      </c>
      <c r="B1274" s="20">
        <v>4.9616218549519503E-2</v>
      </c>
      <c r="C1274" s="20">
        <v>4.9630747240530501E-2</v>
      </c>
      <c r="D1274" s="20">
        <v>4.9623481999999997E-2</v>
      </c>
      <c r="E1274" s="21">
        <v>1.5388999999997599E-5</v>
      </c>
      <c r="F1274" s="21">
        <v>3.10211481017841E-2</v>
      </c>
      <c r="G1274" s="21">
        <v>1.4564480300051199</v>
      </c>
      <c r="H1274" s="20">
        <v>4.9623481999999997E-2</v>
      </c>
      <c r="I1274" s="20">
        <v>4.9623481999999997E-2</v>
      </c>
      <c r="K1274">
        <f t="shared" si="38"/>
        <v>3.1021148101784135E-4</v>
      </c>
      <c r="L1274">
        <f t="shared" si="39"/>
        <v>2.9277854808733869E-4</v>
      </c>
    </row>
    <row r="1275" spans="1:12" ht="15" customHeight="1" x14ac:dyDescent="0.3">
      <c r="A1275" s="22">
        <v>44292</v>
      </c>
      <c r="B1275" s="23">
        <v>4.9598746143697497E-2</v>
      </c>
      <c r="C1275" s="23">
        <v>4.9617449464627698E-2</v>
      </c>
      <c r="D1275" s="23">
        <v>4.9608092999999999E-2</v>
      </c>
      <c r="E1275" s="24">
        <v>2.8383800000000099E-4</v>
      </c>
      <c r="F1275" s="24">
        <v>0.57545319234928405</v>
      </c>
      <c r="G1275" s="24">
        <v>1.4249848352471699</v>
      </c>
      <c r="H1275" s="23">
        <v>4.9608092999999999E-2</v>
      </c>
      <c r="I1275" s="23">
        <v>4.9608092999999999E-2</v>
      </c>
      <c r="K1275">
        <f t="shared" si="38"/>
        <v>5.7545319234928449E-3</v>
      </c>
      <c r="L1275">
        <f t="shared" si="39"/>
        <v>3.770215664246747E-4</v>
      </c>
    </row>
    <row r="1276" spans="1:12" ht="15" customHeight="1" x14ac:dyDescent="0.3">
      <c r="A1276" s="19">
        <v>44291</v>
      </c>
      <c r="B1276" s="20">
        <v>4.9313798493956597E-2</v>
      </c>
      <c r="C1276" s="20">
        <v>4.9334721283492103E-2</v>
      </c>
      <c r="D1276" s="20">
        <v>4.9324254999999997E-2</v>
      </c>
      <c r="E1276" s="21">
        <v>1.16436999999997E-4</v>
      </c>
      <c r="F1276" s="21">
        <v>0.236622969138755</v>
      </c>
      <c r="G1276" s="21">
        <v>0.84467095691149396</v>
      </c>
      <c r="H1276" s="20">
        <v>4.9324254999999997E-2</v>
      </c>
      <c r="I1276" s="20">
        <v>4.9324254999999997E-2</v>
      </c>
      <c r="K1276">
        <f t="shared" si="38"/>
        <v>2.3662296913875558E-3</v>
      </c>
      <c r="L1276">
        <f t="shared" si="39"/>
        <v>4.2418865800418124E-4</v>
      </c>
    </row>
    <row r="1277" spans="1:12" ht="15" customHeight="1" x14ac:dyDescent="0.3">
      <c r="A1277" s="22">
        <v>44288</v>
      </c>
      <c r="B1277" s="23">
        <v>4.9198071435599698E-2</v>
      </c>
      <c r="C1277" s="23">
        <v>4.9217442661679302E-2</v>
      </c>
      <c r="D1277" s="23">
        <v>4.9207818E-2</v>
      </c>
      <c r="E1277" s="24">
        <v>6.4000000001007695E-8</v>
      </c>
      <c r="F1277" s="24">
        <v>1.30060803016363E-4</v>
      </c>
      <c r="G1277" s="24">
        <v>0.60661260302029696</v>
      </c>
      <c r="H1277" s="23">
        <v>4.9207818E-2</v>
      </c>
      <c r="I1277" s="23">
        <v>4.9207818E-2</v>
      </c>
      <c r="K1277">
        <f t="shared" si="38"/>
        <v>1.3006080301636302E-6</v>
      </c>
      <c r="L1277">
        <f t="shared" si="39"/>
        <v>3.9366155352801093E-4</v>
      </c>
    </row>
    <row r="1278" spans="1:12" ht="15" customHeight="1" x14ac:dyDescent="0.3">
      <c r="A1278" s="19">
        <v>44287</v>
      </c>
      <c r="B1278" s="20">
        <v>4.9198071435599698E-2</v>
      </c>
      <c r="C1278" s="20">
        <v>4.9217442661679302E-2</v>
      </c>
      <c r="D1278" s="20">
        <v>4.9207753999999999E-2</v>
      </c>
      <c r="E1278" s="21">
        <v>3.33095999999998E-4</v>
      </c>
      <c r="F1278" s="21">
        <v>0.68153111168571801</v>
      </c>
      <c r="G1278" s="21">
        <v>0.60648175342223798</v>
      </c>
      <c r="H1278" s="20">
        <v>4.9207753999999999E-2</v>
      </c>
      <c r="I1278" s="20">
        <v>4.9207753999999999E-2</v>
      </c>
      <c r="K1278">
        <f t="shared" si="38"/>
        <v>6.8153111168571812E-3</v>
      </c>
      <c r="L1278">
        <f t="shared" si="39"/>
        <v>3.9366206552738866E-4</v>
      </c>
    </row>
    <row r="1279" spans="1:12" ht="15" customHeight="1" x14ac:dyDescent="0.3">
      <c r="A1279" s="22">
        <v>44286</v>
      </c>
      <c r="B1279" s="23">
        <v>4.8867973396275299E-2</v>
      </c>
      <c r="C1279" s="23">
        <v>4.8881350298420598E-2</v>
      </c>
      <c r="D1279" s="23">
        <v>4.8874658000000001E-2</v>
      </c>
      <c r="E1279" s="24">
        <v>3.3921400000000402E-4</v>
      </c>
      <c r="F1279" s="24">
        <v>0.69889955060471398</v>
      </c>
      <c r="G1279" s="24">
        <v>-7.4541335868480801E-2</v>
      </c>
      <c r="H1279" s="23">
        <v>4.8874658000000001E-2</v>
      </c>
      <c r="I1279" s="23">
        <v>4.8874658000000001E-2</v>
      </c>
      <c r="K1279">
        <f t="shared" si="38"/>
        <v>6.9889955060471465E-3</v>
      </c>
      <c r="L1279">
        <f t="shared" si="39"/>
        <v>2.7369812276330214E-4</v>
      </c>
    </row>
    <row r="1280" spans="1:12" ht="15" customHeight="1" x14ac:dyDescent="0.3">
      <c r="A1280" s="19">
        <v>44285</v>
      </c>
      <c r="B1280" s="20">
        <v>4.8526493038874602E-2</v>
      </c>
      <c r="C1280" s="20">
        <v>4.8544396277615698E-2</v>
      </c>
      <c r="D1280" s="20">
        <v>4.8535443999999997E-2</v>
      </c>
      <c r="E1280" s="21">
        <v>2.96173999999996E-4</v>
      </c>
      <c r="F1280" s="21">
        <v>0.61396866080269896</v>
      </c>
      <c r="G1280" s="21">
        <v>-0.76807282892353401</v>
      </c>
      <c r="H1280" s="20">
        <v>4.8535443999999997E-2</v>
      </c>
      <c r="I1280" s="20">
        <v>4.8535443999999997E-2</v>
      </c>
      <c r="K1280">
        <f t="shared" si="38"/>
        <v>6.1396866080269952E-3</v>
      </c>
      <c r="L1280">
        <f t="shared" si="39"/>
        <v>3.6886937185731742E-4</v>
      </c>
    </row>
    <row r="1281" spans="1:12" ht="15" customHeight="1" x14ac:dyDescent="0.3">
      <c r="A1281" s="22">
        <v>44284</v>
      </c>
      <c r="B1281" s="23">
        <v>4.8229960451432401E-2</v>
      </c>
      <c r="C1281" s="23">
        <v>4.8248576666988299E-2</v>
      </c>
      <c r="D1281" s="23">
        <v>4.8239270000000001E-2</v>
      </c>
      <c r="E1281" s="24">
        <v>-3.4923700000000202E-4</v>
      </c>
      <c r="F1281" s="24">
        <v>-0.718764624729062</v>
      </c>
      <c r="G1281" s="24">
        <v>-1.37360796728481</v>
      </c>
      <c r="H1281" s="23">
        <v>4.8239270000000001E-2</v>
      </c>
      <c r="I1281" s="23">
        <v>4.8239270000000001E-2</v>
      </c>
      <c r="K1281">
        <f t="shared" si="38"/>
        <v>-7.1876462472906244E-3</v>
      </c>
      <c r="L1281">
        <f t="shared" si="39"/>
        <v>3.8591412257894028E-4</v>
      </c>
    </row>
    <row r="1282" spans="1:12" ht="15" customHeight="1" x14ac:dyDescent="0.3">
      <c r="A1282" s="19">
        <v>44281</v>
      </c>
      <c r="B1282" s="20">
        <v>4.8578826432710998E-2</v>
      </c>
      <c r="C1282" s="20">
        <v>4.8598185343759301E-2</v>
      </c>
      <c r="D1282" s="20">
        <v>4.8588507000000003E-2</v>
      </c>
      <c r="E1282" s="21">
        <v>4.74572000000006E-4</v>
      </c>
      <c r="F1282" s="21">
        <v>0.98635042010179996</v>
      </c>
      <c r="G1282" s="21">
        <v>-0.65958420045895505</v>
      </c>
      <c r="H1282" s="20">
        <v>4.8588507000000003E-2</v>
      </c>
      <c r="I1282" s="20">
        <v>4.8588507000000003E-2</v>
      </c>
      <c r="K1282">
        <f t="shared" si="38"/>
        <v>9.863504201018003E-3</v>
      </c>
      <c r="L1282">
        <f t="shared" si="39"/>
        <v>3.984257233568288E-4</v>
      </c>
    </row>
    <row r="1283" spans="1:12" ht="15" customHeight="1" x14ac:dyDescent="0.3">
      <c r="A1283" s="22">
        <v>44280</v>
      </c>
      <c r="B1283" s="23">
        <v>4.81060642504594E-2</v>
      </c>
      <c r="C1283" s="23">
        <v>4.8121805915132397E-2</v>
      </c>
      <c r="D1283" s="23">
        <v>4.8113934999999997E-2</v>
      </c>
      <c r="E1283" s="24">
        <v>4.1634999999998201E-5</v>
      </c>
      <c r="F1283" s="24">
        <v>8.6609128333781094E-2</v>
      </c>
      <c r="G1283" s="24">
        <v>-1.6298585043559699</v>
      </c>
      <c r="H1283" s="23">
        <v>4.8113934999999997E-2</v>
      </c>
      <c r="I1283" s="23">
        <v>4.8113934999999997E-2</v>
      </c>
      <c r="K1283">
        <f t="shared" si="38"/>
        <v>8.6609128333781094E-4</v>
      </c>
      <c r="L1283">
        <f t="shared" si="39"/>
        <v>3.2717475037111118E-4</v>
      </c>
    </row>
    <row r="1284" spans="1:12" ht="15" customHeight="1" x14ac:dyDescent="0.3">
      <c r="A1284" s="19">
        <v>44279</v>
      </c>
      <c r="B1284" s="20">
        <v>4.8064906850210497E-2</v>
      </c>
      <c r="C1284" s="20">
        <v>4.8079696905590698E-2</v>
      </c>
      <c r="D1284" s="20">
        <v>4.8072299999999998E-2</v>
      </c>
      <c r="E1284" s="21">
        <v>-3.9433800000000102E-4</v>
      </c>
      <c r="F1284" s="21">
        <v>-0.81362771645105902</v>
      </c>
      <c r="G1284" s="21">
        <v>-1.71498230146737</v>
      </c>
      <c r="H1284" s="20">
        <v>4.8072299999999998E-2</v>
      </c>
      <c r="I1284" s="20">
        <v>4.8072299999999998E-2</v>
      </c>
      <c r="K1284">
        <f t="shared" si="38"/>
        <v>-8.1362771645105969E-3</v>
      </c>
      <c r="L1284">
        <f t="shared" si="39"/>
        <v>3.0766273675694863E-4</v>
      </c>
    </row>
    <row r="1285" spans="1:12" ht="15" customHeight="1" x14ac:dyDescent="0.3">
      <c r="A1285" s="22">
        <v>44278</v>
      </c>
      <c r="B1285" s="23">
        <v>4.8458064391076E-2</v>
      </c>
      <c r="C1285" s="23">
        <v>4.8475212200241397E-2</v>
      </c>
      <c r="D1285" s="23">
        <v>4.8466637999999999E-2</v>
      </c>
      <c r="E1285" s="24">
        <v>-8.6479000000000403E-5</v>
      </c>
      <c r="F1285" s="24">
        <v>-0.17811214880395401</v>
      </c>
      <c r="G1285" s="24">
        <v>-0.90874841398530604</v>
      </c>
      <c r="H1285" s="23">
        <v>4.8466637999999999E-2</v>
      </c>
      <c r="I1285" s="23">
        <v>4.8466637999999999E-2</v>
      </c>
      <c r="K1285">
        <f t="shared" ref="K1285:K1307" si="40">D1285/D1286-1</f>
        <v>-1.7811214880395498E-3</v>
      </c>
      <c r="L1285">
        <f t="shared" ref="L1285:L1307" si="41">(C1285-B1285)/D1285</f>
        <v>3.5380645064335777E-4</v>
      </c>
    </row>
    <row r="1286" spans="1:12" ht="15" customHeight="1" x14ac:dyDescent="0.3">
      <c r="A1286" s="19">
        <v>44277</v>
      </c>
      <c r="B1286" s="20">
        <v>4.8543453672554998E-2</v>
      </c>
      <c r="C1286" s="20">
        <v>4.8562784395806101E-2</v>
      </c>
      <c r="D1286" s="20">
        <v>4.8553117E-2</v>
      </c>
      <c r="E1286" s="21">
        <v>-2.21419999999999E-4</v>
      </c>
      <c r="F1286" s="21">
        <v>-0.45396638003964901</v>
      </c>
      <c r="G1286" s="21">
        <v>-0.73193993913489397</v>
      </c>
      <c r="H1286" s="20">
        <v>4.8553117E-2</v>
      </c>
      <c r="I1286" s="20">
        <v>4.8553117E-2</v>
      </c>
      <c r="K1286">
        <f t="shared" si="40"/>
        <v>-4.5396638003964984E-3</v>
      </c>
      <c r="L1286">
        <f t="shared" si="41"/>
        <v>3.9813557698268476E-4</v>
      </c>
    </row>
    <row r="1287" spans="1:12" ht="15" customHeight="1" x14ac:dyDescent="0.3">
      <c r="A1287" s="22">
        <v>44274</v>
      </c>
      <c r="B1287" s="23">
        <v>4.8768830864817703E-2</v>
      </c>
      <c r="C1287" s="23">
        <v>4.87802498524397E-2</v>
      </c>
      <c r="D1287" s="23">
        <v>4.8774537E-2</v>
      </c>
      <c r="E1287" s="24">
        <v>-1.3956799999999901E-4</v>
      </c>
      <c r="F1287" s="24">
        <v>-0.28533282986573599</v>
      </c>
      <c r="G1287" s="24">
        <v>-0.27924122035486698</v>
      </c>
      <c r="H1287" s="23">
        <v>4.8774537E-2</v>
      </c>
      <c r="I1287" s="23">
        <v>4.8774537E-2</v>
      </c>
      <c r="K1287">
        <f t="shared" si="40"/>
        <v>-2.8533282986573649E-3</v>
      </c>
      <c r="L1287">
        <f t="shared" si="41"/>
        <v>2.3411780663335098E-4</v>
      </c>
    </row>
    <row r="1288" spans="1:12" ht="15" customHeight="1" x14ac:dyDescent="0.3">
      <c r="A1288" s="19">
        <v>44273</v>
      </c>
      <c r="B1288" s="20">
        <v>4.8902146804244699E-2</v>
      </c>
      <c r="C1288" s="20">
        <v>4.8926072704144001E-2</v>
      </c>
      <c r="D1288" s="20">
        <v>4.8914104999999999E-2</v>
      </c>
      <c r="E1288" s="21">
        <v>5.4826499999999895E-4</v>
      </c>
      <c r="F1288" s="21">
        <v>1.1335789888069701</v>
      </c>
      <c r="G1288" s="21">
        <v>6.1090406093207298E-3</v>
      </c>
      <c r="H1288" s="20">
        <v>4.8914104999999999E-2</v>
      </c>
      <c r="I1288" s="20">
        <v>4.8914104999999999E-2</v>
      </c>
      <c r="K1288">
        <f t="shared" si="40"/>
        <v>1.1335789888069714E-2</v>
      </c>
      <c r="L1288">
        <f t="shared" si="41"/>
        <v>4.8914111582542381E-4</v>
      </c>
    </row>
    <row r="1289" spans="1:12" ht="15" customHeight="1" x14ac:dyDescent="0.3">
      <c r="A1289" s="22">
        <v>44272</v>
      </c>
      <c r="B1289" s="23">
        <v>4.8356834755024301E-2</v>
      </c>
      <c r="C1289" s="23">
        <v>4.83748470145463E-2</v>
      </c>
      <c r="D1289" s="23">
        <v>4.836584E-2</v>
      </c>
      <c r="E1289" s="24">
        <v>-2.0614499999999699E-4</v>
      </c>
      <c r="F1289" s="24">
        <v>-0.42441131446450098</v>
      </c>
      <c r="G1289" s="24">
        <v>-1.1148324418761399</v>
      </c>
      <c r="H1289" s="23">
        <v>4.836584E-2</v>
      </c>
      <c r="I1289" s="23">
        <v>4.836584E-2</v>
      </c>
      <c r="K1289">
        <f t="shared" si="40"/>
        <v>-4.244113144645012E-3</v>
      </c>
      <c r="L1289">
        <f t="shared" si="41"/>
        <v>3.7241696871177917E-4</v>
      </c>
    </row>
    <row r="1290" spans="1:12" ht="15" customHeight="1" x14ac:dyDescent="0.3">
      <c r="A1290" s="19">
        <v>44271</v>
      </c>
      <c r="B1290" s="20">
        <v>4.8563963596452903E-2</v>
      </c>
      <c r="C1290" s="20">
        <v>4.85800064125608E-2</v>
      </c>
      <c r="D1290" s="20">
        <v>4.8571984999999998E-2</v>
      </c>
      <c r="E1290" s="21">
        <v>3.72245E-4</v>
      </c>
      <c r="F1290" s="21">
        <v>0.77229669703613402</v>
      </c>
      <c r="G1290" s="21">
        <v>-0.69336384200753098</v>
      </c>
      <c r="H1290" s="20">
        <v>4.8571984999999998E-2</v>
      </c>
      <c r="I1290" s="20">
        <v>4.8571984999999998E-2</v>
      </c>
      <c r="K1290">
        <f t="shared" si="40"/>
        <v>7.7229669703613446E-3</v>
      </c>
      <c r="L1290">
        <f t="shared" si="41"/>
        <v>3.302894890521228E-4</v>
      </c>
    </row>
    <row r="1291" spans="1:12" ht="15" customHeight="1" x14ac:dyDescent="0.3">
      <c r="A1291" s="22">
        <v>44270</v>
      </c>
      <c r="B1291" s="23">
        <v>4.8192306580177501E-2</v>
      </c>
      <c r="C1291" s="23">
        <v>4.8207175155950202E-2</v>
      </c>
      <c r="D1291" s="23">
        <v>4.8199739999999998E-2</v>
      </c>
      <c r="E1291" s="24">
        <v>2.5539999999997499E-5</v>
      </c>
      <c r="F1291" s="24">
        <v>5.3015929688493502E-2</v>
      </c>
      <c r="G1291" s="24">
        <v>-1.4544280393350999</v>
      </c>
      <c r="H1291" s="23">
        <v>4.8199739999999998E-2</v>
      </c>
      <c r="I1291" s="23">
        <v>4.8199739999999998E-2</v>
      </c>
      <c r="K1291">
        <f t="shared" si="40"/>
        <v>5.3015929688493557E-4</v>
      </c>
      <c r="L1291">
        <f t="shared" si="41"/>
        <v>3.0847833977323456E-4</v>
      </c>
    </row>
    <row r="1292" spans="1:12" ht="15" customHeight="1" x14ac:dyDescent="0.3">
      <c r="A1292" s="19">
        <v>44267</v>
      </c>
      <c r="B1292" s="20">
        <v>4.8164916674694101E-2</v>
      </c>
      <c r="C1292" s="20">
        <v>4.8183482702129701E-2</v>
      </c>
      <c r="D1292" s="20">
        <v>4.81742E-2</v>
      </c>
      <c r="E1292" s="21">
        <v>-5.2852999999998499E-5</v>
      </c>
      <c r="F1292" s="21">
        <v>-0.10959201674628399</v>
      </c>
      <c r="G1292" s="21">
        <v>-1.5066452070599701</v>
      </c>
      <c r="H1292" s="20">
        <v>4.81742E-2</v>
      </c>
      <c r="I1292" s="20">
        <v>4.81742E-2</v>
      </c>
      <c r="K1292">
        <f t="shared" si="40"/>
        <v>-1.0959201674628494E-3</v>
      </c>
      <c r="L1292">
        <f t="shared" si="41"/>
        <v>3.853935807050255E-4</v>
      </c>
    </row>
    <row r="1293" spans="1:12" ht="15" customHeight="1" x14ac:dyDescent="0.3">
      <c r="A1293" s="22">
        <v>44266</v>
      </c>
      <c r="B1293" s="23">
        <v>4.8221355309412302E-2</v>
      </c>
      <c r="C1293" s="23">
        <v>4.8232751967896302E-2</v>
      </c>
      <c r="D1293" s="23">
        <v>4.8227052999999999E-2</v>
      </c>
      <c r="E1293" s="24">
        <v>7.53815999999997E-4</v>
      </c>
      <c r="F1293" s="24">
        <v>1.58787571195113</v>
      </c>
      <c r="G1293" s="24">
        <v>-1.3985859288390301</v>
      </c>
      <c r="H1293" s="23">
        <v>4.8227052999999999E-2</v>
      </c>
      <c r="I1293" s="23">
        <v>4.8227052999999999E-2</v>
      </c>
      <c r="K1293">
        <f t="shared" si="40"/>
        <v>1.5878757119511366E-2</v>
      </c>
      <c r="L1293">
        <f t="shared" si="41"/>
        <v>2.3631256266063547E-4</v>
      </c>
    </row>
    <row r="1294" spans="1:12" ht="15" customHeight="1" x14ac:dyDescent="0.3">
      <c r="A1294" s="19">
        <v>44265</v>
      </c>
      <c r="B1294" s="20">
        <v>4.7466026191753302E-2</v>
      </c>
      <c r="C1294" s="20">
        <v>4.7480449924743498E-2</v>
      </c>
      <c r="D1294" s="20">
        <v>4.7473237000000001E-2</v>
      </c>
      <c r="E1294" s="21">
        <v>5.0172200000000295E-4</v>
      </c>
      <c r="F1294" s="21">
        <v>1.0681409786335401</v>
      </c>
      <c r="G1294" s="21">
        <v>-2.9397815633611302</v>
      </c>
      <c r="H1294" s="20">
        <v>4.7473237000000001E-2</v>
      </c>
      <c r="I1294" s="20">
        <v>4.7473237000000001E-2</v>
      </c>
      <c r="K1294">
        <f t="shared" si="40"/>
        <v>1.0681409786335472E-2</v>
      </c>
      <c r="L1294">
        <f t="shared" si="41"/>
        <v>3.0382872333301888E-4</v>
      </c>
    </row>
    <row r="1295" spans="1:12" ht="15" customHeight="1" x14ac:dyDescent="0.3">
      <c r="A1295" s="22">
        <v>44264</v>
      </c>
      <c r="B1295" s="23">
        <v>4.6962247049596798E-2</v>
      </c>
      <c r="C1295" s="23">
        <v>4.6980780162835398E-2</v>
      </c>
      <c r="D1295" s="23">
        <v>4.6971514999999998E-2</v>
      </c>
      <c r="E1295" s="24">
        <v>3.5472999999999701E-4</v>
      </c>
      <c r="F1295" s="24">
        <v>0.76094908732979805</v>
      </c>
      <c r="G1295" s="24">
        <v>-3.96556472018416</v>
      </c>
      <c r="H1295" s="23">
        <v>4.6971514999999998E-2</v>
      </c>
      <c r="I1295" s="23">
        <v>4.6971514999999998E-2</v>
      </c>
      <c r="K1295">
        <f t="shared" si="40"/>
        <v>7.609490873297986E-3</v>
      </c>
      <c r="L1295">
        <f t="shared" si="41"/>
        <v>3.945606872292747E-4</v>
      </c>
    </row>
    <row r="1296" spans="1:12" ht="15" customHeight="1" x14ac:dyDescent="0.3">
      <c r="A1296" s="19">
        <v>44263</v>
      </c>
      <c r="B1296" s="20">
        <v>4.6607661367375597E-2</v>
      </c>
      <c r="C1296" s="20">
        <v>4.66259156164179E-2</v>
      </c>
      <c r="D1296" s="20">
        <v>4.6616785000000001E-2</v>
      </c>
      <c r="E1296" s="21">
        <v>-3.5252100000000098E-4</v>
      </c>
      <c r="F1296" s="21">
        <v>-0.75053482800022597</v>
      </c>
      <c r="G1296" s="21">
        <v>-4.6908190626683002</v>
      </c>
      <c r="H1296" s="20">
        <v>4.6616785000000001E-2</v>
      </c>
      <c r="I1296" s="20">
        <v>4.6616785000000001E-2</v>
      </c>
      <c r="K1296">
        <f t="shared" si="40"/>
        <v>-7.5053482800022664E-3</v>
      </c>
      <c r="L1296">
        <f t="shared" si="41"/>
        <v>3.9158103765205899E-4</v>
      </c>
    </row>
    <row r="1297" spans="1:12" ht="15" customHeight="1" x14ac:dyDescent="0.3">
      <c r="A1297" s="22">
        <v>44260</v>
      </c>
      <c r="B1297" s="23">
        <v>4.6960041700517E-2</v>
      </c>
      <c r="C1297" s="23">
        <v>4.6978573072821501E-2</v>
      </c>
      <c r="D1297" s="23">
        <v>4.6969306000000002E-2</v>
      </c>
      <c r="E1297" s="24">
        <v>-1.0827839999999901E-3</v>
      </c>
      <c r="F1297" s="24">
        <v>-2.2533546407658802</v>
      </c>
      <c r="G1297" s="24">
        <v>-3.9700810758421099</v>
      </c>
      <c r="H1297" s="23">
        <v>4.6969306000000002E-2</v>
      </c>
      <c r="I1297" s="23">
        <v>4.6969306000000002E-2</v>
      </c>
      <c r="K1297">
        <f t="shared" si="40"/>
        <v>-2.2533546407658811E-2</v>
      </c>
      <c r="L1297">
        <f t="shared" si="41"/>
        <v>3.945421783430633E-4</v>
      </c>
    </row>
    <row r="1298" spans="1:12" ht="15" customHeight="1" x14ac:dyDescent="0.3">
      <c r="A1298" s="19">
        <v>44259</v>
      </c>
      <c r="B1298" s="20">
        <v>4.8043431261860697E-2</v>
      </c>
      <c r="C1298" s="20">
        <v>4.8060748786466101E-2</v>
      </c>
      <c r="D1298" s="20">
        <v>4.8052089999999999E-2</v>
      </c>
      <c r="E1298" s="21">
        <v>1.7541999999999501E-4</v>
      </c>
      <c r="F1298" s="21">
        <v>0.366399751695345</v>
      </c>
      <c r="G1298" s="21">
        <v>-1.756302151104</v>
      </c>
      <c r="H1298" s="20">
        <v>4.8052089999999999E-2</v>
      </c>
      <c r="I1298" s="20">
        <v>4.8052089999999999E-2</v>
      </c>
      <c r="K1298">
        <f t="shared" si="40"/>
        <v>3.6639975169534544E-3</v>
      </c>
      <c r="L1298">
        <f t="shared" si="41"/>
        <v>3.6039066366111422E-4</v>
      </c>
    </row>
    <row r="1299" spans="1:12" ht="15" customHeight="1" x14ac:dyDescent="0.3">
      <c r="A1299" s="22">
        <v>44258</v>
      </c>
      <c r="B1299" s="23">
        <v>4.7869106714599603E-2</v>
      </c>
      <c r="C1299" s="23">
        <v>4.7884235073286797E-2</v>
      </c>
      <c r="D1299" s="23">
        <v>4.7876670000000003E-2</v>
      </c>
      <c r="E1299" s="24">
        <v>-5.3306999999999595E-4</v>
      </c>
      <c r="F1299" s="24">
        <v>-1.10116269990294</v>
      </c>
      <c r="G1299" s="24">
        <v>-2.1149527212800998</v>
      </c>
      <c r="H1299" s="23">
        <v>4.7876670000000003E-2</v>
      </c>
      <c r="I1299" s="23">
        <v>4.7876670000000003E-2</v>
      </c>
      <c r="K1299">
        <f t="shared" si="40"/>
        <v>-1.1011626999029467E-2</v>
      </c>
      <c r="L1299">
        <f t="shared" si="41"/>
        <v>3.159860259118731E-4</v>
      </c>
    </row>
    <row r="1300" spans="1:12" ht="15" customHeight="1" x14ac:dyDescent="0.3">
      <c r="A1300" s="19">
        <v>44257</v>
      </c>
      <c r="B1300" s="20">
        <v>4.8401539168945601E-2</v>
      </c>
      <c r="C1300" s="20">
        <v>4.8417943689931499E-2</v>
      </c>
      <c r="D1300" s="20">
        <v>4.840974E-2</v>
      </c>
      <c r="E1300" s="21">
        <v>-1.1510499999999699E-4</v>
      </c>
      <c r="F1300" s="21">
        <v>-0.237208382633669</v>
      </c>
      <c r="G1300" s="21">
        <v>-1.02507779570848</v>
      </c>
      <c r="H1300" s="20">
        <v>4.840974E-2</v>
      </c>
      <c r="I1300" s="20">
        <v>4.840974E-2</v>
      </c>
      <c r="K1300">
        <f t="shared" si="40"/>
        <v>-2.3720838263366906E-3</v>
      </c>
      <c r="L1300">
        <f t="shared" si="41"/>
        <v>3.3886819028356477E-4</v>
      </c>
    </row>
    <row r="1301" spans="1:12" ht="15" customHeight="1" x14ac:dyDescent="0.3">
      <c r="A1301" s="22">
        <v>44256</v>
      </c>
      <c r="B1301" s="23">
        <v>4.8517781767017598E-2</v>
      </c>
      <c r="C1301" s="23">
        <v>4.8531909730647901E-2</v>
      </c>
      <c r="D1301" s="23">
        <v>4.8524844999999997E-2</v>
      </c>
      <c r="E1301" s="24">
        <v>7.0197799999999796E-4</v>
      </c>
      <c r="F1301" s="24">
        <v>1.46787100823544</v>
      </c>
      <c r="G1301" s="24">
        <v>-0.78974274907686104</v>
      </c>
      <c r="H1301" s="23">
        <v>4.8524844999999997E-2</v>
      </c>
      <c r="I1301" s="23">
        <v>4.8524844999999997E-2</v>
      </c>
      <c r="K1301">
        <f t="shared" si="40"/>
        <v>1.467871008235444E-2</v>
      </c>
      <c r="L1301">
        <f t="shared" si="41"/>
        <v>2.9114907281627009E-4</v>
      </c>
    </row>
    <row r="1302" spans="1:12" ht="15" customHeight="1" x14ac:dyDescent="0.3">
      <c r="A1302" s="19">
        <v>44253</v>
      </c>
      <c r="B1302" s="20">
        <v>4.7813031919980098E-2</v>
      </c>
      <c r="C1302" s="20">
        <v>4.7832700347265403E-2</v>
      </c>
      <c r="D1302" s="20">
        <v>4.7822866999999998E-2</v>
      </c>
      <c r="E1302" s="21">
        <v>-2.15947000000001E-4</v>
      </c>
      <c r="F1302" s="21">
        <v>-0.44952608530260901</v>
      </c>
      <c r="G1302" s="21">
        <v>-2.2249542982222201</v>
      </c>
      <c r="H1302" s="20">
        <v>4.7822866999999998E-2</v>
      </c>
      <c r="I1302" s="20">
        <v>4.7822866999999998E-2</v>
      </c>
      <c r="K1302">
        <f t="shared" si="40"/>
        <v>-4.4952608530260951E-3</v>
      </c>
      <c r="L1302">
        <f t="shared" si="41"/>
        <v>4.1127662390681897E-4</v>
      </c>
    </row>
    <row r="1303" spans="1:12" ht="15" customHeight="1" x14ac:dyDescent="0.3">
      <c r="A1303" s="22">
        <v>44252</v>
      </c>
      <c r="B1303" s="23">
        <v>4.8031201068213902E-2</v>
      </c>
      <c r="C1303" s="23">
        <v>4.8046432071954297E-2</v>
      </c>
      <c r="D1303" s="23">
        <v>4.8038813999999999E-2</v>
      </c>
      <c r="E1303" s="24">
        <v>-8.1912800000000197E-4</v>
      </c>
      <c r="F1303" s="24">
        <v>-1.6765503549044301</v>
      </c>
      <c r="G1303" s="24">
        <v>-1.7834452646010801</v>
      </c>
      <c r="H1303" s="23">
        <v>4.8038813999999999E-2</v>
      </c>
      <c r="I1303" s="23">
        <v>4.8038813999999999E-2</v>
      </c>
      <c r="K1303">
        <f t="shared" si="40"/>
        <v>-1.676550354904438E-2</v>
      </c>
      <c r="L1303">
        <f t="shared" si="41"/>
        <v>3.1705619835648686E-4</v>
      </c>
    </row>
    <row r="1304" spans="1:12" ht="15" customHeight="1" x14ac:dyDescent="0.3">
      <c r="A1304" s="19">
        <v>44251</v>
      </c>
      <c r="B1304" s="20">
        <v>4.8850308001191903E-2</v>
      </c>
      <c r="C1304" s="20">
        <v>4.8865585434146298E-2</v>
      </c>
      <c r="D1304" s="20">
        <v>4.8857942000000001E-2</v>
      </c>
      <c r="E1304" s="21">
        <v>2.3932000000000101E-4</v>
      </c>
      <c r="F1304" s="21">
        <v>0.49223937280657898</v>
      </c>
      <c r="G1304" s="21">
        <v>-0.108717615261159</v>
      </c>
      <c r="H1304" s="20">
        <v>4.8857942000000001E-2</v>
      </c>
      <c r="I1304" s="20">
        <v>4.8857942000000001E-2</v>
      </c>
      <c r="K1304">
        <f t="shared" si="40"/>
        <v>4.9223937280657992E-3</v>
      </c>
      <c r="L1304">
        <f t="shared" si="41"/>
        <v>3.1269088154379479E-4</v>
      </c>
    </row>
    <row r="1305" spans="1:12" ht="15" customHeight="1" x14ac:dyDescent="0.3">
      <c r="A1305" s="22">
        <v>44250</v>
      </c>
      <c r="B1305" s="23">
        <v>4.8611414932454397E-2</v>
      </c>
      <c r="C1305" s="23">
        <v>4.86258339330519E-2</v>
      </c>
      <c r="D1305" s="23">
        <v>4.8618622E-2</v>
      </c>
      <c r="E1305" s="24">
        <v>4.1307200000000001E-4</v>
      </c>
      <c r="F1305" s="24">
        <v>0.85689718300070405</v>
      </c>
      <c r="G1305" s="24">
        <v>-0.59801333099793397</v>
      </c>
      <c r="H1305" s="23">
        <v>4.8618622E-2</v>
      </c>
      <c r="I1305" s="23">
        <v>4.8618622E-2</v>
      </c>
      <c r="K1305">
        <f t="shared" si="40"/>
        <v>8.5689718300070439E-3</v>
      </c>
      <c r="L1305">
        <f t="shared" si="41"/>
        <v>2.9657361735803292E-4</v>
      </c>
    </row>
    <row r="1306" spans="1:12" ht="15" customHeight="1" x14ac:dyDescent="0.3">
      <c r="A1306" s="19">
        <v>44249</v>
      </c>
      <c r="B1306" s="20">
        <v>4.8198113525836597E-2</v>
      </c>
      <c r="C1306" s="20">
        <v>4.8212985685564501E-2</v>
      </c>
      <c r="D1306" s="20">
        <v>4.820555E-2</v>
      </c>
      <c r="E1306" s="21">
        <v>-7.2351500000000096E-4</v>
      </c>
      <c r="F1306" s="21">
        <v>-1.47870187178111</v>
      </c>
      <c r="G1306" s="21">
        <v>-1.4425493492614301</v>
      </c>
      <c r="H1306" s="20">
        <v>4.820555E-2</v>
      </c>
      <c r="I1306" s="20">
        <v>4.820555E-2</v>
      </c>
      <c r="K1306">
        <f t="shared" si="40"/>
        <v>-1.4787018717811184E-2</v>
      </c>
      <c r="L1306">
        <f t="shared" si="41"/>
        <v>3.0851550761071332E-4</v>
      </c>
    </row>
    <row r="1307" spans="1:12" ht="15" customHeight="1" x14ac:dyDescent="0.3">
      <c r="A1307" s="22">
        <v>44246</v>
      </c>
      <c r="B1307" s="23">
        <v>4.8922961013292403E-2</v>
      </c>
      <c r="C1307" s="23">
        <v>4.8935170685875398E-2</v>
      </c>
      <c r="D1307" s="23">
        <v>4.8929065000000001E-2</v>
      </c>
      <c r="E1307" s="24">
        <v>1.7948000000003701E-5</v>
      </c>
      <c r="F1307" s="24">
        <v>3.66951341552956E-2</v>
      </c>
      <c r="G1307" s="24">
        <v>3.6695134155295898E-2</v>
      </c>
      <c r="H1307" s="23">
        <v>4.8929065000000001E-2</v>
      </c>
      <c r="I1307" s="23">
        <v>4.8929065000000001E-2</v>
      </c>
      <c r="K1307">
        <f t="shared" si="40"/>
        <v>3.6695134155295683E-4</v>
      </c>
      <c r="L1307">
        <f t="shared" si="41"/>
        <v>2.4953823628134686E-4</v>
      </c>
    </row>
    <row r="1308" spans="1:12" ht="15" customHeight="1" x14ac:dyDescent="0.3">
      <c r="A1308" s="19">
        <v>44245</v>
      </c>
      <c r="B1308" s="20">
        <v>4.8904060015062499E-2</v>
      </c>
      <c r="C1308" s="20">
        <v>4.8918174569397802E-2</v>
      </c>
      <c r="D1308" s="20">
        <v>4.8911116999999997E-2</v>
      </c>
      <c r="E1308" s="21"/>
      <c r="F1308" s="21"/>
      <c r="G1308" s="21"/>
      <c r="H1308" s="20">
        <v>4.8911116999999997E-2</v>
      </c>
      <c r="I1308" s="20">
        <v>4.8911116999999997E-2</v>
      </c>
    </row>
    <row r="1309" spans="1:12" ht="15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7406-F27C-4FAC-AC5F-39F7BB03667B}">
  <dimension ref="A1:L1308"/>
  <sheetViews>
    <sheetView workbookViewId="0">
      <selection activeCell="N7" sqref="N7"/>
    </sheetView>
  </sheetViews>
  <sheetFormatPr baseColWidth="10" defaultRowHeight="14.4" x14ac:dyDescent="0.3"/>
  <sheetData>
    <row r="1" spans="1:12" x14ac:dyDescent="0.3">
      <c r="A1" s="26" t="s">
        <v>562</v>
      </c>
      <c r="B1" s="25"/>
      <c r="C1" s="25"/>
      <c r="D1" s="25"/>
      <c r="E1" s="25"/>
      <c r="F1" s="25"/>
      <c r="G1" s="25"/>
      <c r="H1" s="25"/>
      <c r="I1" s="25"/>
    </row>
    <row r="3" spans="1:12" x14ac:dyDescent="0.3">
      <c r="A3" s="27" t="s">
        <v>553</v>
      </c>
      <c r="B3" s="27" t="s">
        <v>554</v>
      </c>
      <c r="C3" s="27" t="s">
        <v>555</v>
      </c>
      <c r="D3" s="27" t="s">
        <v>556</v>
      </c>
      <c r="E3" s="27" t="s">
        <v>557</v>
      </c>
      <c r="F3" s="27" t="s">
        <v>558</v>
      </c>
      <c r="G3" s="27" t="s">
        <v>559</v>
      </c>
      <c r="H3" s="27" t="s">
        <v>560</v>
      </c>
      <c r="I3" s="27" t="s">
        <v>561</v>
      </c>
      <c r="K3" s="27" t="s">
        <v>563</v>
      </c>
      <c r="L3" s="27" t="s">
        <v>564</v>
      </c>
    </row>
    <row r="4" spans="1:12" x14ac:dyDescent="0.3">
      <c r="A4" s="28">
        <v>46071</v>
      </c>
      <c r="B4" s="29">
        <v>0.192097124306049</v>
      </c>
      <c r="C4" s="29">
        <v>0.19213772432079301</v>
      </c>
      <c r="D4" s="29">
        <v>0.19211742000000001</v>
      </c>
      <c r="E4" s="30">
        <v>6.47420000000009E-4</v>
      </c>
      <c r="F4" s="30">
        <v>0.33813129994255597</v>
      </c>
      <c r="G4" s="30">
        <v>4.6674964486558599</v>
      </c>
      <c r="H4" s="29">
        <v>0.19211742000000001</v>
      </c>
      <c r="I4" s="29">
        <v>0.19211742000000001</v>
      </c>
      <c r="K4">
        <f>D4/D5-1</f>
        <v>3.3813129994255675E-3</v>
      </c>
      <c r="L4">
        <f>(C4-B4)/D4</f>
        <v>2.1132916913007321E-4</v>
      </c>
    </row>
    <row r="5" spans="1:12" x14ac:dyDescent="0.3">
      <c r="A5" s="31">
        <v>46070</v>
      </c>
      <c r="B5" s="32">
        <v>0.191438854429895</v>
      </c>
      <c r="C5" s="32">
        <v>0.19150117773224301</v>
      </c>
      <c r="D5" s="32">
        <v>0.19147</v>
      </c>
      <c r="E5" s="33"/>
      <c r="F5" s="33"/>
      <c r="G5" s="33">
        <v>4.3147755420832601</v>
      </c>
      <c r="H5" s="32">
        <v>0.19147</v>
      </c>
      <c r="I5" s="32">
        <v>0.19147</v>
      </c>
      <c r="K5">
        <f>D5/D6-1</f>
        <v>0</v>
      </c>
      <c r="L5">
        <f t="shared" ref="L5:L68" si="0">(C5-B5)/D5</f>
        <v>3.2549904605426834E-4</v>
      </c>
    </row>
    <row r="6" spans="1:12" x14ac:dyDescent="0.3">
      <c r="A6" s="28">
        <v>46069</v>
      </c>
      <c r="B6" s="29">
        <v>0.191438854429895</v>
      </c>
      <c r="C6" s="29">
        <v>0.19150117773224301</v>
      </c>
      <c r="D6" s="29">
        <v>0.19147</v>
      </c>
      <c r="E6" s="30">
        <v>5.4650000000000499E-4</v>
      </c>
      <c r="F6" s="30">
        <v>0.28624030043447002</v>
      </c>
      <c r="G6" s="30">
        <v>4.3147755420832601</v>
      </c>
      <c r="H6" s="29">
        <v>0.19147</v>
      </c>
      <c r="I6" s="29">
        <v>0.19147</v>
      </c>
      <c r="K6">
        <f t="shared" ref="K6:K68" si="1">D6/D7-1</f>
        <v>2.8624030043447046E-3</v>
      </c>
      <c r="L6">
        <f t="shared" si="0"/>
        <v>3.2549904605426834E-4</v>
      </c>
    </row>
    <row r="7" spans="1:12" x14ac:dyDescent="0.3">
      <c r="A7" s="31">
        <v>46066</v>
      </c>
      <c r="B7" s="32">
        <v>0.19089798411728801</v>
      </c>
      <c r="C7" s="32">
        <v>0.190949016612564</v>
      </c>
      <c r="D7" s="32">
        <v>0.1909235</v>
      </c>
      <c r="E7" s="33">
        <v>-2.5131999999999902E-3</v>
      </c>
      <c r="F7" s="33">
        <v>-1.2992363910261</v>
      </c>
      <c r="G7" s="33">
        <v>4.0170368632628204</v>
      </c>
      <c r="H7" s="32">
        <v>0.1909235</v>
      </c>
      <c r="I7" s="32">
        <v>0.1909235</v>
      </c>
      <c r="K7">
        <f t="shared" si="1"/>
        <v>-1.299236391026104E-2</v>
      </c>
      <c r="L7">
        <f t="shared" si="0"/>
        <v>2.6729289624374841E-4</v>
      </c>
    </row>
    <row r="8" spans="1:12" x14ac:dyDescent="0.3">
      <c r="A8" s="28">
        <v>46065</v>
      </c>
      <c r="B8" s="29">
        <v>0.19340863376141099</v>
      </c>
      <c r="C8" s="29">
        <v>0.19346476039389399</v>
      </c>
      <c r="D8" s="29">
        <v>0.19343669999999999</v>
      </c>
      <c r="E8" s="30">
        <v>6.2843999999998002E-4</v>
      </c>
      <c r="F8" s="30">
        <v>0.32594039280267001</v>
      </c>
      <c r="G8" s="30">
        <v>5.38625341881911</v>
      </c>
      <c r="H8" s="29">
        <v>0.19343669999999999</v>
      </c>
      <c r="I8" s="29">
        <v>0.19343669999999999</v>
      </c>
      <c r="K8">
        <f t="shared" si="1"/>
        <v>3.2594039280267051E-3</v>
      </c>
      <c r="L8">
        <f t="shared" si="0"/>
        <v>2.9015503512518618E-4</v>
      </c>
    </row>
    <row r="9" spans="1:12" x14ac:dyDescent="0.3">
      <c r="A9" s="31">
        <v>46064</v>
      </c>
      <c r="B9" s="32">
        <v>0.19279710033161099</v>
      </c>
      <c r="C9" s="32">
        <v>0.19281940534495401</v>
      </c>
      <c r="D9" s="32">
        <v>0.19280826000000001</v>
      </c>
      <c r="E9" s="33">
        <v>6.11460000000008E-4</v>
      </c>
      <c r="F9" s="33">
        <v>0.318142653779873</v>
      </c>
      <c r="G9" s="33">
        <v>5.0438730065265096</v>
      </c>
      <c r="H9" s="32">
        <v>0.19280826000000001</v>
      </c>
      <c r="I9" s="32">
        <v>0.19280826000000001</v>
      </c>
      <c r="K9">
        <f t="shared" si="1"/>
        <v>3.1814265377987372E-3</v>
      </c>
      <c r="L9">
        <f t="shared" si="0"/>
        <v>1.1568494701949684E-4</v>
      </c>
    </row>
    <row r="10" spans="1:12" x14ac:dyDescent="0.3">
      <c r="A10" s="28">
        <v>46063</v>
      </c>
      <c r="B10" s="29">
        <v>0.19217834150091301</v>
      </c>
      <c r="C10" s="29">
        <v>0.19221528111484901</v>
      </c>
      <c r="D10" s="29">
        <v>0.1921968</v>
      </c>
      <c r="E10" s="30">
        <v>-9.7832000000000409E-4</v>
      </c>
      <c r="F10" s="30">
        <v>-0.50644203042297098</v>
      </c>
      <c r="G10" s="30">
        <v>4.7107434684632903</v>
      </c>
      <c r="H10" s="29">
        <v>0.1921968</v>
      </c>
      <c r="I10" s="29">
        <v>0.1921968</v>
      </c>
      <c r="K10">
        <f t="shared" si="1"/>
        <v>-5.0644203042297109E-3</v>
      </c>
      <c r="L10">
        <f t="shared" si="0"/>
        <v>1.9219682084196501E-4</v>
      </c>
    </row>
    <row r="11" spans="1:12" x14ac:dyDescent="0.3">
      <c r="A11" s="31">
        <v>46062</v>
      </c>
      <c r="B11" s="32">
        <v>0.19315460094259401</v>
      </c>
      <c r="C11" s="32">
        <v>0.193195649233979</v>
      </c>
      <c r="D11" s="32">
        <v>0.19317512000000001</v>
      </c>
      <c r="E11" s="33">
        <v>1.8662799999999899E-3</v>
      </c>
      <c r="F11" s="33">
        <v>0.97553254726754302</v>
      </c>
      <c r="G11" s="33">
        <v>5.2437420124040202</v>
      </c>
      <c r="H11" s="32">
        <v>0.19317512000000001</v>
      </c>
      <c r="I11" s="32">
        <v>0.19317512000000001</v>
      </c>
      <c r="K11">
        <f t="shared" si="1"/>
        <v>9.7553254726754357E-3</v>
      </c>
      <c r="L11">
        <f t="shared" si="0"/>
        <v>2.1249264079653448E-4</v>
      </c>
    </row>
    <row r="12" spans="1:12" x14ac:dyDescent="0.3">
      <c r="A12" s="28">
        <v>46059</v>
      </c>
      <c r="B12" s="29">
        <v>0.19129237126023399</v>
      </c>
      <c r="C12" s="29">
        <v>0.191325310425316</v>
      </c>
      <c r="D12" s="29">
        <v>0.19130884000000001</v>
      </c>
      <c r="E12" s="30">
        <v>1.6904400000000101E-3</v>
      </c>
      <c r="F12" s="30">
        <v>0.89149576201465996</v>
      </c>
      <c r="G12" s="30">
        <v>4.2269739584076804</v>
      </c>
      <c r="H12" s="29">
        <v>0.19130884000000001</v>
      </c>
      <c r="I12" s="29">
        <v>0.19130884000000001</v>
      </c>
      <c r="K12">
        <f t="shared" si="1"/>
        <v>8.9149576201466019E-3</v>
      </c>
      <c r="L12">
        <f t="shared" si="0"/>
        <v>1.7217795624087847E-4</v>
      </c>
    </row>
    <row r="13" spans="1:12" x14ac:dyDescent="0.3">
      <c r="A13" s="31">
        <v>46058</v>
      </c>
      <c r="B13" s="32">
        <v>0.189602214553866</v>
      </c>
      <c r="C13" s="32">
        <v>0.18963457417556401</v>
      </c>
      <c r="D13" s="32">
        <v>0.18961839999999999</v>
      </c>
      <c r="E13" s="33">
        <v>-8.5416000000002002E-4</v>
      </c>
      <c r="F13" s="33">
        <v>-0.44844254731496402</v>
      </c>
      <c r="G13" s="33">
        <v>3.3060052992581501</v>
      </c>
      <c r="H13" s="32">
        <v>0.18961839999999999</v>
      </c>
      <c r="I13" s="32">
        <v>0.18961839999999999</v>
      </c>
      <c r="K13">
        <f t="shared" si="1"/>
        <v>-4.4844254731496447E-3</v>
      </c>
      <c r="L13">
        <f t="shared" si="0"/>
        <v>1.7065654861557852E-4</v>
      </c>
    </row>
    <row r="14" spans="1:12" x14ac:dyDescent="0.3">
      <c r="A14" s="28">
        <v>46057</v>
      </c>
      <c r="B14" s="29">
        <v>0.19044716995505401</v>
      </c>
      <c r="C14" s="29">
        <v>0.19049796167180999</v>
      </c>
      <c r="D14" s="29">
        <v>0.19047256000000001</v>
      </c>
      <c r="E14" s="30">
        <v>-1.2544099999999799E-3</v>
      </c>
      <c r="F14" s="30">
        <v>-0.65426893253462903</v>
      </c>
      <c r="G14" s="30">
        <v>3.7713602304590101</v>
      </c>
      <c r="H14" s="29">
        <v>0.19047256000000001</v>
      </c>
      <c r="I14" s="29">
        <v>0.19047256000000001</v>
      </c>
      <c r="K14">
        <f t="shared" si="1"/>
        <v>-6.5426893253462959E-3</v>
      </c>
      <c r="L14">
        <f t="shared" si="0"/>
        <v>2.6666159553891843E-4</v>
      </c>
    </row>
    <row r="15" spans="1:12" x14ac:dyDescent="0.3">
      <c r="A15" s="31">
        <v>46056</v>
      </c>
      <c r="B15" s="32">
        <v>0.19170676533174899</v>
      </c>
      <c r="C15" s="32">
        <v>0.19174720049087299</v>
      </c>
      <c r="D15" s="32">
        <v>0.19172697</v>
      </c>
      <c r="E15" s="33">
        <v>1.71404999999999E-3</v>
      </c>
      <c r="F15" s="33">
        <v>0.90207023817117005</v>
      </c>
      <c r="G15" s="33">
        <v>4.4547753742817697</v>
      </c>
      <c r="H15" s="32">
        <v>0.19172697</v>
      </c>
      <c r="I15" s="32">
        <v>0.19172697</v>
      </c>
      <c r="K15">
        <f t="shared" si="1"/>
        <v>9.0207023817117094E-3</v>
      </c>
      <c r="L15">
        <f t="shared" si="0"/>
        <v>2.108996930582958E-4</v>
      </c>
    </row>
    <row r="16" spans="1:12" x14ac:dyDescent="0.3">
      <c r="A16" s="28">
        <v>46055</v>
      </c>
      <c r="B16" s="29">
        <v>0.189987650802698</v>
      </c>
      <c r="C16" s="29">
        <v>0.190038197677733</v>
      </c>
      <c r="D16" s="29">
        <v>0.19001292</v>
      </c>
      <c r="E16" s="30">
        <v>-9.8897999999999998E-4</v>
      </c>
      <c r="F16" s="30">
        <v>-0.51778542517116799</v>
      </c>
      <c r="G16" s="30">
        <v>3.5209437504351699</v>
      </c>
      <c r="H16" s="29">
        <v>0.19001292</v>
      </c>
      <c r="I16" s="29">
        <v>0.19001292</v>
      </c>
      <c r="K16">
        <f t="shared" si="1"/>
        <v>-5.1778542517116888E-3</v>
      </c>
      <c r="L16">
        <f t="shared" si="0"/>
        <v>2.6601809516427265E-4</v>
      </c>
    </row>
    <row r="17" spans="1:12" x14ac:dyDescent="0.3">
      <c r="A17" s="31">
        <v>46052</v>
      </c>
      <c r="B17" s="32">
        <v>0.190981837627242</v>
      </c>
      <c r="C17" s="32">
        <v>0.19102196752626599</v>
      </c>
      <c r="D17" s="32">
        <v>0.1910019</v>
      </c>
      <c r="E17" s="33">
        <v>-1.42389999999992E-4</v>
      </c>
      <c r="F17" s="33">
        <v>-7.4493462504154895E-2</v>
      </c>
      <c r="G17" s="33">
        <v>4.0597499692454804</v>
      </c>
      <c r="H17" s="32">
        <v>0.1910019</v>
      </c>
      <c r="I17" s="32">
        <v>0.1910019</v>
      </c>
      <c r="K17">
        <f t="shared" si="1"/>
        <v>-7.4493462504154895E-4</v>
      </c>
      <c r="L17">
        <f t="shared" si="0"/>
        <v>2.101020933508724E-4</v>
      </c>
    </row>
    <row r="18" spans="1:12" x14ac:dyDescent="0.3">
      <c r="A18" s="28">
        <v>46051</v>
      </c>
      <c r="B18" s="29">
        <v>0.19110227793915299</v>
      </c>
      <c r="C18" s="29">
        <v>0.19118631106012801</v>
      </c>
      <c r="D18" s="29">
        <v>0.19114428999999999</v>
      </c>
      <c r="E18" s="30">
        <v>-7.86930000000019E-4</v>
      </c>
      <c r="F18" s="30">
        <v>-0.41000625119770301</v>
      </c>
      <c r="G18" s="30">
        <v>4.1373254687463703</v>
      </c>
      <c r="H18" s="29">
        <v>0.19114428999999999</v>
      </c>
      <c r="I18" s="29">
        <v>0.19114428999999999</v>
      </c>
      <c r="K18">
        <f t="shared" si="1"/>
        <v>-4.1000625119770318E-3</v>
      </c>
      <c r="L18">
        <f t="shared" si="0"/>
        <v>4.3963186645553954E-4</v>
      </c>
    </row>
    <row r="19" spans="1:12" x14ac:dyDescent="0.3">
      <c r="A19" s="31">
        <v>46050</v>
      </c>
      <c r="B19" s="32">
        <v>0.19190911184463</v>
      </c>
      <c r="C19" s="32">
        <v>0.19195331695331699</v>
      </c>
      <c r="D19" s="32">
        <v>0.19193122000000001</v>
      </c>
      <c r="E19" s="33">
        <v>3.36470000000005E-4</v>
      </c>
      <c r="F19" s="33">
        <v>0.17561545919186899</v>
      </c>
      <c r="G19" s="33">
        <v>4.56605282194705</v>
      </c>
      <c r="H19" s="32">
        <v>0.19193122000000001</v>
      </c>
      <c r="I19" s="32">
        <v>0.19193122000000001</v>
      </c>
      <c r="K19">
        <f t="shared" si="1"/>
        <v>1.7561545919186905E-3</v>
      </c>
      <c r="L19">
        <f t="shared" si="0"/>
        <v>2.3031744750538996E-4</v>
      </c>
    </row>
    <row r="20" spans="1:12" x14ac:dyDescent="0.3">
      <c r="A20" s="28">
        <v>46049</v>
      </c>
      <c r="B20" s="29">
        <v>0.19158189167959799</v>
      </c>
      <c r="C20" s="29">
        <v>0.19160758766047101</v>
      </c>
      <c r="D20" s="29">
        <v>0.19159475000000001</v>
      </c>
      <c r="E20" s="30">
        <v>1.5547600000000101E-3</v>
      </c>
      <c r="F20" s="30">
        <v>0.81812254357622705</v>
      </c>
      <c r="G20" s="30">
        <v>4.3827405927380596</v>
      </c>
      <c r="H20" s="29">
        <v>0.19159475000000001</v>
      </c>
      <c r="I20" s="29">
        <v>0.19159475000000001</v>
      </c>
      <c r="K20">
        <f t="shared" si="1"/>
        <v>8.1812254357622738E-3</v>
      </c>
      <c r="L20">
        <f t="shared" si="0"/>
        <v>1.3411630993549639E-4</v>
      </c>
    </row>
    <row r="21" spans="1:12" x14ac:dyDescent="0.3">
      <c r="A21" s="31">
        <v>46048</v>
      </c>
      <c r="B21" s="32">
        <v>0.19002014213506599</v>
      </c>
      <c r="C21" s="32">
        <v>0.190059868858691</v>
      </c>
      <c r="D21" s="32">
        <v>0.19003998999999999</v>
      </c>
      <c r="E21" s="33">
        <v>7.8762999999998297E-4</v>
      </c>
      <c r="F21" s="33">
        <v>0.416179750677869</v>
      </c>
      <c r="G21" s="33">
        <v>3.5356917578197402</v>
      </c>
      <c r="H21" s="32">
        <v>0.19003998999999999</v>
      </c>
      <c r="I21" s="32">
        <v>0.19003998999999999</v>
      </c>
      <c r="K21">
        <f t="shared" si="1"/>
        <v>4.1617975067786972E-3</v>
      </c>
      <c r="L21">
        <f t="shared" si="0"/>
        <v>2.0904402081378215E-4</v>
      </c>
    </row>
    <row r="22" spans="1:12" x14ac:dyDescent="0.3">
      <c r="A22" s="28">
        <v>46045</v>
      </c>
      <c r="B22" s="29">
        <v>0.18922550002838401</v>
      </c>
      <c r="C22" s="29">
        <v>0.189279224712296</v>
      </c>
      <c r="D22" s="29">
        <v>0.18925236000000001</v>
      </c>
      <c r="E22" s="30">
        <v>4.1812000000002099E-4</v>
      </c>
      <c r="F22" s="30">
        <v>0.22142170826648899</v>
      </c>
      <c r="G22" s="30">
        <v>3.1065830376013799</v>
      </c>
      <c r="H22" s="29">
        <v>0.18925236000000001</v>
      </c>
      <c r="I22" s="29">
        <v>0.18925236000000001</v>
      </c>
      <c r="K22">
        <f t="shared" si="1"/>
        <v>2.2142170826648933E-3</v>
      </c>
      <c r="L22">
        <f t="shared" si="0"/>
        <v>2.8387854139302459E-4</v>
      </c>
    </row>
    <row r="23" spans="1:12" x14ac:dyDescent="0.3">
      <c r="A23" s="31">
        <v>46044</v>
      </c>
      <c r="B23" s="32">
        <v>0.18882175226586101</v>
      </c>
      <c r="C23" s="32">
        <v>0.188846713122958</v>
      </c>
      <c r="D23" s="32">
        <v>0.18883423999999999</v>
      </c>
      <c r="E23" s="33">
        <v>1.0355299999999701E-3</v>
      </c>
      <c r="F23" s="33">
        <v>0.55140421358590397</v>
      </c>
      <c r="G23" s="33">
        <v>2.87878706982753</v>
      </c>
      <c r="H23" s="32">
        <v>0.18883423999999999</v>
      </c>
      <c r="I23" s="32">
        <v>0.18883423999999999</v>
      </c>
      <c r="K23">
        <f t="shared" si="1"/>
        <v>5.514042135859043E-3</v>
      </c>
      <c r="L23">
        <f t="shared" si="0"/>
        <v>1.3218395719438925E-4</v>
      </c>
    </row>
    <row r="24" spans="1:12" x14ac:dyDescent="0.3">
      <c r="A24" s="28">
        <v>46043</v>
      </c>
      <c r="B24" s="29">
        <v>0.18777932174108999</v>
      </c>
      <c r="C24" s="29">
        <v>0.18781811693556</v>
      </c>
      <c r="D24" s="29">
        <v>0.18779871000000001</v>
      </c>
      <c r="E24" s="30">
        <v>1.4175800000000001E-3</v>
      </c>
      <c r="F24" s="30">
        <v>0.76058128845983797</v>
      </c>
      <c r="G24" s="30">
        <v>2.3146199443400399</v>
      </c>
      <c r="H24" s="29">
        <v>0.18779871000000001</v>
      </c>
      <c r="I24" s="29">
        <v>0.18779871000000001</v>
      </c>
      <c r="K24">
        <f t="shared" si="1"/>
        <v>7.6058128845983841E-3</v>
      </c>
      <c r="L24">
        <f t="shared" si="0"/>
        <v>2.0657859934183675E-4</v>
      </c>
    </row>
    <row r="25" spans="1:12" x14ac:dyDescent="0.3">
      <c r="A25" s="31">
        <v>46042</v>
      </c>
      <c r="B25" s="32">
        <v>0.186362026873404</v>
      </c>
      <c r="C25" s="32">
        <v>0.18640023859230501</v>
      </c>
      <c r="D25" s="32">
        <v>0.18638113000000001</v>
      </c>
      <c r="E25" s="33">
        <v>-2.0518999999999399E-4</v>
      </c>
      <c r="F25" s="33">
        <v>-0.109970548751914</v>
      </c>
      <c r="G25" s="33">
        <v>1.5423081486908701</v>
      </c>
      <c r="H25" s="32">
        <v>0.18638113000000001</v>
      </c>
      <c r="I25" s="32">
        <v>0.18638113000000001</v>
      </c>
      <c r="K25">
        <f t="shared" si="1"/>
        <v>-1.0997054875191425E-3</v>
      </c>
      <c r="L25">
        <f t="shared" si="0"/>
        <v>2.0501924685725694E-4</v>
      </c>
    </row>
    <row r="26" spans="1:12" x14ac:dyDescent="0.3">
      <c r="A26" s="28">
        <v>46041</v>
      </c>
      <c r="B26" s="29">
        <v>0.18656020297750101</v>
      </c>
      <c r="C26" s="29">
        <v>0.186612424655234</v>
      </c>
      <c r="D26" s="29">
        <v>0.18658632</v>
      </c>
      <c r="E26" s="30">
        <v>7.8352000000000901E-4</v>
      </c>
      <c r="F26" s="30">
        <v>0.42169439857742103</v>
      </c>
      <c r="G26" s="30">
        <v>1.6540977177799101</v>
      </c>
      <c r="H26" s="29">
        <v>0.18658632</v>
      </c>
      <c r="I26" s="29">
        <v>0.18658632</v>
      </c>
      <c r="K26">
        <f t="shared" si="1"/>
        <v>4.216943985774213E-3</v>
      </c>
      <c r="L26">
        <f t="shared" si="0"/>
        <v>2.7987945596976132E-4</v>
      </c>
    </row>
    <row r="27" spans="1:12" x14ac:dyDescent="0.3">
      <c r="A27" s="31">
        <v>46038</v>
      </c>
      <c r="B27" s="32">
        <v>0.185780370446059</v>
      </c>
      <c r="C27" s="32">
        <v>0.185825249934961</v>
      </c>
      <c r="D27" s="32">
        <v>0.18580279999999999</v>
      </c>
      <c r="E27" s="33">
        <v>-4.0480000000001E-4</v>
      </c>
      <c r="F27" s="33">
        <v>-0.21739177133479601</v>
      </c>
      <c r="G27" s="33">
        <v>1.2272281667654701</v>
      </c>
      <c r="H27" s="32">
        <v>0.18580279999999999</v>
      </c>
      <c r="I27" s="32">
        <v>0.18580279999999999</v>
      </c>
      <c r="K27">
        <f t="shared" si="1"/>
        <v>-2.1739177133479615E-3</v>
      </c>
      <c r="L27">
        <f t="shared" si="0"/>
        <v>2.4154366296955638E-4</v>
      </c>
    </row>
    <row r="28" spans="1:12" x14ac:dyDescent="0.3">
      <c r="A28" s="28">
        <v>46037</v>
      </c>
      <c r="B28" s="29">
        <v>0.186198934942092</v>
      </c>
      <c r="C28" s="29">
        <v>0.18621627157781001</v>
      </c>
      <c r="D28" s="29">
        <v>0.1862076</v>
      </c>
      <c r="E28" s="30">
        <v>7.7345000000000799E-4</v>
      </c>
      <c r="F28" s="30">
        <v>0.41710224357272002</v>
      </c>
      <c r="G28" s="30">
        <v>1.44776726500246</v>
      </c>
      <c r="H28" s="29">
        <v>0.1862076</v>
      </c>
      <c r="I28" s="29">
        <v>0.1862076</v>
      </c>
      <c r="K28">
        <f t="shared" si="1"/>
        <v>4.1710224357272008E-3</v>
      </c>
      <c r="L28">
        <f t="shared" si="0"/>
        <v>9.3103803056441813E-5</v>
      </c>
    </row>
    <row r="29" spans="1:12" x14ac:dyDescent="0.3">
      <c r="A29" s="31">
        <v>46036</v>
      </c>
      <c r="B29" s="32">
        <v>0.18542211344124901</v>
      </c>
      <c r="C29" s="32">
        <v>0.185446183517543</v>
      </c>
      <c r="D29" s="32">
        <v>0.18543414999999999</v>
      </c>
      <c r="E29" s="33">
        <v>-4.6538000000001501E-4</v>
      </c>
      <c r="F29" s="33">
        <v>-0.25033952479600602</v>
      </c>
      <c r="G29" s="33">
        <v>1.02638395094269</v>
      </c>
      <c r="H29" s="32">
        <v>0.18543414999999999</v>
      </c>
      <c r="I29" s="32">
        <v>0.18543414999999999</v>
      </c>
      <c r="K29">
        <f t="shared" si="1"/>
        <v>-2.5033952479600607E-3</v>
      </c>
      <c r="L29">
        <f t="shared" si="0"/>
        <v>1.2980390232320235E-4</v>
      </c>
    </row>
    <row r="30" spans="1:12" x14ac:dyDescent="0.3">
      <c r="A30" s="28">
        <v>46035</v>
      </c>
      <c r="B30" s="29">
        <v>0.18588051600431199</v>
      </c>
      <c r="C30" s="29">
        <v>0.18591853049993501</v>
      </c>
      <c r="D30" s="29">
        <v>0.18589953000000001</v>
      </c>
      <c r="E30" s="30">
        <v>-3.41019999999997E-4</v>
      </c>
      <c r="F30" s="30">
        <v>-0.18310727712090799</v>
      </c>
      <c r="G30" s="30">
        <v>1.2799276405116899</v>
      </c>
      <c r="H30" s="29">
        <v>0.18589953000000001</v>
      </c>
      <c r="I30" s="29">
        <v>0.18589953000000001</v>
      </c>
      <c r="K30">
        <f t="shared" si="1"/>
        <v>-1.8310727712090857E-3</v>
      </c>
      <c r="L30">
        <f t="shared" si="0"/>
        <v>2.0448946601972436E-4</v>
      </c>
    </row>
    <row r="31" spans="1:12" x14ac:dyDescent="0.3">
      <c r="A31" s="31">
        <v>46034</v>
      </c>
      <c r="B31" s="32">
        <v>0.18621627157781001</v>
      </c>
      <c r="C31" s="32">
        <v>0.18626483133719501</v>
      </c>
      <c r="D31" s="32">
        <v>0.18624055</v>
      </c>
      <c r="E31" s="33">
        <v>-5.1302000000000205E-4</v>
      </c>
      <c r="F31" s="33">
        <v>-0.27470425331093101</v>
      </c>
      <c r="G31" s="33">
        <v>1.46571875533574</v>
      </c>
      <c r="H31" s="32">
        <v>0.18624055</v>
      </c>
      <c r="I31" s="32">
        <v>0.18624055</v>
      </c>
      <c r="K31">
        <f t="shared" si="1"/>
        <v>-2.7470425331093118E-3</v>
      </c>
      <c r="L31">
        <f t="shared" si="0"/>
        <v>2.6073676965087837E-4</v>
      </c>
    </row>
    <row r="32" spans="1:12" x14ac:dyDescent="0.3">
      <c r="A32" s="28">
        <v>46031</v>
      </c>
      <c r="B32" s="29">
        <v>0.18673438900507899</v>
      </c>
      <c r="C32" s="29">
        <v>0.186772753590706</v>
      </c>
      <c r="D32" s="29">
        <v>0.18675357000000001</v>
      </c>
      <c r="E32" s="30">
        <v>1.20243E-3</v>
      </c>
      <c r="F32" s="30">
        <v>0.64803158848822895</v>
      </c>
      <c r="G32" s="30">
        <v>1.7452171945095001</v>
      </c>
      <c r="H32" s="29">
        <v>0.18675357000000001</v>
      </c>
      <c r="I32" s="29">
        <v>0.18675357000000001</v>
      </c>
      <c r="K32">
        <f t="shared" si="1"/>
        <v>6.4803158848822928E-3</v>
      </c>
      <c r="L32">
        <f t="shared" si="0"/>
        <v>2.0542892768799165E-4</v>
      </c>
    </row>
    <row r="33" spans="1:12" x14ac:dyDescent="0.3">
      <c r="A33" s="31">
        <v>46030</v>
      </c>
      <c r="B33" s="32">
        <v>0.185535641396712</v>
      </c>
      <c r="C33" s="32">
        <v>0.18556662769767501</v>
      </c>
      <c r="D33" s="32">
        <v>0.18555114</v>
      </c>
      <c r="E33" s="33">
        <v>1.7199000000001001E-4</v>
      </c>
      <c r="F33" s="33">
        <v>9.2777423998335801E-2</v>
      </c>
      <c r="G33" s="33">
        <v>1.09012127580125</v>
      </c>
      <c r="H33" s="32">
        <v>0.18555114</v>
      </c>
      <c r="I33" s="32">
        <v>0.18555114</v>
      </c>
      <c r="K33">
        <f t="shared" si="1"/>
        <v>9.2777423998335884E-4</v>
      </c>
      <c r="L33">
        <f t="shared" si="0"/>
        <v>1.6699601502321749E-4</v>
      </c>
    </row>
    <row r="34" spans="1:12" x14ac:dyDescent="0.3">
      <c r="A34" s="28">
        <v>46029</v>
      </c>
      <c r="B34" s="29">
        <v>0.18536368354711899</v>
      </c>
      <c r="C34" s="29">
        <v>0.185394612432563</v>
      </c>
      <c r="D34" s="29">
        <v>0.18537914999999999</v>
      </c>
      <c r="E34" s="30">
        <v>-8.1458000000000897E-4</v>
      </c>
      <c r="F34" s="30">
        <v>-0.43749056426336502</v>
      </c>
      <c r="G34" s="30">
        <v>0.99641939955179903</v>
      </c>
      <c r="H34" s="29">
        <v>0.18537914999999999</v>
      </c>
      <c r="I34" s="29">
        <v>0.18537914999999999</v>
      </c>
      <c r="K34">
        <f t="shared" si="1"/>
        <v>-4.374905642633653E-3</v>
      </c>
      <c r="L34">
        <f t="shared" si="0"/>
        <v>1.6684123022470053E-4</v>
      </c>
    </row>
    <row r="35" spans="1:12" x14ac:dyDescent="0.3">
      <c r="A35" s="31">
        <v>46028</v>
      </c>
      <c r="B35" s="32">
        <v>0.18617466907452601</v>
      </c>
      <c r="C35" s="32">
        <v>0.186212803992403</v>
      </c>
      <c r="D35" s="32">
        <v>0.18619373</v>
      </c>
      <c r="E35" s="33">
        <v>1.5147100000000001E-3</v>
      </c>
      <c r="F35" s="33">
        <v>0.82018520566116104</v>
      </c>
      <c r="G35" s="33">
        <v>1.4402107499517101</v>
      </c>
      <c r="H35" s="32">
        <v>0.18619373</v>
      </c>
      <c r="I35" s="32">
        <v>0.18619373</v>
      </c>
      <c r="K35">
        <f t="shared" si="1"/>
        <v>8.2018520566116138E-3</v>
      </c>
      <c r="L35">
        <f t="shared" si="0"/>
        <v>2.048131152267687E-4</v>
      </c>
    </row>
    <row r="36" spans="1:12" x14ac:dyDescent="0.3">
      <c r="A36" s="28">
        <v>46027</v>
      </c>
      <c r="B36" s="29">
        <v>0.184668796513453</v>
      </c>
      <c r="C36" s="29">
        <v>0.18468926031951199</v>
      </c>
      <c r="D36" s="29">
        <v>0.18467902</v>
      </c>
      <c r="E36" s="30">
        <v>7.67590000000012E-4</v>
      </c>
      <c r="F36" s="30">
        <v>0.41736938264251799</v>
      </c>
      <c r="G36" s="30">
        <v>0.614981556546221</v>
      </c>
      <c r="H36" s="29">
        <v>0.18467902</v>
      </c>
      <c r="I36" s="29">
        <v>0.18467902</v>
      </c>
      <c r="K36">
        <f t="shared" si="1"/>
        <v>4.1736938264251844E-3</v>
      </c>
      <c r="L36">
        <f t="shared" si="0"/>
        <v>1.1080742175800841E-4</v>
      </c>
    </row>
    <row r="37" spans="1:12" x14ac:dyDescent="0.3">
      <c r="A37" s="31">
        <v>46024</v>
      </c>
      <c r="B37" s="32">
        <v>0.18388775491439999</v>
      </c>
      <c r="C37" s="32">
        <v>0.18393510769400601</v>
      </c>
      <c r="D37" s="32">
        <v>0.18391142999999999</v>
      </c>
      <c r="E37" s="33">
        <v>1.42165999999999E-3</v>
      </c>
      <c r="F37" s="33">
        <v>0.77903544949395798</v>
      </c>
      <c r="G37" s="33">
        <v>0.196790829234637</v>
      </c>
      <c r="H37" s="32">
        <v>0.18391142999999999</v>
      </c>
      <c r="I37" s="32">
        <v>0.18391142999999999</v>
      </c>
      <c r="K37">
        <f t="shared" si="1"/>
        <v>7.7903544949395886E-3</v>
      </c>
      <c r="L37">
        <f t="shared" si="0"/>
        <v>2.5747600138838103E-4</v>
      </c>
    </row>
    <row r="38" spans="1:12" x14ac:dyDescent="0.3">
      <c r="A38" s="28">
        <v>46023</v>
      </c>
      <c r="B38" s="29">
        <v>0.18246510354894599</v>
      </c>
      <c r="C38" s="29">
        <v>0.182515057492243</v>
      </c>
      <c r="D38" s="29">
        <v>0.18248977</v>
      </c>
      <c r="E38" s="30">
        <v>-3.0000000000862601E-7</v>
      </c>
      <c r="F38" s="30">
        <v>-1.64392506407651E-4</v>
      </c>
      <c r="G38" s="30">
        <v>-0.57774379131770603</v>
      </c>
      <c r="H38" s="29">
        <v>0.18248977</v>
      </c>
      <c r="I38" s="29">
        <v>0.18248977</v>
      </c>
      <c r="K38">
        <f t="shared" si="1"/>
        <v>-1.6439250640765124E-6</v>
      </c>
      <c r="L38">
        <f t="shared" si="0"/>
        <v>2.7373558143568979E-4</v>
      </c>
    </row>
    <row r="39" spans="1:12" x14ac:dyDescent="0.3">
      <c r="A39" s="31">
        <v>46022</v>
      </c>
      <c r="B39" s="32">
        <v>0.18246510354894599</v>
      </c>
      <c r="C39" s="32">
        <v>0.182515057492243</v>
      </c>
      <c r="D39" s="32">
        <v>0.18249007</v>
      </c>
      <c r="E39" s="33">
        <v>5.82600000000016E-4</v>
      </c>
      <c r="F39" s="33">
        <v>0.32027271887187198</v>
      </c>
      <c r="G39" s="33">
        <v>-0.57758034831011396</v>
      </c>
      <c r="H39" s="32">
        <v>0.18249007</v>
      </c>
      <c r="I39" s="32">
        <v>0.18249007</v>
      </c>
      <c r="K39">
        <f t="shared" si="1"/>
        <v>3.2027271887187236E-3</v>
      </c>
      <c r="L39">
        <f t="shared" si="0"/>
        <v>2.7373513143490657E-4</v>
      </c>
    </row>
    <row r="40" spans="1:12" x14ac:dyDescent="0.3">
      <c r="A40" s="28">
        <v>46021</v>
      </c>
      <c r="B40" s="29">
        <v>0.181890938193459</v>
      </c>
      <c r="C40" s="29">
        <v>0.18192402852568801</v>
      </c>
      <c r="D40" s="29">
        <v>0.18190746999999999</v>
      </c>
      <c r="E40" s="30">
        <v>2.2678299999999898E-3</v>
      </c>
      <c r="F40" s="30">
        <v>1.26243294631407</v>
      </c>
      <c r="G40" s="30">
        <v>-0.89498666904349</v>
      </c>
      <c r="H40" s="29">
        <v>0.18190746999999999</v>
      </c>
      <c r="I40" s="29">
        <v>0.18190746999999999</v>
      </c>
      <c r="K40">
        <f t="shared" si="1"/>
        <v>1.2624329463140738E-2</v>
      </c>
      <c r="L40">
        <f t="shared" si="0"/>
        <v>1.819074952172536E-4</v>
      </c>
    </row>
    <row r="41" spans="1:12" x14ac:dyDescent="0.3">
      <c r="A41" s="31">
        <v>46020</v>
      </c>
      <c r="B41" s="32">
        <v>0.17961705643567899</v>
      </c>
      <c r="C41" s="32">
        <v>0.179662234998203</v>
      </c>
      <c r="D41" s="32">
        <v>0.17963963999999999</v>
      </c>
      <c r="E41" s="33">
        <v>-9.8802999999999998E-4</v>
      </c>
      <c r="F41" s="33">
        <v>-0.54699814264337299</v>
      </c>
      <c r="G41" s="33">
        <v>-2.1305231886946201</v>
      </c>
      <c r="H41" s="32">
        <v>0.17963963999999999</v>
      </c>
      <c r="I41" s="32">
        <v>0.17963963999999999</v>
      </c>
      <c r="K41">
        <f t="shared" si="1"/>
        <v>-5.4699814264337343E-3</v>
      </c>
      <c r="L41">
        <f t="shared" si="0"/>
        <v>2.5149550802933265E-4</v>
      </c>
    </row>
    <row r="42" spans="1:12" x14ac:dyDescent="0.3">
      <c r="A42" s="28">
        <v>46017</v>
      </c>
      <c r="B42" s="29">
        <v>0.18060973847709899</v>
      </c>
      <c r="C42" s="29">
        <v>0.180645627472587</v>
      </c>
      <c r="D42" s="29">
        <v>0.18062766999999999</v>
      </c>
      <c r="E42" s="30">
        <v>-2.6280000000000698E-4</v>
      </c>
      <c r="F42" s="30">
        <v>-0.14528128540990301</v>
      </c>
      <c r="G42" s="30">
        <v>-1.5922345394083399</v>
      </c>
      <c r="H42" s="29">
        <v>0.18062766999999999</v>
      </c>
      <c r="I42" s="29">
        <v>0.18062766999999999</v>
      </c>
      <c r="K42">
        <f t="shared" si="1"/>
        <v>-1.4528128540990393E-3</v>
      </c>
      <c r="L42">
        <f t="shared" si="0"/>
        <v>1.9869046358184924E-4</v>
      </c>
    </row>
    <row r="43" spans="1:12" x14ac:dyDescent="0.3">
      <c r="A43" s="31">
        <v>46016</v>
      </c>
      <c r="B43" s="32">
        <v>0.18087761820352299</v>
      </c>
      <c r="C43" s="32">
        <v>0.18090379536162701</v>
      </c>
      <c r="D43" s="32">
        <v>0.18089047</v>
      </c>
      <c r="E43" s="33">
        <v>-2.2999999998996001E-7</v>
      </c>
      <c r="F43" s="33">
        <v>-1.2714860410101199E-4</v>
      </c>
      <c r="G43" s="33">
        <v>-1.4490584647623801</v>
      </c>
      <c r="H43" s="32">
        <v>0.18089047</v>
      </c>
      <c r="I43" s="32">
        <v>0.18089047</v>
      </c>
      <c r="K43">
        <f t="shared" si="1"/>
        <v>-1.2714860410101281E-6</v>
      </c>
      <c r="L43">
        <f t="shared" si="0"/>
        <v>1.4471275409930781E-4</v>
      </c>
    </row>
    <row r="44" spans="1:12" x14ac:dyDescent="0.3">
      <c r="A44" s="28">
        <v>46015</v>
      </c>
      <c r="B44" s="29">
        <v>0.18087761820352299</v>
      </c>
      <c r="C44" s="29">
        <v>0.18090379536162701</v>
      </c>
      <c r="D44" s="29">
        <v>0.18089069999999999</v>
      </c>
      <c r="E44" s="30">
        <v>5.3015999999997399E-4</v>
      </c>
      <c r="F44" s="30">
        <v>0.29394456237488098</v>
      </c>
      <c r="G44" s="30">
        <v>-1.4489331584565699</v>
      </c>
      <c r="H44" s="29">
        <v>0.18089069999999999</v>
      </c>
      <c r="I44" s="29">
        <v>0.18089069999999999</v>
      </c>
      <c r="K44">
        <f t="shared" si="1"/>
        <v>2.9394456237488154E-3</v>
      </c>
      <c r="L44">
        <f t="shared" si="0"/>
        <v>1.4471257009906102E-4</v>
      </c>
    </row>
    <row r="45" spans="1:12" x14ac:dyDescent="0.3">
      <c r="A45" s="31">
        <v>46014</v>
      </c>
      <c r="B45" s="32">
        <v>0.18034265103697</v>
      </c>
      <c r="C45" s="32">
        <v>0.18037843395443601</v>
      </c>
      <c r="D45" s="32">
        <v>0.18036054000000001</v>
      </c>
      <c r="E45" s="33">
        <v>4.8986000000000797E-4</v>
      </c>
      <c r="F45" s="33">
        <v>0.27234010568037897</v>
      </c>
      <c r="G45" s="33">
        <v>-1.73776964146377</v>
      </c>
      <c r="H45" s="32">
        <v>0.18036054000000001</v>
      </c>
      <c r="I45" s="32">
        <v>0.18036054000000001</v>
      </c>
      <c r="K45">
        <f t="shared" si="1"/>
        <v>2.7234010568037981E-3</v>
      </c>
      <c r="L45">
        <f t="shared" si="0"/>
        <v>1.9839659753737729E-4</v>
      </c>
    </row>
    <row r="46" spans="1:12" x14ac:dyDescent="0.3">
      <c r="A46" s="28">
        <v>46013</v>
      </c>
      <c r="B46" s="29">
        <v>0.17984964569619799</v>
      </c>
      <c r="C46" s="29">
        <v>0.179891705193474</v>
      </c>
      <c r="D46" s="29">
        <v>0.17987068000000001</v>
      </c>
      <c r="E46" s="30">
        <v>-1.7114400000000001E-3</v>
      </c>
      <c r="F46" s="30">
        <v>-0.94251570584152899</v>
      </c>
      <c r="G46" s="30">
        <v>-2.0046502804518398</v>
      </c>
      <c r="H46" s="29">
        <v>0.17987068000000001</v>
      </c>
      <c r="I46" s="29">
        <v>0.17987068000000001</v>
      </c>
      <c r="K46">
        <f t="shared" si="1"/>
        <v>-9.4251570584152899E-3</v>
      </c>
      <c r="L46">
        <f t="shared" si="0"/>
        <v>2.3383186896279651E-4</v>
      </c>
    </row>
    <row r="47" spans="1:12" x14ac:dyDescent="0.3">
      <c r="A47" s="31">
        <v>46010</v>
      </c>
      <c r="B47" s="32">
        <v>0.181560695740586</v>
      </c>
      <c r="C47" s="32">
        <v>0.181603559429765</v>
      </c>
      <c r="D47" s="32">
        <v>0.18158212000000001</v>
      </c>
      <c r="E47" s="33">
        <v>1.4661000000001901E-4</v>
      </c>
      <c r="F47" s="33">
        <v>8.0805571081432603E-2</v>
      </c>
      <c r="G47" s="33">
        <v>-1.0722406107712401</v>
      </c>
      <c r="H47" s="32">
        <v>0.18158212000000001</v>
      </c>
      <c r="I47" s="32">
        <v>0.18158212000000001</v>
      </c>
      <c r="K47">
        <f t="shared" si="1"/>
        <v>8.0805571081432603E-4</v>
      </c>
      <c r="L47">
        <f t="shared" si="0"/>
        <v>2.3605677243439905E-4</v>
      </c>
    </row>
    <row r="48" spans="1:12" x14ac:dyDescent="0.3">
      <c r="A48" s="28">
        <v>46009</v>
      </c>
      <c r="B48" s="29">
        <v>0.181409186561207</v>
      </c>
      <c r="C48" s="29">
        <v>0.181461856717718</v>
      </c>
      <c r="D48" s="29">
        <v>0.18143550999999999</v>
      </c>
      <c r="E48" s="30">
        <v>3.7776999999999901E-4</v>
      </c>
      <c r="F48" s="30">
        <v>0.20864614790838601</v>
      </c>
      <c r="G48" s="30">
        <v>-1.15211520857887</v>
      </c>
      <c r="H48" s="29">
        <v>0.18143550999999999</v>
      </c>
      <c r="I48" s="29">
        <v>0.18143550999999999</v>
      </c>
      <c r="K48">
        <f t="shared" si="1"/>
        <v>2.0864614790838676E-3</v>
      </c>
      <c r="L48">
        <f t="shared" si="0"/>
        <v>2.9029684713319497E-4</v>
      </c>
    </row>
    <row r="49" spans="1:12" x14ac:dyDescent="0.3">
      <c r="A49" s="31">
        <v>46008</v>
      </c>
      <c r="B49" s="32">
        <v>0.18103807230660601</v>
      </c>
      <c r="C49" s="32">
        <v>0.18107741059302901</v>
      </c>
      <c r="D49" s="32">
        <v>0.18105773999999999</v>
      </c>
      <c r="E49" s="33">
        <v>-1.86129000000001E-3</v>
      </c>
      <c r="F49" s="33">
        <v>-1.01754858420144</v>
      </c>
      <c r="G49" s="33">
        <v>-1.3579280918323</v>
      </c>
      <c r="H49" s="32">
        <v>0.18105773999999999</v>
      </c>
      <c r="I49" s="32">
        <v>0.18105773999999999</v>
      </c>
      <c r="K49">
        <f t="shared" si="1"/>
        <v>-1.0175485842014442E-2</v>
      </c>
      <c r="L49">
        <f t="shared" si="0"/>
        <v>2.1726928891853121E-4</v>
      </c>
    </row>
    <row r="50" spans="1:12" x14ac:dyDescent="0.3">
      <c r="A50" s="28">
        <v>46007</v>
      </c>
      <c r="B50" s="29">
        <v>0.182898948331047</v>
      </c>
      <c r="C50" s="29">
        <v>0.18293909957375201</v>
      </c>
      <c r="D50" s="29">
        <v>0.18291903000000001</v>
      </c>
      <c r="E50" s="30">
        <v>-2.18045E-3</v>
      </c>
      <c r="F50" s="30">
        <v>-1.17798818235469</v>
      </c>
      <c r="G50" s="30">
        <v>-0.34387863986214501</v>
      </c>
      <c r="H50" s="29">
        <v>0.18291903000000001</v>
      </c>
      <c r="I50" s="29">
        <v>0.18291903000000001</v>
      </c>
      <c r="K50">
        <f t="shared" si="1"/>
        <v>-1.1779881823546945E-2</v>
      </c>
      <c r="L50">
        <f t="shared" si="0"/>
        <v>2.1950281884291112E-4</v>
      </c>
    </row>
    <row r="51" spans="1:12" x14ac:dyDescent="0.3">
      <c r="A51" s="31">
        <v>46006</v>
      </c>
      <c r="B51" s="32">
        <v>0.185085787262396</v>
      </c>
      <c r="C51" s="32">
        <v>0.18511319671979401</v>
      </c>
      <c r="D51" s="32">
        <v>0.18509948000000001</v>
      </c>
      <c r="E51" s="33">
        <v>4.9376000000000899E-4</v>
      </c>
      <c r="F51" s="33">
        <v>0.26746733524833899</v>
      </c>
      <c r="G51" s="33">
        <v>0.84405237977923597</v>
      </c>
      <c r="H51" s="32">
        <v>0.18509948000000001</v>
      </c>
      <c r="I51" s="32">
        <v>0.18509948000000001</v>
      </c>
      <c r="K51">
        <f t="shared" si="1"/>
        <v>2.6746733524833921E-3</v>
      </c>
      <c r="L51">
        <f t="shared" si="0"/>
        <v>1.4807960237389305E-4</v>
      </c>
    </row>
    <row r="52" spans="1:12" x14ac:dyDescent="0.3">
      <c r="A52" s="28">
        <v>46003</v>
      </c>
      <c r="B52" s="29">
        <v>0.18459039391590101</v>
      </c>
      <c r="C52" s="29">
        <v>0.18462106526354699</v>
      </c>
      <c r="D52" s="29">
        <v>0.18460572</v>
      </c>
      <c r="E52" s="30">
        <v>-3.2431999999998901E-4</v>
      </c>
      <c r="F52" s="30">
        <v>-0.175374428081009</v>
      </c>
      <c r="G52" s="30">
        <v>0.57504698169253798</v>
      </c>
      <c r="H52" s="29">
        <v>0.18460572</v>
      </c>
      <c r="I52" s="29">
        <v>0.18460572</v>
      </c>
      <c r="K52">
        <f t="shared" si="1"/>
        <v>-1.7537442808100989E-3</v>
      </c>
      <c r="L52">
        <f t="shared" si="0"/>
        <v>1.6614516411505263E-4</v>
      </c>
    </row>
    <row r="53" spans="1:12" x14ac:dyDescent="0.3">
      <c r="A53" s="31">
        <v>46002</v>
      </c>
      <c r="B53" s="32">
        <v>0.18491124260354999</v>
      </c>
      <c r="C53" s="32">
        <v>0.18494886163975699</v>
      </c>
      <c r="D53" s="32">
        <v>0.18493003999999999</v>
      </c>
      <c r="E53" s="33">
        <v>2.59303999999999E-3</v>
      </c>
      <c r="F53" s="33">
        <v>1.4221139977075301</v>
      </c>
      <c r="G53" s="33">
        <v>0.75173976909425799</v>
      </c>
      <c r="H53" s="32">
        <v>0.18493003999999999</v>
      </c>
      <c r="I53" s="32">
        <v>0.18493003999999999</v>
      </c>
      <c r="K53">
        <f t="shared" si="1"/>
        <v>1.4221139977075303E-2</v>
      </c>
      <c r="L53">
        <f t="shared" si="0"/>
        <v>2.034230685668935E-4</v>
      </c>
    </row>
    <row r="54" spans="1:12" x14ac:dyDescent="0.3">
      <c r="A54" s="28">
        <v>46001</v>
      </c>
      <c r="B54" s="29">
        <v>0.182312081821662</v>
      </c>
      <c r="C54" s="29">
        <v>0.18236195200233399</v>
      </c>
      <c r="D54" s="29">
        <v>0.182337</v>
      </c>
      <c r="E54" s="30">
        <v>-1.7284599999999801E-3</v>
      </c>
      <c r="F54" s="30">
        <v>-0.93904635883341703</v>
      </c>
      <c r="G54" s="30">
        <v>-0.66097441888110298</v>
      </c>
      <c r="H54" s="29">
        <v>0.182337</v>
      </c>
      <c r="I54" s="29">
        <v>0.182337</v>
      </c>
      <c r="K54">
        <f t="shared" si="1"/>
        <v>-9.3904635883341747E-3</v>
      </c>
      <c r="L54">
        <f t="shared" si="0"/>
        <v>2.7350554562148544E-4</v>
      </c>
    </row>
    <row r="55" spans="1:12" x14ac:dyDescent="0.3">
      <c r="A55" s="31">
        <v>46000</v>
      </c>
      <c r="B55" s="32">
        <v>0.18404004711425201</v>
      </c>
      <c r="C55" s="32">
        <v>0.18409086725207599</v>
      </c>
      <c r="D55" s="32">
        <v>0.18406545999999999</v>
      </c>
      <c r="E55" s="33">
        <v>4.6130999999999202E-4</v>
      </c>
      <c r="F55" s="33">
        <v>0.25125249075252898</v>
      </c>
      <c r="G55" s="33">
        <v>0.28070791742989998</v>
      </c>
      <c r="H55" s="32">
        <v>0.18406545999999999</v>
      </c>
      <c r="I55" s="32">
        <v>0.18406545999999999</v>
      </c>
      <c r="K55">
        <f t="shared" si="1"/>
        <v>2.5125249075252931E-3</v>
      </c>
      <c r="L55">
        <f t="shared" si="0"/>
        <v>2.760981762900081E-4</v>
      </c>
    </row>
    <row r="56" spans="1:12" x14ac:dyDescent="0.3">
      <c r="A56" s="28">
        <v>45999</v>
      </c>
      <c r="B56" s="29">
        <v>0.18357044515832999</v>
      </c>
      <c r="C56" s="29">
        <v>0.18363786612799601</v>
      </c>
      <c r="D56" s="29">
        <v>0.18360414999999999</v>
      </c>
      <c r="E56" s="30">
        <v>-2.4492799999999899E-3</v>
      </c>
      <c r="F56" s="30">
        <v>-1.3164390465685001</v>
      </c>
      <c r="G56" s="30">
        <v>2.9381604663839399E-2</v>
      </c>
      <c r="H56" s="29">
        <v>0.18360414999999999</v>
      </c>
      <c r="I56" s="29">
        <v>0.18360414999999999</v>
      </c>
      <c r="K56">
        <f t="shared" si="1"/>
        <v>-1.3164390465685072E-2</v>
      </c>
      <c r="L56">
        <f t="shared" si="0"/>
        <v>3.6720831019356929E-4</v>
      </c>
    </row>
    <row r="57" spans="1:12" x14ac:dyDescent="0.3">
      <c r="A57" s="31">
        <v>45996</v>
      </c>
      <c r="B57" s="32">
        <v>0.18602574596324101</v>
      </c>
      <c r="C57" s="32">
        <v>0.186081131373279</v>
      </c>
      <c r="D57" s="32">
        <v>0.18605342999999999</v>
      </c>
      <c r="E57" s="33">
        <v>-2.8664100000000102E-3</v>
      </c>
      <c r="F57" s="33">
        <v>-1.5172625596125799</v>
      </c>
      <c r="G57" s="33">
        <v>1.36377390340366</v>
      </c>
      <c r="H57" s="32">
        <v>0.18605342999999999</v>
      </c>
      <c r="I57" s="32">
        <v>0.18605342999999999</v>
      </c>
      <c r="K57">
        <f t="shared" si="1"/>
        <v>-1.5172625596125866E-2</v>
      </c>
      <c r="L57">
        <f t="shared" si="0"/>
        <v>2.9768550914645694E-4</v>
      </c>
    </row>
    <row r="58" spans="1:12" x14ac:dyDescent="0.3">
      <c r="A58" s="28">
        <v>45995</v>
      </c>
      <c r="B58" s="29">
        <v>0.18890022290226299</v>
      </c>
      <c r="C58" s="29">
        <v>0.18893948268369601</v>
      </c>
      <c r="D58" s="29">
        <v>0.18891984000000001</v>
      </c>
      <c r="E58" s="30">
        <v>2.8509000000001501E-4</v>
      </c>
      <c r="F58" s="30">
        <v>0.151133341020148</v>
      </c>
      <c r="G58" s="30">
        <v>2.9254228079922799</v>
      </c>
      <c r="H58" s="29">
        <v>0.18891984000000001</v>
      </c>
      <c r="I58" s="29">
        <v>0.18891984000000001</v>
      </c>
      <c r="K58">
        <f t="shared" si="1"/>
        <v>1.5113334102014875E-3</v>
      </c>
      <c r="L58">
        <f t="shared" si="0"/>
        <v>2.0781184989895893E-4</v>
      </c>
    </row>
    <row r="59" spans="1:12" x14ac:dyDescent="0.3">
      <c r="A59" s="31">
        <v>45994</v>
      </c>
      <c r="B59" s="32">
        <v>0.18860807242550001</v>
      </c>
      <c r="C59" s="32">
        <v>0.18866144703329901</v>
      </c>
      <c r="D59" s="32">
        <v>0.18863474999999999</v>
      </c>
      <c r="E59" s="33">
        <v>1.3968799999999799E-3</v>
      </c>
      <c r="F59" s="33">
        <v>0.74604565839164705</v>
      </c>
      <c r="G59" s="33">
        <v>2.77010291788263</v>
      </c>
      <c r="H59" s="32">
        <v>0.18863474999999999</v>
      </c>
      <c r="I59" s="32">
        <v>0.18863474999999999</v>
      </c>
      <c r="K59">
        <f t="shared" si="1"/>
        <v>7.4604565839164749E-3</v>
      </c>
      <c r="L59">
        <f t="shared" si="0"/>
        <v>2.8295214852512855E-4</v>
      </c>
    </row>
    <row r="60" spans="1:12" x14ac:dyDescent="0.3">
      <c r="A60" s="28">
        <v>45993</v>
      </c>
      <c r="B60" s="29">
        <v>0.187213329589067</v>
      </c>
      <c r="C60" s="29">
        <v>0.18726241081627701</v>
      </c>
      <c r="D60" s="29">
        <v>0.18723787</v>
      </c>
      <c r="E60" s="30">
        <v>1.87379999999987E-4</v>
      </c>
      <c r="F60" s="30">
        <v>0.100176160992671</v>
      </c>
      <c r="G60" s="30">
        <v>2.0090686897569499</v>
      </c>
      <c r="H60" s="29">
        <v>0.18723787</v>
      </c>
      <c r="I60" s="29">
        <v>0.18723787</v>
      </c>
      <c r="K60">
        <f t="shared" si="1"/>
        <v>1.0017616099267102E-3</v>
      </c>
      <c r="L60">
        <f t="shared" si="0"/>
        <v>2.6213301406391334E-4</v>
      </c>
    </row>
    <row r="61" spans="1:12" x14ac:dyDescent="0.3">
      <c r="A61" s="31">
        <v>45992</v>
      </c>
      <c r="B61" s="32">
        <v>0.187034751056746</v>
      </c>
      <c r="C61" s="32">
        <v>0.187066240155639</v>
      </c>
      <c r="D61" s="32">
        <v>0.18705049000000001</v>
      </c>
      <c r="E61" s="33">
        <v>-1.03269999999988E-4</v>
      </c>
      <c r="F61" s="33">
        <v>-5.51792280315321E-2</v>
      </c>
      <c r="G61" s="33">
        <v>1.9069821872183099</v>
      </c>
      <c r="H61" s="32">
        <v>0.18705049000000001</v>
      </c>
      <c r="I61" s="32">
        <v>0.18705049000000001</v>
      </c>
      <c r="K61">
        <f t="shared" si="1"/>
        <v>-5.517922803153219E-4</v>
      </c>
      <c r="L61">
        <f t="shared" si="0"/>
        <v>1.6834544989965304E-4</v>
      </c>
    </row>
    <row r="62" spans="1:12" x14ac:dyDescent="0.3">
      <c r="A62" s="28">
        <v>45989</v>
      </c>
      <c r="B62" s="29">
        <v>0.18712574850299399</v>
      </c>
      <c r="C62" s="29">
        <v>0.18718179095537599</v>
      </c>
      <c r="D62" s="29">
        <v>0.18715376</v>
      </c>
      <c r="E62" s="30">
        <v>1.81960000000008E-4</v>
      </c>
      <c r="F62" s="30">
        <v>9.7319488821323505E-2</v>
      </c>
      <c r="G62" s="30">
        <v>1.9632447185299</v>
      </c>
      <c r="H62" s="29">
        <v>0.18715376</v>
      </c>
      <c r="I62" s="29">
        <v>0.18715376</v>
      </c>
      <c r="K62">
        <f t="shared" si="1"/>
        <v>9.7319488821323574E-4</v>
      </c>
      <c r="L62">
        <f t="shared" si="0"/>
        <v>2.9944604042151822E-4</v>
      </c>
    </row>
    <row r="63" spans="1:12" x14ac:dyDescent="0.3">
      <c r="A63" s="31">
        <v>45988</v>
      </c>
      <c r="B63" s="32">
        <v>0.18695782231528599</v>
      </c>
      <c r="C63" s="32">
        <v>0.18698578908003</v>
      </c>
      <c r="D63" s="32">
        <v>0.18697179999999999</v>
      </c>
      <c r="E63" s="33">
        <v>2.0950999999999601E-4</v>
      </c>
      <c r="F63" s="33">
        <v>0.112180033774489</v>
      </c>
      <c r="G63" s="33">
        <v>1.8641110863283099</v>
      </c>
      <c r="H63" s="32">
        <v>0.18697179999999999</v>
      </c>
      <c r="I63" s="32">
        <v>0.18697179999999999</v>
      </c>
      <c r="K63">
        <f t="shared" si="1"/>
        <v>1.1218003377448937E-3</v>
      </c>
      <c r="L63">
        <f t="shared" si="0"/>
        <v>1.4957744827834199E-4</v>
      </c>
    </row>
    <row r="64" spans="1:12" x14ac:dyDescent="0.3">
      <c r="A64" s="28">
        <v>45987</v>
      </c>
      <c r="B64" s="29">
        <v>0.186737876043398</v>
      </c>
      <c r="C64" s="29">
        <v>0.18678670825784</v>
      </c>
      <c r="D64" s="29">
        <v>0.18676229</v>
      </c>
      <c r="E64" s="30">
        <v>1.3968899999999801E-3</v>
      </c>
      <c r="F64" s="30">
        <v>0.75358723904244096</v>
      </c>
      <c r="G64" s="30">
        <v>1.7499679379300099</v>
      </c>
      <c r="H64" s="29">
        <v>0.18676229</v>
      </c>
      <c r="I64" s="29">
        <v>0.18676229</v>
      </c>
      <c r="K64">
        <f t="shared" si="1"/>
        <v>7.535872390424414E-3</v>
      </c>
      <c r="L64">
        <f t="shared" si="0"/>
        <v>2.6146720755025328E-4</v>
      </c>
    </row>
    <row r="65" spans="1:12" x14ac:dyDescent="0.3">
      <c r="A65" s="31">
        <v>45986</v>
      </c>
      <c r="B65" s="32">
        <v>0.18533963488091901</v>
      </c>
      <c r="C65" s="32">
        <v>0.18539117538005201</v>
      </c>
      <c r="D65" s="32">
        <v>0.18536540000000001</v>
      </c>
      <c r="E65" s="33">
        <v>3.60700000000269E-5</v>
      </c>
      <c r="F65" s="33">
        <v>1.94626506230921E-2</v>
      </c>
      <c r="G65" s="33">
        <v>0.98892826170408699</v>
      </c>
      <c r="H65" s="32">
        <v>0.18536540000000001</v>
      </c>
      <c r="I65" s="32">
        <v>0.18536540000000001</v>
      </c>
      <c r="K65">
        <f t="shared" si="1"/>
        <v>1.9462650623092159E-4</v>
      </c>
      <c r="L65">
        <f t="shared" si="0"/>
        <v>2.7804811001946162E-4</v>
      </c>
    </row>
    <row r="66" spans="1:12" x14ac:dyDescent="0.3">
      <c r="A66" s="28">
        <v>45985</v>
      </c>
      <c r="B66" s="29">
        <v>0.18531559245394899</v>
      </c>
      <c r="C66" s="29">
        <v>0.18534307002261199</v>
      </c>
      <c r="D66" s="29">
        <v>0.18532932999999999</v>
      </c>
      <c r="E66" s="30">
        <v>6.7927999999997603E-4</v>
      </c>
      <c r="F66" s="30">
        <v>0.36787425727746698</v>
      </c>
      <c r="G66" s="30">
        <v>0.96927696409189801</v>
      </c>
      <c r="H66" s="29">
        <v>0.18532932999999999</v>
      </c>
      <c r="I66" s="29">
        <v>0.18532932999999999</v>
      </c>
      <c r="K66">
        <f t="shared" si="1"/>
        <v>3.6787425727746736E-3</v>
      </c>
      <c r="L66">
        <f t="shared" si="0"/>
        <v>1.4826346516767504E-4</v>
      </c>
    </row>
    <row r="67" spans="1:12" x14ac:dyDescent="0.3">
      <c r="A67" s="31">
        <v>45982</v>
      </c>
      <c r="B67" s="32">
        <v>0.18462447382024999</v>
      </c>
      <c r="C67" s="32">
        <v>0.18467561727825099</v>
      </c>
      <c r="D67" s="32">
        <v>0.18465005000000001</v>
      </c>
      <c r="E67" s="33">
        <v>-2.8880399999999802E-3</v>
      </c>
      <c r="F67" s="33">
        <v>-1.53997515917965</v>
      </c>
      <c r="G67" s="33">
        <v>0.59919841011360397</v>
      </c>
      <c r="H67" s="32">
        <v>0.18465005000000001</v>
      </c>
      <c r="I67" s="32">
        <v>0.18465005000000001</v>
      </c>
      <c r="K67">
        <f t="shared" si="1"/>
        <v>-1.5399751591796518E-2</v>
      </c>
      <c r="L67">
        <f t="shared" si="0"/>
        <v>2.7697505633495211E-4</v>
      </c>
    </row>
    <row r="68" spans="1:12" x14ac:dyDescent="0.3">
      <c r="A68" s="28">
        <v>45981</v>
      </c>
      <c r="B68" s="29">
        <v>0.18751875187518799</v>
      </c>
      <c r="C68" s="29">
        <v>0.187557439465836</v>
      </c>
      <c r="D68" s="29">
        <v>0.18753808999999999</v>
      </c>
      <c r="E68" s="30">
        <v>1.0720000000000101E-4</v>
      </c>
      <c r="F68" s="30">
        <v>5.7194414431904698E-2</v>
      </c>
      <c r="G68" s="30">
        <v>2.1726315555492102</v>
      </c>
      <c r="H68" s="29">
        <v>0.18753808999999999</v>
      </c>
      <c r="I68" s="29">
        <v>0.18753808999999999</v>
      </c>
      <c r="K68">
        <f t="shared" si="1"/>
        <v>5.7194414431904761E-4</v>
      </c>
      <c r="L68">
        <f t="shared" si="0"/>
        <v>2.0629190927566872E-4</v>
      </c>
    </row>
    <row r="69" spans="1:12" x14ac:dyDescent="0.3">
      <c r="A69" s="31">
        <v>45980</v>
      </c>
      <c r="B69" s="32">
        <v>0.18741683378001001</v>
      </c>
      <c r="C69" s="32">
        <v>0.18744493804944801</v>
      </c>
      <c r="D69" s="32">
        <v>0.18743088999999999</v>
      </c>
      <c r="E69" s="33">
        <v>1.07079999999981E-4</v>
      </c>
      <c r="F69" s="33">
        <v>5.7163048306563199E-2</v>
      </c>
      <c r="G69" s="33">
        <v>2.1142279208382302</v>
      </c>
      <c r="H69" s="32">
        <v>0.18743088999999999</v>
      </c>
      <c r="I69" s="32">
        <v>0.18743088999999999</v>
      </c>
      <c r="K69">
        <f t="shared" ref="K69:K132" si="2">D69/D70-1</f>
        <v>5.7163048306563269E-4</v>
      </c>
      <c r="L69">
        <f t="shared" ref="L69:L132" si="3">(C69-B69)/D69</f>
        <v>1.4994470462153121E-4</v>
      </c>
    </row>
    <row r="70" spans="1:12" x14ac:dyDescent="0.3">
      <c r="A70" s="28">
        <v>45979</v>
      </c>
      <c r="B70" s="29">
        <v>0.187304500927157</v>
      </c>
      <c r="C70" s="29">
        <v>0.18734310015362099</v>
      </c>
      <c r="D70" s="29">
        <v>0.18732381000000001</v>
      </c>
      <c r="E70" s="30">
        <v>-9.9478999999999497E-4</v>
      </c>
      <c r="F70" s="30">
        <v>-0.52824840456545596</v>
      </c>
      <c r="G70" s="30">
        <v>2.0558896633302899</v>
      </c>
      <c r="H70" s="29">
        <v>0.18732381000000001</v>
      </c>
      <c r="I70" s="29">
        <v>0.18732381000000001</v>
      </c>
      <c r="K70">
        <f t="shared" si="2"/>
        <v>-5.2824840456545674E-3</v>
      </c>
      <c r="L70">
        <f t="shared" si="3"/>
        <v>2.060561680012099E-4</v>
      </c>
    </row>
    <row r="71" spans="1:12" x14ac:dyDescent="0.3">
      <c r="A71" s="31">
        <v>45978</v>
      </c>
      <c r="B71" s="32">
        <v>0.18829909428135699</v>
      </c>
      <c r="C71" s="32">
        <v>0.18833810456531599</v>
      </c>
      <c r="D71" s="32">
        <v>0.1883186</v>
      </c>
      <c r="E71" s="33">
        <v>-1.2386799999999901E-3</v>
      </c>
      <c r="F71" s="33">
        <v>-0.65345947145896099</v>
      </c>
      <c r="G71" s="33">
        <v>2.5978612283875302</v>
      </c>
      <c r="H71" s="32">
        <v>0.1883186</v>
      </c>
      <c r="I71" s="32">
        <v>0.1883186</v>
      </c>
      <c r="K71">
        <f t="shared" si="2"/>
        <v>-6.5345947145896144E-3</v>
      </c>
      <c r="L71">
        <f t="shared" si="3"/>
        <v>2.0715045650828538E-4</v>
      </c>
    </row>
    <row r="72" spans="1:12" x14ac:dyDescent="0.3">
      <c r="A72" s="28">
        <v>45975</v>
      </c>
      <c r="B72" s="29">
        <v>0.18953752843062899</v>
      </c>
      <c r="C72" s="29">
        <v>0.18957705359343299</v>
      </c>
      <c r="D72" s="29">
        <v>0.18955727999999999</v>
      </c>
      <c r="E72" s="30">
        <v>2.5475999999999201E-4</v>
      </c>
      <c r="F72" s="30">
        <v>0.13457824016287401</v>
      </c>
      <c r="G72" s="30">
        <v>3.27270651051249</v>
      </c>
      <c r="H72" s="29">
        <v>0.18955727999999999</v>
      </c>
      <c r="I72" s="29">
        <v>0.18955727999999999</v>
      </c>
      <c r="K72">
        <f t="shared" si="2"/>
        <v>1.3457824016287478E-3</v>
      </c>
      <c r="L72">
        <f t="shared" si="3"/>
        <v>2.0851302996120738E-4</v>
      </c>
    </row>
    <row r="73" spans="1:12" x14ac:dyDescent="0.3">
      <c r="A73" s="31">
        <v>45974</v>
      </c>
      <c r="B73" s="32">
        <v>0.18928280744260001</v>
      </c>
      <c r="C73" s="32">
        <v>0.18932222642938301</v>
      </c>
      <c r="D73" s="32">
        <v>0.18930252</v>
      </c>
      <c r="E73" s="33">
        <v>6.71329999999997E-4</v>
      </c>
      <c r="F73" s="33">
        <v>0.35589554410382301</v>
      </c>
      <c r="G73" s="33">
        <v>3.1339107084698701</v>
      </c>
      <c r="H73" s="32">
        <v>0.18930252</v>
      </c>
      <c r="I73" s="32">
        <v>0.18930252</v>
      </c>
      <c r="K73">
        <f t="shared" si="2"/>
        <v>3.5589554410382362E-3</v>
      </c>
      <c r="L73">
        <f t="shared" si="3"/>
        <v>2.0823276300284819E-4</v>
      </c>
    </row>
    <row r="74" spans="1:12" x14ac:dyDescent="0.3">
      <c r="A74" s="28">
        <v>45973</v>
      </c>
      <c r="B74" s="29">
        <v>0.18861162979309301</v>
      </c>
      <c r="C74" s="29">
        <v>0.18865076969514</v>
      </c>
      <c r="D74" s="29">
        <v>0.18863119</v>
      </c>
      <c r="E74" s="30">
        <v>-9.2070999999999104E-4</v>
      </c>
      <c r="F74" s="30">
        <v>-0.48572976583194299</v>
      </c>
      <c r="G74" s="30">
        <v>2.76816339419261</v>
      </c>
      <c r="H74" s="29">
        <v>0.18863119</v>
      </c>
      <c r="I74" s="29">
        <v>0.18863119</v>
      </c>
      <c r="K74">
        <f t="shared" si="2"/>
        <v>-4.8572976583194372E-3</v>
      </c>
      <c r="L74">
        <f t="shared" si="3"/>
        <v>2.0749432820195987E-4</v>
      </c>
    </row>
    <row r="75" spans="1:12" x14ac:dyDescent="0.3">
      <c r="A75" s="31">
        <v>45972</v>
      </c>
      <c r="B75" s="32">
        <v>0.18953393605124999</v>
      </c>
      <c r="C75" s="32">
        <v>0.189569865974105</v>
      </c>
      <c r="D75" s="32">
        <v>0.1895519</v>
      </c>
      <c r="E75" s="33">
        <v>1.5590000000000001E-3</v>
      </c>
      <c r="F75" s="33">
        <v>0.82928663795280799</v>
      </c>
      <c r="G75" s="33">
        <v>3.2697754325764401</v>
      </c>
      <c r="H75" s="32">
        <v>0.1895519</v>
      </c>
      <c r="I75" s="32">
        <v>0.1895519</v>
      </c>
      <c r="K75">
        <f t="shared" si="2"/>
        <v>8.2928663795280855E-3</v>
      </c>
      <c r="L75">
        <f t="shared" si="3"/>
        <v>1.8955190032389407E-4</v>
      </c>
    </row>
    <row r="76" spans="1:12" x14ac:dyDescent="0.3">
      <c r="A76" s="28">
        <v>45971</v>
      </c>
      <c r="B76" s="29">
        <v>0.18796639160917999</v>
      </c>
      <c r="C76" s="29">
        <v>0.18801940360245201</v>
      </c>
      <c r="D76" s="29">
        <v>0.18799289999999999</v>
      </c>
      <c r="E76" s="30">
        <v>9.7389999999999901E-4</v>
      </c>
      <c r="F76" s="30">
        <v>0.52074922868798801</v>
      </c>
      <c r="G76" s="30">
        <v>2.4204166031508998</v>
      </c>
      <c r="H76" s="29">
        <v>0.18799289999999999</v>
      </c>
      <c r="I76" s="29">
        <v>0.18799289999999999</v>
      </c>
      <c r="K76">
        <f t="shared" si="2"/>
        <v>5.207492286879889E-3</v>
      </c>
      <c r="L76">
        <f t="shared" si="3"/>
        <v>2.8198933721439423E-4</v>
      </c>
    </row>
    <row r="77" spans="1:12" x14ac:dyDescent="0.3">
      <c r="A77" s="31">
        <v>45968</v>
      </c>
      <c r="B77" s="32">
        <v>0.18699977560026901</v>
      </c>
      <c r="C77" s="32">
        <v>0.18703824932198601</v>
      </c>
      <c r="D77" s="32">
        <v>0.18701899999999999</v>
      </c>
      <c r="E77" s="33">
        <v>2.6193999999998802E-4</v>
      </c>
      <c r="F77" s="33">
        <v>0.14025708050875399</v>
      </c>
      <c r="G77" s="33">
        <v>1.8898261195219499</v>
      </c>
      <c r="H77" s="32">
        <v>0.18701899999999999</v>
      </c>
      <c r="I77" s="32">
        <v>0.18701899999999999</v>
      </c>
      <c r="K77">
        <f t="shared" si="2"/>
        <v>1.4025708050875441E-3</v>
      </c>
      <c r="L77">
        <f t="shared" si="3"/>
        <v>2.0572092523755771E-4</v>
      </c>
    </row>
    <row r="78" spans="1:12" x14ac:dyDescent="0.3">
      <c r="A78" s="28">
        <v>45967</v>
      </c>
      <c r="B78" s="29">
        <v>0.18673438900507899</v>
      </c>
      <c r="C78" s="29">
        <v>0.18677973066362799</v>
      </c>
      <c r="D78" s="29">
        <v>0.18675706</v>
      </c>
      <c r="E78" s="30">
        <v>3.1338999999999602E-4</v>
      </c>
      <c r="F78" s="30">
        <v>0.16808830248835599</v>
      </c>
      <c r="G78" s="30">
        <v>1.7471185814977499</v>
      </c>
      <c r="H78" s="29">
        <v>0.18675706</v>
      </c>
      <c r="I78" s="29">
        <v>0.18675706</v>
      </c>
      <c r="K78">
        <f t="shared" si="2"/>
        <v>1.6808830248835616E-3</v>
      </c>
      <c r="L78">
        <f t="shared" si="3"/>
        <v>2.4278417399051694E-4</v>
      </c>
    </row>
    <row r="79" spans="1:12" x14ac:dyDescent="0.3">
      <c r="A79" s="31">
        <v>45966</v>
      </c>
      <c r="B79" s="32">
        <v>0.18642108795346901</v>
      </c>
      <c r="C79" s="32">
        <v>0.18646627757370099</v>
      </c>
      <c r="D79" s="32">
        <v>0.18644367000000001</v>
      </c>
      <c r="E79" s="33">
        <v>6.0287999999999997E-4</v>
      </c>
      <c r="F79" s="33">
        <v>0.32440671394047199</v>
      </c>
      <c r="G79" s="33">
        <v>1.5763805676724401</v>
      </c>
      <c r="H79" s="32">
        <v>0.18644367000000001</v>
      </c>
      <c r="I79" s="32">
        <v>0.18644367000000001</v>
      </c>
      <c r="K79">
        <f t="shared" si="2"/>
        <v>3.2440671394047271E-3</v>
      </c>
      <c r="L79">
        <f t="shared" si="3"/>
        <v>2.4237680062818933E-4</v>
      </c>
    </row>
    <row r="80" spans="1:12" x14ac:dyDescent="0.3">
      <c r="A80" s="28">
        <v>45965</v>
      </c>
      <c r="B80" s="29">
        <v>0.185821796896776</v>
      </c>
      <c r="C80" s="29">
        <v>0.18585978737640299</v>
      </c>
      <c r="D80" s="29">
        <v>0.18584079000000001</v>
      </c>
      <c r="E80" s="30">
        <v>-7.4203999999999904E-4</v>
      </c>
      <c r="F80" s="30">
        <v>-0.39770004560440902</v>
      </c>
      <c r="G80" s="30">
        <v>1.2479254996262099</v>
      </c>
      <c r="H80" s="29">
        <v>0.18584079000000001</v>
      </c>
      <c r="I80" s="29">
        <v>0.18584079000000001</v>
      </c>
      <c r="K80">
        <f t="shared" si="2"/>
        <v>-3.9770004560440997E-3</v>
      </c>
      <c r="L80">
        <f t="shared" si="3"/>
        <v>2.0442487156340937E-4</v>
      </c>
    </row>
    <row r="81" spans="1:12" x14ac:dyDescent="0.3">
      <c r="A81" s="31">
        <v>45964</v>
      </c>
      <c r="B81" s="32">
        <v>0.18657064497472001</v>
      </c>
      <c r="C81" s="32">
        <v>0.18659501418122099</v>
      </c>
      <c r="D81" s="32">
        <v>0.18658283000000001</v>
      </c>
      <c r="E81" s="33">
        <v>8.8697000000001404E-4</v>
      </c>
      <c r="F81" s="33">
        <v>0.47764662066240798</v>
      </c>
      <c r="G81" s="33">
        <v>1.6521963307916501</v>
      </c>
      <c r="H81" s="32">
        <v>0.18658283000000001</v>
      </c>
      <c r="I81" s="32">
        <v>0.18658283000000001</v>
      </c>
      <c r="K81">
        <f t="shared" si="2"/>
        <v>4.7764662066240859E-3</v>
      </c>
      <c r="L81">
        <f t="shared" si="3"/>
        <v>1.3060797984991058E-4</v>
      </c>
    </row>
    <row r="82" spans="1:12" x14ac:dyDescent="0.3">
      <c r="A82" s="28">
        <v>45961</v>
      </c>
      <c r="B82" s="29">
        <v>0.185676885084576</v>
      </c>
      <c r="C82" s="29">
        <v>0.18571481632804701</v>
      </c>
      <c r="D82" s="29">
        <v>0.18569585999999999</v>
      </c>
      <c r="E82" s="30">
        <v>-2.7579999999999201E-5</v>
      </c>
      <c r="F82" s="30">
        <v>-1.48500372381676E-2</v>
      </c>
      <c r="G82" s="30">
        <v>1.16896618266107</v>
      </c>
      <c r="H82" s="29">
        <v>0.18569585999999999</v>
      </c>
      <c r="I82" s="29">
        <v>0.18569585999999999</v>
      </c>
      <c r="K82">
        <f t="shared" si="2"/>
        <v>-1.485003723816769E-4</v>
      </c>
      <c r="L82">
        <f t="shared" si="3"/>
        <v>2.042654234241527E-4</v>
      </c>
    </row>
    <row r="83" spans="1:12" x14ac:dyDescent="0.3">
      <c r="A83" s="31">
        <v>45960</v>
      </c>
      <c r="B83" s="32">
        <v>0.18571481632804701</v>
      </c>
      <c r="C83" s="32">
        <v>0.18573206292602301</v>
      </c>
      <c r="D83" s="32">
        <v>0.18572343999999999</v>
      </c>
      <c r="E83" s="33">
        <v>-1.34106E-3</v>
      </c>
      <c r="F83" s="33">
        <v>-0.71689711302785897</v>
      </c>
      <c r="G83" s="33">
        <v>1.18399204315854</v>
      </c>
      <c r="H83" s="32">
        <v>0.18572343999999999</v>
      </c>
      <c r="I83" s="32">
        <v>0.18572343999999999</v>
      </c>
      <c r="K83">
        <f t="shared" si="2"/>
        <v>-7.1689711302785897E-3</v>
      </c>
      <c r="L83">
        <f t="shared" si="3"/>
        <v>9.286171942540257E-5</v>
      </c>
    </row>
    <row r="84" spans="1:12" x14ac:dyDescent="0.3">
      <c r="A84" s="28">
        <v>45959</v>
      </c>
      <c r="B84" s="29">
        <v>0.18704524624506699</v>
      </c>
      <c r="C84" s="29">
        <v>0.18708373868143399</v>
      </c>
      <c r="D84" s="29">
        <v>0.18706449999999999</v>
      </c>
      <c r="E84" s="30">
        <v>5.4779999999998697E-4</v>
      </c>
      <c r="F84" s="30">
        <v>0.293700242391148</v>
      </c>
      <c r="G84" s="30">
        <v>1.9146149756726001</v>
      </c>
      <c r="H84" s="29">
        <v>0.18706449999999999</v>
      </c>
      <c r="I84" s="29">
        <v>0.18706449999999999</v>
      </c>
      <c r="K84">
        <f t="shared" si="2"/>
        <v>2.9370024239114834E-3</v>
      </c>
      <c r="L84">
        <f t="shared" si="3"/>
        <v>2.0577093124028969E-4</v>
      </c>
    </row>
    <row r="85" spans="1:12" x14ac:dyDescent="0.3">
      <c r="A85" s="31">
        <v>45958</v>
      </c>
      <c r="B85" s="32">
        <v>0.186508010519052</v>
      </c>
      <c r="C85" s="32">
        <v>0.18652540476012799</v>
      </c>
      <c r="D85" s="32">
        <v>0.18651670000000001</v>
      </c>
      <c r="E85" s="33">
        <v>5.7569000000001703E-4</v>
      </c>
      <c r="F85" s="33">
        <v>0.30960894533165101</v>
      </c>
      <c r="G85" s="33">
        <v>1.6161680438193</v>
      </c>
      <c r="H85" s="32">
        <v>0.18651670000000001</v>
      </c>
      <c r="I85" s="32">
        <v>0.18651670000000001</v>
      </c>
      <c r="K85">
        <f t="shared" si="2"/>
        <v>3.0960894533165195E-3</v>
      </c>
      <c r="L85">
        <f t="shared" si="3"/>
        <v>9.3258357433926336E-5</v>
      </c>
    </row>
    <row r="86" spans="1:12" x14ac:dyDescent="0.3">
      <c r="A86" s="28">
        <v>45957</v>
      </c>
      <c r="B86" s="29">
        <v>0.18591507399419899</v>
      </c>
      <c r="C86" s="29">
        <v>0.18596693507894299</v>
      </c>
      <c r="D86" s="29">
        <v>0.18594100999999999</v>
      </c>
      <c r="E86" s="30">
        <v>3.1238999999999502E-4</v>
      </c>
      <c r="F86" s="30">
        <v>0.16828762719887</v>
      </c>
      <c r="G86" s="30">
        <v>1.30252636036067</v>
      </c>
      <c r="H86" s="29">
        <v>0.18594100999999999</v>
      </c>
      <c r="I86" s="29">
        <v>0.18594100999999999</v>
      </c>
      <c r="K86">
        <f t="shared" si="2"/>
        <v>1.6828762719887091E-3</v>
      </c>
      <c r="L86">
        <f t="shared" si="3"/>
        <v>2.789114931881017E-4</v>
      </c>
    </row>
    <row r="87" spans="1:12" x14ac:dyDescent="0.3">
      <c r="A87" s="31">
        <v>45954</v>
      </c>
      <c r="B87" s="32">
        <v>0.185614849187935</v>
      </c>
      <c r="C87" s="32">
        <v>0.18564241557911201</v>
      </c>
      <c r="D87" s="32">
        <v>0.18562861999999999</v>
      </c>
      <c r="E87" s="33">
        <v>-1.3967000000000799E-4</v>
      </c>
      <c r="F87" s="33">
        <v>-7.5185059839877305E-2</v>
      </c>
      <c r="G87" s="33">
        <v>1.13233315656064</v>
      </c>
      <c r="H87" s="32">
        <v>0.18562861999999999</v>
      </c>
      <c r="I87" s="32">
        <v>0.18562861999999999</v>
      </c>
      <c r="K87">
        <f t="shared" si="2"/>
        <v>-7.5185059839877333E-4</v>
      </c>
      <c r="L87">
        <f t="shared" si="3"/>
        <v>1.4850291499777401E-4</v>
      </c>
    </row>
    <row r="88" spans="1:12" x14ac:dyDescent="0.3">
      <c r="A88" s="28">
        <v>45953</v>
      </c>
      <c r="B88" s="29">
        <v>0.18563552321372201</v>
      </c>
      <c r="C88" s="29">
        <v>0.18590124925639501</v>
      </c>
      <c r="D88" s="29">
        <v>0.18576829</v>
      </c>
      <c r="E88" s="30">
        <v>3.7195000000000901E-4</v>
      </c>
      <c r="F88" s="30">
        <v>0.20062424101792101</v>
      </c>
      <c r="G88" s="30">
        <v>1.20842677279276</v>
      </c>
      <c r="H88" s="29">
        <v>0.18576829</v>
      </c>
      <c r="I88" s="29">
        <v>0.18576829</v>
      </c>
      <c r="K88">
        <f t="shared" si="2"/>
        <v>2.0062424101792153E-3</v>
      </c>
      <c r="L88">
        <f t="shared" si="3"/>
        <v>1.4304165833307608E-3</v>
      </c>
    </row>
    <row r="89" spans="1:12" x14ac:dyDescent="0.3">
      <c r="A89" s="31">
        <v>45952</v>
      </c>
      <c r="B89" s="32">
        <v>0.18538086498711601</v>
      </c>
      <c r="C89" s="32">
        <v>0.185411799606927</v>
      </c>
      <c r="D89" s="32">
        <v>0.18539633999999999</v>
      </c>
      <c r="E89" s="33">
        <v>-2.7883000000000698E-4</v>
      </c>
      <c r="F89" s="33">
        <v>-0.15017086021787901</v>
      </c>
      <c r="G89" s="33">
        <v>1.0057846838865101</v>
      </c>
      <c r="H89" s="32">
        <v>0.18539633999999999</v>
      </c>
      <c r="I89" s="32">
        <v>0.18539633999999999</v>
      </c>
      <c r="K89">
        <f t="shared" si="2"/>
        <v>-1.5017086021787973E-3</v>
      </c>
      <c r="L89">
        <f t="shared" si="3"/>
        <v>1.6685669097346015E-4</v>
      </c>
    </row>
    <row r="90" spans="1:12" x14ac:dyDescent="0.3">
      <c r="A90" s="28">
        <v>45951</v>
      </c>
      <c r="B90" s="29">
        <v>0.185656201845423</v>
      </c>
      <c r="C90" s="29">
        <v>0.185694124637896</v>
      </c>
      <c r="D90" s="29">
        <v>0.18567517</v>
      </c>
      <c r="E90" s="30">
        <v>-2.5200999999999598E-4</v>
      </c>
      <c r="F90" s="30">
        <v>-0.135542312856029</v>
      </c>
      <c r="G90" s="30">
        <v>1.1576940632378501</v>
      </c>
      <c r="H90" s="29">
        <v>0.18567517</v>
      </c>
      <c r="I90" s="29">
        <v>0.18567517</v>
      </c>
      <c r="K90">
        <f t="shared" si="2"/>
        <v>-1.3554231285602958E-3</v>
      </c>
      <c r="L90">
        <f t="shared" si="3"/>
        <v>2.0424266999728439E-4</v>
      </c>
    </row>
    <row r="91" spans="1:12" x14ac:dyDescent="0.3">
      <c r="A91" s="31">
        <v>45950</v>
      </c>
      <c r="B91" s="32">
        <v>0.185908161368284</v>
      </c>
      <c r="C91" s="32">
        <v>0.185946187173432</v>
      </c>
      <c r="D91" s="32">
        <v>0.18592718</v>
      </c>
      <c r="E91" s="33">
        <v>1.7651099999999799E-3</v>
      </c>
      <c r="F91" s="33">
        <v>0.95845469156596796</v>
      </c>
      <c r="G91" s="33">
        <v>1.2949916377109201</v>
      </c>
      <c r="H91" s="32">
        <v>0.18592718</v>
      </c>
      <c r="I91" s="32">
        <v>0.18592718</v>
      </c>
      <c r="K91">
        <f t="shared" si="2"/>
        <v>9.5845469156596863E-3</v>
      </c>
      <c r="L91">
        <f t="shared" si="3"/>
        <v>2.045198832575254E-4</v>
      </c>
    </row>
    <row r="92" spans="1:12" x14ac:dyDescent="0.3">
      <c r="A92" s="28">
        <v>45947</v>
      </c>
      <c r="B92" s="29">
        <v>0.18414510634379899</v>
      </c>
      <c r="C92" s="29">
        <v>0.18417902200939301</v>
      </c>
      <c r="D92" s="29">
        <v>0.18416207000000001</v>
      </c>
      <c r="E92" s="30">
        <v>-1.56139999999999E-4</v>
      </c>
      <c r="F92" s="30">
        <v>-8.4712194199365598E-2</v>
      </c>
      <c r="G92" s="30">
        <v>0.333342013973083</v>
      </c>
      <c r="H92" s="29">
        <v>0.18416207000000001</v>
      </c>
      <c r="I92" s="29">
        <v>0.18416207000000001</v>
      </c>
      <c r="K92">
        <f t="shared" si="2"/>
        <v>-8.4712194199365598E-4</v>
      </c>
      <c r="L92">
        <f t="shared" si="3"/>
        <v>1.8416205679062911E-4</v>
      </c>
    </row>
    <row r="93" spans="1:12" x14ac:dyDescent="0.3">
      <c r="A93" s="31">
        <v>45946</v>
      </c>
      <c r="B93" s="32">
        <v>0.18430461867374401</v>
      </c>
      <c r="C93" s="32">
        <v>0.18433179723502299</v>
      </c>
      <c r="D93" s="32">
        <v>0.18431821000000001</v>
      </c>
      <c r="E93" s="33">
        <v>3.69560000000018E-4</v>
      </c>
      <c r="F93" s="33">
        <v>0.20090389355944499</v>
      </c>
      <c r="G93" s="33">
        <v>0.41840865132170502</v>
      </c>
      <c r="H93" s="32">
        <v>0.18431821000000001</v>
      </c>
      <c r="I93" s="32">
        <v>0.18431821000000001</v>
      </c>
      <c r="K93">
        <f t="shared" si="2"/>
        <v>2.0090389355944538E-3</v>
      </c>
      <c r="L93">
        <f t="shared" si="3"/>
        <v>1.474545639249878E-4</v>
      </c>
    </row>
    <row r="94" spans="1:12" x14ac:dyDescent="0.3">
      <c r="A94" s="28">
        <v>45945</v>
      </c>
      <c r="B94" s="29">
        <v>0.18393510769400601</v>
      </c>
      <c r="C94" s="29">
        <v>0.183962177376331</v>
      </c>
      <c r="D94" s="29">
        <v>0.18394864999999999</v>
      </c>
      <c r="E94" s="30">
        <v>2.15029999999999E-3</v>
      </c>
      <c r="F94" s="30">
        <v>1.1827940132569801</v>
      </c>
      <c r="G94" s="30">
        <v>0.21706865837589501</v>
      </c>
      <c r="H94" s="29">
        <v>0.18394864999999999</v>
      </c>
      <c r="I94" s="29">
        <v>0.18394864999999999</v>
      </c>
      <c r="K94">
        <f t="shared" si="2"/>
        <v>1.1827940132569825E-2</v>
      </c>
      <c r="L94">
        <f t="shared" si="3"/>
        <v>1.4715890725478409E-4</v>
      </c>
    </row>
    <row r="95" spans="1:12" x14ac:dyDescent="0.3">
      <c r="A95" s="31">
        <v>45944</v>
      </c>
      <c r="B95" s="32">
        <v>0.18178182545309099</v>
      </c>
      <c r="C95" s="32">
        <v>0.18181487609316199</v>
      </c>
      <c r="D95" s="32">
        <v>0.18179835</v>
      </c>
      <c r="E95" s="33">
        <v>-1.5987E-3</v>
      </c>
      <c r="F95" s="33">
        <v>-0.871715221155411</v>
      </c>
      <c r="G95" s="33">
        <v>-0.95443633900301905</v>
      </c>
      <c r="H95" s="32">
        <v>0.18179835</v>
      </c>
      <c r="I95" s="32">
        <v>0.18179835</v>
      </c>
      <c r="K95">
        <f t="shared" si="2"/>
        <v>-8.7171522115541134E-3</v>
      </c>
      <c r="L95">
        <f t="shared" si="3"/>
        <v>1.8179835004554712E-4</v>
      </c>
    </row>
    <row r="96" spans="1:12" x14ac:dyDescent="0.3">
      <c r="A96" s="28">
        <v>45943</v>
      </c>
      <c r="B96" s="29">
        <v>0.183368478958467</v>
      </c>
      <c r="C96" s="29">
        <v>0.183425657580982</v>
      </c>
      <c r="D96" s="29">
        <v>0.18339705000000001</v>
      </c>
      <c r="E96" s="30">
        <v>5.0440000000012697E-5</v>
      </c>
      <c r="F96" s="30">
        <v>2.75107349953174E-2</v>
      </c>
      <c r="G96" s="30">
        <v>-8.3448551573504101E-2</v>
      </c>
      <c r="H96" s="29">
        <v>0.18339705000000001</v>
      </c>
      <c r="I96" s="29">
        <v>0.18339705000000001</v>
      </c>
      <c r="K96">
        <f t="shared" si="2"/>
        <v>2.7510734995317421E-4</v>
      </c>
      <c r="L96">
        <f t="shared" si="3"/>
        <v>3.1177503953854673E-4</v>
      </c>
    </row>
    <row r="97" spans="1:12" x14ac:dyDescent="0.3">
      <c r="A97" s="31">
        <v>45940</v>
      </c>
      <c r="B97" s="32">
        <v>0.18332477817701801</v>
      </c>
      <c r="C97" s="32">
        <v>0.183368478958467</v>
      </c>
      <c r="D97" s="32">
        <v>0.18334660999999999</v>
      </c>
      <c r="E97" s="33">
        <v>-3.0953299999999999E-3</v>
      </c>
      <c r="F97" s="33">
        <v>-1.6602112164248</v>
      </c>
      <c r="G97" s="33">
        <v>-0.110928769249087</v>
      </c>
      <c r="H97" s="32">
        <v>0.18334660999999999</v>
      </c>
      <c r="I97" s="32">
        <v>0.18334660999999999</v>
      </c>
      <c r="K97">
        <f t="shared" si="2"/>
        <v>-1.6602112164248006E-2</v>
      </c>
      <c r="L97">
        <f t="shared" si="3"/>
        <v>2.3835063789287664E-4</v>
      </c>
    </row>
    <row r="98" spans="1:12" x14ac:dyDescent="0.3">
      <c r="A98" s="28">
        <v>45939</v>
      </c>
      <c r="B98" s="29">
        <v>0.18641761273605101</v>
      </c>
      <c r="C98" s="29">
        <v>0.18646627757370099</v>
      </c>
      <c r="D98" s="29">
        <v>0.18644194</v>
      </c>
      <c r="E98" s="30">
        <v>-5.6658000000001096E-4</v>
      </c>
      <c r="F98" s="30">
        <v>-0.30297015344542499</v>
      </c>
      <c r="G98" s="30">
        <v>1.5754380463286899</v>
      </c>
      <c r="H98" s="29">
        <v>0.18644194</v>
      </c>
      <c r="I98" s="29">
        <v>0.18644194</v>
      </c>
      <c r="K98">
        <f t="shared" si="2"/>
        <v>-3.0297015344542544E-3</v>
      </c>
      <c r="L98">
        <f t="shared" si="3"/>
        <v>2.6101872599041277E-4</v>
      </c>
    </row>
    <row r="99" spans="1:12" x14ac:dyDescent="0.3">
      <c r="A99" s="31">
        <v>45938</v>
      </c>
      <c r="B99" s="32">
        <v>0.18698928551394001</v>
      </c>
      <c r="C99" s="32">
        <v>0.18702775491883</v>
      </c>
      <c r="D99" s="32">
        <v>0.18700852000000001</v>
      </c>
      <c r="E99" s="33">
        <v>-3.5739999999997898E-4</v>
      </c>
      <c r="F99" s="33">
        <v>-0.19074973719872501</v>
      </c>
      <c r="G99" s="33">
        <v>1.88411651045693</v>
      </c>
      <c r="H99" s="32">
        <v>0.18700852000000001</v>
      </c>
      <c r="I99" s="32">
        <v>0.18700852000000001</v>
      </c>
      <c r="K99">
        <f t="shared" si="2"/>
        <v>-1.9074973719872546E-3</v>
      </c>
      <c r="L99">
        <f t="shared" si="3"/>
        <v>2.0570937030032555E-4</v>
      </c>
    </row>
    <row r="100" spans="1:12" x14ac:dyDescent="0.3">
      <c r="A100" s="28">
        <v>45937</v>
      </c>
      <c r="B100" s="29">
        <v>0.18734310015362099</v>
      </c>
      <c r="C100" s="29">
        <v>0.18738873793685001</v>
      </c>
      <c r="D100" s="29">
        <v>0.18736591999999999</v>
      </c>
      <c r="E100" s="30">
        <v>-5.1396000000000699E-4</v>
      </c>
      <c r="F100" s="30">
        <v>-0.27355776467390402</v>
      </c>
      <c r="G100" s="30">
        <v>2.0788316134952001</v>
      </c>
      <c r="H100" s="29">
        <v>0.18736591999999999</v>
      </c>
      <c r="I100" s="29">
        <v>0.18736591999999999</v>
      </c>
      <c r="K100">
        <f t="shared" si="2"/>
        <v>-2.7355776467390402E-3</v>
      </c>
      <c r="L100">
        <f t="shared" si="3"/>
        <v>2.4357568990681153E-4</v>
      </c>
    </row>
    <row r="101" spans="1:12" x14ac:dyDescent="0.3">
      <c r="A101" s="31">
        <v>45936</v>
      </c>
      <c r="B101" s="32">
        <v>0.18786045725235301</v>
      </c>
      <c r="C101" s="32">
        <v>0.18789928598271299</v>
      </c>
      <c r="D101" s="32">
        <v>0.18787988</v>
      </c>
      <c r="E101" s="33">
        <v>1.1646600000000101E-3</v>
      </c>
      <c r="F101" s="33">
        <v>0.62376275485203003</v>
      </c>
      <c r="G101" s="33">
        <v>2.3588421740927399</v>
      </c>
      <c r="H101" s="32">
        <v>0.18787988</v>
      </c>
      <c r="I101" s="32">
        <v>0.18787988</v>
      </c>
      <c r="K101">
        <f t="shared" si="2"/>
        <v>6.2376275485203081E-3</v>
      </c>
      <c r="L101">
        <f t="shared" si="3"/>
        <v>2.0666784735004869E-4</v>
      </c>
    </row>
    <row r="102" spans="1:12" x14ac:dyDescent="0.3">
      <c r="A102" s="28">
        <v>45933</v>
      </c>
      <c r="B102" s="29">
        <v>0.186706497386109</v>
      </c>
      <c r="C102" s="29">
        <v>0.18672392867145901</v>
      </c>
      <c r="D102" s="29">
        <v>0.18671521999999999</v>
      </c>
      <c r="E102" s="30">
        <v>-2.7930000000000999E-4</v>
      </c>
      <c r="F102" s="30">
        <v>-0.149362665815022</v>
      </c>
      <c r="G102" s="30">
        <v>1.7243237300396499</v>
      </c>
      <c r="H102" s="29">
        <v>0.18671521999999999</v>
      </c>
      <c r="I102" s="29">
        <v>0.18671521999999999</v>
      </c>
      <c r="K102">
        <f t="shared" si="2"/>
        <v>-1.4936266581502267E-3</v>
      </c>
      <c r="L102">
        <f t="shared" si="3"/>
        <v>9.3357602824268009E-5</v>
      </c>
    </row>
    <row r="103" spans="1:12" x14ac:dyDescent="0.3">
      <c r="A103" s="31">
        <v>45932</v>
      </c>
      <c r="B103" s="32">
        <v>0.18696830887164601</v>
      </c>
      <c r="C103" s="32">
        <v>0.187020759304283</v>
      </c>
      <c r="D103" s="32">
        <v>0.18699452</v>
      </c>
      <c r="E103" s="33">
        <v>-9.5597E-4</v>
      </c>
      <c r="F103" s="33">
        <v>-0.50862862874153603</v>
      </c>
      <c r="G103" s="33">
        <v>1.8764891701028801</v>
      </c>
      <c r="H103" s="32">
        <v>0.18699452</v>
      </c>
      <c r="I103" s="32">
        <v>0.18699452</v>
      </c>
      <c r="K103">
        <f t="shared" si="2"/>
        <v>-5.0862862874153647E-3</v>
      </c>
      <c r="L103">
        <f t="shared" si="3"/>
        <v>2.8049181674944928E-4</v>
      </c>
    </row>
    <row r="104" spans="1:12" x14ac:dyDescent="0.3">
      <c r="A104" s="28">
        <v>45931</v>
      </c>
      <c r="B104" s="29">
        <v>0.18792400353297101</v>
      </c>
      <c r="C104" s="29">
        <v>0.187976991616226</v>
      </c>
      <c r="D104" s="29">
        <v>0.18795049</v>
      </c>
      <c r="E104" s="30">
        <v>1.76459999999989E-4</v>
      </c>
      <c r="F104" s="30">
        <v>9.3974656665785E-2</v>
      </c>
      <c r="G104" s="30">
        <v>2.39731120997839</v>
      </c>
      <c r="H104" s="29">
        <v>0.18795049</v>
      </c>
      <c r="I104" s="29">
        <v>0.18795049</v>
      </c>
      <c r="K104">
        <f t="shared" si="2"/>
        <v>9.3974656665785083E-4</v>
      </c>
      <c r="L104">
        <f t="shared" si="3"/>
        <v>2.8192575212222136E-4</v>
      </c>
    </row>
    <row r="105" spans="1:12" x14ac:dyDescent="0.3">
      <c r="A105" s="31">
        <v>45930</v>
      </c>
      <c r="B105" s="32">
        <v>0.18775816748028501</v>
      </c>
      <c r="C105" s="32">
        <v>0.187789900659143</v>
      </c>
      <c r="D105" s="32">
        <v>0.18777403000000001</v>
      </c>
      <c r="E105" s="33">
        <v>-4.05699999999897E-5</v>
      </c>
      <c r="F105" s="33">
        <v>-2.16010895851548E-2</v>
      </c>
      <c r="G105" s="33">
        <v>2.3011740329158998</v>
      </c>
      <c r="H105" s="32">
        <v>0.18777403000000001</v>
      </c>
      <c r="I105" s="32">
        <v>0.18777403000000001</v>
      </c>
      <c r="K105">
        <f t="shared" si="2"/>
        <v>-2.1601089585154831E-4</v>
      </c>
      <c r="L105">
        <f t="shared" si="3"/>
        <v>1.6899663312328113E-4</v>
      </c>
    </row>
    <row r="106" spans="1:12" x14ac:dyDescent="0.3">
      <c r="A106" s="28">
        <v>45929</v>
      </c>
      <c r="B106" s="29">
        <v>0.18779695393340701</v>
      </c>
      <c r="C106" s="29">
        <v>0.187832228253724</v>
      </c>
      <c r="D106" s="29">
        <v>0.1878146</v>
      </c>
      <c r="E106" s="30">
        <v>7.9908000000000702E-4</v>
      </c>
      <c r="F106" s="30">
        <v>0.42728004606249398</v>
      </c>
      <c r="G106" s="30">
        <v>2.3232769756418699</v>
      </c>
      <c r="H106" s="29">
        <v>0.1878146</v>
      </c>
      <c r="I106" s="29">
        <v>0.1878146</v>
      </c>
      <c r="K106">
        <f t="shared" si="2"/>
        <v>4.2728004606249481E-3</v>
      </c>
      <c r="L106">
        <f t="shared" si="3"/>
        <v>1.8781458053312658E-4</v>
      </c>
    </row>
    <row r="107" spans="1:12" x14ac:dyDescent="0.3">
      <c r="A107" s="31">
        <v>45926</v>
      </c>
      <c r="B107" s="32">
        <v>0.18698928551394001</v>
      </c>
      <c r="C107" s="32">
        <v>0.18704174771809101</v>
      </c>
      <c r="D107" s="32">
        <v>0.18701551999999999</v>
      </c>
      <c r="E107" s="33">
        <v>1.6948999999999399E-4</v>
      </c>
      <c r="F107" s="33">
        <v>9.0711052303338299E-2</v>
      </c>
      <c r="G107" s="33">
        <v>1.8879301806339399</v>
      </c>
      <c r="H107" s="32">
        <v>0.18701551999999999</v>
      </c>
      <c r="I107" s="32">
        <v>0.18701551999999999</v>
      </c>
      <c r="K107">
        <f t="shared" si="2"/>
        <v>9.0711052303338313E-4</v>
      </c>
      <c r="L107">
        <f t="shared" si="3"/>
        <v>2.8052326433124257E-4</v>
      </c>
    </row>
    <row r="108" spans="1:12" x14ac:dyDescent="0.3">
      <c r="A108" s="28">
        <v>45925</v>
      </c>
      <c r="B108" s="29">
        <v>0.18682509434667299</v>
      </c>
      <c r="C108" s="29">
        <v>0.18686698807788599</v>
      </c>
      <c r="D108" s="29">
        <v>0.18684603</v>
      </c>
      <c r="E108" s="30">
        <v>-1.53286999999999E-3</v>
      </c>
      <c r="F108" s="30">
        <v>-0.81371639817410202</v>
      </c>
      <c r="G108" s="30">
        <v>1.79559032944771</v>
      </c>
      <c r="H108" s="29">
        <v>0.18684603</v>
      </c>
      <c r="I108" s="29">
        <v>0.18684603</v>
      </c>
      <c r="K108">
        <f t="shared" si="2"/>
        <v>-8.1371639817410246E-3</v>
      </c>
      <c r="L108">
        <f t="shared" si="3"/>
        <v>2.2421526008871643E-4</v>
      </c>
    </row>
    <row r="109" spans="1:12" x14ac:dyDescent="0.3">
      <c r="A109" s="31">
        <v>45924</v>
      </c>
      <c r="B109" s="32">
        <v>0.188362937708376</v>
      </c>
      <c r="C109" s="32">
        <v>0.18839487565938201</v>
      </c>
      <c r="D109" s="32">
        <v>0.18837889999999999</v>
      </c>
      <c r="E109" s="33">
        <v>-4.46420000000002E-4</v>
      </c>
      <c r="F109" s="33">
        <v>-0.23641956491852101</v>
      </c>
      <c r="G109" s="33">
        <v>2.6307132729124501</v>
      </c>
      <c r="H109" s="32">
        <v>0.18837889999999999</v>
      </c>
      <c r="I109" s="32">
        <v>0.18837889999999999</v>
      </c>
      <c r="K109">
        <f t="shared" si="2"/>
        <v>-2.364195649185219E-3</v>
      </c>
      <c r="L109">
        <f t="shared" si="3"/>
        <v>1.6954102081499482E-4</v>
      </c>
    </row>
    <row r="110" spans="1:12" x14ac:dyDescent="0.3">
      <c r="A110" s="28">
        <v>45923</v>
      </c>
      <c r="B110" s="29">
        <v>0.188796798006306</v>
      </c>
      <c r="C110" s="29">
        <v>0.18885384600857399</v>
      </c>
      <c r="D110" s="29">
        <v>0.18882531999999999</v>
      </c>
      <c r="E110" s="30">
        <v>2.06302999999999E-3</v>
      </c>
      <c r="F110" s="30">
        <v>1.10462877704058</v>
      </c>
      <c r="G110" s="30">
        <v>2.8739273644019598</v>
      </c>
      <c r="H110" s="29">
        <v>0.18882531999999999</v>
      </c>
      <c r="I110" s="29">
        <v>0.18882531999999999</v>
      </c>
      <c r="K110">
        <f t="shared" si="2"/>
        <v>1.1046287770405838E-2</v>
      </c>
      <c r="L110">
        <f t="shared" si="3"/>
        <v>3.0212051152883173E-4</v>
      </c>
    </row>
    <row r="111" spans="1:12" x14ac:dyDescent="0.3">
      <c r="A111" s="31">
        <v>45922</v>
      </c>
      <c r="B111" s="32">
        <v>0.18674833793979201</v>
      </c>
      <c r="C111" s="32">
        <v>0.18677624206200999</v>
      </c>
      <c r="D111" s="32">
        <v>0.18676229</v>
      </c>
      <c r="E111" s="33">
        <v>-1.2482699999999899E-3</v>
      </c>
      <c r="F111" s="33">
        <v>-0.66393611082270398</v>
      </c>
      <c r="G111" s="33">
        <v>1.7499679379300099</v>
      </c>
      <c r="H111" s="32">
        <v>0.18676229</v>
      </c>
      <c r="I111" s="32">
        <v>0.18676229</v>
      </c>
      <c r="K111">
        <f t="shared" si="2"/>
        <v>-6.6393611082270487E-3</v>
      </c>
      <c r="L111">
        <f t="shared" si="3"/>
        <v>1.4940983117084824E-4</v>
      </c>
    </row>
    <row r="112" spans="1:12" x14ac:dyDescent="0.3">
      <c r="A112" s="28">
        <v>45919</v>
      </c>
      <c r="B112" s="29">
        <v>0.18798405895180101</v>
      </c>
      <c r="C112" s="29">
        <v>0.18803708091235599</v>
      </c>
      <c r="D112" s="29">
        <v>0.18801055999999999</v>
      </c>
      <c r="E112" s="30">
        <v>-5.99290000000002E-4</v>
      </c>
      <c r="F112" s="30">
        <v>-0.31774056339051099</v>
      </c>
      <c r="G112" s="30">
        <v>2.4300379481975001</v>
      </c>
      <c r="H112" s="29">
        <v>0.18801055999999999</v>
      </c>
      <c r="I112" s="29">
        <v>0.18801055999999999</v>
      </c>
      <c r="K112">
        <f t="shared" si="2"/>
        <v>-3.1774056339051171E-3</v>
      </c>
      <c r="L112">
        <f t="shared" si="3"/>
        <v>2.8201586418860245E-4</v>
      </c>
    </row>
    <row r="113" spans="1:12" x14ac:dyDescent="0.3">
      <c r="A113" s="31">
        <v>45918</v>
      </c>
      <c r="B113" s="32">
        <v>0.188590287600189</v>
      </c>
      <c r="C113" s="32">
        <v>0.18862941864413199</v>
      </c>
      <c r="D113" s="32">
        <v>0.18860985</v>
      </c>
      <c r="E113" s="33">
        <v>1.2449999999997101E-5</v>
      </c>
      <c r="F113" s="33">
        <v>6.6013635394712696E-3</v>
      </c>
      <c r="G113" s="33">
        <v>2.7565371482529399</v>
      </c>
      <c r="H113" s="32">
        <v>0.18860985</v>
      </c>
      <c r="I113" s="32">
        <v>0.18860985</v>
      </c>
      <c r="K113">
        <f t="shared" si="2"/>
        <v>6.6013635394712722E-5</v>
      </c>
      <c r="L113">
        <f t="shared" si="3"/>
        <v>2.0747083963528916E-4</v>
      </c>
    </row>
    <row r="114" spans="1:12" x14ac:dyDescent="0.3">
      <c r="A114" s="28">
        <v>45917</v>
      </c>
      <c r="B114" s="29">
        <v>0.18857606215466999</v>
      </c>
      <c r="C114" s="29">
        <v>0.188618744930871</v>
      </c>
      <c r="D114" s="29">
        <v>0.1885974</v>
      </c>
      <c r="E114" s="30">
        <v>3.4263000000000999E-4</v>
      </c>
      <c r="F114" s="30">
        <v>0.18200335640898799</v>
      </c>
      <c r="G114" s="30">
        <v>2.7497542634381</v>
      </c>
      <c r="H114" s="29">
        <v>0.1885974</v>
      </c>
      <c r="I114" s="29">
        <v>0.1885974</v>
      </c>
      <c r="K114">
        <f t="shared" si="2"/>
        <v>1.8200335640898846E-3</v>
      </c>
      <c r="L114">
        <f t="shared" si="3"/>
        <v>2.2631688560398216E-4</v>
      </c>
    </row>
    <row r="115" spans="1:12" x14ac:dyDescent="0.3">
      <c r="A115" s="31">
        <v>45916</v>
      </c>
      <c r="B115" s="32">
        <v>0.18822112217433001</v>
      </c>
      <c r="C115" s="32">
        <v>0.18828845791752999</v>
      </c>
      <c r="D115" s="32">
        <v>0.18825476999999999</v>
      </c>
      <c r="E115" s="33">
        <v>1.7348999999999799E-4</v>
      </c>
      <c r="F115" s="33">
        <v>9.2242034932987702E-2</v>
      </c>
      <c r="G115" s="33">
        <v>2.5630860044733201</v>
      </c>
      <c r="H115" s="32">
        <v>0.18825476999999999</v>
      </c>
      <c r="I115" s="32">
        <v>0.18825476999999999</v>
      </c>
      <c r="K115">
        <f t="shared" si="2"/>
        <v>9.2242034932987771E-4</v>
      </c>
      <c r="L115">
        <f t="shared" si="3"/>
        <v>3.5768412773804078E-4</v>
      </c>
    </row>
    <row r="116" spans="1:12" x14ac:dyDescent="0.3">
      <c r="A116" s="28">
        <v>45915</v>
      </c>
      <c r="B116" s="29">
        <v>0.18806537152314101</v>
      </c>
      <c r="C116" s="29">
        <v>0.18809720863742399</v>
      </c>
      <c r="D116" s="29">
        <v>0.18808127999999999</v>
      </c>
      <c r="E116" s="30">
        <v>1.62890999999998E-3</v>
      </c>
      <c r="F116" s="30">
        <v>0.87363330377618897</v>
      </c>
      <c r="G116" s="30">
        <v>2.4685669131859398</v>
      </c>
      <c r="H116" s="29">
        <v>0.18808127999999999</v>
      </c>
      <c r="I116" s="29">
        <v>0.18808127999999999</v>
      </c>
      <c r="K116">
        <f t="shared" si="2"/>
        <v>8.7363330377618897E-3</v>
      </c>
      <c r="L116">
        <f t="shared" si="3"/>
        <v>1.6927316893514737E-4</v>
      </c>
    </row>
    <row r="117" spans="1:12" x14ac:dyDescent="0.3">
      <c r="A117" s="31">
        <v>45912</v>
      </c>
      <c r="B117" s="32">
        <v>0.186431514383191</v>
      </c>
      <c r="C117" s="32">
        <v>0.18647323176757999</v>
      </c>
      <c r="D117" s="32">
        <v>0.18645237000000001</v>
      </c>
      <c r="E117" s="33">
        <v>6.3230000000000198E-4</v>
      </c>
      <c r="F117" s="33">
        <v>0.34027540727974398</v>
      </c>
      <c r="G117" s="33">
        <v>1.58112041489245</v>
      </c>
      <c r="H117" s="32">
        <v>0.18645237000000001</v>
      </c>
      <c r="I117" s="32">
        <v>0.18645237000000001</v>
      </c>
      <c r="K117">
        <f t="shared" si="2"/>
        <v>3.4027540727974426E-3</v>
      </c>
      <c r="L117">
        <f t="shared" si="3"/>
        <v>2.2374284858374033E-4</v>
      </c>
    </row>
    <row r="118" spans="1:12" x14ac:dyDescent="0.3">
      <c r="A118" s="28">
        <v>45911</v>
      </c>
      <c r="B118" s="29">
        <v>0.18580108136229401</v>
      </c>
      <c r="C118" s="29">
        <v>0.18583906337112099</v>
      </c>
      <c r="D118" s="29">
        <v>0.18582007</v>
      </c>
      <c r="E118" s="30">
        <v>8.3015999999999602E-4</v>
      </c>
      <c r="F118" s="30">
        <v>0.44875961072687798</v>
      </c>
      <c r="G118" s="30">
        <v>1.2366370359022201</v>
      </c>
      <c r="H118" s="29">
        <v>0.18582007</v>
      </c>
      <c r="I118" s="29">
        <v>0.18582007</v>
      </c>
      <c r="K118">
        <f t="shared" si="2"/>
        <v>4.4875961072687875E-3</v>
      </c>
      <c r="L118">
        <f t="shared" si="3"/>
        <v>2.0440208007125742E-4</v>
      </c>
    </row>
    <row r="119" spans="1:12" x14ac:dyDescent="0.3">
      <c r="A119" s="31">
        <v>45910</v>
      </c>
      <c r="B119" s="32">
        <v>0.18496596626220799</v>
      </c>
      <c r="C119" s="32">
        <v>0.18501387604070299</v>
      </c>
      <c r="D119" s="32">
        <v>0.18498991000000001</v>
      </c>
      <c r="E119" s="33">
        <v>6.4280999999999301E-4</v>
      </c>
      <c r="F119" s="33">
        <v>0.34869547717322202</v>
      </c>
      <c r="G119" s="33">
        <v>0.78435754530832003</v>
      </c>
      <c r="H119" s="32">
        <v>0.18498991000000001</v>
      </c>
      <c r="I119" s="32">
        <v>0.18498991000000001</v>
      </c>
      <c r="K119">
        <f t="shared" si="2"/>
        <v>3.4869547717322202E-3</v>
      </c>
      <c r="L119">
        <f t="shared" si="3"/>
        <v>2.5898590087969299E-4</v>
      </c>
    </row>
    <row r="120" spans="1:12" x14ac:dyDescent="0.3">
      <c r="A120" s="28">
        <v>45909</v>
      </c>
      <c r="B120" s="29">
        <v>0.184328399476507</v>
      </c>
      <c r="C120" s="29">
        <v>0.184365781710914</v>
      </c>
      <c r="D120" s="29">
        <v>0.18434710000000001</v>
      </c>
      <c r="E120" s="30">
        <v>4.6273000000002202E-4</v>
      </c>
      <c r="F120" s="30">
        <v>0.25164183339780799</v>
      </c>
      <c r="G120" s="30">
        <v>0.43414821295230599</v>
      </c>
      <c r="H120" s="29">
        <v>0.18434710000000001</v>
      </c>
      <c r="I120" s="29">
        <v>0.18434710000000001</v>
      </c>
      <c r="K120">
        <f t="shared" si="2"/>
        <v>2.5164183339780877E-3</v>
      </c>
      <c r="L120">
        <f t="shared" si="3"/>
        <v>2.0278178722093421E-4</v>
      </c>
    </row>
    <row r="121" spans="1:12" x14ac:dyDescent="0.3">
      <c r="A121" s="31">
        <v>45908</v>
      </c>
      <c r="B121" s="32">
        <v>0.183864087666397</v>
      </c>
      <c r="C121" s="32">
        <v>0.18390466382227499</v>
      </c>
      <c r="D121" s="32">
        <v>0.18388436999999999</v>
      </c>
      <c r="E121" s="33">
        <v>-1.00636000000001E-3</v>
      </c>
      <c r="F121" s="33">
        <v>-0.54429986836008704</v>
      </c>
      <c r="G121" s="33">
        <v>0.182048269950319</v>
      </c>
      <c r="H121" s="32">
        <v>0.18388436999999999</v>
      </c>
      <c r="I121" s="32">
        <v>0.18388436999999999</v>
      </c>
      <c r="K121">
        <f t="shared" si="2"/>
        <v>-5.4429986836008748E-3</v>
      </c>
      <c r="L121">
        <f t="shared" si="3"/>
        <v>2.2066125510282125E-4</v>
      </c>
    </row>
    <row r="122" spans="1:12" x14ac:dyDescent="0.3">
      <c r="A122" s="28">
        <v>45905</v>
      </c>
      <c r="B122" s="29">
        <v>0.18487705675725599</v>
      </c>
      <c r="C122" s="29">
        <v>0.184904404422913</v>
      </c>
      <c r="D122" s="29">
        <v>0.18489073</v>
      </c>
      <c r="E122" s="30">
        <v>1.7757700000000001E-3</v>
      </c>
      <c r="F122" s="30">
        <v>0.96975692209966202</v>
      </c>
      <c r="G122" s="30">
        <v>0.73032328700015503</v>
      </c>
      <c r="H122" s="29">
        <v>0.18489073</v>
      </c>
      <c r="I122" s="29">
        <v>0.18489073</v>
      </c>
      <c r="K122">
        <f t="shared" si="2"/>
        <v>9.6975692209966269E-3</v>
      </c>
      <c r="L122">
        <f t="shared" si="3"/>
        <v>1.4791258413557364E-4</v>
      </c>
    </row>
    <row r="123" spans="1:12" x14ac:dyDescent="0.3">
      <c r="A123" s="31">
        <v>45904</v>
      </c>
      <c r="B123" s="32">
        <v>0.18309988098507701</v>
      </c>
      <c r="C123" s="32">
        <v>0.18313005896787901</v>
      </c>
      <c r="D123" s="32">
        <v>0.18311495999999999</v>
      </c>
      <c r="E123" s="33">
        <v>-6.4102000000001904E-4</v>
      </c>
      <c r="F123" s="33">
        <v>-0.34884306894394901</v>
      </c>
      <c r="G123" s="33">
        <v>-0.23713401160728201</v>
      </c>
      <c r="H123" s="32">
        <v>0.18311495999999999</v>
      </c>
      <c r="I123" s="32">
        <v>0.18311495999999999</v>
      </c>
      <c r="K123">
        <f t="shared" si="2"/>
        <v>-3.4884306894394923E-3</v>
      </c>
      <c r="L123">
        <f t="shared" si="3"/>
        <v>1.6480348084066312E-4</v>
      </c>
    </row>
    <row r="124" spans="1:12" x14ac:dyDescent="0.3">
      <c r="A124" s="28">
        <v>45903</v>
      </c>
      <c r="B124" s="29">
        <v>0.183739090491502</v>
      </c>
      <c r="C124" s="29">
        <v>0.18377285674905799</v>
      </c>
      <c r="D124" s="29">
        <v>0.18375598000000001</v>
      </c>
      <c r="E124" s="30">
        <v>5.4371000000000204E-4</v>
      </c>
      <c r="F124" s="30">
        <v>0.29676505836644301</v>
      </c>
      <c r="G124" s="30">
        <v>0.112100110803477</v>
      </c>
      <c r="H124" s="29">
        <v>0.18375598000000001</v>
      </c>
      <c r="I124" s="29">
        <v>0.18375598000000001</v>
      </c>
      <c r="K124">
        <f t="shared" si="2"/>
        <v>2.9676505836644385E-3</v>
      </c>
      <c r="L124">
        <f t="shared" si="3"/>
        <v>1.8375596568881696E-4</v>
      </c>
    </row>
    <row r="125" spans="1:12" x14ac:dyDescent="0.3">
      <c r="A125" s="31">
        <v>45902</v>
      </c>
      <c r="B125" s="32">
        <v>0.183200512961436</v>
      </c>
      <c r="C125" s="32">
        <v>0.183224009674228</v>
      </c>
      <c r="D125" s="32">
        <v>0.18321227000000001</v>
      </c>
      <c r="E125" s="33">
        <v>-5.8255999999998198E-4</v>
      </c>
      <c r="F125" s="33">
        <v>-0.31696212564846699</v>
      </c>
      <c r="G125" s="33">
        <v>-0.18411854804640099</v>
      </c>
      <c r="H125" s="32">
        <v>0.18321227000000001</v>
      </c>
      <c r="I125" s="32">
        <v>0.18321227000000001</v>
      </c>
      <c r="K125">
        <f t="shared" si="2"/>
        <v>-3.1696212564846782E-3</v>
      </c>
      <c r="L125">
        <f t="shared" si="3"/>
        <v>1.2824857632080986E-4</v>
      </c>
    </row>
    <row r="126" spans="1:12" x14ac:dyDescent="0.3">
      <c r="A126" s="28">
        <v>45901</v>
      </c>
      <c r="B126" s="29">
        <v>0.18377961148990099</v>
      </c>
      <c r="C126" s="29">
        <v>0.18381001396956101</v>
      </c>
      <c r="D126" s="29">
        <v>0.18379482999999999</v>
      </c>
      <c r="E126" s="30">
        <v>-4.3170000000000702E-4</v>
      </c>
      <c r="F126" s="30">
        <v>-0.23433107055753599</v>
      </c>
      <c r="G126" s="30">
        <v>0.133265980285943</v>
      </c>
      <c r="H126" s="29">
        <v>0.18379482999999999</v>
      </c>
      <c r="I126" s="29">
        <v>0.18379482999999999</v>
      </c>
      <c r="K126">
        <f t="shared" si="2"/>
        <v>-2.3433107055753633E-3</v>
      </c>
      <c r="L126">
        <f t="shared" si="3"/>
        <v>1.6541531478344009E-4</v>
      </c>
    </row>
    <row r="127" spans="1:12" x14ac:dyDescent="0.3">
      <c r="A127" s="31">
        <v>45898</v>
      </c>
      <c r="B127" s="32">
        <v>0.18420955679180601</v>
      </c>
      <c r="C127" s="32">
        <v>0.184243496204584</v>
      </c>
      <c r="D127" s="32">
        <v>0.18422653</v>
      </c>
      <c r="E127" s="33">
        <v>-6.9668999999999905E-4</v>
      </c>
      <c r="F127" s="33">
        <v>-0.37674554877423699</v>
      </c>
      <c r="G127" s="33">
        <v>0.36846046820320499</v>
      </c>
      <c r="H127" s="32">
        <v>0.18422653</v>
      </c>
      <c r="I127" s="32">
        <v>0.18422653</v>
      </c>
      <c r="K127">
        <f t="shared" si="2"/>
        <v>-3.7674554877423772E-3</v>
      </c>
      <c r="L127">
        <f t="shared" si="3"/>
        <v>1.8422652143526268E-4</v>
      </c>
    </row>
    <row r="128" spans="1:12" x14ac:dyDescent="0.3">
      <c r="A128" s="28">
        <v>45897</v>
      </c>
      <c r="B128" s="29">
        <v>0.18491124260354999</v>
      </c>
      <c r="C128" s="29">
        <v>0.184935180219333</v>
      </c>
      <c r="D128" s="29">
        <v>0.18492322</v>
      </c>
      <c r="E128" s="30">
        <v>1.30389999999999E-3</v>
      </c>
      <c r="F128" s="30">
        <v>0.71011046114319798</v>
      </c>
      <c r="G128" s="30">
        <v>0.74802416472179201</v>
      </c>
      <c r="H128" s="29">
        <v>0.18492322</v>
      </c>
      <c r="I128" s="29">
        <v>0.18492322</v>
      </c>
      <c r="K128">
        <f t="shared" si="2"/>
        <v>7.1011046114319853E-3</v>
      </c>
      <c r="L128">
        <f t="shared" si="3"/>
        <v>1.2944624143474017E-4</v>
      </c>
    </row>
    <row r="129" spans="1:12" x14ac:dyDescent="0.3">
      <c r="A129" s="31">
        <v>45896</v>
      </c>
      <c r="B129" s="32">
        <v>0.183597407604605</v>
      </c>
      <c r="C129" s="32">
        <v>0.18364123847651201</v>
      </c>
      <c r="D129" s="32">
        <v>0.18361932</v>
      </c>
      <c r="E129" s="33">
        <v>-5.5631999999999904E-4</v>
      </c>
      <c r="F129" s="33">
        <v>-0.30205949060364501</v>
      </c>
      <c r="G129" s="33">
        <v>3.7646372747478202E-2</v>
      </c>
      <c r="H129" s="32">
        <v>0.18361932</v>
      </c>
      <c r="I129" s="32">
        <v>0.18361932</v>
      </c>
      <c r="K129">
        <f t="shared" si="2"/>
        <v>-3.0205949060364556E-3</v>
      </c>
      <c r="L129">
        <f t="shared" si="3"/>
        <v>2.3870512050155459E-4</v>
      </c>
    </row>
    <row r="130" spans="1:12" x14ac:dyDescent="0.3">
      <c r="A130" s="28">
        <v>45895</v>
      </c>
      <c r="B130" s="29">
        <v>0.18415527973186999</v>
      </c>
      <c r="C130" s="29">
        <v>0.18419598452753699</v>
      </c>
      <c r="D130" s="29">
        <v>0.18417564</v>
      </c>
      <c r="E130" s="30">
        <v>-7.8862999999998397E-4</v>
      </c>
      <c r="F130" s="30">
        <v>-0.426368833288715</v>
      </c>
      <c r="G130" s="30">
        <v>0.34073508601624902</v>
      </c>
      <c r="H130" s="29">
        <v>0.18417564</v>
      </c>
      <c r="I130" s="29">
        <v>0.18417564</v>
      </c>
      <c r="K130">
        <f t="shared" si="2"/>
        <v>-4.26368833288715E-3</v>
      </c>
      <c r="L130">
        <f t="shared" si="3"/>
        <v>2.2101074641036686E-4</v>
      </c>
    </row>
    <row r="131" spans="1:12" x14ac:dyDescent="0.3">
      <c r="A131" s="31">
        <v>45894</v>
      </c>
      <c r="B131" s="32">
        <v>0.18494886163975699</v>
      </c>
      <c r="C131" s="32">
        <v>0.18497965223825399</v>
      </c>
      <c r="D131" s="32">
        <v>0.18496426999999999</v>
      </c>
      <c r="E131" s="33">
        <v>4.4539999999998399E-4</v>
      </c>
      <c r="F131" s="33">
        <v>0.241384526146282</v>
      </c>
      <c r="G131" s="33">
        <v>0.77038861625989796</v>
      </c>
      <c r="H131" s="32">
        <v>0.18496426999999999</v>
      </c>
      <c r="I131" s="32">
        <v>0.18496426999999999</v>
      </c>
      <c r="K131">
        <f t="shared" si="2"/>
        <v>2.4138452614628214E-3</v>
      </c>
      <c r="L131">
        <f t="shared" si="3"/>
        <v>1.6646781833596684E-4</v>
      </c>
    </row>
    <row r="132" spans="1:12" x14ac:dyDescent="0.3">
      <c r="A132" s="28">
        <v>45891</v>
      </c>
      <c r="B132" s="29">
        <v>0.184505249174339</v>
      </c>
      <c r="C132" s="29">
        <v>0.184532486944327</v>
      </c>
      <c r="D132" s="29">
        <v>0.18451887</v>
      </c>
      <c r="E132" s="30">
        <v>2.15525999999999E-3</v>
      </c>
      <c r="F132" s="30">
        <v>1.18184762848245</v>
      </c>
      <c r="G132" s="30">
        <v>0.52773023099618999</v>
      </c>
      <c r="H132" s="29">
        <v>0.18451887</v>
      </c>
      <c r="I132" s="29">
        <v>0.18451887</v>
      </c>
      <c r="K132">
        <f t="shared" si="2"/>
        <v>1.1818476284824575E-2</v>
      </c>
      <c r="L132">
        <f t="shared" si="3"/>
        <v>1.47615092093309E-4</v>
      </c>
    </row>
    <row r="133" spans="1:12" x14ac:dyDescent="0.3">
      <c r="A133" s="31">
        <v>45890</v>
      </c>
      <c r="B133" s="32">
        <v>0.18234865061998501</v>
      </c>
      <c r="C133" s="32">
        <v>0.18237858145939301</v>
      </c>
      <c r="D133" s="32">
        <v>0.18236361000000001</v>
      </c>
      <c r="E133" s="33">
        <v>-3.8325000000000099E-4</v>
      </c>
      <c r="F133" s="33">
        <v>-0.20971632563208101</v>
      </c>
      <c r="G133" s="33">
        <v>-0.64647702410815799</v>
      </c>
      <c r="H133" s="32">
        <v>0.18236361000000001</v>
      </c>
      <c r="I133" s="32">
        <v>0.18236361000000001</v>
      </c>
      <c r="K133">
        <f t="shared" ref="K133:K196" si="4">D133/D134-1</f>
        <v>-2.0971632563208109E-3</v>
      </c>
      <c r="L133">
        <f t="shared" ref="L133:L196" si="5">(C133-B133)/D133</f>
        <v>1.6412725876614802E-4</v>
      </c>
    </row>
    <row r="134" spans="1:12" x14ac:dyDescent="0.3">
      <c r="A134" s="28">
        <v>45889</v>
      </c>
      <c r="B134" s="29">
        <v>0.18273184102329801</v>
      </c>
      <c r="C134" s="29">
        <v>0.18276189779954699</v>
      </c>
      <c r="D134" s="29">
        <v>0.18274686000000001</v>
      </c>
      <c r="E134" s="30">
        <v>2.8177000000001402E-4</v>
      </c>
      <c r="F134" s="30">
        <v>0.154424059966773</v>
      </c>
      <c r="G134" s="30">
        <v>-0.43767858191615</v>
      </c>
      <c r="H134" s="29">
        <v>0.18274686000000001</v>
      </c>
      <c r="I134" s="29">
        <v>0.18274686000000001</v>
      </c>
      <c r="K134">
        <f t="shared" si="4"/>
        <v>1.5442405996677344E-3</v>
      </c>
      <c r="L134">
        <f t="shared" si="5"/>
        <v>1.6447218983123586E-4</v>
      </c>
    </row>
    <row r="135" spans="1:12" x14ac:dyDescent="0.3">
      <c r="A135" s="31">
        <v>45888</v>
      </c>
      <c r="B135" s="32">
        <v>0.18244180106546001</v>
      </c>
      <c r="C135" s="32">
        <v>0.18248841198583901</v>
      </c>
      <c r="D135" s="32">
        <v>0.18246509</v>
      </c>
      <c r="E135" s="33">
        <v>-2.1747400000000001E-3</v>
      </c>
      <c r="F135" s="33">
        <v>-1.17782820748915</v>
      </c>
      <c r="G135" s="33">
        <v>-0.59118970274183802</v>
      </c>
      <c r="H135" s="32">
        <v>0.18246509</v>
      </c>
      <c r="I135" s="32">
        <v>0.18246509</v>
      </c>
      <c r="K135">
        <f t="shared" si="4"/>
        <v>-1.1778282074891511E-2</v>
      </c>
      <c r="L135">
        <f t="shared" si="5"/>
        <v>2.5545116810562351E-4</v>
      </c>
    </row>
    <row r="136" spans="1:12" x14ac:dyDescent="0.3">
      <c r="A136" s="28">
        <v>45887</v>
      </c>
      <c r="B136" s="29">
        <v>0.18461765683269901</v>
      </c>
      <c r="C136" s="29">
        <v>0.18466197625246999</v>
      </c>
      <c r="D136" s="29">
        <v>0.18463983</v>
      </c>
      <c r="E136" s="30">
        <v>-7.5306999999999403E-4</v>
      </c>
      <c r="F136" s="30">
        <v>-0.40620217926360302</v>
      </c>
      <c r="G136" s="30">
        <v>0.59363045165514805</v>
      </c>
      <c r="H136" s="29">
        <v>0.18463983</v>
      </c>
      <c r="I136" s="29">
        <v>0.18463983</v>
      </c>
      <c r="K136">
        <f t="shared" si="4"/>
        <v>-4.0620217926360391E-3</v>
      </c>
      <c r="L136">
        <f t="shared" si="5"/>
        <v>2.4003174055664404E-4</v>
      </c>
    </row>
    <row r="137" spans="1:12" x14ac:dyDescent="0.3">
      <c r="A137" s="31">
        <v>45884</v>
      </c>
      <c r="B137" s="32">
        <v>0.18537399202891799</v>
      </c>
      <c r="C137" s="32">
        <v>0.185411799606927</v>
      </c>
      <c r="D137" s="32">
        <v>0.1853929</v>
      </c>
      <c r="E137" s="33">
        <v>2.06000000000011E-4</v>
      </c>
      <c r="F137" s="33">
        <v>0.111238969927152</v>
      </c>
      <c r="G137" s="33">
        <v>1.0039105373995201</v>
      </c>
      <c r="H137" s="32">
        <v>0.1853929</v>
      </c>
      <c r="I137" s="32">
        <v>0.1853929</v>
      </c>
      <c r="K137">
        <f t="shared" si="4"/>
        <v>1.112389699271521E-3</v>
      </c>
      <c r="L137">
        <f t="shared" si="5"/>
        <v>2.0393217868107453E-4</v>
      </c>
    </row>
    <row r="138" spans="1:12" x14ac:dyDescent="0.3">
      <c r="A138" s="28">
        <v>45883</v>
      </c>
      <c r="B138" s="29">
        <v>0.185168039996297</v>
      </c>
      <c r="C138" s="29">
        <v>0.18520576360336299</v>
      </c>
      <c r="D138" s="29">
        <v>0.18518689999999999</v>
      </c>
      <c r="E138" s="30">
        <v>-2.7133000000001401E-4</v>
      </c>
      <c r="F138" s="30">
        <v>-0.14630248547072799</v>
      </c>
      <c r="G138" s="30">
        <v>0.891679672189987</v>
      </c>
      <c r="H138" s="29">
        <v>0.18518689999999999</v>
      </c>
      <c r="I138" s="29">
        <v>0.18518689999999999</v>
      </c>
      <c r="K138">
        <f t="shared" si="4"/>
        <v>-1.4630248547072844E-3</v>
      </c>
      <c r="L138">
        <f t="shared" si="5"/>
        <v>2.0370559184260922E-4</v>
      </c>
    </row>
    <row r="139" spans="1:12" x14ac:dyDescent="0.3">
      <c r="A139" s="31">
        <v>45882</v>
      </c>
      <c r="B139" s="32">
        <v>0.185442744552619</v>
      </c>
      <c r="C139" s="32">
        <v>0.18547369982936401</v>
      </c>
      <c r="D139" s="32">
        <v>0.18545823</v>
      </c>
      <c r="E139" s="33">
        <v>5.7092999999999695E-4</v>
      </c>
      <c r="F139" s="33">
        <v>0.30879892777924101</v>
      </c>
      <c r="G139" s="33">
        <v>1.0395029763516499</v>
      </c>
      <c r="H139" s="32">
        <v>0.18545823</v>
      </c>
      <c r="I139" s="32">
        <v>0.18545823</v>
      </c>
      <c r="K139">
        <f t="shared" si="4"/>
        <v>3.0879892777924134E-3</v>
      </c>
      <c r="L139">
        <f t="shared" si="5"/>
        <v>1.6691239178231654E-4</v>
      </c>
    </row>
    <row r="140" spans="1:12" x14ac:dyDescent="0.3">
      <c r="A140" s="28">
        <v>45881</v>
      </c>
      <c r="B140" s="29">
        <v>0.18486338595777699</v>
      </c>
      <c r="C140" s="29">
        <v>0.18491124260354999</v>
      </c>
      <c r="D140" s="29">
        <v>0.1848873</v>
      </c>
      <c r="E140" s="30">
        <v>1.43472E-3</v>
      </c>
      <c r="F140" s="30">
        <v>0.78206586137954304</v>
      </c>
      <c r="G140" s="30">
        <v>0.72845458861341505</v>
      </c>
      <c r="H140" s="29">
        <v>0.1848873</v>
      </c>
      <c r="I140" s="29">
        <v>0.1848873</v>
      </c>
      <c r="K140">
        <f t="shared" si="4"/>
        <v>7.8206586137954393E-3</v>
      </c>
      <c r="L140">
        <f t="shared" si="5"/>
        <v>2.5884225564981161E-4</v>
      </c>
    </row>
    <row r="141" spans="1:12" x14ac:dyDescent="0.3">
      <c r="A141" s="31">
        <v>45880</v>
      </c>
      <c r="B141" s="32">
        <v>0.183435751627992</v>
      </c>
      <c r="C141" s="32">
        <v>0.18346940647647</v>
      </c>
      <c r="D141" s="32">
        <v>0.18345258</v>
      </c>
      <c r="E141" s="33">
        <v>-8.5203999999999803E-4</v>
      </c>
      <c r="F141" s="33">
        <v>-0.46229985987329397</v>
      </c>
      <c r="G141" s="33">
        <v>-5.31952508692074E-2</v>
      </c>
      <c r="H141" s="32">
        <v>0.18345258</v>
      </c>
      <c r="I141" s="32">
        <v>0.18345258</v>
      </c>
      <c r="K141">
        <f t="shared" si="4"/>
        <v>-4.6229985987329414E-3</v>
      </c>
      <c r="L141">
        <f t="shared" si="5"/>
        <v>1.8345257656231465E-4</v>
      </c>
    </row>
    <row r="142" spans="1:12" x14ac:dyDescent="0.3">
      <c r="A142" s="28">
        <v>45877</v>
      </c>
      <c r="B142" s="29">
        <v>0.18428084400626599</v>
      </c>
      <c r="C142" s="29">
        <v>0.184328399476507</v>
      </c>
      <c r="D142" s="29">
        <v>0.18430462</v>
      </c>
      <c r="E142" s="30">
        <v>1.52768999999999E-3</v>
      </c>
      <c r="F142" s="30">
        <v>0.83582211387400696</v>
      </c>
      <c r="G142" s="30">
        <v>0.41100468307802401</v>
      </c>
      <c r="H142" s="29">
        <v>0.18430462</v>
      </c>
      <c r="I142" s="29">
        <v>0.18430462</v>
      </c>
      <c r="K142">
        <f t="shared" si="4"/>
        <v>8.358221138740074E-3</v>
      </c>
      <c r="L142">
        <f t="shared" si="5"/>
        <v>2.5802646857695411E-4</v>
      </c>
    </row>
    <row r="143" spans="1:12" x14ac:dyDescent="0.3">
      <c r="A143" s="31">
        <v>45876</v>
      </c>
      <c r="B143" s="32">
        <v>0.18276189779954699</v>
      </c>
      <c r="C143" s="32">
        <v>0.18279196446524201</v>
      </c>
      <c r="D143" s="32">
        <v>0.18277693</v>
      </c>
      <c r="E143" s="33">
        <v>3.28469999999997E-4</v>
      </c>
      <c r="F143" s="33">
        <v>0.18003440533287299</v>
      </c>
      <c r="G143" s="33">
        <v>-0.42129614445571401</v>
      </c>
      <c r="H143" s="32">
        <v>0.18277693</v>
      </c>
      <c r="I143" s="32">
        <v>0.18277693</v>
      </c>
      <c r="K143">
        <f t="shared" si="4"/>
        <v>1.8003440533287396E-3</v>
      </c>
      <c r="L143">
        <f t="shared" si="5"/>
        <v>1.6449923792363809E-4</v>
      </c>
    </row>
    <row r="144" spans="1:12" x14ac:dyDescent="0.3">
      <c r="A144" s="28">
        <v>45875</v>
      </c>
      <c r="B144" s="29">
        <v>0.182435144306199</v>
      </c>
      <c r="C144" s="29">
        <v>0.18246177425829299</v>
      </c>
      <c r="D144" s="29">
        <v>0.18244846000000001</v>
      </c>
      <c r="E144" s="30">
        <v>1.0047200000000099E-3</v>
      </c>
      <c r="F144" s="30">
        <v>0.55373638131577196</v>
      </c>
      <c r="G144" s="30">
        <v>-0.600249893462388</v>
      </c>
      <c r="H144" s="29">
        <v>0.18244846000000001</v>
      </c>
      <c r="I144" s="29">
        <v>0.18244846000000001</v>
      </c>
      <c r="K144">
        <f t="shared" si="4"/>
        <v>5.5373638131577252E-3</v>
      </c>
      <c r="L144">
        <f t="shared" si="5"/>
        <v>1.4595876607556576E-4</v>
      </c>
    </row>
    <row r="145" spans="1:12" x14ac:dyDescent="0.3">
      <c r="A145" s="31">
        <v>45874</v>
      </c>
      <c r="B145" s="32">
        <v>0.18142564270033901</v>
      </c>
      <c r="C145" s="32">
        <v>0.181461856717718</v>
      </c>
      <c r="D145" s="32">
        <v>0.18144373999999999</v>
      </c>
      <c r="E145" s="33">
        <v>-1.6312000000001599E-4</v>
      </c>
      <c r="F145" s="33">
        <v>-8.9820395551143406E-2</v>
      </c>
      <c r="G145" s="33">
        <v>-1.14763142207075</v>
      </c>
      <c r="H145" s="32">
        <v>0.18144373999999999</v>
      </c>
      <c r="I145" s="32">
        <v>0.18144373999999999</v>
      </c>
      <c r="K145">
        <f t="shared" si="4"/>
        <v>-8.9820395551143406E-4</v>
      </c>
      <c r="L145">
        <f t="shared" si="5"/>
        <v>1.995881333739801E-4</v>
      </c>
    </row>
    <row r="146" spans="1:12" x14ac:dyDescent="0.3">
      <c r="A146" s="28">
        <v>45873</v>
      </c>
      <c r="B146" s="29">
        <v>0.18158377367398401</v>
      </c>
      <c r="C146" s="29">
        <v>0.18162994714568501</v>
      </c>
      <c r="D146" s="29">
        <v>0.18160686000000001</v>
      </c>
      <c r="E146" s="30">
        <v>1.3942000000000099E-3</v>
      </c>
      <c r="F146" s="30">
        <v>0.77364154105488103</v>
      </c>
      <c r="G146" s="30">
        <v>-1.0587620107455999</v>
      </c>
      <c r="H146" s="29">
        <v>0.18160686000000001</v>
      </c>
      <c r="I146" s="29">
        <v>0.18160686000000001</v>
      </c>
      <c r="K146">
        <f t="shared" si="4"/>
        <v>7.7364154105488137E-3</v>
      </c>
      <c r="L146">
        <f t="shared" si="5"/>
        <v>2.5424960103926844E-4</v>
      </c>
    </row>
    <row r="147" spans="1:12" x14ac:dyDescent="0.3">
      <c r="A147" s="31">
        <v>45870</v>
      </c>
      <c r="B147" s="32">
        <v>0.18019316707510499</v>
      </c>
      <c r="C147" s="32">
        <v>0.18023213899502599</v>
      </c>
      <c r="D147" s="32">
        <v>0.18021266</v>
      </c>
      <c r="E147" s="33">
        <v>1.59497E-3</v>
      </c>
      <c r="F147" s="33">
        <v>0.89295186831719298</v>
      </c>
      <c r="G147" s="33">
        <v>-1.8183361480035201</v>
      </c>
      <c r="H147" s="32">
        <v>0.18021266</v>
      </c>
      <c r="I147" s="32">
        <v>0.18021266</v>
      </c>
      <c r="K147">
        <f t="shared" si="4"/>
        <v>8.9295186831719331E-3</v>
      </c>
      <c r="L147">
        <f t="shared" si="5"/>
        <v>2.1625517275533941E-4</v>
      </c>
    </row>
    <row r="148" spans="1:12" x14ac:dyDescent="0.3">
      <c r="A148" s="28">
        <v>45869</v>
      </c>
      <c r="B148" s="29">
        <v>0.17859694242034599</v>
      </c>
      <c r="C148" s="29">
        <v>0.17863841797817001</v>
      </c>
      <c r="D148" s="29">
        <v>0.17861769</v>
      </c>
      <c r="E148" s="30">
        <v>1.9442E-4</v>
      </c>
      <c r="F148" s="30">
        <v>0.10896560745692301</v>
      </c>
      <c r="G148" s="30">
        <v>-2.6872917940387002</v>
      </c>
      <c r="H148" s="29">
        <v>0.17861769</v>
      </c>
      <c r="I148" s="29">
        <v>0.17861769</v>
      </c>
      <c r="K148">
        <f t="shared" si="4"/>
        <v>1.0896560745692341E-3</v>
      </c>
      <c r="L148">
        <f t="shared" si="5"/>
        <v>2.322029683847229E-4</v>
      </c>
    </row>
    <row r="149" spans="1:12" x14ac:dyDescent="0.3">
      <c r="A149" s="31">
        <v>45868</v>
      </c>
      <c r="B149" s="32">
        <v>0.17839940057801401</v>
      </c>
      <c r="C149" s="32">
        <v>0.178447152875676</v>
      </c>
      <c r="D149" s="32">
        <v>0.17842326999999999</v>
      </c>
      <c r="E149" s="33">
        <v>-3.7006000000000501E-4</v>
      </c>
      <c r="F149" s="33">
        <v>-0.206976401189018</v>
      </c>
      <c r="G149" s="33">
        <v>-2.7932137591553898</v>
      </c>
      <c r="H149" s="32">
        <v>0.17842326999999999</v>
      </c>
      <c r="I149" s="32">
        <v>0.17842326999999999</v>
      </c>
      <c r="K149">
        <f t="shared" si="4"/>
        <v>-2.069764011890185E-3</v>
      </c>
      <c r="L149">
        <f t="shared" si="5"/>
        <v>2.6763492038897396E-4</v>
      </c>
    </row>
    <row r="150" spans="1:12" x14ac:dyDescent="0.3">
      <c r="A150" s="28">
        <v>45867</v>
      </c>
      <c r="B150" s="29">
        <v>0.17876935178233</v>
      </c>
      <c r="C150" s="29">
        <v>0.17881730236217699</v>
      </c>
      <c r="D150" s="29">
        <v>0.17879333</v>
      </c>
      <c r="E150" s="30">
        <v>-3.0420000000000398E-4</v>
      </c>
      <c r="F150" s="30">
        <v>-0.16985158868466599</v>
      </c>
      <c r="G150" s="30">
        <v>-2.5916013611969402</v>
      </c>
      <c r="H150" s="29">
        <v>0.17879333</v>
      </c>
      <c r="I150" s="29">
        <v>0.17879333</v>
      </c>
      <c r="K150">
        <f t="shared" si="4"/>
        <v>-1.6985158868466632E-3</v>
      </c>
      <c r="L150">
        <f t="shared" si="5"/>
        <v>2.6818998139916517E-4</v>
      </c>
    </row>
    <row r="151" spans="1:12" x14ac:dyDescent="0.3">
      <c r="A151" s="31">
        <v>45866</v>
      </c>
      <c r="B151" s="32">
        <v>0.179070267172839</v>
      </c>
      <c r="C151" s="32">
        <v>0.179124796245544</v>
      </c>
      <c r="D151" s="32">
        <v>0.17909753</v>
      </c>
      <c r="E151" s="33">
        <v>-1.4584099999999901E-3</v>
      </c>
      <c r="F151" s="33">
        <v>-0.80773304938069801</v>
      </c>
      <c r="G151" s="33">
        <v>-2.42587015150403</v>
      </c>
      <c r="H151" s="32">
        <v>0.17909753</v>
      </c>
      <c r="I151" s="32">
        <v>0.17909753</v>
      </c>
      <c r="K151">
        <f t="shared" si="4"/>
        <v>-8.077330493806989E-3</v>
      </c>
      <c r="L151">
        <f t="shared" si="5"/>
        <v>3.044657997517123E-4</v>
      </c>
    </row>
    <row r="152" spans="1:12" x14ac:dyDescent="0.3">
      <c r="A152" s="28">
        <v>45863</v>
      </c>
      <c r="B152" s="29">
        <v>0.18054126270559101</v>
      </c>
      <c r="C152" s="29">
        <v>0.18057060310581399</v>
      </c>
      <c r="D152" s="29">
        <v>0.18055594</v>
      </c>
      <c r="E152" s="30">
        <v>-3.2659000000001499E-4</v>
      </c>
      <c r="F152" s="30">
        <v>-0.18055364440116001</v>
      </c>
      <c r="G152" s="30">
        <v>-1.63131376252231</v>
      </c>
      <c r="H152" s="29">
        <v>0.18055594</v>
      </c>
      <c r="I152" s="29">
        <v>0.18055594</v>
      </c>
      <c r="K152">
        <f t="shared" si="4"/>
        <v>-1.8055364440116017E-3</v>
      </c>
      <c r="L152">
        <f t="shared" si="5"/>
        <v>1.6250033215734944E-4</v>
      </c>
    </row>
    <row r="153" spans="1:12" x14ac:dyDescent="0.3">
      <c r="A153" s="31">
        <v>45862</v>
      </c>
      <c r="B153" s="32">
        <v>0.180848177954607</v>
      </c>
      <c r="C153" s="32">
        <v>0.18091688678221199</v>
      </c>
      <c r="D153" s="32">
        <v>0.18088253000000001</v>
      </c>
      <c r="E153" s="33">
        <v>9.3095000000001295E-4</v>
      </c>
      <c r="F153" s="33">
        <v>0.51733360718477694</v>
      </c>
      <c r="G153" s="33">
        <v>-1.45338425636317</v>
      </c>
      <c r="H153" s="32">
        <v>0.18088253000000001</v>
      </c>
      <c r="I153" s="32">
        <v>0.18088253000000001</v>
      </c>
      <c r="K153">
        <f t="shared" si="4"/>
        <v>5.1733360718477783E-3</v>
      </c>
      <c r="L153">
        <f t="shared" si="5"/>
        <v>3.7985330924432116E-4</v>
      </c>
    </row>
    <row r="154" spans="1:12" x14ac:dyDescent="0.3">
      <c r="A154" s="28">
        <v>45861</v>
      </c>
      <c r="B154" s="29">
        <v>0.179930546808932</v>
      </c>
      <c r="C154" s="29">
        <v>0.179972644158088</v>
      </c>
      <c r="D154" s="29">
        <v>0.17995158</v>
      </c>
      <c r="E154" s="30">
        <v>2.9902000000001002E-4</v>
      </c>
      <c r="F154" s="30">
        <v>0.16644349515531001</v>
      </c>
      <c r="G154" s="30">
        <v>-1.96057514940597</v>
      </c>
      <c r="H154" s="29">
        <v>0.17995158</v>
      </c>
      <c r="I154" s="29">
        <v>0.17995158</v>
      </c>
      <c r="K154">
        <f t="shared" si="4"/>
        <v>1.6644349515531065E-3</v>
      </c>
      <c r="L154">
        <f t="shared" si="5"/>
        <v>2.3393709105527503E-4</v>
      </c>
    </row>
    <row r="155" spans="1:12" x14ac:dyDescent="0.3">
      <c r="A155" s="31">
        <v>45860</v>
      </c>
      <c r="B155" s="32">
        <v>0.179620282722325</v>
      </c>
      <c r="C155" s="32">
        <v>0.179684832803263</v>
      </c>
      <c r="D155" s="32">
        <v>0.17965255999999999</v>
      </c>
      <c r="E155" s="33">
        <v>-2.3105000000001001E-4</v>
      </c>
      <c r="F155" s="33">
        <v>-0.128444164535057</v>
      </c>
      <c r="G155" s="33">
        <v>-2.1234842431678902</v>
      </c>
      <c r="H155" s="32">
        <v>0.17965255999999999</v>
      </c>
      <c r="I155" s="32">
        <v>0.17965255999999999</v>
      </c>
      <c r="K155">
        <f t="shared" si="4"/>
        <v>-1.2844416453505758E-3</v>
      </c>
      <c r="L155">
        <f t="shared" si="5"/>
        <v>3.5930509945420678E-4</v>
      </c>
    </row>
    <row r="156" spans="1:12" x14ac:dyDescent="0.3">
      <c r="A156" s="28">
        <v>45859</v>
      </c>
      <c r="B156" s="29">
        <v>0.17985934998830899</v>
      </c>
      <c r="C156" s="29">
        <v>0.179907887161773</v>
      </c>
      <c r="D156" s="29">
        <v>0.17988361</v>
      </c>
      <c r="E156" s="30">
        <v>-4.9808000000001098E-4</v>
      </c>
      <c r="F156" s="30">
        <v>-0.276125586804298</v>
      </c>
      <c r="G156" s="30">
        <v>-1.9976058868248601</v>
      </c>
      <c r="H156" s="29">
        <v>0.17988361</v>
      </c>
      <c r="I156" s="29">
        <v>0.17988361</v>
      </c>
      <c r="K156">
        <f t="shared" si="4"/>
        <v>-2.7612558680429888E-3</v>
      </c>
      <c r="L156">
        <f t="shared" si="5"/>
        <v>2.6982543581379273E-4</v>
      </c>
    </row>
    <row r="157" spans="1:12" x14ac:dyDescent="0.3">
      <c r="A157" s="31">
        <v>45856</v>
      </c>
      <c r="B157" s="32">
        <v>0.180358914239336</v>
      </c>
      <c r="C157" s="32">
        <v>0.18040446681459801</v>
      </c>
      <c r="D157" s="32">
        <v>0.18038169000000001</v>
      </c>
      <c r="E157" s="33">
        <v>5.9833000000000802E-4</v>
      </c>
      <c r="F157" s="33">
        <v>0.33280610619359402</v>
      </c>
      <c r="G157" s="33">
        <v>-1.7262469094289099</v>
      </c>
      <c r="H157" s="32">
        <v>0.18038169000000001</v>
      </c>
      <c r="I157" s="32">
        <v>0.18038169000000001</v>
      </c>
      <c r="K157">
        <f t="shared" si="4"/>
        <v>3.3280610619359496E-3</v>
      </c>
      <c r="L157">
        <f t="shared" si="5"/>
        <v>2.5253436344902273E-4</v>
      </c>
    </row>
    <row r="158" spans="1:12" x14ac:dyDescent="0.3">
      <c r="A158" s="28">
        <v>45855</v>
      </c>
      <c r="B158" s="29">
        <v>0.17976558567627801</v>
      </c>
      <c r="C158" s="29">
        <v>0.179801139939227</v>
      </c>
      <c r="D158" s="29">
        <v>0.17978336</v>
      </c>
      <c r="E158" s="30">
        <v>3.3390999999999201E-4</v>
      </c>
      <c r="F158" s="30">
        <v>0.186074685656589</v>
      </c>
      <c r="G158" s="30">
        <v>-2.0522230918600801</v>
      </c>
      <c r="H158" s="29">
        <v>0.17978336</v>
      </c>
      <c r="I158" s="29">
        <v>0.17978336</v>
      </c>
      <c r="K158">
        <f t="shared" si="4"/>
        <v>1.860746856565898E-3</v>
      </c>
      <c r="L158">
        <f t="shared" si="5"/>
        <v>1.9776170024294302E-4</v>
      </c>
    </row>
    <row r="159" spans="1:12" x14ac:dyDescent="0.3">
      <c r="A159" s="31">
        <v>45854</v>
      </c>
      <c r="B159" s="32">
        <v>0.179430129907414</v>
      </c>
      <c r="C159" s="32">
        <v>0.17946877243359699</v>
      </c>
      <c r="D159" s="32">
        <v>0.17944945000000001</v>
      </c>
      <c r="E159" s="33">
        <v>-6.0744999999998097E-4</v>
      </c>
      <c r="F159" s="33">
        <v>-0.33736557721474297</v>
      </c>
      <c r="G159" s="33">
        <v>-2.2341406074043202</v>
      </c>
      <c r="H159" s="32">
        <v>0.17944945000000001</v>
      </c>
      <c r="I159" s="32">
        <v>0.17944945000000001</v>
      </c>
      <c r="K159">
        <f t="shared" si="4"/>
        <v>-3.3736557721474325E-3</v>
      </c>
      <c r="L159">
        <f t="shared" si="5"/>
        <v>2.1533934031556777E-4</v>
      </c>
    </row>
    <row r="160" spans="1:12" x14ac:dyDescent="0.3">
      <c r="A160" s="28">
        <v>45853</v>
      </c>
      <c r="B160" s="29">
        <v>0.18003420649923499</v>
      </c>
      <c r="C160" s="29">
        <v>0.18007959518107</v>
      </c>
      <c r="D160" s="29">
        <v>0.18005689999999999</v>
      </c>
      <c r="E160" s="30">
        <v>3.1554999999999702E-4</v>
      </c>
      <c r="F160" s="30">
        <v>0.17555782239311299</v>
      </c>
      <c r="G160" s="30">
        <v>-1.90319575754253</v>
      </c>
      <c r="H160" s="29">
        <v>0.18005689999999999</v>
      </c>
      <c r="I160" s="29">
        <v>0.18005689999999999</v>
      </c>
      <c r="K160">
        <f t="shared" si="4"/>
        <v>1.7555782239311313E-3</v>
      </c>
      <c r="L160">
        <f t="shared" si="5"/>
        <v>2.5207965834695833E-4</v>
      </c>
    </row>
    <row r="161" spans="1:12" x14ac:dyDescent="0.3">
      <c r="A161" s="31">
        <v>45852</v>
      </c>
      <c r="B161" s="32">
        <v>0.17971712524486499</v>
      </c>
      <c r="C161" s="32">
        <v>0.17976558567627801</v>
      </c>
      <c r="D161" s="32">
        <v>0.17974134999999999</v>
      </c>
      <c r="E161" s="33">
        <v>2.7579999999999201E-4</v>
      </c>
      <c r="F161" s="33">
        <v>0.15367851935927901</v>
      </c>
      <c r="G161" s="33">
        <v>-2.0751105610224698</v>
      </c>
      <c r="H161" s="32">
        <v>0.17974134999999999</v>
      </c>
      <c r="I161" s="32">
        <v>0.17974134999999999</v>
      </c>
      <c r="K161">
        <f t="shared" si="4"/>
        <v>1.5367851935927934E-3</v>
      </c>
      <c r="L161">
        <f t="shared" si="5"/>
        <v>2.6961203647917739E-4</v>
      </c>
    </row>
    <row r="162" spans="1:12" x14ac:dyDescent="0.3">
      <c r="A162" s="28">
        <v>45849</v>
      </c>
      <c r="B162" s="29">
        <v>0.179449449090191</v>
      </c>
      <c r="C162" s="29">
        <v>0.17948165697465701</v>
      </c>
      <c r="D162" s="29">
        <v>0.17946555</v>
      </c>
      <c r="E162" s="30">
        <v>-7.8770000000000196E-4</v>
      </c>
      <c r="F162" s="30">
        <v>-0.43699628162043802</v>
      </c>
      <c r="G162" s="30">
        <v>-2.2253691659971699</v>
      </c>
      <c r="H162" s="29">
        <v>0.17946555</v>
      </c>
      <c r="I162" s="29">
        <v>0.17946555</v>
      </c>
      <c r="K162">
        <f t="shared" si="4"/>
        <v>-4.3699628162043869E-3</v>
      </c>
      <c r="L162">
        <f t="shared" si="5"/>
        <v>1.7946555462040905E-4</v>
      </c>
    </row>
    <row r="163" spans="1:12" x14ac:dyDescent="0.3">
      <c r="A163" s="31">
        <v>45848</v>
      </c>
      <c r="B163" s="32">
        <v>0.18022889069117801</v>
      </c>
      <c r="C163" s="32">
        <v>0.18027762754642099</v>
      </c>
      <c r="D163" s="32">
        <v>0.18025325</v>
      </c>
      <c r="E163" s="33">
        <v>-2.51366E-3</v>
      </c>
      <c r="F163" s="33">
        <v>-1.3753364873324101</v>
      </c>
      <c r="G163" s="33">
        <v>-1.79622230907703</v>
      </c>
      <c r="H163" s="32">
        <v>0.18025325</v>
      </c>
      <c r="I163" s="32">
        <v>0.18025325</v>
      </c>
      <c r="K163">
        <f t="shared" si="4"/>
        <v>-1.3753364873324125E-2</v>
      </c>
      <c r="L163">
        <f t="shared" si="5"/>
        <v>2.7037989741089945E-4</v>
      </c>
    </row>
    <row r="164" spans="1:12" x14ac:dyDescent="0.3">
      <c r="A164" s="28">
        <v>45847</v>
      </c>
      <c r="B164" s="29">
        <v>0.18274185885018801</v>
      </c>
      <c r="C164" s="29">
        <v>0.18279196446524201</v>
      </c>
      <c r="D164" s="29">
        <v>0.18276691</v>
      </c>
      <c r="E164" s="30">
        <v>-3.9501999999999501E-4</v>
      </c>
      <c r="F164" s="30">
        <v>-0.215667087587467</v>
      </c>
      <c r="G164" s="30">
        <v>-0.42675514090910999</v>
      </c>
      <c r="H164" s="29">
        <v>0.18276691</v>
      </c>
      <c r="I164" s="29">
        <v>0.18276691</v>
      </c>
      <c r="K164">
        <f t="shared" si="4"/>
        <v>-2.1566708758746778E-3</v>
      </c>
      <c r="L164">
        <f t="shared" si="5"/>
        <v>2.7415036482261729E-4</v>
      </c>
    </row>
    <row r="165" spans="1:12" x14ac:dyDescent="0.3">
      <c r="A165" s="31">
        <v>45846</v>
      </c>
      <c r="B165" s="32">
        <v>0.18313676653725</v>
      </c>
      <c r="C165" s="32">
        <v>0.18318708897396899</v>
      </c>
      <c r="D165" s="32">
        <v>0.18316193</v>
      </c>
      <c r="E165" s="33">
        <v>-1.20850000000005E-4</v>
      </c>
      <c r="F165" s="33">
        <v>-6.5936363470697701E-2</v>
      </c>
      <c r="G165" s="33">
        <v>-0.211544284719454</v>
      </c>
      <c r="H165" s="32">
        <v>0.18316193</v>
      </c>
      <c r="I165" s="32">
        <v>0.18316193</v>
      </c>
      <c r="K165">
        <f t="shared" si="4"/>
        <v>-6.5936363470697756E-4</v>
      </c>
      <c r="L165">
        <f t="shared" si="5"/>
        <v>2.747428830815762E-4</v>
      </c>
    </row>
    <row r="166" spans="1:12" x14ac:dyDescent="0.3">
      <c r="A166" s="28">
        <v>45845</v>
      </c>
      <c r="B166" s="29">
        <v>0.18325758686409599</v>
      </c>
      <c r="C166" s="29">
        <v>0.183307975730024</v>
      </c>
      <c r="D166" s="29">
        <v>0.18328278000000001</v>
      </c>
      <c r="E166" s="30">
        <v>-1.67121E-3</v>
      </c>
      <c r="F166" s="30">
        <v>-0.90358147991292903</v>
      </c>
      <c r="G166" s="30">
        <v>-0.14570399316327701</v>
      </c>
      <c r="H166" s="29">
        <v>0.18328278000000001</v>
      </c>
      <c r="I166" s="29">
        <v>0.18328278000000001</v>
      </c>
      <c r="K166">
        <f t="shared" si="4"/>
        <v>-9.0358147991292936E-3</v>
      </c>
      <c r="L166">
        <f t="shared" si="5"/>
        <v>2.7492416869718086E-4</v>
      </c>
    </row>
    <row r="167" spans="1:12" x14ac:dyDescent="0.3">
      <c r="A167" s="31">
        <v>45842</v>
      </c>
      <c r="B167" s="32">
        <v>0.184938600384672</v>
      </c>
      <c r="C167" s="32">
        <v>0.184969387566358</v>
      </c>
      <c r="D167" s="32">
        <v>0.18495399000000001</v>
      </c>
      <c r="E167" s="33">
        <v>1.46970000000024E-4</v>
      </c>
      <c r="F167" s="33">
        <v>7.9526199816437604E-2</v>
      </c>
      <c r="G167" s="33">
        <v>0.76478796919994196</v>
      </c>
      <c r="H167" s="32">
        <v>0.18495399000000001</v>
      </c>
      <c r="I167" s="32">
        <v>0.18495399000000001</v>
      </c>
      <c r="K167">
        <f t="shared" si="4"/>
        <v>7.9526199816437604E-4</v>
      </c>
      <c r="L167">
        <f t="shared" si="5"/>
        <v>1.6645859700568729E-4</v>
      </c>
    </row>
    <row r="168" spans="1:12" x14ac:dyDescent="0.3">
      <c r="A168" s="28">
        <v>45841</v>
      </c>
      <c r="B168" s="29">
        <v>0.184788232685343</v>
      </c>
      <c r="C168" s="29">
        <v>0.18482580168191501</v>
      </c>
      <c r="D168" s="29">
        <v>0.18480701999999999</v>
      </c>
      <c r="E168" s="30">
        <v>1.1624099999999701E-3</v>
      </c>
      <c r="F168" s="30">
        <v>0.63296712057052595</v>
      </c>
      <c r="G168" s="30">
        <v>0.68471723978320598</v>
      </c>
      <c r="H168" s="29">
        <v>0.18480701999999999</v>
      </c>
      <c r="I168" s="29">
        <v>0.18480701999999999</v>
      </c>
      <c r="K168">
        <f t="shared" si="4"/>
        <v>6.3296712057052673E-3</v>
      </c>
      <c r="L168">
        <f t="shared" si="5"/>
        <v>2.0328771370268936E-4</v>
      </c>
    </row>
    <row r="169" spans="1:12" x14ac:dyDescent="0.3">
      <c r="A169" s="31">
        <v>45840</v>
      </c>
      <c r="B169" s="32">
        <v>0.183621006243114</v>
      </c>
      <c r="C169" s="32">
        <v>0.18366822172427699</v>
      </c>
      <c r="D169" s="32">
        <v>0.18364461000000001</v>
      </c>
      <c r="E169" s="33">
        <v>1.9203000000000899E-4</v>
      </c>
      <c r="F169" s="33">
        <v>0.10467555157851401</v>
      </c>
      <c r="G169" s="33">
        <v>5.1424618287042902E-2</v>
      </c>
      <c r="H169" s="32">
        <v>0.18364461000000001</v>
      </c>
      <c r="I169" s="32">
        <v>0.18364461000000001</v>
      </c>
      <c r="K169">
        <f t="shared" si="4"/>
        <v>1.0467555157851471E-3</v>
      </c>
      <c r="L169">
        <f t="shared" si="5"/>
        <v>2.5710246090526523E-4</v>
      </c>
    </row>
    <row r="170" spans="1:12" x14ac:dyDescent="0.3">
      <c r="A170" s="28">
        <v>45839</v>
      </c>
      <c r="B170" s="29">
        <v>0.18343238682221699</v>
      </c>
      <c r="C170" s="29">
        <v>0.18347277264053999</v>
      </c>
      <c r="D170" s="29">
        <v>0.18345258</v>
      </c>
      <c r="E170" s="30">
        <v>2.30239999999992E-4</v>
      </c>
      <c r="F170" s="30">
        <v>0.12566153232187399</v>
      </c>
      <c r="G170" s="30">
        <v>-5.31952508692074E-2</v>
      </c>
      <c r="H170" s="29">
        <v>0.18345258</v>
      </c>
      <c r="I170" s="29">
        <v>0.18345258</v>
      </c>
      <c r="K170">
        <f t="shared" si="4"/>
        <v>1.256615323218746E-3</v>
      </c>
      <c r="L170">
        <f t="shared" si="5"/>
        <v>2.2014309268911122E-4</v>
      </c>
    </row>
    <row r="171" spans="1:12" x14ac:dyDescent="0.3">
      <c r="A171" s="31">
        <v>45838</v>
      </c>
      <c r="B171" s="32">
        <v>0.18319715678012699</v>
      </c>
      <c r="C171" s="32">
        <v>0.18324751241501899</v>
      </c>
      <c r="D171" s="32">
        <v>0.18322234000000001</v>
      </c>
      <c r="E171" s="33">
        <v>9.7504000000001002E-4</v>
      </c>
      <c r="F171" s="33">
        <v>0.53500929780578799</v>
      </c>
      <c r="G171" s="33">
        <v>-0.17863231109173999</v>
      </c>
      <c r="H171" s="32">
        <v>0.18322234000000001</v>
      </c>
      <c r="I171" s="32">
        <v>0.18322234000000001</v>
      </c>
      <c r="K171">
        <f t="shared" si="4"/>
        <v>5.3500929780578854E-3</v>
      </c>
      <c r="L171">
        <f t="shared" si="5"/>
        <v>2.7483348860189217E-4</v>
      </c>
    </row>
    <row r="172" spans="1:12" x14ac:dyDescent="0.3">
      <c r="A172" s="28">
        <v>45835</v>
      </c>
      <c r="B172" s="29">
        <v>0.182225704757913</v>
      </c>
      <c r="C172" s="29">
        <v>0.182268883056285</v>
      </c>
      <c r="D172" s="29">
        <v>0.1822473</v>
      </c>
      <c r="E172" s="30">
        <v>5.8600000000000297E-4</v>
      </c>
      <c r="F172" s="30">
        <v>0.32257833671784902</v>
      </c>
      <c r="G172" s="30">
        <v>-0.70984387814952499</v>
      </c>
      <c r="H172" s="29">
        <v>0.1822473</v>
      </c>
      <c r="I172" s="29">
        <v>0.1822473</v>
      </c>
      <c r="K172">
        <f t="shared" si="4"/>
        <v>3.2257833671784919E-3</v>
      </c>
      <c r="L172">
        <f t="shared" si="5"/>
        <v>2.3692147083659732E-4</v>
      </c>
    </row>
    <row r="173" spans="1:12" x14ac:dyDescent="0.3">
      <c r="A173" s="31">
        <v>45834</v>
      </c>
      <c r="B173" s="32">
        <v>0.18163654527290901</v>
      </c>
      <c r="C173" s="32">
        <v>0.18168604651162801</v>
      </c>
      <c r="D173" s="32">
        <v>0.1816613</v>
      </c>
      <c r="E173" s="33">
        <v>1.3267799999999901E-3</v>
      </c>
      <c r="F173" s="33">
        <v>0.73573268168511896</v>
      </c>
      <c r="G173" s="33">
        <v>-1.02910255296887</v>
      </c>
      <c r="H173" s="32">
        <v>0.1816613</v>
      </c>
      <c r="I173" s="32">
        <v>0.1816613</v>
      </c>
      <c r="K173">
        <f t="shared" si="4"/>
        <v>7.3573268168511952E-3</v>
      </c>
      <c r="L173">
        <f t="shared" si="5"/>
        <v>2.7249193261853993E-4</v>
      </c>
    </row>
    <row r="174" spans="1:12" x14ac:dyDescent="0.3">
      <c r="A174" s="28">
        <v>45833</v>
      </c>
      <c r="B174" s="29">
        <v>0.180310133429499</v>
      </c>
      <c r="C174" s="29">
        <v>0.180358914239336</v>
      </c>
      <c r="D174" s="29">
        <v>0.18033452</v>
      </c>
      <c r="E174" s="30">
        <v>-1.6358499999999899E-3</v>
      </c>
      <c r="F174" s="30">
        <v>-0.89896503480209</v>
      </c>
      <c r="G174" s="30">
        <v>-1.7519455983218</v>
      </c>
      <c r="H174" s="29">
        <v>0.18033452</v>
      </c>
      <c r="I174" s="29">
        <v>0.18033452</v>
      </c>
      <c r="K174">
        <f t="shared" si="4"/>
        <v>-8.9896503480209056E-3</v>
      </c>
      <c r="L174">
        <f t="shared" si="5"/>
        <v>2.7050178655202168E-4</v>
      </c>
    </row>
    <row r="175" spans="1:12" x14ac:dyDescent="0.3">
      <c r="A175" s="31">
        <v>45832</v>
      </c>
      <c r="B175" s="32">
        <v>0.18195050946142599</v>
      </c>
      <c r="C175" s="32">
        <v>0.18199024532285099</v>
      </c>
      <c r="D175" s="32">
        <v>0.18197036999999999</v>
      </c>
      <c r="E175" s="33">
        <v>5.7271000000000405E-4</v>
      </c>
      <c r="F175" s="33">
        <v>0.315720720983936</v>
      </c>
      <c r="G175" s="33">
        <v>-0.86071811845280999</v>
      </c>
      <c r="H175" s="32">
        <v>0.18197036999999999</v>
      </c>
      <c r="I175" s="32">
        <v>0.18197036999999999</v>
      </c>
      <c r="K175">
        <f t="shared" si="4"/>
        <v>3.1572072098393633E-3</v>
      </c>
      <c r="L175">
        <f t="shared" si="5"/>
        <v>2.1836445914244089E-4</v>
      </c>
    </row>
    <row r="176" spans="1:12" x14ac:dyDescent="0.3">
      <c r="A176" s="28">
        <v>45831</v>
      </c>
      <c r="B176" s="29">
        <v>0.18137299356125899</v>
      </c>
      <c r="C176" s="29">
        <v>0.18142235123367201</v>
      </c>
      <c r="D176" s="29">
        <v>0.18139765999999999</v>
      </c>
      <c r="E176" s="30">
        <v>-3.2635000000000303E-4</v>
      </c>
      <c r="F176" s="30">
        <v>-0.17958551541978801</v>
      </c>
      <c r="G176" s="30">
        <v>-1.17273626803607</v>
      </c>
      <c r="H176" s="29">
        <v>0.18139765999999999</v>
      </c>
      <c r="I176" s="29">
        <v>0.18139765999999999</v>
      </c>
      <c r="K176">
        <f t="shared" si="4"/>
        <v>-1.7958551541978895E-3</v>
      </c>
      <c r="L176">
        <f t="shared" si="5"/>
        <v>2.720965221547733E-4</v>
      </c>
    </row>
    <row r="177" spans="1:12" x14ac:dyDescent="0.3">
      <c r="A177" s="31">
        <v>45828</v>
      </c>
      <c r="B177" s="32">
        <v>0.18170255292086901</v>
      </c>
      <c r="C177" s="32">
        <v>0.181745483624732</v>
      </c>
      <c r="D177" s="32">
        <v>0.18172400999999999</v>
      </c>
      <c r="E177" s="33">
        <v>-3.59020000000015E-4</v>
      </c>
      <c r="F177" s="33">
        <v>-0.19717378385015699</v>
      </c>
      <c r="G177" s="33">
        <v>-0.99493751628300597</v>
      </c>
      <c r="H177" s="32">
        <v>0.18172400999999999</v>
      </c>
      <c r="I177" s="32">
        <v>0.18172400999999999</v>
      </c>
      <c r="K177">
        <f t="shared" si="4"/>
        <v>-1.9717378385015749E-3</v>
      </c>
      <c r="L177">
        <f t="shared" si="5"/>
        <v>2.3624123121095695E-4</v>
      </c>
    </row>
    <row r="178" spans="1:12" x14ac:dyDescent="0.3">
      <c r="A178" s="28">
        <v>45827</v>
      </c>
      <c r="B178" s="29">
        <v>0.18206645425580301</v>
      </c>
      <c r="C178" s="29">
        <v>0.182099608485842</v>
      </c>
      <c r="D178" s="29">
        <v>0.18208303000000001</v>
      </c>
      <c r="E178" s="30">
        <v>-2.9054999999999999E-4</v>
      </c>
      <c r="F178" s="30">
        <v>-0.15931583949824099</v>
      </c>
      <c r="G178" s="30">
        <v>-0.79933982100374401</v>
      </c>
      <c r="H178" s="29">
        <v>0.18208303000000001</v>
      </c>
      <c r="I178" s="29">
        <v>0.18208303000000001</v>
      </c>
      <c r="K178">
        <f t="shared" si="4"/>
        <v>-1.5931583949824191E-3</v>
      </c>
      <c r="L178">
        <f t="shared" si="5"/>
        <v>1.8208303123577917E-4</v>
      </c>
    </row>
    <row r="179" spans="1:12" x14ac:dyDescent="0.3">
      <c r="A179" s="31">
        <v>45826</v>
      </c>
      <c r="B179" s="32">
        <v>0.18234865061998501</v>
      </c>
      <c r="C179" s="32">
        <v>0.182398540811674</v>
      </c>
      <c r="D179" s="32">
        <v>0.18237358000000001</v>
      </c>
      <c r="E179" s="33">
        <v>8.3100000000002603E-5</v>
      </c>
      <c r="F179" s="33">
        <v>4.5586582469914198E-2</v>
      </c>
      <c r="G179" s="33">
        <v>-0.64104526815602703</v>
      </c>
      <c r="H179" s="32">
        <v>0.18237358000000001</v>
      </c>
      <c r="I179" s="32">
        <v>0.18237358000000001</v>
      </c>
      <c r="K179">
        <f t="shared" si="4"/>
        <v>4.5586582469914205E-4</v>
      </c>
      <c r="L179">
        <f t="shared" si="5"/>
        <v>2.7356041203443441E-4</v>
      </c>
    </row>
    <row r="180" spans="1:12" x14ac:dyDescent="0.3">
      <c r="A180" s="28">
        <v>45825</v>
      </c>
      <c r="B180" s="29">
        <v>0.18226556092226401</v>
      </c>
      <c r="C180" s="29">
        <v>0.18231540565177801</v>
      </c>
      <c r="D180" s="29">
        <v>0.18229048</v>
      </c>
      <c r="E180" s="30">
        <v>6.5558000000001595E-4</v>
      </c>
      <c r="F180" s="30">
        <v>0.36093283834770501</v>
      </c>
      <c r="G180" s="30">
        <v>-0.68631898125754398</v>
      </c>
      <c r="H180" s="29">
        <v>0.18229048</v>
      </c>
      <c r="I180" s="29">
        <v>0.18229048</v>
      </c>
      <c r="K180">
        <f t="shared" si="4"/>
        <v>3.6093283834770507E-3</v>
      </c>
      <c r="L180">
        <f t="shared" si="5"/>
        <v>2.734357247509475E-4</v>
      </c>
    </row>
    <row r="181" spans="1:12" x14ac:dyDescent="0.3">
      <c r="A181" s="31">
        <v>45824</v>
      </c>
      <c r="B181" s="32">
        <v>0.18161015563990299</v>
      </c>
      <c r="C181" s="32">
        <v>0.18165964249382399</v>
      </c>
      <c r="D181" s="32">
        <v>0.18163489999999999</v>
      </c>
      <c r="E181" s="33">
        <v>1.52287999999997E-3</v>
      </c>
      <c r="F181" s="33">
        <v>0.84551825025336302</v>
      </c>
      <c r="G181" s="33">
        <v>-1.04348553763651</v>
      </c>
      <c r="H181" s="32">
        <v>0.18163489999999999</v>
      </c>
      <c r="I181" s="32">
        <v>0.18163489999999999</v>
      </c>
      <c r="K181">
        <f t="shared" si="4"/>
        <v>8.4551825025336314E-3</v>
      </c>
      <c r="L181">
        <f t="shared" si="5"/>
        <v>2.7245234214902928E-4</v>
      </c>
    </row>
    <row r="182" spans="1:12" x14ac:dyDescent="0.3">
      <c r="A182" s="28">
        <v>45821</v>
      </c>
      <c r="B182" s="29">
        <v>0.18009256757973599</v>
      </c>
      <c r="C182" s="29">
        <v>0.18013149599207401</v>
      </c>
      <c r="D182" s="29">
        <v>0.18011202000000001</v>
      </c>
      <c r="E182" s="30">
        <v>-1.6560999999998201E-4</v>
      </c>
      <c r="F182" s="30">
        <v>-9.1863865749719498E-2</v>
      </c>
      <c r="G182" s="30">
        <v>-1.87316582894859</v>
      </c>
      <c r="H182" s="29">
        <v>0.18011202000000001</v>
      </c>
      <c r="I182" s="29">
        <v>0.18011202000000001</v>
      </c>
      <c r="K182">
        <f t="shared" si="4"/>
        <v>-9.1863865749719498E-4</v>
      </c>
      <c r="L182">
        <f t="shared" si="5"/>
        <v>2.1613444976086808E-4</v>
      </c>
    </row>
    <row r="183" spans="1:12" x14ac:dyDescent="0.3">
      <c r="A183" s="31">
        <v>45820</v>
      </c>
      <c r="B183" s="32">
        <v>0.18025163127726301</v>
      </c>
      <c r="C183" s="32">
        <v>0.18030363131513499</v>
      </c>
      <c r="D183" s="32">
        <v>0.18027762999999999</v>
      </c>
      <c r="E183" s="33">
        <v>-7.8040000000001401E-5</v>
      </c>
      <c r="F183" s="33">
        <v>-4.3270056328148503E-2</v>
      </c>
      <c r="G183" s="33">
        <v>-1.7829398406604899</v>
      </c>
      <c r="H183" s="32">
        <v>0.18027762999999999</v>
      </c>
      <c r="I183" s="32">
        <v>0.18027762999999999</v>
      </c>
      <c r="K183">
        <f t="shared" si="4"/>
        <v>-4.327005632814851E-4</v>
      </c>
      <c r="L183">
        <f t="shared" si="5"/>
        <v>2.8844420615014644E-4</v>
      </c>
    </row>
    <row r="184" spans="1:12" x14ac:dyDescent="0.3">
      <c r="A184" s="28">
        <v>45819</v>
      </c>
      <c r="B184" s="29">
        <v>0.18032639076728901</v>
      </c>
      <c r="C184" s="29">
        <v>0.18038494146508599</v>
      </c>
      <c r="D184" s="29">
        <v>0.18035567</v>
      </c>
      <c r="E184" s="30">
        <v>5.6263000000000797E-4</v>
      </c>
      <c r="F184" s="30">
        <v>0.31293202450996999</v>
      </c>
      <c r="G184" s="30">
        <v>-1.7404228662869401</v>
      </c>
      <c r="H184" s="29">
        <v>0.18035567</v>
      </c>
      <c r="I184" s="29">
        <v>0.18035567</v>
      </c>
      <c r="K184">
        <f t="shared" si="4"/>
        <v>3.1293202450997093E-3</v>
      </c>
      <c r="L184">
        <f t="shared" si="5"/>
        <v>3.2464018346069971E-4</v>
      </c>
    </row>
    <row r="185" spans="1:12" x14ac:dyDescent="0.3">
      <c r="A185" s="31">
        <v>45818</v>
      </c>
      <c r="B185" s="32">
        <v>0.17977528089887601</v>
      </c>
      <c r="C185" s="32">
        <v>0.17981083899737499</v>
      </c>
      <c r="D185" s="32">
        <v>0.17979303999999999</v>
      </c>
      <c r="E185" s="33">
        <v>7.5483999999997799E-4</v>
      </c>
      <c r="F185" s="33">
        <v>0.42160834950304399</v>
      </c>
      <c r="G185" s="33">
        <v>-2.04694933081529</v>
      </c>
      <c r="H185" s="32">
        <v>0.17979303999999999</v>
      </c>
      <c r="I185" s="32">
        <v>0.17979303999999999</v>
      </c>
      <c r="K185">
        <f t="shared" si="4"/>
        <v>4.2160834950304427E-3</v>
      </c>
      <c r="L185">
        <f t="shared" si="5"/>
        <v>1.9777238595541764E-4</v>
      </c>
    </row>
    <row r="186" spans="1:12" x14ac:dyDescent="0.3">
      <c r="A186" s="28">
        <v>45817</v>
      </c>
      <c r="B186" s="29">
        <v>0.17902218084820701</v>
      </c>
      <c r="C186" s="29">
        <v>0.179054235527941</v>
      </c>
      <c r="D186" s="29">
        <v>0.17903820000000001</v>
      </c>
      <c r="E186" s="30">
        <v>8.00960000000017E-4</v>
      </c>
      <c r="F186" s="30">
        <v>0.44937859226277199</v>
      </c>
      <c r="G186" s="30">
        <v>-2.4581937303044201</v>
      </c>
      <c r="H186" s="29">
        <v>0.17903820000000001</v>
      </c>
      <c r="I186" s="29">
        <v>0.17903820000000001</v>
      </c>
      <c r="K186">
        <f t="shared" si="4"/>
        <v>4.4937859226277244E-3</v>
      </c>
      <c r="L186">
        <f t="shared" si="5"/>
        <v>1.7903821493957654E-4</v>
      </c>
    </row>
    <row r="187" spans="1:12" x14ac:dyDescent="0.3">
      <c r="A187" s="31">
        <v>45814</v>
      </c>
      <c r="B187" s="32">
        <v>0.178211822572309</v>
      </c>
      <c r="C187" s="32">
        <v>0.17826265219173901</v>
      </c>
      <c r="D187" s="32">
        <v>0.17823723999999999</v>
      </c>
      <c r="E187" s="33">
        <v>-4.25120000000001E-4</v>
      </c>
      <c r="F187" s="33">
        <v>-0.23794603407231099</v>
      </c>
      <c r="G187" s="33">
        <v>-2.8945647681599</v>
      </c>
      <c r="H187" s="32">
        <v>0.17823723999999999</v>
      </c>
      <c r="I187" s="32">
        <v>0.17823723999999999</v>
      </c>
      <c r="K187">
        <f t="shared" si="4"/>
        <v>-2.3794603407231163E-3</v>
      </c>
      <c r="L187">
        <f t="shared" si="5"/>
        <v>2.851795698250799E-4</v>
      </c>
    </row>
    <row r="188" spans="1:12" x14ac:dyDescent="0.3">
      <c r="A188" s="28">
        <v>45813</v>
      </c>
      <c r="B188" s="29">
        <v>0.17863841797817001</v>
      </c>
      <c r="C188" s="29">
        <v>0.178686298334644</v>
      </c>
      <c r="D188" s="29">
        <v>0.17866235999999999</v>
      </c>
      <c r="E188" s="30">
        <v>1.04561E-3</v>
      </c>
      <c r="F188" s="30">
        <v>0.58868884832088397</v>
      </c>
      <c r="G188" s="30">
        <v>-2.6629551302090402</v>
      </c>
      <c r="H188" s="29">
        <v>0.17866235999999999</v>
      </c>
      <c r="I188" s="29">
        <v>0.17866235999999999</v>
      </c>
      <c r="K188">
        <f t="shared" si="4"/>
        <v>5.8868884832088408E-3</v>
      </c>
      <c r="L188">
        <f t="shared" si="5"/>
        <v>2.6799352966114053E-4</v>
      </c>
    </row>
    <row r="189" spans="1:12" x14ac:dyDescent="0.3">
      <c r="A189" s="31">
        <v>45812</v>
      </c>
      <c r="B189" s="32">
        <v>0.177588350204227</v>
      </c>
      <c r="C189" s="32">
        <v>0.17764513607617399</v>
      </c>
      <c r="D189" s="32">
        <v>0.17761674999999999</v>
      </c>
      <c r="E189" s="33">
        <v>4.1389999999999401E-4</v>
      </c>
      <c r="F189" s="33">
        <v>0.233574121409452</v>
      </c>
      <c r="G189" s="33">
        <v>-3.2326139407514698</v>
      </c>
      <c r="H189" s="32">
        <v>0.17761674999999999</v>
      </c>
      <c r="I189" s="32">
        <v>0.17761674999999999</v>
      </c>
      <c r="K189">
        <f t="shared" si="4"/>
        <v>2.3357412140945222E-3</v>
      </c>
      <c r="L189">
        <f t="shared" si="5"/>
        <v>3.1971011713135433E-4</v>
      </c>
    </row>
    <row r="190" spans="1:12" x14ac:dyDescent="0.3">
      <c r="A190" s="28">
        <v>45811</v>
      </c>
      <c r="B190" s="29">
        <v>0.17717930545712299</v>
      </c>
      <c r="C190" s="29">
        <v>0.17722640673460299</v>
      </c>
      <c r="D190" s="29">
        <v>0.17720285</v>
      </c>
      <c r="E190" s="30">
        <v>1.4034099999999899E-3</v>
      </c>
      <c r="F190" s="30">
        <v>0.79830174658122</v>
      </c>
      <c r="G190" s="30">
        <v>-3.4581108102185798</v>
      </c>
      <c r="H190" s="29">
        <v>0.17720285</v>
      </c>
      <c r="I190" s="29">
        <v>0.17720285</v>
      </c>
      <c r="K190">
        <f t="shared" si="4"/>
        <v>7.9830174658122033E-3</v>
      </c>
      <c r="L190">
        <f t="shared" si="5"/>
        <v>2.6580428858793769E-4</v>
      </c>
    </row>
    <row r="191" spans="1:12" x14ac:dyDescent="0.3">
      <c r="A191" s="31">
        <v>45810</v>
      </c>
      <c r="B191" s="32">
        <v>0.17578708668061199</v>
      </c>
      <c r="C191" s="32">
        <v>0.17581181103746499</v>
      </c>
      <c r="D191" s="32">
        <v>0.17579944</v>
      </c>
      <c r="E191" s="33">
        <v>1.34179E-3</v>
      </c>
      <c r="F191" s="33">
        <v>0.76912075796044999</v>
      </c>
      <c r="G191" s="33">
        <v>-4.2227026478093999</v>
      </c>
      <c r="H191" s="32">
        <v>0.17579944</v>
      </c>
      <c r="I191" s="32">
        <v>0.17579944</v>
      </c>
      <c r="K191">
        <f t="shared" si="4"/>
        <v>7.6912075796045087E-3</v>
      </c>
      <c r="L191">
        <f t="shared" si="5"/>
        <v>1.4063956547868039E-4</v>
      </c>
    </row>
    <row r="192" spans="1:12" x14ac:dyDescent="0.3">
      <c r="A192" s="28">
        <v>45807</v>
      </c>
      <c r="B192" s="29">
        <v>0.17444700300048799</v>
      </c>
      <c r="C192" s="29">
        <v>0.174468307831882</v>
      </c>
      <c r="D192" s="29">
        <v>0.17445764999999999</v>
      </c>
      <c r="E192" s="30">
        <v>-2.6902699999999898E-3</v>
      </c>
      <c r="F192" s="30">
        <v>-1.5186574022432699</v>
      </c>
      <c r="G192" s="30">
        <v>-4.9537232916419196</v>
      </c>
      <c r="H192" s="29">
        <v>0.17445764999999999</v>
      </c>
      <c r="I192" s="29">
        <v>0.17445764999999999</v>
      </c>
      <c r="K192">
        <f t="shared" si="4"/>
        <v>-1.5186574022432731E-2</v>
      </c>
      <c r="L192">
        <f t="shared" si="5"/>
        <v>1.2212036212805205E-4</v>
      </c>
    </row>
    <row r="193" spans="1:12" x14ac:dyDescent="0.3">
      <c r="A193" s="31">
        <v>45806</v>
      </c>
      <c r="B193" s="32">
        <v>0.17713850459674399</v>
      </c>
      <c r="C193" s="32">
        <v>0.177157333427817</v>
      </c>
      <c r="D193" s="32">
        <v>0.17714791999999999</v>
      </c>
      <c r="E193" s="33">
        <v>1.6538999999999801E-3</v>
      </c>
      <c r="F193" s="33">
        <v>0.94242527466177295</v>
      </c>
      <c r="G193" s="33">
        <v>-3.4880372249077101</v>
      </c>
      <c r="H193" s="32">
        <v>0.17714791999999999</v>
      </c>
      <c r="I193" s="32">
        <v>0.17714791999999999</v>
      </c>
      <c r="K193">
        <f t="shared" si="4"/>
        <v>9.4242527466177339E-3</v>
      </c>
      <c r="L193">
        <f t="shared" si="5"/>
        <v>1.0628875051434121E-4</v>
      </c>
    </row>
    <row r="194" spans="1:12" x14ac:dyDescent="0.3">
      <c r="A194" s="28">
        <v>45805</v>
      </c>
      <c r="B194" s="29">
        <v>0.175466301696759</v>
      </c>
      <c r="C194" s="29">
        <v>0.17552173836729701</v>
      </c>
      <c r="D194" s="29">
        <v>0.17549402</v>
      </c>
      <c r="E194" s="30">
        <v>-1.3578499999999901E-3</v>
      </c>
      <c r="F194" s="30">
        <v>-0.76778945000693899</v>
      </c>
      <c r="G194" s="30">
        <v>-4.3890985257331598</v>
      </c>
      <c r="H194" s="29">
        <v>0.17549402</v>
      </c>
      <c r="I194" s="29">
        <v>0.17549402</v>
      </c>
      <c r="K194">
        <f t="shared" si="4"/>
        <v>-7.6778945000693932E-3</v>
      </c>
      <c r="L194">
        <f t="shared" si="5"/>
        <v>3.1588922823698522E-4</v>
      </c>
    </row>
    <row r="195" spans="1:12" x14ac:dyDescent="0.3">
      <c r="A195" s="31">
        <v>45804</v>
      </c>
      <c r="B195" s="32">
        <v>0.176831532598893</v>
      </c>
      <c r="C195" s="32">
        <v>0.17687219215395</v>
      </c>
      <c r="D195" s="32">
        <v>0.17685186999999999</v>
      </c>
      <c r="E195" s="33">
        <v>3.1688999999998602E-4</v>
      </c>
      <c r="F195" s="33">
        <v>0.179505500836141</v>
      </c>
      <c r="G195" s="33">
        <v>-3.64932823289451</v>
      </c>
      <c r="H195" s="32">
        <v>0.17685186999999999</v>
      </c>
      <c r="I195" s="32">
        <v>0.17685186999999999</v>
      </c>
      <c r="K195">
        <f t="shared" si="4"/>
        <v>1.7950550083614125E-3</v>
      </c>
      <c r="L195">
        <f t="shared" si="5"/>
        <v>2.2990740814331684E-4</v>
      </c>
    </row>
    <row r="196" spans="1:12" x14ac:dyDescent="0.3">
      <c r="A196" s="28">
        <v>45803</v>
      </c>
      <c r="B196" s="29">
        <v>0.17650381248235</v>
      </c>
      <c r="C196" s="29">
        <v>0.17656614167667201</v>
      </c>
      <c r="D196" s="29">
        <v>0.17653498000000001</v>
      </c>
      <c r="E196" s="30">
        <v>6.2421000000001305E-4</v>
      </c>
      <c r="F196" s="30">
        <v>0.35484467494515298</v>
      </c>
      <c r="G196" s="30">
        <v>-3.8219730818083302</v>
      </c>
      <c r="H196" s="29">
        <v>0.17653498000000001</v>
      </c>
      <c r="I196" s="29">
        <v>0.17653498000000001</v>
      </c>
      <c r="K196">
        <f t="shared" si="4"/>
        <v>3.5484467494515393E-3</v>
      </c>
      <c r="L196">
        <f t="shared" si="5"/>
        <v>3.530699373121564E-4</v>
      </c>
    </row>
    <row r="197" spans="1:12" x14ac:dyDescent="0.3">
      <c r="A197" s="31">
        <v>45800</v>
      </c>
      <c r="B197" s="32">
        <v>0.175892213251719</v>
      </c>
      <c r="C197" s="32">
        <v>0.175929346774335</v>
      </c>
      <c r="D197" s="32">
        <v>0.17591076999999999</v>
      </c>
      <c r="E197" s="33">
        <v>-1.46182E-3</v>
      </c>
      <c r="F197" s="33">
        <v>-0.82415214210944598</v>
      </c>
      <c r="G197" s="33">
        <v>-4.1620489476939797</v>
      </c>
      <c r="H197" s="32">
        <v>0.17591076999999999</v>
      </c>
      <c r="I197" s="32">
        <v>0.17591076999999999</v>
      </c>
      <c r="K197">
        <f t="shared" ref="K197:K260" si="6">D197/D198-1</f>
        <v>-8.2415214210944665E-3</v>
      </c>
      <c r="L197">
        <f t="shared" ref="L197:L260" si="7">(C197-B197)/D197</f>
        <v>2.1109294567922578E-4</v>
      </c>
    </row>
    <row r="198" spans="1:12" x14ac:dyDescent="0.3">
      <c r="A198" s="28">
        <v>45799</v>
      </c>
      <c r="B198" s="29">
        <v>0.177355278093076</v>
      </c>
      <c r="C198" s="29">
        <v>0.17738988522874399</v>
      </c>
      <c r="D198" s="29">
        <v>0.17737259</v>
      </c>
      <c r="E198" s="30">
        <v>2.9682000000000298E-4</v>
      </c>
      <c r="F198" s="30">
        <v>0.167623159283736</v>
      </c>
      <c r="G198" s="30">
        <v>-3.3656347565260201</v>
      </c>
      <c r="H198" s="29">
        <v>0.17737259</v>
      </c>
      <c r="I198" s="29">
        <v>0.17737259</v>
      </c>
      <c r="K198">
        <f t="shared" si="6"/>
        <v>1.6762315928373628E-3</v>
      </c>
      <c r="L198">
        <f t="shared" si="7"/>
        <v>1.9510982879596375E-4</v>
      </c>
    </row>
    <row r="199" spans="1:12" x14ac:dyDescent="0.3">
      <c r="A199" s="31">
        <v>45798</v>
      </c>
      <c r="B199" s="32">
        <v>0.17706009419596999</v>
      </c>
      <c r="C199" s="32">
        <v>0.17709145002479301</v>
      </c>
      <c r="D199" s="32">
        <v>0.17707576999999999</v>
      </c>
      <c r="E199" s="33">
        <v>6.4823999999999405E-4</v>
      </c>
      <c r="F199" s="33">
        <v>0.36742565063399002</v>
      </c>
      <c r="G199" s="33">
        <v>-3.5273452682322999</v>
      </c>
      <c r="H199" s="32">
        <v>0.17707576999999999</v>
      </c>
      <c r="I199" s="32">
        <v>0.17707576999999999</v>
      </c>
      <c r="K199">
        <f t="shared" si="6"/>
        <v>3.6742565063399013E-3</v>
      </c>
      <c r="L199">
        <f t="shared" si="7"/>
        <v>1.7707577283453805E-4</v>
      </c>
    </row>
    <row r="200" spans="1:12" x14ac:dyDescent="0.3">
      <c r="A200" s="28">
        <v>45797</v>
      </c>
      <c r="B200" s="29">
        <v>0.176404177250917</v>
      </c>
      <c r="C200" s="29">
        <v>0.176450867256013</v>
      </c>
      <c r="D200" s="29">
        <v>0.17642753</v>
      </c>
      <c r="E200" s="30">
        <v>-5.3385999999999701E-4</v>
      </c>
      <c r="F200" s="30">
        <v>-0.30168162670964799</v>
      </c>
      <c r="G200" s="30">
        <v>-3.88051291902564</v>
      </c>
      <c r="H200" s="29">
        <v>0.17642753</v>
      </c>
      <c r="I200" s="29">
        <v>0.17642753</v>
      </c>
      <c r="K200">
        <f t="shared" si="6"/>
        <v>-3.0168162670964893E-3</v>
      </c>
      <c r="L200">
        <f t="shared" si="7"/>
        <v>2.6464126713101455E-4</v>
      </c>
    </row>
    <row r="201" spans="1:12" x14ac:dyDescent="0.3">
      <c r="A201" s="31">
        <v>45796</v>
      </c>
      <c r="B201" s="32">
        <v>0.176937912486508</v>
      </c>
      <c r="C201" s="32">
        <v>0.17698488549077901</v>
      </c>
      <c r="D201" s="32">
        <v>0.17696139</v>
      </c>
      <c r="E201" s="33">
        <v>1.47353E-3</v>
      </c>
      <c r="F201" s="33">
        <v>0.83967631721077995</v>
      </c>
      <c r="G201" s="33">
        <v>-3.58966063892486</v>
      </c>
      <c r="H201" s="32">
        <v>0.17696139</v>
      </c>
      <c r="I201" s="32">
        <v>0.17696139</v>
      </c>
      <c r="K201">
        <f t="shared" si="6"/>
        <v>8.3967631721078018E-3</v>
      </c>
      <c r="L201">
        <f t="shared" si="7"/>
        <v>2.6544210729247732E-4</v>
      </c>
    </row>
    <row r="202" spans="1:12" x14ac:dyDescent="0.3">
      <c r="A202" s="28">
        <v>45793</v>
      </c>
      <c r="B202" s="29">
        <v>0.17545090883570799</v>
      </c>
      <c r="C202" s="29">
        <v>0.17552481920943599</v>
      </c>
      <c r="D202" s="29">
        <v>0.17548786</v>
      </c>
      <c r="E202" s="30">
        <v>-1.7511099999999999E-3</v>
      </c>
      <c r="F202" s="30">
        <v>-0.98799378037459595</v>
      </c>
      <c r="G202" s="30">
        <v>-4.3924545554889498</v>
      </c>
      <c r="H202" s="29">
        <v>0.17548786</v>
      </c>
      <c r="I202" s="29">
        <v>0.17548786</v>
      </c>
      <c r="K202">
        <f t="shared" si="6"/>
        <v>-9.879937803745964E-3</v>
      </c>
      <c r="L202">
        <f t="shared" si="7"/>
        <v>4.2117086462848969E-4</v>
      </c>
    </row>
    <row r="203" spans="1:12" x14ac:dyDescent="0.3">
      <c r="A203" s="31">
        <v>45792</v>
      </c>
      <c r="B203" s="32">
        <v>0.17720756321879799</v>
      </c>
      <c r="C203" s="32">
        <v>0.17727039052667001</v>
      </c>
      <c r="D203" s="32">
        <v>0.17723897</v>
      </c>
      <c r="E203" s="33">
        <v>-8.6810000000000999E-4</v>
      </c>
      <c r="F203" s="33">
        <v>-0.48740344782495199</v>
      </c>
      <c r="G203" s="33">
        <v>-3.4384322721051399</v>
      </c>
      <c r="H203" s="32">
        <v>0.17723897</v>
      </c>
      <c r="I203" s="32">
        <v>0.17723897</v>
      </c>
      <c r="K203">
        <f t="shared" si="6"/>
        <v>-4.8740344782495226E-3</v>
      </c>
      <c r="L203">
        <f t="shared" si="7"/>
        <v>3.5447795635475062E-4</v>
      </c>
    </row>
    <row r="204" spans="1:12" x14ac:dyDescent="0.3">
      <c r="A204" s="28">
        <v>45791</v>
      </c>
      <c r="B204" s="29">
        <v>0.178075361492984</v>
      </c>
      <c r="C204" s="29">
        <v>0.17813880575744601</v>
      </c>
      <c r="D204" s="29">
        <v>0.17810707000000001</v>
      </c>
      <c r="E204" s="30">
        <v>4.2248000000000199E-4</v>
      </c>
      <c r="F204" s="30">
        <v>0.23776963438415499</v>
      </c>
      <c r="G204" s="30">
        <v>-2.9654826891517598</v>
      </c>
      <c r="H204" s="29">
        <v>0.17810707000000001</v>
      </c>
      <c r="I204" s="29">
        <v>0.17810707000000001</v>
      </c>
      <c r="K204">
        <f t="shared" si="6"/>
        <v>2.377696343841551E-3</v>
      </c>
      <c r="L204">
        <f t="shared" si="7"/>
        <v>3.5621418319892455E-4</v>
      </c>
    </row>
    <row r="205" spans="1:12" x14ac:dyDescent="0.3">
      <c r="A205" s="31">
        <v>45790</v>
      </c>
      <c r="B205" s="32">
        <v>0.177660916375007</v>
      </c>
      <c r="C205" s="32">
        <v>0.17770827409724199</v>
      </c>
      <c r="D205" s="32">
        <v>0.17768459</v>
      </c>
      <c r="E205" s="33">
        <v>1.7227399999999999E-3</v>
      </c>
      <c r="F205" s="33">
        <v>0.97904176388234898</v>
      </c>
      <c r="G205" s="33">
        <v>-3.1956540286358499</v>
      </c>
      <c r="H205" s="32">
        <v>0.17768459</v>
      </c>
      <c r="I205" s="32">
        <v>0.17768459</v>
      </c>
      <c r="K205">
        <f t="shared" si="6"/>
        <v>9.7904176388234898E-3</v>
      </c>
      <c r="L205">
        <f t="shared" si="7"/>
        <v>2.6652689597331936E-4</v>
      </c>
    </row>
    <row r="206" spans="1:12" x14ac:dyDescent="0.3">
      <c r="A206" s="28">
        <v>45789</v>
      </c>
      <c r="B206" s="29">
        <v>0.175947919415853</v>
      </c>
      <c r="C206" s="29">
        <v>0.17597578573188299</v>
      </c>
      <c r="D206" s="29">
        <v>0.17596185</v>
      </c>
      <c r="E206" s="30">
        <v>-1.1280299999999999E-3</v>
      </c>
      <c r="F206" s="30">
        <v>-0.63698162763451405</v>
      </c>
      <c r="G206" s="30">
        <v>-4.1342200516022096</v>
      </c>
      <c r="H206" s="29">
        <v>0.17596185</v>
      </c>
      <c r="I206" s="29">
        <v>0.17596185</v>
      </c>
      <c r="K206">
        <f t="shared" si="6"/>
        <v>-6.3698162763451416E-3</v>
      </c>
      <c r="L206">
        <f t="shared" si="7"/>
        <v>1.5836566863780546E-4</v>
      </c>
    </row>
    <row r="207" spans="1:12" x14ac:dyDescent="0.3">
      <c r="A207" s="31">
        <v>45786</v>
      </c>
      <c r="B207" s="32">
        <v>0.17706949977866299</v>
      </c>
      <c r="C207" s="32">
        <v>0.17711026885338799</v>
      </c>
      <c r="D207" s="32">
        <v>0.17708988000000001</v>
      </c>
      <c r="E207" s="33">
        <v>9.4515000000000495E-4</v>
      </c>
      <c r="F207" s="33">
        <v>0.53657580331809496</v>
      </c>
      <c r="G207" s="33">
        <v>-3.5196579987754699</v>
      </c>
      <c r="H207" s="32">
        <v>0.17708988000000001</v>
      </c>
      <c r="I207" s="32">
        <v>0.17708988000000001</v>
      </c>
      <c r="K207">
        <f t="shared" si="6"/>
        <v>5.3657580331809562E-3</v>
      </c>
      <c r="L207">
        <f t="shared" si="7"/>
        <v>2.3021685217133818E-4</v>
      </c>
    </row>
    <row r="208" spans="1:12" x14ac:dyDescent="0.3">
      <c r="A208" s="28">
        <v>45785</v>
      </c>
      <c r="B208" s="29">
        <v>0.17612145335423299</v>
      </c>
      <c r="C208" s="29">
        <v>0.17616799379888701</v>
      </c>
      <c r="D208" s="29">
        <v>0.17614473</v>
      </c>
      <c r="E208" s="30">
        <v>1.93325999999999E-3</v>
      </c>
      <c r="F208" s="30">
        <v>1.1097202727237101</v>
      </c>
      <c r="G208" s="30">
        <v>-4.0345851941773603</v>
      </c>
      <c r="H208" s="29">
        <v>0.17614473</v>
      </c>
      <c r="I208" s="29">
        <v>0.17614473</v>
      </c>
      <c r="K208">
        <f t="shared" si="6"/>
        <v>1.1097202727237132E-2</v>
      </c>
      <c r="L208">
        <f t="shared" si="7"/>
        <v>2.642170711211152E-4</v>
      </c>
    </row>
    <row r="209" spans="1:12" x14ac:dyDescent="0.3">
      <c r="A209" s="31">
        <v>45784</v>
      </c>
      <c r="B209" s="32">
        <v>0.17418871605497399</v>
      </c>
      <c r="C209" s="32">
        <v>0.174234240512946</v>
      </c>
      <c r="D209" s="32">
        <v>0.17421147000000001</v>
      </c>
      <c r="E209" s="33">
        <v>-6.9012999999998304E-4</v>
      </c>
      <c r="F209" s="33">
        <v>-0.39458186774734499</v>
      </c>
      <c r="G209" s="33">
        <v>-5.0878446236675599</v>
      </c>
      <c r="H209" s="32">
        <v>0.17421147000000001</v>
      </c>
      <c r="I209" s="32">
        <v>0.17421147000000001</v>
      </c>
      <c r="K209">
        <f t="shared" si="6"/>
        <v>-3.945818677473456E-3</v>
      </c>
      <c r="L209">
        <f t="shared" si="7"/>
        <v>2.6131722539286681E-4</v>
      </c>
    </row>
    <row r="210" spans="1:12" x14ac:dyDescent="0.3">
      <c r="A210" s="28">
        <v>45783</v>
      </c>
      <c r="B210" s="29">
        <v>0.17488020705816501</v>
      </c>
      <c r="C210" s="29">
        <v>0.174923033865099</v>
      </c>
      <c r="D210" s="29">
        <v>0.17490159999999999</v>
      </c>
      <c r="E210" s="30">
        <v>-1.93461999999999E-3</v>
      </c>
      <c r="F210" s="30">
        <v>-1.0940179562761401</v>
      </c>
      <c r="G210" s="30">
        <v>-4.7118548809148697</v>
      </c>
      <c r="H210" s="29">
        <v>0.17490159999999999</v>
      </c>
      <c r="I210" s="29">
        <v>0.17490159999999999</v>
      </c>
      <c r="K210">
        <f t="shared" si="6"/>
        <v>-1.0940179562761498E-2</v>
      </c>
      <c r="L210">
        <f t="shared" si="7"/>
        <v>2.4486229362102841E-4</v>
      </c>
    </row>
    <row r="211" spans="1:12" x14ac:dyDescent="0.3">
      <c r="A211" s="31">
        <v>45782</v>
      </c>
      <c r="B211" s="32">
        <v>0.17681277295471801</v>
      </c>
      <c r="C211" s="32">
        <v>0.17685967953026099</v>
      </c>
      <c r="D211" s="32">
        <v>0.17683621999999999</v>
      </c>
      <c r="E211" s="33">
        <v>-6.5758000000001795E-4</v>
      </c>
      <c r="F211" s="33">
        <v>-0.37048054636276101</v>
      </c>
      <c r="G211" s="33">
        <v>-3.6578545097902802</v>
      </c>
      <c r="H211" s="32">
        <v>0.17683621999999999</v>
      </c>
      <c r="I211" s="32">
        <v>0.17683621999999999</v>
      </c>
      <c r="K211">
        <f t="shared" si="6"/>
        <v>-3.704805463627614E-3</v>
      </c>
      <c r="L211">
        <f t="shared" si="7"/>
        <v>2.6525434406473745E-4</v>
      </c>
    </row>
    <row r="212" spans="1:12" x14ac:dyDescent="0.3">
      <c r="A212" s="28">
        <v>45779</v>
      </c>
      <c r="B212" s="29">
        <v>0.17747803709290999</v>
      </c>
      <c r="C212" s="29">
        <v>0.17750954113783601</v>
      </c>
      <c r="D212" s="29">
        <v>0.17749380000000001</v>
      </c>
      <c r="E212" s="30">
        <v>1.2668299999999901E-3</v>
      </c>
      <c r="F212" s="30">
        <v>0.71886272572239096</v>
      </c>
      <c r="G212" s="30">
        <v>-3.2995983333607399</v>
      </c>
      <c r="H212" s="29">
        <v>0.17749380000000001</v>
      </c>
      <c r="I212" s="29">
        <v>0.17749380000000001</v>
      </c>
      <c r="K212">
        <f t="shared" si="6"/>
        <v>7.1886272572239118E-3</v>
      </c>
      <c r="L212">
        <f t="shared" si="7"/>
        <v>1.7749377683064354E-4</v>
      </c>
    </row>
    <row r="213" spans="1:12" x14ac:dyDescent="0.3">
      <c r="A213" s="31">
        <v>45778</v>
      </c>
      <c r="B213" s="32">
        <v>0.17619592987402</v>
      </c>
      <c r="C213" s="32">
        <v>0.17625804177315599</v>
      </c>
      <c r="D213" s="32">
        <v>0.17622697000000001</v>
      </c>
      <c r="E213" s="33">
        <v>-4.07789999999991E-4</v>
      </c>
      <c r="F213" s="33">
        <v>-0.230866223613057</v>
      </c>
      <c r="G213" s="33">
        <v>-3.9897800176975902</v>
      </c>
      <c r="H213" s="32">
        <v>0.17622697000000001</v>
      </c>
      <c r="I213" s="32">
        <v>0.17622697000000001</v>
      </c>
      <c r="K213">
        <f t="shared" si="6"/>
        <v>-2.3086622361305764E-3</v>
      </c>
      <c r="L213">
        <f t="shared" si="7"/>
        <v>3.5245399234856879E-4</v>
      </c>
    </row>
    <row r="214" spans="1:12" x14ac:dyDescent="0.3">
      <c r="A214" s="28">
        <v>45777</v>
      </c>
      <c r="B214" s="29">
        <v>0.17660667926460999</v>
      </c>
      <c r="C214" s="29">
        <v>0.176662838971822</v>
      </c>
      <c r="D214" s="29">
        <v>0.17663476</v>
      </c>
      <c r="E214" s="30">
        <v>-4.8805999999998402E-4</v>
      </c>
      <c r="F214" s="30">
        <v>-0.27554891007267601</v>
      </c>
      <c r="G214" s="30">
        <v>-3.7676119374849999</v>
      </c>
      <c r="H214" s="29">
        <v>0.17663476</v>
      </c>
      <c r="I214" s="29">
        <v>0.17663476</v>
      </c>
      <c r="K214">
        <f t="shared" si="6"/>
        <v>-2.7554891007267601E-3</v>
      </c>
      <c r="L214">
        <f t="shared" si="7"/>
        <v>3.1794255678786694E-4</v>
      </c>
    </row>
    <row r="215" spans="1:12" x14ac:dyDescent="0.3">
      <c r="A215" s="31">
        <v>45776</v>
      </c>
      <c r="B215" s="32">
        <v>0.17710085893916599</v>
      </c>
      <c r="C215" s="32">
        <v>0.177144780429045</v>
      </c>
      <c r="D215" s="32">
        <v>0.17712281999999999</v>
      </c>
      <c r="E215" s="33">
        <v>8.8029999999997201E-4</v>
      </c>
      <c r="F215" s="33">
        <v>0.49948219079025602</v>
      </c>
      <c r="G215" s="33">
        <v>-3.5017119565424601</v>
      </c>
      <c r="H215" s="32">
        <v>0.17712281999999999</v>
      </c>
      <c r="I215" s="32">
        <v>0.17712281999999999</v>
      </c>
      <c r="K215">
        <f t="shared" si="6"/>
        <v>4.9948219079025691E-3</v>
      </c>
      <c r="L215">
        <f t="shared" si="7"/>
        <v>2.4797194330465605E-4</v>
      </c>
    </row>
    <row r="216" spans="1:12" x14ac:dyDescent="0.3">
      <c r="A216" s="28">
        <v>45775</v>
      </c>
      <c r="B216" s="29">
        <v>0.17623319175933599</v>
      </c>
      <c r="C216" s="29">
        <v>0.17625182861272201</v>
      </c>
      <c r="D216" s="29">
        <v>0.17624252000000001</v>
      </c>
      <c r="E216" s="30">
        <v>1.4587000000001999E-4</v>
      </c>
      <c r="F216" s="30">
        <v>8.2835193060182194E-2</v>
      </c>
      <c r="G216" s="30">
        <v>-3.9813082218043498</v>
      </c>
      <c r="H216" s="29">
        <v>0.17624252000000001</v>
      </c>
      <c r="I216" s="29">
        <v>0.17624252000000001</v>
      </c>
      <c r="K216">
        <f t="shared" si="6"/>
        <v>8.2835193060182277E-4</v>
      </c>
      <c r="L216">
        <f t="shared" si="7"/>
        <v>1.0574549992826396E-4</v>
      </c>
    </row>
    <row r="217" spans="1:12" x14ac:dyDescent="0.3">
      <c r="A217" s="31">
        <v>45772</v>
      </c>
      <c r="B217" s="32">
        <v>0.17606873723501701</v>
      </c>
      <c r="C217" s="32">
        <v>0.176124555285498</v>
      </c>
      <c r="D217" s="32">
        <v>0.17609664999999999</v>
      </c>
      <c r="E217" s="33">
        <v>-1.08600000000014E-4</v>
      </c>
      <c r="F217" s="33">
        <v>-6.1632669855193799E-2</v>
      </c>
      <c r="G217" s="33">
        <v>-4.0607796601932602</v>
      </c>
      <c r="H217" s="32">
        <v>0.17609664999999999</v>
      </c>
      <c r="I217" s="32">
        <v>0.17609664999999999</v>
      </c>
      <c r="K217">
        <f t="shared" si="6"/>
        <v>-6.1632669855193889E-4</v>
      </c>
      <c r="L217">
        <f t="shared" si="7"/>
        <v>3.1697394857309059E-4</v>
      </c>
    </row>
    <row r="218" spans="1:12" x14ac:dyDescent="0.3">
      <c r="A218" s="28">
        <v>45771</v>
      </c>
      <c r="B218" s="29">
        <v>0.17619592987402</v>
      </c>
      <c r="C218" s="29">
        <v>0.176214558846852</v>
      </c>
      <c r="D218" s="29">
        <v>0.17620525000000001</v>
      </c>
      <c r="E218" s="30">
        <v>5.6482000000002098E-4</v>
      </c>
      <c r="F218" s="30">
        <v>0.321577440911546</v>
      </c>
      <c r="G218" s="30">
        <v>-4.0016132914468701</v>
      </c>
      <c r="H218" s="29">
        <v>0.17620525000000001</v>
      </c>
      <c r="I218" s="29">
        <v>0.17620525000000001</v>
      </c>
      <c r="K218">
        <f t="shared" si="6"/>
        <v>3.2157744091154683E-3</v>
      </c>
      <c r="L218">
        <f t="shared" si="7"/>
        <v>1.0572314293701325E-4</v>
      </c>
    </row>
    <row r="219" spans="1:12" x14ac:dyDescent="0.3">
      <c r="A219" s="31">
        <v>45770</v>
      </c>
      <c r="B219" s="32">
        <v>0.175623463294696</v>
      </c>
      <c r="C219" s="32">
        <v>0.17565739781130901</v>
      </c>
      <c r="D219" s="32">
        <v>0.17564042999999999</v>
      </c>
      <c r="E219" s="33">
        <v>1.80145999999997E-3</v>
      </c>
      <c r="F219" s="33">
        <v>1.0362808753411099</v>
      </c>
      <c r="G219" s="33">
        <v>-4.3093328899306096</v>
      </c>
      <c r="H219" s="32">
        <v>0.17564042999999999</v>
      </c>
      <c r="I219" s="32">
        <v>0.17564042999999999</v>
      </c>
      <c r="K219">
        <f t="shared" si="6"/>
        <v>1.0362808753411112E-2</v>
      </c>
      <c r="L219">
        <f t="shared" si="7"/>
        <v>1.9320447241569387E-4</v>
      </c>
    </row>
    <row r="220" spans="1:12" x14ac:dyDescent="0.3">
      <c r="A220" s="28">
        <v>45769</v>
      </c>
      <c r="B220" s="29">
        <v>0.17382839660686999</v>
      </c>
      <c r="C220" s="29">
        <v>0.17384955059891199</v>
      </c>
      <c r="D220" s="29">
        <v>0.17383897000000001</v>
      </c>
      <c r="E220" s="30">
        <v>1.63597000000001E-3</v>
      </c>
      <c r="F220" s="30">
        <v>0.95002409946400801</v>
      </c>
      <c r="G220" s="30">
        <v>-5.2907863580876997</v>
      </c>
      <c r="H220" s="29">
        <v>0.17383897000000001</v>
      </c>
      <c r="I220" s="29">
        <v>0.17383897000000001</v>
      </c>
      <c r="K220">
        <f t="shared" si="6"/>
        <v>9.5002409946400856E-3</v>
      </c>
      <c r="L220">
        <f t="shared" si="7"/>
        <v>1.2168728359354683E-4</v>
      </c>
    </row>
    <row r="221" spans="1:12" x14ac:dyDescent="0.3">
      <c r="A221" s="31">
        <v>45768</v>
      </c>
      <c r="B221" s="32">
        <v>0.17218223768036101</v>
      </c>
      <c r="C221" s="32">
        <v>0.17222375310002799</v>
      </c>
      <c r="D221" s="32">
        <v>0.17220299999999999</v>
      </c>
      <c r="E221" s="33">
        <v>1.54615999999999E-3</v>
      </c>
      <c r="F221" s="33">
        <v>0.90600529108588701</v>
      </c>
      <c r="G221" s="33">
        <v>-6.1820792151597397</v>
      </c>
      <c r="H221" s="32">
        <v>0.17220299999999999</v>
      </c>
      <c r="I221" s="32">
        <v>0.17220299999999999</v>
      </c>
      <c r="K221">
        <f t="shared" si="6"/>
        <v>9.0600529108588734E-3</v>
      </c>
      <c r="L221">
        <f t="shared" si="7"/>
        <v>2.4108418359138677E-4</v>
      </c>
    </row>
    <row r="222" spans="1:12" x14ac:dyDescent="0.3">
      <c r="A222" s="28">
        <v>45765</v>
      </c>
      <c r="B222" s="29">
        <v>0.17063390495691499</v>
      </c>
      <c r="C222" s="29">
        <v>0.17068050316612299</v>
      </c>
      <c r="D222" s="29">
        <v>0.17065684</v>
      </c>
      <c r="E222" s="30">
        <v>-3.4999999998230801E-7</v>
      </c>
      <c r="F222" s="30">
        <v>-2.05089513061196E-4</v>
      </c>
      <c r="G222" s="30">
        <v>-7.0244426838605696</v>
      </c>
      <c r="H222" s="29">
        <v>0.17065684</v>
      </c>
      <c r="I222" s="29">
        <v>0.17065684</v>
      </c>
      <c r="K222">
        <f t="shared" si="6"/>
        <v>-2.0508951306119627E-6</v>
      </c>
      <c r="L222">
        <f t="shared" si="7"/>
        <v>2.7305210390625461E-4</v>
      </c>
    </row>
    <row r="223" spans="1:12" x14ac:dyDescent="0.3">
      <c r="A223" s="31">
        <v>45764</v>
      </c>
      <c r="B223" s="32">
        <v>0.17063390495691499</v>
      </c>
      <c r="C223" s="32">
        <v>0.17068050316612299</v>
      </c>
      <c r="D223" s="32">
        <v>0.17065718999999999</v>
      </c>
      <c r="E223" s="33">
        <v>6.6287999999997595E-4</v>
      </c>
      <c r="F223" s="33">
        <v>0.38994246336832</v>
      </c>
      <c r="G223" s="33">
        <v>-7.0242520003517201</v>
      </c>
      <c r="H223" s="32">
        <v>0.17065718999999999</v>
      </c>
      <c r="I223" s="32">
        <v>0.17065718999999999</v>
      </c>
      <c r="K223">
        <f t="shared" si="6"/>
        <v>3.8994246336832017E-3</v>
      </c>
      <c r="L223">
        <f t="shared" si="7"/>
        <v>2.7305154390502428E-4</v>
      </c>
    </row>
    <row r="224" spans="1:12" x14ac:dyDescent="0.3">
      <c r="A224" s="28">
        <v>45763</v>
      </c>
      <c r="B224" s="29">
        <v>0.16996396763886101</v>
      </c>
      <c r="C224" s="29">
        <v>0.17002465357476801</v>
      </c>
      <c r="D224" s="29">
        <v>0.16999431000000001</v>
      </c>
      <c r="E224" s="30">
        <v>-1.22889999999986E-4</v>
      </c>
      <c r="F224" s="30">
        <v>-7.22384332683456E-2</v>
      </c>
      <c r="G224" s="30">
        <v>-7.3853956699152796</v>
      </c>
      <c r="H224" s="29">
        <v>0.16999431000000001</v>
      </c>
      <c r="I224" s="29">
        <v>0.16999431000000001</v>
      </c>
      <c r="K224">
        <f t="shared" si="6"/>
        <v>-7.223843326834567E-4</v>
      </c>
      <c r="L224">
        <f t="shared" si="7"/>
        <v>3.5698804217032651E-4</v>
      </c>
    </row>
    <row r="225" spans="1:12" x14ac:dyDescent="0.3">
      <c r="A225" s="31">
        <v>45762</v>
      </c>
      <c r="B225" s="32">
        <v>0.170099848611135</v>
      </c>
      <c r="C225" s="32">
        <v>0.17013457644997201</v>
      </c>
      <c r="D225" s="32">
        <v>0.1701172</v>
      </c>
      <c r="E225" s="33">
        <v>-1.05265000000001E-3</v>
      </c>
      <c r="F225" s="33">
        <v>-0.61497395715426295</v>
      </c>
      <c r="G225" s="33">
        <v>-7.3184439659075204</v>
      </c>
      <c r="H225" s="32">
        <v>0.1701172</v>
      </c>
      <c r="I225" s="32">
        <v>0.1701172</v>
      </c>
      <c r="K225">
        <f t="shared" si="6"/>
        <v>-6.149739571542634E-3</v>
      </c>
      <c r="L225">
        <f t="shared" si="7"/>
        <v>2.0414066794546365E-4</v>
      </c>
    </row>
    <row r="226" spans="1:12" x14ac:dyDescent="0.3">
      <c r="A226" s="28">
        <v>45761</v>
      </c>
      <c r="B226" s="29">
        <v>0.17114788889079099</v>
      </c>
      <c r="C226" s="29">
        <v>0.17119183757318501</v>
      </c>
      <c r="D226" s="29">
        <v>0.17116985000000001</v>
      </c>
      <c r="E226" s="30">
        <v>1.4107400000000199E-3</v>
      </c>
      <c r="F226" s="30">
        <v>0.83102462071109595</v>
      </c>
      <c r="G226" s="30">
        <v>-6.7449496927870598</v>
      </c>
      <c r="H226" s="29">
        <v>0.17116985000000001</v>
      </c>
      <c r="I226" s="29">
        <v>0.17116985000000001</v>
      </c>
      <c r="K226">
        <f t="shared" si="6"/>
        <v>8.3102462071109606E-3</v>
      </c>
      <c r="L226">
        <f t="shared" si="7"/>
        <v>2.5675481046468331E-4</v>
      </c>
    </row>
    <row r="227" spans="1:12" x14ac:dyDescent="0.3">
      <c r="A227" s="31">
        <v>45758</v>
      </c>
      <c r="B227" s="32">
        <v>0.16973317944191699</v>
      </c>
      <c r="C227" s="32">
        <v>0.16978505212401099</v>
      </c>
      <c r="D227" s="32">
        <v>0.16975910999999999</v>
      </c>
      <c r="E227" s="33">
        <v>8.2876999999997804E-4</v>
      </c>
      <c r="F227" s="33">
        <v>0.49059866925027501</v>
      </c>
      <c r="G227" s="33">
        <v>-7.5135349878632596</v>
      </c>
      <c r="H227" s="32">
        <v>0.16975910999999999</v>
      </c>
      <c r="I227" s="32">
        <v>0.16975910999999999</v>
      </c>
      <c r="K227">
        <f t="shared" si="6"/>
        <v>4.9059866925027507E-3</v>
      </c>
      <c r="L227">
        <f t="shared" si="7"/>
        <v>3.0556641168771892E-4</v>
      </c>
    </row>
    <row r="228" spans="1:12" x14ac:dyDescent="0.3">
      <c r="A228" s="28">
        <v>45757</v>
      </c>
      <c r="B228" s="29">
        <v>0.16891606560700001</v>
      </c>
      <c r="C228" s="29">
        <v>0.168944603064655</v>
      </c>
      <c r="D228" s="29">
        <v>0.16893034000000001</v>
      </c>
      <c r="E228" s="30">
        <v>4.0022900000000099E-3</v>
      </c>
      <c r="F228" s="30">
        <v>2.4266884862823499</v>
      </c>
      <c r="G228" s="30">
        <v>-7.9650571925220097</v>
      </c>
      <c r="H228" s="29">
        <v>0.16893034000000001</v>
      </c>
      <c r="I228" s="29">
        <v>0.16893034000000001</v>
      </c>
      <c r="K228">
        <f t="shared" si="6"/>
        <v>2.4266884862823579E-2</v>
      </c>
      <c r="L228">
        <f t="shared" si="7"/>
        <v>1.6893032746511007E-4</v>
      </c>
    </row>
    <row r="229" spans="1:12" x14ac:dyDescent="0.3">
      <c r="A229" s="31">
        <v>45756</v>
      </c>
      <c r="B229" s="32">
        <v>0.16491581047875101</v>
      </c>
      <c r="C229" s="32">
        <v>0.16494029161443599</v>
      </c>
      <c r="D229" s="32">
        <v>0.16492804999999999</v>
      </c>
      <c r="E229" s="33">
        <v>-3.2409299999999999E-3</v>
      </c>
      <c r="F229" s="33">
        <v>-1.9271865715068199</v>
      </c>
      <c r="G229" s="33">
        <v>-10.1455449086359</v>
      </c>
      <c r="H229" s="32">
        <v>0.16492804999999999</v>
      </c>
      <c r="I229" s="32">
        <v>0.16492804999999999</v>
      </c>
      <c r="K229">
        <f t="shared" si="6"/>
        <v>-1.9271865715068226E-2</v>
      </c>
      <c r="L229">
        <f t="shared" si="7"/>
        <v>1.4843524606629309E-4</v>
      </c>
    </row>
    <row r="230" spans="1:12" x14ac:dyDescent="0.3">
      <c r="A230" s="28">
        <v>45755</v>
      </c>
      <c r="B230" s="29">
        <v>0.168154836973886</v>
      </c>
      <c r="C230" s="29">
        <v>0.16818311777863701</v>
      </c>
      <c r="D230" s="29">
        <v>0.16816898</v>
      </c>
      <c r="E230" s="30">
        <v>-2.04089000000001E-3</v>
      </c>
      <c r="F230" s="30">
        <v>-1.19904327522253</v>
      </c>
      <c r="G230" s="30">
        <v>-8.3798537533760395</v>
      </c>
      <c r="H230" s="29">
        <v>0.16816898</v>
      </c>
      <c r="I230" s="29">
        <v>0.16816898</v>
      </c>
      <c r="K230">
        <f t="shared" si="6"/>
        <v>-1.1990432752225333E-2</v>
      </c>
      <c r="L230">
        <f t="shared" si="7"/>
        <v>1.6816897355866387E-4</v>
      </c>
    </row>
    <row r="231" spans="1:12" x14ac:dyDescent="0.3">
      <c r="A231" s="31">
        <v>45754</v>
      </c>
      <c r="B231" s="32">
        <v>0.17016642276146099</v>
      </c>
      <c r="C231" s="32">
        <v>0.17025333696540501</v>
      </c>
      <c r="D231" s="32">
        <v>0.17020987000000001</v>
      </c>
      <c r="E231" s="33">
        <v>-1.77691999999998E-3</v>
      </c>
      <c r="F231" s="33">
        <v>-1.0331723732967899</v>
      </c>
      <c r="G231" s="33">
        <v>-7.26795642086398</v>
      </c>
      <c r="H231" s="32">
        <v>0.17020987000000001</v>
      </c>
      <c r="I231" s="32">
        <v>0.17020987000000001</v>
      </c>
      <c r="K231">
        <f t="shared" si="6"/>
        <v>-1.0331723732967979E-2</v>
      </c>
      <c r="L231">
        <f t="shared" si="7"/>
        <v>5.1062963589609594E-4</v>
      </c>
    </row>
    <row r="232" spans="1:12" x14ac:dyDescent="0.3">
      <c r="A232" s="28">
        <v>45751</v>
      </c>
      <c r="B232" s="29">
        <v>0.17196608828738999</v>
      </c>
      <c r="C232" s="29">
        <v>0.172007499526979</v>
      </c>
      <c r="D232" s="29">
        <v>0.17198679</v>
      </c>
      <c r="E232" s="30">
        <v>-6.6883399999999801E-3</v>
      </c>
      <c r="F232" s="30">
        <v>-3.7432965628736299</v>
      </c>
      <c r="G232" s="30">
        <v>-6.2998725907274702</v>
      </c>
      <c r="H232" s="29">
        <v>0.17198679</v>
      </c>
      <c r="I232" s="29">
        <v>0.17198679</v>
      </c>
      <c r="K232">
        <f t="shared" si="6"/>
        <v>-3.7432965628736325E-2</v>
      </c>
      <c r="L232">
        <f t="shared" si="7"/>
        <v>2.4078151344650655E-4</v>
      </c>
    </row>
    <row r="233" spans="1:12" x14ac:dyDescent="0.3">
      <c r="A233" s="31">
        <v>45750</v>
      </c>
      <c r="B233" s="32">
        <v>0.17865118356409099</v>
      </c>
      <c r="C233" s="32">
        <v>0.17869907076483199</v>
      </c>
      <c r="D233" s="32">
        <v>0.17867512999999999</v>
      </c>
      <c r="E233" s="33">
        <v>3.3595599999999802E-3</v>
      </c>
      <c r="F233" s="33">
        <v>1.9162930023842</v>
      </c>
      <c r="G233" s="33">
        <v>-2.6559979061861099</v>
      </c>
      <c r="H233" s="32">
        <v>0.17867512999999999</v>
      </c>
      <c r="I233" s="32">
        <v>0.17867512999999999</v>
      </c>
      <c r="K233">
        <f t="shared" si="6"/>
        <v>1.9162930023842062E-2</v>
      </c>
      <c r="L233">
        <f t="shared" si="7"/>
        <v>2.68012681681013E-4</v>
      </c>
    </row>
    <row r="234" spans="1:12" x14ac:dyDescent="0.3">
      <c r="A234" s="28">
        <v>45749</v>
      </c>
      <c r="B234" s="29">
        <v>0.17530020159523199</v>
      </c>
      <c r="C234" s="29">
        <v>0.175330937143859</v>
      </c>
      <c r="D234" s="29">
        <v>0.17531557</v>
      </c>
      <c r="E234" s="30">
        <v>-3.80419999999992E-4</v>
      </c>
      <c r="F234" s="30">
        <v>-0.21652173165704799</v>
      </c>
      <c r="G234" s="30">
        <v>-4.4863198747459796</v>
      </c>
      <c r="H234" s="29">
        <v>0.17531557</v>
      </c>
      <c r="I234" s="29">
        <v>0.17531557</v>
      </c>
      <c r="K234">
        <f t="shared" si="6"/>
        <v>-2.1652173165704891E-3</v>
      </c>
      <c r="L234">
        <f t="shared" si="7"/>
        <v>1.753155673908991E-4</v>
      </c>
    </row>
    <row r="235" spans="1:12" x14ac:dyDescent="0.3">
      <c r="A235" s="31">
        <v>45748</v>
      </c>
      <c r="B235" s="32">
        <v>0.17568517217146901</v>
      </c>
      <c r="C235" s="32">
        <v>0.17570678052465999</v>
      </c>
      <c r="D235" s="32">
        <v>0.17569599</v>
      </c>
      <c r="E235" s="33">
        <v>1.1043099999999901E-3</v>
      </c>
      <c r="F235" s="33">
        <v>0.63251009440998796</v>
      </c>
      <c r="G235" s="33">
        <v>-4.2790632449255499</v>
      </c>
      <c r="H235" s="32">
        <v>0.17569599</v>
      </c>
      <c r="I235" s="32">
        <v>0.17569599</v>
      </c>
      <c r="K235">
        <f t="shared" si="6"/>
        <v>6.3251009440998818E-3</v>
      </c>
      <c r="L235">
        <f t="shared" si="7"/>
        <v>1.2298717341803164E-4</v>
      </c>
    </row>
    <row r="236" spans="1:12" x14ac:dyDescent="0.3">
      <c r="A236" s="28">
        <v>45747</v>
      </c>
      <c r="B236" s="29">
        <v>0.17456881502688401</v>
      </c>
      <c r="C236" s="29">
        <v>0.17461453840646801</v>
      </c>
      <c r="D236" s="29">
        <v>0.17459168</v>
      </c>
      <c r="E236" s="30">
        <v>1.2033199999999999E-3</v>
      </c>
      <c r="F236" s="30">
        <v>0.69400275773991904</v>
      </c>
      <c r="G236" s="30">
        <v>-4.88070240395243</v>
      </c>
      <c r="H236" s="29">
        <v>0.17459168</v>
      </c>
      <c r="I236" s="29">
        <v>0.17459168</v>
      </c>
      <c r="K236">
        <f t="shared" si="6"/>
        <v>6.9400275773991993E-3</v>
      </c>
      <c r="L236">
        <f t="shared" si="7"/>
        <v>2.6188750565892162E-4</v>
      </c>
    </row>
    <row r="237" spans="1:12" x14ac:dyDescent="0.3">
      <c r="A237" s="31">
        <v>45744</v>
      </c>
      <c r="B237" s="32">
        <v>0.17336731332674499</v>
      </c>
      <c r="C237" s="32">
        <v>0.17340940225779</v>
      </c>
      <c r="D237" s="32">
        <v>0.17338835999999999</v>
      </c>
      <c r="E237" s="33">
        <v>-9.7500000000000299E-4</v>
      </c>
      <c r="F237" s="33">
        <v>-0.559177111521591</v>
      </c>
      <c r="G237" s="33">
        <v>-5.5362832035831904</v>
      </c>
      <c r="H237" s="32">
        <v>0.17338835999999999</v>
      </c>
      <c r="I237" s="32">
        <v>0.17338835999999999</v>
      </c>
      <c r="K237">
        <f t="shared" si="6"/>
        <v>-5.5917711152159155E-3</v>
      </c>
      <c r="L237">
        <f t="shared" si="7"/>
        <v>2.4274369424230407E-4</v>
      </c>
    </row>
    <row r="238" spans="1:12" x14ac:dyDescent="0.3">
      <c r="A238" s="28">
        <v>45743</v>
      </c>
      <c r="B238" s="29">
        <v>0.174343596359706</v>
      </c>
      <c r="C238" s="29">
        <v>0.17438311971401199</v>
      </c>
      <c r="D238" s="29">
        <v>0.17436336</v>
      </c>
      <c r="E238" s="30">
        <v>5.9279999999994797E-5</v>
      </c>
      <c r="F238" s="30">
        <v>3.4009530930090202E-2</v>
      </c>
      <c r="G238" s="30">
        <v>-5.0050934289264202</v>
      </c>
      <c r="H238" s="29">
        <v>0.17436336</v>
      </c>
      <c r="I238" s="29">
        <v>0.17436336</v>
      </c>
      <c r="K238">
        <f t="shared" si="6"/>
        <v>3.4009530930090293E-4</v>
      </c>
      <c r="L238">
        <f t="shared" si="7"/>
        <v>2.2667235998427061E-4</v>
      </c>
    </row>
    <row r="239" spans="1:12" x14ac:dyDescent="0.3">
      <c r="A239" s="31">
        <v>45742</v>
      </c>
      <c r="B239" s="32">
        <v>0.174288901282766</v>
      </c>
      <c r="C239" s="32">
        <v>0.174319283199107</v>
      </c>
      <c r="D239" s="32">
        <v>0.17430408</v>
      </c>
      <c r="E239" s="33">
        <v>-1.59122E-3</v>
      </c>
      <c r="F239" s="33">
        <v>-0.90464043098365998</v>
      </c>
      <c r="G239" s="33">
        <v>-5.0373897672255499</v>
      </c>
      <c r="H239" s="32">
        <v>0.17430408</v>
      </c>
      <c r="I239" s="32">
        <v>0.17430408</v>
      </c>
      <c r="K239">
        <f t="shared" si="6"/>
        <v>-9.0464043098366087E-3</v>
      </c>
      <c r="L239">
        <f t="shared" si="7"/>
        <v>1.7430410315696037E-4</v>
      </c>
    </row>
    <row r="240" spans="1:12" x14ac:dyDescent="0.3">
      <c r="A240" s="28">
        <v>45741</v>
      </c>
      <c r="B240" s="29">
        <v>0.175879838894068</v>
      </c>
      <c r="C240" s="29">
        <v>0.17591077805337099</v>
      </c>
      <c r="D240" s="29">
        <v>0.1758953</v>
      </c>
      <c r="E240" s="30">
        <v>1.38589999999999E-3</v>
      </c>
      <c r="F240" s="30">
        <v>0.79416925391983995</v>
      </c>
      <c r="G240" s="30">
        <v>-4.1704771587851903</v>
      </c>
      <c r="H240" s="29">
        <v>0.1758953</v>
      </c>
      <c r="I240" s="29">
        <v>0.1758953</v>
      </c>
      <c r="K240">
        <f t="shared" si="6"/>
        <v>7.9416925391984083E-3</v>
      </c>
      <c r="L240">
        <f t="shared" si="7"/>
        <v>1.7589531558259412E-4</v>
      </c>
    </row>
    <row r="241" spans="1:12" x14ac:dyDescent="0.3">
      <c r="A241" s="31">
        <v>45740</v>
      </c>
      <c r="B241" s="32">
        <v>0.174486573258188</v>
      </c>
      <c r="C241" s="32">
        <v>0.17453225356045801</v>
      </c>
      <c r="D241" s="32">
        <v>0.17450940000000001</v>
      </c>
      <c r="E241" s="33">
        <v>-1.9969999999999699E-4</v>
      </c>
      <c r="F241" s="33">
        <v>-0.114304292106137</v>
      </c>
      <c r="G241" s="33">
        <v>-4.9255293728332097</v>
      </c>
      <c r="H241" s="32">
        <v>0.17450940000000001</v>
      </c>
      <c r="I241" s="32">
        <v>0.17450940000000001</v>
      </c>
      <c r="K241">
        <f t="shared" si="6"/>
        <v>-1.1430429210613768E-3</v>
      </c>
      <c r="L241">
        <f t="shared" si="7"/>
        <v>2.6176413574287093E-4</v>
      </c>
    </row>
    <row r="242" spans="1:12" x14ac:dyDescent="0.3">
      <c r="A242" s="28">
        <v>45737</v>
      </c>
      <c r="B242" s="29">
        <v>0.17468774565464201</v>
      </c>
      <c r="C242" s="29">
        <v>0.17473047823731899</v>
      </c>
      <c r="D242" s="29">
        <v>0.17470910000000001</v>
      </c>
      <c r="E242" s="30">
        <v>-1.5039000000000001E-3</v>
      </c>
      <c r="F242" s="30">
        <v>-0.85345576092570297</v>
      </c>
      <c r="G242" s="30">
        <v>-4.8167308107829996</v>
      </c>
      <c r="H242" s="29">
        <v>0.17470910000000001</v>
      </c>
      <c r="I242" s="29">
        <v>0.17470910000000001</v>
      </c>
      <c r="K242">
        <f t="shared" si="6"/>
        <v>-8.5345576092570319E-3</v>
      </c>
      <c r="L242">
        <f t="shared" si="7"/>
        <v>2.4459276979264257E-4</v>
      </c>
    </row>
    <row r="243" spans="1:12" x14ac:dyDescent="0.3">
      <c r="A243" s="31">
        <v>45736</v>
      </c>
      <c r="B243" s="32">
        <v>0.17619282542814901</v>
      </c>
      <c r="C243" s="32">
        <v>0.17623319175933599</v>
      </c>
      <c r="D243" s="32">
        <v>0.17621300000000001</v>
      </c>
      <c r="E243" s="33">
        <v>-7.7658999999999302E-4</v>
      </c>
      <c r="F243" s="33">
        <v>-0.43877721847934698</v>
      </c>
      <c r="G243" s="33">
        <v>-3.9973910137508799</v>
      </c>
      <c r="H243" s="32">
        <v>0.17621300000000001</v>
      </c>
      <c r="I243" s="32">
        <v>0.17621300000000001</v>
      </c>
      <c r="K243">
        <f t="shared" si="6"/>
        <v>-4.3877721847934703E-3</v>
      </c>
      <c r="L243">
        <f t="shared" si="7"/>
        <v>2.2907691933614789E-4</v>
      </c>
    </row>
    <row r="244" spans="1:12" x14ac:dyDescent="0.3">
      <c r="A244" s="28">
        <v>45735</v>
      </c>
      <c r="B244" s="29">
        <v>0.17696922505176399</v>
      </c>
      <c r="C244" s="29">
        <v>0.17700994795907499</v>
      </c>
      <c r="D244" s="29">
        <v>0.17698959</v>
      </c>
      <c r="E244" s="30">
        <v>6.7248999999999705E-4</v>
      </c>
      <c r="F244" s="30">
        <v>0.381409403852495</v>
      </c>
      <c r="G244" s="30">
        <v>-3.5742969962117002</v>
      </c>
      <c r="H244" s="29">
        <v>0.17698959</v>
      </c>
      <c r="I244" s="29">
        <v>0.17698959</v>
      </c>
      <c r="K244">
        <f t="shared" si="6"/>
        <v>3.8140940385249511E-3</v>
      </c>
      <c r="L244">
        <f t="shared" si="7"/>
        <v>2.3008645486436319E-4</v>
      </c>
    </row>
    <row r="245" spans="1:12" x14ac:dyDescent="0.3">
      <c r="A245" s="31">
        <v>45734</v>
      </c>
      <c r="B245" s="32">
        <v>0.17629532993670999</v>
      </c>
      <c r="C245" s="32">
        <v>0.17633885273942401</v>
      </c>
      <c r="D245" s="32">
        <v>0.1763171</v>
      </c>
      <c r="E245" s="33">
        <v>5.1300000000001301E-4</v>
      </c>
      <c r="F245" s="33">
        <v>0.291802068324931</v>
      </c>
      <c r="G245" s="33">
        <v>-3.9406762901182999</v>
      </c>
      <c r="H245" s="32">
        <v>0.1763171</v>
      </c>
      <c r="I245" s="32">
        <v>0.1763171</v>
      </c>
      <c r="K245">
        <f t="shared" si="6"/>
        <v>2.9180206832493116E-3</v>
      </c>
      <c r="L245">
        <f t="shared" si="7"/>
        <v>2.4684391198598674E-4</v>
      </c>
    </row>
    <row r="246" spans="1:12" x14ac:dyDescent="0.3">
      <c r="A246" s="28">
        <v>45733</v>
      </c>
      <c r="B246" s="29">
        <v>0.17576545857208101</v>
      </c>
      <c r="C246" s="29">
        <v>0.175842726265628</v>
      </c>
      <c r="D246" s="29">
        <v>0.17580409999999999</v>
      </c>
      <c r="E246" s="30">
        <v>1.29469999999998E-3</v>
      </c>
      <c r="F246" s="30">
        <v>0.74190845879933398</v>
      </c>
      <c r="G246" s="30">
        <v>-4.2201638330915596</v>
      </c>
      <c r="H246" s="29">
        <v>0.17580409999999999</v>
      </c>
      <c r="I246" s="29">
        <v>0.17580409999999999</v>
      </c>
      <c r="K246">
        <f t="shared" si="6"/>
        <v>7.4190845879933409E-3</v>
      </c>
      <c r="L246">
        <f t="shared" si="7"/>
        <v>4.3951019087148474E-4</v>
      </c>
    </row>
    <row r="247" spans="1:12" x14ac:dyDescent="0.3">
      <c r="A247" s="31">
        <v>45730</v>
      </c>
      <c r="B247" s="32">
        <v>0.174471351804034</v>
      </c>
      <c r="C247" s="32">
        <v>0.174547485643469</v>
      </c>
      <c r="D247" s="32">
        <v>0.17450940000000001</v>
      </c>
      <c r="E247" s="33">
        <v>2.2441100000000201E-3</v>
      </c>
      <c r="F247" s="33">
        <v>1.30270584399214</v>
      </c>
      <c r="G247" s="33">
        <v>-4.9255293728332097</v>
      </c>
      <c r="H247" s="32">
        <v>0.17450940000000001</v>
      </c>
      <c r="I247" s="32">
        <v>0.17450940000000001</v>
      </c>
      <c r="K247">
        <f t="shared" si="6"/>
        <v>1.3027058439921468E-2</v>
      </c>
      <c r="L247">
        <f t="shared" si="7"/>
        <v>4.3627357285624577E-4</v>
      </c>
    </row>
    <row r="248" spans="1:12" x14ac:dyDescent="0.3">
      <c r="A248" s="28">
        <v>45729</v>
      </c>
      <c r="B248" s="29">
        <v>0.17223561832587</v>
      </c>
      <c r="C248" s="29">
        <v>0.17229496898690599</v>
      </c>
      <c r="D248" s="29">
        <v>0.17226528999999999</v>
      </c>
      <c r="E248" s="30">
        <v>5.0299999999997504E-4</v>
      </c>
      <c r="F248" s="30">
        <v>0.29284658466068803</v>
      </c>
      <c r="G248" s="30">
        <v>-6.1481429986845004</v>
      </c>
      <c r="H248" s="29">
        <v>0.17226528999999999</v>
      </c>
      <c r="I248" s="29">
        <v>0.17226528999999999</v>
      </c>
      <c r="K248">
        <f t="shared" si="6"/>
        <v>2.9284658466068869E-3</v>
      </c>
      <c r="L248">
        <f t="shared" si="7"/>
        <v>3.4453058440263572E-4</v>
      </c>
    </row>
    <row r="249" spans="1:12" x14ac:dyDescent="0.3">
      <c r="A249" s="31">
        <v>45728</v>
      </c>
      <c r="B249" s="32">
        <v>0.171726885561203</v>
      </c>
      <c r="C249" s="32">
        <v>0.171797691039032</v>
      </c>
      <c r="D249" s="32">
        <v>0.17176229000000001</v>
      </c>
      <c r="E249" s="33">
        <v>1.04690000000018E-4</v>
      </c>
      <c r="F249" s="33">
        <v>6.0987687116686999E-2</v>
      </c>
      <c r="G249" s="33">
        <v>-6.4221824414048498</v>
      </c>
      <c r="H249" s="32">
        <v>0.17176229000000001</v>
      </c>
      <c r="I249" s="32">
        <v>0.17176229000000001</v>
      </c>
      <c r="K249">
        <f t="shared" si="6"/>
        <v>6.0987687116687006E-4</v>
      </c>
      <c r="L249">
        <f t="shared" si="7"/>
        <v>4.122294703278915E-4</v>
      </c>
    </row>
    <row r="250" spans="1:12" x14ac:dyDescent="0.3">
      <c r="A250" s="28">
        <v>45727</v>
      </c>
      <c r="B250" s="29">
        <v>0.171638460746284</v>
      </c>
      <c r="C250" s="29">
        <v>0.17167676698312401</v>
      </c>
      <c r="D250" s="29">
        <v>0.17165759999999999</v>
      </c>
      <c r="E250" s="30">
        <v>-8.2309999999999296E-4</v>
      </c>
      <c r="F250" s="30">
        <v>-0.47721281279585698</v>
      </c>
      <c r="G250" s="30">
        <v>-6.4792186029523604</v>
      </c>
      <c r="H250" s="29">
        <v>0.17165759999999999</v>
      </c>
      <c r="I250" s="29">
        <v>0.17165759999999999</v>
      </c>
      <c r="K250">
        <f t="shared" si="6"/>
        <v>-4.7721281279585748E-3</v>
      </c>
      <c r="L250">
        <f t="shared" si="7"/>
        <v>2.2315491326925101E-4</v>
      </c>
    </row>
    <row r="251" spans="1:12" x14ac:dyDescent="0.3">
      <c r="A251" s="31">
        <v>45726</v>
      </c>
      <c r="B251" s="32">
        <v>0.17246136865342199</v>
      </c>
      <c r="C251" s="32">
        <v>0.17250004312501099</v>
      </c>
      <c r="D251" s="32">
        <v>0.17248069999999999</v>
      </c>
      <c r="E251" s="33">
        <v>-9.3623000000001E-4</v>
      </c>
      <c r="F251" s="33">
        <v>-0.53987231811796199</v>
      </c>
      <c r="G251" s="33">
        <v>-6.0307854711370004</v>
      </c>
      <c r="H251" s="32">
        <v>0.17248069999999999</v>
      </c>
      <c r="I251" s="32">
        <v>0.17248069999999999</v>
      </c>
      <c r="K251">
        <f t="shared" si="6"/>
        <v>-5.398723181179621E-3</v>
      </c>
      <c r="L251">
        <f t="shared" si="7"/>
        <v>2.242249224928145E-4</v>
      </c>
    </row>
    <row r="252" spans="1:12" x14ac:dyDescent="0.3">
      <c r="A252" s="28">
        <v>45723</v>
      </c>
      <c r="B252" s="29">
        <v>0.17339436815092199</v>
      </c>
      <c r="C252" s="29">
        <v>0.17343947829404899</v>
      </c>
      <c r="D252" s="29">
        <v>0.17341693</v>
      </c>
      <c r="E252" s="30">
        <v>-3.5407000000001101E-4</v>
      </c>
      <c r="F252" s="30">
        <v>-0.20375666825880301</v>
      </c>
      <c r="G252" s="30">
        <v>-5.5207179811606801</v>
      </c>
      <c r="H252" s="29">
        <v>0.17341693</v>
      </c>
      <c r="I252" s="29">
        <v>0.17341693</v>
      </c>
      <c r="K252">
        <f t="shared" si="6"/>
        <v>-2.0375666825880323E-3</v>
      </c>
      <c r="L252">
        <f t="shared" si="7"/>
        <v>2.6012537026804332E-4</v>
      </c>
    </row>
    <row r="253" spans="1:12" x14ac:dyDescent="0.3">
      <c r="A253" s="31">
        <v>45722</v>
      </c>
      <c r="B253" s="32">
        <v>0.17374986968759801</v>
      </c>
      <c r="C253" s="32">
        <v>0.17379214459506401</v>
      </c>
      <c r="D253" s="32">
        <v>0.17377100000000001</v>
      </c>
      <c r="E253" s="33">
        <v>2.6933900000000099E-3</v>
      </c>
      <c r="F253" s="33">
        <v>1.5743673295412499</v>
      </c>
      <c r="G253" s="33">
        <v>-5.3278170955066004</v>
      </c>
      <c r="H253" s="32">
        <v>0.17377100000000001</v>
      </c>
      <c r="I253" s="32">
        <v>0.17377100000000001</v>
      </c>
      <c r="K253">
        <f t="shared" si="6"/>
        <v>1.5743673295412597E-2</v>
      </c>
      <c r="L253">
        <f t="shared" si="7"/>
        <v>2.432794163928391E-4</v>
      </c>
    </row>
    <row r="254" spans="1:12" x14ac:dyDescent="0.3">
      <c r="A254" s="28">
        <v>45721</v>
      </c>
      <c r="B254" s="29">
        <v>0.17103372785113199</v>
      </c>
      <c r="C254" s="29">
        <v>0.17112153051096901</v>
      </c>
      <c r="D254" s="29">
        <v>0.17107760999999999</v>
      </c>
      <c r="E254" s="30">
        <v>1.23054999999999E-3</v>
      </c>
      <c r="F254" s="30">
        <v>0.724504739734666</v>
      </c>
      <c r="G254" s="30">
        <v>-6.7952029695197202</v>
      </c>
      <c r="H254" s="29">
        <v>0.17107760999999999</v>
      </c>
      <c r="I254" s="29">
        <v>0.17107760999999999</v>
      </c>
      <c r="K254">
        <f t="shared" si="6"/>
        <v>7.24504739734666E-3</v>
      </c>
      <c r="L254">
        <f t="shared" si="7"/>
        <v>5.1323291129105853E-4</v>
      </c>
    </row>
    <row r="255" spans="1:12" x14ac:dyDescent="0.3">
      <c r="A255" s="31">
        <v>45720</v>
      </c>
      <c r="B255" s="32">
        <v>0.16981676770764301</v>
      </c>
      <c r="C255" s="32">
        <v>0.169877348554344</v>
      </c>
      <c r="D255" s="32">
        <v>0.16984705999999999</v>
      </c>
      <c r="E255" s="33"/>
      <c r="F255" s="33"/>
      <c r="G255" s="33">
        <v>-7.4656189461390898</v>
      </c>
      <c r="H255" s="32">
        <v>0.16984705999999999</v>
      </c>
      <c r="I255" s="32">
        <v>0.16984705999999999</v>
      </c>
      <c r="K255">
        <f t="shared" si="6"/>
        <v>0</v>
      </c>
      <c r="L255">
        <f t="shared" si="7"/>
        <v>3.5667880681003027E-4</v>
      </c>
    </row>
    <row r="256" spans="1:12" x14ac:dyDescent="0.3">
      <c r="A256" s="28">
        <v>45719</v>
      </c>
      <c r="B256" s="29">
        <v>0.16981676770764301</v>
      </c>
      <c r="C256" s="29">
        <v>0.169877348554344</v>
      </c>
      <c r="D256" s="29">
        <v>0.16984705999999999</v>
      </c>
      <c r="E256" s="30">
        <v>-5.54230000000016E-4</v>
      </c>
      <c r="F256" s="30">
        <v>-0.325249885138789</v>
      </c>
      <c r="G256" s="30">
        <v>-7.4656189461390898</v>
      </c>
      <c r="H256" s="29">
        <v>0.16984705999999999</v>
      </c>
      <c r="I256" s="29">
        <v>0.16984705999999999</v>
      </c>
      <c r="K256">
        <f t="shared" si="6"/>
        <v>-3.2524988513878972E-3</v>
      </c>
      <c r="L256">
        <f t="shared" si="7"/>
        <v>3.5667880681003027E-4</v>
      </c>
    </row>
    <row r="257" spans="1:12" x14ac:dyDescent="0.3">
      <c r="A257" s="31">
        <v>45716</v>
      </c>
      <c r="B257" s="32">
        <v>0.170363555828137</v>
      </c>
      <c r="C257" s="32">
        <v>0.17043905099536399</v>
      </c>
      <c r="D257" s="32">
        <v>0.17040129000000001</v>
      </c>
      <c r="E257" s="33">
        <v>-1.14146999999997E-3</v>
      </c>
      <c r="F257" s="33">
        <v>-0.66541426755636301</v>
      </c>
      <c r="G257" s="33">
        <v>-7.1636688858231601</v>
      </c>
      <c r="H257" s="32">
        <v>0.17040129000000001</v>
      </c>
      <c r="I257" s="32">
        <v>0.17040129000000001</v>
      </c>
      <c r="K257">
        <f t="shared" si="6"/>
        <v>-6.6541426755636346E-3</v>
      </c>
      <c r="L257">
        <f t="shared" si="7"/>
        <v>4.4304340200118793E-4</v>
      </c>
    </row>
    <row r="258" spans="1:12" x14ac:dyDescent="0.3">
      <c r="A258" s="28">
        <v>45715</v>
      </c>
      <c r="B258" s="29">
        <v>0.171520702548798</v>
      </c>
      <c r="C258" s="29">
        <v>0.171564842932386</v>
      </c>
      <c r="D258" s="29">
        <v>0.17154275999999999</v>
      </c>
      <c r="E258" s="30">
        <v>-1.4631399999999999E-3</v>
      </c>
      <c r="F258" s="30">
        <v>-0.84571682237426504</v>
      </c>
      <c r="G258" s="30">
        <v>-6.5417845862565498</v>
      </c>
      <c r="H258" s="29">
        <v>0.17154275999999999</v>
      </c>
      <c r="I258" s="29">
        <v>0.17154275999999999</v>
      </c>
      <c r="K258">
        <f t="shared" si="6"/>
        <v>-8.4571682237426504E-3</v>
      </c>
      <c r="L258">
        <f t="shared" si="7"/>
        <v>2.5731417395868396E-4</v>
      </c>
    </row>
    <row r="259" spans="1:12" x14ac:dyDescent="0.3">
      <c r="A259" s="31">
        <v>45714</v>
      </c>
      <c r="B259" s="32">
        <v>0.17299541562148599</v>
      </c>
      <c r="C259" s="32">
        <v>0.17301636734835099</v>
      </c>
      <c r="D259" s="32">
        <v>0.17300589999999999</v>
      </c>
      <c r="E259" s="33">
        <v>-5.9768000000001698E-4</v>
      </c>
      <c r="F259" s="33">
        <v>-0.34427861453088998</v>
      </c>
      <c r="G259" s="33">
        <v>-5.7446512458552199</v>
      </c>
      <c r="H259" s="32">
        <v>0.17300589999999999</v>
      </c>
      <c r="I259" s="32">
        <v>0.17300589999999999</v>
      </c>
      <c r="K259">
        <f t="shared" si="6"/>
        <v>-3.442786145308907E-3</v>
      </c>
      <c r="L259">
        <f t="shared" si="7"/>
        <v>1.2110411763416108E-4</v>
      </c>
    </row>
    <row r="260" spans="1:12" x14ac:dyDescent="0.3">
      <c r="A260" s="28">
        <v>45713</v>
      </c>
      <c r="B260" s="29">
        <v>0.17357193688924399</v>
      </c>
      <c r="C260" s="29">
        <v>0.173635227114877</v>
      </c>
      <c r="D260" s="29">
        <v>0.17360358000000001</v>
      </c>
      <c r="E260" s="30">
        <v>-8.9059999999999096E-4</v>
      </c>
      <c r="F260" s="30">
        <v>-0.51038951557008605</v>
      </c>
      <c r="G260" s="30">
        <v>-5.4190291899404803</v>
      </c>
      <c r="H260" s="29">
        <v>0.17360358000000001</v>
      </c>
      <c r="I260" s="29">
        <v>0.17360358000000001</v>
      </c>
      <c r="K260">
        <f t="shared" si="6"/>
        <v>-5.103895155700866E-3</v>
      </c>
      <c r="L260">
        <f t="shared" si="7"/>
        <v>3.6456751429323001E-4</v>
      </c>
    </row>
    <row r="261" spans="1:12" x14ac:dyDescent="0.3">
      <c r="A261" s="31">
        <v>45712</v>
      </c>
      <c r="B261" s="32">
        <v>0.174471351804034</v>
      </c>
      <c r="C261" s="32">
        <v>0.174517024135704</v>
      </c>
      <c r="D261" s="32">
        <v>0.17449418</v>
      </c>
      <c r="E261" s="33">
        <v>-9.6595999999998696E-4</v>
      </c>
      <c r="F261" s="33">
        <v>-0.55052959606665097</v>
      </c>
      <c r="G261" s="33">
        <v>-4.9338213814181104</v>
      </c>
      <c r="H261" s="32">
        <v>0.17449418</v>
      </c>
      <c r="I261" s="32">
        <v>0.17449418</v>
      </c>
      <c r="K261">
        <f t="shared" ref="K261:K324" si="8">D261/D262-1</f>
        <v>-5.5052959606665119E-3</v>
      </c>
      <c r="L261">
        <f t="shared" ref="L261:L324" si="9">(C261-B261)/D261</f>
        <v>2.6174128942291154E-4</v>
      </c>
    </row>
    <row r="262" spans="1:12" x14ac:dyDescent="0.3">
      <c r="A262" s="28">
        <v>45709</v>
      </c>
      <c r="B262" s="29">
        <v>0.175444752447454</v>
      </c>
      <c r="C262" s="29">
        <v>0.17547553870990401</v>
      </c>
      <c r="D262" s="29">
        <v>0.17546013999999999</v>
      </c>
      <c r="E262" s="30">
        <v>-1.6930000000025999E-5</v>
      </c>
      <c r="F262" s="30">
        <v>-9.6479842067287401E-3</v>
      </c>
      <c r="G262" s="30">
        <v>-4.4075566893899598</v>
      </c>
      <c r="H262" s="29">
        <v>0.17546013999999999</v>
      </c>
      <c r="I262" s="29">
        <v>0.17546013999999999</v>
      </c>
      <c r="K262">
        <f t="shared" si="8"/>
        <v>-9.6479842067287436E-5</v>
      </c>
      <c r="L262">
        <f t="shared" si="9"/>
        <v>1.7546014980958661E-4</v>
      </c>
    </row>
    <row r="263" spans="1:12" x14ac:dyDescent="0.3">
      <c r="A263" s="31">
        <v>45708</v>
      </c>
      <c r="B263" s="32">
        <v>0.175438596491228</v>
      </c>
      <c r="C263" s="32">
        <v>0.17551557700745901</v>
      </c>
      <c r="D263" s="32">
        <v>0.17547707000000001</v>
      </c>
      <c r="E263" s="33">
        <v>-6.3149999999983998E-5</v>
      </c>
      <c r="F263" s="33">
        <v>-3.5974661533400003E-2</v>
      </c>
      <c r="G263" s="33">
        <v>-4.3983330556617997</v>
      </c>
      <c r="H263" s="32">
        <v>0.17547707000000001</v>
      </c>
      <c r="I263" s="32">
        <v>0.17547707000000001</v>
      </c>
      <c r="K263">
        <f t="shared" si="8"/>
        <v>-3.597466153340001E-4</v>
      </c>
      <c r="L263">
        <f t="shared" si="9"/>
        <v>4.3869273763806664E-4</v>
      </c>
    </row>
    <row r="264" spans="1:12" x14ac:dyDescent="0.3">
      <c r="A264" s="28">
        <v>45707</v>
      </c>
      <c r="B264" s="29">
        <v>0.17552481920943599</v>
      </c>
      <c r="C264" s="29">
        <v>0.17555563358028201</v>
      </c>
      <c r="D264" s="29">
        <v>0.17554022</v>
      </c>
      <c r="E264" s="30">
        <v>-5.2231999999999203E-4</v>
      </c>
      <c r="F264" s="30">
        <v>-0.29666730924135998</v>
      </c>
      <c r="G264" s="30">
        <v>-4.3639283025648101</v>
      </c>
      <c r="H264" s="29">
        <v>0.17554022</v>
      </c>
      <c r="I264" s="29">
        <v>0.17554022</v>
      </c>
      <c r="K264">
        <f t="shared" si="8"/>
        <v>-2.9666730924136075E-3</v>
      </c>
      <c r="L264">
        <f t="shared" si="9"/>
        <v>1.7554023144103777E-4</v>
      </c>
    </row>
    <row r="265" spans="1:12" x14ac:dyDescent="0.3">
      <c r="A265" s="31">
        <v>45706</v>
      </c>
      <c r="B265" s="32">
        <v>0.176043940567566</v>
      </c>
      <c r="C265" s="32">
        <v>0.17608113818847701</v>
      </c>
      <c r="D265" s="32">
        <v>0.17606253999999999</v>
      </c>
      <c r="E265" s="33">
        <v>1.0798099999999799E-3</v>
      </c>
      <c r="F265" s="33">
        <v>0.617095184193305</v>
      </c>
      <c r="G265" s="33">
        <v>-4.0793631301558699</v>
      </c>
      <c r="H265" s="32">
        <v>0.17606253999999999</v>
      </c>
      <c r="I265" s="32">
        <v>0.17606253999999999</v>
      </c>
      <c r="K265">
        <f t="shared" si="8"/>
        <v>6.1709518419330589E-3</v>
      </c>
      <c r="L265">
        <f t="shared" si="9"/>
        <v>2.1127504414627818E-4</v>
      </c>
    </row>
    <row r="266" spans="1:12" x14ac:dyDescent="0.3">
      <c r="A266" s="28">
        <v>45705</v>
      </c>
      <c r="B266" s="29">
        <v>0.17497200447928299</v>
      </c>
      <c r="C266" s="29">
        <v>0.174993437746085</v>
      </c>
      <c r="D266" s="29">
        <v>0.17498273</v>
      </c>
      <c r="E266" s="30">
        <v>2.21699999999991E-4</v>
      </c>
      <c r="F266" s="30">
        <v>0.12685894561275099</v>
      </c>
      <c r="G266" s="30">
        <v>-4.6676544435631699</v>
      </c>
      <c r="H266" s="29">
        <v>0.17498273</v>
      </c>
      <c r="I266" s="29">
        <v>0.17498273</v>
      </c>
      <c r="K266">
        <f t="shared" si="8"/>
        <v>1.2685894561275113E-3</v>
      </c>
      <c r="L266">
        <f t="shared" si="9"/>
        <v>1.2248789810292876E-4</v>
      </c>
    </row>
    <row r="267" spans="1:12" x14ac:dyDescent="0.3">
      <c r="A267" s="31">
        <v>45702</v>
      </c>
      <c r="B267" s="32">
        <v>0.17473658459871699</v>
      </c>
      <c r="C267" s="32">
        <v>0.17478545085906999</v>
      </c>
      <c r="D267" s="32">
        <v>0.17476103000000001</v>
      </c>
      <c r="E267" s="33">
        <v>1.2342799999999999E-3</v>
      </c>
      <c r="F267" s="33">
        <v>0.711290910479212</v>
      </c>
      <c r="G267" s="33">
        <v>-4.7884388261697399</v>
      </c>
      <c r="H267" s="32">
        <v>0.17476103000000001</v>
      </c>
      <c r="I267" s="32">
        <v>0.17476103000000001</v>
      </c>
      <c r="K267">
        <f t="shared" si="8"/>
        <v>7.11290910479212E-3</v>
      </c>
      <c r="L267">
        <f t="shared" si="9"/>
        <v>2.7961760326657311E-4</v>
      </c>
    </row>
    <row r="268" spans="1:12" x14ac:dyDescent="0.3">
      <c r="A268" s="28">
        <v>45701</v>
      </c>
      <c r="B268" s="29">
        <v>0.17350267194114799</v>
      </c>
      <c r="C268" s="29">
        <v>0.17355085039916701</v>
      </c>
      <c r="D268" s="29">
        <v>0.17352675000000001</v>
      </c>
      <c r="E268" s="30">
        <v>1.2486999999999901E-4</v>
      </c>
      <c r="F268" s="30">
        <v>7.2011906675983894E-2</v>
      </c>
      <c r="G268" s="30">
        <v>-5.4608869441834296</v>
      </c>
      <c r="H268" s="29">
        <v>0.17352675000000001</v>
      </c>
      <c r="I268" s="29">
        <v>0.17352675000000001</v>
      </c>
      <c r="K268">
        <f t="shared" si="8"/>
        <v>7.2011906675983894E-4</v>
      </c>
      <c r="L268">
        <f t="shared" si="9"/>
        <v>2.7764283039370831E-4</v>
      </c>
    </row>
    <row r="269" spans="1:12" x14ac:dyDescent="0.3">
      <c r="A269" s="31">
        <v>45700</v>
      </c>
      <c r="B269" s="32">
        <v>0.17336731332674499</v>
      </c>
      <c r="C269" s="32">
        <v>0.17343647022095801</v>
      </c>
      <c r="D269" s="32">
        <v>0.17340188000000001</v>
      </c>
      <c r="E269" s="33">
        <v>-7.5199999999997396E-5</v>
      </c>
      <c r="F269" s="33">
        <v>-4.3348666002451797E-2</v>
      </c>
      <c r="G269" s="33">
        <v>-5.5289173720412697</v>
      </c>
      <c r="H269" s="32">
        <v>0.17340188000000001</v>
      </c>
      <c r="I269" s="32">
        <v>0.17340188000000001</v>
      </c>
      <c r="K269">
        <f t="shared" si="8"/>
        <v>-4.3348666002451797E-4</v>
      </c>
      <c r="L269">
        <f t="shared" si="9"/>
        <v>3.9882436230232246E-4</v>
      </c>
    </row>
    <row r="270" spans="1:12" x14ac:dyDescent="0.3">
      <c r="A270" s="28">
        <v>45699</v>
      </c>
      <c r="B270" s="29">
        <v>0.17345452022479699</v>
      </c>
      <c r="C270" s="29">
        <v>0.17349966167566</v>
      </c>
      <c r="D270" s="29">
        <v>0.17347708000000001</v>
      </c>
      <c r="E270" s="30">
        <v>3.8884000000000097E-4</v>
      </c>
      <c r="F270" s="30">
        <v>0.224648422099615</v>
      </c>
      <c r="G270" s="30">
        <v>-5.4879476581395403</v>
      </c>
      <c r="H270" s="29">
        <v>0.17347708000000001</v>
      </c>
      <c r="I270" s="29">
        <v>0.17347708000000001</v>
      </c>
      <c r="K270">
        <f t="shared" si="8"/>
        <v>2.2464842209961589E-3</v>
      </c>
      <c r="L270">
        <f t="shared" si="9"/>
        <v>2.6021564844769197E-4</v>
      </c>
    </row>
    <row r="271" spans="1:12" x14ac:dyDescent="0.3">
      <c r="A271" s="31">
        <v>45698</v>
      </c>
      <c r="B271" s="32">
        <v>0.173073261911767</v>
      </c>
      <c r="C271" s="32">
        <v>0.173103221450951</v>
      </c>
      <c r="D271" s="32">
        <v>0.17308824</v>
      </c>
      <c r="E271" s="33">
        <v>-4.53569999999986E-4</v>
      </c>
      <c r="F271" s="33">
        <v>-0.26136064848003498</v>
      </c>
      <c r="G271" s="33">
        <v>-5.6997915883729098</v>
      </c>
      <c r="H271" s="32">
        <v>0.17308824</v>
      </c>
      <c r="I271" s="32">
        <v>0.17308824</v>
      </c>
      <c r="K271">
        <f t="shared" si="8"/>
        <v>-2.6136064848003571E-3</v>
      </c>
      <c r="L271">
        <f t="shared" si="9"/>
        <v>1.730882420665845E-4</v>
      </c>
    </row>
    <row r="272" spans="1:12" x14ac:dyDescent="0.3">
      <c r="A272" s="28">
        <v>45695</v>
      </c>
      <c r="B272" s="29">
        <v>0.17349665151462601</v>
      </c>
      <c r="C272" s="29">
        <v>0.17358700180530501</v>
      </c>
      <c r="D272" s="29">
        <v>0.17354180999999999</v>
      </c>
      <c r="E272" s="30">
        <v>3.7113999999999198E-4</v>
      </c>
      <c r="F272" s="30">
        <v>0.21432035806063701</v>
      </c>
      <c r="G272" s="30">
        <v>-5.45268210520259</v>
      </c>
      <c r="H272" s="29">
        <v>0.17354180999999999</v>
      </c>
      <c r="I272" s="29">
        <v>0.17354180999999999</v>
      </c>
      <c r="K272">
        <f t="shared" si="8"/>
        <v>2.1432035806063787E-3</v>
      </c>
      <c r="L272">
        <f t="shared" si="9"/>
        <v>5.2062549468049051E-4</v>
      </c>
    </row>
    <row r="273" spans="1:12" x14ac:dyDescent="0.3">
      <c r="A273" s="31">
        <v>45694</v>
      </c>
      <c r="B273" s="32">
        <v>0.17314518223530401</v>
      </c>
      <c r="C273" s="32">
        <v>0.17319616197305099</v>
      </c>
      <c r="D273" s="32">
        <v>0.17317067</v>
      </c>
      <c r="E273" s="33">
        <v>8.4154000000000097E-4</v>
      </c>
      <c r="F273" s="33">
        <v>0.488332993963358</v>
      </c>
      <c r="G273" s="33">
        <v>-5.6548828979883403</v>
      </c>
      <c r="H273" s="32">
        <v>0.17317067</v>
      </c>
      <c r="I273" s="32">
        <v>0.17317067</v>
      </c>
      <c r="K273">
        <f t="shared" si="8"/>
        <v>4.883329939633585E-3</v>
      </c>
      <c r="L273">
        <f t="shared" si="9"/>
        <v>2.9439013977933541E-4</v>
      </c>
    </row>
    <row r="274" spans="1:12" x14ac:dyDescent="0.3">
      <c r="A274" s="28">
        <v>45693</v>
      </c>
      <c r="B274" s="29">
        <v>0.17231278216218099</v>
      </c>
      <c r="C274" s="29">
        <v>0.17234544921841299</v>
      </c>
      <c r="D274" s="29">
        <v>0.17232913</v>
      </c>
      <c r="E274" s="30">
        <v>-1.20064E-3</v>
      </c>
      <c r="F274" s="30">
        <v>-0.69189280893993099</v>
      </c>
      <c r="G274" s="30">
        <v>-6.1133623266700399</v>
      </c>
      <c r="H274" s="29">
        <v>0.17232913</v>
      </c>
      <c r="I274" s="29">
        <v>0.17232913</v>
      </c>
      <c r="K274">
        <f t="shared" si="8"/>
        <v>-6.9189280893993121E-3</v>
      </c>
      <c r="L274">
        <f t="shared" si="9"/>
        <v>1.895620098123009E-4</v>
      </c>
    </row>
    <row r="275" spans="1:12" x14ac:dyDescent="0.3">
      <c r="A275" s="31">
        <v>45692</v>
      </c>
      <c r="B275" s="32">
        <v>0.173517724835592</v>
      </c>
      <c r="C275" s="32">
        <v>0.17354181490029999</v>
      </c>
      <c r="D275" s="32">
        <v>0.17352977</v>
      </c>
      <c r="E275" s="33">
        <v>1.90456999999999E-3</v>
      </c>
      <c r="F275" s="33">
        <v>1.1097263105884101</v>
      </c>
      <c r="G275" s="33">
        <v>-5.45924161790707</v>
      </c>
      <c r="H275" s="32">
        <v>0.17352977</v>
      </c>
      <c r="I275" s="32">
        <v>0.17352977</v>
      </c>
      <c r="K275">
        <f t="shared" si="8"/>
        <v>1.1097263105884103E-2</v>
      </c>
      <c r="L275">
        <f t="shared" si="9"/>
        <v>1.3882381511825522E-4</v>
      </c>
    </row>
    <row r="276" spans="1:12" x14ac:dyDescent="0.3">
      <c r="A276" s="28">
        <v>45691</v>
      </c>
      <c r="B276" s="29">
        <v>0.17160606112607901</v>
      </c>
      <c r="C276" s="29">
        <v>0.17164435290079</v>
      </c>
      <c r="D276" s="29">
        <v>0.17162520000000001</v>
      </c>
      <c r="E276" s="30">
        <v>4.3629999999999998E-4</v>
      </c>
      <c r="F276" s="30">
        <v>0.254864655360242</v>
      </c>
      <c r="G276" s="30">
        <v>-6.4968704477717196</v>
      </c>
      <c r="H276" s="29">
        <v>0.17162520000000001</v>
      </c>
      <c r="I276" s="29">
        <v>0.17162520000000001</v>
      </c>
      <c r="K276">
        <f t="shared" si="8"/>
        <v>2.5486465536024294E-3</v>
      </c>
      <c r="L276">
        <f t="shared" si="9"/>
        <v>2.2311277546062966E-4</v>
      </c>
    </row>
    <row r="277" spans="1:12" x14ac:dyDescent="0.3">
      <c r="A277" s="31">
        <v>45688</v>
      </c>
      <c r="B277" s="32">
        <v>0.17117425539198899</v>
      </c>
      <c r="C277" s="32">
        <v>0.17120356103407</v>
      </c>
      <c r="D277" s="32">
        <v>0.1711889</v>
      </c>
      <c r="E277" s="33">
        <v>1.24660000000001E-3</v>
      </c>
      <c r="F277" s="33">
        <v>0.73354309080200197</v>
      </c>
      <c r="G277" s="33">
        <v>-6.7345710618053101</v>
      </c>
      <c r="H277" s="32">
        <v>0.1711889</v>
      </c>
      <c r="I277" s="32">
        <v>0.1711889</v>
      </c>
      <c r="K277">
        <f t="shared" si="8"/>
        <v>7.3354309080200242E-3</v>
      </c>
      <c r="L277">
        <f t="shared" si="9"/>
        <v>1.7118891517503017E-4</v>
      </c>
    </row>
    <row r="278" spans="1:12" x14ac:dyDescent="0.3">
      <c r="A278" s="28">
        <v>45687</v>
      </c>
      <c r="B278" s="29">
        <v>0.16992353440951599</v>
      </c>
      <c r="C278" s="29">
        <v>0.169961078912929</v>
      </c>
      <c r="D278" s="29">
        <v>0.16994229999999999</v>
      </c>
      <c r="E278" s="30">
        <v>-4.4447999999999699E-4</v>
      </c>
      <c r="F278" s="30">
        <v>-0.26086530891656901</v>
      </c>
      <c r="G278" s="30">
        <v>-7.4137312393305699</v>
      </c>
      <c r="H278" s="29">
        <v>0.16994229999999999</v>
      </c>
      <c r="I278" s="29">
        <v>0.16994229999999999</v>
      </c>
      <c r="K278">
        <f t="shared" si="8"/>
        <v>-2.6086530891656912E-3</v>
      </c>
      <c r="L278">
        <f t="shared" si="9"/>
        <v>2.2092500462219349E-4</v>
      </c>
    </row>
    <row r="279" spans="1:12" x14ac:dyDescent="0.3">
      <c r="A279" s="31">
        <v>45686</v>
      </c>
      <c r="B279" s="32">
        <v>0.17036065350346699</v>
      </c>
      <c r="C279" s="32">
        <v>0.170412910482098</v>
      </c>
      <c r="D279" s="32">
        <v>0.17038677999999999</v>
      </c>
      <c r="E279" s="33">
        <v>1.8414999999999399E-4</v>
      </c>
      <c r="F279" s="33">
        <v>0.108194567851271</v>
      </c>
      <c r="G279" s="33">
        <v>-7.1715740792901199</v>
      </c>
      <c r="H279" s="32">
        <v>0.17038677999999999</v>
      </c>
      <c r="I279" s="32">
        <v>0.17038677999999999</v>
      </c>
      <c r="K279">
        <f t="shared" si="8"/>
        <v>1.0819456785127191E-3</v>
      </c>
      <c r="L279">
        <f t="shared" si="9"/>
        <v>3.066962039602491E-4</v>
      </c>
    </row>
    <row r="280" spans="1:12" x14ac:dyDescent="0.3">
      <c r="A280" s="28">
        <v>45685</v>
      </c>
      <c r="B280" s="29">
        <v>0.17017800619447901</v>
      </c>
      <c r="C280" s="29">
        <v>0.170227253383267</v>
      </c>
      <c r="D280" s="29">
        <v>0.17020262999999999</v>
      </c>
      <c r="E280" s="30">
        <v>1.75887999999999E-3</v>
      </c>
      <c r="F280" s="30">
        <v>1.0441942785054299</v>
      </c>
      <c r="G280" s="30">
        <v>-7.2719008454470897</v>
      </c>
      <c r="H280" s="29">
        <v>0.17020262999999999</v>
      </c>
      <c r="I280" s="29">
        <v>0.17020262999999999</v>
      </c>
      <c r="K280">
        <f t="shared" si="8"/>
        <v>1.0441942785054392E-2</v>
      </c>
      <c r="L280">
        <f t="shared" si="9"/>
        <v>2.8934446423059095E-4</v>
      </c>
    </row>
    <row r="281" spans="1:12" x14ac:dyDescent="0.3">
      <c r="A281" s="31">
        <v>45684</v>
      </c>
      <c r="B281" s="32">
        <v>0.168426725952874</v>
      </c>
      <c r="C281" s="32">
        <v>0.16846077390879499</v>
      </c>
      <c r="D281" s="32">
        <v>0.16844375</v>
      </c>
      <c r="E281" s="33">
        <v>-1.4884500000000001E-3</v>
      </c>
      <c r="F281" s="33">
        <v>-0.875908156311755</v>
      </c>
      <c r="G281" s="33">
        <v>-8.2301563027273801</v>
      </c>
      <c r="H281" s="32">
        <v>0.16844375</v>
      </c>
      <c r="I281" s="32">
        <v>0.16844375</v>
      </c>
      <c r="K281">
        <f t="shared" si="8"/>
        <v>-8.7590815631175545E-3</v>
      </c>
      <c r="L281">
        <f t="shared" si="9"/>
        <v>2.0213249776848666E-4</v>
      </c>
    </row>
    <row r="282" spans="1:12" x14ac:dyDescent="0.3">
      <c r="A282" s="28">
        <v>45681</v>
      </c>
      <c r="B282" s="29">
        <v>0.16990332500807001</v>
      </c>
      <c r="C282" s="29">
        <v>0.169961078912929</v>
      </c>
      <c r="D282" s="29">
        <v>0.16993220000000001</v>
      </c>
      <c r="E282" s="30">
        <v>1.0075700000000099E-3</v>
      </c>
      <c r="F282" s="30">
        <v>0.59646127388293102</v>
      </c>
      <c r="G282" s="30">
        <v>-7.4192338205859798</v>
      </c>
      <c r="H282" s="29">
        <v>0.16993220000000001</v>
      </c>
      <c r="I282" s="29">
        <v>0.16993220000000001</v>
      </c>
      <c r="K282">
        <f t="shared" si="8"/>
        <v>5.9646127388293113E-3</v>
      </c>
      <c r="L282">
        <f t="shared" si="9"/>
        <v>3.3986439803043223E-4</v>
      </c>
    </row>
    <row r="283" spans="1:12" x14ac:dyDescent="0.3">
      <c r="A283" s="31">
        <v>45680</v>
      </c>
      <c r="B283" s="32">
        <v>0.16891606560700001</v>
      </c>
      <c r="C283" s="32">
        <v>0.16893318692457099</v>
      </c>
      <c r="D283" s="32">
        <v>0.16892462999999999</v>
      </c>
      <c r="E283" s="33">
        <v>6.4385999999999599E-4</v>
      </c>
      <c r="F283" s="33">
        <v>0.38261056209809502</v>
      </c>
      <c r="G283" s="33">
        <v>-7.9681680577664196</v>
      </c>
      <c r="H283" s="32">
        <v>0.16892462999999999</v>
      </c>
      <c r="I283" s="32">
        <v>0.16892462999999999</v>
      </c>
      <c r="K283">
        <f t="shared" si="8"/>
        <v>3.8261056209809574E-3</v>
      </c>
      <c r="L283">
        <f t="shared" si="9"/>
        <v>1.0135477325584994E-4</v>
      </c>
    </row>
    <row r="284" spans="1:12" x14ac:dyDescent="0.3">
      <c r="A284" s="28">
        <v>45679</v>
      </c>
      <c r="B284" s="29">
        <v>0.16825386142612</v>
      </c>
      <c r="C284" s="29">
        <v>0.168307666414205</v>
      </c>
      <c r="D284" s="29">
        <v>0.16828077</v>
      </c>
      <c r="E284" s="30">
        <v>2.4914E-3</v>
      </c>
      <c r="F284" s="30">
        <v>1.50275014616438</v>
      </c>
      <c r="G284" s="30">
        <v>-8.3189494406489892</v>
      </c>
      <c r="H284" s="29">
        <v>0.16828077</v>
      </c>
      <c r="I284" s="29">
        <v>0.16828077</v>
      </c>
      <c r="K284">
        <f t="shared" si="8"/>
        <v>1.5027501461643888E-2</v>
      </c>
      <c r="L284">
        <f t="shared" si="9"/>
        <v>3.1973343172243238E-4</v>
      </c>
    </row>
    <row r="285" spans="1:12" x14ac:dyDescent="0.3">
      <c r="A285" s="31">
        <v>45678</v>
      </c>
      <c r="B285" s="32">
        <v>0.16576600470775499</v>
      </c>
      <c r="C285" s="32">
        <v>0.165812731101494</v>
      </c>
      <c r="D285" s="32">
        <v>0.16578936999999999</v>
      </c>
      <c r="E285" s="33">
        <v>3.6339999999998498E-4</v>
      </c>
      <c r="F285" s="33">
        <v>0.21967530249331599</v>
      </c>
      <c r="G285" s="33">
        <v>-9.6762891376539795</v>
      </c>
      <c r="H285" s="32">
        <v>0.16578936999999999</v>
      </c>
      <c r="I285" s="32">
        <v>0.16578936999999999</v>
      </c>
      <c r="K285">
        <f t="shared" si="8"/>
        <v>2.1967530249331624E-3</v>
      </c>
      <c r="L285">
        <f t="shared" si="9"/>
        <v>2.8184191627611923E-4</v>
      </c>
    </row>
    <row r="286" spans="1:12" x14ac:dyDescent="0.3">
      <c r="A286" s="28">
        <v>45677</v>
      </c>
      <c r="B286" s="29">
        <v>0.165398610651671</v>
      </c>
      <c r="C286" s="29">
        <v>0.16545334215751201</v>
      </c>
      <c r="D286" s="29">
        <v>0.16542597000000001</v>
      </c>
      <c r="E286" s="30">
        <v>-2.0275999999999601E-4</v>
      </c>
      <c r="F286" s="30">
        <v>-0.122418375121269</v>
      </c>
      <c r="G286" s="30">
        <v>-9.8742731008439897</v>
      </c>
      <c r="H286" s="29">
        <v>0.16542597000000001</v>
      </c>
      <c r="I286" s="29">
        <v>0.16542597000000001</v>
      </c>
      <c r="K286">
        <f t="shared" si="8"/>
        <v>-1.224183751212693E-3</v>
      </c>
      <c r="L286">
        <f t="shared" si="9"/>
        <v>3.3085195656407682E-4</v>
      </c>
    </row>
    <row r="287" spans="1:12" x14ac:dyDescent="0.3">
      <c r="A287" s="31">
        <v>45674</v>
      </c>
      <c r="B287" s="32">
        <v>0.16561775422325301</v>
      </c>
      <c r="C287" s="32">
        <v>0.165639700523421</v>
      </c>
      <c r="D287" s="32">
        <v>0.16562873</v>
      </c>
      <c r="E287" s="33">
        <v>-3.07809999999991E-4</v>
      </c>
      <c r="F287" s="33">
        <v>-0.18549862495625899</v>
      </c>
      <c r="G287" s="33">
        <v>-9.7638074201164002</v>
      </c>
      <c r="H287" s="32">
        <v>0.16562873</v>
      </c>
      <c r="I287" s="32">
        <v>0.16562873</v>
      </c>
      <c r="K287">
        <f t="shared" si="8"/>
        <v>-1.8549862495625957E-3</v>
      </c>
      <c r="L287">
        <f t="shared" si="9"/>
        <v>1.3250297921137523E-4</v>
      </c>
    </row>
    <row r="288" spans="1:12" x14ac:dyDescent="0.3">
      <c r="A288" s="28">
        <v>45673</v>
      </c>
      <c r="B288" s="29">
        <v>0.16591452083886399</v>
      </c>
      <c r="C288" s="29">
        <v>0.16595857673924599</v>
      </c>
      <c r="D288" s="29">
        <v>0.16593653999999999</v>
      </c>
      <c r="E288" s="30">
        <v>3.9693999999998399E-4</v>
      </c>
      <c r="F288" s="30">
        <v>0.239785525638569</v>
      </c>
      <c r="G288" s="30">
        <v>-9.5961094462321999</v>
      </c>
      <c r="H288" s="29">
        <v>0.16593653999999999</v>
      </c>
      <c r="I288" s="29">
        <v>0.16593653999999999</v>
      </c>
      <c r="K288">
        <f t="shared" si="8"/>
        <v>2.3978552563856947E-3</v>
      </c>
      <c r="L288">
        <f t="shared" si="9"/>
        <v>2.6549848744590094E-4</v>
      </c>
    </row>
    <row r="289" spans="1:12" x14ac:dyDescent="0.3">
      <c r="A289" s="31">
        <v>45672</v>
      </c>
      <c r="B289" s="32">
        <v>0.16551906779660999</v>
      </c>
      <c r="C289" s="32">
        <v>0.16556017284482</v>
      </c>
      <c r="D289" s="32">
        <v>0.16553960000000001</v>
      </c>
      <c r="E289" s="33">
        <v>3.19979999999997E-4</v>
      </c>
      <c r="F289" s="33">
        <v>0.19366949276362599</v>
      </c>
      <c r="G289" s="33">
        <v>-9.8123663376704098</v>
      </c>
      <c r="H289" s="32">
        <v>0.16553960000000001</v>
      </c>
      <c r="I289" s="32">
        <v>0.16553960000000001</v>
      </c>
      <c r="K289">
        <f t="shared" si="8"/>
        <v>1.9366949276362622E-3</v>
      </c>
      <c r="L289">
        <f t="shared" si="9"/>
        <v>2.4830945713294608E-4</v>
      </c>
    </row>
    <row r="290" spans="1:12" x14ac:dyDescent="0.3">
      <c r="A290" s="28">
        <v>45671</v>
      </c>
      <c r="B290" s="29">
        <v>0.16520460590441299</v>
      </c>
      <c r="C290" s="29">
        <v>0.16523463317911399</v>
      </c>
      <c r="D290" s="29">
        <v>0.16521962000000001</v>
      </c>
      <c r="E290" s="30">
        <v>1.46773E-3</v>
      </c>
      <c r="F290" s="30">
        <v>0.896313318887487</v>
      </c>
      <c r="G290" s="30">
        <v>-9.9866946495623701</v>
      </c>
      <c r="H290" s="29">
        <v>0.16521962000000001</v>
      </c>
      <c r="I290" s="29">
        <v>0.16521962000000001</v>
      </c>
      <c r="K290">
        <f t="shared" si="8"/>
        <v>8.9631331888748722E-3</v>
      </c>
      <c r="L290">
        <f t="shared" si="9"/>
        <v>1.8174157948674602E-4</v>
      </c>
    </row>
    <row r="291" spans="1:12" x14ac:dyDescent="0.3">
      <c r="A291" s="31">
        <v>45670</v>
      </c>
      <c r="B291" s="32">
        <v>0.16373043421311201</v>
      </c>
      <c r="C291" s="32">
        <v>0.163773337700622</v>
      </c>
      <c r="D291" s="32">
        <v>0.16375189000000001</v>
      </c>
      <c r="E291" s="33">
        <v>1.36650000000015E-4</v>
      </c>
      <c r="F291" s="33">
        <v>8.3519114723062907E-2</v>
      </c>
      <c r="G291" s="33">
        <v>-10.786328667979699</v>
      </c>
      <c r="H291" s="32">
        <v>0.16375189000000001</v>
      </c>
      <c r="I291" s="32">
        <v>0.16375189000000001</v>
      </c>
      <c r="K291">
        <f t="shared" si="8"/>
        <v>8.3519114723062948E-4</v>
      </c>
      <c r="L291">
        <f t="shared" si="9"/>
        <v>2.6200300656064256E-4</v>
      </c>
    </row>
    <row r="292" spans="1:12" x14ac:dyDescent="0.3">
      <c r="A292" s="28">
        <v>45667</v>
      </c>
      <c r="B292" s="29">
        <v>0.16358847682769201</v>
      </c>
      <c r="C292" s="29">
        <v>0.163642016724214</v>
      </c>
      <c r="D292" s="29">
        <v>0.16361524</v>
      </c>
      <c r="E292" s="30">
        <v>-1.11720000000001E-3</v>
      </c>
      <c r="F292" s="30">
        <v>-0.67819064660246098</v>
      </c>
      <c r="G292" s="30">
        <v>-10.860776957935499</v>
      </c>
      <c r="H292" s="29">
        <v>0.16361524</v>
      </c>
      <c r="I292" s="29">
        <v>0.16361524</v>
      </c>
      <c r="K292">
        <f t="shared" si="8"/>
        <v>-6.781906466024612E-3</v>
      </c>
      <c r="L292">
        <f t="shared" si="9"/>
        <v>3.2723049834469501E-4</v>
      </c>
    </row>
    <row r="293" spans="1:12" x14ac:dyDescent="0.3">
      <c r="A293" s="31">
        <v>45666</v>
      </c>
      <c r="B293" s="32">
        <v>0.16470937031607699</v>
      </c>
      <c r="C293" s="32">
        <v>0.164755502833795</v>
      </c>
      <c r="D293" s="32">
        <v>0.16473244000000001</v>
      </c>
      <c r="E293" s="33">
        <v>1.35511000000002E-3</v>
      </c>
      <c r="F293" s="33">
        <v>0.82943576076315295</v>
      </c>
      <c r="G293" s="33">
        <v>-10.252115197682601</v>
      </c>
      <c r="H293" s="32">
        <v>0.16473244000000001</v>
      </c>
      <c r="I293" s="32">
        <v>0.16473244000000001</v>
      </c>
      <c r="K293">
        <f t="shared" si="8"/>
        <v>8.2943576076315306E-3</v>
      </c>
      <c r="L293">
        <f t="shared" si="9"/>
        <v>2.800451308680405E-4</v>
      </c>
    </row>
    <row r="294" spans="1:12" x14ac:dyDescent="0.3">
      <c r="A294" s="28">
        <v>45665</v>
      </c>
      <c r="B294" s="29">
        <v>0.16335598536330401</v>
      </c>
      <c r="C294" s="29">
        <v>0.16339869281045799</v>
      </c>
      <c r="D294" s="29">
        <v>0.16337732999999999</v>
      </c>
      <c r="E294" s="30">
        <v>-1.5126499999999999E-3</v>
      </c>
      <c r="F294" s="30">
        <v>-0.91736926646482897</v>
      </c>
      <c r="G294" s="30">
        <v>-10.990392711051999</v>
      </c>
      <c r="H294" s="29">
        <v>0.16337732999999999</v>
      </c>
      <c r="I294" s="29">
        <v>0.16337732999999999</v>
      </c>
      <c r="K294">
        <f t="shared" si="8"/>
        <v>-9.1736926646482919E-3</v>
      </c>
      <c r="L294">
        <f t="shared" si="9"/>
        <v>2.6140375261355693E-4</v>
      </c>
    </row>
    <row r="295" spans="1:12" x14ac:dyDescent="0.3">
      <c r="A295" s="31">
        <v>45664</v>
      </c>
      <c r="B295" s="32">
        <v>0.16487230639869399</v>
      </c>
      <c r="C295" s="32">
        <v>0.16490765171503999</v>
      </c>
      <c r="D295" s="32">
        <v>0.16488997999999999</v>
      </c>
      <c r="E295" s="33">
        <v>1.31621999999997E-3</v>
      </c>
      <c r="F295" s="33">
        <v>0.804664513428066</v>
      </c>
      <c r="G295" s="33">
        <v>-10.1662858262986</v>
      </c>
      <c r="H295" s="32">
        <v>0.16488997999999999</v>
      </c>
      <c r="I295" s="32">
        <v>0.16488997999999999</v>
      </c>
      <c r="K295">
        <f t="shared" si="8"/>
        <v>8.0466451342806611E-3</v>
      </c>
      <c r="L295">
        <f t="shared" si="9"/>
        <v>2.1435696908931118E-4</v>
      </c>
    </row>
    <row r="296" spans="1:12" x14ac:dyDescent="0.3">
      <c r="A296" s="28">
        <v>45663</v>
      </c>
      <c r="B296" s="29">
        <v>0.16355636970281801</v>
      </c>
      <c r="C296" s="29">
        <v>0.16359115299044599</v>
      </c>
      <c r="D296" s="29">
        <v>0.16357376000000001</v>
      </c>
      <c r="E296" s="30">
        <v>1.2097400000000099E-3</v>
      </c>
      <c r="F296" s="30">
        <v>0.74507886661097</v>
      </c>
      <c r="G296" s="30">
        <v>-10.8833756777845</v>
      </c>
      <c r="H296" s="29">
        <v>0.16357376000000001</v>
      </c>
      <c r="I296" s="29">
        <v>0.16357376000000001</v>
      </c>
      <c r="K296">
        <f t="shared" si="8"/>
        <v>7.4507886661097089E-3</v>
      </c>
      <c r="L296">
        <f t="shared" si="9"/>
        <v>2.1264588909607161E-4</v>
      </c>
    </row>
    <row r="297" spans="1:12" x14ac:dyDescent="0.3">
      <c r="A297" s="31">
        <v>45660</v>
      </c>
      <c r="B297" s="32">
        <v>0.162337662337662</v>
      </c>
      <c r="C297" s="32">
        <v>0.16239038648911999</v>
      </c>
      <c r="D297" s="32">
        <v>0.16236402</v>
      </c>
      <c r="E297" s="33">
        <v>7.2695000000000398E-4</v>
      </c>
      <c r="F297" s="33">
        <v>0.44974212907966599</v>
      </c>
      <c r="G297" s="33">
        <v>-11.5424541577776</v>
      </c>
      <c r="H297" s="32">
        <v>0.16236402</v>
      </c>
      <c r="I297" s="32">
        <v>0.16236402</v>
      </c>
      <c r="K297">
        <f t="shared" si="8"/>
        <v>4.497421290796666E-3</v>
      </c>
      <c r="L297">
        <f t="shared" si="9"/>
        <v>3.2472804909603148E-4</v>
      </c>
    </row>
    <row r="298" spans="1:12" x14ac:dyDescent="0.3">
      <c r="A298" s="28">
        <v>45659</v>
      </c>
      <c r="B298" s="29">
        <v>0.16161354968000499</v>
      </c>
      <c r="C298" s="29">
        <v>0.16166057745158299</v>
      </c>
      <c r="D298" s="29">
        <v>0.16163706999999999</v>
      </c>
      <c r="E298" s="30">
        <v>-2.31330000000001E-4</v>
      </c>
      <c r="F298" s="30">
        <v>-0.14291239055924601</v>
      </c>
      <c r="G298" s="30">
        <v>-11.9385038056614</v>
      </c>
      <c r="H298" s="29">
        <v>0.16163706999999999</v>
      </c>
      <c r="I298" s="29">
        <v>0.16163706999999999</v>
      </c>
      <c r="K298">
        <f t="shared" si="8"/>
        <v>-1.4291239055924665E-3</v>
      </c>
      <c r="L298">
        <f t="shared" si="9"/>
        <v>2.9094669668288948E-4</v>
      </c>
    </row>
    <row r="299" spans="1:12" x14ac:dyDescent="0.3">
      <c r="A299" s="31">
        <v>45658</v>
      </c>
      <c r="B299" s="32">
        <v>0.161854201735077</v>
      </c>
      <c r="C299" s="32">
        <v>0.161883023327344</v>
      </c>
      <c r="D299" s="32">
        <v>0.1618684</v>
      </c>
      <c r="E299" s="33">
        <v>-2.1999999999522399E-7</v>
      </c>
      <c r="F299" s="33">
        <v>-1.3591269264478999E-4</v>
      </c>
      <c r="G299" s="33">
        <v>-11.812472902511301</v>
      </c>
      <c r="H299" s="32">
        <v>0.1618684</v>
      </c>
      <c r="I299" s="32">
        <v>0.1618684</v>
      </c>
      <c r="K299">
        <f t="shared" si="8"/>
        <v>-1.3591269264479067E-6</v>
      </c>
      <c r="L299">
        <f t="shared" si="9"/>
        <v>1.7805570616005135E-4</v>
      </c>
    </row>
    <row r="300" spans="1:12" x14ac:dyDescent="0.3">
      <c r="A300" s="28">
        <v>45657</v>
      </c>
      <c r="B300" s="29">
        <v>0.161854201735077</v>
      </c>
      <c r="C300" s="29">
        <v>0.161883023327344</v>
      </c>
      <c r="D300" s="29">
        <v>0.16186861999999999</v>
      </c>
      <c r="E300" s="30">
        <v>1.18990999999998E-3</v>
      </c>
      <c r="F300" s="30">
        <v>0.74055237311774202</v>
      </c>
      <c r="G300" s="30">
        <v>-11.8123530443058</v>
      </c>
      <c r="H300" s="29">
        <v>0.16186861999999999</v>
      </c>
      <c r="I300" s="29">
        <v>0.16186861999999999</v>
      </c>
      <c r="K300">
        <f t="shared" si="8"/>
        <v>7.4055237311774214E-3</v>
      </c>
      <c r="L300">
        <f t="shared" si="9"/>
        <v>1.7805546415974668E-4</v>
      </c>
    </row>
    <row r="301" spans="1:12" x14ac:dyDescent="0.3">
      <c r="A301" s="31">
        <v>45656</v>
      </c>
      <c r="B301" s="32">
        <v>0.16065547433528801</v>
      </c>
      <c r="C301" s="32">
        <v>0.16070194610056701</v>
      </c>
      <c r="D301" s="32">
        <v>0.16067871</v>
      </c>
      <c r="E301" s="33">
        <v>-5.6999999999998697E-4</v>
      </c>
      <c r="F301" s="33">
        <v>-0.35349120002261503</v>
      </c>
      <c r="G301" s="33">
        <v>-12.4606279414974</v>
      </c>
      <c r="H301" s="32">
        <v>0.16067871</v>
      </c>
      <c r="I301" s="32">
        <v>0.16067871</v>
      </c>
      <c r="K301">
        <f t="shared" si="8"/>
        <v>-3.5349120002261536E-3</v>
      </c>
      <c r="L301">
        <f t="shared" si="9"/>
        <v>2.8922167273436045E-4</v>
      </c>
    </row>
    <row r="302" spans="1:12" x14ac:dyDescent="0.3">
      <c r="A302" s="28">
        <v>45653</v>
      </c>
      <c r="B302" s="29">
        <v>0.161235710485158</v>
      </c>
      <c r="C302" s="29">
        <v>0.161261711631807</v>
      </c>
      <c r="D302" s="29">
        <v>0.16124870999999999</v>
      </c>
      <c r="E302" s="30">
        <v>-1.28024000000001E-3</v>
      </c>
      <c r="F302" s="30">
        <v>-0.78769966827448801</v>
      </c>
      <c r="G302" s="30">
        <v>-12.150086227082699</v>
      </c>
      <c r="H302" s="29">
        <v>0.16124870999999999</v>
      </c>
      <c r="I302" s="29">
        <v>0.16124870999999999</v>
      </c>
      <c r="K302">
        <f t="shared" si="8"/>
        <v>-7.8769966827448856E-3</v>
      </c>
      <c r="L302">
        <f t="shared" si="9"/>
        <v>1.6124871106873488E-4</v>
      </c>
    </row>
    <row r="303" spans="1:12" x14ac:dyDescent="0.3">
      <c r="A303" s="31">
        <v>45652</v>
      </c>
      <c r="B303" s="32">
        <v>0.16251970551429401</v>
      </c>
      <c r="C303" s="32">
        <v>0.16253819647617199</v>
      </c>
      <c r="D303" s="32">
        <v>0.16252895000000001</v>
      </c>
      <c r="E303" s="33">
        <v>1.04028E-3</v>
      </c>
      <c r="F303" s="33">
        <v>0.64418141532778195</v>
      </c>
      <c r="G303" s="33">
        <v>-11.4525986403067</v>
      </c>
      <c r="H303" s="32">
        <v>0.16252895000000001</v>
      </c>
      <c r="I303" s="32">
        <v>0.16252895000000001</v>
      </c>
      <c r="K303">
        <f t="shared" si="8"/>
        <v>6.441814153277825E-3</v>
      </c>
      <c r="L303">
        <f t="shared" si="9"/>
        <v>1.137702660232288E-4</v>
      </c>
    </row>
    <row r="304" spans="1:12" x14ac:dyDescent="0.3">
      <c r="A304" s="28">
        <v>45651</v>
      </c>
      <c r="B304" s="29">
        <v>0.16147784523963299</v>
      </c>
      <c r="C304" s="29">
        <v>0.161498708010336</v>
      </c>
      <c r="D304" s="29">
        <v>0.16148867</v>
      </c>
      <c r="E304" s="30">
        <v>3.8999999998900998E-7</v>
      </c>
      <c r="F304" s="30">
        <v>2.4150359394514701E-4</v>
      </c>
      <c r="G304" s="30">
        <v>-12.0193536134143</v>
      </c>
      <c r="H304" s="29">
        <v>0.16148867</v>
      </c>
      <c r="I304" s="29">
        <v>0.16148867</v>
      </c>
      <c r="K304">
        <f t="shared" si="8"/>
        <v>2.4150359394514709E-6</v>
      </c>
      <c r="L304">
        <f t="shared" si="9"/>
        <v>1.2919030606303085E-4</v>
      </c>
    </row>
    <row r="305" spans="1:12" x14ac:dyDescent="0.3">
      <c r="A305" s="31">
        <v>45650</v>
      </c>
      <c r="B305" s="32">
        <v>0.16147784523963299</v>
      </c>
      <c r="C305" s="32">
        <v>0.161498708010336</v>
      </c>
      <c r="D305" s="32">
        <v>0.16148828000000001</v>
      </c>
      <c r="E305" s="33">
        <v>-6.3356999999999997E-4</v>
      </c>
      <c r="F305" s="33">
        <v>-0.39079864928755997</v>
      </c>
      <c r="G305" s="33">
        <v>-12.019566089324201</v>
      </c>
      <c r="H305" s="32">
        <v>0.16148828000000001</v>
      </c>
      <c r="I305" s="32">
        <v>0.16148828000000001</v>
      </c>
      <c r="K305">
        <f t="shared" si="8"/>
        <v>-3.9079864928756036E-3</v>
      </c>
      <c r="L305">
        <f t="shared" si="9"/>
        <v>1.2919061806226302E-4</v>
      </c>
    </row>
    <row r="306" spans="1:12" x14ac:dyDescent="0.3">
      <c r="A306" s="28">
        <v>45649</v>
      </c>
      <c r="B306" s="29">
        <v>0.16210608222020501</v>
      </c>
      <c r="C306" s="29">
        <v>0.162137622413905</v>
      </c>
      <c r="D306" s="29">
        <v>0.16212185000000001</v>
      </c>
      <c r="E306" s="30">
        <v>-2.2707099999999801E-3</v>
      </c>
      <c r="F306" s="30">
        <v>-1.3812729724507999</v>
      </c>
      <c r="G306" s="30">
        <v>-11.674390801601801</v>
      </c>
      <c r="H306" s="29">
        <v>0.16212185000000001</v>
      </c>
      <c r="I306" s="29">
        <v>0.16212185000000001</v>
      </c>
      <c r="K306">
        <f t="shared" si="8"/>
        <v>-1.3812729724508088E-2</v>
      </c>
      <c r="L306">
        <f t="shared" si="9"/>
        <v>1.9454622371998007E-4</v>
      </c>
    </row>
    <row r="307" spans="1:12" x14ac:dyDescent="0.3">
      <c r="A307" s="31">
        <v>45646</v>
      </c>
      <c r="B307" s="32">
        <v>0.16436014595181</v>
      </c>
      <c r="C307" s="32">
        <v>0.16442500575487501</v>
      </c>
      <c r="D307" s="32">
        <v>0.16439255999999999</v>
      </c>
      <c r="E307" s="33">
        <v>1.46108999999999E-3</v>
      </c>
      <c r="F307" s="33">
        <v>0.89675125376331699</v>
      </c>
      <c r="G307" s="33">
        <v>-10.437285229077901</v>
      </c>
      <c r="H307" s="32">
        <v>0.16439255999999999</v>
      </c>
      <c r="I307" s="32">
        <v>0.16439255999999999</v>
      </c>
      <c r="K307">
        <f t="shared" si="8"/>
        <v>8.967512537633171E-3</v>
      </c>
      <c r="L307">
        <f t="shared" si="9"/>
        <v>3.9454220473848594E-4</v>
      </c>
    </row>
    <row r="308" spans="1:12" x14ac:dyDescent="0.3">
      <c r="A308" s="28">
        <v>45645</v>
      </c>
      <c r="B308" s="29">
        <v>0.162895632768085</v>
      </c>
      <c r="C308" s="29">
        <v>0.162967308757863</v>
      </c>
      <c r="D308" s="29">
        <v>0.16293146999999999</v>
      </c>
      <c r="E308" s="30">
        <v>1.24997999999998E-3</v>
      </c>
      <c r="F308" s="30">
        <v>0.773112617900784</v>
      </c>
      <c r="G308" s="30">
        <v>-11.2333017089273</v>
      </c>
      <c r="H308" s="29">
        <v>0.16293146999999999</v>
      </c>
      <c r="I308" s="29">
        <v>0.16293146999999999</v>
      </c>
      <c r="K308">
        <f t="shared" si="8"/>
        <v>7.7311261790078412E-3</v>
      </c>
      <c r="L308">
        <f t="shared" si="9"/>
        <v>4.3991495183835772E-4</v>
      </c>
    </row>
    <row r="309" spans="1:12" x14ac:dyDescent="0.3">
      <c r="A309" s="31">
        <v>45644</v>
      </c>
      <c r="B309" s="32">
        <v>0.161647511436561</v>
      </c>
      <c r="C309" s="32">
        <v>0.161715477788379</v>
      </c>
      <c r="D309" s="32">
        <v>0.16168149000000001</v>
      </c>
      <c r="E309" s="33">
        <v>-4.4035999999999999E-4</v>
      </c>
      <c r="F309" s="33">
        <v>-0.27162285651194301</v>
      </c>
      <c r="G309" s="33">
        <v>-11.9143033443381</v>
      </c>
      <c r="H309" s="32">
        <v>0.16168149000000001</v>
      </c>
      <c r="I309" s="32">
        <v>0.16168149000000001</v>
      </c>
      <c r="K309">
        <f t="shared" si="8"/>
        <v>-2.7162285651194384E-3</v>
      </c>
      <c r="L309">
        <f t="shared" si="9"/>
        <v>4.2037187941547323E-4</v>
      </c>
    </row>
    <row r="310" spans="1:12" x14ac:dyDescent="0.3">
      <c r="A310" s="28">
        <v>45643</v>
      </c>
      <c r="B310" s="29">
        <v>0.16210871010099401</v>
      </c>
      <c r="C310" s="29">
        <v>0.16213499359566799</v>
      </c>
      <c r="D310" s="29">
        <v>0.16212185000000001</v>
      </c>
      <c r="E310" s="30">
        <v>-2.6702999999999801E-3</v>
      </c>
      <c r="F310" s="30">
        <v>-1.6204048554497099</v>
      </c>
      <c r="G310" s="30">
        <v>-11.674390801601801</v>
      </c>
      <c r="H310" s="29">
        <v>0.16212185000000001</v>
      </c>
      <c r="I310" s="29">
        <v>0.16212185000000001</v>
      </c>
      <c r="K310">
        <f t="shared" si="8"/>
        <v>-1.6204048554497197E-2</v>
      </c>
      <c r="L310">
        <f t="shared" si="9"/>
        <v>1.6212185263111834E-4</v>
      </c>
    </row>
    <row r="311" spans="1:12" x14ac:dyDescent="0.3">
      <c r="A311" s="31">
        <v>45642</v>
      </c>
      <c r="B311" s="32">
        <v>0.16477179106936901</v>
      </c>
      <c r="C311" s="32">
        <v>0.16481252575195701</v>
      </c>
      <c r="D311" s="32">
        <v>0.16479215</v>
      </c>
      <c r="E311" s="33">
        <v>-5.3810000000001303E-4</v>
      </c>
      <c r="F311" s="33">
        <v>-0.32546977942633498</v>
      </c>
      <c r="G311" s="33">
        <v>-10.2195845910726</v>
      </c>
      <c r="H311" s="32">
        <v>0.16479215</v>
      </c>
      <c r="I311" s="32">
        <v>0.16479215</v>
      </c>
      <c r="K311">
        <f t="shared" si="8"/>
        <v>-3.2546977942633504E-3</v>
      </c>
      <c r="L311">
        <f t="shared" si="9"/>
        <v>2.4718824645470437E-4</v>
      </c>
    </row>
    <row r="312" spans="1:12" x14ac:dyDescent="0.3">
      <c r="A312" s="28">
        <v>45639</v>
      </c>
      <c r="B312" s="29">
        <v>0.1653165812531</v>
      </c>
      <c r="C312" s="29">
        <v>0.16534391534391499</v>
      </c>
      <c r="D312" s="29">
        <v>0.16533025000000001</v>
      </c>
      <c r="E312" s="30">
        <v>-1.2517400000000001E-3</v>
      </c>
      <c r="F312" s="30">
        <v>-0.75142576937639005</v>
      </c>
      <c r="G312" s="30">
        <v>-9.9264223164646506</v>
      </c>
      <c r="H312" s="29">
        <v>0.16533025000000001</v>
      </c>
      <c r="I312" s="29">
        <v>0.16533025000000001</v>
      </c>
      <c r="K312">
        <f t="shared" si="8"/>
        <v>-7.5142576937639038E-3</v>
      </c>
      <c r="L312">
        <f t="shared" si="9"/>
        <v>1.6533024546315262E-4</v>
      </c>
    </row>
    <row r="313" spans="1:12" x14ac:dyDescent="0.3">
      <c r="A313" s="31">
        <v>45638</v>
      </c>
      <c r="B313" s="32">
        <v>0.16657227571043101</v>
      </c>
      <c r="C313" s="32">
        <v>0.16659170040148599</v>
      </c>
      <c r="D313" s="32">
        <v>0.16658199000000001</v>
      </c>
      <c r="E313" s="33">
        <v>1.0396300000000099E-3</v>
      </c>
      <c r="F313" s="33">
        <v>0.62801448523508396</v>
      </c>
      <c r="G313" s="33">
        <v>-9.2444618154094105</v>
      </c>
      <c r="H313" s="32">
        <v>0.16658199000000001</v>
      </c>
      <c r="I313" s="32">
        <v>0.16658199000000001</v>
      </c>
      <c r="K313">
        <f t="shared" si="8"/>
        <v>6.2801448523508441E-3</v>
      </c>
      <c r="L313">
        <f t="shared" si="9"/>
        <v>1.1660738988038937E-4</v>
      </c>
    </row>
    <row r="314" spans="1:12" x14ac:dyDescent="0.3">
      <c r="A314" s="28">
        <v>45637</v>
      </c>
      <c r="B314" s="29">
        <v>0.16551084923616699</v>
      </c>
      <c r="C314" s="29">
        <v>0.165573879064839</v>
      </c>
      <c r="D314" s="29">
        <v>0.16554236</v>
      </c>
      <c r="E314" s="30">
        <v>2.6266999999999198E-4</v>
      </c>
      <c r="F314" s="30">
        <v>0.158924547837657</v>
      </c>
      <c r="G314" s="30">
        <v>-9.8108626620006092</v>
      </c>
      <c r="H314" s="29">
        <v>0.16554236</v>
      </c>
      <c r="I314" s="29">
        <v>0.16554236</v>
      </c>
      <c r="K314">
        <f t="shared" si="8"/>
        <v>1.5892454783765775E-3</v>
      </c>
      <c r="L314">
        <f t="shared" si="9"/>
        <v>3.8074743329750841E-4</v>
      </c>
    </row>
    <row r="315" spans="1:12" x14ac:dyDescent="0.3">
      <c r="A315" s="31">
        <v>45636</v>
      </c>
      <c r="B315" s="32">
        <v>0.16526194017517801</v>
      </c>
      <c r="C315" s="32">
        <v>0.16529745276625299</v>
      </c>
      <c r="D315" s="32">
        <v>0.16527969000000001</v>
      </c>
      <c r="E315" s="33">
        <v>3.7748000000001298E-4</v>
      </c>
      <c r="F315" s="33">
        <v>0.228911425747435</v>
      </c>
      <c r="G315" s="33">
        <v>-9.9539679113432697</v>
      </c>
      <c r="H315" s="32">
        <v>0.16527969000000001</v>
      </c>
      <c r="I315" s="32">
        <v>0.16527969000000001</v>
      </c>
      <c r="K315">
        <f t="shared" si="8"/>
        <v>2.2891142574743562E-3</v>
      </c>
      <c r="L315">
        <f t="shared" si="9"/>
        <v>2.148636113425797E-4</v>
      </c>
    </row>
    <row r="316" spans="1:12" x14ac:dyDescent="0.3">
      <c r="A316" s="28">
        <v>45635</v>
      </c>
      <c r="B316" s="29">
        <v>0.164885898957921</v>
      </c>
      <c r="C316" s="29">
        <v>0.16491853024605799</v>
      </c>
      <c r="D316" s="29">
        <v>0.16490220999999999</v>
      </c>
      <c r="E316" s="30">
        <v>-8.1700000000017802E-6</v>
      </c>
      <c r="F316" s="30">
        <v>-4.9542060360341297E-3</v>
      </c>
      <c r="G316" s="30">
        <v>-10.1596227996893</v>
      </c>
      <c r="H316" s="29">
        <v>0.16490220999999999</v>
      </c>
      <c r="I316" s="29">
        <v>0.16490220999999999</v>
      </c>
      <c r="K316">
        <f t="shared" si="8"/>
        <v>-4.9542060360341367E-5</v>
      </c>
      <c r="L316">
        <f t="shared" si="9"/>
        <v>1.9788266110558298E-4</v>
      </c>
    </row>
    <row r="317" spans="1:12" x14ac:dyDescent="0.3">
      <c r="A317" s="31">
        <v>45632</v>
      </c>
      <c r="B317" s="32">
        <v>0.164896774619088</v>
      </c>
      <c r="C317" s="32">
        <v>0.16492397004980699</v>
      </c>
      <c r="D317" s="32">
        <v>0.16491038</v>
      </c>
      <c r="E317" s="33">
        <v>-2.5377099999999899E-3</v>
      </c>
      <c r="F317" s="33">
        <v>-1.51552042188118</v>
      </c>
      <c r="G317" s="33">
        <v>-10.155171701782701</v>
      </c>
      <c r="H317" s="32">
        <v>0.16491038</v>
      </c>
      <c r="I317" s="32">
        <v>0.16491038</v>
      </c>
      <c r="K317">
        <f t="shared" si="8"/>
        <v>-1.5155204218811891E-2</v>
      </c>
      <c r="L317">
        <f t="shared" si="9"/>
        <v>1.6491036355016514E-4</v>
      </c>
    </row>
    <row r="318" spans="1:12" x14ac:dyDescent="0.3">
      <c r="A318" s="28">
        <v>45631</v>
      </c>
      <c r="B318" s="29">
        <v>0.16743126946388501</v>
      </c>
      <c r="C318" s="29">
        <v>0.16746491610007699</v>
      </c>
      <c r="D318" s="29">
        <v>0.16744808999999999</v>
      </c>
      <c r="E318" s="30">
        <v>1.77272E-3</v>
      </c>
      <c r="F318" s="30">
        <v>1.06999610141205</v>
      </c>
      <c r="G318" s="30">
        <v>-8.7726018525066198</v>
      </c>
      <c r="H318" s="29">
        <v>0.16744808999999999</v>
      </c>
      <c r="I318" s="29">
        <v>0.16744808999999999</v>
      </c>
      <c r="K318">
        <f t="shared" si="8"/>
        <v>1.0699961014120518E-2</v>
      </c>
      <c r="L318">
        <f t="shared" si="9"/>
        <v>2.009377126486559E-4</v>
      </c>
    </row>
    <row r="319" spans="1:12" x14ac:dyDescent="0.3">
      <c r="A319" s="31">
        <v>45630</v>
      </c>
      <c r="B319" s="32">
        <v>0.16565890830779401</v>
      </c>
      <c r="C319" s="32">
        <v>0.165691846304243</v>
      </c>
      <c r="D319" s="32">
        <v>0.16567536999999999</v>
      </c>
      <c r="E319" s="33">
        <v>5.6076999999998801E-4</v>
      </c>
      <c r="F319" s="33">
        <v>0.33962472125419402</v>
      </c>
      <c r="G319" s="33">
        <v>-9.7383974805369302</v>
      </c>
      <c r="H319" s="32">
        <v>0.16567536999999999</v>
      </c>
      <c r="I319" s="32">
        <v>0.16567536999999999</v>
      </c>
      <c r="K319">
        <f t="shared" si="8"/>
        <v>3.3962472125419474E-3</v>
      </c>
      <c r="L319">
        <f t="shared" si="9"/>
        <v>1.9881045956915346E-4</v>
      </c>
    </row>
    <row r="320" spans="1:12" x14ac:dyDescent="0.3">
      <c r="A320" s="28">
        <v>45629</v>
      </c>
      <c r="B320" s="29">
        <v>0.16510641108194199</v>
      </c>
      <c r="C320" s="29">
        <v>0.165122768778587</v>
      </c>
      <c r="D320" s="29">
        <v>0.1651146</v>
      </c>
      <c r="E320" s="30">
        <v>5.6784000000001302E-4</v>
      </c>
      <c r="F320" s="30">
        <v>0.34509339472865702</v>
      </c>
      <c r="G320" s="30">
        <v>-10.043910598418201</v>
      </c>
      <c r="H320" s="29">
        <v>0.1651146</v>
      </c>
      <c r="I320" s="29">
        <v>0.1651146</v>
      </c>
      <c r="K320">
        <f t="shared" si="8"/>
        <v>3.4509339472865719E-3</v>
      </c>
      <c r="L320">
        <f t="shared" si="9"/>
        <v>9.9068747675941891E-5</v>
      </c>
    </row>
    <row r="321" spans="1:12" x14ac:dyDescent="0.3">
      <c r="A321" s="31">
        <v>45628</v>
      </c>
      <c r="B321" s="32">
        <v>0.164519684780284</v>
      </c>
      <c r="C321" s="32">
        <v>0.16457383605154499</v>
      </c>
      <c r="D321" s="32">
        <v>0.16454675999999999</v>
      </c>
      <c r="E321" s="33">
        <v>-2.9391899999999999E-3</v>
      </c>
      <c r="F321" s="33">
        <v>-1.7548874995186201</v>
      </c>
      <c r="G321" s="33">
        <v>-10.353275523178301</v>
      </c>
      <c r="H321" s="32">
        <v>0.16454675999999999</v>
      </c>
      <c r="I321" s="32">
        <v>0.16454675999999999</v>
      </c>
      <c r="K321">
        <f t="shared" si="8"/>
        <v>-1.7548874995186203E-2</v>
      </c>
      <c r="L321">
        <f t="shared" si="9"/>
        <v>3.2909351275581592E-4</v>
      </c>
    </row>
    <row r="322" spans="1:12" x14ac:dyDescent="0.3">
      <c r="A322" s="28">
        <v>45625</v>
      </c>
      <c r="B322" s="29">
        <v>0.167467720596855</v>
      </c>
      <c r="C322" s="29">
        <v>0.16750418760468999</v>
      </c>
      <c r="D322" s="29">
        <v>0.16748594999999999</v>
      </c>
      <c r="E322" s="30">
        <v>6.2460999999999702E-4</v>
      </c>
      <c r="F322" s="30">
        <v>0.37432876902463402</v>
      </c>
      <c r="G322" s="30">
        <v>-8.7519753449491802</v>
      </c>
      <c r="H322" s="29">
        <v>0.16748594999999999</v>
      </c>
      <c r="I322" s="29">
        <v>0.16748594999999999</v>
      </c>
      <c r="K322">
        <f t="shared" si="8"/>
        <v>3.7432876902463441E-3</v>
      </c>
      <c r="L322">
        <f t="shared" si="9"/>
        <v>2.1773174308050856E-4</v>
      </c>
    </row>
    <row r="323" spans="1:12" x14ac:dyDescent="0.3">
      <c r="A323" s="31">
        <v>45624</v>
      </c>
      <c r="B323" s="32">
        <v>0.16684741803620601</v>
      </c>
      <c r="C323" s="32">
        <v>0.16687526074259501</v>
      </c>
      <c r="D323" s="32">
        <v>0.16686134</v>
      </c>
      <c r="E323" s="33">
        <v>-4.3700600000000003E-3</v>
      </c>
      <c r="F323" s="33">
        <v>-2.5521370496299198</v>
      </c>
      <c r="G323" s="33">
        <v>-9.0922691348449405</v>
      </c>
      <c r="H323" s="32">
        <v>0.16686134</v>
      </c>
      <c r="I323" s="32">
        <v>0.16686134</v>
      </c>
      <c r="K323">
        <f t="shared" si="8"/>
        <v>-2.5521370496299212E-2</v>
      </c>
      <c r="L323">
        <f t="shared" si="9"/>
        <v>1.6686133761722752E-4</v>
      </c>
    </row>
    <row r="324" spans="1:12" x14ac:dyDescent="0.3">
      <c r="A324" s="28">
        <v>45623</v>
      </c>
      <c r="B324" s="29">
        <v>0.17120649215018199</v>
      </c>
      <c r="C324" s="29">
        <v>0.17125633648444999</v>
      </c>
      <c r="D324" s="29">
        <v>0.17123140000000001</v>
      </c>
      <c r="E324" s="30">
        <v>-1.10216999999998E-3</v>
      </c>
      <c r="F324" s="30">
        <v>-0.63955618165397699</v>
      </c>
      <c r="G324" s="30">
        <v>-6.7114166357305196</v>
      </c>
      <c r="H324" s="29">
        <v>0.17123140000000001</v>
      </c>
      <c r="I324" s="29">
        <v>0.17123140000000001</v>
      </c>
      <c r="K324">
        <f t="shared" si="8"/>
        <v>-6.3955618165397743E-3</v>
      </c>
      <c r="L324">
        <f t="shared" si="9"/>
        <v>2.9109342251476951E-4</v>
      </c>
    </row>
    <row r="325" spans="1:12" x14ac:dyDescent="0.3">
      <c r="A325" s="31">
        <v>45622</v>
      </c>
      <c r="B325" s="32">
        <v>0.17230387511415099</v>
      </c>
      <c r="C325" s="32">
        <v>0.17236327283382499</v>
      </c>
      <c r="D325" s="32">
        <v>0.17233356999999999</v>
      </c>
      <c r="E325" s="33">
        <v>4.5615999999998297E-4</v>
      </c>
      <c r="F325" s="33">
        <v>0.265398460449217</v>
      </c>
      <c r="G325" s="33">
        <v>-6.1109433701577602</v>
      </c>
      <c r="H325" s="32">
        <v>0.17233356999999999</v>
      </c>
      <c r="I325" s="32">
        <v>0.17233356999999999</v>
      </c>
      <c r="K325">
        <f t="shared" ref="K325:K388" si="10">D325/D326-1</f>
        <v>2.6539846044921767E-3</v>
      </c>
      <c r="L325">
        <f t="shared" ref="L325:L388" si="11">(C325-B325)/D325</f>
        <v>3.446671456640958E-4</v>
      </c>
    </row>
    <row r="326" spans="1:12" x14ac:dyDescent="0.3">
      <c r="A326" s="28">
        <v>45621</v>
      </c>
      <c r="B326" s="29">
        <v>0.17185083347654201</v>
      </c>
      <c r="C326" s="29">
        <v>0.17190400880148499</v>
      </c>
      <c r="D326" s="29">
        <v>0.17187741000000001</v>
      </c>
      <c r="E326" s="30">
        <v>-1.7151999999998001E-4</v>
      </c>
      <c r="F326" s="30">
        <v>-9.9692570014808801E-2</v>
      </c>
      <c r="G326" s="30">
        <v>-6.35946391129358</v>
      </c>
      <c r="H326" s="29">
        <v>0.17187741000000001</v>
      </c>
      <c r="I326" s="29">
        <v>0.17187741000000001</v>
      </c>
      <c r="K326">
        <f t="shared" si="10"/>
        <v>-9.9692570014808801E-4</v>
      </c>
      <c r="L326">
        <f t="shared" si="11"/>
        <v>3.0937937069785862E-4</v>
      </c>
    </row>
    <row r="327" spans="1:12" x14ac:dyDescent="0.3">
      <c r="A327" s="31">
        <v>45618</v>
      </c>
      <c r="B327" s="32">
        <v>0.17203117204837501</v>
      </c>
      <c r="C327" s="32">
        <v>0.17206669305022601</v>
      </c>
      <c r="D327" s="32">
        <v>0.17204892999999999</v>
      </c>
      <c r="E327" s="33">
        <v>5.1789999999995999E-5</v>
      </c>
      <c r="F327" s="33">
        <v>3.0110965798613099E-2</v>
      </c>
      <c r="G327" s="33">
        <v>-6.2660180957560199</v>
      </c>
      <c r="H327" s="32">
        <v>0.17204892999999999</v>
      </c>
      <c r="I327" s="32">
        <v>0.17204892999999999</v>
      </c>
      <c r="K327">
        <f t="shared" si="10"/>
        <v>3.0110965798613165E-4</v>
      </c>
      <c r="L327">
        <f t="shared" si="11"/>
        <v>2.0645871991765456E-4</v>
      </c>
    </row>
    <row r="328" spans="1:12" x14ac:dyDescent="0.3">
      <c r="A328" s="28">
        <v>45617</v>
      </c>
      <c r="B328" s="29">
        <v>0.171977918035324</v>
      </c>
      <c r="C328" s="29">
        <v>0.172016375958991</v>
      </c>
      <c r="D328" s="29">
        <v>0.17199713999999999</v>
      </c>
      <c r="E328" s="30">
        <v>-1.25003000000001E-3</v>
      </c>
      <c r="F328" s="30">
        <v>-0.721529823546329</v>
      </c>
      <c r="G328" s="30">
        <v>-6.2942338069657398</v>
      </c>
      <c r="H328" s="29">
        <v>0.17199713999999999</v>
      </c>
      <c r="I328" s="29">
        <v>0.17199713999999999</v>
      </c>
      <c r="K328">
        <f t="shared" si="10"/>
        <v>-7.2152982354632966E-3</v>
      </c>
      <c r="L328">
        <f t="shared" si="11"/>
        <v>2.2359629739771104E-4</v>
      </c>
    </row>
    <row r="329" spans="1:12" x14ac:dyDescent="0.3">
      <c r="A329" s="31">
        <v>45616</v>
      </c>
      <c r="B329" s="32">
        <v>0.173232165748536</v>
      </c>
      <c r="C329" s="32">
        <v>0.17326218033127699</v>
      </c>
      <c r="D329" s="32">
        <v>0.17324717000000001</v>
      </c>
      <c r="E329" s="33">
        <v>4.5010000000011897E-5</v>
      </c>
      <c r="F329" s="33">
        <v>2.5986973834513E-2</v>
      </c>
      <c r="G329" s="33">
        <v>-5.6132049310537298</v>
      </c>
      <c r="H329" s="32">
        <v>0.17324717000000001</v>
      </c>
      <c r="I329" s="32">
        <v>0.17324717000000001</v>
      </c>
      <c r="K329">
        <f t="shared" si="10"/>
        <v>2.5986973834513094E-4</v>
      </c>
      <c r="L329">
        <f t="shared" si="11"/>
        <v>1.7324717477918528E-4</v>
      </c>
    </row>
    <row r="330" spans="1:12" x14ac:dyDescent="0.3">
      <c r="A330" s="28">
        <v>45615</v>
      </c>
      <c r="B330" s="29">
        <v>0.17318416404004</v>
      </c>
      <c r="C330" s="29">
        <v>0.17322016282695299</v>
      </c>
      <c r="D330" s="29">
        <v>0.17320215999999999</v>
      </c>
      <c r="E330" s="30">
        <v>-9.7441000000000801E-4</v>
      </c>
      <c r="F330" s="30">
        <v>-0.55943804611607795</v>
      </c>
      <c r="G330" s="30">
        <v>-5.6377268302920003</v>
      </c>
      <c r="H330" s="29">
        <v>0.17320215999999999</v>
      </c>
      <c r="I330" s="29">
        <v>0.17320215999999999</v>
      </c>
      <c r="K330">
        <f t="shared" si="10"/>
        <v>-5.5943804611607861E-3</v>
      </c>
      <c r="L330">
        <f t="shared" si="11"/>
        <v>2.0784259799640215E-4</v>
      </c>
    </row>
    <row r="331" spans="1:12" x14ac:dyDescent="0.3">
      <c r="A331" s="31">
        <v>45614</v>
      </c>
      <c r="B331" s="32">
        <v>0.17414928076347</v>
      </c>
      <c r="C331" s="32">
        <v>0.174203888230785</v>
      </c>
      <c r="D331" s="32">
        <v>0.17417657</v>
      </c>
      <c r="E331" s="33">
        <v>1.6080599999999899E-3</v>
      </c>
      <c r="F331" s="33">
        <v>0.93183860717114197</v>
      </c>
      <c r="G331" s="33">
        <v>-5.1068584935501402</v>
      </c>
      <c r="H331" s="32">
        <v>0.17417657</v>
      </c>
      <c r="I331" s="32">
        <v>0.17417657</v>
      </c>
      <c r="K331">
        <f t="shared" si="10"/>
        <v>9.3183860717114264E-3</v>
      </c>
      <c r="L331">
        <f t="shared" si="11"/>
        <v>3.1351787048627906E-4</v>
      </c>
    </row>
    <row r="332" spans="1:12" x14ac:dyDescent="0.3">
      <c r="A332" s="28">
        <v>45611</v>
      </c>
      <c r="B332" s="29">
        <v>0.172535758035853</v>
      </c>
      <c r="C332" s="29">
        <v>0.17260127379740101</v>
      </c>
      <c r="D332" s="29">
        <v>0.17256851000000001</v>
      </c>
      <c r="E332" s="30">
        <v>-3.7753999999998102E-4</v>
      </c>
      <c r="F332" s="30">
        <v>-0.218299290443457</v>
      </c>
      <c r="G332" s="30">
        <v>-5.9829457028163597</v>
      </c>
      <c r="H332" s="29">
        <v>0.17256851000000001</v>
      </c>
      <c r="I332" s="29">
        <v>0.17256851000000001</v>
      </c>
      <c r="K332">
        <f t="shared" si="10"/>
        <v>-2.1829929044345775E-3</v>
      </c>
      <c r="L332">
        <f t="shared" si="11"/>
        <v>3.7965073435476329E-4</v>
      </c>
    </row>
    <row r="333" spans="1:12" x14ac:dyDescent="0.3">
      <c r="A333" s="31">
        <v>45610</v>
      </c>
      <c r="B333" s="32">
        <v>0.17292361963720601</v>
      </c>
      <c r="C333" s="32">
        <v>0.17296848514200699</v>
      </c>
      <c r="D333" s="32">
        <v>0.17294604999999999</v>
      </c>
      <c r="E333" s="33">
        <v>5.8426999999999698E-4</v>
      </c>
      <c r="F333" s="33">
        <v>0.33897886178710901</v>
      </c>
      <c r="G333" s="33">
        <v>-5.7772581258687596</v>
      </c>
      <c r="H333" s="32">
        <v>0.17294604999999999</v>
      </c>
      <c r="I333" s="32">
        <v>0.17294604999999999</v>
      </c>
      <c r="K333">
        <f t="shared" si="10"/>
        <v>3.3897886178710923E-3</v>
      </c>
      <c r="L333">
        <f t="shared" si="11"/>
        <v>2.5941907780480583E-4</v>
      </c>
    </row>
    <row r="334" spans="1:12" x14ac:dyDescent="0.3">
      <c r="A334" s="28">
        <v>45609</v>
      </c>
      <c r="B334" s="29">
        <v>0.17234544921841299</v>
      </c>
      <c r="C334" s="29">
        <v>0.17237812866303501</v>
      </c>
      <c r="D334" s="29">
        <v>0.17236177999999999</v>
      </c>
      <c r="E334" s="30">
        <v>-6.3514000000000604E-4</v>
      </c>
      <c r="F334" s="30">
        <v>-0.36713948433302301</v>
      </c>
      <c r="G334" s="30">
        <v>-6.0955742793443601</v>
      </c>
      <c r="H334" s="29">
        <v>0.17236177999999999</v>
      </c>
      <c r="I334" s="29">
        <v>0.17236177999999999</v>
      </c>
      <c r="K334">
        <f t="shared" si="10"/>
        <v>-3.6713948433302335E-3</v>
      </c>
      <c r="L334">
        <f t="shared" si="11"/>
        <v>1.8959797596667635E-4</v>
      </c>
    </row>
    <row r="335" spans="1:12" x14ac:dyDescent="0.3">
      <c r="A335" s="31">
        <v>45608</v>
      </c>
      <c r="B335" s="32">
        <v>0.17296549338407</v>
      </c>
      <c r="C335" s="32">
        <v>0.17302834204242701</v>
      </c>
      <c r="D335" s="32">
        <v>0.17299692</v>
      </c>
      <c r="E335" s="33">
        <v>2.3164000000000501E-4</v>
      </c>
      <c r="F335" s="33">
        <v>0.134077865645232</v>
      </c>
      <c r="G335" s="33">
        <v>-5.7495436398823099</v>
      </c>
      <c r="H335" s="32">
        <v>0.17299692</v>
      </c>
      <c r="I335" s="32">
        <v>0.17299692</v>
      </c>
      <c r="K335">
        <f t="shared" si="10"/>
        <v>1.3407786564523239E-3</v>
      </c>
      <c r="L335">
        <f t="shared" si="11"/>
        <v>3.632935104105439E-4</v>
      </c>
    </row>
    <row r="336" spans="1:12" x14ac:dyDescent="0.3">
      <c r="A336" s="28">
        <v>45607</v>
      </c>
      <c r="B336" s="29">
        <v>0.17274140611504599</v>
      </c>
      <c r="C336" s="29">
        <v>0.17278916266371799</v>
      </c>
      <c r="D336" s="29">
        <v>0.17276527999999999</v>
      </c>
      <c r="E336" s="30">
        <v>-1.2845000000000201E-4</v>
      </c>
      <c r="F336" s="30">
        <v>-7.4294192160695396E-2</v>
      </c>
      <c r="G336" s="30">
        <v>-5.8757434341402499</v>
      </c>
      <c r="H336" s="29">
        <v>0.17276527999999999</v>
      </c>
      <c r="I336" s="29">
        <v>0.17276527999999999</v>
      </c>
      <c r="K336">
        <f t="shared" si="10"/>
        <v>-7.4294192160695438E-4</v>
      </c>
      <c r="L336">
        <f t="shared" si="11"/>
        <v>2.7642445676588856E-4</v>
      </c>
    </row>
    <row r="337" spans="1:12" x14ac:dyDescent="0.3">
      <c r="A337" s="31">
        <v>45604</v>
      </c>
      <c r="B337" s="32">
        <v>0.172869811744775</v>
      </c>
      <c r="C337" s="32">
        <v>0.172917639328388</v>
      </c>
      <c r="D337" s="32">
        <v>0.17289373</v>
      </c>
      <c r="E337" s="33">
        <v>-3.2494399999999902E-3</v>
      </c>
      <c r="F337" s="33">
        <v>-1.8447720680852799</v>
      </c>
      <c r="G337" s="33">
        <v>-5.8057625863918796</v>
      </c>
      <c r="H337" s="32">
        <v>0.17289373</v>
      </c>
      <c r="I337" s="32">
        <v>0.17289373</v>
      </c>
      <c r="K337">
        <f t="shared" si="10"/>
        <v>-1.8447720680852875E-2</v>
      </c>
      <c r="L337">
        <f t="shared" si="11"/>
        <v>2.7662994842549555E-4</v>
      </c>
    </row>
    <row r="338" spans="1:12" x14ac:dyDescent="0.3">
      <c r="A338" s="28">
        <v>45603</v>
      </c>
      <c r="B338" s="29">
        <v>0.176112148215984</v>
      </c>
      <c r="C338" s="29">
        <v>0.17617420104999801</v>
      </c>
      <c r="D338" s="29">
        <v>0.17614316999999999</v>
      </c>
      <c r="E338" s="30">
        <v>1.3011799999999799E-3</v>
      </c>
      <c r="F338" s="30">
        <v>0.74420338043508205</v>
      </c>
      <c r="G338" s="30">
        <v>-4.0354350978168201</v>
      </c>
      <c r="H338" s="29">
        <v>0.17614316999999999</v>
      </c>
      <c r="I338" s="29">
        <v>0.17614316999999999</v>
      </c>
      <c r="K338">
        <f t="shared" si="10"/>
        <v>7.4420338043508227E-3</v>
      </c>
      <c r="L338">
        <f t="shared" si="11"/>
        <v>3.5228634760010072E-4</v>
      </c>
    </row>
    <row r="339" spans="1:12" x14ac:dyDescent="0.3">
      <c r="A339" s="31">
        <v>45602</v>
      </c>
      <c r="B339" s="32">
        <v>0.17482517482517501</v>
      </c>
      <c r="C339" s="32">
        <v>0.174858801517774</v>
      </c>
      <c r="D339" s="32">
        <v>0.17484199</v>
      </c>
      <c r="E339" s="33">
        <v>2.2079399999999898E-3</v>
      </c>
      <c r="F339" s="33">
        <v>1.2789713269195599</v>
      </c>
      <c r="G339" s="33">
        <v>-4.7443310065223399</v>
      </c>
      <c r="H339" s="32">
        <v>0.17484199</v>
      </c>
      <c r="I339" s="32">
        <v>0.17484199</v>
      </c>
      <c r="K339">
        <f t="shared" si="10"/>
        <v>1.2789713269195646E-2</v>
      </c>
      <c r="L339">
        <f t="shared" si="11"/>
        <v>1.9232618319539249E-4</v>
      </c>
    </row>
    <row r="340" spans="1:12" x14ac:dyDescent="0.3">
      <c r="A340" s="28">
        <v>45601</v>
      </c>
      <c r="B340" s="29">
        <v>0.17261617068287</v>
      </c>
      <c r="C340" s="29">
        <v>0.17265193370165699</v>
      </c>
      <c r="D340" s="29">
        <v>0.17263405000000001</v>
      </c>
      <c r="E340" s="30">
        <v>-7.5730999999998295E-4</v>
      </c>
      <c r="F340" s="30">
        <v>-0.43676340043701201</v>
      </c>
      <c r="G340" s="30">
        <v>-5.94723885375892</v>
      </c>
      <c r="H340" s="29">
        <v>0.17263405000000001</v>
      </c>
      <c r="I340" s="29">
        <v>0.17263405000000001</v>
      </c>
      <c r="K340">
        <f t="shared" si="10"/>
        <v>-4.3676340043701245E-3</v>
      </c>
      <c r="L340">
        <f t="shared" si="11"/>
        <v>2.0716086303364803E-4</v>
      </c>
    </row>
    <row r="341" spans="1:12" x14ac:dyDescent="0.3">
      <c r="A341" s="31">
        <v>45600</v>
      </c>
      <c r="B341" s="32">
        <v>0.17336130229010299</v>
      </c>
      <c r="C341" s="32">
        <v>0.17342143142049499</v>
      </c>
      <c r="D341" s="32">
        <v>0.17339135999999999</v>
      </c>
      <c r="E341" s="33">
        <v>1.85889E-3</v>
      </c>
      <c r="F341" s="33">
        <v>1.08369569912916</v>
      </c>
      <c r="G341" s="33">
        <v>-5.5346487735073202</v>
      </c>
      <c r="H341" s="32">
        <v>0.17339135999999999</v>
      </c>
      <c r="I341" s="32">
        <v>0.17339135999999999</v>
      </c>
      <c r="K341">
        <f t="shared" si="10"/>
        <v>1.0836956991291613E-2</v>
      </c>
      <c r="L341">
        <f t="shared" si="11"/>
        <v>3.4678273699447805E-4</v>
      </c>
    </row>
    <row r="342" spans="1:12" x14ac:dyDescent="0.3">
      <c r="A342" s="28">
        <v>45597</v>
      </c>
      <c r="B342" s="29">
        <v>0.171508935615546</v>
      </c>
      <c r="C342" s="29">
        <v>0.17155601303825699</v>
      </c>
      <c r="D342" s="29">
        <v>0.17153246999999999</v>
      </c>
      <c r="E342" s="30">
        <v>-1.2163900000000099E-3</v>
      </c>
      <c r="F342" s="30">
        <v>-0.70413778707425401</v>
      </c>
      <c r="G342" s="30">
        <v>-6.5473906814167702</v>
      </c>
      <c r="H342" s="29">
        <v>0.17153246999999999</v>
      </c>
      <c r="I342" s="29">
        <v>0.17153246999999999</v>
      </c>
      <c r="K342">
        <f t="shared" si="10"/>
        <v>-7.041377870742549E-3</v>
      </c>
      <c r="L342">
        <f t="shared" si="11"/>
        <v>2.7445196067533924E-4</v>
      </c>
    </row>
    <row r="343" spans="1:12" x14ac:dyDescent="0.3">
      <c r="A343" s="31">
        <v>45596</v>
      </c>
      <c r="B343" s="32">
        <v>0.17272648760687501</v>
      </c>
      <c r="C343" s="32">
        <v>0.172771250863856</v>
      </c>
      <c r="D343" s="32">
        <v>0.17274886</v>
      </c>
      <c r="E343" s="33">
        <v>-3.0642999999999599E-4</v>
      </c>
      <c r="F343" s="33">
        <v>-0.17707057669257201</v>
      </c>
      <c r="G343" s="33">
        <v>-5.8846892147554897</v>
      </c>
      <c r="H343" s="32">
        <v>0.17274886</v>
      </c>
      <c r="I343" s="32">
        <v>0.17274886</v>
      </c>
      <c r="K343">
        <f t="shared" si="10"/>
        <v>-1.7707057669257287E-3</v>
      </c>
      <c r="L343">
        <f t="shared" si="11"/>
        <v>2.591233133520838E-4</v>
      </c>
    </row>
    <row r="344" spans="1:12" x14ac:dyDescent="0.3">
      <c r="A344" s="28">
        <v>45595</v>
      </c>
      <c r="B344" s="29">
        <v>0.17303133597494499</v>
      </c>
      <c r="C344" s="29">
        <v>0.173079252989944</v>
      </c>
      <c r="D344" s="29">
        <v>0.17305529</v>
      </c>
      <c r="E344" s="30">
        <v>-1.59432000000001E-3</v>
      </c>
      <c r="F344" s="30">
        <v>-0.91286776993090202</v>
      </c>
      <c r="G344" s="30">
        <v>-5.7177430787061896</v>
      </c>
      <c r="H344" s="29">
        <v>0.17305529</v>
      </c>
      <c r="I344" s="29">
        <v>0.17305529</v>
      </c>
      <c r="K344">
        <f t="shared" si="10"/>
        <v>-9.1286776993090291E-3</v>
      </c>
      <c r="L344">
        <f t="shared" si="11"/>
        <v>2.7688847303662586E-4</v>
      </c>
    </row>
    <row r="345" spans="1:12" x14ac:dyDescent="0.3">
      <c r="A345" s="31">
        <v>45594</v>
      </c>
      <c r="B345" s="32">
        <v>0.174617587483411</v>
      </c>
      <c r="C345" s="32">
        <v>0.17468164270616801</v>
      </c>
      <c r="D345" s="32">
        <v>0.17464961000000001</v>
      </c>
      <c r="E345" s="33">
        <v>-5.7532999999998502E-4</v>
      </c>
      <c r="F345" s="33">
        <v>-0.328337963762459</v>
      </c>
      <c r="G345" s="33">
        <v>-4.8491415591874398</v>
      </c>
      <c r="H345" s="32">
        <v>0.17464961000000001</v>
      </c>
      <c r="I345" s="32">
        <v>0.17464961000000001</v>
      </c>
      <c r="K345">
        <f t="shared" si="10"/>
        <v>-3.2833796376245949E-3</v>
      </c>
      <c r="L345">
        <f t="shared" si="11"/>
        <v>3.6676419006612484E-4</v>
      </c>
    </row>
    <row r="346" spans="1:12" x14ac:dyDescent="0.3">
      <c r="A346" s="28">
        <v>45593</v>
      </c>
      <c r="B346" s="29">
        <v>0.17519271198318101</v>
      </c>
      <c r="C346" s="29">
        <v>0.175257189926217</v>
      </c>
      <c r="D346" s="29">
        <v>0.17522494</v>
      </c>
      <c r="E346" s="30">
        <v>-3.7386000000000298E-4</v>
      </c>
      <c r="F346" s="30">
        <v>-0.21290578295524101</v>
      </c>
      <c r="G346" s="30">
        <v>-4.53569600733793</v>
      </c>
      <c r="H346" s="29">
        <v>0.17522494</v>
      </c>
      <c r="I346" s="29">
        <v>0.17522494</v>
      </c>
      <c r="K346">
        <f t="shared" si="10"/>
        <v>-2.1290578295524165E-3</v>
      </c>
      <c r="L346">
        <f t="shared" si="11"/>
        <v>3.6797240755790734E-4</v>
      </c>
    </row>
    <row r="347" spans="1:12" x14ac:dyDescent="0.3">
      <c r="A347" s="31">
        <v>45590</v>
      </c>
      <c r="B347" s="32">
        <v>0.17558337576598201</v>
      </c>
      <c r="C347" s="32">
        <v>0.17561421070193001</v>
      </c>
      <c r="D347" s="32">
        <v>0.1755988</v>
      </c>
      <c r="E347" s="33">
        <v>2.5708999999998701E-4</v>
      </c>
      <c r="F347" s="33">
        <v>0.14662227258990199</v>
      </c>
      <c r="G347" s="33">
        <v>-4.3320133312833802</v>
      </c>
      <c r="H347" s="32">
        <v>0.1755988</v>
      </c>
      <c r="I347" s="32">
        <v>0.1755988</v>
      </c>
      <c r="K347">
        <f t="shared" si="10"/>
        <v>1.4662227258990246E-3</v>
      </c>
      <c r="L347">
        <f t="shared" si="11"/>
        <v>1.755987851169435E-4</v>
      </c>
    </row>
    <row r="348" spans="1:12" x14ac:dyDescent="0.3">
      <c r="A348" s="28">
        <v>45589</v>
      </c>
      <c r="B348" s="29">
        <v>0.17531864163116501</v>
      </c>
      <c r="C348" s="29">
        <v>0.17536475869809201</v>
      </c>
      <c r="D348" s="29">
        <v>0.17534171000000001</v>
      </c>
      <c r="E348" s="30">
        <v>7.2260000000001702E-4</v>
      </c>
      <c r="F348" s="30">
        <v>0.41381495988612699</v>
      </c>
      <c r="G348" s="30">
        <v>-4.4720785406849197</v>
      </c>
      <c r="H348" s="29">
        <v>0.17534171000000001</v>
      </c>
      <c r="I348" s="29">
        <v>0.17534171000000001</v>
      </c>
      <c r="K348">
        <f t="shared" si="10"/>
        <v>4.1381495988612738E-3</v>
      </c>
      <c r="L348">
        <f t="shared" si="11"/>
        <v>2.6301253094317318E-4</v>
      </c>
    </row>
    <row r="349" spans="1:12" x14ac:dyDescent="0.3">
      <c r="A349" s="31">
        <v>45588</v>
      </c>
      <c r="B349" s="32">
        <v>0.174602343163445</v>
      </c>
      <c r="C349" s="32">
        <v>0.17463588418148199</v>
      </c>
      <c r="D349" s="32">
        <v>0.17461910999999999</v>
      </c>
      <c r="E349" s="33">
        <v>-1.05372E-3</v>
      </c>
      <c r="F349" s="33">
        <v>-0.59981956230795697</v>
      </c>
      <c r="G349" s="33">
        <v>-4.8657582649587603</v>
      </c>
      <c r="H349" s="32">
        <v>0.17461910999999999</v>
      </c>
      <c r="I349" s="32">
        <v>0.17461910999999999</v>
      </c>
      <c r="K349">
        <f t="shared" si="10"/>
        <v>-5.9981956230795719E-3</v>
      </c>
      <c r="L349">
        <f t="shared" si="11"/>
        <v>1.9208102731130982E-4</v>
      </c>
    </row>
    <row r="350" spans="1:12" x14ac:dyDescent="0.3">
      <c r="A350" s="28">
        <v>45587</v>
      </c>
      <c r="B350" s="29">
        <v>0.17565739781130901</v>
      </c>
      <c r="C350" s="29">
        <v>0.175688258753667</v>
      </c>
      <c r="D350" s="29">
        <v>0.17567283</v>
      </c>
      <c r="E350" s="30">
        <v>3.6801000000000103E-4</v>
      </c>
      <c r="F350" s="30">
        <v>0.20992577386062999</v>
      </c>
      <c r="G350" s="30">
        <v>-4.2916810451112397</v>
      </c>
      <c r="H350" s="29">
        <v>0.17567283</v>
      </c>
      <c r="I350" s="29">
        <v>0.17567283</v>
      </c>
      <c r="K350">
        <f t="shared" si="10"/>
        <v>2.0992577386063083E-3</v>
      </c>
      <c r="L350">
        <f t="shared" si="11"/>
        <v>1.7567282520575812E-4</v>
      </c>
    </row>
    <row r="351" spans="1:12" x14ac:dyDescent="0.3">
      <c r="A351" s="31">
        <v>45586</v>
      </c>
      <c r="B351" s="32">
        <v>0.17529405577856899</v>
      </c>
      <c r="C351" s="32">
        <v>0.17531556802244</v>
      </c>
      <c r="D351" s="32">
        <v>0.17530482</v>
      </c>
      <c r="E351" s="33">
        <v>-1.04802000000001E-3</v>
      </c>
      <c r="F351" s="33">
        <v>-0.59427452373321799</v>
      </c>
      <c r="G351" s="33">
        <v>-4.4921765825178399</v>
      </c>
      <c r="H351" s="32">
        <v>0.17530482</v>
      </c>
      <c r="I351" s="32">
        <v>0.17530482</v>
      </c>
      <c r="K351">
        <f t="shared" si="10"/>
        <v>-5.942745237332181E-3</v>
      </c>
      <c r="L351">
        <f t="shared" si="11"/>
        <v>1.2271336219396608E-4</v>
      </c>
    </row>
    <row r="352" spans="1:12" x14ac:dyDescent="0.3">
      <c r="A352" s="28">
        <v>45583</v>
      </c>
      <c r="B352" s="29">
        <v>0.176335743255158</v>
      </c>
      <c r="C352" s="29">
        <v>0.17636995361470201</v>
      </c>
      <c r="D352" s="29">
        <v>0.17635284000000001</v>
      </c>
      <c r="E352" s="30">
        <v>1.39840000000002E-4</v>
      </c>
      <c r="F352" s="30">
        <v>7.9358503629123306E-2</v>
      </c>
      <c r="G352" s="30">
        <v>-3.9212047798144698</v>
      </c>
      <c r="H352" s="29">
        <v>0.17635284000000001</v>
      </c>
      <c r="I352" s="29">
        <v>0.17635284000000001</v>
      </c>
      <c r="K352">
        <f t="shared" si="10"/>
        <v>7.9358503629123334E-4</v>
      </c>
      <c r="L352">
        <f t="shared" si="11"/>
        <v>1.9398814072975752E-4</v>
      </c>
    </row>
    <row r="353" spans="1:12" x14ac:dyDescent="0.3">
      <c r="A353" s="31">
        <v>45582</v>
      </c>
      <c r="B353" s="32">
        <v>0.17620213909396901</v>
      </c>
      <c r="C353" s="32">
        <v>0.17622387481055901</v>
      </c>
      <c r="D353" s="32">
        <v>0.17621300000000001</v>
      </c>
      <c r="E353" s="33">
        <v>-3.3443999999999098E-4</v>
      </c>
      <c r="F353" s="33">
        <v>-0.18943350297233499</v>
      </c>
      <c r="G353" s="33">
        <v>-3.9973910137508799</v>
      </c>
      <c r="H353" s="32">
        <v>0.17621300000000001</v>
      </c>
      <c r="I353" s="32">
        <v>0.17621300000000001</v>
      </c>
      <c r="K353">
        <f t="shared" si="10"/>
        <v>-1.8943350297233597E-3</v>
      </c>
      <c r="L353">
        <f t="shared" si="11"/>
        <v>1.2334910925984182E-4</v>
      </c>
    </row>
    <row r="354" spans="1:12" x14ac:dyDescent="0.3">
      <c r="A354" s="28">
        <v>45581</v>
      </c>
      <c r="B354" s="29">
        <v>0.176531855173266</v>
      </c>
      <c r="C354" s="29">
        <v>0.17656302417147801</v>
      </c>
      <c r="D354" s="29">
        <v>0.17654744</v>
      </c>
      <c r="E354" s="30">
        <v>-6.47569999999986E-4</v>
      </c>
      <c r="F354" s="30">
        <v>-0.36545611527095601</v>
      </c>
      <c r="G354" s="30">
        <v>-3.81518474889323</v>
      </c>
      <c r="H354" s="29">
        <v>0.17654744</v>
      </c>
      <c r="I354" s="29">
        <v>0.17654744</v>
      </c>
      <c r="K354">
        <f t="shared" si="10"/>
        <v>-3.6545611527095678E-3</v>
      </c>
      <c r="L354">
        <f t="shared" si="11"/>
        <v>1.765474379691438E-4</v>
      </c>
    </row>
    <row r="355" spans="1:12" x14ac:dyDescent="0.3">
      <c r="A355" s="31">
        <v>45580</v>
      </c>
      <c r="B355" s="32">
        <v>0.17717930545712299</v>
      </c>
      <c r="C355" s="32">
        <v>0.17721070352649301</v>
      </c>
      <c r="D355" s="32">
        <v>0.17719500999999999</v>
      </c>
      <c r="E355" s="33">
        <v>-1.3365600000000101E-3</v>
      </c>
      <c r="F355" s="33">
        <v>-0.74864070259394999</v>
      </c>
      <c r="G355" s="33">
        <v>-3.4623821208168502</v>
      </c>
      <c r="H355" s="32">
        <v>0.17719500999999999</v>
      </c>
      <c r="I355" s="32">
        <v>0.17719500999999999</v>
      </c>
      <c r="K355">
        <f t="shared" si="10"/>
        <v>-7.486407025939501E-3</v>
      </c>
      <c r="L355">
        <f t="shared" si="11"/>
        <v>1.7719499759065192E-4</v>
      </c>
    </row>
    <row r="356" spans="1:12" x14ac:dyDescent="0.3">
      <c r="A356" s="28">
        <v>45579</v>
      </c>
      <c r="B356" s="29">
        <v>0.17851723583911999</v>
      </c>
      <c r="C356" s="29">
        <v>0.178545922011141</v>
      </c>
      <c r="D356" s="29">
        <v>0.17853157</v>
      </c>
      <c r="E356" s="30">
        <v>1.23602999999999E-3</v>
      </c>
      <c r="F356" s="30">
        <v>0.69715797701397297</v>
      </c>
      <c r="G356" s="30">
        <v>-2.73421083341659</v>
      </c>
      <c r="H356" s="29">
        <v>0.17853157</v>
      </c>
      <c r="I356" s="29">
        <v>0.17853157</v>
      </c>
      <c r="K356">
        <f t="shared" si="10"/>
        <v>6.9715797701397353E-3</v>
      </c>
      <c r="L356">
        <f t="shared" si="11"/>
        <v>1.6067842802821114E-4</v>
      </c>
    </row>
    <row r="357" spans="1:12" x14ac:dyDescent="0.3">
      <c r="A357" s="31">
        <v>45576</v>
      </c>
      <c r="B357" s="32">
        <v>0.17728610431514399</v>
      </c>
      <c r="C357" s="32">
        <v>0.17730496453900699</v>
      </c>
      <c r="D357" s="32">
        <v>0.17729554</v>
      </c>
      <c r="E357" s="33">
        <v>-1.85330999999999E-3</v>
      </c>
      <c r="F357" s="33">
        <v>-1.0345084548407599</v>
      </c>
      <c r="G357" s="33">
        <v>-3.4076123689745401</v>
      </c>
      <c r="H357" s="32">
        <v>0.17729554</v>
      </c>
      <c r="I357" s="32">
        <v>0.17729554</v>
      </c>
      <c r="K357">
        <f t="shared" si="10"/>
        <v>-1.0345084548407657E-2</v>
      </c>
      <c r="L357">
        <f t="shared" si="11"/>
        <v>1.0637731700974052E-4</v>
      </c>
    </row>
    <row r="358" spans="1:12" x14ac:dyDescent="0.3">
      <c r="A358" s="28">
        <v>45575</v>
      </c>
      <c r="B358" s="29">
        <v>0.179121587733754</v>
      </c>
      <c r="C358" s="29">
        <v>0.17917614807116899</v>
      </c>
      <c r="D358" s="29">
        <v>0.17914885</v>
      </c>
      <c r="E358" s="30">
        <v>-3.0520000000006098E-5</v>
      </c>
      <c r="F358" s="30">
        <v>-1.7033210910388698E-2</v>
      </c>
      <c r="G358" s="30">
        <v>-2.3979105010062001</v>
      </c>
      <c r="H358" s="29">
        <v>0.17914885</v>
      </c>
      <c r="I358" s="29">
        <v>0.17914885</v>
      </c>
      <c r="K358">
        <f t="shared" si="10"/>
        <v>-1.7033210910388785E-4</v>
      </c>
      <c r="L358">
        <f t="shared" si="11"/>
        <v>3.0455309880579129E-4</v>
      </c>
    </row>
    <row r="359" spans="1:12" x14ac:dyDescent="0.3">
      <c r="A359" s="31">
        <v>45574</v>
      </c>
      <c r="B359" s="32">
        <v>0.17914725904693701</v>
      </c>
      <c r="C359" s="32">
        <v>0.17921146953405001</v>
      </c>
      <c r="D359" s="32">
        <v>0.17917937</v>
      </c>
      <c r="E359" s="33">
        <v>-1.75877999999998E-3</v>
      </c>
      <c r="F359" s="33">
        <v>-0.97203381376452702</v>
      </c>
      <c r="G359" s="33">
        <v>-2.38128289903438</v>
      </c>
      <c r="H359" s="32">
        <v>0.17917937</v>
      </c>
      <c r="I359" s="32">
        <v>0.17917937</v>
      </c>
      <c r="K359">
        <f t="shared" si="10"/>
        <v>-9.7203381376452791E-3</v>
      </c>
      <c r="L359">
        <f t="shared" si="11"/>
        <v>3.5835870565343442E-4</v>
      </c>
    </row>
    <row r="360" spans="1:12" x14ac:dyDescent="0.3">
      <c r="A360" s="28">
        <v>45573</v>
      </c>
      <c r="B360" s="29">
        <v>0.180920159933421</v>
      </c>
      <c r="C360" s="29">
        <v>0.180956172415041</v>
      </c>
      <c r="D360" s="29">
        <v>0.18093814999999999</v>
      </c>
      <c r="E360" s="30">
        <v>-1.64854999999999E-3</v>
      </c>
      <c r="F360" s="30">
        <v>-0.90288613573715704</v>
      </c>
      <c r="G360" s="30">
        <v>-1.4230819227566101</v>
      </c>
      <c r="H360" s="29">
        <v>0.18093814999999999</v>
      </c>
      <c r="I360" s="29">
        <v>0.18093814999999999</v>
      </c>
      <c r="K360">
        <f t="shared" si="10"/>
        <v>-9.0288613573715759E-3</v>
      </c>
      <c r="L360">
        <f t="shared" si="11"/>
        <v>1.9903199861386788E-4</v>
      </c>
    </row>
    <row r="361" spans="1:12" x14ac:dyDescent="0.3">
      <c r="A361" s="31">
        <v>45572</v>
      </c>
      <c r="B361" s="32">
        <v>0.18256170585657999</v>
      </c>
      <c r="C361" s="32">
        <v>0.182611712715254</v>
      </c>
      <c r="D361" s="32">
        <v>0.18258669999999999</v>
      </c>
      <c r="E361" s="33">
        <v>-7.1120000000002195E-4</v>
      </c>
      <c r="F361" s="33">
        <v>-0.38800226298284501</v>
      </c>
      <c r="G361" s="33">
        <v>-0.52493535556644599</v>
      </c>
      <c r="H361" s="32">
        <v>0.18258669999999999</v>
      </c>
      <c r="I361" s="32">
        <v>0.18258669999999999</v>
      </c>
      <c r="K361">
        <f t="shared" si="10"/>
        <v>-3.8800226298284501E-3</v>
      </c>
      <c r="L361">
        <f t="shared" si="11"/>
        <v>2.7388007272168301E-4</v>
      </c>
    </row>
    <row r="362" spans="1:12" x14ac:dyDescent="0.3">
      <c r="A362" s="28">
        <v>45569</v>
      </c>
      <c r="B362" s="29">
        <v>0.18328445747800601</v>
      </c>
      <c r="C362" s="29">
        <v>0.18331133597301699</v>
      </c>
      <c r="D362" s="29">
        <v>0.18329790000000001</v>
      </c>
      <c r="E362" s="30">
        <v>1.3060000000000001E-3</v>
      </c>
      <c r="F362" s="30">
        <v>0.71761435536417095</v>
      </c>
      <c r="G362" s="30">
        <v>-0.137466465580903</v>
      </c>
      <c r="H362" s="29">
        <v>0.18329790000000001</v>
      </c>
      <c r="I362" s="29">
        <v>0.18329790000000001</v>
      </c>
      <c r="K362">
        <f t="shared" si="10"/>
        <v>7.1761435536417117E-3</v>
      </c>
      <c r="L362">
        <f t="shared" si="11"/>
        <v>1.4663831397405318E-4</v>
      </c>
    </row>
    <row r="363" spans="1:12" x14ac:dyDescent="0.3">
      <c r="A363" s="31">
        <v>45568</v>
      </c>
      <c r="B363" s="32">
        <v>0.181963752820438</v>
      </c>
      <c r="C363" s="32">
        <v>0.182020058610459</v>
      </c>
      <c r="D363" s="32">
        <v>0.18199190000000001</v>
      </c>
      <c r="E363" s="33">
        <v>-2.0312099999999699E-3</v>
      </c>
      <c r="F363" s="33">
        <v>-1.1037798459117301</v>
      </c>
      <c r="G363" s="33">
        <v>-0.848988358608327</v>
      </c>
      <c r="H363" s="32">
        <v>0.18199190000000001</v>
      </c>
      <c r="I363" s="32">
        <v>0.18199190000000001</v>
      </c>
      <c r="K363">
        <f t="shared" si="10"/>
        <v>-1.1037798459117343E-2</v>
      </c>
      <c r="L363">
        <f t="shared" si="11"/>
        <v>3.0938624203054945E-4</v>
      </c>
    </row>
    <row r="364" spans="1:12" x14ac:dyDescent="0.3">
      <c r="A364" s="28">
        <v>45567</v>
      </c>
      <c r="B364" s="29">
        <v>0.18401295451199801</v>
      </c>
      <c r="C364" s="29">
        <v>0.18403327321579699</v>
      </c>
      <c r="D364" s="29">
        <v>0.18402310999999999</v>
      </c>
      <c r="E364" s="30">
        <v>1.03545999999998E-3</v>
      </c>
      <c r="F364" s="30">
        <v>0.56586332465604605</v>
      </c>
      <c r="G364" s="30">
        <v>0.257635212858913</v>
      </c>
      <c r="H364" s="29">
        <v>0.18402310999999999</v>
      </c>
      <c r="I364" s="29">
        <v>0.18402310999999999</v>
      </c>
      <c r="K364">
        <f t="shared" si="10"/>
        <v>5.6586332465604627E-3</v>
      </c>
      <c r="L364">
        <f t="shared" si="11"/>
        <v>1.1041387029587049E-4</v>
      </c>
    </row>
    <row r="365" spans="1:12" x14ac:dyDescent="0.3">
      <c r="A365" s="31">
        <v>45566</v>
      </c>
      <c r="B365" s="32">
        <v>0.182959181806539</v>
      </c>
      <c r="C365" s="32">
        <v>0.183016105417277</v>
      </c>
      <c r="D365" s="32">
        <v>0.18298765</v>
      </c>
      <c r="E365" s="33">
        <v>-6.4010000000000401E-4</v>
      </c>
      <c r="F365" s="33">
        <v>-0.34858565766884198</v>
      </c>
      <c r="G365" s="33">
        <v>-0.30649377592681898</v>
      </c>
      <c r="H365" s="32">
        <v>0.18298765</v>
      </c>
      <c r="I365" s="32">
        <v>0.18298765</v>
      </c>
      <c r="K365">
        <f t="shared" si="10"/>
        <v>-3.4858565766884286E-3</v>
      </c>
      <c r="L365">
        <f t="shared" si="11"/>
        <v>3.1107897575602633E-4</v>
      </c>
    </row>
    <row r="366" spans="1:12" x14ac:dyDescent="0.3">
      <c r="A366" s="28">
        <v>45565</v>
      </c>
      <c r="B366" s="29">
        <v>0.18360414945377801</v>
      </c>
      <c r="C366" s="29">
        <v>0.18365135626526599</v>
      </c>
      <c r="D366" s="29">
        <v>0.18362775000000001</v>
      </c>
      <c r="E366" s="30">
        <v>-3.5810999999999401E-4</v>
      </c>
      <c r="F366" s="30">
        <v>-0.19463995765761599</v>
      </c>
      <c r="G366" s="30">
        <v>4.2239121260666403E-2</v>
      </c>
      <c r="H366" s="29">
        <v>0.18362775000000001</v>
      </c>
      <c r="I366" s="29">
        <v>0.18362775000000001</v>
      </c>
      <c r="K366">
        <f t="shared" si="10"/>
        <v>-1.9463995765761632E-3</v>
      </c>
      <c r="L366">
        <f t="shared" si="11"/>
        <v>2.5707885375702747E-4</v>
      </c>
    </row>
    <row r="367" spans="1:12" x14ac:dyDescent="0.3">
      <c r="A367" s="31">
        <v>45562</v>
      </c>
      <c r="B367" s="32">
        <v>0.183968946041908</v>
      </c>
      <c r="C367" s="32">
        <v>0.184002796842512</v>
      </c>
      <c r="D367" s="32">
        <v>0.18398586</v>
      </c>
      <c r="E367" s="33">
        <v>1.6232999999998799E-4</v>
      </c>
      <c r="F367" s="33">
        <v>8.8307519717401001E-2</v>
      </c>
      <c r="G367" s="33">
        <v>0.23734103941690399</v>
      </c>
      <c r="H367" s="32">
        <v>0.18398586</v>
      </c>
      <c r="I367" s="32">
        <v>0.18398586</v>
      </c>
      <c r="K367">
        <f t="shared" si="10"/>
        <v>8.8307519717401028E-4</v>
      </c>
      <c r="L367">
        <f t="shared" si="11"/>
        <v>1.8398588132806346E-4</v>
      </c>
    </row>
    <row r="368" spans="1:12" x14ac:dyDescent="0.3">
      <c r="A368" s="28">
        <v>45561</v>
      </c>
      <c r="B368" s="29">
        <v>0.183803256993714</v>
      </c>
      <c r="C368" s="29">
        <v>0.18384380630216601</v>
      </c>
      <c r="D368" s="29">
        <v>0.18382353000000001</v>
      </c>
      <c r="E368" s="30">
        <v>1.6990499999999999E-3</v>
      </c>
      <c r="F368" s="30">
        <v>0.93290588942245201</v>
      </c>
      <c r="G368" s="30">
        <v>0.14890202801174801</v>
      </c>
      <c r="H368" s="29">
        <v>0.18382353000000001</v>
      </c>
      <c r="I368" s="29">
        <v>0.18382353000000001</v>
      </c>
      <c r="K368">
        <f t="shared" si="10"/>
        <v>9.3290588942245289E-3</v>
      </c>
      <c r="L368">
        <f t="shared" si="11"/>
        <v>2.2058823727307794E-4</v>
      </c>
    </row>
    <row r="369" spans="1:12" x14ac:dyDescent="0.3">
      <c r="A369" s="31">
        <v>45560</v>
      </c>
      <c r="B369" s="32">
        <v>0.182102924572969</v>
      </c>
      <c r="C369" s="32">
        <v>0.18214604469863899</v>
      </c>
      <c r="D369" s="32">
        <v>0.18212448000000001</v>
      </c>
      <c r="E369" s="33">
        <v>-8.3637000000000197E-4</v>
      </c>
      <c r="F369" s="33">
        <v>-0.45713058285420299</v>
      </c>
      <c r="G369" s="33">
        <v>-0.77675744545551595</v>
      </c>
      <c r="H369" s="32">
        <v>0.18212448000000001</v>
      </c>
      <c r="I369" s="32">
        <v>0.18212448000000001</v>
      </c>
      <c r="K369">
        <f t="shared" si="10"/>
        <v>-4.5713058285420383E-3</v>
      </c>
      <c r="L369">
        <f t="shared" si="11"/>
        <v>2.3676183273100917E-4</v>
      </c>
    </row>
    <row r="370" spans="1:12" x14ac:dyDescent="0.3">
      <c r="A370" s="28">
        <v>45559</v>
      </c>
      <c r="B370" s="29">
        <v>0.18293575296355899</v>
      </c>
      <c r="C370" s="29">
        <v>0.182985964976486</v>
      </c>
      <c r="D370" s="29">
        <v>0.18296085000000001</v>
      </c>
      <c r="E370" s="30">
        <v>2.3070699999999901E-3</v>
      </c>
      <c r="F370" s="30">
        <v>1.2770671059304699</v>
      </c>
      <c r="G370" s="30">
        <v>-0.32109468460456098</v>
      </c>
      <c r="H370" s="29">
        <v>0.18296085000000001</v>
      </c>
      <c r="I370" s="29">
        <v>0.18296085000000001</v>
      </c>
      <c r="K370">
        <f t="shared" si="10"/>
        <v>1.2770671059304739E-2</v>
      </c>
      <c r="L370">
        <f t="shared" si="11"/>
        <v>2.7444129674197783E-4</v>
      </c>
    </row>
    <row r="371" spans="1:12" x14ac:dyDescent="0.3">
      <c r="A371" s="31">
        <v>45558</v>
      </c>
      <c r="B371" s="32">
        <v>0.18062931252483699</v>
      </c>
      <c r="C371" s="32">
        <v>0.18067826621135699</v>
      </c>
      <c r="D371" s="32">
        <v>0.18065378000000001</v>
      </c>
      <c r="E371" s="33">
        <v>-1.39610999999997E-3</v>
      </c>
      <c r="F371" s="33">
        <v>-0.76688318789974697</v>
      </c>
      <c r="G371" s="33">
        <v>-1.57800954964803</v>
      </c>
      <c r="H371" s="32">
        <v>0.18065378000000001</v>
      </c>
      <c r="I371" s="32">
        <v>0.18065378000000001</v>
      </c>
      <c r="K371">
        <f t="shared" si="10"/>
        <v>-7.668831878997473E-3</v>
      </c>
      <c r="L371">
        <f t="shared" si="11"/>
        <v>2.7098069312470508E-4</v>
      </c>
    </row>
    <row r="372" spans="1:12" x14ac:dyDescent="0.3">
      <c r="A372" s="28">
        <v>45555</v>
      </c>
      <c r="B372" s="29">
        <v>0.18203662576910501</v>
      </c>
      <c r="C372" s="29">
        <v>0.18206313949677699</v>
      </c>
      <c r="D372" s="29">
        <v>0.18204988999999999</v>
      </c>
      <c r="E372" s="30">
        <v>-2.3040000000000001E-3</v>
      </c>
      <c r="F372" s="30">
        <v>-1.2497702109784601</v>
      </c>
      <c r="G372" s="30">
        <v>-0.81739482524182905</v>
      </c>
      <c r="H372" s="29">
        <v>0.18204988999999999</v>
      </c>
      <c r="I372" s="29">
        <v>0.18204988999999999</v>
      </c>
      <c r="K372">
        <f t="shared" si="10"/>
        <v>-1.2497702109784625E-2</v>
      </c>
      <c r="L372">
        <f t="shared" si="11"/>
        <v>1.4563989943626999E-4</v>
      </c>
    </row>
    <row r="373" spans="1:12" x14ac:dyDescent="0.3">
      <c r="A373" s="31">
        <v>45554</v>
      </c>
      <c r="B373" s="32">
        <v>0.18432500184325001</v>
      </c>
      <c r="C373" s="32">
        <v>0.18438277864847399</v>
      </c>
      <c r="D373" s="32">
        <v>0.18435388999999999</v>
      </c>
      <c r="E373" s="33">
        <v>1.5001000000000001E-3</v>
      </c>
      <c r="F373" s="33">
        <v>0.82038222997729005</v>
      </c>
      <c r="G373" s="33">
        <v>0.43784747302400701</v>
      </c>
      <c r="H373" s="32">
        <v>0.18435388999999999</v>
      </c>
      <c r="I373" s="32">
        <v>0.18435388999999999</v>
      </c>
      <c r="K373">
        <f t="shared" si="10"/>
        <v>8.2038222997729005E-3</v>
      </c>
      <c r="L373">
        <f t="shared" si="11"/>
        <v>3.1340160613904167E-4</v>
      </c>
    </row>
    <row r="374" spans="1:12" x14ac:dyDescent="0.3">
      <c r="A374" s="28">
        <v>45553</v>
      </c>
      <c r="B374" s="29">
        <v>0.18283541156251101</v>
      </c>
      <c r="C374" s="29">
        <v>0.18287219062597199</v>
      </c>
      <c r="D374" s="29">
        <v>0.18285378999999999</v>
      </c>
      <c r="E374" s="30">
        <v>1.1990999999999801E-3</v>
      </c>
      <c r="F374" s="30">
        <v>0.66009856392916699</v>
      </c>
      <c r="G374" s="30">
        <v>-0.37942204591201101</v>
      </c>
      <c r="H374" s="29">
        <v>0.18285378999999999</v>
      </c>
      <c r="I374" s="29">
        <v>0.18285378999999999</v>
      </c>
      <c r="K374">
        <f t="shared" si="10"/>
        <v>6.6009856392916788E-3</v>
      </c>
      <c r="L374">
        <f t="shared" si="11"/>
        <v>2.0113919137783944E-4</v>
      </c>
    </row>
    <row r="375" spans="1:12" x14ac:dyDescent="0.3">
      <c r="A375" s="31">
        <v>45552</v>
      </c>
      <c r="B375" s="32">
        <v>0.18163324614937501</v>
      </c>
      <c r="C375" s="32">
        <v>0.18167614410551799</v>
      </c>
      <c r="D375" s="32">
        <v>0.18165469000000001</v>
      </c>
      <c r="E375" s="33">
        <v>1.5332000000001201E-4</v>
      </c>
      <c r="F375" s="33">
        <v>8.4473191579781295E-2</v>
      </c>
      <c r="G375" s="33">
        <v>-1.0327037472360301</v>
      </c>
      <c r="H375" s="32">
        <v>0.18165469000000001</v>
      </c>
      <c r="I375" s="32">
        <v>0.18165469000000001</v>
      </c>
      <c r="K375">
        <f t="shared" si="10"/>
        <v>8.4473191579781393E-4</v>
      </c>
      <c r="L375">
        <f t="shared" si="11"/>
        <v>2.3615110704262193E-4</v>
      </c>
    </row>
    <row r="376" spans="1:12" x14ac:dyDescent="0.3">
      <c r="A376" s="28">
        <v>45551</v>
      </c>
      <c r="B376" s="29">
        <v>0.18146844263782499</v>
      </c>
      <c r="C376" s="29">
        <v>0.18153432814145201</v>
      </c>
      <c r="D376" s="29">
        <v>0.18150137</v>
      </c>
      <c r="E376" s="30">
        <v>1.3828499999999899E-3</v>
      </c>
      <c r="F376" s="30">
        <v>0.76774448291045905</v>
      </c>
      <c r="G376" s="30">
        <v>-1.1162340203133401</v>
      </c>
      <c r="H376" s="29">
        <v>0.18150137</v>
      </c>
      <c r="I376" s="29">
        <v>0.18150137</v>
      </c>
      <c r="K376">
        <f t="shared" si="10"/>
        <v>7.677444829104596E-3</v>
      </c>
      <c r="L376">
        <f t="shared" si="11"/>
        <v>3.6300278960438E-4</v>
      </c>
    </row>
    <row r="377" spans="1:12" x14ac:dyDescent="0.3">
      <c r="A377" s="31">
        <v>45548</v>
      </c>
      <c r="B377" s="32">
        <v>0.18009905447996399</v>
      </c>
      <c r="C377" s="32">
        <v>0.18013798569704401</v>
      </c>
      <c r="D377" s="32">
        <v>0.18011852</v>
      </c>
      <c r="E377" s="33">
        <v>3.7330200000000001E-3</v>
      </c>
      <c r="F377" s="33">
        <v>2.1163984567892502</v>
      </c>
      <c r="G377" s="33">
        <v>-1.8696245637842199</v>
      </c>
      <c r="H377" s="32">
        <v>0.18011852</v>
      </c>
      <c r="I377" s="32">
        <v>0.18011852</v>
      </c>
      <c r="K377">
        <f t="shared" si="10"/>
        <v>2.1163984567892591E-2</v>
      </c>
      <c r="L377">
        <f t="shared" si="11"/>
        <v>2.1614222168832322E-4</v>
      </c>
    </row>
    <row r="378" spans="1:12" x14ac:dyDescent="0.3">
      <c r="A378" s="28">
        <v>45547</v>
      </c>
      <c r="B378" s="29">
        <v>0.176357511948221</v>
      </c>
      <c r="C378" s="29">
        <v>0.17641351327511701</v>
      </c>
      <c r="D378" s="29">
        <v>0.1763855</v>
      </c>
      <c r="E378" s="30">
        <v>-2.9294999999998601E-4</v>
      </c>
      <c r="F378" s="30">
        <v>-0.16580969552313299</v>
      </c>
      <c r="G378" s="30">
        <v>-3.9034112843885298</v>
      </c>
      <c r="H378" s="29">
        <v>0.1763855</v>
      </c>
      <c r="I378" s="29">
        <v>0.1763855</v>
      </c>
      <c r="K378">
        <f t="shared" si="10"/>
        <v>-1.6580969552313363E-3</v>
      </c>
      <c r="L378">
        <f t="shared" si="11"/>
        <v>3.1749393740420967E-4</v>
      </c>
    </row>
    <row r="379" spans="1:12" x14ac:dyDescent="0.3">
      <c r="A379" s="31">
        <v>45546</v>
      </c>
      <c r="B379" s="32">
        <v>0.17665347654041799</v>
      </c>
      <c r="C379" s="32">
        <v>0.17670342097823</v>
      </c>
      <c r="D379" s="32">
        <v>0.17667844999999999</v>
      </c>
      <c r="E379" s="33">
        <v>-9.7299000000000604E-4</v>
      </c>
      <c r="F379" s="33">
        <v>-0.54769609523007601</v>
      </c>
      <c r="G379" s="33">
        <v>-3.7438091874801298</v>
      </c>
      <c r="H379" s="32">
        <v>0.17667844999999999</v>
      </c>
      <c r="I379" s="32">
        <v>0.17667844999999999</v>
      </c>
      <c r="K379">
        <f t="shared" si="10"/>
        <v>-5.476960952300769E-3</v>
      </c>
      <c r="L379">
        <f t="shared" si="11"/>
        <v>2.8268551038344001E-4</v>
      </c>
    </row>
    <row r="380" spans="1:12" x14ac:dyDescent="0.3">
      <c r="A380" s="28">
        <v>45545</v>
      </c>
      <c r="B380" s="29">
        <v>0.17763251385533599</v>
      </c>
      <c r="C380" s="29">
        <v>0.177670385900078</v>
      </c>
      <c r="D380" s="29">
        <v>0.17765143999999999</v>
      </c>
      <c r="E380" s="30">
        <v>-9.2636000000001495E-4</v>
      </c>
      <c r="F380" s="30">
        <v>-0.51874309124650897</v>
      </c>
      <c r="G380" s="30">
        <v>-3.2137144809741902</v>
      </c>
      <c r="H380" s="29">
        <v>0.17765143999999999</v>
      </c>
      <c r="I380" s="29">
        <v>0.17765143999999999</v>
      </c>
      <c r="K380">
        <f t="shared" si="10"/>
        <v>-5.1874309124650964E-3</v>
      </c>
      <c r="L380">
        <f t="shared" si="11"/>
        <v>2.131817492839349E-4</v>
      </c>
    </row>
    <row r="381" spans="1:12" x14ac:dyDescent="0.3">
      <c r="A381" s="31">
        <v>45544</v>
      </c>
      <c r="B381" s="32">
        <v>0.178542734203432</v>
      </c>
      <c r="C381" s="32">
        <v>0.178612892278565</v>
      </c>
      <c r="D381" s="32">
        <v>0.17857780000000001</v>
      </c>
      <c r="E381" s="33">
        <v>-4.73229999999991E-4</v>
      </c>
      <c r="F381" s="33">
        <v>-0.26429895432603601</v>
      </c>
      <c r="G381" s="33">
        <v>-2.7090242659474701</v>
      </c>
      <c r="H381" s="32">
        <v>0.17857780000000001</v>
      </c>
      <c r="I381" s="32">
        <v>0.17857780000000001</v>
      </c>
      <c r="K381">
        <f t="shared" si="10"/>
        <v>-2.6429895432603656E-3</v>
      </c>
      <c r="L381">
        <f t="shared" si="11"/>
        <v>3.9287120310026083E-4</v>
      </c>
    </row>
    <row r="382" spans="1:12" x14ac:dyDescent="0.3">
      <c r="A382" s="28">
        <v>45541</v>
      </c>
      <c r="B382" s="29">
        <v>0.179002953548734</v>
      </c>
      <c r="C382" s="29">
        <v>0.17909913136921299</v>
      </c>
      <c r="D382" s="29">
        <v>0.17905103</v>
      </c>
      <c r="E382" s="30">
        <v>8.15380000000004E-4</v>
      </c>
      <c r="F382" s="30">
        <v>0.457473013956533</v>
      </c>
      <c r="G382" s="30">
        <v>-2.45120381767997</v>
      </c>
      <c r="H382" s="29">
        <v>0.17905103</v>
      </c>
      <c r="I382" s="29">
        <v>0.17905103</v>
      </c>
      <c r="K382">
        <f t="shared" si="10"/>
        <v>4.5747301395653306E-3</v>
      </c>
      <c r="L382">
        <f t="shared" si="11"/>
        <v>5.3715312600543629E-4</v>
      </c>
    </row>
    <row r="383" spans="1:12" x14ac:dyDescent="0.3">
      <c r="A383" s="31">
        <v>45540</v>
      </c>
      <c r="B383" s="32">
        <v>0.17822452725944099</v>
      </c>
      <c r="C383" s="32">
        <v>0.17824676482121901</v>
      </c>
      <c r="D383" s="32">
        <v>0.17823565</v>
      </c>
      <c r="E383" s="33">
        <v>3.2820000000000001E-4</v>
      </c>
      <c r="F383" s="33">
        <v>0.184477940637117</v>
      </c>
      <c r="G383" s="33">
        <v>-2.89543101610011</v>
      </c>
      <c r="H383" s="32">
        <v>0.17823565</v>
      </c>
      <c r="I383" s="32">
        <v>0.17823565</v>
      </c>
      <c r="K383">
        <f t="shared" si="10"/>
        <v>1.8447794063711775E-3</v>
      </c>
      <c r="L383">
        <f t="shared" si="11"/>
        <v>1.2476494897637638E-4</v>
      </c>
    </row>
    <row r="384" spans="1:12" x14ac:dyDescent="0.3">
      <c r="A384" s="28">
        <v>45539</v>
      </c>
      <c r="B384" s="29">
        <v>0.17787580711147499</v>
      </c>
      <c r="C384" s="29">
        <v>0.17793910923681899</v>
      </c>
      <c r="D384" s="29">
        <v>0.17790744999999999</v>
      </c>
      <c r="E384" s="30">
        <v>4.5619999999998903E-4</v>
      </c>
      <c r="F384" s="30">
        <v>0.25708469227463299</v>
      </c>
      <c r="G384" s="30">
        <v>-3.07423766639995</v>
      </c>
      <c r="H384" s="29">
        <v>0.17790744999999999</v>
      </c>
      <c r="I384" s="29">
        <v>0.17790744999999999</v>
      </c>
      <c r="K384">
        <f t="shared" si="10"/>
        <v>2.5708469227463393E-3</v>
      </c>
      <c r="L384">
        <f t="shared" si="11"/>
        <v>3.5581492143246535E-4</v>
      </c>
    </row>
    <row r="385" spans="1:12" x14ac:dyDescent="0.3">
      <c r="A385" s="31">
        <v>45538</v>
      </c>
      <c r="B385" s="32">
        <v>0.17742765387413301</v>
      </c>
      <c r="C385" s="32">
        <v>0.17747488730344699</v>
      </c>
      <c r="D385" s="32">
        <v>0.17745125</v>
      </c>
      <c r="E385" s="33">
        <v>1.11699999999992E-4</v>
      </c>
      <c r="F385" s="33">
        <v>6.2986513724649904E-2</v>
      </c>
      <c r="G385" s="33">
        <v>-3.32277999993679</v>
      </c>
      <c r="H385" s="32">
        <v>0.17745125</v>
      </c>
      <c r="I385" s="32">
        <v>0.17745125</v>
      </c>
      <c r="K385">
        <f t="shared" si="10"/>
        <v>6.2986513724649917E-4</v>
      </c>
      <c r="L385">
        <f t="shared" si="11"/>
        <v>2.6617693205306181E-4</v>
      </c>
    </row>
    <row r="386" spans="1:12" x14ac:dyDescent="0.3">
      <c r="A386" s="28">
        <v>45537</v>
      </c>
      <c r="B386" s="29">
        <v>0.17731125217206301</v>
      </c>
      <c r="C386" s="29">
        <v>0.17736786094359699</v>
      </c>
      <c r="D386" s="29">
        <v>0.17733955000000001</v>
      </c>
      <c r="E386" s="30">
        <v>7.64050000000016E-4</v>
      </c>
      <c r="F386" s="30">
        <v>0.43270442388667602</v>
      </c>
      <c r="G386" s="30">
        <v>-3.3836352797615601</v>
      </c>
      <c r="H386" s="29">
        <v>0.17733955000000001</v>
      </c>
      <c r="I386" s="29">
        <v>0.17733955000000001</v>
      </c>
      <c r="K386">
        <f t="shared" si="10"/>
        <v>4.3270442388667618E-3</v>
      </c>
      <c r="L386">
        <f t="shared" si="11"/>
        <v>3.1921120547553623E-4</v>
      </c>
    </row>
    <row r="387" spans="1:12" x14ac:dyDescent="0.3">
      <c r="A387" s="31">
        <v>45534</v>
      </c>
      <c r="B387" s="32">
        <v>0.17655990677636901</v>
      </c>
      <c r="C387" s="32">
        <v>0.176591085681995</v>
      </c>
      <c r="D387" s="32">
        <v>0.1765755</v>
      </c>
      <c r="E387" s="33">
        <v>-7.4203999999999904E-4</v>
      </c>
      <c r="F387" s="33">
        <v>-0.41848087899256597</v>
      </c>
      <c r="G387" s="33">
        <v>-3.7998973795836299</v>
      </c>
      <c r="H387" s="32">
        <v>0.1765755</v>
      </c>
      <c r="I387" s="32">
        <v>0.1765755</v>
      </c>
      <c r="K387">
        <f t="shared" si="10"/>
        <v>-4.1848087899256647E-3</v>
      </c>
      <c r="L387">
        <f t="shared" si="11"/>
        <v>1.7657549108445787E-4</v>
      </c>
    </row>
    <row r="388" spans="1:12" x14ac:dyDescent="0.3">
      <c r="A388" s="28">
        <v>45533</v>
      </c>
      <c r="B388" s="29">
        <v>0.17730182088970101</v>
      </c>
      <c r="C388" s="29">
        <v>0.177333262400028</v>
      </c>
      <c r="D388" s="29">
        <v>0.17731754</v>
      </c>
      <c r="E388" s="30">
        <v>-3.63043000000001E-3</v>
      </c>
      <c r="F388" s="30">
        <v>-2.0063391703150901</v>
      </c>
      <c r="G388" s="30">
        <v>-3.3956265484181798</v>
      </c>
      <c r="H388" s="29">
        <v>0.17731754</v>
      </c>
      <c r="I388" s="29">
        <v>0.17731754</v>
      </c>
      <c r="K388">
        <f t="shared" si="10"/>
        <v>-2.0063391703150968E-2</v>
      </c>
      <c r="L388">
        <f t="shared" si="11"/>
        <v>1.7731754189120855E-4</v>
      </c>
    </row>
    <row r="389" spans="1:12" x14ac:dyDescent="0.3">
      <c r="A389" s="31">
        <v>45532</v>
      </c>
      <c r="B389" s="32">
        <v>0.18092670659116</v>
      </c>
      <c r="C389" s="32">
        <v>0.18096927141771299</v>
      </c>
      <c r="D389" s="32">
        <v>0.18094797000000001</v>
      </c>
      <c r="E389" s="33">
        <v>-9.959099999999881E-4</v>
      </c>
      <c r="F389" s="33">
        <v>-0.54737207978635605</v>
      </c>
      <c r="G389" s="33">
        <v>-1.4177318883082599</v>
      </c>
      <c r="H389" s="32">
        <v>0.18094797000000001</v>
      </c>
      <c r="I389" s="32">
        <v>0.18094797000000001</v>
      </c>
      <c r="K389">
        <f t="shared" ref="K389:K452" si="12">D389/D390-1</f>
        <v>-5.4737207978635682E-3</v>
      </c>
      <c r="L389">
        <f t="shared" ref="L389:L452" si="13">(C389-B389)/D389</f>
        <v>2.3523240715542514E-4</v>
      </c>
    </row>
    <row r="390" spans="1:12" x14ac:dyDescent="0.3">
      <c r="A390" s="28">
        <v>45531</v>
      </c>
      <c r="B390" s="29">
        <v>0.18192402852568801</v>
      </c>
      <c r="C390" s="29">
        <v>0.181963752820438</v>
      </c>
      <c r="D390" s="29">
        <v>0.18194388</v>
      </c>
      <c r="E390" s="30">
        <v>-1.6700000000091599E-6</v>
      </c>
      <c r="F390" s="30">
        <v>-9.1785701821223099E-4</v>
      </c>
      <c r="G390" s="30">
        <v>-0.87515013602270997</v>
      </c>
      <c r="H390" s="29">
        <v>0.18194388</v>
      </c>
      <c r="I390" s="29">
        <v>0.18194388</v>
      </c>
      <c r="K390">
        <f t="shared" si="12"/>
        <v>-9.1785701821223142E-6</v>
      </c>
      <c r="L390">
        <f t="shared" si="13"/>
        <v>2.1833267901065522E-4</v>
      </c>
    </row>
    <row r="391" spans="1:12" x14ac:dyDescent="0.3">
      <c r="A391" s="31">
        <v>45530</v>
      </c>
      <c r="B391" s="32">
        <v>0.18192402852568801</v>
      </c>
      <c r="C391" s="32">
        <v>0.18196706396142301</v>
      </c>
      <c r="D391" s="32">
        <v>0.18194555000000001</v>
      </c>
      <c r="E391" s="33">
        <v>1.68670000000009E-4</v>
      </c>
      <c r="F391" s="33">
        <v>9.2789578080565399E-2</v>
      </c>
      <c r="G391" s="33">
        <v>-0.87424030328047198</v>
      </c>
      <c r="H391" s="32">
        <v>0.18194555000000001</v>
      </c>
      <c r="I391" s="32">
        <v>0.18194555000000001</v>
      </c>
      <c r="K391">
        <f t="shared" si="12"/>
        <v>9.2789578080565427E-4</v>
      </c>
      <c r="L391">
        <f t="shared" si="13"/>
        <v>2.3652920192332517E-4</v>
      </c>
    </row>
    <row r="392" spans="1:12" x14ac:dyDescent="0.3">
      <c r="A392" s="28">
        <v>45527</v>
      </c>
      <c r="B392" s="29">
        <v>0.181758697153659</v>
      </c>
      <c r="C392" s="29">
        <v>0.181795044267093</v>
      </c>
      <c r="D392" s="29">
        <v>0.18177688</v>
      </c>
      <c r="E392" s="30">
        <v>1.67622E-3</v>
      </c>
      <c r="F392" s="30">
        <v>0.93071285802062098</v>
      </c>
      <c r="G392" s="30">
        <v>-0.96613341024597199</v>
      </c>
      <c r="H392" s="29">
        <v>0.18177688</v>
      </c>
      <c r="I392" s="29">
        <v>0.18177688</v>
      </c>
      <c r="K392">
        <f t="shared" si="12"/>
        <v>9.3071285802062143E-3</v>
      </c>
      <c r="L392">
        <f t="shared" si="13"/>
        <v>1.9995454556159353E-4</v>
      </c>
    </row>
    <row r="393" spans="1:12" x14ac:dyDescent="0.3">
      <c r="A393" s="31">
        <v>45526</v>
      </c>
      <c r="B393" s="32">
        <v>0.18007310968253101</v>
      </c>
      <c r="C393" s="32">
        <v>0.18012825131493601</v>
      </c>
      <c r="D393" s="32">
        <v>0.18010066</v>
      </c>
      <c r="E393" s="33">
        <v>-2.5077199999999902E-3</v>
      </c>
      <c r="F393" s="33">
        <v>-1.37327761190367</v>
      </c>
      <c r="G393" s="33">
        <v>-1.87935487083588</v>
      </c>
      <c r="H393" s="32">
        <v>0.18010066</v>
      </c>
      <c r="I393" s="32">
        <v>0.18010066</v>
      </c>
      <c r="K393">
        <f t="shared" si="12"/>
        <v>-1.3732776119036783E-2</v>
      </c>
      <c r="L393">
        <f t="shared" si="13"/>
        <v>3.061711845198015E-4</v>
      </c>
    </row>
    <row r="394" spans="1:12" x14ac:dyDescent="0.3">
      <c r="A394" s="28">
        <v>45525</v>
      </c>
      <c r="B394" s="29">
        <v>0.18258837277242199</v>
      </c>
      <c r="C394" s="29">
        <v>0.18262838775659301</v>
      </c>
      <c r="D394" s="29">
        <v>0.18260837999999999</v>
      </c>
      <c r="E394" s="30">
        <v>-4.1778000000000599E-4</v>
      </c>
      <c r="F394" s="30">
        <v>-0.22826245166265299</v>
      </c>
      <c r="G394" s="30">
        <v>-0.51312387421818295</v>
      </c>
      <c r="H394" s="29">
        <v>0.18260837999999999</v>
      </c>
      <c r="I394" s="29">
        <v>0.18260837999999999</v>
      </c>
      <c r="K394">
        <f t="shared" si="12"/>
        <v>-2.2826245166265302E-3</v>
      </c>
      <c r="L394">
        <f t="shared" si="13"/>
        <v>2.1913005400424305E-4</v>
      </c>
    </row>
    <row r="395" spans="1:12" x14ac:dyDescent="0.3">
      <c r="A395" s="31">
        <v>45524</v>
      </c>
      <c r="B395" s="32">
        <v>0.183006057500503</v>
      </c>
      <c r="C395" s="32">
        <v>0.18304625578883801</v>
      </c>
      <c r="D395" s="32">
        <v>0.18302615999999999</v>
      </c>
      <c r="E395" s="33">
        <v>-1.7586700000000099E-3</v>
      </c>
      <c r="F395" s="33">
        <v>-0.95173938250234702</v>
      </c>
      <c r="G395" s="33">
        <v>-0.28551314185294502</v>
      </c>
      <c r="H395" s="32">
        <v>0.18302615999999999</v>
      </c>
      <c r="I395" s="32">
        <v>0.18302615999999999</v>
      </c>
      <c r="K395">
        <f t="shared" si="12"/>
        <v>-9.5173938250234791E-3</v>
      </c>
      <c r="L395">
        <f t="shared" si="13"/>
        <v>2.1963138130097807E-4</v>
      </c>
    </row>
    <row r="396" spans="1:12" x14ac:dyDescent="0.3">
      <c r="A396" s="28">
        <v>45523</v>
      </c>
      <c r="B396" s="29">
        <v>0.184757505773672</v>
      </c>
      <c r="C396" s="29">
        <v>0.18481213846125399</v>
      </c>
      <c r="D396" s="29">
        <v>0.18478483000000001</v>
      </c>
      <c r="E396" s="30">
        <v>2.2597800000000098E-3</v>
      </c>
      <c r="F396" s="30">
        <v>1.2380656792040301</v>
      </c>
      <c r="G396" s="30">
        <v>0.67262790532205496</v>
      </c>
      <c r="H396" s="29">
        <v>0.18478483000000001</v>
      </c>
      <c r="I396" s="29">
        <v>0.18478483000000001</v>
      </c>
      <c r="K396">
        <f t="shared" si="12"/>
        <v>1.2380656792040368E-2</v>
      </c>
      <c r="L396">
        <f t="shared" si="13"/>
        <v>2.9565569631441197E-4</v>
      </c>
    </row>
    <row r="397" spans="1:12" x14ac:dyDescent="0.3">
      <c r="A397" s="31">
        <v>45520</v>
      </c>
      <c r="B397" s="32">
        <v>0.182501733766471</v>
      </c>
      <c r="C397" s="32">
        <v>0.18254837531946</v>
      </c>
      <c r="D397" s="32">
        <v>0.18252504999999999</v>
      </c>
      <c r="E397" s="33">
        <v>-2.0178000000001199E-4</v>
      </c>
      <c r="F397" s="33">
        <v>-0.110427133223955</v>
      </c>
      <c r="G397" s="33">
        <v>-0.558522893625511</v>
      </c>
      <c r="H397" s="32">
        <v>0.18252504999999999</v>
      </c>
      <c r="I397" s="32">
        <v>0.18252504999999999</v>
      </c>
      <c r="K397">
        <f t="shared" si="12"/>
        <v>-1.1042713322395592E-3</v>
      </c>
      <c r="L397">
        <f t="shared" si="13"/>
        <v>2.5553507854950245E-4</v>
      </c>
    </row>
    <row r="398" spans="1:12" x14ac:dyDescent="0.3">
      <c r="A398" s="28">
        <v>45519</v>
      </c>
      <c r="B398" s="29">
        <v>0.18271848562919099</v>
      </c>
      <c r="C398" s="29">
        <v>0.182735180176888</v>
      </c>
      <c r="D398" s="29">
        <v>0.18272683000000001</v>
      </c>
      <c r="E398" s="30">
        <v>-1.0494E-3</v>
      </c>
      <c r="F398" s="30">
        <v>-0.57102052860699104</v>
      </c>
      <c r="G398" s="30">
        <v>-0.44859112672269102</v>
      </c>
      <c r="H398" s="29">
        <v>0.18272683000000001</v>
      </c>
      <c r="I398" s="29">
        <v>0.18272683000000001</v>
      </c>
      <c r="K398">
        <f t="shared" si="12"/>
        <v>-5.7102052860699137E-3</v>
      </c>
      <c r="L398">
        <f t="shared" si="13"/>
        <v>9.1363417714904793E-5</v>
      </c>
    </row>
    <row r="399" spans="1:12" x14ac:dyDescent="0.3">
      <c r="A399" s="31">
        <v>45518</v>
      </c>
      <c r="B399" s="32">
        <v>0.18376610250473199</v>
      </c>
      <c r="C399" s="32">
        <v>0.18378636672731599</v>
      </c>
      <c r="D399" s="32">
        <v>0.18377623000000001</v>
      </c>
      <c r="E399" s="33">
        <v>1.53060000000002E-3</v>
      </c>
      <c r="F399" s="33">
        <v>0.839855529046174</v>
      </c>
      <c r="G399" s="33">
        <v>0.12313251381557901</v>
      </c>
      <c r="H399" s="32">
        <v>0.18377623000000001</v>
      </c>
      <c r="I399" s="32">
        <v>0.18377623000000001</v>
      </c>
      <c r="K399">
        <f t="shared" si="12"/>
        <v>8.39855529046174E-3</v>
      </c>
      <c r="L399">
        <f t="shared" si="13"/>
        <v>1.102657432030184E-4</v>
      </c>
    </row>
    <row r="400" spans="1:12" x14ac:dyDescent="0.3">
      <c r="A400" s="28">
        <v>45517</v>
      </c>
      <c r="B400" s="29">
        <v>0.182222384197675</v>
      </c>
      <c r="C400" s="29">
        <v>0.182268883056285</v>
      </c>
      <c r="D400" s="29">
        <v>0.18224562999999999</v>
      </c>
      <c r="E400" s="30">
        <v>-7.6430000000016194E-5</v>
      </c>
      <c r="F400" s="30">
        <v>-4.1920324945876601E-2</v>
      </c>
      <c r="G400" s="30">
        <v>-0.71075371089176198</v>
      </c>
      <c r="H400" s="29">
        <v>0.18224562999999999</v>
      </c>
      <c r="I400" s="29">
        <v>0.18224562999999999</v>
      </c>
      <c r="K400">
        <f t="shared" si="12"/>
        <v>-4.1920324945876608E-4</v>
      </c>
      <c r="L400">
        <f t="shared" si="13"/>
        <v>2.5514388800430821E-4</v>
      </c>
    </row>
    <row r="401" spans="1:12" x14ac:dyDescent="0.3">
      <c r="A401" s="31">
        <v>45516</v>
      </c>
      <c r="B401" s="32">
        <v>0.182305434525003</v>
      </c>
      <c r="C401" s="32">
        <v>0.18233867585653599</v>
      </c>
      <c r="D401" s="32">
        <v>0.18232206000000001</v>
      </c>
      <c r="E401" s="33">
        <v>3.36770000000014E-4</v>
      </c>
      <c r="F401" s="33">
        <v>0.18505341832848399</v>
      </c>
      <c r="G401" s="33">
        <v>-0.66911388065891597</v>
      </c>
      <c r="H401" s="32">
        <v>0.18232206000000001</v>
      </c>
      <c r="I401" s="32">
        <v>0.18232206000000001</v>
      </c>
      <c r="K401">
        <f t="shared" si="12"/>
        <v>1.8505341832848465E-3</v>
      </c>
      <c r="L401">
        <f t="shared" si="13"/>
        <v>1.8232204886772845E-4</v>
      </c>
    </row>
    <row r="402" spans="1:12" x14ac:dyDescent="0.3">
      <c r="A402" s="28">
        <v>45513</v>
      </c>
      <c r="B402" s="29">
        <v>0.181963752820438</v>
      </c>
      <c r="C402" s="29">
        <v>0.182006807054584</v>
      </c>
      <c r="D402" s="29">
        <v>0.18198528999999999</v>
      </c>
      <c r="E402" s="30">
        <v>3.7448899999999999E-3</v>
      </c>
      <c r="F402" s="30">
        <v>2.1010332113258201</v>
      </c>
      <c r="G402" s="30">
        <v>-0.85258955287549698</v>
      </c>
      <c r="H402" s="29">
        <v>0.18198528999999999</v>
      </c>
      <c r="I402" s="29">
        <v>0.18198528999999999</v>
      </c>
      <c r="K402">
        <f t="shared" si="12"/>
        <v>2.1010332113258201E-2</v>
      </c>
      <c r="L402">
        <f t="shared" si="13"/>
        <v>2.3658084752891271E-4</v>
      </c>
    </row>
    <row r="403" spans="1:12" x14ac:dyDescent="0.3">
      <c r="A403" s="31">
        <v>45512</v>
      </c>
      <c r="B403" s="32">
        <v>0.178208646683537</v>
      </c>
      <c r="C403" s="32">
        <v>0.178272185973544</v>
      </c>
      <c r="D403" s="32">
        <v>0.17824039999999999</v>
      </c>
      <c r="E403" s="33">
        <v>6.0329999999997303E-5</v>
      </c>
      <c r="F403" s="33">
        <v>3.3859005667702301E-2</v>
      </c>
      <c r="G403" s="33">
        <v>-2.89284316847999</v>
      </c>
      <c r="H403" s="32">
        <v>0.17824039999999999</v>
      </c>
      <c r="I403" s="32">
        <v>0.17824039999999999</v>
      </c>
      <c r="K403">
        <f t="shared" si="12"/>
        <v>3.3859005667702391E-4</v>
      </c>
      <c r="L403">
        <f t="shared" si="13"/>
        <v>3.5648085398704216E-4</v>
      </c>
    </row>
    <row r="404" spans="1:12" x14ac:dyDescent="0.3">
      <c r="A404" s="28">
        <v>45511</v>
      </c>
      <c r="B404" s="29">
        <v>0.17816419612314699</v>
      </c>
      <c r="C404" s="29">
        <v>0.17819594426030899</v>
      </c>
      <c r="D404" s="29">
        <v>0.17818007</v>
      </c>
      <c r="E404" s="30">
        <v>1.6232699999999801E-3</v>
      </c>
      <c r="F404" s="30">
        <v>0.91940384057707103</v>
      </c>
      <c r="G404" s="30">
        <v>-2.9257115573056698</v>
      </c>
      <c r="H404" s="29">
        <v>0.17818007</v>
      </c>
      <c r="I404" s="29">
        <v>0.17818007</v>
      </c>
      <c r="K404">
        <f t="shared" si="12"/>
        <v>9.1940384057707103E-3</v>
      </c>
      <c r="L404">
        <f t="shared" si="13"/>
        <v>1.7818006897181088E-4</v>
      </c>
    </row>
    <row r="405" spans="1:12" x14ac:dyDescent="0.3">
      <c r="A405" s="31">
        <v>45510</v>
      </c>
      <c r="B405" s="32">
        <v>0.17654432145189999</v>
      </c>
      <c r="C405" s="32">
        <v>0.17656925929195699</v>
      </c>
      <c r="D405" s="32">
        <v>0.17655680000000001</v>
      </c>
      <c r="E405" s="33">
        <v>3.43860000000001E-3</v>
      </c>
      <c r="F405" s="33">
        <v>1.9862729626347799</v>
      </c>
      <c r="G405" s="33">
        <v>-3.81008532705652</v>
      </c>
      <c r="H405" s="32">
        <v>0.17655680000000001</v>
      </c>
      <c r="I405" s="32">
        <v>0.17655680000000001</v>
      </c>
      <c r="K405">
        <f t="shared" si="12"/>
        <v>1.986272962634783E-2</v>
      </c>
      <c r="L405">
        <f t="shared" si="13"/>
        <v>1.4124542389190809E-4</v>
      </c>
    </row>
    <row r="406" spans="1:12" x14ac:dyDescent="0.3">
      <c r="A406" s="28">
        <v>45509</v>
      </c>
      <c r="B406" s="29">
        <v>0.173103221450951</v>
      </c>
      <c r="C406" s="29">
        <v>0.17313319136411601</v>
      </c>
      <c r="D406" s="29">
        <v>0.1731182</v>
      </c>
      <c r="E406" s="30">
        <v>-9.4469999999999201E-4</v>
      </c>
      <c r="F406" s="30">
        <v>-0.54273483895763697</v>
      </c>
      <c r="G406" s="30">
        <v>-5.6834690800152599</v>
      </c>
      <c r="H406" s="29">
        <v>0.1731182</v>
      </c>
      <c r="I406" s="29">
        <v>0.1731182</v>
      </c>
      <c r="K406">
        <f t="shared" si="12"/>
        <v>-5.4273483895763697E-3</v>
      </c>
      <c r="L406">
        <f t="shared" si="13"/>
        <v>1.7311821151679393E-4</v>
      </c>
    </row>
    <row r="407" spans="1:12" x14ac:dyDescent="0.3">
      <c r="A407" s="31">
        <v>45506</v>
      </c>
      <c r="B407" s="32">
        <v>0.17403411068569399</v>
      </c>
      <c r="C407" s="32">
        <v>0.17409167667693801</v>
      </c>
      <c r="D407" s="32">
        <v>0.17406289999999999</v>
      </c>
      <c r="E407" s="33">
        <v>-2.4845399999999999E-3</v>
      </c>
      <c r="F407" s="33">
        <v>-1.4072931332224401</v>
      </c>
      <c r="G407" s="33">
        <v>-5.1687870491247496</v>
      </c>
      <c r="H407" s="32">
        <v>0.17406289999999999</v>
      </c>
      <c r="I407" s="32">
        <v>0.17406289999999999</v>
      </c>
      <c r="K407">
        <f t="shared" si="12"/>
        <v>-1.4072931332224425E-2</v>
      </c>
      <c r="L407">
        <f t="shared" si="13"/>
        <v>3.3071947694777553E-4</v>
      </c>
    </row>
    <row r="408" spans="1:12" x14ac:dyDescent="0.3">
      <c r="A408" s="28">
        <v>45505</v>
      </c>
      <c r="B408" s="29">
        <v>0.17653497157786999</v>
      </c>
      <c r="C408" s="29">
        <v>0.17655990677636901</v>
      </c>
      <c r="D408" s="29">
        <v>0.17654744</v>
      </c>
      <c r="E408" s="30">
        <v>-3.5761000000000798E-4</v>
      </c>
      <c r="F408" s="30">
        <v>-0.20214798842655901</v>
      </c>
      <c r="G408" s="30">
        <v>-3.81518474889323</v>
      </c>
      <c r="H408" s="29">
        <v>0.17654744</v>
      </c>
      <c r="I408" s="29">
        <v>0.17654744</v>
      </c>
      <c r="K408">
        <f t="shared" si="12"/>
        <v>-2.0214798842655979E-3</v>
      </c>
      <c r="L408">
        <f t="shared" si="13"/>
        <v>1.4123794997552205E-4</v>
      </c>
    </row>
    <row r="409" spans="1:12" x14ac:dyDescent="0.3">
      <c r="A409" s="31">
        <v>45504</v>
      </c>
      <c r="B409" s="32">
        <v>0.17689409350621799</v>
      </c>
      <c r="C409" s="32">
        <v>0.17691600028306601</v>
      </c>
      <c r="D409" s="32">
        <v>0.17690505000000001</v>
      </c>
      <c r="E409" s="33">
        <v>-4.1877999999997902E-4</v>
      </c>
      <c r="F409" s="33">
        <v>-0.236166791569969</v>
      </c>
      <c r="G409" s="33">
        <v>-3.62035523574963</v>
      </c>
      <c r="H409" s="32">
        <v>0.17690505000000001</v>
      </c>
      <c r="I409" s="32">
        <v>0.17690505000000001</v>
      </c>
      <c r="K409">
        <f t="shared" si="12"/>
        <v>-2.3616679156996945E-3</v>
      </c>
      <c r="L409">
        <f t="shared" si="13"/>
        <v>1.2383353017914728E-4</v>
      </c>
    </row>
    <row r="410" spans="1:12" x14ac:dyDescent="0.3">
      <c r="A410" s="28">
        <v>45503</v>
      </c>
      <c r="B410" s="29">
        <v>0.17730182088970101</v>
      </c>
      <c r="C410" s="29">
        <v>0.17734584212673099</v>
      </c>
      <c r="D410" s="29">
        <v>0.17732382999999999</v>
      </c>
      <c r="E410" s="30">
        <v>7.0779999999998002E-4</v>
      </c>
      <c r="F410" s="30">
        <v>0.40075637528482699</v>
      </c>
      <c r="G410" s="30">
        <v>-3.3921996933591201</v>
      </c>
      <c r="H410" s="29">
        <v>0.17732382999999999</v>
      </c>
      <c r="I410" s="29">
        <v>0.17732382999999999</v>
      </c>
      <c r="K410">
        <f t="shared" si="12"/>
        <v>4.0075637528482755E-3</v>
      </c>
      <c r="L410">
        <f t="shared" si="13"/>
        <v>2.4825336239344808E-4</v>
      </c>
    </row>
    <row r="411" spans="1:12" x14ac:dyDescent="0.3">
      <c r="A411" s="31">
        <v>45502</v>
      </c>
      <c r="B411" s="32">
        <v>0.17660044150110399</v>
      </c>
      <c r="C411" s="32">
        <v>0.176631634725779</v>
      </c>
      <c r="D411" s="32">
        <v>0.17661603000000001</v>
      </c>
      <c r="E411" s="33">
        <v>-2.5459999999999302E-4</v>
      </c>
      <c r="F411" s="33">
        <v>-0.143947019355328</v>
      </c>
      <c r="G411" s="33">
        <v>-3.7778162292586601</v>
      </c>
      <c r="H411" s="32">
        <v>0.17661603000000001</v>
      </c>
      <c r="I411" s="32">
        <v>0.17661603000000001</v>
      </c>
      <c r="K411">
        <f t="shared" si="12"/>
        <v>-1.4394701935532828E-3</v>
      </c>
      <c r="L411">
        <f t="shared" si="13"/>
        <v>1.7661604484606243E-4</v>
      </c>
    </row>
    <row r="412" spans="1:12" x14ac:dyDescent="0.3">
      <c r="A412" s="28">
        <v>45499</v>
      </c>
      <c r="B412" s="29">
        <v>0.17684091391384299</v>
      </c>
      <c r="C412" s="29">
        <v>0.17690035203170101</v>
      </c>
      <c r="D412" s="29">
        <v>0.17687063</v>
      </c>
      <c r="E412" s="30">
        <v>-3.5419999999999798E-4</v>
      </c>
      <c r="F412" s="30">
        <v>-0.199859128091706</v>
      </c>
      <c r="G412" s="30">
        <v>-3.6391075968200801</v>
      </c>
      <c r="H412" s="29">
        <v>0.17687063</v>
      </c>
      <c r="I412" s="29">
        <v>0.17687063</v>
      </c>
      <c r="K412">
        <f t="shared" si="12"/>
        <v>-1.9985912809170614E-3</v>
      </c>
      <c r="L412">
        <f t="shared" si="13"/>
        <v>3.3605419881200111E-4</v>
      </c>
    </row>
    <row r="413" spans="1:12" x14ac:dyDescent="0.3">
      <c r="A413" s="31">
        <v>45498</v>
      </c>
      <c r="B413" s="32">
        <v>0.177213843945489</v>
      </c>
      <c r="C413" s="32">
        <v>0.177235829995392</v>
      </c>
      <c r="D413" s="32">
        <v>0.17722483</v>
      </c>
      <c r="E413" s="33">
        <v>-7.5386999999998896E-4</v>
      </c>
      <c r="F413" s="33">
        <v>-0.42357315791158301</v>
      </c>
      <c r="G413" s="33">
        <v>-3.44613588586272</v>
      </c>
      <c r="H413" s="32">
        <v>0.17722483</v>
      </c>
      <c r="I413" s="32">
        <v>0.17722483</v>
      </c>
      <c r="K413">
        <f t="shared" si="12"/>
        <v>-4.2357315791158312E-3</v>
      </c>
      <c r="L413">
        <f t="shared" si="13"/>
        <v>1.2405739028216315E-4</v>
      </c>
    </row>
    <row r="414" spans="1:12" x14ac:dyDescent="0.3">
      <c r="A414" s="28">
        <v>45497</v>
      </c>
      <c r="B414" s="29">
        <v>0.17796760989499899</v>
      </c>
      <c r="C414" s="29">
        <v>0.17798978338643401</v>
      </c>
      <c r="D414" s="29">
        <v>0.17797869999999999</v>
      </c>
      <c r="E414" s="30">
        <v>-1.64964E-3</v>
      </c>
      <c r="F414" s="30">
        <v>-0.91836288193722904</v>
      </c>
      <c r="G414" s="30">
        <v>-3.03541995209812</v>
      </c>
      <c r="H414" s="29">
        <v>0.17797869999999999</v>
      </c>
      <c r="I414" s="29">
        <v>0.17797869999999999</v>
      </c>
      <c r="K414">
        <f t="shared" si="12"/>
        <v>-9.1836288193722915E-3</v>
      </c>
      <c r="L414">
        <f t="shared" si="13"/>
        <v>1.2458508481643036E-4</v>
      </c>
    </row>
    <row r="415" spans="1:12" x14ac:dyDescent="0.3">
      <c r="A415" s="31">
        <v>45496</v>
      </c>
      <c r="B415" s="32">
        <v>0.17961705643567899</v>
      </c>
      <c r="C415" s="32">
        <v>0.17963964287639</v>
      </c>
      <c r="D415" s="32">
        <v>0.17962834</v>
      </c>
      <c r="E415" s="33">
        <v>-4.1721000000000097E-4</v>
      </c>
      <c r="F415" s="33">
        <v>-0.23172469411213401</v>
      </c>
      <c r="G415" s="33">
        <v>-2.1366795419803801</v>
      </c>
      <c r="H415" s="32">
        <v>0.17962834</v>
      </c>
      <c r="I415" s="32">
        <v>0.17962834</v>
      </c>
      <c r="K415">
        <f t="shared" si="12"/>
        <v>-2.3172469411213426E-3</v>
      </c>
      <c r="L415">
        <f t="shared" si="13"/>
        <v>1.2573985102247421E-4</v>
      </c>
    </row>
    <row r="416" spans="1:12" x14ac:dyDescent="0.3">
      <c r="A416" s="28">
        <v>45495</v>
      </c>
      <c r="B416" s="29">
        <v>0.18003744778913999</v>
      </c>
      <c r="C416" s="29">
        <v>0.180053655989485</v>
      </c>
      <c r="D416" s="29">
        <v>0.18004555</v>
      </c>
      <c r="E416" s="30">
        <v>-1.08670000000005E-4</v>
      </c>
      <c r="F416" s="30">
        <v>-6.0320540923219902E-2</v>
      </c>
      <c r="G416" s="30">
        <v>-1.90937935132956</v>
      </c>
      <c r="H416" s="29">
        <v>0.18004555</v>
      </c>
      <c r="I416" s="29">
        <v>0.18004555</v>
      </c>
      <c r="K416">
        <f t="shared" si="12"/>
        <v>-6.0320540923219923E-4</v>
      </c>
      <c r="L416">
        <f t="shared" si="13"/>
        <v>9.0022776708494816E-5</v>
      </c>
    </row>
    <row r="417" spans="1:12" x14ac:dyDescent="0.3">
      <c r="A417" s="31">
        <v>45492</v>
      </c>
      <c r="B417" s="32">
        <v>0.18013798569704401</v>
      </c>
      <c r="C417" s="32">
        <v>0.18017044123741099</v>
      </c>
      <c r="D417" s="32">
        <v>0.18015422</v>
      </c>
      <c r="E417" s="33">
        <v>-2.0956999999999199E-4</v>
      </c>
      <c r="F417" s="33">
        <v>-0.11619294538</v>
      </c>
      <c r="G417" s="33">
        <v>-1.8501748458814</v>
      </c>
      <c r="H417" s="32">
        <v>0.18015422</v>
      </c>
      <c r="I417" s="32">
        <v>0.18015422</v>
      </c>
      <c r="K417">
        <f t="shared" si="12"/>
        <v>-1.1619294538000036E-3</v>
      </c>
      <c r="L417">
        <f t="shared" si="13"/>
        <v>1.8015420547455366E-4</v>
      </c>
    </row>
    <row r="418" spans="1:12" x14ac:dyDescent="0.3">
      <c r="A418" s="28">
        <v>45491</v>
      </c>
      <c r="B418" s="29">
        <v>0.18033939874844501</v>
      </c>
      <c r="C418" s="29">
        <v>0.18038819539649301</v>
      </c>
      <c r="D418" s="29">
        <v>0.18036379</v>
      </c>
      <c r="E418" s="30">
        <v>-2.67073000000001E-3</v>
      </c>
      <c r="F418" s="30">
        <v>-1.4591400572963</v>
      </c>
      <c r="G418" s="30">
        <v>-1.73599900888159</v>
      </c>
      <c r="H418" s="29">
        <v>0.18036379</v>
      </c>
      <c r="I418" s="29">
        <v>0.18036379</v>
      </c>
      <c r="K418">
        <f t="shared" si="12"/>
        <v>-1.4591400572963042E-2</v>
      </c>
      <c r="L418">
        <f t="shared" si="13"/>
        <v>2.7054570126295305E-4</v>
      </c>
    </row>
    <row r="419" spans="1:12" x14ac:dyDescent="0.3">
      <c r="A419" s="31">
        <v>45490</v>
      </c>
      <c r="B419" s="32">
        <v>0.183012755989092</v>
      </c>
      <c r="C419" s="32">
        <v>0.18305630812037799</v>
      </c>
      <c r="D419" s="32">
        <v>0.18303452000000001</v>
      </c>
      <c r="E419" s="33">
        <v>-1.5780199999999799E-3</v>
      </c>
      <c r="F419" s="33">
        <v>-0.85477400397609904</v>
      </c>
      <c r="G419" s="33">
        <v>-0.28095853004152199</v>
      </c>
      <c r="H419" s="32">
        <v>0.18303452000000001</v>
      </c>
      <c r="I419" s="32">
        <v>0.18303452000000001</v>
      </c>
      <c r="K419">
        <f t="shared" si="12"/>
        <v>-8.5477400397609982E-3</v>
      </c>
      <c r="L419">
        <f t="shared" si="13"/>
        <v>2.3794490397759034E-4</v>
      </c>
    </row>
    <row r="420" spans="1:12" x14ac:dyDescent="0.3">
      <c r="A420" s="28">
        <v>45489</v>
      </c>
      <c r="B420" s="29">
        <v>0.184600616566059</v>
      </c>
      <c r="C420" s="29">
        <v>0.18462447382024999</v>
      </c>
      <c r="D420" s="29">
        <v>0.18461253999999999</v>
      </c>
      <c r="E420" s="30">
        <v>1.2171699999999801E-3</v>
      </c>
      <c r="F420" s="30">
        <v>0.66368632970394903</v>
      </c>
      <c r="G420" s="30">
        <v>0.57876258606500397</v>
      </c>
      <c r="H420" s="29">
        <v>0.18461253999999999</v>
      </c>
      <c r="I420" s="29">
        <v>0.18461253999999999</v>
      </c>
      <c r="K420">
        <f t="shared" si="12"/>
        <v>6.636863297039497E-3</v>
      </c>
      <c r="L420">
        <f t="shared" si="13"/>
        <v>1.292287847347197E-4</v>
      </c>
    </row>
    <row r="421" spans="1:12" x14ac:dyDescent="0.3">
      <c r="A421" s="31">
        <v>45488</v>
      </c>
      <c r="B421" s="32">
        <v>0.18337184142003199</v>
      </c>
      <c r="C421" s="32">
        <v>0.18341892883345601</v>
      </c>
      <c r="D421" s="32">
        <v>0.18339537</v>
      </c>
      <c r="E421" s="33">
        <v>2.41829999999998E-4</v>
      </c>
      <c r="F421" s="33">
        <v>0.132036759977438</v>
      </c>
      <c r="G421" s="33">
        <v>-8.4363832415991699E-2</v>
      </c>
      <c r="H421" s="32">
        <v>0.18339537</v>
      </c>
      <c r="I421" s="32">
        <v>0.18339537</v>
      </c>
      <c r="K421">
        <f t="shared" si="12"/>
        <v>1.3203675997743858E-3</v>
      </c>
      <c r="L421">
        <f t="shared" si="13"/>
        <v>2.5675355612313688E-4</v>
      </c>
    </row>
    <row r="422" spans="1:12" x14ac:dyDescent="0.3">
      <c r="A422" s="28">
        <v>45485</v>
      </c>
      <c r="B422" s="29">
        <v>0.18311999853503999</v>
      </c>
      <c r="C422" s="29">
        <v>0.18318708897396899</v>
      </c>
      <c r="D422" s="29">
        <v>0.18315354</v>
      </c>
      <c r="E422" s="30">
        <v>-1.19695E-3</v>
      </c>
      <c r="F422" s="30">
        <v>-0.64927953269883198</v>
      </c>
      <c r="G422" s="30">
        <v>-0.216115240831627</v>
      </c>
      <c r="H422" s="29">
        <v>0.18315354</v>
      </c>
      <c r="I422" s="29">
        <v>0.18315354</v>
      </c>
      <c r="K422">
        <f t="shared" si="12"/>
        <v>-6.492795326988321E-3</v>
      </c>
      <c r="L422">
        <f t="shared" si="13"/>
        <v>3.6630708272958378E-4</v>
      </c>
    </row>
    <row r="423" spans="1:12" x14ac:dyDescent="0.3">
      <c r="A423" s="31">
        <v>45484</v>
      </c>
      <c r="B423" s="32">
        <v>0.184338593127857</v>
      </c>
      <c r="C423" s="32">
        <v>0.184362382699434</v>
      </c>
      <c r="D423" s="32">
        <v>0.18435049000000001</v>
      </c>
      <c r="E423" s="33">
        <v>-8.4497000000000001E-4</v>
      </c>
      <c r="F423" s="33">
        <v>-0.456258484954219</v>
      </c>
      <c r="G423" s="33">
        <v>0.435995118938032</v>
      </c>
      <c r="H423" s="32">
        <v>0.18435049000000001</v>
      </c>
      <c r="I423" s="32">
        <v>0.18435049000000001</v>
      </c>
      <c r="K423">
        <f t="shared" si="12"/>
        <v>-4.562584849542195E-3</v>
      </c>
      <c r="L423">
        <f t="shared" si="13"/>
        <v>1.2904533954319423E-4</v>
      </c>
    </row>
    <row r="424" spans="1:12" x14ac:dyDescent="0.3">
      <c r="A424" s="28">
        <v>45483</v>
      </c>
      <c r="B424" s="29">
        <v>0.18517832672864001</v>
      </c>
      <c r="C424" s="29">
        <v>0.18521262409245801</v>
      </c>
      <c r="D424" s="29">
        <v>0.18519546000000001</v>
      </c>
      <c r="E424" s="30">
        <v>1.36348999999999E-3</v>
      </c>
      <c r="F424" s="30">
        <v>0.74170450330266402</v>
      </c>
      <c r="G424" s="30">
        <v>0.89634324600647097</v>
      </c>
      <c r="H424" s="29">
        <v>0.18519546000000001</v>
      </c>
      <c r="I424" s="29">
        <v>0.18519546000000001</v>
      </c>
      <c r="K424">
        <f t="shared" si="12"/>
        <v>7.417045033026648E-3</v>
      </c>
      <c r="L424">
        <f t="shared" si="13"/>
        <v>1.8519548923063339E-4</v>
      </c>
    </row>
    <row r="425" spans="1:12" x14ac:dyDescent="0.3">
      <c r="A425" s="31">
        <v>45482</v>
      </c>
      <c r="B425" s="32">
        <v>0.18378974453225499</v>
      </c>
      <c r="C425" s="32">
        <v>0.18387423002666201</v>
      </c>
      <c r="D425" s="32">
        <v>0.18383197000000001</v>
      </c>
      <c r="E425" s="33">
        <v>1.3119099999999899E-3</v>
      </c>
      <c r="F425" s="33">
        <v>0.71877578826129396</v>
      </c>
      <c r="G425" s="33">
        <v>0.153500224625187</v>
      </c>
      <c r="H425" s="32">
        <v>0.18383197000000001</v>
      </c>
      <c r="I425" s="32">
        <v>0.18383197000000001</v>
      </c>
      <c r="K425">
        <f t="shared" si="12"/>
        <v>7.187757882612944E-3</v>
      </c>
      <c r="L425">
        <f t="shared" si="13"/>
        <v>4.5957998713178441E-4</v>
      </c>
    </row>
    <row r="426" spans="1:12" x14ac:dyDescent="0.3">
      <c r="A426" s="28">
        <v>45481</v>
      </c>
      <c r="B426" s="29">
        <v>0.182501733766471</v>
      </c>
      <c r="C426" s="29">
        <v>0.18253837869412001</v>
      </c>
      <c r="D426" s="29">
        <v>0.18252006000000001</v>
      </c>
      <c r="E426" s="30">
        <v>3.7734000000000302E-4</v>
      </c>
      <c r="F426" s="30">
        <v>0.207167214808268</v>
      </c>
      <c r="G426" s="30">
        <v>-0.56124149565169301</v>
      </c>
      <c r="H426" s="29">
        <v>0.18252006000000001</v>
      </c>
      <c r="I426" s="29">
        <v>0.18252006000000001</v>
      </c>
      <c r="K426">
        <f t="shared" si="12"/>
        <v>2.0716721480826816E-3</v>
      </c>
      <c r="L426">
        <f t="shared" si="13"/>
        <v>2.0077205567988252E-4</v>
      </c>
    </row>
    <row r="427" spans="1:12" x14ac:dyDescent="0.3">
      <c r="A427" s="31">
        <v>45478</v>
      </c>
      <c r="B427" s="32">
        <v>0.18212945761847499</v>
      </c>
      <c r="C427" s="32">
        <v>0.18215599839702701</v>
      </c>
      <c r="D427" s="32">
        <v>0.18214272000000001</v>
      </c>
      <c r="E427" s="33">
        <v>1.14379999999997E-4</v>
      </c>
      <c r="F427" s="33">
        <v>6.2836369325780503E-2</v>
      </c>
      <c r="G427" s="33">
        <v>-0.76682011059424404</v>
      </c>
      <c r="H427" s="32">
        <v>0.18214272000000001</v>
      </c>
      <c r="I427" s="32">
        <v>0.18214272000000001</v>
      </c>
      <c r="K427">
        <f t="shared" si="12"/>
        <v>6.2836369325780517E-4</v>
      </c>
      <c r="L427">
        <f t="shared" si="13"/>
        <v>1.457141880390277E-4</v>
      </c>
    </row>
    <row r="428" spans="1:12" x14ac:dyDescent="0.3">
      <c r="A428" s="28">
        <v>45477</v>
      </c>
      <c r="B428" s="29">
        <v>0.18200349446709399</v>
      </c>
      <c r="C428" s="29">
        <v>0.182053195943855</v>
      </c>
      <c r="D428" s="29">
        <v>0.18202834000000001</v>
      </c>
      <c r="E428" s="30">
        <v>2.7108400000000199E-3</v>
      </c>
      <c r="F428" s="30">
        <v>1.51175429057399</v>
      </c>
      <c r="G428" s="30">
        <v>-0.82913548128679704</v>
      </c>
      <c r="H428" s="29">
        <v>0.18202834000000001</v>
      </c>
      <c r="I428" s="29">
        <v>0.18202834000000001</v>
      </c>
      <c r="K428">
        <f t="shared" si="12"/>
        <v>1.5117542905739967E-2</v>
      </c>
      <c r="L428">
        <f t="shared" si="13"/>
        <v>2.73042520527325E-4</v>
      </c>
    </row>
    <row r="429" spans="1:12" x14ac:dyDescent="0.3">
      <c r="A429" s="31">
        <v>45476</v>
      </c>
      <c r="B429" s="32">
        <v>0.179288582903041</v>
      </c>
      <c r="C429" s="32">
        <v>0.17934646149431499</v>
      </c>
      <c r="D429" s="32">
        <v>0.17931749999999999</v>
      </c>
      <c r="E429" s="33">
        <v>2.7872099999999801E-3</v>
      </c>
      <c r="F429" s="33">
        <v>1.5788848474672399</v>
      </c>
      <c r="G429" s="33">
        <v>-2.3060282902412101</v>
      </c>
      <c r="H429" s="32">
        <v>0.17931749999999999</v>
      </c>
      <c r="I429" s="32">
        <v>0.17931749999999999</v>
      </c>
      <c r="K429">
        <f t="shared" si="12"/>
        <v>1.5788848474672434E-2</v>
      </c>
      <c r="L429">
        <f t="shared" si="13"/>
        <v>3.2277157150855567E-4</v>
      </c>
    </row>
    <row r="430" spans="1:12" x14ac:dyDescent="0.3">
      <c r="A430" s="28">
        <v>45475</v>
      </c>
      <c r="B430" s="29">
        <v>0.176519390655063</v>
      </c>
      <c r="C430" s="29">
        <v>0.17654120471718099</v>
      </c>
      <c r="D430" s="29">
        <v>0.17653029000000001</v>
      </c>
      <c r="E430" s="30">
        <v>-2.3973999999999901E-3</v>
      </c>
      <c r="F430" s="30">
        <v>-1.3398708718589001</v>
      </c>
      <c r="G430" s="30">
        <v>-3.8245282408269401</v>
      </c>
      <c r="H430" s="29">
        <v>0.17653029000000001</v>
      </c>
      <c r="I430" s="29">
        <v>0.17653029000000001</v>
      </c>
      <c r="K430">
        <f t="shared" si="12"/>
        <v>-1.3398708718589059E-2</v>
      </c>
      <c r="L430">
        <f t="shared" si="13"/>
        <v>1.2357121329142047E-4</v>
      </c>
    </row>
    <row r="431" spans="1:12" x14ac:dyDescent="0.3">
      <c r="A431" s="31">
        <v>45474</v>
      </c>
      <c r="B431" s="32">
        <v>0.178910079793896</v>
      </c>
      <c r="C431" s="32">
        <v>0.17894529642288401</v>
      </c>
      <c r="D431" s="32">
        <v>0.17892769</v>
      </c>
      <c r="E431" s="33">
        <v>-1.1081400000000001E-3</v>
      </c>
      <c r="F431" s="33">
        <v>-0.61551081248660799</v>
      </c>
      <c r="G431" s="33">
        <v>-2.5184006861991102</v>
      </c>
      <c r="H431" s="32">
        <v>0.17892769</v>
      </c>
      <c r="I431" s="32">
        <v>0.17892769</v>
      </c>
      <c r="K431">
        <f t="shared" si="12"/>
        <v>-6.1551081248660822E-3</v>
      </c>
      <c r="L431">
        <f t="shared" si="13"/>
        <v>1.9682045293271908E-4</v>
      </c>
    </row>
    <row r="432" spans="1:12" x14ac:dyDescent="0.3">
      <c r="A432" s="28">
        <v>45471</v>
      </c>
      <c r="B432" s="29">
        <v>0.17999856001152001</v>
      </c>
      <c r="C432" s="29">
        <v>0.18007310968253101</v>
      </c>
      <c r="D432" s="29">
        <v>0.18003583000000001</v>
      </c>
      <c r="E432" s="30">
        <v>-8.7941999999999101E-4</v>
      </c>
      <c r="F432" s="30">
        <v>-0.48609500857444898</v>
      </c>
      <c r="G432" s="30">
        <v>-1.91467490477536</v>
      </c>
      <c r="H432" s="29">
        <v>0.18003583000000001</v>
      </c>
      <c r="I432" s="29">
        <v>0.18003583000000001</v>
      </c>
      <c r="K432">
        <f t="shared" si="12"/>
        <v>-4.8609500857444976E-3</v>
      </c>
      <c r="L432">
        <f t="shared" si="13"/>
        <v>4.1408241354514737E-4</v>
      </c>
    </row>
    <row r="433" spans="1:12" x14ac:dyDescent="0.3">
      <c r="A433" s="31">
        <v>45470</v>
      </c>
      <c r="B433" s="32">
        <v>0.18089725036179499</v>
      </c>
      <c r="C433" s="32">
        <v>0.180933253722702</v>
      </c>
      <c r="D433" s="32">
        <v>0.18091525</v>
      </c>
      <c r="E433" s="33">
        <v>-7.4933999999998702E-4</v>
      </c>
      <c r="F433" s="33">
        <v>-0.41248544914558299</v>
      </c>
      <c r="G433" s="33">
        <v>-1.43555807233572</v>
      </c>
      <c r="H433" s="32">
        <v>0.18091525</v>
      </c>
      <c r="I433" s="32">
        <v>0.18091525</v>
      </c>
      <c r="K433">
        <f t="shared" si="12"/>
        <v>-4.1248544914558316E-3</v>
      </c>
      <c r="L433">
        <f t="shared" si="13"/>
        <v>1.9900677752154891E-4</v>
      </c>
    </row>
    <row r="434" spans="1:12" x14ac:dyDescent="0.3">
      <c r="A434" s="28">
        <v>45469</v>
      </c>
      <c r="B434" s="29">
        <v>0.181639844516293</v>
      </c>
      <c r="C434" s="29">
        <v>0.18168934755355301</v>
      </c>
      <c r="D434" s="29">
        <v>0.18166458999999999</v>
      </c>
      <c r="E434" s="30">
        <v>-2.3382099999999999E-3</v>
      </c>
      <c r="F434" s="30">
        <v>-1.2707469668939799</v>
      </c>
      <c r="G434" s="30">
        <v>-1.02731012798568</v>
      </c>
      <c r="H434" s="29">
        <v>0.18166458999999999</v>
      </c>
      <c r="I434" s="29">
        <v>0.18166458999999999</v>
      </c>
      <c r="K434">
        <f t="shared" si="12"/>
        <v>-1.2707469668939875E-2</v>
      </c>
      <c r="L434">
        <f t="shared" si="13"/>
        <v>2.7249689804714799E-4</v>
      </c>
    </row>
    <row r="435" spans="1:12" x14ac:dyDescent="0.3">
      <c r="A435" s="31">
        <v>45468</v>
      </c>
      <c r="B435" s="32">
        <v>0.183975715205593</v>
      </c>
      <c r="C435" s="32">
        <v>0.18402988645356</v>
      </c>
      <c r="D435" s="32">
        <v>0.18400279999999999</v>
      </c>
      <c r="E435" s="33">
        <v>-1.45199000000001E-3</v>
      </c>
      <c r="F435" s="33">
        <v>-0.78293475191447603</v>
      </c>
      <c r="G435" s="33">
        <v>0.24657012124529601</v>
      </c>
      <c r="H435" s="32">
        <v>0.18400279999999999</v>
      </c>
      <c r="I435" s="32">
        <v>0.18400279999999999</v>
      </c>
      <c r="K435">
        <f t="shared" si="12"/>
        <v>-7.8293475191447692E-3</v>
      </c>
      <c r="L435">
        <f t="shared" si="13"/>
        <v>2.9440447627427296E-4</v>
      </c>
    </row>
    <row r="436" spans="1:12" x14ac:dyDescent="0.3">
      <c r="A436" s="28">
        <v>45467</v>
      </c>
      <c r="B436" s="29">
        <v>0.18542898996829199</v>
      </c>
      <c r="C436" s="29">
        <v>0.185480580183255</v>
      </c>
      <c r="D436" s="29">
        <v>0.18545479000000001</v>
      </c>
      <c r="E436" s="30">
        <v>1.7899299999999899E-3</v>
      </c>
      <c r="F436" s="30">
        <v>0.97456312546666501</v>
      </c>
      <c r="G436" s="30">
        <v>1.0376288298646601</v>
      </c>
      <c r="H436" s="29">
        <v>0.18545479000000001</v>
      </c>
      <c r="I436" s="29">
        <v>0.18545479000000001</v>
      </c>
      <c r="K436">
        <f t="shared" si="12"/>
        <v>9.7456312546666535E-3</v>
      </c>
      <c r="L436">
        <f t="shared" si="13"/>
        <v>2.7818216484464951E-4</v>
      </c>
    </row>
    <row r="437" spans="1:12" x14ac:dyDescent="0.3">
      <c r="A437" s="31">
        <v>45464</v>
      </c>
      <c r="B437" s="32">
        <v>0.183634493903335</v>
      </c>
      <c r="C437" s="32">
        <v>0.18369521290275201</v>
      </c>
      <c r="D437" s="32">
        <v>0.18366486000000001</v>
      </c>
      <c r="E437" s="33">
        <v>-4.9888999999997397E-4</v>
      </c>
      <c r="F437" s="33">
        <v>-0.27089478792649002</v>
      </c>
      <c r="G437" s="33">
        <v>6.2457021299144697E-2</v>
      </c>
      <c r="H437" s="32">
        <v>0.18366486000000001</v>
      </c>
      <c r="I437" s="32">
        <v>0.18366486000000001</v>
      </c>
      <c r="K437">
        <f t="shared" si="12"/>
        <v>-2.7089478792649002E-3</v>
      </c>
      <c r="L437">
        <f t="shared" si="13"/>
        <v>3.3059671521819007E-4</v>
      </c>
    </row>
    <row r="438" spans="1:12" x14ac:dyDescent="0.3">
      <c r="A438" s="28">
        <v>45463</v>
      </c>
      <c r="B438" s="29">
        <v>0.18414510634379899</v>
      </c>
      <c r="C438" s="29">
        <v>0.18418241426308599</v>
      </c>
      <c r="D438" s="29">
        <v>0.18416374999999999</v>
      </c>
      <c r="E438" s="30">
        <v>1.18113999999999E-3</v>
      </c>
      <c r="F438" s="30">
        <v>0.64549303346366205</v>
      </c>
      <c r="G438" s="30">
        <v>0.334257294815555</v>
      </c>
      <c r="H438" s="29">
        <v>0.18416374999999999</v>
      </c>
      <c r="I438" s="29">
        <v>0.18416374999999999</v>
      </c>
      <c r="K438">
        <f t="shared" si="12"/>
        <v>6.4549303346366216E-3</v>
      </c>
      <c r="L438">
        <f t="shared" si="13"/>
        <v>2.0258014558779383E-4</v>
      </c>
    </row>
    <row r="439" spans="1:12" x14ac:dyDescent="0.3">
      <c r="A439" s="31">
        <v>45462</v>
      </c>
      <c r="B439" s="32">
        <v>0.182955834461561</v>
      </c>
      <c r="C439" s="32">
        <v>0.18300940668350399</v>
      </c>
      <c r="D439" s="32">
        <v>0.18298260999999999</v>
      </c>
      <c r="E439" s="33">
        <v>-1.8431900000000199E-3</v>
      </c>
      <c r="F439" s="33">
        <v>-0.99725795857505894</v>
      </c>
      <c r="G439" s="33">
        <v>-0.30923961845428199</v>
      </c>
      <c r="H439" s="32">
        <v>0.18298260999999999</v>
      </c>
      <c r="I439" s="32">
        <v>0.18298260999999999</v>
      </c>
      <c r="K439">
        <f t="shared" si="12"/>
        <v>-9.9725795857505961E-3</v>
      </c>
      <c r="L439">
        <f t="shared" si="13"/>
        <v>2.9277220356072905E-4</v>
      </c>
    </row>
    <row r="440" spans="1:12" x14ac:dyDescent="0.3">
      <c r="A440" s="28">
        <v>45461</v>
      </c>
      <c r="B440" s="29">
        <v>0.18481213846125399</v>
      </c>
      <c r="C440" s="29">
        <v>0.18483946692297701</v>
      </c>
      <c r="D440" s="29">
        <v>0.18482580000000001</v>
      </c>
      <c r="E440" s="30">
        <v>1.8769000000001801E-4</v>
      </c>
      <c r="F440" s="30">
        <v>0.101652903617788</v>
      </c>
      <c r="G440" s="30">
        <v>0.69494877205814598</v>
      </c>
      <c r="H440" s="29">
        <v>0.18482580000000001</v>
      </c>
      <c r="I440" s="29">
        <v>0.18482580000000001</v>
      </c>
      <c r="K440">
        <f t="shared" si="12"/>
        <v>1.0165290361778823E-3</v>
      </c>
      <c r="L440">
        <f t="shared" si="13"/>
        <v>1.4786064349789943E-4</v>
      </c>
    </row>
    <row r="441" spans="1:12" x14ac:dyDescent="0.3">
      <c r="A441" s="31">
        <v>45460</v>
      </c>
      <c r="B441" s="32">
        <v>0.18461765683269901</v>
      </c>
      <c r="C441" s="32">
        <v>0.184658566310891</v>
      </c>
      <c r="D441" s="32">
        <v>0.18463810999999999</v>
      </c>
      <c r="E441" s="33">
        <v>-2.0840800000000098E-3</v>
      </c>
      <c r="F441" s="33">
        <v>-1.11613943688214</v>
      </c>
      <c r="G441" s="33">
        <v>0.59269337841164504</v>
      </c>
      <c r="H441" s="32">
        <v>0.18463810999999999</v>
      </c>
      <c r="I441" s="32">
        <v>0.18463810999999999</v>
      </c>
      <c r="K441">
        <f t="shared" si="12"/>
        <v>-1.1161394368821465E-2</v>
      </c>
      <c r="L441">
        <f t="shared" si="13"/>
        <v>2.2156573305473959E-4</v>
      </c>
    </row>
    <row r="442" spans="1:12" x14ac:dyDescent="0.3">
      <c r="A442" s="28">
        <v>45457</v>
      </c>
      <c r="B442" s="29">
        <v>0.18669604017698799</v>
      </c>
      <c r="C442" s="29">
        <v>0.18674833793979201</v>
      </c>
      <c r="D442" s="29">
        <v>0.18672219000000001</v>
      </c>
      <c r="E442" s="30">
        <v>1.6158399999999999E-3</v>
      </c>
      <c r="F442" s="30">
        <v>0.87292521299242498</v>
      </c>
      <c r="G442" s="30">
        <v>1.7281210559159299</v>
      </c>
      <c r="H442" s="29">
        <v>0.18672219000000001</v>
      </c>
      <c r="I442" s="29">
        <v>0.18672219000000001</v>
      </c>
      <c r="K442">
        <f t="shared" si="12"/>
        <v>8.7292521299242587E-3</v>
      </c>
      <c r="L442">
        <f t="shared" si="13"/>
        <v>2.8008327667976204E-4</v>
      </c>
    </row>
    <row r="443" spans="1:12" x14ac:dyDescent="0.3">
      <c r="A443" s="31">
        <v>45456</v>
      </c>
      <c r="B443" s="32">
        <v>0.18507893616627499</v>
      </c>
      <c r="C443" s="32">
        <v>0.18513375914097899</v>
      </c>
      <c r="D443" s="32">
        <v>0.18510635</v>
      </c>
      <c r="E443" s="33">
        <v>2.39900000000015E-5</v>
      </c>
      <c r="F443" s="33">
        <v>1.29617971156292E-2</v>
      </c>
      <c r="G443" s="33">
        <v>0.84779522465296697</v>
      </c>
      <c r="H443" s="32">
        <v>0.18510635</v>
      </c>
      <c r="I443" s="32">
        <v>0.18510635</v>
      </c>
      <c r="K443">
        <f t="shared" si="12"/>
        <v>1.2961797115629281E-4</v>
      </c>
      <c r="L443">
        <f t="shared" si="13"/>
        <v>2.9617014599441947E-4</v>
      </c>
    </row>
    <row r="444" spans="1:12" x14ac:dyDescent="0.3">
      <c r="A444" s="28">
        <v>45455</v>
      </c>
      <c r="B444" s="29">
        <v>0.18505496132351301</v>
      </c>
      <c r="C444" s="29">
        <v>0.185109770093666</v>
      </c>
      <c r="D444" s="29">
        <v>0.18508236</v>
      </c>
      <c r="E444" s="30">
        <v>-1.98562999999998E-3</v>
      </c>
      <c r="F444" s="30">
        <v>-1.0614483001607999</v>
      </c>
      <c r="G444" s="30">
        <v>0.83472523214628402</v>
      </c>
      <c r="H444" s="29">
        <v>0.18508236</v>
      </c>
      <c r="I444" s="29">
        <v>0.18508236</v>
      </c>
      <c r="K444">
        <f t="shared" si="12"/>
        <v>-1.0614483001608055E-2</v>
      </c>
      <c r="L444">
        <f t="shared" si="13"/>
        <v>2.9613178777808142E-4</v>
      </c>
    </row>
    <row r="445" spans="1:12" x14ac:dyDescent="0.3">
      <c r="A445" s="31">
        <v>45454</v>
      </c>
      <c r="B445" s="32">
        <v>0.18704174771809101</v>
      </c>
      <c r="C445" s="32">
        <v>0.18709423936837</v>
      </c>
      <c r="D445" s="32">
        <v>0.18706798999999999</v>
      </c>
      <c r="E445" s="33">
        <v>7.0074999999999998E-4</v>
      </c>
      <c r="F445" s="33">
        <v>0.376004924470629</v>
      </c>
      <c r="G445" s="33">
        <v>1.9165163626608499</v>
      </c>
      <c r="H445" s="32">
        <v>0.18706798999999999</v>
      </c>
      <c r="I445" s="32">
        <v>0.18706798999999999</v>
      </c>
      <c r="K445">
        <f t="shared" si="12"/>
        <v>3.7600492447062983E-3</v>
      </c>
      <c r="L445">
        <f t="shared" si="13"/>
        <v>2.8060199010522953E-4</v>
      </c>
    </row>
    <row r="446" spans="1:12" x14ac:dyDescent="0.3">
      <c r="A446" s="28">
        <v>45453</v>
      </c>
      <c r="B446" s="29">
        <v>0.18635855385762201</v>
      </c>
      <c r="C446" s="29">
        <v>0.186375920231106</v>
      </c>
      <c r="D446" s="29">
        <v>0.18636723999999999</v>
      </c>
      <c r="E446" s="30">
        <v>-3.1110399999999998E-3</v>
      </c>
      <c r="F446" s="30">
        <v>-1.64189795263077</v>
      </c>
      <c r="G446" s="30">
        <v>1.5347407374395901</v>
      </c>
      <c r="H446" s="29">
        <v>0.18636723999999999</v>
      </c>
      <c r="I446" s="29">
        <v>0.18636723999999999</v>
      </c>
      <c r="K446">
        <f t="shared" si="12"/>
        <v>-1.6418979526307775E-2</v>
      </c>
      <c r="L446">
        <f t="shared" si="13"/>
        <v>9.318361684158987E-5</v>
      </c>
    </row>
    <row r="447" spans="1:12" x14ac:dyDescent="0.3">
      <c r="A447" s="31">
        <v>45450</v>
      </c>
      <c r="B447" s="32">
        <v>0.18945493814296299</v>
      </c>
      <c r="C447" s="32">
        <v>0.18950161076369099</v>
      </c>
      <c r="D447" s="32">
        <v>0.18947828</v>
      </c>
      <c r="E447" s="33">
        <v>-5.2199999999999404E-4</v>
      </c>
      <c r="F447" s="33">
        <v>-0.274736437230516</v>
      </c>
      <c r="G447" s="33">
        <v>3.22966651851466</v>
      </c>
      <c r="H447" s="32">
        <v>0.18947828</v>
      </c>
      <c r="I447" s="32">
        <v>0.18947828</v>
      </c>
      <c r="K447">
        <f t="shared" si="12"/>
        <v>-2.7473643723051611E-3</v>
      </c>
      <c r="L447">
        <f t="shared" si="13"/>
        <v>2.4632174583806853E-4</v>
      </c>
    </row>
    <row r="448" spans="1:12" x14ac:dyDescent="0.3">
      <c r="A448" s="28">
        <v>45449</v>
      </c>
      <c r="B448" s="29">
        <v>0.18995877894496899</v>
      </c>
      <c r="C448" s="29">
        <v>0.19004180919802399</v>
      </c>
      <c r="D448" s="29">
        <v>0.19000027999999999</v>
      </c>
      <c r="E448" s="30">
        <v>1.00902999999999E-3</v>
      </c>
      <c r="F448" s="30">
        <v>0.53390302461091499</v>
      </c>
      <c r="G448" s="30">
        <v>3.5140573517155098</v>
      </c>
      <c r="H448" s="29">
        <v>0.19000027999999999</v>
      </c>
      <c r="I448" s="29">
        <v>0.19000027999999999</v>
      </c>
      <c r="K448">
        <f t="shared" si="12"/>
        <v>5.3390302461091554E-3</v>
      </c>
      <c r="L448">
        <f t="shared" si="13"/>
        <v>4.3700068786743543E-4</v>
      </c>
    </row>
    <row r="449" spans="1:12" x14ac:dyDescent="0.3">
      <c r="A449" s="31">
        <v>45448</v>
      </c>
      <c r="B449" s="32">
        <v>0.18897161646320701</v>
      </c>
      <c r="C449" s="32">
        <v>0.189010905929272</v>
      </c>
      <c r="D449" s="32">
        <v>0.18899125</v>
      </c>
      <c r="E449" s="33">
        <v>-7.4047999999998695E-4</v>
      </c>
      <c r="F449" s="33">
        <v>-0.390277366890601</v>
      </c>
      <c r="G449" s="33">
        <v>2.9643276918981698</v>
      </c>
      <c r="H449" s="32">
        <v>0.18899125</v>
      </c>
      <c r="I449" s="32">
        <v>0.18899125</v>
      </c>
      <c r="K449">
        <f t="shared" si="12"/>
        <v>-3.9027736689060122E-3</v>
      </c>
      <c r="L449">
        <f t="shared" si="13"/>
        <v>2.0789039738606979E-4</v>
      </c>
    </row>
    <row r="450" spans="1:12" x14ac:dyDescent="0.3">
      <c r="A450" s="28">
        <v>45447</v>
      </c>
      <c r="B450" s="29">
        <v>0.189695728052204</v>
      </c>
      <c r="C450" s="29">
        <v>0.18976772430545</v>
      </c>
      <c r="D450" s="29">
        <v>0.18973172999999999</v>
      </c>
      <c r="E450" s="30">
        <v>-1.4016100000000199E-3</v>
      </c>
      <c r="F450" s="30">
        <v>-0.73331528659522605</v>
      </c>
      <c r="G450" s="30">
        <v>3.3677486194241499</v>
      </c>
      <c r="H450" s="29">
        <v>0.18973172999999999</v>
      </c>
      <c r="I450" s="29">
        <v>0.18973172999999999</v>
      </c>
      <c r="K450">
        <f t="shared" si="12"/>
        <v>-7.3331528659522638E-3</v>
      </c>
      <c r="L450">
        <f t="shared" si="13"/>
        <v>3.7946343105604082E-4</v>
      </c>
    </row>
    <row r="451" spans="1:12" x14ac:dyDescent="0.3">
      <c r="A451" s="31">
        <v>45446</v>
      </c>
      <c r="B451" s="32">
        <v>0.19111688708814301</v>
      </c>
      <c r="C451" s="32">
        <v>0.19114976584153701</v>
      </c>
      <c r="D451" s="32">
        <v>0.19113334000000001</v>
      </c>
      <c r="E451" s="33">
        <v>8.6916000000000705E-4</v>
      </c>
      <c r="F451" s="33">
        <v>0.45681746296124498</v>
      </c>
      <c r="G451" s="33">
        <v>4.1313597989694699</v>
      </c>
      <c r="H451" s="32">
        <v>0.19113334000000001</v>
      </c>
      <c r="I451" s="32">
        <v>0.19113334000000001</v>
      </c>
      <c r="K451">
        <f t="shared" si="12"/>
        <v>4.5681746296124537E-3</v>
      </c>
      <c r="L451">
        <f t="shared" si="13"/>
        <v>1.7201998036553976E-4</v>
      </c>
    </row>
    <row r="452" spans="1:12" x14ac:dyDescent="0.3">
      <c r="A452" s="28">
        <v>45443</v>
      </c>
      <c r="B452" s="29">
        <v>0.19024065442785101</v>
      </c>
      <c r="C452" s="29">
        <v>0.19028771502511799</v>
      </c>
      <c r="D452" s="29">
        <v>0.19026418</v>
      </c>
      <c r="E452" s="30">
        <v>-1.9307699999999901E-3</v>
      </c>
      <c r="F452" s="30">
        <v>-1.00458935055265</v>
      </c>
      <c r="G452" s="30">
        <v>3.65783271738928</v>
      </c>
      <c r="H452" s="29">
        <v>0.19026418</v>
      </c>
      <c r="I452" s="29">
        <v>0.19026418</v>
      </c>
      <c r="K452">
        <f t="shared" si="12"/>
        <v>-1.0045893505526537E-2</v>
      </c>
      <c r="L452">
        <f t="shared" si="13"/>
        <v>2.4734344250701071E-4</v>
      </c>
    </row>
    <row r="453" spans="1:12" x14ac:dyDescent="0.3">
      <c r="A453" s="31">
        <v>45442</v>
      </c>
      <c r="B453" s="32">
        <v>0.192148800030744</v>
      </c>
      <c r="C453" s="32">
        <v>0.192241147295167</v>
      </c>
      <c r="D453" s="32">
        <v>0.19219495</v>
      </c>
      <c r="E453" s="33">
        <v>-3.1822000000000702E-4</v>
      </c>
      <c r="F453" s="33">
        <v>-0.16529778196473499</v>
      </c>
      <c r="G453" s="33">
        <v>4.7097355699165098</v>
      </c>
      <c r="H453" s="32">
        <v>0.19219495</v>
      </c>
      <c r="I453" s="32">
        <v>0.19219495</v>
      </c>
      <c r="K453">
        <f t="shared" ref="K453:K516" si="14">D453/D454-1</f>
        <v>-1.6529778196473499E-3</v>
      </c>
      <c r="L453">
        <f t="shared" ref="L453:L516" si="15">(C453-B453)/D453</f>
        <v>4.8048746558119185E-4</v>
      </c>
    </row>
    <row r="454" spans="1:12" x14ac:dyDescent="0.3">
      <c r="A454" s="28">
        <v>45441</v>
      </c>
      <c r="B454" s="29">
        <v>0.19250019250019301</v>
      </c>
      <c r="C454" s="29">
        <v>0.19252613542288399</v>
      </c>
      <c r="D454" s="29">
        <v>0.19251317000000001</v>
      </c>
      <c r="E454" s="30">
        <v>-1.31719999999999E-3</v>
      </c>
      <c r="F454" s="30">
        <v>-0.67956326967749603</v>
      </c>
      <c r="G454" s="30">
        <v>4.88310501616398</v>
      </c>
      <c r="H454" s="29">
        <v>0.19251317000000001</v>
      </c>
      <c r="I454" s="29">
        <v>0.19251317000000001</v>
      </c>
      <c r="K454">
        <f t="shared" si="14"/>
        <v>-6.795632696774967E-3</v>
      </c>
      <c r="L454">
        <f t="shared" si="15"/>
        <v>1.347592099334305E-4</v>
      </c>
    </row>
    <row r="455" spans="1:12" x14ac:dyDescent="0.3">
      <c r="A455" s="31">
        <v>45440</v>
      </c>
      <c r="B455" s="32">
        <v>0.193817230351778</v>
      </c>
      <c r="C455" s="32">
        <v>0.193843529502985</v>
      </c>
      <c r="D455" s="32">
        <v>0.19383037</v>
      </c>
      <c r="E455" s="33">
        <v>7.1307000000000998E-4</v>
      </c>
      <c r="F455" s="33">
        <v>0.36924190634397502</v>
      </c>
      <c r="G455" s="33">
        <v>5.60072878147463</v>
      </c>
      <c r="H455" s="32">
        <v>0.19383037</v>
      </c>
      <c r="I455" s="32">
        <v>0.19383037</v>
      </c>
      <c r="K455">
        <f t="shared" si="14"/>
        <v>3.6924190634397558E-3</v>
      </c>
      <c r="L455">
        <f t="shared" si="15"/>
        <v>1.3568127227430238E-4</v>
      </c>
    </row>
    <row r="456" spans="1:12" x14ac:dyDescent="0.3">
      <c r="A456" s="28">
        <v>45439</v>
      </c>
      <c r="B456" s="29">
        <v>0.19310611180843901</v>
      </c>
      <c r="C456" s="29">
        <v>0.193128488383321</v>
      </c>
      <c r="D456" s="29">
        <v>0.19311729999999999</v>
      </c>
      <c r="E456" s="30">
        <v>-1.00092000000001E-3</v>
      </c>
      <c r="F456" s="30">
        <v>-0.51562393267361395</v>
      </c>
      <c r="G456" s="30">
        <v>5.2122410967418098</v>
      </c>
      <c r="H456" s="29">
        <v>0.19311729999999999</v>
      </c>
      <c r="I456" s="29">
        <v>0.19311729999999999</v>
      </c>
      <c r="K456">
        <f t="shared" si="14"/>
        <v>-5.156239326736145E-3</v>
      </c>
      <c r="L456">
        <f t="shared" si="15"/>
        <v>1.158703797225507E-4</v>
      </c>
    </row>
    <row r="457" spans="1:12" x14ac:dyDescent="0.3">
      <c r="A457" s="31">
        <v>45436</v>
      </c>
      <c r="B457" s="32">
        <v>0.194099378881988</v>
      </c>
      <c r="C457" s="32">
        <v>0.1941370607649</v>
      </c>
      <c r="D457" s="32">
        <v>0.19411822000000001</v>
      </c>
      <c r="E457" s="33">
        <v>5.0860000000013598E-5</v>
      </c>
      <c r="F457" s="33">
        <v>2.6207395205468598E-2</v>
      </c>
      <c r="G457" s="33">
        <v>5.7575523472540704</v>
      </c>
      <c r="H457" s="32">
        <v>0.19411822000000001</v>
      </c>
      <c r="I457" s="32">
        <v>0.19411822000000001</v>
      </c>
      <c r="K457">
        <f t="shared" si="14"/>
        <v>2.6207395205468664E-4</v>
      </c>
      <c r="L457">
        <f t="shared" si="15"/>
        <v>1.9411821781595328E-4</v>
      </c>
    </row>
    <row r="458" spans="1:12" x14ac:dyDescent="0.3">
      <c r="A458" s="28">
        <v>45435</v>
      </c>
      <c r="B458" s="29">
        <v>0.194054179927036</v>
      </c>
      <c r="C458" s="29">
        <v>0.194080543425522</v>
      </c>
      <c r="D458" s="29">
        <v>0.19406735999999999</v>
      </c>
      <c r="E458" s="30">
        <v>7.7169999999987499E-5</v>
      </c>
      <c r="F458" s="30">
        <v>3.9780362089447602E-2</v>
      </c>
      <c r="G458" s="30">
        <v>5.7298433093678698</v>
      </c>
      <c r="H458" s="29">
        <v>0.19406735999999999</v>
      </c>
      <c r="I458" s="29">
        <v>0.19406735999999999</v>
      </c>
      <c r="K458">
        <f t="shared" si="14"/>
        <v>3.9780362089447685E-4</v>
      </c>
      <c r="L458">
        <f t="shared" si="15"/>
        <v>1.3584715372025438E-4</v>
      </c>
    </row>
    <row r="459" spans="1:12" x14ac:dyDescent="0.3">
      <c r="A459" s="31">
        <v>45434</v>
      </c>
      <c r="B459" s="32">
        <v>0.19396760740956301</v>
      </c>
      <c r="C459" s="32">
        <v>0.194012766040005</v>
      </c>
      <c r="D459" s="32">
        <v>0.19399019000000001</v>
      </c>
      <c r="E459" s="33">
        <v>-1.70834999999999E-3</v>
      </c>
      <c r="F459" s="33">
        <v>-0.87294979308480902</v>
      </c>
      <c r="G459" s="33">
        <v>5.6878003197163203</v>
      </c>
      <c r="H459" s="32">
        <v>0.19399019000000001</v>
      </c>
      <c r="I459" s="32">
        <v>0.19399019000000001</v>
      </c>
      <c r="K459">
        <f t="shared" si="14"/>
        <v>-8.7294979308480958E-3</v>
      </c>
      <c r="L459">
        <f t="shared" si="15"/>
        <v>2.3278821698145537E-4</v>
      </c>
    </row>
    <row r="460" spans="1:12" x14ac:dyDescent="0.3">
      <c r="A460" s="28">
        <v>45433</v>
      </c>
      <c r="B460" s="29">
        <v>0.19567556990509699</v>
      </c>
      <c r="C460" s="29">
        <v>0.19572152741080001</v>
      </c>
      <c r="D460" s="29">
        <v>0.19569854</v>
      </c>
      <c r="E460" s="30">
        <v>-6.4554E-4</v>
      </c>
      <c r="F460" s="30">
        <v>-0.32877996627145301</v>
      </c>
      <c r="G460" s="30">
        <v>6.61852652641877</v>
      </c>
      <c r="H460" s="29">
        <v>0.19569854</v>
      </c>
      <c r="I460" s="29">
        <v>0.19569854</v>
      </c>
      <c r="K460">
        <f t="shared" si="14"/>
        <v>-3.2877996627145301E-3</v>
      </c>
      <c r="L460">
        <f t="shared" si="15"/>
        <v>2.3483826554362834E-4</v>
      </c>
    </row>
    <row r="461" spans="1:12" x14ac:dyDescent="0.3">
      <c r="A461" s="31">
        <v>45432</v>
      </c>
      <c r="B461" s="32">
        <v>0.196320945481673</v>
      </c>
      <c r="C461" s="32">
        <v>0.196367206676485</v>
      </c>
      <c r="D461" s="32">
        <v>0.19634408</v>
      </c>
      <c r="E461" s="33">
        <v>7.6034999999999298E-4</v>
      </c>
      <c r="F461" s="33">
        <v>0.38875933085027398</v>
      </c>
      <c r="G461" s="33">
        <v>6.9702231901438303</v>
      </c>
      <c r="H461" s="32">
        <v>0.19634408</v>
      </c>
      <c r="I461" s="32">
        <v>0.19634408</v>
      </c>
      <c r="K461">
        <f t="shared" si="14"/>
        <v>3.8875933085027459E-3</v>
      </c>
      <c r="L461">
        <f t="shared" si="15"/>
        <v>2.3561288332193034E-4</v>
      </c>
    </row>
    <row r="462" spans="1:12" x14ac:dyDescent="0.3">
      <c r="A462" s="28">
        <v>45429</v>
      </c>
      <c r="B462" s="29">
        <v>0.19556459498572401</v>
      </c>
      <c r="C462" s="29">
        <v>0.19560284797746699</v>
      </c>
      <c r="D462" s="29">
        <v>0.19558373000000001</v>
      </c>
      <c r="E462" s="30">
        <v>5.3979000000001199E-4</v>
      </c>
      <c r="F462" s="30">
        <v>0.276753022934217</v>
      </c>
      <c r="G462" s="30">
        <v>6.5559768874153397</v>
      </c>
      <c r="H462" s="29">
        <v>0.19558373000000001</v>
      </c>
      <c r="I462" s="29">
        <v>0.19558373000000001</v>
      </c>
      <c r="K462">
        <f t="shared" si="14"/>
        <v>2.7675302293421744E-3</v>
      </c>
      <c r="L462">
        <f t="shared" si="15"/>
        <v>1.9558371109387222E-4</v>
      </c>
    </row>
    <row r="463" spans="1:12" x14ac:dyDescent="0.3">
      <c r="A463" s="31">
        <v>45428</v>
      </c>
      <c r="B463" s="32">
        <v>0.195026816187226</v>
      </c>
      <c r="C463" s="32">
        <v>0.19506105410993599</v>
      </c>
      <c r="D463" s="32">
        <v>0.19504394</v>
      </c>
      <c r="E463" s="33">
        <v>2.3746999999998901E-4</v>
      </c>
      <c r="F463" s="33">
        <v>0.121900468706193</v>
      </c>
      <c r="G463" s="33">
        <v>6.2618938838645901</v>
      </c>
      <c r="H463" s="32">
        <v>0.19504394</v>
      </c>
      <c r="I463" s="32">
        <v>0.19504394</v>
      </c>
      <c r="K463">
        <f t="shared" si="14"/>
        <v>1.2190046870619309E-3</v>
      </c>
      <c r="L463">
        <f t="shared" si="15"/>
        <v>1.7553953591167338E-4</v>
      </c>
    </row>
    <row r="464" spans="1:12" x14ac:dyDescent="0.3">
      <c r="A464" s="28">
        <v>45427</v>
      </c>
      <c r="B464" s="29">
        <v>0.19476851761681199</v>
      </c>
      <c r="C464" s="29">
        <v>0.19484441673323899</v>
      </c>
      <c r="D464" s="29">
        <v>0.19480647000000001</v>
      </c>
      <c r="E464" s="30">
        <v>-5.6799999999801403E-6</v>
      </c>
      <c r="F464" s="30">
        <v>-2.9156292356446998E-3</v>
      </c>
      <c r="G464" s="30">
        <v>6.1325178471592201</v>
      </c>
      <c r="H464" s="29">
        <v>0.19480647000000001</v>
      </c>
      <c r="I464" s="29">
        <v>0.19480647000000001</v>
      </c>
      <c r="K464">
        <f t="shared" si="14"/>
        <v>-2.9156292356447011E-5</v>
      </c>
      <c r="L464">
        <f t="shared" si="15"/>
        <v>3.8961291391911834E-4</v>
      </c>
    </row>
    <row r="465" spans="1:12" x14ac:dyDescent="0.3">
      <c r="A465" s="31">
        <v>45426</v>
      </c>
      <c r="B465" s="32">
        <v>0.194802664900456</v>
      </c>
      <c r="C465" s="32">
        <v>0.19482164078785899</v>
      </c>
      <c r="D465" s="32">
        <v>0.19481214999999999</v>
      </c>
      <c r="E465" s="33">
        <v>3.0125000000000198E-4</v>
      </c>
      <c r="F465" s="33">
        <v>0.154875639360052</v>
      </c>
      <c r="G465" s="33">
        <v>6.1356123681028496</v>
      </c>
      <c r="H465" s="32">
        <v>0.19481214999999999</v>
      </c>
      <c r="I465" s="32">
        <v>0.19481214999999999</v>
      </c>
      <c r="K465">
        <f t="shared" si="14"/>
        <v>1.5487563936005255E-3</v>
      </c>
      <c r="L465">
        <f t="shared" si="15"/>
        <v>9.7406077613684951E-5</v>
      </c>
    </row>
    <row r="466" spans="1:12" x14ac:dyDescent="0.3">
      <c r="A466" s="28">
        <v>45425</v>
      </c>
      <c r="B466" s="29">
        <v>0.19448820429041</v>
      </c>
      <c r="C466" s="29">
        <v>0.194533605680381</v>
      </c>
      <c r="D466" s="29">
        <v>0.19451089999999999</v>
      </c>
      <c r="E466" s="30">
        <v>2.7202999999997797E-4</v>
      </c>
      <c r="F466" s="30">
        <v>0.140049208482317</v>
      </c>
      <c r="G466" s="30">
        <v>5.9714883479845398</v>
      </c>
      <c r="H466" s="29">
        <v>0.19451089999999999</v>
      </c>
      <c r="I466" s="29">
        <v>0.19451089999999999</v>
      </c>
      <c r="K466">
        <f t="shared" si="14"/>
        <v>1.4004920848231794E-3</v>
      </c>
      <c r="L466">
        <f t="shared" si="15"/>
        <v>2.3341308878320141E-4</v>
      </c>
    </row>
    <row r="467" spans="1:12" x14ac:dyDescent="0.3">
      <c r="A467" s="31">
        <v>45422</v>
      </c>
      <c r="B467" s="32">
        <v>0.194223784644668</v>
      </c>
      <c r="C467" s="32">
        <v>0.194253967637289</v>
      </c>
      <c r="D467" s="32">
        <v>0.19423887000000001</v>
      </c>
      <c r="E467" s="33">
        <v>2.8631000000001102E-4</v>
      </c>
      <c r="F467" s="33">
        <v>0.147618572294172</v>
      </c>
      <c r="G467" s="33">
        <v>5.8232836768051897</v>
      </c>
      <c r="H467" s="32">
        <v>0.19423887000000001</v>
      </c>
      <c r="I467" s="32">
        <v>0.19423887000000001</v>
      </c>
      <c r="K467">
        <f t="shared" si="14"/>
        <v>1.4761857229417252E-3</v>
      </c>
      <c r="L467">
        <f t="shared" si="15"/>
        <v>1.5539110488545821E-4</v>
      </c>
    </row>
    <row r="468" spans="1:12" x14ac:dyDescent="0.3">
      <c r="A468" s="28">
        <v>45421</v>
      </c>
      <c r="B468" s="29">
        <v>0.193926230461932</v>
      </c>
      <c r="C468" s="29">
        <v>0.19397889509621399</v>
      </c>
      <c r="D468" s="29">
        <v>0.19395256</v>
      </c>
      <c r="E468" s="30">
        <v>-2.7816400000000002E-3</v>
      </c>
      <c r="F468" s="30">
        <v>-1.4139076988139301</v>
      </c>
      <c r="G468" s="30">
        <v>5.6672991184646904</v>
      </c>
      <c r="H468" s="29">
        <v>0.19395256</v>
      </c>
      <c r="I468" s="29">
        <v>0.19395256</v>
      </c>
      <c r="K468">
        <f t="shared" si="14"/>
        <v>-1.4139076988139321E-2</v>
      </c>
      <c r="L468">
        <f t="shared" si="15"/>
        <v>2.7153358678016863E-4</v>
      </c>
    </row>
    <row r="469" spans="1:12" x14ac:dyDescent="0.3">
      <c r="A469" s="31">
        <v>45420</v>
      </c>
      <c r="B469" s="32">
        <v>0.19669551534224999</v>
      </c>
      <c r="C469" s="32">
        <v>0.196772924045651</v>
      </c>
      <c r="D469" s="32">
        <v>0.1967342</v>
      </c>
      <c r="E469" s="33">
        <v>-1.25227999999999E-3</v>
      </c>
      <c r="F469" s="33">
        <v>-0.63250783588858495</v>
      </c>
      <c r="G469" s="33">
        <v>7.1827644772095596</v>
      </c>
      <c r="H469" s="32">
        <v>0.1967342</v>
      </c>
      <c r="I469" s="32">
        <v>0.1967342</v>
      </c>
      <c r="K469">
        <f t="shared" si="14"/>
        <v>-6.3250783588858495E-3</v>
      </c>
      <c r="L469">
        <f t="shared" si="15"/>
        <v>3.9346846354627277E-4</v>
      </c>
    </row>
    <row r="470" spans="1:12" x14ac:dyDescent="0.3">
      <c r="A470" s="28">
        <v>45419</v>
      </c>
      <c r="B470" s="29">
        <v>0.197941409342835</v>
      </c>
      <c r="C470" s="29">
        <v>0.19803156623165699</v>
      </c>
      <c r="D470" s="29">
        <v>0.19798647999999999</v>
      </c>
      <c r="E470" s="30">
        <v>7.2640999999998204E-4</v>
      </c>
      <c r="F470" s="30">
        <v>0.36824989466950298</v>
      </c>
      <c r="G470" s="30">
        <v>7.8650191756784604</v>
      </c>
      <c r="H470" s="29">
        <v>0.19798647999999999</v>
      </c>
      <c r="I470" s="29">
        <v>0.19798647999999999</v>
      </c>
      <c r="K470">
        <f t="shared" si="14"/>
        <v>3.6824989466950342E-3</v>
      </c>
      <c r="L470">
        <f t="shared" si="15"/>
        <v>4.5536891621082476E-4</v>
      </c>
    </row>
    <row r="471" spans="1:12" x14ac:dyDescent="0.3">
      <c r="A471" s="31">
        <v>45418</v>
      </c>
      <c r="B471" s="32">
        <v>0.19720754121637599</v>
      </c>
      <c r="C471" s="32">
        <v>0.197312602355912</v>
      </c>
      <c r="D471" s="32">
        <v>0.19726007000000001</v>
      </c>
      <c r="E471" s="33">
        <v>5.83600000000072E-5</v>
      </c>
      <c r="F471" s="33">
        <v>2.9594063864868399E-2</v>
      </c>
      <c r="G471" s="33">
        <v>7.4692637252082896</v>
      </c>
      <c r="H471" s="32">
        <v>0.19726007000000001</v>
      </c>
      <c r="I471" s="32">
        <v>0.19726007000000001</v>
      </c>
      <c r="K471">
        <f t="shared" si="14"/>
        <v>2.9594063864868403E-4</v>
      </c>
      <c r="L471">
        <f t="shared" si="15"/>
        <v>5.3260216087326368E-4</v>
      </c>
    </row>
    <row r="472" spans="1:12" x14ac:dyDescent="0.3">
      <c r="A472" s="28">
        <v>45415</v>
      </c>
      <c r="B472" s="29">
        <v>0.197168658070113</v>
      </c>
      <c r="C472" s="29">
        <v>0.197234768544999</v>
      </c>
      <c r="D472" s="29">
        <v>0.19720171</v>
      </c>
      <c r="E472" s="30">
        <v>1.5682399999999901E-3</v>
      </c>
      <c r="F472" s="30">
        <v>0.80162152212501703</v>
      </c>
      <c r="G472" s="30">
        <v>7.4374686121324203</v>
      </c>
      <c r="H472" s="29">
        <v>0.19720171</v>
      </c>
      <c r="I472" s="29">
        <v>0.19720171</v>
      </c>
      <c r="K472">
        <f t="shared" si="14"/>
        <v>8.016215221250178E-3</v>
      </c>
      <c r="L472">
        <f t="shared" si="15"/>
        <v>3.3524290882670207E-4</v>
      </c>
    </row>
    <row r="473" spans="1:12" x14ac:dyDescent="0.3">
      <c r="A473" s="31">
        <v>45414</v>
      </c>
      <c r="B473" s="32">
        <v>0.19561050037166</v>
      </c>
      <c r="C473" s="32">
        <v>0.195656427313637</v>
      </c>
      <c r="D473" s="32">
        <v>0.19563347</v>
      </c>
      <c r="E473" s="33">
        <v>3.1036100000000001E-3</v>
      </c>
      <c r="F473" s="33">
        <v>1.61201488434055</v>
      </c>
      <c r="G473" s="33">
        <v>6.5830757380732097</v>
      </c>
      <c r="H473" s="32">
        <v>0.19563347</v>
      </c>
      <c r="I473" s="32">
        <v>0.19563347</v>
      </c>
      <c r="K473">
        <f t="shared" si="14"/>
        <v>1.6120148843405513E-2</v>
      </c>
      <c r="L473">
        <f t="shared" si="15"/>
        <v>2.3476014598625733E-4</v>
      </c>
    </row>
    <row r="474" spans="1:12" x14ac:dyDescent="0.3">
      <c r="A474" s="28">
        <v>45413</v>
      </c>
      <c r="B474" s="29">
        <v>0.19251501617126099</v>
      </c>
      <c r="C474" s="29">
        <v>0.19254467036352399</v>
      </c>
      <c r="D474" s="29">
        <v>0.19252986</v>
      </c>
      <c r="E474" s="30">
        <v>-4.0486000000000601E-4</v>
      </c>
      <c r="F474" s="30">
        <v>-0.20984299767300399</v>
      </c>
      <c r="G474" s="30">
        <v>4.8921978954860403</v>
      </c>
      <c r="H474" s="29">
        <v>0.19252986</v>
      </c>
      <c r="I474" s="29">
        <v>0.19252986</v>
      </c>
      <c r="K474">
        <f t="shared" si="14"/>
        <v>-2.0984299767300429E-3</v>
      </c>
      <c r="L474">
        <f t="shared" si="15"/>
        <v>1.5402386031445275E-4</v>
      </c>
    </row>
    <row r="475" spans="1:12" x14ac:dyDescent="0.3">
      <c r="A475" s="31">
        <v>45412</v>
      </c>
      <c r="B475" s="32">
        <v>0.19289751355105</v>
      </c>
      <c r="C475" s="32">
        <v>0.192971961174041</v>
      </c>
      <c r="D475" s="32">
        <v>0.19293472</v>
      </c>
      <c r="E475" s="33">
        <v>-2.6566599999999999E-3</v>
      </c>
      <c r="F475" s="33">
        <v>-1.35827049228857</v>
      </c>
      <c r="G475" s="33">
        <v>5.1127696823245499</v>
      </c>
      <c r="H475" s="32">
        <v>0.19293472</v>
      </c>
      <c r="I475" s="32">
        <v>0.19293472</v>
      </c>
      <c r="K475">
        <f t="shared" si="14"/>
        <v>-1.3582704922885713E-2</v>
      </c>
      <c r="L475">
        <f t="shared" si="15"/>
        <v>3.8586949508620007E-4</v>
      </c>
    </row>
    <row r="476" spans="1:12" x14ac:dyDescent="0.3">
      <c r="A476" s="28">
        <v>45411</v>
      </c>
      <c r="B476" s="29">
        <v>0.19555312200559299</v>
      </c>
      <c r="C476" s="29">
        <v>0.19562963397695499</v>
      </c>
      <c r="D476" s="29">
        <v>0.19559138000000001</v>
      </c>
      <c r="E476" s="30">
        <v>5.70260000000016E-4</v>
      </c>
      <c r="F476" s="30">
        <v>0.29240935545853303</v>
      </c>
      <c r="G476" s="30">
        <v>6.5601446841088</v>
      </c>
      <c r="H476" s="29">
        <v>0.19559138000000001</v>
      </c>
      <c r="I476" s="29">
        <v>0.19559138000000001</v>
      </c>
      <c r="K476">
        <f t="shared" si="14"/>
        <v>2.9240935545853386E-3</v>
      </c>
      <c r="L476">
        <f t="shared" si="15"/>
        <v>3.9118273699992388E-4</v>
      </c>
    </row>
    <row r="477" spans="1:12" x14ac:dyDescent="0.3">
      <c r="A477" s="31">
        <v>45408</v>
      </c>
      <c r="B477" s="32">
        <v>0.19500399758195</v>
      </c>
      <c r="C477" s="32">
        <v>0.19503822749258901</v>
      </c>
      <c r="D477" s="32">
        <v>0.19502111999999999</v>
      </c>
      <c r="E477" s="33">
        <v>1.60688E-3</v>
      </c>
      <c r="F477" s="33">
        <v>0.83079715330163195</v>
      </c>
      <c r="G477" s="33">
        <v>6.2494613190874997</v>
      </c>
      <c r="H477" s="32">
        <v>0.19502111999999999</v>
      </c>
      <c r="I477" s="32">
        <v>0.19502111999999999</v>
      </c>
      <c r="K477">
        <f t="shared" si="14"/>
        <v>8.3079715330163229E-3</v>
      </c>
      <c r="L477">
        <f t="shared" si="15"/>
        <v>1.7551899321983886E-4</v>
      </c>
    </row>
    <row r="478" spans="1:12" x14ac:dyDescent="0.3">
      <c r="A478" s="28">
        <v>45407</v>
      </c>
      <c r="B478" s="29">
        <v>0.19340115267086999</v>
      </c>
      <c r="C478" s="29">
        <v>0.19342733902009701</v>
      </c>
      <c r="D478" s="29">
        <v>0.19341423999999999</v>
      </c>
      <c r="E478" s="30">
        <v>-2.3786000000000599E-4</v>
      </c>
      <c r="F478" s="30">
        <v>-0.122828515673212</v>
      </c>
      <c r="G478" s="30">
        <v>5.37401698565112</v>
      </c>
      <c r="H478" s="29">
        <v>0.19341423999999999</v>
      </c>
      <c r="I478" s="29">
        <v>0.19341423999999999</v>
      </c>
      <c r="K478">
        <f t="shared" si="14"/>
        <v>-1.2282851567321229E-3</v>
      </c>
      <c r="L478">
        <f t="shared" si="15"/>
        <v>1.3538997556239804E-4</v>
      </c>
    </row>
    <row r="479" spans="1:12" x14ac:dyDescent="0.3">
      <c r="A479" s="31">
        <v>45406</v>
      </c>
      <c r="B479" s="32">
        <v>0.19362583743174699</v>
      </c>
      <c r="C479" s="32">
        <v>0.19367833901456499</v>
      </c>
      <c r="D479" s="32">
        <v>0.19365209999999999</v>
      </c>
      <c r="E479" s="33">
        <v>-2.9295000000001398E-4</v>
      </c>
      <c r="F479" s="33">
        <v>-0.151047938578485</v>
      </c>
      <c r="G479" s="33">
        <v>5.50360549826636</v>
      </c>
      <c r="H479" s="32">
        <v>0.19365209999999999</v>
      </c>
      <c r="I479" s="32">
        <v>0.19365209999999999</v>
      </c>
      <c r="K479">
        <f t="shared" si="14"/>
        <v>-1.5104793857848575E-3</v>
      </c>
      <c r="L479">
        <f t="shared" si="15"/>
        <v>2.7111290204443259E-4</v>
      </c>
    </row>
    <row r="480" spans="1:12" x14ac:dyDescent="0.3">
      <c r="A480" s="28">
        <v>45405</v>
      </c>
      <c r="B480" s="29">
        <v>0.19392246979657499</v>
      </c>
      <c r="C480" s="29">
        <v>0.19396760740956301</v>
      </c>
      <c r="D480" s="29">
        <v>0.19394505000000001</v>
      </c>
      <c r="E480" s="30">
        <v>1.42263E-3</v>
      </c>
      <c r="F480" s="30">
        <v>0.73894250861796795</v>
      </c>
      <c r="G480" s="30">
        <v>5.6632075951747796</v>
      </c>
      <c r="H480" s="29">
        <v>0.19394505000000001</v>
      </c>
      <c r="I480" s="29">
        <v>0.19394505000000001</v>
      </c>
      <c r="K480">
        <f t="shared" si="14"/>
        <v>7.3894250861796795E-3</v>
      </c>
      <c r="L480">
        <f t="shared" si="15"/>
        <v>2.3273402949970675E-4</v>
      </c>
    </row>
    <row r="481" spans="1:12" x14ac:dyDescent="0.3">
      <c r="A481" s="31">
        <v>45404</v>
      </c>
      <c r="B481" s="32">
        <v>0.192496486939113</v>
      </c>
      <c r="C481" s="32">
        <v>0.19254837777991701</v>
      </c>
      <c r="D481" s="32">
        <v>0.19252242</v>
      </c>
      <c r="E481" s="33">
        <v>7.4579999999999005E-4</v>
      </c>
      <c r="F481" s="33">
        <v>0.38888994915020603</v>
      </c>
      <c r="G481" s="33">
        <v>4.8881445088978897</v>
      </c>
      <c r="H481" s="32">
        <v>0.19252242</v>
      </c>
      <c r="I481" s="32">
        <v>0.19252242</v>
      </c>
      <c r="K481">
        <f t="shared" si="14"/>
        <v>3.8888994915020625E-3</v>
      </c>
      <c r="L481">
        <f t="shared" si="15"/>
        <v>2.6953141771232999E-4</v>
      </c>
    </row>
    <row r="482" spans="1:12" x14ac:dyDescent="0.3">
      <c r="A482" s="28">
        <v>45401</v>
      </c>
      <c r="B482" s="29">
        <v>0.19174720049087299</v>
      </c>
      <c r="C482" s="29">
        <v>0.19180604572656099</v>
      </c>
      <c r="D482" s="29">
        <v>0.19177662000000001</v>
      </c>
      <c r="E482" s="30">
        <v>1.2496300000000001E-3</v>
      </c>
      <c r="F482" s="30">
        <v>0.65588082822281002</v>
      </c>
      <c r="G482" s="30">
        <v>4.4818251920373697</v>
      </c>
      <c r="H482" s="29">
        <v>0.19177662000000001</v>
      </c>
      <c r="I482" s="29">
        <v>0.19177662000000001</v>
      </c>
      <c r="K482">
        <f t="shared" si="14"/>
        <v>6.5588082822281013E-3</v>
      </c>
      <c r="L482">
        <f t="shared" si="15"/>
        <v>3.0684259472295793E-4</v>
      </c>
    </row>
    <row r="483" spans="1:12" x14ac:dyDescent="0.3">
      <c r="A483" s="31">
        <v>45400</v>
      </c>
      <c r="B483" s="32">
        <v>0.190487075451931</v>
      </c>
      <c r="C483" s="32">
        <v>0.19056693663649399</v>
      </c>
      <c r="D483" s="32">
        <v>0.19052699000000001</v>
      </c>
      <c r="E483" s="33">
        <v>-3.2545999999999899E-4</v>
      </c>
      <c r="F483" s="33">
        <v>-0.170529642139782</v>
      </c>
      <c r="G483" s="33">
        <v>3.8010142401354901</v>
      </c>
      <c r="H483" s="32">
        <v>0.19052699000000001</v>
      </c>
      <c r="I483" s="32">
        <v>0.19052699000000001</v>
      </c>
      <c r="K483">
        <f t="shared" si="14"/>
        <v>-1.7052964213978283E-3</v>
      </c>
      <c r="L483">
        <f t="shared" si="15"/>
        <v>4.1915943018356824E-4</v>
      </c>
    </row>
    <row r="484" spans="1:12" x14ac:dyDescent="0.3">
      <c r="A484" s="28">
        <v>45399</v>
      </c>
      <c r="B484" s="29">
        <v>0.19082876934526599</v>
      </c>
      <c r="C484" s="29">
        <v>0.19087612139721299</v>
      </c>
      <c r="D484" s="29">
        <v>0.19085245000000001</v>
      </c>
      <c r="E484" s="30">
        <v>1.4620899999999899E-3</v>
      </c>
      <c r="F484" s="30">
        <v>0.77199811014667596</v>
      </c>
      <c r="G484" s="30">
        <v>3.9783281109660402</v>
      </c>
      <c r="H484" s="29">
        <v>0.19085245000000001</v>
      </c>
      <c r="I484" s="29">
        <v>0.19085245000000001</v>
      </c>
      <c r="K484">
        <f t="shared" si="14"/>
        <v>7.7199811014667663E-3</v>
      </c>
      <c r="L484">
        <f t="shared" si="15"/>
        <v>2.4810816914848491E-4</v>
      </c>
    </row>
    <row r="485" spans="1:12" x14ac:dyDescent="0.3">
      <c r="A485" s="31">
        <v>45398</v>
      </c>
      <c r="B485" s="32">
        <v>0.189354490541743</v>
      </c>
      <c r="C485" s="32">
        <v>0.189426227955523</v>
      </c>
      <c r="D485" s="32">
        <v>0.18939036000000001</v>
      </c>
      <c r="E485" s="33">
        <v>-3.6337499999999899E-3</v>
      </c>
      <c r="F485" s="33">
        <v>-1.8825368499302899</v>
      </c>
      <c r="G485" s="33">
        <v>3.18176682109126</v>
      </c>
      <c r="H485" s="32">
        <v>0.18939036000000001</v>
      </c>
      <c r="I485" s="32">
        <v>0.18939036000000001</v>
      </c>
      <c r="K485">
        <f t="shared" si="14"/>
        <v>-1.8825368499302941E-2</v>
      </c>
      <c r="L485">
        <f t="shared" si="15"/>
        <v>3.7878070341066273E-4</v>
      </c>
    </row>
    <row r="486" spans="1:12" x14ac:dyDescent="0.3">
      <c r="A486" s="28">
        <v>45397</v>
      </c>
      <c r="B486" s="29">
        <v>0.19301293186643501</v>
      </c>
      <c r="C486" s="29">
        <v>0.193035286850436</v>
      </c>
      <c r="D486" s="29">
        <v>0.19302411</v>
      </c>
      <c r="E486" s="30">
        <v>-1.3657999999999999E-3</v>
      </c>
      <c r="F486" s="30">
        <v>-0.70260848415434296</v>
      </c>
      <c r="G486" s="30">
        <v>5.16147025048513</v>
      </c>
      <c r="H486" s="29">
        <v>0.19302411</v>
      </c>
      <c r="I486" s="29">
        <v>0.19302411</v>
      </c>
      <c r="K486">
        <f t="shared" si="14"/>
        <v>-7.026084841543434E-3</v>
      </c>
      <c r="L486">
        <f t="shared" si="15"/>
        <v>1.1581446484065646E-4</v>
      </c>
    </row>
    <row r="487" spans="1:12" x14ac:dyDescent="0.3">
      <c r="A487" s="31">
        <v>45394</v>
      </c>
      <c r="B487" s="32">
        <v>0.194367237458454</v>
      </c>
      <c r="C487" s="32">
        <v>0.194412582382332</v>
      </c>
      <c r="D487" s="32">
        <v>0.19438991</v>
      </c>
      <c r="E487" s="33">
        <v>-2.3171999999999902E-3</v>
      </c>
      <c r="F487" s="33">
        <v>-1.1779950404436199</v>
      </c>
      <c r="G487" s="33">
        <v>5.90557178302483</v>
      </c>
      <c r="H487" s="32">
        <v>0.19438991</v>
      </c>
      <c r="I487" s="32">
        <v>0.19438991</v>
      </c>
      <c r="K487">
        <f t="shared" si="14"/>
        <v>-1.1779950404436246E-2</v>
      </c>
      <c r="L487">
        <f t="shared" si="15"/>
        <v>2.3326788863683613E-4</v>
      </c>
    </row>
    <row r="488" spans="1:12" x14ac:dyDescent="0.3">
      <c r="A488" s="28">
        <v>45393</v>
      </c>
      <c r="B488" s="29">
        <v>0.196687777821486</v>
      </c>
      <c r="C488" s="29">
        <v>0.19672647151400699</v>
      </c>
      <c r="D488" s="29">
        <v>0.19670710999999999</v>
      </c>
      <c r="E488" s="30">
        <v>-6.9313000000001401E-4</v>
      </c>
      <c r="F488" s="30">
        <v>-0.35112925901205</v>
      </c>
      <c r="G488" s="30">
        <v>7.1680055736244803</v>
      </c>
      <c r="H488" s="29">
        <v>0.19670710999999999</v>
      </c>
      <c r="I488" s="29">
        <v>0.19670710999999999</v>
      </c>
      <c r="K488">
        <f t="shared" si="14"/>
        <v>-3.5112925901205072E-3</v>
      </c>
      <c r="L488">
        <f t="shared" si="15"/>
        <v>1.967071374338798E-4</v>
      </c>
    </row>
    <row r="489" spans="1:12" x14ac:dyDescent="0.3">
      <c r="A489" s="31">
        <v>45392</v>
      </c>
      <c r="B489" s="32">
        <v>0.19737101803971099</v>
      </c>
      <c r="C489" s="32">
        <v>0.19742946832244199</v>
      </c>
      <c r="D489" s="32">
        <v>0.19740024</v>
      </c>
      <c r="E489" s="33">
        <v>-2.3301299999999802E-3</v>
      </c>
      <c r="F489" s="33">
        <v>-1.16663780275377</v>
      </c>
      <c r="G489" s="33">
        <v>7.5456297464530504</v>
      </c>
      <c r="H489" s="32">
        <v>0.19740024</v>
      </c>
      <c r="I489" s="32">
        <v>0.19740024</v>
      </c>
      <c r="K489">
        <f t="shared" si="14"/>
        <v>-1.1666378027537783E-2</v>
      </c>
      <c r="L489">
        <f t="shared" si="15"/>
        <v>2.9610036305423412E-4</v>
      </c>
    </row>
    <row r="490" spans="1:12" x14ac:dyDescent="0.3">
      <c r="A490" s="28">
        <v>45391</v>
      </c>
      <c r="B490" s="29">
        <v>0.19971640270815399</v>
      </c>
      <c r="C490" s="29">
        <v>0.199744327261106</v>
      </c>
      <c r="D490" s="29">
        <v>0.19973036999999999</v>
      </c>
      <c r="E490" s="30">
        <v>1.40226999999998E-3</v>
      </c>
      <c r="F490" s="30">
        <v>0.707045547252249</v>
      </c>
      <c r="G490" s="30">
        <v>8.8151079306796802</v>
      </c>
      <c r="H490" s="29">
        <v>0.19973036999999999</v>
      </c>
      <c r="I490" s="29">
        <v>0.19973036999999999</v>
      </c>
      <c r="K490">
        <f t="shared" si="14"/>
        <v>7.0704554725224966E-3</v>
      </c>
      <c r="L490">
        <f t="shared" si="15"/>
        <v>1.3981125129844925E-4</v>
      </c>
    </row>
    <row r="491" spans="1:12" x14ac:dyDescent="0.3">
      <c r="A491" s="31">
        <v>45390</v>
      </c>
      <c r="B491" s="32">
        <v>0.19831039543092799</v>
      </c>
      <c r="C491" s="32">
        <v>0.19834579606085301</v>
      </c>
      <c r="D491" s="32">
        <v>0.19832810000000001</v>
      </c>
      <c r="E491" s="33">
        <v>3.65130000000019E-4</v>
      </c>
      <c r="F491" s="33">
        <v>0.18444358558573601</v>
      </c>
      <c r="G491" s="33">
        <v>8.05113717651769</v>
      </c>
      <c r="H491" s="32">
        <v>0.19832810000000001</v>
      </c>
      <c r="I491" s="32">
        <v>0.19832810000000001</v>
      </c>
      <c r="K491">
        <f t="shared" si="14"/>
        <v>1.8444358558573626E-3</v>
      </c>
      <c r="L491">
        <f t="shared" si="15"/>
        <v>1.7849528092599989E-4</v>
      </c>
    </row>
    <row r="492" spans="1:12" x14ac:dyDescent="0.3">
      <c r="A492" s="28">
        <v>45387</v>
      </c>
      <c r="B492" s="29">
        <v>0.197953164281331</v>
      </c>
      <c r="C492" s="29">
        <v>0.19797275894836899</v>
      </c>
      <c r="D492" s="29">
        <v>0.19796296999999999</v>
      </c>
      <c r="E492" s="30">
        <v>-9.6482000000000501E-4</v>
      </c>
      <c r="F492" s="30">
        <v>-0.48501016373830802</v>
      </c>
      <c r="G492" s="30">
        <v>7.8522106919839096</v>
      </c>
      <c r="H492" s="29">
        <v>0.19796296999999999</v>
      </c>
      <c r="I492" s="29">
        <v>0.19796296999999999</v>
      </c>
      <c r="K492">
        <f t="shared" si="14"/>
        <v>-4.8501016373830863E-3</v>
      </c>
      <c r="L492">
        <f t="shared" si="15"/>
        <v>9.89814763740515E-5</v>
      </c>
    </row>
    <row r="493" spans="1:12" x14ac:dyDescent="0.3">
      <c r="A493" s="31">
        <v>45386</v>
      </c>
      <c r="B493" s="32">
        <v>0.198913929942514</v>
      </c>
      <c r="C493" s="32">
        <v>0.19894163052560401</v>
      </c>
      <c r="D493" s="32">
        <v>0.19892778999999999</v>
      </c>
      <c r="E493" s="33">
        <v>2.01731999999998E-3</v>
      </c>
      <c r="F493" s="33">
        <v>1.02448589960706</v>
      </c>
      <c r="G493" s="33">
        <v>8.3778543005832393</v>
      </c>
      <c r="H493" s="32">
        <v>0.19892778999999999</v>
      </c>
      <c r="I493" s="32">
        <v>0.19892778999999999</v>
      </c>
      <c r="K493">
        <f t="shared" si="14"/>
        <v>1.0244858996070638E-2</v>
      </c>
      <c r="L493">
        <f t="shared" si="15"/>
        <v>1.3924943865315314E-4</v>
      </c>
    </row>
    <row r="494" spans="1:12" x14ac:dyDescent="0.3">
      <c r="A494" s="28">
        <v>45385</v>
      </c>
      <c r="B494" s="29">
        <v>0.19690078169610301</v>
      </c>
      <c r="C494" s="29">
        <v>0.19692016856366401</v>
      </c>
      <c r="D494" s="29">
        <v>0.19691047</v>
      </c>
      <c r="E494" s="30">
        <v>-1.10541E-3</v>
      </c>
      <c r="F494" s="30">
        <v>-0.55824310656297205</v>
      </c>
      <c r="G494" s="30">
        <v>7.2787981403672601</v>
      </c>
      <c r="H494" s="29">
        <v>0.19691047</v>
      </c>
      <c r="I494" s="29">
        <v>0.19691047</v>
      </c>
      <c r="K494">
        <f t="shared" si="14"/>
        <v>-5.5824310656297227E-3</v>
      </c>
      <c r="L494">
        <f t="shared" si="15"/>
        <v>9.8455239891537426E-5</v>
      </c>
    </row>
    <row r="495" spans="1:12" x14ac:dyDescent="0.3">
      <c r="A495" s="31">
        <v>45384</v>
      </c>
      <c r="B495" s="32">
        <v>0.19800411848566499</v>
      </c>
      <c r="C495" s="32">
        <v>0.19802764465919401</v>
      </c>
      <c r="D495" s="32">
        <v>0.19801588000000001</v>
      </c>
      <c r="E495" s="33">
        <v>9.9939999999992799E-5</v>
      </c>
      <c r="F495" s="33">
        <v>5.0496185400716799E-2</v>
      </c>
      <c r="G495" s="33">
        <v>7.8810365904219601</v>
      </c>
      <c r="H495" s="32">
        <v>0.19801588000000001</v>
      </c>
      <c r="I495" s="32">
        <v>0.19801588000000001</v>
      </c>
      <c r="K495">
        <f t="shared" si="14"/>
        <v>5.0496185400716875E-4</v>
      </c>
      <c r="L495">
        <f t="shared" si="15"/>
        <v>1.1880952946309367E-4</v>
      </c>
    </row>
    <row r="496" spans="1:12" x14ac:dyDescent="0.3">
      <c r="A496" s="28">
        <v>45383</v>
      </c>
      <c r="B496" s="29">
        <v>0.19790223629527001</v>
      </c>
      <c r="C496" s="29">
        <v>0.19792965580032901</v>
      </c>
      <c r="D496" s="29">
        <v>0.19791594000000001</v>
      </c>
      <c r="E496" s="30">
        <v>-1.8610599999999899E-3</v>
      </c>
      <c r="F496" s="30">
        <v>-0.93156869909949402</v>
      </c>
      <c r="G496" s="30">
        <v>7.8265882764945802</v>
      </c>
      <c r="H496" s="29">
        <v>0.19791594000000001</v>
      </c>
      <c r="I496" s="29">
        <v>0.19791594000000001</v>
      </c>
      <c r="K496">
        <f t="shared" si="14"/>
        <v>-9.3156869909949425E-3</v>
      </c>
      <c r="L496">
        <f t="shared" si="15"/>
        <v>1.3854116580501487E-4</v>
      </c>
    </row>
    <row r="497" spans="1:12" x14ac:dyDescent="0.3">
      <c r="A497" s="31">
        <v>45380</v>
      </c>
      <c r="B497" s="32">
        <v>0.19976427815178099</v>
      </c>
      <c r="C497" s="32">
        <v>0.19979221609526099</v>
      </c>
      <c r="D497" s="32">
        <v>0.19977700000000001</v>
      </c>
      <c r="E497" s="33">
        <v>-1.23999999998569E-6</v>
      </c>
      <c r="F497" s="33">
        <v>-6.2068821908844996E-4</v>
      </c>
      <c r="G497" s="33">
        <v>8.8405124221589109</v>
      </c>
      <c r="H497" s="32">
        <v>0.19977700000000001</v>
      </c>
      <c r="I497" s="32">
        <v>0.19977700000000001</v>
      </c>
      <c r="K497">
        <f t="shared" si="14"/>
        <v>-6.2068821908844996E-6</v>
      </c>
      <c r="L497">
        <f t="shared" si="15"/>
        <v>1.398456452944745E-4</v>
      </c>
    </row>
    <row r="498" spans="1:12" x14ac:dyDescent="0.3">
      <c r="A498" s="28">
        <v>45379</v>
      </c>
      <c r="B498" s="29">
        <v>0.19976427815178099</v>
      </c>
      <c r="C498" s="29">
        <v>0.19979221609526099</v>
      </c>
      <c r="D498" s="29">
        <v>0.19977824</v>
      </c>
      <c r="E498" s="30">
        <v>-1.15408E-3</v>
      </c>
      <c r="F498" s="30">
        <v>-0.57436255152979399</v>
      </c>
      <c r="G498" s="30">
        <v>8.8411879865902705</v>
      </c>
      <c r="H498" s="29">
        <v>0.19977824</v>
      </c>
      <c r="I498" s="29">
        <v>0.19977824</v>
      </c>
      <c r="K498">
        <f t="shared" si="14"/>
        <v>-5.7436255152979454E-3</v>
      </c>
      <c r="L498">
        <f t="shared" si="15"/>
        <v>1.3984477728902923E-4</v>
      </c>
    </row>
    <row r="499" spans="1:12" x14ac:dyDescent="0.3">
      <c r="A499" s="31">
        <v>45378</v>
      </c>
      <c r="B499" s="32">
        <v>0.200916177770634</v>
      </c>
      <c r="C499" s="32">
        <v>0.20094847681054601</v>
      </c>
      <c r="D499" s="32">
        <v>0.20093232</v>
      </c>
      <c r="E499" s="33">
        <v>5.4756999999999701E-4</v>
      </c>
      <c r="F499" s="33">
        <v>0.27325931738817399</v>
      </c>
      <c r="G499" s="33">
        <v>9.4699423405757894</v>
      </c>
      <c r="H499" s="32">
        <v>0.20093232</v>
      </c>
      <c r="I499" s="32">
        <v>0.20093232</v>
      </c>
      <c r="K499">
        <f t="shared" si="14"/>
        <v>2.7325931738817477E-3</v>
      </c>
      <c r="L499">
        <f t="shared" si="15"/>
        <v>1.6074586662814515E-4</v>
      </c>
    </row>
    <row r="500" spans="1:12" x14ac:dyDescent="0.3">
      <c r="A500" s="28">
        <v>45377</v>
      </c>
      <c r="B500" s="29">
        <v>0.200364663687912</v>
      </c>
      <c r="C500" s="29">
        <v>0.20040481773181801</v>
      </c>
      <c r="D500" s="29">
        <v>0.20038475</v>
      </c>
      <c r="E500" s="30">
        <v>-2.1102999999999999E-4</v>
      </c>
      <c r="F500" s="30">
        <v>-0.105201614909344</v>
      </c>
      <c r="G500" s="30">
        <v>9.1716207150282898</v>
      </c>
      <c r="H500" s="29">
        <v>0.20038475</v>
      </c>
      <c r="I500" s="29">
        <v>0.20038475</v>
      </c>
      <c r="K500">
        <f t="shared" si="14"/>
        <v>-1.0520161490934488E-3</v>
      </c>
      <c r="L500">
        <f t="shared" si="15"/>
        <v>2.0038472940682567E-4</v>
      </c>
    </row>
    <row r="501" spans="1:12" x14ac:dyDescent="0.3">
      <c r="A501" s="31">
        <v>45376</v>
      </c>
      <c r="B501" s="32">
        <v>0.20056559497783699</v>
      </c>
      <c r="C501" s="32">
        <v>0.20062595297327701</v>
      </c>
      <c r="D501" s="32">
        <v>0.20059578</v>
      </c>
      <c r="E501" s="33">
        <v>1.54810000000005E-4</v>
      </c>
      <c r="F501" s="33">
        <v>7.7234709051743303E-2</v>
      </c>
      <c r="G501" s="33">
        <v>9.2865919746650292</v>
      </c>
      <c r="H501" s="32">
        <v>0.20059578</v>
      </c>
      <c r="I501" s="32">
        <v>0.20059578</v>
      </c>
      <c r="K501">
        <f t="shared" si="14"/>
        <v>7.7234709051743344E-4</v>
      </c>
      <c r="L501">
        <f t="shared" si="15"/>
        <v>3.0089364512064548E-4</v>
      </c>
    </row>
    <row r="502" spans="1:12" x14ac:dyDescent="0.3">
      <c r="A502" s="28">
        <v>45373</v>
      </c>
      <c r="B502" s="29">
        <v>0.20040481773181801</v>
      </c>
      <c r="C502" s="29">
        <v>0.20047713558268701</v>
      </c>
      <c r="D502" s="29">
        <v>0.20044097</v>
      </c>
      <c r="E502" s="30">
        <v>-4.1065000000001201E-4</v>
      </c>
      <c r="F502" s="30">
        <v>-0.20445441266543299</v>
      </c>
      <c r="G502" s="30">
        <v>9.2022499346500393</v>
      </c>
      <c r="H502" s="29">
        <v>0.20044097</v>
      </c>
      <c r="I502" s="29">
        <v>0.20044097</v>
      </c>
      <c r="K502">
        <f t="shared" si="14"/>
        <v>-2.0445441266543352E-3</v>
      </c>
      <c r="L502">
        <f t="shared" si="15"/>
        <v>3.6079375822718556E-4</v>
      </c>
    </row>
    <row r="503" spans="1:12" x14ac:dyDescent="0.3">
      <c r="A503" s="31">
        <v>45372</v>
      </c>
      <c r="B503" s="32">
        <v>0.20083144217058599</v>
      </c>
      <c r="C503" s="32">
        <v>0.20087178354056601</v>
      </c>
      <c r="D503" s="32">
        <v>0.20085162000000001</v>
      </c>
      <c r="E503" s="33">
        <v>1.0653899999999901E-3</v>
      </c>
      <c r="F503" s="33">
        <v>0.53326498027417202</v>
      </c>
      <c r="G503" s="33">
        <v>9.4259761715349697</v>
      </c>
      <c r="H503" s="32">
        <v>0.20085162000000001</v>
      </c>
      <c r="I503" s="32">
        <v>0.20085162000000001</v>
      </c>
      <c r="K503">
        <f t="shared" si="14"/>
        <v>5.3326498027417291E-3</v>
      </c>
      <c r="L503">
        <f t="shared" si="15"/>
        <v>2.0085160368643349E-4</v>
      </c>
    </row>
    <row r="504" spans="1:12" x14ac:dyDescent="0.3">
      <c r="A504" s="28">
        <v>45371</v>
      </c>
      <c r="B504" s="29">
        <v>0.19975629731727301</v>
      </c>
      <c r="C504" s="29">
        <v>0.199816169124406</v>
      </c>
      <c r="D504" s="29">
        <v>0.19978623000000001</v>
      </c>
      <c r="E504" s="30">
        <v>6.6833000000002198E-4</v>
      </c>
      <c r="F504" s="30">
        <v>0.33564536387740102</v>
      </c>
      <c r="G504" s="30">
        <v>8.8455410186923302</v>
      </c>
      <c r="H504" s="29">
        <v>0.19978623000000001</v>
      </c>
      <c r="I504" s="29">
        <v>0.19978623000000001</v>
      </c>
      <c r="K504">
        <f t="shared" si="14"/>
        <v>3.3564536387740151E-3</v>
      </c>
      <c r="L504">
        <f t="shared" si="15"/>
        <v>2.9967934793598364E-4</v>
      </c>
    </row>
    <row r="505" spans="1:12" x14ac:dyDescent="0.3">
      <c r="A505" s="31">
        <v>45370</v>
      </c>
      <c r="B505" s="32">
        <v>0.199088176153218</v>
      </c>
      <c r="C505" s="32">
        <v>0.199147648066276</v>
      </c>
      <c r="D505" s="32">
        <v>0.19911789999999999</v>
      </c>
      <c r="E505" s="33">
        <v>-7.9330000000016305E-5</v>
      </c>
      <c r="F505" s="33">
        <v>-3.9824850978109602E-2</v>
      </c>
      <c r="G505" s="33">
        <v>8.4814281344909297</v>
      </c>
      <c r="H505" s="32">
        <v>0.19911789999999999</v>
      </c>
      <c r="I505" s="32">
        <v>0.19911789999999999</v>
      </c>
      <c r="K505">
        <f t="shared" si="14"/>
        <v>-3.9824850978109616E-4</v>
      </c>
      <c r="L505">
        <f t="shared" si="15"/>
        <v>2.9867687966775319E-4</v>
      </c>
    </row>
    <row r="506" spans="1:12" x14ac:dyDescent="0.3">
      <c r="A506" s="28">
        <v>45369</v>
      </c>
      <c r="B506" s="29">
        <v>0.19916747993387601</v>
      </c>
      <c r="C506" s="29">
        <v>0.19922699924293699</v>
      </c>
      <c r="D506" s="29">
        <v>0.19919723</v>
      </c>
      <c r="E506" s="30">
        <v>-9.8091999999999602E-4</v>
      </c>
      <c r="F506" s="30">
        <v>-0.49002351155708002</v>
      </c>
      <c r="G506" s="30">
        <v>8.5246479137971107</v>
      </c>
      <c r="H506" s="29">
        <v>0.19919723</v>
      </c>
      <c r="I506" s="29">
        <v>0.19919723</v>
      </c>
      <c r="K506">
        <f t="shared" si="14"/>
        <v>-4.9002351155708057E-3</v>
      </c>
      <c r="L506">
        <f t="shared" si="15"/>
        <v>2.987958670960391E-4</v>
      </c>
    </row>
    <row r="507" spans="1:12" x14ac:dyDescent="0.3">
      <c r="A507" s="31">
        <v>45366</v>
      </c>
      <c r="B507" s="32">
        <v>0.200152115607862</v>
      </c>
      <c r="C507" s="32">
        <v>0.200204208292458</v>
      </c>
      <c r="D507" s="32">
        <v>0.20017815</v>
      </c>
      <c r="E507" s="33">
        <v>-5.6660999999999496E-4</v>
      </c>
      <c r="F507" s="33">
        <v>-0.28225394276791799</v>
      </c>
      <c r="G507" s="33">
        <v>9.0590629638035907</v>
      </c>
      <c r="H507" s="32">
        <v>0.20017815</v>
      </c>
      <c r="I507" s="32">
        <v>0.20017815</v>
      </c>
      <c r="K507">
        <f t="shared" si="14"/>
        <v>-2.8225394276791826E-3</v>
      </c>
      <c r="L507">
        <f t="shared" si="15"/>
        <v>2.6023162166297667E-4</v>
      </c>
    </row>
    <row r="508" spans="1:12" x14ac:dyDescent="0.3">
      <c r="A508" s="28">
        <v>45365</v>
      </c>
      <c r="B508" s="29">
        <v>0.200714543775842</v>
      </c>
      <c r="C508" s="29">
        <v>0.20077499146706301</v>
      </c>
      <c r="D508" s="29">
        <v>0.20074475999999999</v>
      </c>
      <c r="E508" s="30">
        <v>-1.5728000000000901E-4</v>
      </c>
      <c r="F508" s="30">
        <v>-7.8286910376823504E-2</v>
      </c>
      <c r="G508" s="30">
        <v>9.3677577722325793</v>
      </c>
      <c r="H508" s="29">
        <v>0.20074475999999999</v>
      </c>
      <c r="I508" s="29">
        <v>0.20074475999999999</v>
      </c>
      <c r="K508">
        <f t="shared" si="14"/>
        <v>-7.828691037682356E-4</v>
      </c>
      <c r="L508">
        <f t="shared" si="15"/>
        <v>3.0111715603942102E-4</v>
      </c>
    </row>
    <row r="509" spans="1:12" x14ac:dyDescent="0.3">
      <c r="A509" s="31">
        <v>45364</v>
      </c>
      <c r="B509" s="32">
        <v>0.20086774867427301</v>
      </c>
      <c r="C509" s="32">
        <v>0.20093636345369401</v>
      </c>
      <c r="D509" s="32">
        <v>0.20090204</v>
      </c>
      <c r="E509" s="33">
        <v>1.7541000000001399E-4</v>
      </c>
      <c r="F509" s="33">
        <v>8.7387508075043002E-2</v>
      </c>
      <c r="G509" s="33">
        <v>9.4534454930100402</v>
      </c>
      <c r="H509" s="32">
        <v>0.20090204</v>
      </c>
      <c r="I509" s="32">
        <v>0.20090204</v>
      </c>
      <c r="K509">
        <f t="shared" si="14"/>
        <v>8.738750807504303E-4</v>
      </c>
      <c r="L509">
        <f t="shared" si="15"/>
        <v>3.4153351265619097E-4</v>
      </c>
    </row>
    <row r="510" spans="1:12" x14ac:dyDescent="0.3">
      <c r="A510" s="28">
        <v>45363</v>
      </c>
      <c r="B510" s="29">
        <v>0.20070245860511801</v>
      </c>
      <c r="C510" s="29">
        <v>0.20075080802200199</v>
      </c>
      <c r="D510" s="29">
        <v>0.20072662999999999</v>
      </c>
      <c r="E510" s="30">
        <v>-5.5756000000001195E-4</v>
      </c>
      <c r="F510" s="30">
        <v>-0.27700138793812501</v>
      </c>
      <c r="G510" s="30">
        <v>9.3578803664740899</v>
      </c>
      <c r="H510" s="29">
        <v>0.20072662999999999</v>
      </c>
      <c r="I510" s="29">
        <v>0.20072662999999999</v>
      </c>
      <c r="K510">
        <f t="shared" si="14"/>
        <v>-2.7700138793812501E-3</v>
      </c>
      <c r="L510">
        <f t="shared" si="15"/>
        <v>2.4087196045674097E-4</v>
      </c>
    </row>
    <row r="511" spans="1:12" x14ac:dyDescent="0.3">
      <c r="A511" s="31">
        <v>45362</v>
      </c>
      <c r="B511" s="32">
        <v>0.20125988689194399</v>
      </c>
      <c r="C511" s="32">
        <v>0.20130850528434799</v>
      </c>
      <c r="D511" s="32">
        <v>0.20128419</v>
      </c>
      <c r="E511" s="33">
        <v>1.4169999999999401E-4</v>
      </c>
      <c r="F511" s="33">
        <v>7.0447571768639194E-2</v>
      </c>
      <c r="G511" s="33">
        <v>9.6616446441742294</v>
      </c>
      <c r="H511" s="32">
        <v>0.20128419</v>
      </c>
      <c r="I511" s="32">
        <v>0.20128419</v>
      </c>
      <c r="K511">
        <f t="shared" si="14"/>
        <v>7.044757176863925E-4</v>
      </c>
      <c r="L511">
        <f t="shared" si="15"/>
        <v>2.4154103908507893E-4</v>
      </c>
    </row>
    <row r="512" spans="1:12" x14ac:dyDescent="0.3">
      <c r="A512" s="28">
        <v>45359</v>
      </c>
      <c r="B512" s="29">
        <v>0.20111417251573699</v>
      </c>
      <c r="C512" s="29">
        <v>0.201170814138285</v>
      </c>
      <c r="D512" s="29">
        <v>0.20114249000000001</v>
      </c>
      <c r="E512" s="30">
        <v>-1.49996999999998E-3</v>
      </c>
      <c r="F512" s="30">
        <v>-0.740205187007692</v>
      </c>
      <c r="G512" s="30">
        <v>9.5844450635907794</v>
      </c>
      <c r="H512" s="29">
        <v>0.20114249000000001</v>
      </c>
      <c r="I512" s="29">
        <v>0.20114249000000001</v>
      </c>
      <c r="K512">
        <f t="shared" si="14"/>
        <v>-7.40205187007692E-3</v>
      </c>
      <c r="L512">
        <f t="shared" si="15"/>
        <v>2.8159948973491034E-4</v>
      </c>
    </row>
    <row r="513" spans="1:12" x14ac:dyDescent="0.3">
      <c r="A513" s="31">
        <v>45358</v>
      </c>
      <c r="B513" s="32">
        <v>0.202621927745021</v>
      </c>
      <c r="C513" s="32">
        <v>0.20266299171108401</v>
      </c>
      <c r="D513" s="32">
        <v>0.20264246</v>
      </c>
      <c r="E513" s="33">
        <v>1.76419999999982E-4</v>
      </c>
      <c r="F513" s="33">
        <v>8.7135600617260695E-2</v>
      </c>
      <c r="G513" s="33">
        <v>10.4016437572235</v>
      </c>
      <c r="H513" s="32">
        <v>0.20264246</v>
      </c>
      <c r="I513" s="32">
        <v>0.20264246</v>
      </c>
      <c r="K513">
        <f t="shared" si="14"/>
        <v>8.7135600617260778E-4</v>
      </c>
      <c r="L513">
        <f t="shared" si="15"/>
        <v>2.0264245737549382E-4</v>
      </c>
    </row>
    <row r="514" spans="1:12" x14ac:dyDescent="0.3">
      <c r="A514" s="28">
        <v>45357</v>
      </c>
      <c r="B514" s="29">
        <v>0.20244554214916199</v>
      </c>
      <c r="C514" s="29">
        <v>0.202486534645446</v>
      </c>
      <c r="D514" s="29">
        <v>0.20246604000000001</v>
      </c>
      <c r="E514" s="30">
        <v>2.1702000000001201E-4</v>
      </c>
      <c r="F514" s="30">
        <v>0.107303362953259</v>
      </c>
      <c r="G514" s="30">
        <v>10.305528372562</v>
      </c>
      <c r="H514" s="29">
        <v>0.20246604000000001</v>
      </c>
      <c r="I514" s="29">
        <v>0.20246604000000001</v>
      </c>
      <c r="K514">
        <f t="shared" si="14"/>
        <v>1.0730336295325937E-3</v>
      </c>
      <c r="L514">
        <f t="shared" si="15"/>
        <v>2.0246603471872905E-4</v>
      </c>
    </row>
    <row r="515" spans="1:12" x14ac:dyDescent="0.3">
      <c r="A515" s="31">
        <v>45356</v>
      </c>
      <c r="B515" s="32">
        <v>0.20223264843876401</v>
      </c>
      <c r="C515" s="32">
        <v>0.202265372168285</v>
      </c>
      <c r="D515" s="32">
        <v>0.20224902</v>
      </c>
      <c r="E515" s="33">
        <v>7.1559999999998197E-5</v>
      </c>
      <c r="F515" s="33">
        <v>3.5394647850450697E-2</v>
      </c>
      <c r="G515" s="33">
        <v>10.1872937008738</v>
      </c>
      <c r="H515" s="32">
        <v>0.20224902</v>
      </c>
      <c r="I515" s="32">
        <v>0.20224902</v>
      </c>
      <c r="K515">
        <f t="shared" si="14"/>
        <v>3.5394647850450767E-4</v>
      </c>
      <c r="L515">
        <f t="shared" si="15"/>
        <v>1.6179919942743693E-4</v>
      </c>
    </row>
    <row r="516" spans="1:12" x14ac:dyDescent="0.3">
      <c r="A516" s="28">
        <v>45355</v>
      </c>
      <c r="B516" s="29">
        <v>0.202150885420878</v>
      </c>
      <c r="C516" s="29">
        <v>0.20220402386007499</v>
      </c>
      <c r="D516" s="29">
        <v>0.20217746</v>
      </c>
      <c r="E516" s="30">
        <v>1.2257000000001601E-4</v>
      </c>
      <c r="F516" s="30">
        <v>6.0661734046640797E-2</v>
      </c>
      <c r="G516" s="30">
        <v>10.1483070954641</v>
      </c>
      <c r="H516" s="29">
        <v>0.20217746</v>
      </c>
      <c r="I516" s="29">
        <v>0.20217746</v>
      </c>
      <c r="K516">
        <f t="shared" si="14"/>
        <v>6.0661734046640881E-4</v>
      </c>
      <c r="L516">
        <f t="shared" si="15"/>
        <v>2.6283067952773993E-4</v>
      </c>
    </row>
    <row r="517" spans="1:12" x14ac:dyDescent="0.3">
      <c r="A517" s="31">
        <v>45352</v>
      </c>
      <c r="B517" s="32">
        <v>0.202024283318855</v>
      </c>
      <c r="C517" s="32">
        <v>0.20208552259316101</v>
      </c>
      <c r="D517" s="32">
        <v>0.20205488999999999</v>
      </c>
      <c r="E517" s="33">
        <v>7.9296999999997598E-4</v>
      </c>
      <c r="F517" s="33">
        <v>0.393999023759672</v>
      </c>
      <c r="G517" s="33">
        <v>10.0815297306644</v>
      </c>
      <c r="H517" s="32">
        <v>0.20205488999999999</v>
      </c>
      <c r="I517" s="32">
        <v>0.20205488999999999</v>
      </c>
      <c r="K517">
        <f t="shared" ref="K517:K580" si="16">D517/D518-1</f>
        <v>3.9399902375967244E-3</v>
      </c>
      <c r="L517">
        <f t="shared" ref="L517:L580" si="17">(C517-B517)/D517</f>
        <v>3.0308236690541397E-4</v>
      </c>
    </row>
    <row r="518" spans="1:12" x14ac:dyDescent="0.3">
      <c r="A518" s="28">
        <v>45351</v>
      </c>
      <c r="B518" s="29">
        <v>0.20123963615873799</v>
      </c>
      <c r="C518" s="29">
        <v>0.201284193152312</v>
      </c>
      <c r="D518" s="29">
        <v>0.20126192000000001</v>
      </c>
      <c r="E518" s="30">
        <v>-5.2183999999999499E-4</v>
      </c>
      <c r="F518" s="30">
        <v>-0.258613478111413</v>
      </c>
      <c r="G518" s="30">
        <v>9.64951172491104</v>
      </c>
      <c r="H518" s="29">
        <v>0.20126192000000001</v>
      </c>
      <c r="I518" s="29">
        <v>0.20126192000000001</v>
      </c>
      <c r="K518">
        <f t="shared" si="16"/>
        <v>-2.5861347811141355E-3</v>
      </c>
      <c r="L518">
        <f t="shared" si="17"/>
        <v>2.2138809752983576E-4</v>
      </c>
    </row>
    <row r="519" spans="1:12" x14ac:dyDescent="0.3">
      <c r="A519" s="31">
        <v>45350</v>
      </c>
      <c r="B519" s="32">
        <v>0.20175120041964301</v>
      </c>
      <c r="C519" s="32">
        <v>0.201816347124117</v>
      </c>
      <c r="D519" s="32">
        <v>0.20178376000000001</v>
      </c>
      <c r="E519" s="33">
        <v>-4.4684000000000298E-4</v>
      </c>
      <c r="F519" s="33">
        <v>-0.220955681286616</v>
      </c>
      <c r="G519" s="33">
        <v>9.9338153885078508</v>
      </c>
      <c r="H519" s="32">
        <v>0.20178376000000001</v>
      </c>
      <c r="I519" s="32">
        <v>0.20178376000000001</v>
      </c>
      <c r="K519">
        <f t="shared" si="16"/>
        <v>-2.2095568128661647E-3</v>
      </c>
      <c r="L519">
        <f t="shared" si="17"/>
        <v>3.2285405165408289E-4</v>
      </c>
    </row>
    <row r="520" spans="1:12" x14ac:dyDescent="0.3">
      <c r="A520" s="28">
        <v>45349</v>
      </c>
      <c r="B520" s="29">
        <v>0.20220402386007499</v>
      </c>
      <c r="C520" s="29">
        <v>0.20225719024311301</v>
      </c>
      <c r="D520" s="29">
        <v>0.20223060000000001</v>
      </c>
      <c r="E520" s="30">
        <v>1.43544000000001E-3</v>
      </c>
      <c r="F520" s="30">
        <v>0.71487778888694697</v>
      </c>
      <c r="G520" s="30">
        <v>10.1772583002079</v>
      </c>
      <c r="H520" s="29">
        <v>0.20223060000000001</v>
      </c>
      <c r="I520" s="29">
        <v>0.20223060000000001</v>
      </c>
      <c r="K520">
        <f t="shared" si="16"/>
        <v>7.1487778888694731E-3</v>
      </c>
      <c r="L520">
        <f t="shared" si="17"/>
        <v>2.6289979378991783E-4</v>
      </c>
    </row>
    <row r="521" spans="1:12" x14ac:dyDescent="0.3">
      <c r="A521" s="31">
        <v>45348</v>
      </c>
      <c r="B521" s="32">
        <v>0.2007548381916</v>
      </c>
      <c r="C521" s="32">
        <v>0.200835475578406</v>
      </c>
      <c r="D521" s="32">
        <v>0.20079516</v>
      </c>
      <c r="E521" s="33">
        <v>3.9035000000001098E-4</v>
      </c>
      <c r="F521" s="33">
        <v>0.19478075401484399</v>
      </c>
      <c r="G521" s="33">
        <v>9.3952161975071498</v>
      </c>
      <c r="H521" s="32">
        <v>0.20079516</v>
      </c>
      <c r="I521" s="32">
        <v>0.20079516</v>
      </c>
      <c r="K521">
        <f t="shared" si="16"/>
        <v>1.9478075401484496E-3</v>
      </c>
      <c r="L521">
        <f t="shared" si="17"/>
        <v>4.0159029134964413E-4</v>
      </c>
    </row>
    <row r="522" spans="1:12" x14ac:dyDescent="0.3">
      <c r="A522" s="28">
        <v>45345</v>
      </c>
      <c r="B522" s="29">
        <v>0.20038473869830101</v>
      </c>
      <c r="C522" s="29">
        <v>0.20042490078967401</v>
      </c>
      <c r="D522" s="29">
        <v>0.20040480999999999</v>
      </c>
      <c r="E522" s="30">
        <v>-1.8666900000000001E-3</v>
      </c>
      <c r="F522" s="30">
        <v>-0.92286357692507004</v>
      </c>
      <c r="G522" s="30">
        <v>9.1825496041355894</v>
      </c>
      <c r="H522" s="29">
        <v>0.20040480999999999</v>
      </c>
      <c r="I522" s="29">
        <v>0.20040480999999999</v>
      </c>
      <c r="K522">
        <f t="shared" si="16"/>
        <v>-9.2286357692507037E-3</v>
      </c>
      <c r="L522">
        <f t="shared" si="17"/>
        <v>2.0040482747396508E-4</v>
      </c>
    </row>
    <row r="523" spans="1:12" x14ac:dyDescent="0.3">
      <c r="A523" s="31">
        <v>45344</v>
      </c>
      <c r="B523" s="32">
        <v>0.20224900897985601</v>
      </c>
      <c r="C523" s="32">
        <v>0.20229401412012199</v>
      </c>
      <c r="D523" s="32">
        <v>0.20227149999999999</v>
      </c>
      <c r="E523" s="33">
        <v>-4.0587000000000202E-4</v>
      </c>
      <c r="F523" s="33">
        <v>-0.20025422670523199</v>
      </c>
      <c r="G523" s="33">
        <v>10.199541030242299</v>
      </c>
      <c r="H523" s="32">
        <v>0.20227149999999999</v>
      </c>
      <c r="I523" s="32">
        <v>0.20227149999999999</v>
      </c>
      <c r="K523">
        <f t="shared" si="16"/>
        <v>-2.0025422670523207E-3</v>
      </c>
      <c r="L523">
        <f t="shared" si="17"/>
        <v>2.22498672655219E-4</v>
      </c>
    </row>
    <row r="524" spans="1:12" x14ac:dyDescent="0.3">
      <c r="A524" s="28">
        <v>45343</v>
      </c>
      <c r="B524" s="29">
        <v>0.20265888456549899</v>
      </c>
      <c r="C524" s="29">
        <v>0.20269585486976799</v>
      </c>
      <c r="D524" s="29">
        <v>0.20267737</v>
      </c>
      <c r="E524" s="30">
        <v>4.9290000000007302E-5</v>
      </c>
      <c r="F524" s="30">
        <v>2.4325355103793599E-2</v>
      </c>
      <c r="G524" s="30">
        <v>10.420663075206299</v>
      </c>
      <c r="H524" s="29">
        <v>0.20267737</v>
      </c>
      <c r="I524" s="29">
        <v>0.20267737</v>
      </c>
      <c r="K524">
        <f t="shared" si="16"/>
        <v>2.4325355103793633E-4</v>
      </c>
      <c r="L524">
        <f t="shared" si="17"/>
        <v>1.8240963097654252E-4</v>
      </c>
    </row>
    <row r="525" spans="1:12" x14ac:dyDescent="0.3">
      <c r="A525" s="31">
        <v>45342</v>
      </c>
      <c r="B525" s="32">
        <v>0.20259729735205301</v>
      </c>
      <c r="C525" s="32">
        <v>0.20265888456549899</v>
      </c>
      <c r="D525" s="32">
        <v>0.20262807999999999</v>
      </c>
      <c r="E525" s="33">
        <v>1.0497199999999699E-3</v>
      </c>
      <c r="F525" s="33">
        <v>0.520750342447451</v>
      </c>
      <c r="G525" s="33">
        <v>10.3938093890598</v>
      </c>
      <c r="H525" s="32">
        <v>0.20262807999999999</v>
      </c>
      <c r="I525" s="32">
        <v>0.20262807999999999</v>
      </c>
      <c r="K525">
        <f t="shared" si="16"/>
        <v>5.2075034244745133E-3</v>
      </c>
      <c r="L525">
        <f t="shared" si="17"/>
        <v>3.0394214585651184E-4</v>
      </c>
    </row>
    <row r="526" spans="1:12" x14ac:dyDescent="0.3">
      <c r="A526" s="28">
        <v>45341</v>
      </c>
      <c r="B526" s="29">
        <v>0.201564137708619</v>
      </c>
      <c r="C526" s="29">
        <v>0.20159258139300501</v>
      </c>
      <c r="D526" s="29">
        <v>0.20157836000000001</v>
      </c>
      <c r="E526" s="30">
        <v>1.6850000000001499E-4</v>
      </c>
      <c r="F526" s="30">
        <v>8.3660253773087903E-2</v>
      </c>
      <c r="G526" s="30">
        <v>9.8219114093134898</v>
      </c>
      <c r="H526" s="29">
        <v>0.20157836000000001</v>
      </c>
      <c r="I526" s="29">
        <v>0.20157836000000001</v>
      </c>
      <c r="K526">
        <f t="shared" si="16"/>
        <v>8.3660253773087945E-4</v>
      </c>
      <c r="L526">
        <f t="shared" si="17"/>
        <v>1.4110485066953215E-4</v>
      </c>
    </row>
    <row r="527" spans="1:12" x14ac:dyDescent="0.3">
      <c r="A527" s="31">
        <v>45338</v>
      </c>
      <c r="B527" s="32">
        <v>0.20138147693175201</v>
      </c>
      <c r="C527" s="32">
        <v>0.201438269242391</v>
      </c>
      <c r="D527" s="32">
        <v>0.20140986</v>
      </c>
      <c r="E527" s="33">
        <v>5.25980000000009E-4</v>
      </c>
      <c r="F527" s="33">
        <v>0.26183285587675298</v>
      </c>
      <c r="G527" s="33">
        <v>9.7301109200522902</v>
      </c>
      <c r="H527" s="32">
        <v>0.20140986</v>
      </c>
      <c r="I527" s="32">
        <v>0.20140986</v>
      </c>
      <c r="K527">
        <f t="shared" si="16"/>
        <v>2.6183285587675353E-3</v>
      </c>
      <c r="L527">
        <f t="shared" si="17"/>
        <v>2.8197383503958899E-4</v>
      </c>
    </row>
    <row r="528" spans="1:12" x14ac:dyDescent="0.3">
      <c r="A528" s="28">
        <v>45337</v>
      </c>
      <c r="B528" s="29">
        <v>0.200863713970071</v>
      </c>
      <c r="C528" s="29">
        <v>0.200904068307383</v>
      </c>
      <c r="D528" s="29">
        <v>0.20088387999999999</v>
      </c>
      <c r="E528" s="30">
        <v>-4.9555000000001104E-4</v>
      </c>
      <c r="F528" s="30">
        <v>-0.24607776474490001</v>
      </c>
      <c r="G528" s="30">
        <v>9.4435517429507794</v>
      </c>
      <c r="H528" s="29">
        <v>0.20088387999999999</v>
      </c>
      <c r="I528" s="29">
        <v>0.20088387999999999</v>
      </c>
      <c r="K528">
        <f t="shared" si="16"/>
        <v>-2.4607776474490084E-3</v>
      </c>
      <c r="L528">
        <f t="shared" si="17"/>
        <v>2.0088390025125018E-4</v>
      </c>
    </row>
    <row r="529" spans="1:12" x14ac:dyDescent="0.3">
      <c r="A529" s="31">
        <v>45336</v>
      </c>
      <c r="B529" s="32">
        <v>0.20136931131695501</v>
      </c>
      <c r="C529" s="32">
        <v>0.201389588158292</v>
      </c>
      <c r="D529" s="32">
        <v>0.20137943</v>
      </c>
      <c r="E529" s="33">
        <v>-4.6544000000001102E-4</v>
      </c>
      <c r="F529" s="33">
        <v>-0.230592930105189</v>
      </c>
      <c r="G529" s="33">
        <v>9.7135323509827494</v>
      </c>
      <c r="H529" s="32">
        <v>0.20137943</v>
      </c>
      <c r="I529" s="32">
        <v>0.20137943</v>
      </c>
      <c r="K529">
        <f t="shared" si="16"/>
        <v>-2.30592930105189E-3</v>
      </c>
      <c r="L529">
        <f t="shared" si="17"/>
        <v>1.0068973448274146E-4</v>
      </c>
    </row>
    <row r="530" spans="1:12" x14ac:dyDescent="0.3">
      <c r="A530" s="28">
        <v>45335</v>
      </c>
      <c r="B530" s="29">
        <v>0.201824493420522</v>
      </c>
      <c r="C530" s="29">
        <v>0.20186523476926799</v>
      </c>
      <c r="D530" s="29">
        <v>0.20184487000000001</v>
      </c>
      <c r="E530" s="30"/>
      <c r="F530" s="30"/>
      <c r="G530" s="30">
        <v>9.9671087291532601</v>
      </c>
      <c r="H530" s="29">
        <v>0.20184487000000001</v>
      </c>
      <c r="I530" s="29">
        <v>0.20184487000000001</v>
      </c>
      <c r="K530">
        <f t="shared" si="16"/>
        <v>0</v>
      </c>
      <c r="L530">
        <f t="shared" si="17"/>
        <v>2.0184485613128209E-4</v>
      </c>
    </row>
    <row r="531" spans="1:12" x14ac:dyDescent="0.3">
      <c r="A531" s="31">
        <v>45334</v>
      </c>
      <c r="B531" s="32">
        <v>0.201824493420522</v>
      </c>
      <c r="C531" s="32">
        <v>0.20186523476926799</v>
      </c>
      <c r="D531" s="32">
        <v>0.20184487000000001</v>
      </c>
      <c r="E531" s="33">
        <v>4.83659999999996E-4</v>
      </c>
      <c r="F531" s="33">
        <v>0.24019521932749899</v>
      </c>
      <c r="G531" s="33">
        <v>9.9671087291532601</v>
      </c>
      <c r="H531" s="32">
        <v>0.20184487000000001</v>
      </c>
      <c r="I531" s="32">
        <v>0.20184487000000001</v>
      </c>
      <c r="K531">
        <f t="shared" si="16"/>
        <v>2.4019521932749921E-3</v>
      </c>
      <c r="L531">
        <f t="shared" si="17"/>
        <v>2.0184485613128209E-4</v>
      </c>
    </row>
    <row r="532" spans="1:12" x14ac:dyDescent="0.3">
      <c r="A532" s="28">
        <v>45331</v>
      </c>
      <c r="B532" s="29">
        <v>0.20132066355290701</v>
      </c>
      <c r="C532" s="29">
        <v>0.20140175622331399</v>
      </c>
      <c r="D532" s="29">
        <v>0.20136121000000001</v>
      </c>
      <c r="E532" s="30">
        <v>7.8757000000001499E-4</v>
      </c>
      <c r="F532" s="30">
        <v>0.392658776098397</v>
      </c>
      <c r="G532" s="30">
        <v>9.70360591232199</v>
      </c>
      <c r="H532" s="29">
        <v>0.20136121000000001</v>
      </c>
      <c r="I532" s="29">
        <v>0.20136121000000001</v>
      </c>
      <c r="K532">
        <f t="shared" si="16"/>
        <v>3.9265877609839794E-3</v>
      </c>
      <c r="L532">
        <f t="shared" si="17"/>
        <v>4.0272240322247147E-4</v>
      </c>
    </row>
    <row r="533" spans="1:12" x14ac:dyDescent="0.3">
      <c r="A533" s="31">
        <v>45330</v>
      </c>
      <c r="B533" s="32">
        <v>0.20053341889425899</v>
      </c>
      <c r="C533" s="32">
        <v>0.20061387846811199</v>
      </c>
      <c r="D533" s="32">
        <v>0.20057364</v>
      </c>
      <c r="E533" s="33">
        <v>-9.5801000000000902E-4</v>
      </c>
      <c r="F533" s="33">
        <v>-0.47536453951526603</v>
      </c>
      <c r="G533" s="33">
        <v>9.2745298807051295</v>
      </c>
      <c r="H533" s="32">
        <v>0.20057364</v>
      </c>
      <c r="I533" s="32">
        <v>0.20057364</v>
      </c>
      <c r="K533">
        <f t="shared" si="16"/>
        <v>-4.7536453951526614E-3</v>
      </c>
      <c r="L533">
        <f t="shared" si="17"/>
        <v>4.0114729858319292E-4</v>
      </c>
    </row>
    <row r="534" spans="1:12" x14ac:dyDescent="0.3">
      <c r="A534" s="28">
        <v>45329</v>
      </c>
      <c r="B534" s="29">
        <v>0.20150727441260599</v>
      </c>
      <c r="C534" s="29">
        <v>0.20155601241585</v>
      </c>
      <c r="D534" s="29">
        <v>0.20153165000000001</v>
      </c>
      <c r="E534" s="30">
        <v>-1.82929999999997E-4</v>
      </c>
      <c r="F534" s="30">
        <v>-9.0687544747636295E-2</v>
      </c>
      <c r="G534" s="30">
        <v>9.7964633330322393</v>
      </c>
      <c r="H534" s="29">
        <v>0.20153165000000001</v>
      </c>
      <c r="I534" s="29">
        <v>0.20153165000000001</v>
      </c>
      <c r="K534">
        <f t="shared" si="16"/>
        <v>-9.0687544747636295E-4</v>
      </c>
      <c r="L534">
        <f t="shared" si="17"/>
        <v>2.4183796065783606E-4</v>
      </c>
    </row>
    <row r="535" spans="1:12" x14ac:dyDescent="0.3">
      <c r="A535" s="31">
        <v>45328</v>
      </c>
      <c r="B535" s="32">
        <v>0.20168609576055799</v>
      </c>
      <c r="C535" s="32">
        <v>0.20174306003873499</v>
      </c>
      <c r="D535" s="32">
        <v>0.20171458</v>
      </c>
      <c r="E535" s="33">
        <v>2.10779999999999E-3</v>
      </c>
      <c r="F535" s="33">
        <v>1.0559761547177899</v>
      </c>
      <c r="G535" s="33">
        <v>9.8961254309583602</v>
      </c>
      <c r="H535" s="32">
        <v>0.20171458</v>
      </c>
      <c r="I535" s="32">
        <v>0.20171458</v>
      </c>
      <c r="K535">
        <f t="shared" si="16"/>
        <v>1.055976154717797E-2</v>
      </c>
      <c r="L535">
        <f t="shared" si="17"/>
        <v>2.8240040049163474E-4</v>
      </c>
    </row>
    <row r="536" spans="1:12" x14ac:dyDescent="0.3">
      <c r="A536" s="28">
        <v>45327</v>
      </c>
      <c r="B536" s="29">
        <v>0.19959283062552399</v>
      </c>
      <c r="C536" s="29">
        <v>0.199620720630801</v>
      </c>
      <c r="D536" s="29">
        <v>0.19960678000000001</v>
      </c>
      <c r="E536" s="30">
        <v>-1.65106999999997E-3</v>
      </c>
      <c r="F536" s="30">
        <v>-0.82037545367794595</v>
      </c>
      <c r="G536" s="30">
        <v>8.7477748596542195</v>
      </c>
      <c r="H536" s="29">
        <v>0.19960678000000001</v>
      </c>
      <c r="I536" s="29">
        <v>0.19960678000000001</v>
      </c>
      <c r="K536">
        <f t="shared" si="16"/>
        <v>-8.2037545367794618E-3</v>
      </c>
      <c r="L536">
        <f t="shared" si="17"/>
        <v>1.3972473919474925E-4</v>
      </c>
    </row>
    <row r="537" spans="1:12" x14ac:dyDescent="0.3">
      <c r="A537" s="31">
        <v>45324</v>
      </c>
      <c r="B537" s="32">
        <v>0.20124773596296999</v>
      </c>
      <c r="C537" s="32">
        <v>0.20126798832645701</v>
      </c>
      <c r="D537" s="32">
        <v>0.20125784999999999</v>
      </c>
      <c r="E537" s="33">
        <v>-2.0975100000000199E-3</v>
      </c>
      <c r="F537" s="33">
        <v>-1.03145056024096</v>
      </c>
      <c r="G537" s="33">
        <v>9.6472943481081099</v>
      </c>
      <c r="H537" s="32">
        <v>0.20125784999999999</v>
      </c>
      <c r="I537" s="32">
        <v>0.20125784999999999</v>
      </c>
      <c r="K537">
        <f t="shared" si="16"/>
        <v>-1.0314505602409652E-2</v>
      </c>
      <c r="L537">
        <f t="shared" si="17"/>
        <v>1.0062893689372437E-4</v>
      </c>
    </row>
    <row r="538" spans="1:12" x14ac:dyDescent="0.3">
      <c r="A538" s="28">
        <v>45323</v>
      </c>
      <c r="B538" s="29">
        <v>0.203334688897926</v>
      </c>
      <c r="C538" s="29">
        <v>0.20337604230221701</v>
      </c>
      <c r="D538" s="29">
        <v>0.20335536000000001</v>
      </c>
      <c r="E538" s="30">
        <v>9.7128000000001804E-4</v>
      </c>
      <c r="F538" s="30">
        <v>0.47991917150795799</v>
      </c>
      <c r="G538" s="30">
        <v>10.790038824251999</v>
      </c>
      <c r="H538" s="29">
        <v>0.20335536000000001</v>
      </c>
      <c r="I538" s="29">
        <v>0.20335536000000001</v>
      </c>
      <c r="K538">
        <f t="shared" si="16"/>
        <v>4.7991917150795871E-3</v>
      </c>
      <c r="L538">
        <f t="shared" si="17"/>
        <v>2.0335536909876043E-4</v>
      </c>
    </row>
    <row r="539" spans="1:12" x14ac:dyDescent="0.3">
      <c r="A539" s="31">
        <v>45322</v>
      </c>
      <c r="B539" s="32">
        <v>0.20234722784297901</v>
      </c>
      <c r="C539" s="32">
        <v>0.20242095461722201</v>
      </c>
      <c r="D539" s="32">
        <v>0.20238407999999999</v>
      </c>
      <c r="E539" s="33">
        <v>1.15861999999999E-3</v>
      </c>
      <c r="F539" s="33">
        <v>0.57578201088470604</v>
      </c>
      <c r="G539" s="33">
        <v>10.260875742889301</v>
      </c>
      <c r="H539" s="32">
        <v>0.20238407999999999</v>
      </c>
      <c r="I539" s="32">
        <v>0.20238407999999999</v>
      </c>
      <c r="K539">
        <f t="shared" si="16"/>
        <v>5.7578201088470671E-3</v>
      </c>
      <c r="L539">
        <f t="shared" si="17"/>
        <v>3.6429137234015256E-4</v>
      </c>
    </row>
    <row r="540" spans="1:12" x14ac:dyDescent="0.3">
      <c r="A540" s="28">
        <v>45321</v>
      </c>
      <c r="B540" s="29">
        <v>0.20119509888739101</v>
      </c>
      <c r="C540" s="29">
        <v>0.20125583641925601</v>
      </c>
      <c r="D540" s="29">
        <v>0.20122545999999999</v>
      </c>
      <c r="E540" s="30">
        <v>-9.2133999999999196E-4</v>
      </c>
      <c r="F540" s="30">
        <v>-0.45577768235757199</v>
      </c>
      <c r="G540" s="30">
        <v>9.6296479513889999</v>
      </c>
      <c r="H540" s="29">
        <v>0.20122545999999999</v>
      </c>
      <c r="I540" s="29">
        <v>0.20122545999999999</v>
      </c>
      <c r="K540">
        <f t="shared" si="16"/>
        <v>-4.557776823575721E-3</v>
      </c>
      <c r="L540">
        <f t="shared" si="17"/>
        <v>3.0183820608486442E-4</v>
      </c>
    </row>
    <row r="541" spans="1:12" x14ac:dyDescent="0.3">
      <c r="A541" s="31">
        <v>45320</v>
      </c>
      <c r="B541" s="32">
        <v>0.202114113628555</v>
      </c>
      <c r="C541" s="32">
        <v>0.20217949495562201</v>
      </c>
      <c r="D541" s="32">
        <v>0.20214679999999999</v>
      </c>
      <c r="E541" s="33">
        <v>-1.1899500000000199E-3</v>
      </c>
      <c r="F541" s="33">
        <v>-0.58521147800386597</v>
      </c>
      <c r="G541" s="33">
        <v>10.131603220088699</v>
      </c>
      <c r="H541" s="32">
        <v>0.20214679999999999</v>
      </c>
      <c r="I541" s="32">
        <v>0.20214679999999999</v>
      </c>
      <c r="K541">
        <f t="shared" si="16"/>
        <v>-5.8521147800386641E-3</v>
      </c>
      <c r="L541">
        <f t="shared" si="17"/>
        <v>3.2343488527651989E-4</v>
      </c>
    </row>
    <row r="542" spans="1:12" x14ac:dyDescent="0.3">
      <c r="A542" s="28">
        <v>45317</v>
      </c>
      <c r="B542" s="29">
        <v>0.20325616374316499</v>
      </c>
      <c r="C542" s="29">
        <v>0.20341741253051299</v>
      </c>
      <c r="D542" s="29">
        <v>0.20333675000000001</v>
      </c>
      <c r="E542" s="30">
        <v>1.6112000000001399E-4</v>
      </c>
      <c r="F542" s="30">
        <v>7.9300849220942299E-2</v>
      </c>
      <c r="G542" s="30">
        <v>10.779899909681401</v>
      </c>
      <c r="H542" s="29">
        <v>0.20333675000000001</v>
      </c>
      <c r="I542" s="29">
        <v>0.20333675000000001</v>
      </c>
      <c r="K542">
        <f t="shared" si="16"/>
        <v>7.9300849220942382E-4</v>
      </c>
      <c r="L542">
        <f t="shared" si="17"/>
        <v>7.9301349779611939E-4</v>
      </c>
    </row>
    <row r="543" spans="1:12" x14ac:dyDescent="0.3">
      <c r="A543" s="31">
        <v>45316</v>
      </c>
      <c r="B543" s="32">
        <v>0.20311579631547899</v>
      </c>
      <c r="C543" s="32">
        <v>0.20323550930818601</v>
      </c>
      <c r="D543" s="32">
        <v>0.20317563</v>
      </c>
      <c r="E543" s="33">
        <v>1.0519999999999901E-4</v>
      </c>
      <c r="F543" s="33">
        <v>5.1804686679401898E-2</v>
      </c>
      <c r="G543" s="33">
        <v>10.6921201184068</v>
      </c>
      <c r="H543" s="32">
        <v>0.20317563</v>
      </c>
      <c r="I543" s="32">
        <v>0.20317563</v>
      </c>
      <c r="K543">
        <f t="shared" si="16"/>
        <v>5.1804686679401968E-4</v>
      </c>
      <c r="L543">
        <f t="shared" si="17"/>
        <v>5.892094081707621E-4</v>
      </c>
    </row>
    <row r="544" spans="1:12" x14ac:dyDescent="0.3">
      <c r="A544" s="28">
        <v>45315</v>
      </c>
      <c r="B544" s="29">
        <v>0.20302095176222201</v>
      </c>
      <c r="C544" s="29">
        <v>0.20311992200195</v>
      </c>
      <c r="D544" s="29">
        <v>0.20307043</v>
      </c>
      <c r="E544" s="30">
        <v>2.2147899999999899E-3</v>
      </c>
      <c r="F544" s="30">
        <v>1.1026775250124901</v>
      </c>
      <c r="G544" s="30">
        <v>10.634806103746399</v>
      </c>
      <c r="H544" s="29">
        <v>0.20307043</v>
      </c>
      <c r="I544" s="29">
        <v>0.20307043</v>
      </c>
      <c r="K544">
        <f t="shared" si="16"/>
        <v>1.1026775250124965E-2</v>
      </c>
      <c r="L544">
        <f t="shared" si="17"/>
        <v>4.8736903609250857E-4</v>
      </c>
    </row>
    <row r="545" spans="1:12" x14ac:dyDescent="0.3">
      <c r="A545" s="31">
        <v>45314</v>
      </c>
      <c r="B545" s="32">
        <v>0.20082740892477</v>
      </c>
      <c r="C545" s="32">
        <v>0.20088388911209301</v>
      </c>
      <c r="D545" s="32">
        <v>0.20085564</v>
      </c>
      <c r="E545" s="33">
        <v>-3.6173000000000401E-4</v>
      </c>
      <c r="F545" s="33">
        <v>-0.17977076233528499</v>
      </c>
      <c r="G545" s="33">
        <v>9.42816630783663</v>
      </c>
      <c r="H545" s="32">
        <v>0.20085564</v>
      </c>
      <c r="I545" s="32">
        <v>0.20085564</v>
      </c>
      <c r="K545">
        <f t="shared" si="16"/>
        <v>-1.7977076233528511E-3</v>
      </c>
      <c r="L545">
        <f t="shared" si="17"/>
        <v>2.8119791569216501E-4</v>
      </c>
    </row>
    <row r="546" spans="1:12" x14ac:dyDescent="0.3">
      <c r="A546" s="28">
        <v>45313</v>
      </c>
      <c r="B546" s="29">
        <v>0.201187003319586</v>
      </c>
      <c r="C546" s="29">
        <v>0.20124773596296999</v>
      </c>
      <c r="D546" s="29">
        <v>0.20121737000000001</v>
      </c>
      <c r="E546" s="30">
        <v>-1.6903E-3</v>
      </c>
      <c r="F546" s="30">
        <v>-0.83303898763412698</v>
      </c>
      <c r="G546" s="30">
        <v>9.6252404382844201</v>
      </c>
      <c r="H546" s="29">
        <v>0.20121737000000001</v>
      </c>
      <c r="I546" s="29">
        <v>0.20121737000000001</v>
      </c>
      <c r="K546">
        <f t="shared" si="16"/>
        <v>-8.3303898763412709E-3</v>
      </c>
      <c r="L546">
        <f t="shared" si="17"/>
        <v>3.0182604704550485E-4</v>
      </c>
    </row>
    <row r="547" spans="1:12" x14ac:dyDescent="0.3">
      <c r="A547" s="31">
        <v>45310</v>
      </c>
      <c r="B547" s="32">
        <v>0.20288502505630099</v>
      </c>
      <c r="C547" s="32">
        <v>0.20293031373026499</v>
      </c>
      <c r="D547" s="32">
        <v>0.20290767000000001</v>
      </c>
      <c r="E547" s="33">
        <v>7.7109000000000205E-4</v>
      </c>
      <c r="F547" s="33">
        <v>0.38146979631297201</v>
      </c>
      <c r="G547" s="33">
        <v>10.5461328240304</v>
      </c>
      <c r="H547" s="32">
        <v>0.20290767000000001</v>
      </c>
      <c r="I547" s="32">
        <v>0.20290767000000001</v>
      </c>
      <c r="K547">
        <f t="shared" si="16"/>
        <v>3.8146979631297206E-3</v>
      </c>
      <c r="L547">
        <f t="shared" si="17"/>
        <v>2.2319843288329198E-4</v>
      </c>
    </row>
    <row r="548" spans="1:12" x14ac:dyDescent="0.3">
      <c r="A548" s="28">
        <v>45309</v>
      </c>
      <c r="B548" s="29">
        <v>0.20208552259316101</v>
      </c>
      <c r="C548" s="29">
        <v>0.202187670595847</v>
      </c>
      <c r="D548" s="29">
        <v>0.20213658000000001</v>
      </c>
      <c r="E548" s="30">
        <v>-5.63380000000002E-4</v>
      </c>
      <c r="F548" s="30">
        <v>-0.27793789401833102</v>
      </c>
      <c r="G548" s="30">
        <v>10.1260352616303</v>
      </c>
      <c r="H548" s="29">
        <v>0.20213658000000001</v>
      </c>
      <c r="I548" s="29">
        <v>0.20213658000000001</v>
      </c>
      <c r="K548">
        <f t="shared" si="16"/>
        <v>-2.7793789401833191E-3</v>
      </c>
      <c r="L548">
        <f t="shared" si="17"/>
        <v>5.0534150071197739E-4</v>
      </c>
    </row>
    <row r="549" spans="1:12" x14ac:dyDescent="0.3">
      <c r="A549" s="31">
        <v>45308</v>
      </c>
      <c r="B549" s="32">
        <v>0.20267531414673701</v>
      </c>
      <c r="C549" s="32">
        <v>0.20272461887771701</v>
      </c>
      <c r="D549" s="32">
        <v>0.20269996000000001</v>
      </c>
      <c r="E549" s="33">
        <v>-7.1123999999997401E-4</v>
      </c>
      <c r="F549" s="33">
        <v>-0.34965626278197198</v>
      </c>
      <c r="G549" s="33">
        <v>10.4329703336776</v>
      </c>
      <c r="H549" s="32">
        <v>0.20269996000000001</v>
      </c>
      <c r="I549" s="32">
        <v>0.20269996000000001</v>
      </c>
      <c r="K549">
        <f t="shared" si="16"/>
        <v>-3.4965626278197215E-3</v>
      </c>
      <c r="L549">
        <f t="shared" si="17"/>
        <v>2.4323996403353393E-4</v>
      </c>
    </row>
    <row r="550" spans="1:12" x14ac:dyDescent="0.3">
      <c r="A550" s="28">
        <v>45307</v>
      </c>
      <c r="B550" s="29">
        <v>0.20339672531272199</v>
      </c>
      <c r="C550" s="29">
        <v>0.203425688595956</v>
      </c>
      <c r="D550" s="29">
        <v>0.20341119999999999</v>
      </c>
      <c r="E550" s="30">
        <v>-1.55514000000001E-3</v>
      </c>
      <c r="F550" s="30">
        <v>-0.75872945772462697</v>
      </c>
      <c r="G550" s="30">
        <v>10.820461016064099</v>
      </c>
      <c r="H550" s="29">
        <v>0.20341119999999999</v>
      </c>
      <c r="I550" s="29">
        <v>0.20341119999999999</v>
      </c>
      <c r="K550">
        <f t="shared" si="16"/>
        <v>-7.587294577246273E-3</v>
      </c>
      <c r="L550">
        <f t="shared" si="17"/>
        <v>1.4238784901722491E-4</v>
      </c>
    </row>
    <row r="551" spans="1:12" x14ac:dyDescent="0.3">
      <c r="A551" s="31">
        <v>45306</v>
      </c>
      <c r="B551" s="32">
        <v>0.204918032786885</v>
      </c>
      <c r="C551" s="32">
        <v>0.20501465854808601</v>
      </c>
      <c r="D551" s="32">
        <v>0.20496634</v>
      </c>
      <c r="E551" s="33">
        <v>-1.2404699999999901E-3</v>
      </c>
      <c r="F551" s="33">
        <v>-0.60156597156029101</v>
      </c>
      <c r="G551" s="33">
        <v>11.667716878792</v>
      </c>
      <c r="H551" s="32">
        <v>0.20496634</v>
      </c>
      <c r="I551" s="32">
        <v>0.20496634</v>
      </c>
      <c r="K551">
        <f t="shared" si="16"/>
        <v>-6.0156597156029168E-3</v>
      </c>
      <c r="L551">
        <f t="shared" si="17"/>
        <v>4.7142258187860486E-4</v>
      </c>
    </row>
    <row r="552" spans="1:12" x14ac:dyDescent="0.3">
      <c r="A552" s="28">
        <v>45303</v>
      </c>
      <c r="B552" s="29">
        <v>0.206177064863305</v>
      </c>
      <c r="C552" s="29">
        <v>0.20623659462134999</v>
      </c>
      <c r="D552" s="29">
        <v>0.20620680999999999</v>
      </c>
      <c r="E552" s="30">
        <v>1.1522099999999799E-3</v>
      </c>
      <c r="F552" s="30">
        <v>0.56190400020286102</v>
      </c>
      <c r="G552" s="30">
        <v>12.3435373708623</v>
      </c>
      <c r="H552" s="29">
        <v>0.20620680999999999</v>
      </c>
      <c r="I552" s="29">
        <v>0.20620680999999999</v>
      </c>
      <c r="K552">
        <f t="shared" si="16"/>
        <v>5.6190400020286191E-3</v>
      </c>
      <c r="L552">
        <f t="shared" si="17"/>
        <v>2.886895832634747E-4</v>
      </c>
    </row>
    <row r="553" spans="1:12" x14ac:dyDescent="0.3">
      <c r="A553" s="31">
        <v>45302</v>
      </c>
      <c r="B553" s="32">
        <v>0.20501045553323199</v>
      </c>
      <c r="C553" s="32">
        <v>0.205098755050557</v>
      </c>
      <c r="D553" s="32">
        <v>0.2050546</v>
      </c>
      <c r="E553" s="33">
        <v>5.8907999999999097E-4</v>
      </c>
      <c r="F553" s="33">
        <v>0.28810725642152102</v>
      </c>
      <c r="G553" s="33">
        <v>11.715801811624001</v>
      </c>
      <c r="H553" s="32">
        <v>0.2050546</v>
      </c>
      <c r="I553" s="32">
        <v>0.2050546</v>
      </c>
      <c r="K553">
        <f t="shared" si="16"/>
        <v>2.8810725642152146E-3</v>
      </c>
      <c r="L553">
        <f t="shared" si="17"/>
        <v>4.3061466226557366E-4</v>
      </c>
    </row>
    <row r="554" spans="1:12" x14ac:dyDescent="0.3">
      <c r="A554" s="28">
        <v>45301</v>
      </c>
      <c r="B554" s="29">
        <v>0.204440446497935</v>
      </c>
      <c r="C554" s="29">
        <v>0.20449061388082301</v>
      </c>
      <c r="D554" s="29">
        <v>0.20446552000000001</v>
      </c>
      <c r="E554" s="30">
        <v>5.8777000000001501E-4</v>
      </c>
      <c r="F554" s="30">
        <v>0.28829531422629401</v>
      </c>
      <c r="G554" s="30">
        <v>11.3948651219268</v>
      </c>
      <c r="H554" s="29">
        <v>0.20446552000000001</v>
      </c>
      <c r="I554" s="29">
        <v>0.20446552000000001</v>
      </c>
      <c r="K554">
        <f t="shared" si="16"/>
        <v>2.8829531422629451E-3</v>
      </c>
      <c r="L554">
        <f t="shared" si="17"/>
        <v>2.4535864476326713E-4</v>
      </c>
    </row>
    <row r="555" spans="1:12" x14ac:dyDescent="0.3">
      <c r="A555" s="31">
        <v>45300</v>
      </c>
      <c r="B555" s="32">
        <v>0.20382788773159899</v>
      </c>
      <c r="C555" s="32">
        <v>0.20392764647103201</v>
      </c>
      <c r="D555" s="32">
        <v>0.20387775</v>
      </c>
      <c r="E555" s="33">
        <v>-1.2715000000000001E-3</v>
      </c>
      <c r="F555" s="33">
        <v>-0.61979266314646697</v>
      </c>
      <c r="G555" s="33">
        <v>11.074642133362699</v>
      </c>
      <c r="H555" s="32">
        <v>0.20387775</v>
      </c>
      <c r="I555" s="32">
        <v>0.20387775</v>
      </c>
      <c r="K555">
        <f t="shared" si="16"/>
        <v>-6.1979266314646786E-3</v>
      </c>
      <c r="L555">
        <f t="shared" si="17"/>
        <v>4.8930665280061294E-4</v>
      </c>
    </row>
    <row r="556" spans="1:12" x14ac:dyDescent="0.3">
      <c r="A556" s="28">
        <v>45299</v>
      </c>
      <c r="B556" s="29">
        <v>0.20512820512820501</v>
      </c>
      <c r="C556" s="29">
        <v>0.205170291341814</v>
      </c>
      <c r="D556" s="29">
        <v>0.20514925000000001</v>
      </c>
      <c r="E556" s="30">
        <v>-8.8420000000005703E-5</v>
      </c>
      <c r="F556" s="30">
        <v>-4.3081759795848801E-2</v>
      </c>
      <c r="G556" s="30">
        <v>11.7673680805177</v>
      </c>
      <c r="H556" s="29">
        <v>0.20514925000000001</v>
      </c>
      <c r="I556" s="29">
        <v>0.20514925000000001</v>
      </c>
      <c r="K556">
        <f t="shared" si="16"/>
        <v>-4.3081759795848829E-4</v>
      </c>
      <c r="L556">
        <f t="shared" si="17"/>
        <v>2.0514924431353437E-4</v>
      </c>
    </row>
    <row r="557" spans="1:12" x14ac:dyDescent="0.3">
      <c r="A557" s="31">
        <v>45296</v>
      </c>
      <c r="B557" s="32">
        <v>0.205191340925413</v>
      </c>
      <c r="C557" s="32">
        <v>0.205284010428428</v>
      </c>
      <c r="D557" s="32">
        <v>0.20523767000000001</v>
      </c>
      <c r="E557" s="33">
        <v>1.7519600000000201E-3</v>
      </c>
      <c r="F557" s="33">
        <v>0.86097446351394102</v>
      </c>
      <c r="G557" s="33">
        <v>11.815540182953701</v>
      </c>
      <c r="H557" s="32">
        <v>0.20523767000000001</v>
      </c>
      <c r="I557" s="32">
        <v>0.20523767000000001</v>
      </c>
      <c r="K557">
        <f t="shared" si="16"/>
        <v>8.6097446351394158E-3</v>
      </c>
      <c r="L557">
        <f t="shared" si="17"/>
        <v>4.5152287596623075E-4</v>
      </c>
    </row>
    <row r="558" spans="1:12" x14ac:dyDescent="0.3">
      <c r="A558" s="28">
        <v>45295</v>
      </c>
      <c r="B558" s="29">
        <v>0.20344638170610099</v>
      </c>
      <c r="C558" s="29">
        <v>0.203525053934139</v>
      </c>
      <c r="D558" s="29">
        <v>0.20348570999999999</v>
      </c>
      <c r="E558" s="30">
        <v>2.8529999999998802E-4</v>
      </c>
      <c r="F558" s="30">
        <v>0.1404032600131</v>
      </c>
      <c r="G558" s="30">
        <v>10.861054811048399</v>
      </c>
      <c r="H558" s="29">
        <v>0.20348570999999999</v>
      </c>
      <c r="I558" s="29">
        <v>0.20348570999999999</v>
      </c>
      <c r="K558">
        <f t="shared" si="16"/>
        <v>1.404032600131E-3</v>
      </c>
      <c r="L558">
        <f t="shared" si="17"/>
        <v>3.8662286426897988E-4</v>
      </c>
    </row>
    <row r="559" spans="1:12" x14ac:dyDescent="0.3">
      <c r="A559" s="31">
        <v>45294</v>
      </c>
      <c r="B559" s="32">
        <v>0.203124047856026</v>
      </c>
      <c r="C559" s="32">
        <v>0.20327682237671299</v>
      </c>
      <c r="D559" s="32">
        <v>0.20320041</v>
      </c>
      <c r="E559" s="33">
        <v>-6.8566999999999901E-4</v>
      </c>
      <c r="F559" s="33">
        <v>-0.33630054587345798</v>
      </c>
      <c r="G559" s="33">
        <v>10.7056205108335</v>
      </c>
      <c r="H559" s="32">
        <v>0.20320041</v>
      </c>
      <c r="I559" s="32">
        <v>0.20320041</v>
      </c>
      <c r="K559">
        <f t="shared" si="16"/>
        <v>-3.3630054587345803E-3</v>
      </c>
      <c r="L559">
        <f t="shared" si="17"/>
        <v>7.5184159661384508E-4</v>
      </c>
    </row>
    <row r="560" spans="1:12" x14ac:dyDescent="0.3">
      <c r="A560" s="28">
        <v>45293</v>
      </c>
      <c r="B560" s="29">
        <v>0.20384035223612901</v>
      </c>
      <c r="C560" s="29">
        <v>0.20393180520434001</v>
      </c>
      <c r="D560" s="29">
        <v>0.20388608</v>
      </c>
      <c r="E560" s="30">
        <v>-1.9775200000000099E-3</v>
      </c>
      <c r="F560" s="30">
        <v>-0.96059721096881601</v>
      </c>
      <c r="G560" s="30">
        <v>11.079180400873399</v>
      </c>
      <c r="H560" s="29">
        <v>0.20388608</v>
      </c>
      <c r="I560" s="29">
        <v>0.20388608</v>
      </c>
      <c r="K560">
        <f t="shared" si="16"/>
        <v>-9.6059721096881656E-3</v>
      </c>
      <c r="L560">
        <f t="shared" si="17"/>
        <v>4.485493478073797E-4</v>
      </c>
    </row>
    <row r="561" spans="1:12" x14ac:dyDescent="0.3">
      <c r="A561" s="31">
        <v>45292</v>
      </c>
      <c r="B561" s="32">
        <v>0.205790957545325</v>
      </c>
      <c r="C561" s="32">
        <v>0.20593504808583399</v>
      </c>
      <c r="D561" s="32">
        <v>0.20586360000000001</v>
      </c>
      <c r="E561" s="33">
        <v>6.3000000000146198E-7</v>
      </c>
      <c r="F561" s="33">
        <v>3.0602881129215798E-4</v>
      </c>
      <c r="G561" s="33">
        <v>12.1565531220828</v>
      </c>
      <c r="H561" s="32">
        <v>0.20586360000000001</v>
      </c>
      <c r="I561" s="32">
        <v>0.20586360000000001</v>
      </c>
      <c r="K561">
        <f t="shared" si="16"/>
        <v>3.0602881129215831E-6</v>
      </c>
      <c r="L561">
        <f t="shared" si="17"/>
        <v>6.999320934297481E-4</v>
      </c>
    </row>
    <row r="562" spans="1:12" x14ac:dyDescent="0.3">
      <c r="A562" s="28">
        <v>45289</v>
      </c>
      <c r="B562" s="29">
        <v>0.205790957545325</v>
      </c>
      <c r="C562" s="29">
        <v>0.20593504808583399</v>
      </c>
      <c r="D562" s="29">
        <v>0.20586297000000001</v>
      </c>
      <c r="E562" s="30">
        <v>-7.4858999999999299E-4</v>
      </c>
      <c r="F562" s="30">
        <v>-0.36231757797094899</v>
      </c>
      <c r="G562" s="30">
        <v>12.156209891766901</v>
      </c>
      <c r="H562" s="29">
        <v>0.20586297000000001</v>
      </c>
      <c r="I562" s="29">
        <v>0.20586297000000001</v>
      </c>
      <c r="K562">
        <f t="shared" si="16"/>
        <v>-3.6231757797094977E-3</v>
      </c>
      <c r="L562">
        <f t="shared" si="17"/>
        <v>6.9993423542361348E-4</v>
      </c>
    </row>
    <row r="563" spans="1:12" x14ac:dyDescent="0.3">
      <c r="A563" s="31">
        <v>45288</v>
      </c>
      <c r="B563" s="32">
        <v>0.20656889072505699</v>
      </c>
      <c r="C563" s="32">
        <v>0.20665426741062201</v>
      </c>
      <c r="D563" s="32">
        <v>0.20661156</v>
      </c>
      <c r="E563" s="33">
        <v>-6.3157999999999205E-4</v>
      </c>
      <c r="F563" s="33">
        <v>-0.30475315129851999</v>
      </c>
      <c r="G563" s="33">
        <v>12.564049228598</v>
      </c>
      <c r="H563" s="32">
        <v>0.20661156</v>
      </c>
      <c r="I563" s="32">
        <v>0.20661156</v>
      </c>
      <c r="K563">
        <f t="shared" si="16"/>
        <v>-3.0475315129852021E-3</v>
      </c>
      <c r="L563">
        <f t="shared" si="17"/>
        <v>4.1322317863056422E-4</v>
      </c>
    </row>
    <row r="564" spans="1:12" x14ac:dyDescent="0.3">
      <c r="A564" s="28">
        <v>45287</v>
      </c>
      <c r="B564" s="29">
        <v>0.207146556188503</v>
      </c>
      <c r="C564" s="29">
        <v>0.20733982998133901</v>
      </c>
      <c r="D564" s="29">
        <v>0.20724313999999999</v>
      </c>
      <c r="E564" s="30">
        <v>9.6579999999984998E-5</v>
      </c>
      <c r="F564" s="30">
        <v>4.6623994142103102E-2</v>
      </c>
      <c r="G564" s="30">
        <v>12.90814034437</v>
      </c>
      <c r="H564" s="29">
        <v>0.20724313999999999</v>
      </c>
      <c r="I564" s="29">
        <v>0.20724313999999999</v>
      </c>
      <c r="K564">
        <f t="shared" si="16"/>
        <v>4.6623994142103165E-4</v>
      </c>
      <c r="L564">
        <f t="shared" si="17"/>
        <v>9.3259440498736355E-4</v>
      </c>
    </row>
    <row r="565" spans="1:12" x14ac:dyDescent="0.3">
      <c r="A565" s="31">
        <v>45286</v>
      </c>
      <c r="B565" s="32">
        <v>0.20708650003106299</v>
      </c>
      <c r="C565" s="32">
        <v>0.207206647189242</v>
      </c>
      <c r="D565" s="32">
        <v>0.20714656000000001</v>
      </c>
      <c r="E565" s="33">
        <v>1.43096E-3</v>
      </c>
      <c r="F565" s="33">
        <v>0.69560111143733805</v>
      </c>
      <c r="G565" s="33">
        <v>12.855522592127601</v>
      </c>
      <c r="H565" s="32">
        <v>0.20714656000000001</v>
      </c>
      <c r="I565" s="32">
        <v>0.20714656000000001</v>
      </c>
      <c r="K565">
        <f t="shared" si="16"/>
        <v>6.9560111143733838E-3</v>
      </c>
      <c r="L565">
        <f t="shared" si="17"/>
        <v>5.800103954369918E-4</v>
      </c>
    </row>
    <row r="566" spans="1:12" x14ac:dyDescent="0.3">
      <c r="A566" s="28">
        <v>45285</v>
      </c>
      <c r="B566" s="29">
        <v>0.20563861070554601</v>
      </c>
      <c r="C566" s="29">
        <v>0.205790957545325</v>
      </c>
      <c r="D566" s="29">
        <v>0.2057156</v>
      </c>
      <c r="E566" s="30">
        <v>8.49999999996686E-7</v>
      </c>
      <c r="F566" s="30">
        <v>4.1319351189450499E-4</v>
      </c>
      <c r="G566" s="30">
        <v>12.075921238340101</v>
      </c>
      <c r="H566" s="29">
        <v>0.2057156</v>
      </c>
      <c r="I566" s="29">
        <v>0.2057156</v>
      </c>
      <c r="K566">
        <f t="shared" si="16"/>
        <v>4.1319351189450515E-6</v>
      </c>
      <c r="L566">
        <f t="shared" si="17"/>
        <v>7.4057018417171083E-4</v>
      </c>
    </row>
    <row r="567" spans="1:12" x14ac:dyDescent="0.3">
      <c r="A567" s="31">
        <v>45282</v>
      </c>
      <c r="B567" s="32">
        <v>0.20563861070554601</v>
      </c>
      <c r="C567" s="32">
        <v>0.205790957545325</v>
      </c>
      <c r="D567" s="32">
        <v>0.20571475</v>
      </c>
      <c r="E567" s="33">
        <v>4.18080000000015E-4</v>
      </c>
      <c r="F567" s="33">
        <v>0.203646751795827</v>
      </c>
      <c r="G567" s="33">
        <v>12.0754581498186</v>
      </c>
      <c r="H567" s="32">
        <v>0.20571475</v>
      </c>
      <c r="I567" s="32">
        <v>0.20571475</v>
      </c>
      <c r="K567">
        <f t="shared" si="16"/>
        <v>2.0364675179582736E-3</v>
      </c>
      <c r="L567">
        <f t="shared" si="17"/>
        <v>7.4057324415966277E-4</v>
      </c>
    </row>
    <row r="568" spans="1:12" x14ac:dyDescent="0.3">
      <c r="A568" s="28">
        <v>45281</v>
      </c>
      <c r="B568" s="29">
        <v>0.20525872862743499</v>
      </c>
      <c r="C568" s="29">
        <v>0.205334592718835</v>
      </c>
      <c r="D568" s="29">
        <v>0.20529666999999999</v>
      </c>
      <c r="E568" s="30">
        <v>5.0872999999998503E-4</v>
      </c>
      <c r="F568" s="30">
        <v>0.24841794883036999</v>
      </c>
      <c r="G568" s="30">
        <v>11.847683974445699</v>
      </c>
      <c r="H568" s="29">
        <v>0.20529666999999999</v>
      </c>
      <c r="I568" s="29">
        <v>0.20529666999999999</v>
      </c>
      <c r="K568">
        <f t="shared" si="16"/>
        <v>2.4841794883037061E-3</v>
      </c>
      <c r="L568">
        <f t="shared" si="17"/>
        <v>3.6953395980561933E-4</v>
      </c>
    </row>
    <row r="569" spans="1:12" x14ac:dyDescent="0.3">
      <c r="A569" s="31">
        <v>45280</v>
      </c>
      <c r="B569" s="32">
        <v>0.204750204750205</v>
      </c>
      <c r="C569" s="32">
        <v>0.204825693334972</v>
      </c>
      <c r="D569" s="32">
        <v>0.20478794</v>
      </c>
      <c r="E569" s="33">
        <v>-1.01361999999999E-3</v>
      </c>
      <c r="F569" s="33">
        <v>-0.49252299156526902</v>
      </c>
      <c r="G569" s="33">
        <v>11.570522770280499</v>
      </c>
      <c r="H569" s="32">
        <v>0.20478794</v>
      </c>
      <c r="I569" s="32">
        <v>0.20478794</v>
      </c>
      <c r="K569">
        <f t="shared" si="16"/>
        <v>-4.9252299156526957E-3</v>
      </c>
      <c r="L569">
        <f t="shared" si="17"/>
        <v>3.686183120304705E-4</v>
      </c>
    </row>
    <row r="570" spans="1:12" x14ac:dyDescent="0.3">
      <c r="A570" s="28">
        <v>45279</v>
      </c>
      <c r="B570" s="29">
        <v>0.20571898786258</v>
      </c>
      <c r="C570" s="29">
        <v>0.20588416956620201</v>
      </c>
      <c r="D570" s="29">
        <v>0.20580155999999999</v>
      </c>
      <c r="E570" s="30">
        <v>3.2617100000000001E-3</v>
      </c>
      <c r="F570" s="30">
        <v>1.6104040760373799</v>
      </c>
      <c r="G570" s="30">
        <v>12.1227531081139</v>
      </c>
      <c r="H570" s="29">
        <v>0.20580155999999999</v>
      </c>
      <c r="I570" s="29">
        <v>0.20580155999999999</v>
      </c>
      <c r="K570">
        <f t="shared" si="16"/>
        <v>1.6104040760373861E-2</v>
      </c>
      <c r="L570">
        <f t="shared" si="17"/>
        <v>8.0262610070598226E-4</v>
      </c>
    </row>
    <row r="571" spans="1:12" x14ac:dyDescent="0.3">
      <c r="A571" s="31">
        <v>45278</v>
      </c>
      <c r="B571" s="32">
        <v>0.20250293629257601</v>
      </c>
      <c r="C571" s="32">
        <v>0.20257677659833101</v>
      </c>
      <c r="D571" s="32">
        <v>0.20253984999999999</v>
      </c>
      <c r="E571" s="33">
        <v>3.3174999999999101E-4</v>
      </c>
      <c r="F571" s="33">
        <v>0.16406365521459601</v>
      </c>
      <c r="G571" s="33">
        <v>10.345740800528599</v>
      </c>
      <c r="H571" s="32">
        <v>0.20253984999999999</v>
      </c>
      <c r="I571" s="32">
        <v>0.20253984999999999</v>
      </c>
      <c r="K571">
        <f t="shared" si="16"/>
        <v>1.6406365521459687E-3</v>
      </c>
      <c r="L571">
        <f t="shared" si="17"/>
        <v>3.6457174109192015E-4</v>
      </c>
    </row>
    <row r="572" spans="1:12" x14ac:dyDescent="0.3">
      <c r="A572" s="28">
        <v>45275</v>
      </c>
      <c r="B572" s="29">
        <v>0.202146799005438</v>
      </c>
      <c r="C572" s="29">
        <v>0.202269463379114</v>
      </c>
      <c r="D572" s="29">
        <v>0.2022081</v>
      </c>
      <c r="E572" s="30">
        <v>-2.2657799999999898E-3</v>
      </c>
      <c r="F572" s="30">
        <v>-1.10810241386332</v>
      </c>
      <c r="G572" s="30">
        <v>10.1650000746389</v>
      </c>
      <c r="H572" s="29">
        <v>0.2022081</v>
      </c>
      <c r="I572" s="29">
        <v>0.2022081</v>
      </c>
      <c r="K572">
        <f t="shared" si="16"/>
        <v>-1.1081024138633211E-2</v>
      </c>
      <c r="L572">
        <f t="shared" si="17"/>
        <v>6.0662443134573425E-4</v>
      </c>
    </row>
    <row r="573" spans="1:12" x14ac:dyDescent="0.3">
      <c r="A573" s="31">
        <v>45274</v>
      </c>
      <c r="B573" s="32">
        <v>0.20445716622367599</v>
      </c>
      <c r="C573" s="32">
        <v>0.20449061388082301</v>
      </c>
      <c r="D573" s="32">
        <v>0.20447388</v>
      </c>
      <c r="E573" s="33">
        <v>2.7654099999999899E-3</v>
      </c>
      <c r="F573" s="33">
        <v>1.3709934937288399</v>
      </c>
      <c r="G573" s="33">
        <v>11.399419733738201</v>
      </c>
      <c r="H573" s="32">
        <v>0.20447388</v>
      </c>
      <c r="I573" s="32">
        <v>0.20447388</v>
      </c>
      <c r="K573">
        <f t="shared" si="16"/>
        <v>1.3709934937288448E-2</v>
      </c>
      <c r="L573">
        <f t="shared" si="17"/>
        <v>1.6357911899076422E-4</v>
      </c>
    </row>
    <row r="574" spans="1:12" x14ac:dyDescent="0.3">
      <c r="A574" s="28">
        <v>45273</v>
      </c>
      <c r="B574" s="29">
        <v>0.20168609576055799</v>
      </c>
      <c r="C574" s="29">
        <v>0.20173085069899699</v>
      </c>
      <c r="D574" s="29">
        <v>0.20170847</v>
      </c>
      <c r="E574" s="30">
        <v>-7.7329999999986495E-5</v>
      </c>
      <c r="F574" s="30">
        <v>-3.8322815579683298E-2</v>
      </c>
      <c r="G574" s="30">
        <v>9.8927966417038409</v>
      </c>
      <c r="H574" s="29">
        <v>0.20170847</v>
      </c>
      <c r="I574" s="29">
        <v>0.20170847</v>
      </c>
      <c r="K574">
        <f t="shared" si="16"/>
        <v>-3.8322815579683311E-4</v>
      </c>
      <c r="L574">
        <f t="shared" si="17"/>
        <v>2.2187932137406592E-4</v>
      </c>
    </row>
    <row r="575" spans="1:12" x14ac:dyDescent="0.3">
      <c r="A575" s="31">
        <v>45272</v>
      </c>
      <c r="B575" s="32">
        <v>0.201734920314706</v>
      </c>
      <c r="C575" s="32">
        <v>0.20183671409829401</v>
      </c>
      <c r="D575" s="32">
        <v>0.20178579999999999</v>
      </c>
      <c r="E575" s="33">
        <v>-5.0003000000001198E-4</v>
      </c>
      <c r="F575" s="33">
        <v>-0.247189830350458</v>
      </c>
      <c r="G575" s="33">
        <v>9.9349268009594294</v>
      </c>
      <c r="H575" s="32">
        <v>0.20178579999999999</v>
      </c>
      <c r="I575" s="32">
        <v>0.20178579999999999</v>
      </c>
      <c r="K575">
        <f t="shared" si="16"/>
        <v>-2.4718983035045827E-3</v>
      </c>
      <c r="L575">
        <f t="shared" si="17"/>
        <v>5.0446455393797149E-4</v>
      </c>
    </row>
    <row r="576" spans="1:12" x14ac:dyDescent="0.3">
      <c r="A576" s="28">
        <v>45271</v>
      </c>
      <c r="B576" s="29">
        <v>0.20226128112295499</v>
      </c>
      <c r="C576" s="29">
        <v>0.20231038459204101</v>
      </c>
      <c r="D576" s="29">
        <v>0.20228583</v>
      </c>
      <c r="E576" s="30">
        <v>-9.806599999999941E-4</v>
      </c>
      <c r="F576" s="30">
        <v>-0.48245040291687802</v>
      </c>
      <c r="G576" s="30">
        <v>10.207348157904599</v>
      </c>
      <c r="H576" s="29">
        <v>0.20228583</v>
      </c>
      <c r="I576" s="29">
        <v>0.20228583</v>
      </c>
      <c r="K576">
        <f t="shared" si="16"/>
        <v>-4.8245040291687857E-3</v>
      </c>
      <c r="L576">
        <f t="shared" si="17"/>
        <v>2.4274299927985475E-4</v>
      </c>
    </row>
    <row r="577" spans="1:12" x14ac:dyDescent="0.3">
      <c r="A577" s="31">
        <v>45268</v>
      </c>
      <c r="B577" s="32">
        <v>0.20318595578673601</v>
      </c>
      <c r="C577" s="32">
        <v>0.20334709315330299</v>
      </c>
      <c r="D577" s="32">
        <v>0.20326648999999999</v>
      </c>
      <c r="E577" s="33">
        <v>-4.84570000000017E-4</v>
      </c>
      <c r="F577" s="33">
        <v>-0.237824529600005</v>
      </c>
      <c r="G577" s="33">
        <v>10.7416215573045</v>
      </c>
      <c r="H577" s="32">
        <v>0.20326648999999999</v>
      </c>
      <c r="I577" s="32">
        <v>0.20326648999999999</v>
      </c>
      <c r="K577">
        <f t="shared" si="16"/>
        <v>-2.3782452960000589E-3</v>
      </c>
      <c r="L577">
        <f t="shared" si="17"/>
        <v>7.9273945531787779E-4</v>
      </c>
    </row>
    <row r="578" spans="1:12" x14ac:dyDescent="0.3">
      <c r="A578" s="28">
        <v>45267</v>
      </c>
      <c r="B578" s="29">
        <v>0.20367428408489099</v>
      </c>
      <c r="C578" s="29">
        <v>0.20382788773159899</v>
      </c>
      <c r="D578" s="29">
        <v>0.20375106000000001</v>
      </c>
      <c r="E578" s="30">
        <v>-3.4932999999998099E-4</v>
      </c>
      <c r="F578" s="30">
        <v>-0.171155968883729</v>
      </c>
      <c r="G578" s="30">
        <v>11.0056201512588</v>
      </c>
      <c r="H578" s="29">
        <v>0.20375106000000001</v>
      </c>
      <c r="I578" s="29">
        <v>0.20375106000000001</v>
      </c>
      <c r="K578">
        <f t="shared" si="16"/>
        <v>-1.7115596888372941E-3</v>
      </c>
      <c r="L578">
        <f t="shared" si="17"/>
        <v>7.5387900660735144E-4</v>
      </c>
    </row>
    <row r="579" spans="1:12" x14ac:dyDescent="0.3">
      <c r="A579" s="31">
        <v>45266</v>
      </c>
      <c r="B579" s="32">
        <v>0.204002529631367</v>
      </c>
      <c r="C579" s="32">
        <v>0.204198317405865</v>
      </c>
      <c r="D579" s="32">
        <v>0.20410038999999999</v>
      </c>
      <c r="E579" s="33">
        <v>2.4102199999999898E-3</v>
      </c>
      <c r="F579" s="33">
        <v>1.1950111401066199</v>
      </c>
      <c r="G579" s="33">
        <v>11.195938637393001</v>
      </c>
      <c r="H579" s="32">
        <v>0.20410038999999999</v>
      </c>
      <c r="I579" s="32">
        <v>0.20410038999999999</v>
      </c>
      <c r="K579">
        <f t="shared" si="16"/>
        <v>1.1950111401066277E-2</v>
      </c>
      <c r="L579">
        <f t="shared" si="17"/>
        <v>9.5927192739806301E-4</v>
      </c>
    </row>
    <row r="580" spans="1:12" x14ac:dyDescent="0.3">
      <c r="A580" s="28">
        <v>45265</v>
      </c>
      <c r="B580" s="29">
        <v>0.20166575917075</v>
      </c>
      <c r="C580" s="29">
        <v>0.20171457387796299</v>
      </c>
      <c r="D580" s="29">
        <v>0.20169017</v>
      </c>
      <c r="E580" s="30">
        <v>-1.19074999999999E-3</v>
      </c>
      <c r="F580" s="30">
        <v>-0.58692064290717305</v>
      </c>
      <c r="G580" s="30">
        <v>9.8828266182410491</v>
      </c>
      <c r="H580" s="29">
        <v>0.20169017</v>
      </c>
      <c r="I580" s="29">
        <v>0.20169017</v>
      </c>
      <c r="K580">
        <f t="shared" si="16"/>
        <v>-5.8692064290717383E-3</v>
      </c>
      <c r="L580">
        <f t="shared" si="17"/>
        <v>2.4202819211759674E-4</v>
      </c>
    </row>
    <row r="581" spans="1:12" x14ac:dyDescent="0.3">
      <c r="A581" s="31">
        <v>45264</v>
      </c>
      <c r="B581" s="32">
        <v>0.20284798571950199</v>
      </c>
      <c r="C581" s="32">
        <v>0.202913842782355</v>
      </c>
      <c r="D581" s="32">
        <v>0.20288091999999999</v>
      </c>
      <c r="E581" s="33">
        <v>-1.09249E-3</v>
      </c>
      <c r="F581" s="33">
        <v>-0.53560412604760599</v>
      </c>
      <c r="G581" s="33">
        <v>10.5315591558539</v>
      </c>
      <c r="H581" s="32">
        <v>0.20288091999999999</v>
      </c>
      <c r="I581" s="32">
        <v>0.20288091999999999</v>
      </c>
      <c r="K581">
        <f t="shared" ref="K581:K644" si="18">D581/D582-1</f>
        <v>-5.3560412604760632E-3</v>
      </c>
      <c r="L581">
        <f t="shared" ref="L581:L644" si="19">(C581-B581)/D581</f>
        <v>3.2460944505280771E-4</v>
      </c>
    </row>
    <row r="582" spans="1:12" x14ac:dyDescent="0.3">
      <c r="A582" s="28">
        <v>45261</v>
      </c>
      <c r="B582" s="29">
        <v>0.203923487907337</v>
      </c>
      <c r="C582" s="29">
        <v>0.204023340270127</v>
      </c>
      <c r="D582" s="29">
        <v>0.20397340999999999</v>
      </c>
      <c r="E582" s="30">
        <v>1.2261799999999899E-3</v>
      </c>
      <c r="F582" s="30">
        <v>0.60478261527912003</v>
      </c>
      <c r="G582" s="30">
        <v>11.1267586603818</v>
      </c>
      <c r="H582" s="29">
        <v>0.20397340999999999</v>
      </c>
      <c r="I582" s="29">
        <v>0.20397340999999999</v>
      </c>
      <c r="K582">
        <f t="shared" si="18"/>
        <v>6.0478261527912025E-3</v>
      </c>
      <c r="L582">
        <f t="shared" si="19"/>
        <v>4.8953617429842384E-4</v>
      </c>
    </row>
    <row r="583" spans="1:12" x14ac:dyDescent="0.3">
      <c r="A583" s="31">
        <v>45260</v>
      </c>
      <c r="B583" s="32">
        <v>0.20268352993635699</v>
      </c>
      <c r="C583" s="32">
        <v>0.202810959904273</v>
      </c>
      <c r="D583" s="32">
        <v>0.20274723</v>
      </c>
      <c r="E583" s="33">
        <v>-1.8626300000000001E-3</v>
      </c>
      <c r="F583" s="33">
        <v>-0.91033247371363701</v>
      </c>
      <c r="G583" s="33">
        <v>10.458723503572999</v>
      </c>
      <c r="H583" s="32">
        <v>0.20274723</v>
      </c>
      <c r="I583" s="32">
        <v>0.20274723</v>
      </c>
      <c r="K583">
        <f t="shared" si="18"/>
        <v>-9.1033247371363757E-3</v>
      </c>
      <c r="L583">
        <f t="shared" si="19"/>
        <v>6.2851644343555062E-4</v>
      </c>
    </row>
    <row r="584" spans="1:12" x14ac:dyDescent="0.3">
      <c r="A584" s="28">
        <v>45259</v>
      </c>
      <c r="B584" s="29">
        <v>0.204553357743367</v>
      </c>
      <c r="C584" s="29">
        <v>0.204666393778142</v>
      </c>
      <c r="D584" s="29">
        <v>0.20460986</v>
      </c>
      <c r="E584" s="30">
        <v>-8.6817999999999596E-4</v>
      </c>
      <c r="F584" s="30">
        <v>-0.42251717020466101</v>
      </c>
      <c r="G584" s="30">
        <v>11.473503000977001</v>
      </c>
      <c r="H584" s="29">
        <v>0.20460986</v>
      </c>
      <c r="I584" s="29">
        <v>0.20460986</v>
      </c>
      <c r="K584">
        <f t="shared" si="18"/>
        <v>-4.2251717020466151E-3</v>
      </c>
      <c r="L584">
        <f t="shared" si="19"/>
        <v>5.5244666496032612E-4</v>
      </c>
    </row>
    <row r="585" spans="1:12" x14ac:dyDescent="0.3">
      <c r="A585" s="31">
        <v>45258</v>
      </c>
      <c r="B585" s="32">
        <v>0.20542739168840801</v>
      </c>
      <c r="C585" s="32">
        <v>0.205528722638989</v>
      </c>
      <c r="D585" s="32">
        <v>0.20547804</v>
      </c>
      <c r="E585" s="33">
        <v>2.0254500000000098E-3</v>
      </c>
      <c r="F585" s="33">
        <v>0.99553905900142603</v>
      </c>
      <c r="G585" s="33">
        <v>11.9464961687324</v>
      </c>
      <c r="H585" s="32">
        <v>0.20547804</v>
      </c>
      <c r="I585" s="32">
        <v>0.20547804</v>
      </c>
      <c r="K585">
        <f t="shared" si="18"/>
        <v>9.9553905900142681E-3</v>
      </c>
      <c r="L585">
        <f t="shared" si="19"/>
        <v>4.9314734840270825E-4</v>
      </c>
    </row>
    <row r="586" spans="1:12" x14ac:dyDescent="0.3">
      <c r="A586" s="28">
        <v>45257</v>
      </c>
      <c r="B586" s="29">
        <v>0.20336363451487599</v>
      </c>
      <c r="C586" s="29">
        <v>0.20354162426216199</v>
      </c>
      <c r="D586" s="29">
        <v>0.20345258999999999</v>
      </c>
      <c r="E586" s="30">
        <v>-4.9376000000000899E-4</v>
      </c>
      <c r="F586" s="30">
        <v>-0.24210288637184199</v>
      </c>
      <c r="G586" s="30">
        <v>10.843010703010799</v>
      </c>
      <c r="H586" s="29">
        <v>0.20345258999999999</v>
      </c>
      <c r="I586" s="29">
        <v>0.20345258999999999</v>
      </c>
      <c r="K586">
        <f t="shared" si="18"/>
        <v>-2.4210288637184219E-3</v>
      </c>
      <c r="L586">
        <f t="shared" si="19"/>
        <v>8.7484630835124968E-4</v>
      </c>
    </row>
    <row r="587" spans="1:12" x14ac:dyDescent="0.3">
      <c r="A587" s="31">
        <v>45254</v>
      </c>
      <c r="B587" s="32">
        <v>0.20391101323382499</v>
      </c>
      <c r="C587" s="32">
        <v>0.203981723237598</v>
      </c>
      <c r="D587" s="32">
        <v>0.20394635</v>
      </c>
      <c r="E587" s="33">
        <v>-4.31419999999987E-4</v>
      </c>
      <c r="F587" s="33">
        <v>-0.21108949373505001</v>
      </c>
      <c r="G587" s="33">
        <v>11.112016101097501</v>
      </c>
      <c r="H587" s="32">
        <v>0.20394635</v>
      </c>
      <c r="I587" s="32">
        <v>0.20394635</v>
      </c>
      <c r="K587">
        <f t="shared" si="18"/>
        <v>-2.1108949373505048E-3</v>
      </c>
      <c r="L587">
        <f t="shared" si="19"/>
        <v>3.4670884658152151E-4</v>
      </c>
    </row>
    <row r="588" spans="1:12" x14ac:dyDescent="0.3">
      <c r="A588" s="28">
        <v>45253</v>
      </c>
      <c r="B588" s="29">
        <v>0.20431513566525</v>
      </c>
      <c r="C588" s="29">
        <v>0.204440446497935</v>
      </c>
      <c r="D588" s="29">
        <v>0.20437776999999999</v>
      </c>
      <c r="E588" s="30">
        <v>3.7579999999981497E-5</v>
      </c>
      <c r="F588" s="30">
        <v>1.8390899998665899E-2</v>
      </c>
      <c r="G588" s="30">
        <v>11.347058042207699</v>
      </c>
      <c r="H588" s="29">
        <v>0.20437776999999999</v>
      </c>
      <c r="I588" s="29">
        <v>0.20437776999999999</v>
      </c>
      <c r="K588">
        <f t="shared" si="18"/>
        <v>1.8390899998665944E-4</v>
      </c>
      <c r="L588">
        <f t="shared" si="19"/>
        <v>6.1313337886500022E-4</v>
      </c>
    </row>
    <row r="589" spans="1:12" x14ac:dyDescent="0.3">
      <c r="A589" s="31">
        <v>45252</v>
      </c>
      <c r="B589" s="32">
        <v>0.20431096128307299</v>
      </c>
      <c r="C589" s="32">
        <v>0.20436941816026699</v>
      </c>
      <c r="D589" s="32">
        <v>0.20434019</v>
      </c>
      <c r="E589" s="33">
        <v>-1.33689999999991E-4</v>
      </c>
      <c r="F589" s="33">
        <v>-6.5382434176919302E-2</v>
      </c>
      <c r="G589" s="33">
        <v>11.3265840814573</v>
      </c>
      <c r="H589" s="32">
        <v>0.20434019</v>
      </c>
      <c r="I589" s="32">
        <v>0.20434019</v>
      </c>
      <c r="K589">
        <f t="shared" si="18"/>
        <v>-6.5382434176919357E-4</v>
      </c>
      <c r="L589">
        <f t="shared" si="19"/>
        <v>2.8607625936922338E-4</v>
      </c>
    </row>
    <row r="590" spans="1:12" x14ac:dyDescent="0.3">
      <c r="A590" s="28">
        <v>45251</v>
      </c>
      <c r="B590" s="29">
        <v>0.204386126269749</v>
      </c>
      <c r="C590" s="29">
        <v>0.20456172650097201</v>
      </c>
      <c r="D590" s="29">
        <v>0.20447388</v>
      </c>
      <c r="E590" s="30">
        <v>-1.1266799999999899E-3</v>
      </c>
      <c r="F590" s="30">
        <v>-0.54799461635707203</v>
      </c>
      <c r="G590" s="30">
        <v>11.399419733738201</v>
      </c>
      <c r="H590" s="29">
        <v>0.20447388</v>
      </c>
      <c r="I590" s="29">
        <v>0.20447388</v>
      </c>
      <c r="K590">
        <f t="shared" si="18"/>
        <v>-5.4799461635707258E-3</v>
      </c>
      <c r="L590">
        <f t="shared" si="19"/>
        <v>8.5879052729380856E-4</v>
      </c>
    </row>
    <row r="591" spans="1:12" x14ac:dyDescent="0.3">
      <c r="A591" s="31">
        <v>45250</v>
      </c>
      <c r="B591" s="32">
        <v>0.205511827205656</v>
      </c>
      <c r="C591" s="32">
        <v>0.205689367916572</v>
      </c>
      <c r="D591" s="32">
        <v>0.20560055999999999</v>
      </c>
      <c r="E591" s="33">
        <v>1.23321999999997E-3</v>
      </c>
      <c r="F591" s="33">
        <v>0.60343301429670504</v>
      </c>
      <c r="G591" s="33">
        <v>12.0132462930308</v>
      </c>
      <c r="H591" s="32">
        <v>0.20560055999999999</v>
      </c>
      <c r="I591" s="32">
        <v>0.20560055999999999</v>
      </c>
      <c r="K591">
        <f t="shared" si="18"/>
        <v>6.0343301429670593E-3</v>
      </c>
      <c r="L591">
        <f t="shared" si="19"/>
        <v>8.6352250653401214E-4</v>
      </c>
    </row>
    <row r="592" spans="1:12" x14ac:dyDescent="0.3">
      <c r="A592" s="28">
        <v>45247</v>
      </c>
      <c r="B592" s="29">
        <v>0.204336010135066</v>
      </c>
      <c r="C592" s="29">
        <v>0.20439865914479599</v>
      </c>
      <c r="D592" s="29">
        <v>0.20436734000000001</v>
      </c>
      <c r="E592" s="30">
        <v>-1.5740699999999799E-3</v>
      </c>
      <c r="F592" s="30">
        <v>-0.76432903902132698</v>
      </c>
      <c r="G592" s="30">
        <v>11.341375673643901</v>
      </c>
      <c r="H592" s="29">
        <v>0.20436734000000001</v>
      </c>
      <c r="I592" s="29">
        <v>0.20436734000000001</v>
      </c>
      <c r="K592">
        <f t="shared" si="18"/>
        <v>-7.6432903902132754E-3</v>
      </c>
      <c r="L592">
        <f t="shared" si="19"/>
        <v>3.0655098671829138E-4</v>
      </c>
    </row>
    <row r="593" spans="1:12" x14ac:dyDescent="0.3">
      <c r="A593" s="31">
        <v>45246</v>
      </c>
      <c r="B593" s="32">
        <v>0.20590536589383501</v>
      </c>
      <c r="C593" s="32">
        <v>0.205977466065212</v>
      </c>
      <c r="D593" s="32">
        <v>0.20594140999999999</v>
      </c>
      <c r="E593" s="33">
        <v>4.0634000000000498E-4</v>
      </c>
      <c r="F593" s="33">
        <v>0.197698621456665</v>
      </c>
      <c r="G593" s="33">
        <v>12.1989447901506</v>
      </c>
      <c r="H593" s="32">
        <v>0.20594140999999999</v>
      </c>
      <c r="I593" s="32">
        <v>0.20594140999999999</v>
      </c>
      <c r="K593">
        <f t="shared" si="18"/>
        <v>1.9769862145666561E-3</v>
      </c>
      <c r="L593">
        <f t="shared" si="19"/>
        <v>3.5010040660102086E-4</v>
      </c>
    </row>
    <row r="594" spans="1:12" x14ac:dyDescent="0.3">
      <c r="A594" s="28">
        <v>45245</v>
      </c>
      <c r="B594" s="29">
        <v>0.205482266880368</v>
      </c>
      <c r="C594" s="29">
        <v>0.20558787853868099</v>
      </c>
      <c r="D594" s="29">
        <v>0.20553506999999999</v>
      </c>
      <c r="E594" s="30">
        <v>1.01359999999994E-4</v>
      </c>
      <c r="F594" s="30">
        <v>4.9339516868962499E-2</v>
      </c>
      <c r="G594" s="30">
        <v>11.977566684474599</v>
      </c>
      <c r="H594" s="29">
        <v>0.20553506999999999</v>
      </c>
      <c r="I594" s="29">
        <v>0.20553506999999999</v>
      </c>
      <c r="K594">
        <f t="shared" si="18"/>
        <v>4.9339516868962541E-4</v>
      </c>
      <c r="L594">
        <f t="shared" si="19"/>
        <v>5.1383765462990286E-4</v>
      </c>
    </row>
    <row r="595" spans="1:12" x14ac:dyDescent="0.3">
      <c r="A595" s="31">
        <v>45244</v>
      </c>
      <c r="B595" s="32">
        <v>0.20537676367295801</v>
      </c>
      <c r="C595" s="32">
        <v>0.20549071181982601</v>
      </c>
      <c r="D595" s="32">
        <v>0.20543370999999999</v>
      </c>
      <c r="E595" s="33">
        <v>1.96042999999998E-3</v>
      </c>
      <c r="F595" s="33">
        <v>0.96348277277487004</v>
      </c>
      <c r="G595" s="33">
        <v>11.9223447403114</v>
      </c>
      <c r="H595" s="32">
        <v>0.20543370999999999</v>
      </c>
      <c r="I595" s="32">
        <v>0.20543370999999999</v>
      </c>
      <c r="K595">
        <f t="shared" si="18"/>
        <v>9.6348277277487071E-3</v>
      </c>
      <c r="L595">
        <f t="shared" si="19"/>
        <v>5.5467112416941018E-4</v>
      </c>
    </row>
    <row r="596" spans="1:12" x14ac:dyDescent="0.3">
      <c r="A596" s="28">
        <v>45243</v>
      </c>
      <c r="B596" s="29">
        <v>0.20343810395687101</v>
      </c>
      <c r="C596" s="29">
        <v>0.20350848630387899</v>
      </c>
      <c r="D596" s="29">
        <v>0.20347328000000001</v>
      </c>
      <c r="E596" s="30">
        <v>1.59259999999994E-4</v>
      </c>
      <c r="F596" s="30">
        <v>7.83320304226897E-2</v>
      </c>
      <c r="G596" s="30">
        <v>10.854282822434101</v>
      </c>
      <c r="H596" s="29">
        <v>0.20347328000000001</v>
      </c>
      <c r="I596" s="29">
        <v>0.20347328000000001</v>
      </c>
      <c r="K596">
        <f t="shared" si="18"/>
        <v>7.8332030422689769E-4</v>
      </c>
      <c r="L596">
        <f t="shared" si="19"/>
        <v>3.4590461709756496E-4</v>
      </c>
    </row>
    <row r="597" spans="1:12" x14ac:dyDescent="0.3">
      <c r="A597" s="31">
        <v>45240</v>
      </c>
      <c r="B597" s="32">
        <v>0.20326442669268499</v>
      </c>
      <c r="C597" s="32">
        <v>0.20336363451487599</v>
      </c>
      <c r="D597" s="32">
        <v>0.20331402000000001</v>
      </c>
      <c r="E597" s="33">
        <v>-8.8429999999997601E-4</v>
      </c>
      <c r="F597" s="33">
        <v>-0.43305939049840197</v>
      </c>
      <c r="G597" s="33">
        <v>10.7675163778065</v>
      </c>
      <c r="H597" s="32">
        <v>0.20331402000000001</v>
      </c>
      <c r="I597" s="32">
        <v>0.20331402000000001</v>
      </c>
      <c r="K597">
        <f t="shared" si="18"/>
        <v>-4.3305939049840259E-3</v>
      </c>
      <c r="L597">
        <f t="shared" si="19"/>
        <v>4.8795366985021383E-4</v>
      </c>
    </row>
    <row r="598" spans="1:12" x14ac:dyDescent="0.3">
      <c r="A598" s="28">
        <v>45239</v>
      </c>
      <c r="B598" s="29">
        <v>0.20411079133753801</v>
      </c>
      <c r="C598" s="29">
        <v>0.204285918571633</v>
      </c>
      <c r="D598" s="29">
        <v>0.20419831999999999</v>
      </c>
      <c r="E598" s="30">
        <v>-4.7226000000000201E-4</v>
      </c>
      <c r="F598" s="30">
        <v>-0.230741516440713</v>
      </c>
      <c r="G598" s="30">
        <v>11.249291883169599</v>
      </c>
      <c r="H598" s="29">
        <v>0.20419831999999999</v>
      </c>
      <c r="I598" s="29">
        <v>0.20419831999999999</v>
      </c>
      <c r="K598">
        <f t="shared" si="18"/>
        <v>-2.3074151644071339E-3</v>
      </c>
      <c r="L598">
        <f t="shared" si="19"/>
        <v>8.5763307991461703E-4</v>
      </c>
    </row>
    <row r="599" spans="1:12" x14ac:dyDescent="0.3">
      <c r="A599" s="31">
        <v>45238</v>
      </c>
      <c r="B599" s="32">
        <v>0.20457846607066099</v>
      </c>
      <c r="C599" s="32">
        <v>0.20476278231668599</v>
      </c>
      <c r="D599" s="32">
        <v>0.20467057999999999</v>
      </c>
      <c r="E599" s="33">
        <v>-7.3148000000000603E-4</v>
      </c>
      <c r="F599" s="33">
        <v>-0.35612106324542903</v>
      </c>
      <c r="G599" s="33">
        <v>11.506583865712599</v>
      </c>
      <c r="H599" s="32">
        <v>0.20467057999999999</v>
      </c>
      <c r="I599" s="32">
        <v>0.20467057999999999</v>
      </c>
      <c r="K599">
        <f t="shared" si="18"/>
        <v>-3.5612106324542925E-3</v>
      </c>
      <c r="L599">
        <f t="shared" si="19"/>
        <v>9.0055075832098518E-4</v>
      </c>
    </row>
    <row r="600" spans="1:12" x14ac:dyDescent="0.3">
      <c r="A600" s="28">
        <v>45237</v>
      </c>
      <c r="B600" s="29">
        <v>0.205359893212856</v>
      </c>
      <c r="C600" s="29">
        <v>0.20544427324088299</v>
      </c>
      <c r="D600" s="29">
        <v>0.20540206</v>
      </c>
      <c r="E600" s="30">
        <v>1.0200999999999899E-3</v>
      </c>
      <c r="F600" s="30">
        <v>0.49911450110371403</v>
      </c>
      <c r="G600" s="30">
        <v>11.905101503011</v>
      </c>
      <c r="H600" s="29">
        <v>0.20540206</v>
      </c>
      <c r="I600" s="29">
        <v>0.20540206</v>
      </c>
      <c r="K600">
        <f t="shared" si="18"/>
        <v>4.9911450110371458E-3</v>
      </c>
      <c r="L600">
        <f t="shared" si="19"/>
        <v>4.1080419557132196E-4</v>
      </c>
    </row>
    <row r="601" spans="1:12" x14ac:dyDescent="0.3">
      <c r="A601" s="31">
        <v>45236</v>
      </c>
      <c r="B601" s="32">
        <v>0.20432348494135899</v>
      </c>
      <c r="C601" s="32">
        <v>0.204440446497935</v>
      </c>
      <c r="D601" s="32">
        <v>0.20438196</v>
      </c>
      <c r="E601" s="33">
        <v>-1.56760000000005E-4</v>
      </c>
      <c r="F601" s="33">
        <v>-7.6640745576195199E-2</v>
      </c>
      <c r="G601" s="33">
        <v>11.349340796213699</v>
      </c>
      <c r="H601" s="32">
        <v>0.20438196</v>
      </c>
      <c r="I601" s="32">
        <v>0.20438196</v>
      </c>
      <c r="K601">
        <f t="shared" si="18"/>
        <v>-7.6640745576195268E-4</v>
      </c>
      <c r="L601">
        <f t="shared" si="19"/>
        <v>5.7226947317662606E-4</v>
      </c>
    </row>
    <row r="602" spans="1:12" x14ac:dyDescent="0.3">
      <c r="A602" s="28">
        <v>45233</v>
      </c>
      <c r="B602" s="29">
        <v>0.20445298603586101</v>
      </c>
      <c r="C602" s="29">
        <v>0.204624514016779</v>
      </c>
      <c r="D602" s="29">
        <v>0.20453872000000001</v>
      </c>
      <c r="E602" s="30">
        <v>2.9806800000000098E-3</v>
      </c>
      <c r="F602" s="30">
        <v>1.4788196987825399</v>
      </c>
      <c r="G602" s="30">
        <v>11.434745215777999</v>
      </c>
      <c r="H602" s="29">
        <v>0.20453872000000001</v>
      </c>
      <c r="I602" s="29">
        <v>0.20453872000000001</v>
      </c>
      <c r="K602">
        <f t="shared" si="18"/>
        <v>1.4788196987825408E-2</v>
      </c>
      <c r="L602">
        <f t="shared" si="19"/>
        <v>8.3860885077402644E-4</v>
      </c>
    </row>
    <row r="603" spans="1:12" x14ac:dyDescent="0.3">
      <c r="A603" s="31">
        <v>45232</v>
      </c>
      <c r="B603" s="32">
        <v>0.201474795503083</v>
      </c>
      <c r="C603" s="32">
        <v>0.20164136067590199</v>
      </c>
      <c r="D603" s="32">
        <v>0.20155803999999999</v>
      </c>
      <c r="E603" s="33">
        <v>2.23376E-3</v>
      </c>
      <c r="F603" s="33">
        <v>1.1206662831040901</v>
      </c>
      <c r="G603" s="33">
        <v>9.8108408695996108</v>
      </c>
      <c r="H603" s="32">
        <v>0.20155803999999999</v>
      </c>
      <c r="I603" s="32">
        <v>0.20155803999999999</v>
      </c>
      <c r="K603">
        <f t="shared" si="18"/>
        <v>1.1206662831040992E-2</v>
      </c>
      <c r="L603">
        <f t="shared" si="19"/>
        <v>8.2638813524376774E-4</v>
      </c>
    </row>
    <row r="604" spans="1:12" x14ac:dyDescent="0.3">
      <c r="A604" s="28">
        <v>45231</v>
      </c>
      <c r="B604" s="29">
        <v>0.19927066935017801</v>
      </c>
      <c r="C604" s="29">
        <v>0.19937794082462701</v>
      </c>
      <c r="D604" s="29">
        <v>0.19932427999999999</v>
      </c>
      <c r="E604" s="30">
        <v>1.0296299999999999E-3</v>
      </c>
      <c r="F604" s="30">
        <v>0.51924245056536</v>
      </c>
      <c r="G604" s="30">
        <v>8.5938660275100691</v>
      </c>
      <c r="H604" s="29">
        <v>0.19932427999999999</v>
      </c>
      <c r="I604" s="29">
        <v>0.19932427999999999</v>
      </c>
      <c r="K604">
        <f t="shared" si="18"/>
        <v>5.1924245056536034E-3</v>
      </c>
      <c r="L604">
        <f t="shared" si="19"/>
        <v>5.381756525045518E-4</v>
      </c>
    </row>
    <row r="605" spans="1:12" x14ac:dyDescent="0.3">
      <c r="A605" s="31">
        <v>45230</v>
      </c>
      <c r="B605" s="32">
        <v>0.198255352894528</v>
      </c>
      <c r="C605" s="32">
        <v>0.19833399444664801</v>
      </c>
      <c r="D605" s="32">
        <v>0.19829464999999999</v>
      </c>
      <c r="E605" s="33">
        <v>-1.1805000000000801E-4</v>
      </c>
      <c r="F605" s="33">
        <v>-5.9497199524027801E-2</v>
      </c>
      <c r="G605" s="33">
        <v>8.0329132811717692</v>
      </c>
      <c r="H605" s="32">
        <v>0.19829464999999999</v>
      </c>
      <c r="I605" s="32">
        <v>0.19829464999999999</v>
      </c>
      <c r="K605">
        <f t="shared" si="18"/>
        <v>-5.9497199524027877E-4</v>
      </c>
      <c r="L605">
        <f t="shared" si="19"/>
        <v>3.9658937908817403E-4</v>
      </c>
    </row>
    <row r="606" spans="1:12" x14ac:dyDescent="0.3">
      <c r="A606" s="28">
        <v>45229</v>
      </c>
      <c r="B606" s="29">
        <v>0.19837333862328899</v>
      </c>
      <c r="C606" s="29">
        <v>0.19845207382417099</v>
      </c>
      <c r="D606" s="29">
        <v>0.1984127</v>
      </c>
      <c r="E606" s="30">
        <v>-3.5972899999999999E-3</v>
      </c>
      <c r="F606" s="30">
        <v>-1.78074856594964</v>
      </c>
      <c r="G606" s="30">
        <v>8.0972281046571393</v>
      </c>
      <c r="H606" s="29">
        <v>0.1984127</v>
      </c>
      <c r="I606" s="29">
        <v>0.1984127</v>
      </c>
      <c r="K606">
        <f t="shared" si="18"/>
        <v>-1.7807485659496414E-2</v>
      </c>
      <c r="L606">
        <f t="shared" si="19"/>
        <v>3.9682540927068642E-4</v>
      </c>
    </row>
    <row r="607" spans="1:12" x14ac:dyDescent="0.3">
      <c r="A607" s="31">
        <v>45226</v>
      </c>
      <c r="B607" s="32">
        <v>0.201922300298845</v>
      </c>
      <c r="C607" s="32">
        <v>0.20209777490349801</v>
      </c>
      <c r="D607" s="32">
        <v>0.20200999</v>
      </c>
      <c r="E607" s="33">
        <v>2.0919599999999999E-3</v>
      </c>
      <c r="F607" s="33">
        <v>1.04640887067564</v>
      </c>
      <c r="G607" s="33">
        <v>10.0570677605289</v>
      </c>
      <c r="H607" s="32">
        <v>0.20200999</v>
      </c>
      <c r="I607" s="32">
        <v>0.20200999</v>
      </c>
      <c r="K607">
        <f t="shared" si="18"/>
        <v>1.0464088706756414E-2</v>
      </c>
      <c r="L607">
        <f t="shared" si="19"/>
        <v>8.6864320251193083E-4</v>
      </c>
    </row>
    <row r="608" spans="1:12" x14ac:dyDescent="0.3">
      <c r="A608" s="28">
        <v>45225</v>
      </c>
      <c r="B608" s="29">
        <v>0.19986009793144799</v>
      </c>
      <c r="C608" s="29">
        <v>0.199976002879654</v>
      </c>
      <c r="D608" s="29">
        <v>0.19991803</v>
      </c>
      <c r="E608" s="30">
        <v>-3.9979999999994999E-5</v>
      </c>
      <c r="F608" s="30">
        <v>-1.99941977818252E-2</v>
      </c>
      <c r="G608" s="30">
        <v>8.9173469800254104</v>
      </c>
      <c r="H608" s="29">
        <v>0.19991803</v>
      </c>
      <c r="I608" s="29">
        <v>0.19991803</v>
      </c>
      <c r="K608">
        <f t="shared" si="18"/>
        <v>-1.9994197781825207E-4</v>
      </c>
      <c r="L608">
        <f t="shared" si="19"/>
        <v>5.7976235663193421E-4</v>
      </c>
    </row>
    <row r="609" spans="1:12" x14ac:dyDescent="0.3">
      <c r="A609" s="31">
        <v>45224</v>
      </c>
      <c r="B609" s="32">
        <v>0.199916035265189</v>
      </c>
      <c r="C609" s="32">
        <v>0.2</v>
      </c>
      <c r="D609" s="32">
        <v>0.19995800999999999</v>
      </c>
      <c r="E609" s="33">
        <v>-1.6807000000002001E-4</v>
      </c>
      <c r="F609" s="33">
        <v>-8.3982057710829602E-2</v>
      </c>
      <c r="G609" s="33">
        <v>8.9391284848364698</v>
      </c>
      <c r="H609" s="32">
        <v>0.19995800999999999</v>
      </c>
      <c r="I609" s="32">
        <v>0.19995800999999999</v>
      </c>
      <c r="K609">
        <f t="shared" si="18"/>
        <v>-8.3982057710829672E-4</v>
      </c>
      <c r="L609">
        <f t="shared" si="19"/>
        <v>4.1991183454471027E-4</v>
      </c>
    </row>
    <row r="610" spans="1:12" x14ac:dyDescent="0.3">
      <c r="A610" s="28">
        <v>45223</v>
      </c>
      <c r="B610" s="29">
        <v>0.20008403529482399</v>
      </c>
      <c r="C610" s="29">
        <v>0.20016814123863999</v>
      </c>
      <c r="D610" s="29">
        <v>0.20012608000000001</v>
      </c>
      <c r="E610" s="30">
        <v>5.5714000000001097E-4</v>
      </c>
      <c r="F610" s="30">
        <v>0.27917169876234799</v>
      </c>
      <c r="G610" s="30">
        <v>9.0306947057868001</v>
      </c>
      <c r="H610" s="29">
        <v>0.20012608000000001</v>
      </c>
      <c r="I610" s="29">
        <v>0.20012608000000001</v>
      </c>
      <c r="K610">
        <f t="shared" si="18"/>
        <v>2.7917169876234826E-3</v>
      </c>
      <c r="L610">
        <f t="shared" si="19"/>
        <v>4.2026478416005828E-4</v>
      </c>
    </row>
    <row r="611" spans="1:12" x14ac:dyDescent="0.3">
      <c r="A611" s="31">
        <v>45222</v>
      </c>
      <c r="B611" s="32">
        <v>0.19952114924181999</v>
      </c>
      <c r="C611" s="32">
        <v>0.19961673586713499</v>
      </c>
      <c r="D611" s="32">
        <v>0.19956894</v>
      </c>
      <c r="E611" s="33">
        <v>1.4883400000000001E-3</v>
      </c>
      <c r="F611" s="33">
        <v>0.75138100349050296</v>
      </c>
      <c r="G611" s="33">
        <v>8.72715924829728</v>
      </c>
      <c r="H611" s="32">
        <v>0.19956894</v>
      </c>
      <c r="I611" s="32">
        <v>0.19956894</v>
      </c>
      <c r="K611">
        <f t="shared" si="18"/>
        <v>7.513810034905033E-3</v>
      </c>
      <c r="L611">
        <f t="shared" si="19"/>
        <v>4.7896544078954791E-4</v>
      </c>
    </row>
    <row r="612" spans="1:12" x14ac:dyDescent="0.3">
      <c r="A612" s="28">
        <v>45219</v>
      </c>
      <c r="B612" s="29">
        <v>0.19805117642398801</v>
      </c>
      <c r="C612" s="29">
        <v>0.19811003031083499</v>
      </c>
      <c r="D612" s="29">
        <v>0.1980806</v>
      </c>
      <c r="E612" s="30">
        <v>3.85720000000006E-4</v>
      </c>
      <c r="F612" s="30">
        <v>0.19510874535546499</v>
      </c>
      <c r="G612" s="30">
        <v>7.9162966952586604</v>
      </c>
      <c r="H612" s="29">
        <v>0.1980806</v>
      </c>
      <c r="I612" s="29">
        <v>0.1980806</v>
      </c>
      <c r="K612">
        <f t="shared" si="18"/>
        <v>1.9510874535546563E-3</v>
      </c>
      <c r="L612">
        <f t="shared" si="19"/>
        <v>2.9712090354624504E-4</v>
      </c>
    </row>
    <row r="613" spans="1:12" x14ac:dyDescent="0.3">
      <c r="A613" s="31">
        <v>45218</v>
      </c>
      <c r="B613" s="32">
        <v>0.19767143054814301</v>
      </c>
      <c r="C613" s="32">
        <v>0.19771833046641801</v>
      </c>
      <c r="D613" s="32">
        <v>0.19769487999999999</v>
      </c>
      <c r="E613" s="33">
        <v>3.8226999999999001E-4</v>
      </c>
      <c r="F613" s="33">
        <v>0.19373825119437499</v>
      </c>
      <c r="G613" s="33">
        <v>7.7061525723041902</v>
      </c>
      <c r="H613" s="32">
        <v>0.19769487999999999</v>
      </c>
      <c r="I613" s="32">
        <v>0.19769487999999999</v>
      </c>
      <c r="K613">
        <f t="shared" si="18"/>
        <v>1.9373825119437527E-3</v>
      </c>
      <c r="L613">
        <f t="shared" si="19"/>
        <v>2.3723385388129794E-4</v>
      </c>
    </row>
    <row r="614" spans="1:12" x14ac:dyDescent="0.3">
      <c r="A614" s="28">
        <v>45217</v>
      </c>
      <c r="B614" s="29">
        <v>0.19728146146106701</v>
      </c>
      <c r="C614" s="29">
        <v>0.197343753083496</v>
      </c>
      <c r="D614" s="29">
        <v>0.19731261</v>
      </c>
      <c r="E614" s="30">
        <v>-1.7597099999999901E-3</v>
      </c>
      <c r="F614" s="30">
        <v>-0.88395513750982802</v>
      </c>
      <c r="G614" s="30">
        <v>7.4978880439369702</v>
      </c>
      <c r="H614" s="29">
        <v>0.19731261</v>
      </c>
      <c r="I614" s="29">
        <v>0.19731261</v>
      </c>
      <c r="K614">
        <f t="shared" si="18"/>
        <v>-8.8395513750982868E-3</v>
      </c>
      <c r="L614">
        <f t="shared" si="19"/>
        <v>3.1570015940182098E-4</v>
      </c>
    </row>
    <row r="615" spans="1:12" x14ac:dyDescent="0.3">
      <c r="A615" s="31">
        <v>45216</v>
      </c>
      <c r="B615" s="32">
        <v>0.19903270107278601</v>
      </c>
      <c r="C615" s="32">
        <v>0.19911196065547701</v>
      </c>
      <c r="D615" s="32">
        <v>0.19907232</v>
      </c>
      <c r="E615" s="33">
        <v>1.1994599999999799E-3</v>
      </c>
      <c r="F615" s="33">
        <v>0.60617711797361595</v>
      </c>
      <c r="G615" s="33">
        <v>8.4565956935382598</v>
      </c>
      <c r="H615" s="32">
        <v>0.19907232</v>
      </c>
      <c r="I615" s="32">
        <v>0.19907232</v>
      </c>
      <c r="K615">
        <f t="shared" si="18"/>
        <v>6.061771179736164E-3</v>
      </c>
      <c r="L615">
        <f t="shared" si="19"/>
        <v>3.9814466768159807E-4</v>
      </c>
    </row>
    <row r="616" spans="1:12" x14ac:dyDescent="0.3">
      <c r="A616" s="28">
        <v>45215</v>
      </c>
      <c r="B616" s="29">
        <v>0.19784742006964201</v>
      </c>
      <c r="C616" s="29">
        <v>0.197898319843265</v>
      </c>
      <c r="D616" s="29">
        <v>0.19787286000000001</v>
      </c>
      <c r="E616" s="30">
        <v>4.8820000000002097E-4</v>
      </c>
      <c r="F616" s="30">
        <v>0.24733431665866501</v>
      </c>
      <c r="G616" s="30">
        <v>7.8031178606051297</v>
      </c>
      <c r="H616" s="29">
        <v>0.19787286000000001</v>
      </c>
      <c r="I616" s="29">
        <v>0.19787286000000001</v>
      </c>
      <c r="K616">
        <f t="shared" si="18"/>
        <v>2.4733431665866501E-3</v>
      </c>
      <c r="L616">
        <f t="shared" si="19"/>
        <v>2.5723473963529985E-4</v>
      </c>
    </row>
    <row r="617" spans="1:12" x14ac:dyDescent="0.3">
      <c r="A617" s="31">
        <v>45212</v>
      </c>
      <c r="B617" s="32">
        <v>0.19737101803971099</v>
      </c>
      <c r="C617" s="32">
        <v>0.19739829053080399</v>
      </c>
      <c r="D617" s="32">
        <v>0.19738465999999999</v>
      </c>
      <c r="E617" s="33">
        <v>-6.7438000000000198E-4</v>
      </c>
      <c r="F617" s="33">
        <v>-0.34049443034763699</v>
      </c>
      <c r="G617" s="33">
        <v>7.5371416062590404</v>
      </c>
      <c r="H617" s="32">
        <v>0.19738465999999999</v>
      </c>
      <c r="I617" s="32">
        <v>0.19738465999999999</v>
      </c>
      <c r="K617">
        <f t="shared" si="18"/>
        <v>-3.404944303476376E-3</v>
      </c>
      <c r="L617">
        <f t="shared" si="19"/>
        <v>1.3816925334012511E-4</v>
      </c>
    </row>
    <row r="618" spans="1:12" x14ac:dyDescent="0.3">
      <c r="A618" s="28">
        <v>45211</v>
      </c>
      <c r="B618" s="29">
        <v>0.19802764465919401</v>
      </c>
      <c r="C618" s="29">
        <v>0.19809040846242201</v>
      </c>
      <c r="D618" s="29">
        <v>0.19805903999999999</v>
      </c>
      <c r="E618" s="30">
        <v>1.09780000000003E-4</v>
      </c>
      <c r="F618" s="30">
        <v>5.5458656425400002E-2</v>
      </c>
      <c r="G618" s="30">
        <v>7.9045505911134297</v>
      </c>
      <c r="H618" s="29">
        <v>0.19805903999999999</v>
      </c>
      <c r="I618" s="29">
        <v>0.19805903999999999</v>
      </c>
      <c r="K618">
        <f t="shared" si="18"/>
        <v>5.5458656425400044E-4</v>
      </c>
      <c r="L618">
        <f t="shared" si="19"/>
        <v>3.1689441303969437E-4</v>
      </c>
    </row>
    <row r="619" spans="1:12" x14ac:dyDescent="0.3">
      <c r="A619" s="31">
        <v>45210</v>
      </c>
      <c r="B619" s="32">
        <v>0.197937491340235</v>
      </c>
      <c r="C619" s="32">
        <v>0.197961001682669</v>
      </c>
      <c r="D619" s="32">
        <v>0.19794925999999999</v>
      </c>
      <c r="E619" s="33">
        <v>9.980799999999841E-4</v>
      </c>
      <c r="F619" s="33">
        <v>0.506765179066204</v>
      </c>
      <c r="G619" s="33">
        <v>7.8447413465371998</v>
      </c>
      <c r="H619" s="32">
        <v>0.19794925999999999</v>
      </c>
      <c r="I619" s="32">
        <v>0.19794925999999999</v>
      </c>
      <c r="K619">
        <f t="shared" si="18"/>
        <v>5.0676517906620422E-3</v>
      </c>
      <c r="L619">
        <f t="shared" si="19"/>
        <v>1.187695393961169E-4</v>
      </c>
    </row>
    <row r="620" spans="1:12" x14ac:dyDescent="0.3">
      <c r="A620" s="28">
        <v>45209</v>
      </c>
      <c r="B620" s="29">
        <v>0.19692792437967699</v>
      </c>
      <c r="C620" s="29">
        <v>0.19697447210841501</v>
      </c>
      <c r="D620" s="29">
        <v>0.19695118</v>
      </c>
      <c r="E620" s="30">
        <v>3.5855499999999899E-3</v>
      </c>
      <c r="F620" s="30">
        <v>1.8542850660688801</v>
      </c>
      <c r="G620" s="30">
        <v>7.3009773564967704</v>
      </c>
      <c r="H620" s="29">
        <v>0.19695118</v>
      </c>
      <c r="I620" s="29">
        <v>0.19695118</v>
      </c>
      <c r="K620">
        <f t="shared" si="18"/>
        <v>1.8542850660688837E-2</v>
      </c>
      <c r="L620">
        <f t="shared" si="19"/>
        <v>2.3634145648694394E-4</v>
      </c>
    </row>
    <row r="621" spans="1:12" x14ac:dyDescent="0.3">
      <c r="A621" s="31">
        <v>45208</v>
      </c>
      <c r="B621" s="32">
        <v>0.19334506293381801</v>
      </c>
      <c r="C621" s="32">
        <v>0.193386192225875</v>
      </c>
      <c r="D621" s="32">
        <v>0.19336563000000001</v>
      </c>
      <c r="E621" s="33">
        <v>5.8341000000000599E-4</v>
      </c>
      <c r="F621" s="33">
        <v>0.302626455904486</v>
      </c>
      <c r="G621" s="33">
        <v>5.3475337703218297</v>
      </c>
      <c r="H621" s="32">
        <v>0.19336563000000001</v>
      </c>
      <c r="I621" s="32">
        <v>0.19336563000000001</v>
      </c>
      <c r="K621">
        <f t="shared" si="18"/>
        <v>3.0262645590448667E-3</v>
      </c>
      <c r="L621">
        <f t="shared" si="19"/>
        <v>2.1270218526938092E-4</v>
      </c>
    </row>
    <row r="622" spans="1:12" x14ac:dyDescent="0.3">
      <c r="A622" s="28">
        <v>45205</v>
      </c>
      <c r="B622" s="29">
        <v>0.19275993677474099</v>
      </c>
      <c r="C622" s="29">
        <v>0.19280453476265799</v>
      </c>
      <c r="D622" s="29">
        <v>0.19278222</v>
      </c>
      <c r="E622" s="30">
        <v>-4.1715999999999899E-4</v>
      </c>
      <c r="F622" s="30">
        <v>-0.21592201796920499</v>
      </c>
      <c r="G622" s="30">
        <v>5.0296861534679804</v>
      </c>
      <c r="H622" s="29">
        <v>0.19278222</v>
      </c>
      <c r="I622" s="29">
        <v>0.19278222</v>
      </c>
      <c r="K622">
        <f t="shared" si="18"/>
        <v>-2.1592201796920563E-3</v>
      </c>
      <c r="L622">
        <f t="shared" si="19"/>
        <v>2.3133869875035951E-4</v>
      </c>
    </row>
    <row r="623" spans="1:12" x14ac:dyDescent="0.3">
      <c r="A623" s="31">
        <v>45204</v>
      </c>
      <c r="B623" s="32">
        <v>0.19316206297083299</v>
      </c>
      <c r="C623" s="32">
        <v>0.19323671497584499</v>
      </c>
      <c r="D623" s="32">
        <v>0.19319938</v>
      </c>
      <c r="E623" s="33">
        <v>-4.5646999999998601E-4</v>
      </c>
      <c r="F623" s="33">
        <v>-0.23571196016024501</v>
      </c>
      <c r="G623" s="33">
        <v>5.2569591036175298</v>
      </c>
      <c r="H623" s="32">
        <v>0.19319938</v>
      </c>
      <c r="I623" s="32">
        <v>0.19319938</v>
      </c>
      <c r="K623">
        <f t="shared" si="18"/>
        <v>-2.3571196016024532E-3</v>
      </c>
      <c r="L623">
        <f t="shared" si="19"/>
        <v>3.8639878146606475E-4</v>
      </c>
    </row>
    <row r="624" spans="1:12" x14ac:dyDescent="0.3">
      <c r="A624" s="28">
        <v>45203</v>
      </c>
      <c r="B624" s="29">
        <v>0.19364083497928</v>
      </c>
      <c r="C624" s="29">
        <v>0.19367083704535801</v>
      </c>
      <c r="D624" s="29">
        <v>0.19365584999999999</v>
      </c>
      <c r="E624" s="30">
        <v>-1.29112E-3</v>
      </c>
      <c r="F624" s="30">
        <v>-0.66229293022610403</v>
      </c>
      <c r="G624" s="30">
        <v>5.50564853586119</v>
      </c>
      <c r="H624" s="29">
        <v>0.19365584999999999</v>
      </c>
      <c r="I624" s="29">
        <v>0.19365584999999999</v>
      </c>
      <c r="K624">
        <f t="shared" si="18"/>
        <v>-6.6229293022610491E-3</v>
      </c>
      <c r="L624">
        <f t="shared" si="19"/>
        <v>1.5492465669384828E-4</v>
      </c>
    </row>
    <row r="625" spans="1:12" x14ac:dyDescent="0.3">
      <c r="A625" s="31">
        <v>45202</v>
      </c>
      <c r="B625" s="32">
        <v>0.19492417449612101</v>
      </c>
      <c r="C625" s="32">
        <v>0.194969779684149</v>
      </c>
      <c r="D625" s="32">
        <v>0.19494697</v>
      </c>
      <c r="E625" s="33">
        <v>-2.2430800000000002E-3</v>
      </c>
      <c r="F625" s="33">
        <v>-1.13752189829051</v>
      </c>
      <c r="G625" s="33">
        <v>6.2090636557123204</v>
      </c>
      <c r="H625" s="32">
        <v>0.19494697</v>
      </c>
      <c r="I625" s="32">
        <v>0.19494697</v>
      </c>
      <c r="K625">
        <f t="shared" si="18"/>
        <v>-1.1375218982905166E-2</v>
      </c>
      <c r="L625">
        <f t="shared" si="19"/>
        <v>2.3393637781590648E-4</v>
      </c>
    </row>
    <row r="626" spans="1:12" x14ac:dyDescent="0.3">
      <c r="A626" s="28">
        <v>45201</v>
      </c>
      <c r="B626" s="29">
        <v>0.197168658070113</v>
      </c>
      <c r="C626" s="29">
        <v>0.197211430374504</v>
      </c>
      <c r="D626" s="29">
        <v>0.19719005000000001</v>
      </c>
      <c r="E626" s="30">
        <v>-2.6021699999999801E-3</v>
      </c>
      <c r="F626" s="30">
        <v>-1.30243810294514</v>
      </c>
      <c r="G626" s="30">
        <v>7.4311161272375497</v>
      </c>
      <c r="H626" s="29">
        <v>0.19719005000000001</v>
      </c>
      <c r="I626" s="29">
        <v>0.19719005000000001</v>
      </c>
      <c r="K626">
        <f t="shared" si="18"/>
        <v>-1.3024381029451471E-2</v>
      </c>
      <c r="L626">
        <f t="shared" si="19"/>
        <v>2.1690903973607632E-4</v>
      </c>
    </row>
    <row r="627" spans="1:12" x14ac:dyDescent="0.3">
      <c r="A627" s="31">
        <v>45198</v>
      </c>
      <c r="B627" s="32">
        <v>0.19974831712042801</v>
      </c>
      <c r="C627" s="32">
        <v>0.19983613436981701</v>
      </c>
      <c r="D627" s="32">
        <v>0.19979221999999999</v>
      </c>
      <c r="E627" s="33">
        <v>1.71554999999998E-3</v>
      </c>
      <c r="F627" s="33">
        <v>0.86610401921638402</v>
      </c>
      <c r="G627" s="33">
        <v>8.8488044307437992</v>
      </c>
      <c r="H627" s="32">
        <v>0.19979221999999999</v>
      </c>
      <c r="I627" s="32">
        <v>0.19979221999999999</v>
      </c>
      <c r="K627">
        <f t="shared" si="18"/>
        <v>8.6610401921638491E-3</v>
      </c>
      <c r="L627">
        <f t="shared" si="19"/>
        <v>4.3954288805139405E-4</v>
      </c>
    </row>
    <row r="628" spans="1:12" x14ac:dyDescent="0.3">
      <c r="A628" s="28">
        <v>45197</v>
      </c>
      <c r="B628" s="29">
        <v>0.19801588087364599</v>
      </c>
      <c r="C628" s="29">
        <v>0.19813750743015701</v>
      </c>
      <c r="D628" s="29">
        <v>0.19807667000000001</v>
      </c>
      <c r="E628" s="30">
        <v>-7.6605999999998498E-4</v>
      </c>
      <c r="F628" s="30">
        <v>-0.38525924483132601</v>
      </c>
      <c r="G628" s="30">
        <v>7.9141555918592799</v>
      </c>
      <c r="H628" s="29">
        <v>0.19807667000000001</v>
      </c>
      <c r="I628" s="29">
        <v>0.19807667000000001</v>
      </c>
      <c r="K628">
        <f t="shared" si="18"/>
        <v>-3.8525924483132634E-3</v>
      </c>
      <c r="L628">
        <f t="shared" si="19"/>
        <v>6.1403776886504347E-4</v>
      </c>
    </row>
    <row r="629" spans="1:12" x14ac:dyDescent="0.3">
      <c r="A629" s="31">
        <v>45196</v>
      </c>
      <c r="B629" s="32">
        <v>0.19882296802926699</v>
      </c>
      <c r="C629" s="32">
        <v>0.198862506463031</v>
      </c>
      <c r="D629" s="32">
        <v>0.19884273</v>
      </c>
      <c r="E629" s="33">
        <v>-2.56916000000001E-3</v>
      </c>
      <c r="F629" s="33">
        <v>-1.27557514107037</v>
      </c>
      <c r="G629" s="33">
        <v>8.3315127598321599</v>
      </c>
      <c r="H629" s="32">
        <v>0.19884273</v>
      </c>
      <c r="I629" s="32">
        <v>0.19884273</v>
      </c>
      <c r="K629">
        <f t="shared" si="18"/>
        <v>-1.2755751410703731E-2</v>
      </c>
      <c r="L629">
        <f t="shared" si="19"/>
        <v>1.9884274252321204E-4</v>
      </c>
    </row>
    <row r="630" spans="1:12" x14ac:dyDescent="0.3">
      <c r="A630" s="28">
        <v>45195</v>
      </c>
      <c r="B630" s="29">
        <v>0.201385532463348</v>
      </c>
      <c r="C630" s="29">
        <v>0.201438269242391</v>
      </c>
      <c r="D630" s="29">
        <v>0.20141189000000001</v>
      </c>
      <c r="E630" s="30">
        <v>-4.05699999999897E-5</v>
      </c>
      <c r="F630" s="30">
        <v>-2.0138746382147799E-2</v>
      </c>
      <c r="G630" s="30">
        <v>9.73121688440364</v>
      </c>
      <c r="H630" s="29">
        <v>0.20141189000000001</v>
      </c>
      <c r="I630" s="29">
        <v>0.20141189000000001</v>
      </c>
      <c r="K630">
        <f t="shared" si="18"/>
        <v>-2.0138746382147854E-4</v>
      </c>
      <c r="L630">
        <f t="shared" si="19"/>
        <v>2.6183548073052909E-4</v>
      </c>
    </row>
    <row r="631" spans="1:12" x14ac:dyDescent="0.3">
      <c r="A631" s="31">
        <v>45194</v>
      </c>
      <c r="B631" s="32">
        <v>0.201430154094068</v>
      </c>
      <c r="C631" s="32">
        <v>0.201474795503083</v>
      </c>
      <c r="D631" s="32">
        <v>0.20145246</v>
      </c>
      <c r="E631" s="33">
        <v>-1.94426E-3</v>
      </c>
      <c r="F631" s="33">
        <v>-0.95589545396799203</v>
      </c>
      <c r="G631" s="33">
        <v>9.7533198271295998</v>
      </c>
      <c r="H631" s="32">
        <v>0.20145246</v>
      </c>
      <c r="I631" s="32">
        <v>0.20145246</v>
      </c>
      <c r="K631">
        <f t="shared" si="18"/>
        <v>-9.5589545396799203E-3</v>
      </c>
      <c r="L631">
        <f t="shared" si="19"/>
        <v>2.2159773583802585E-4</v>
      </c>
    </row>
    <row r="632" spans="1:12" x14ac:dyDescent="0.3">
      <c r="A632" s="28">
        <v>45191</v>
      </c>
      <c r="B632" s="29">
        <v>0.20335122824141899</v>
      </c>
      <c r="C632" s="29">
        <v>0.20344224274728401</v>
      </c>
      <c r="D632" s="29">
        <v>0.20339672</v>
      </c>
      <c r="E632" s="30">
        <v>-2.0799999999876401E-6</v>
      </c>
      <c r="F632" s="30">
        <v>-1.0226215690467501E-3</v>
      </c>
      <c r="G632" s="30">
        <v>10.812572166897899</v>
      </c>
      <c r="H632" s="29">
        <v>0.20339672</v>
      </c>
      <c r="I632" s="29">
        <v>0.20339672</v>
      </c>
      <c r="K632">
        <f t="shared" si="18"/>
        <v>-1.0226215690467555E-5</v>
      </c>
      <c r="L632">
        <f t="shared" si="19"/>
        <v>4.4747282977334598E-4</v>
      </c>
    </row>
    <row r="633" spans="1:12" x14ac:dyDescent="0.3">
      <c r="A633" s="31">
        <v>45190</v>
      </c>
      <c r="B633" s="32">
        <v>0.20335536349771199</v>
      </c>
      <c r="C633" s="32">
        <v>0.20344224274728401</v>
      </c>
      <c r="D633" s="32">
        <v>0.20339879999999999</v>
      </c>
      <c r="E633" s="33">
        <v>-2.9101300000000099E-3</v>
      </c>
      <c r="F633" s="33">
        <v>-1.4105690917014599</v>
      </c>
      <c r="G633" s="33">
        <v>10.813705371750499</v>
      </c>
      <c r="H633" s="32">
        <v>0.20339879999999999</v>
      </c>
      <c r="I633" s="32">
        <v>0.20339879999999999</v>
      </c>
      <c r="K633">
        <f t="shared" si="18"/>
        <v>-1.4105690917014635E-2</v>
      </c>
      <c r="L633">
        <f t="shared" si="19"/>
        <v>4.2713747363314769E-4</v>
      </c>
    </row>
    <row r="634" spans="1:12" x14ac:dyDescent="0.3">
      <c r="A634" s="28">
        <v>45189</v>
      </c>
      <c r="B634" s="29">
        <v>0.206266372393309</v>
      </c>
      <c r="C634" s="29">
        <v>0.20635149914364101</v>
      </c>
      <c r="D634" s="29">
        <v>0.20630893</v>
      </c>
      <c r="E634" s="30">
        <v>4.7985000000000302E-4</v>
      </c>
      <c r="F634" s="30">
        <v>0.23313032347032001</v>
      </c>
      <c r="G634" s="30">
        <v>12.3991733706448</v>
      </c>
      <c r="H634" s="29">
        <v>0.20630893</v>
      </c>
      <c r="I634" s="29">
        <v>0.20630893</v>
      </c>
      <c r="K634">
        <f t="shared" si="18"/>
        <v>2.3313032347032081E-3</v>
      </c>
      <c r="L634">
        <f t="shared" si="19"/>
        <v>4.1261786550882536E-4</v>
      </c>
    </row>
    <row r="635" spans="1:12" x14ac:dyDescent="0.3">
      <c r="A635" s="31">
        <v>45188</v>
      </c>
      <c r="B635" s="32">
        <v>0.20576978476480501</v>
      </c>
      <c r="C635" s="32">
        <v>0.20588840848260201</v>
      </c>
      <c r="D635" s="32">
        <v>0.20582908</v>
      </c>
      <c r="E635" s="33">
        <v>-3.4797999999999698E-4</v>
      </c>
      <c r="F635" s="33">
        <v>-0.168777263581121</v>
      </c>
      <c r="G635" s="33">
        <v>12.1377462800099</v>
      </c>
      <c r="H635" s="32">
        <v>0.20582908</v>
      </c>
      <c r="I635" s="32">
        <v>0.20582908</v>
      </c>
      <c r="K635">
        <f t="shared" si="18"/>
        <v>-1.6877726358112133E-3</v>
      </c>
      <c r="L635">
        <f t="shared" si="19"/>
        <v>5.7632146923554557E-4</v>
      </c>
    </row>
    <row r="636" spans="1:12" x14ac:dyDescent="0.3">
      <c r="A636" s="28">
        <v>45187</v>
      </c>
      <c r="B636" s="29">
        <v>0.20614306328592</v>
      </c>
      <c r="C636" s="29">
        <v>0.206211077659092</v>
      </c>
      <c r="D636" s="29">
        <v>0.20617706</v>
      </c>
      <c r="E636" s="30">
        <v>8.8039000000000802E-4</v>
      </c>
      <c r="F636" s="30">
        <v>0.42883793487737898</v>
      </c>
      <c r="G636" s="30">
        <v>12.3273292726099</v>
      </c>
      <c r="H636" s="29">
        <v>0.20617706</v>
      </c>
      <c r="I636" s="29">
        <v>0.20617706</v>
      </c>
      <c r="K636">
        <f t="shared" si="18"/>
        <v>4.2883793487737965E-3</v>
      </c>
      <c r="L636">
        <f t="shared" si="19"/>
        <v>3.2988332054011458E-4</v>
      </c>
    </row>
    <row r="637" spans="1:12" x14ac:dyDescent="0.3">
      <c r="A637" s="31">
        <v>45184</v>
      </c>
      <c r="B637" s="32">
        <v>0.20526294182848201</v>
      </c>
      <c r="C637" s="32">
        <v>0.20533037657591099</v>
      </c>
      <c r="D637" s="32">
        <v>0.20529666999999999</v>
      </c>
      <c r="E637" s="33">
        <v>9.6909999999977807E-5</v>
      </c>
      <c r="F637" s="33">
        <v>4.7227150752981999E-2</v>
      </c>
      <c r="G637" s="33">
        <v>11.847683974445699</v>
      </c>
      <c r="H637" s="32">
        <v>0.20529666999999999</v>
      </c>
      <c r="I637" s="32">
        <v>0.20529666999999999</v>
      </c>
      <c r="K637">
        <f t="shared" si="18"/>
        <v>4.7227150752982006E-4</v>
      </c>
      <c r="L637">
        <f t="shared" si="19"/>
        <v>3.2847462858985935E-4</v>
      </c>
    </row>
    <row r="638" spans="1:12" x14ac:dyDescent="0.3">
      <c r="A638" s="28">
        <v>45183</v>
      </c>
      <c r="B638" s="29">
        <v>0.205170291341814</v>
      </c>
      <c r="C638" s="29">
        <v>0.205229241062267</v>
      </c>
      <c r="D638" s="29">
        <v>0.20519976000000001</v>
      </c>
      <c r="E638" s="30">
        <v>1.36356000000001E-3</v>
      </c>
      <c r="F638" s="30">
        <v>0.66894889131567903</v>
      </c>
      <c r="G638" s="30">
        <v>11.794886434895</v>
      </c>
      <c r="H638" s="29">
        <v>0.20519976000000001</v>
      </c>
      <c r="I638" s="29">
        <v>0.20519976000000001</v>
      </c>
      <c r="K638">
        <f t="shared" si="18"/>
        <v>6.6894889131567936E-3</v>
      </c>
      <c r="L638">
        <f t="shared" si="19"/>
        <v>2.8727967543921783E-4</v>
      </c>
    </row>
    <row r="639" spans="1:12" x14ac:dyDescent="0.3">
      <c r="A639" s="31">
        <v>45182</v>
      </c>
      <c r="B639" s="32">
        <v>0.20380296329508599</v>
      </c>
      <c r="C639" s="32">
        <v>0.20386944200933699</v>
      </c>
      <c r="D639" s="32">
        <v>0.2038362</v>
      </c>
      <c r="E639" s="33">
        <v>1.90165E-3</v>
      </c>
      <c r="F639" s="33">
        <v>0.94171601640233804</v>
      </c>
      <c r="G639" s="33">
        <v>11.052005276811901</v>
      </c>
      <c r="H639" s="32">
        <v>0.2038362</v>
      </c>
      <c r="I639" s="32">
        <v>0.2038362</v>
      </c>
      <c r="K639">
        <f t="shared" si="18"/>
        <v>9.417160164023386E-3</v>
      </c>
      <c r="L639">
        <f t="shared" si="19"/>
        <v>3.2613791981502981E-4</v>
      </c>
    </row>
    <row r="640" spans="1:12" x14ac:dyDescent="0.3">
      <c r="A640" s="28">
        <v>45181</v>
      </c>
      <c r="B640" s="29">
        <v>0.201905992569859</v>
      </c>
      <c r="C640" s="29">
        <v>0.20196308114876599</v>
      </c>
      <c r="D640" s="29">
        <v>0.20193454999999999</v>
      </c>
      <c r="E640" s="30">
        <v>-5.6427000000000495E-4</v>
      </c>
      <c r="F640" s="30">
        <v>-0.27865347561037901</v>
      </c>
      <c r="G640" s="30">
        <v>10.0159672922211</v>
      </c>
      <c r="H640" s="29">
        <v>0.20193454999999999</v>
      </c>
      <c r="I640" s="29">
        <v>0.20193454999999999</v>
      </c>
      <c r="K640">
        <f t="shared" si="18"/>
        <v>-2.7865347561037979E-3</v>
      </c>
      <c r="L640">
        <f t="shared" si="19"/>
        <v>2.8270832755954145E-4</v>
      </c>
    </row>
    <row r="641" spans="1:12" x14ac:dyDescent="0.3">
      <c r="A641" s="31">
        <v>45180</v>
      </c>
      <c r="B641" s="32">
        <v>0.20245783815520399</v>
      </c>
      <c r="C641" s="32">
        <v>0.20253984971543201</v>
      </c>
      <c r="D641" s="32">
        <v>0.20249882</v>
      </c>
      <c r="E641" s="33">
        <v>2.1582400000000001E-3</v>
      </c>
      <c r="F641" s="33">
        <v>1.0772854905381599</v>
      </c>
      <c r="G641" s="33">
        <v>10.323387245190901</v>
      </c>
      <c r="H641" s="32">
        <v>0.20249882</v>
      </c>
      <c r="I641" s="32">
        <v>0.20249882</v>
      </c>
      <c r="K641">
        <f t="shared" si="18"/>
        <v>1.0772854905381601E-2</v>
      </c>
      <c r="L641">
        <f t="shared" si="19"/>
        <v>4.0499771913744278E-4</v>
      </c>
    </row>
    <row r="642" spans="1:12" x14ac:dyDescent="0.3">
      <c r="A642" s="28">
        <v>45177</v>
      </c>
      <c r="B642" s="29">
        <v>0.20029242694333699</v>
      </c>
      <c r="C642" s="29">
        <v>0.200388754183115</v>
      </c>
      <c r="D642" s="29">
        <v>0.20034057999999999</v>
      </c>
      <c r="E642" s="30">
        <v>-4.5859000000000801E-4</v>
      </c>
      <c r="F642" s="30">
        <v>-0.22838241811458099</v>
      </c>
      <c r="G642" s="30">
        <v>9.1475564562112694</v>
      </c>
      <c r="H642" s="29">
        <v>0.20034057999999999</v>
      </c>
      <c r="I642" s="29">
        <v>0.20034057999999999</v>
      </c>
      <c r="K642">
        <f t="shared" si="18"/>
        <v>-2.2838241811458104E-3</v>
      </c>
      <c r="L642">
        <f t="shared" si="19"/>
        <v>4.8081741491419347E-4</v>
      </c>
    </row>
    <row r="643" spans="1:12" x14ac:dyDescent="0.3">
      <c r="A643" s="31">
        <v>45176</v>
      </c>
      <c r="B643" s="32">
        <v>0.20069843053827299</v>
      </c>
      <c r="C643" s="32">
        <v>0.20090003214400501</v>
      </c>
      <c r="D643" s="32">
        <v>0.20079917</v>
      </c>
      <c r="E643" s="33">
        <v>-2.0991000000000699E-4</v>
      </c>
      <c r="F643" s="33">
        <v>-0.104428118371568</v>
      </c>
      <c r="G643" s="33">
        <v>9.39740088570856</v>
      </c>
      <c r="H643" s="32">
        <v>0.20079917</v>
      </c>
      <c r="I643" s="32">
        <v>0.20079917</v>
      </c>
      <c r="K643">
        <f t="shared" si="18"/>
        <v>-1.0442811837156896E-3</v>
      </c>
      <c r="L643">
        <f t="shared" si="19"/>
        <v>1.0039962104027413E-3</v>
      </c>
    </row>
    <row r="644" spans="1:12" x14ac:dyDescent="0.3">
      <c r="A644" s="28">
        <v>45175</v>
      </c>
      <c r="B644" s="29">
        <v>0.20096059162798199</v>
      </c>
      <c r="C644" s="29">
        <v>0.20105756278022399</v>
      </c>
      <c r="D644" s="29">
        <v>0.20100908000000001</v>
      </c>
      <c r="E644" s="30">
        <v>2.0220000000015199E-5</v>
      </c>
      <c r="F644" s="30">
        <v>1.00602590611398E-2</v>
      </c>
      <c r="G644" s="30">
        <v>9.5117619581169706</v>
      </c>
      <c r="H644" s="29">
        <v>0.20100908000000001</v>
      </c>
      <c r="I644" s="29">
        <v>0.20100908000000001</v>
      </c>
      <c r="K644">
        <f t="shared" si="18"/>
        <v>1.0060259061139831E-4</v>
      </c>
      <c r="L644">
        <f t="shared" si="19"/>
        <v>4.8242175050996718E-4</v>
      </c>
    </row>
    <row r="645" spans="1:12" x14ac:dyDescent="0.3">
      <c r="A645" s="31">
        <v>45174</v>
      </c>
      <c r="B645" s="32">
        <v>0.20093232599260599</v>
      </c>
      <c r="C645" s="32">
        <v>0.201045436268597</v>
      </c>
      <c r="D645" s="32">
        <v>0.20098885999999999</v>
      </c>
      <c r="E645" s="33">
        <v>-2.4989200000000099E-3</v>
      </c>
      <c r="F645" s="33">
        <v>-1.22804425897221</v>
      </c>
      <c r="G645" s="33">
        <v>9.5007458994056204</v>
      </c>
      <c r="H645" s="32">
        <v>0.20098885999999999</v>
      </c>
      <c r="I645" s="32">
        <v>0.20098885999999999</v>
      </c>
      <c r="K645">
        <f t="shared" ref="K645:K708" si="20">D645/D646-1</f>
        <v>-1.2280442589722163E-2</v>
      </c>
      <c r="L645">
        <f t="shared" ref="L645:L708" si="21">(C645-B645)/D645</f>
        <v>5.6276888177288751E-4</v>
      </c>
    </row>
    <row r="646" spans="1:12" x14ac:dyDescent="0.3">
      <c r="A646" s="28">
        <v>45173</v>
      </c>
      <c r="B646" s="29">
        <v>0.20345052083333301</v>
      </c>
      <c r="C646" s="29">
        <v>0.203525053934139</v>
      </c>
      <c r="D646" s="29">
        <v>0.20348778000000001</v>
      </c>
      <c r="E646" s="30">
        <v>9.0690000000001603E-4</v>
      </c>
      <c r="F646" s="30">
        <v>0.44767304792041601</v>
      </c>
      <c r="G646" s="30">
        <v>10.862182567800801</v>
      </c>
      <c r="H646" s="29">
        <v>0.20348778000000001</v>
      </c>
      <c r="I646" s="29">
        <v>0.20348778000000001</v>
      </c>
      <c r="K646">
        <f t="shared" si="20"/>
        <v>4.4767304792041607E-3</v>
      </c>
      <c r="L646">
        <f t="shared" si="21"/>
        <v>3.6627801829667699E-4</v>
      </c>
    </row>
    <row r="647" spans="1:12" x14ac:dyDescent="0.3">
      <c r="A647" s="31">
        <v>45170</v>
      </c>
      <c r="B647" s="32">
        <v>0.20253574755944401</v>
      </c>
      <c r="C647" s="32">
        <v>0.20262603339276999</v>
      </c>
      <c r="D647" s="32">
        <v>0.20258087999999999</v>
      </c>
      <c r="E647" s="33">
        <v>5.9945000000000105E-4</v>
      </c>
      <c r="F647" s="33">
        <v>0.296784709366604</v>
      </c>
      <c r="G647" s="33">
        <v>10.3680943558662</v>
      </c>
      <c r="H647" s="32">
        <v>0.20258087999999999</v>
      </c>
      <c r="I647" s="32">
        <v>0.20258087999999999</v>
      </c>
      <c r="K647">
        <f t="shared" si="20"/>
        <v>2.9678470936660428E-3</v>
      </c>
      <c r="L647">
        <f t="shared" si="21"/>
        <v>4.456779599633838E-4</v>
      </c>
    </row>
    <row r="648" spans="1:12" x14ac:dyDescent="0.3">
      <c r="A648" s="28">
        <v>45169</v>
      </c>
      <c r="B648" s="29">
        <v>0.20193861066235899</v>
      </c>
      <c r="C648" s="29">
        <v>0.202024283318855</v>
      </c>
      <c r="D648" s="29">
        <v>0.20198142999999999</v>
      </c>
      <c r="E648" s="30">
        <v>-2.9912100000000202E-3</v>
      </c>
      <c r="F648" s="30">
        <v>-1.45932159531145</v>
      </c>
      <c r="G648" s="30">
        <v>10.0415079862067</v>
      </c>
      <c r="H648" s="29">
        <v>0.20198142999999999</v>
      </c>
      <c r="I648" s="29">
        <v>0.20198142999999999</v>
      </c>
      <c r="K648">
        <f t="shared" si="20"/>
        <v>-1.459321595311458E-2</v>
      </c>
      <c r="L648">
        <f t="shared" si="21"/>
        <v>4.2416105528119742E-4</v>
      </c>
    </row>
    <row r="649" spans="1:12" x14ac:dyDescent="0.3">
      <c r="A649" s="31">
        <v>45168</v>
      </c>
      <c r="B649" s="32">
        <v>0.20493063098141301</v>
      </c>
      <c r="C649" s="32">
        <v>0.20501465854808601</v>
      </c>
      <c r="D649" s="32">
        <v>0.20497264000000001</v>
      </c>
      <c r="E649" s="33">
        <v>-2.03959999999975E-4</v>
      </c>
      <c r="F649" s="33">
        <v>-9.9407047392330306E-2</v>
      </c>
      <c r="G649" s="33">
        <v>11.671149181951399</v>
      </c>
      <c r="H649" s="32">
        <v>0.20497264000000001</v>
      </c>
      <c r="I649" s="32">
        <v>0.20497264000000001</v>
      </c>
      <c r="K649">
        <f t="shared" si="20"/>
        <v>-9.9407047392330306E-4</v>
      </c>
      <c r="L649">
        <f t="shared" si="21"/>
        <v>4.0994528183371494E-4</v>
      </c>
    </row>
    <row r="650" spans="1:12" x14ac:dyDescent="0.3">
      <c r="A650" s="28">
        <v>45167</v>
      </c>
      <c r="B650" s="29">
        <v>0.20513241297257401</v>
      </c>
      <c r="C650" s="29">
        <v>0.20522081759973701</v>
      </c>
      <c r="D650" s="29">
        <v>0.20517659999999999</v>
      </c>
      <c r="E650" s="30">
        <v>1.0845599999999801E-3</v>
      </c>
      <c r="F650" s="30">
        <v>0.53140730035330297</v>
      </c>
      <c r="G650" s="30">
        <v>11.7822686347093</v>
      </c>
      <c r="H650" s="29">
        <v>0.20517659999999999</v>
      </c>
      <c r="I650" s="29">
        <v>0.20517659999999999</v>
      </c>
      <c r="K650">
        <f t="shared" si="20"/>
        <v>5.3140730035330375E-3</v>
      </c>
      <c r="L650">
        <f t="shared" si="21"/>
        <v>4.3087090420156272E-4</v>
      </c>
    </row>
    <row r="651" spans="1:12" x14ac:dyDescent="0.3">
      <c r="A651" s="31">
        <v>45166</v>
      </c>
      <c r="B651" s="32">
        <v>0.20404831864185399</v>
      </c>
      <c r="C651" s="32">
        <v>0.204135791128259</v>
      </c>
      <c r="D651" s="32">
        <v>0.20409204</v>
      </c>
      <c r="E651" s="33">
        <v>-3.4212999999999599E-4</v>
      </c>
      <c r="F651" s="33">
        <v>-0.167354606130665</v>
      </c>
      <c r="G651" s="33">
        <v>11.1913894736819</v>
      </c>
      <c r="H651" s="32">
        <v>0.20409204</v>
      </c>
      <c r="I651" s="32">
        <v>0.20409204</v>
      </c>
      <c r="K651">
        <f t="shared" si="20"/>
        <v>-1.6735460613066522E-3</v>
      </c>
      <c r="L651">
        <f t="shared" si="21"/>
        <v>4.2859332683922762E-4</v>
      </c>
    </row>
    <row r="652" spans="1:12" x14ac:dyDescent="0.3">
      <c r="A652" s="28">
        <v>45163</v>
      </c>
      <c r="B652" s="29">
        <v>0.20436941816026699</v>
      </c>
      <c r="C652" s="29">
        <v>0.20449897750511201</v>
      </c>
      <c r="D652" s="29">
        <v>0.20443417</v>
      </c>
      <c r="E652" s="30">
        <v>-7.97180000000008E-4</v>
      </c>
      <c r="F652" s="30">
        <v>-0.388429935290102</v>
      </c>
      <c r="G652" s="30">
        <v>11.377785327633999</v>
      </c>
      <c r="H652" s="29">
        <v>0.20443417</v>
      </c>
      <c r="I652" s="29">
        <v>0.20443417</v>
      </c>
      <c r="K652">
        <f t="shared" si="20"/>
        <v>-3.8842993529010217E-3</v>
      </c>
      <c r="L652">
        <f t="shared" si="21"/>
        <v>6.3374603592449821E-4</v>
      </c>
    </row>
    <row r="653" spans="1:12" x14ac:dyDescent="0.3">
      <c r="A653" s="31">
        <v>45162</v>
      </c>
      <c r="B653" s="32">
        <v>0.205174500913027</v>
      </c>
      <c r="C653" s="32">
        <v>0.20528822466743299</v>
      </c>
      <c r="D653" s="32">
        <v>0.20523135000000001</v>
      </c>
      <c r="E653" s="33">
        <v>6.8008999999999398E-4</v>
      </c>
      <c r="F653" s="33">
        <v>0.33247900795134699</v>
      </c>
      <c r="G653" s="33">
        <v>11.8120969835939</v>
      </c>
      <c r="H653" s="32">
        <v>0.20523135000000001</v>
      </c>
      <c r="I653" s="32">
        <v>0.20523135000000001</v>
      </c>
      <c r="K653">
        <f t="shared" si="20"/>
        <v>3.3247900795134733E-3</v>
      </c>
      <c r="L653">
        <f t="shared" si="21"/>
        <v>5.5412467152797138E-4</v>
      </c>
    </row>
    <row r="654" spans="1:12" x14ac:dyDescent="0.3">
      <c r="A654" s="28">
        <v>45161</v>
      </c>
      <c r="B654" s="29">
        <v>0.20452825557850801</v>
      </c>
      <c r="C654" s="29">
        <v>0.20457428092140301</v>
      </c>
      <c r="D654" s="29">
        <v>0.20455126000000001</v>
      </c>
      <c r="E654" s="30">
        <v>1.69093E-3</v>
      </c>
      <c r="F654" s="30">
        <v>0.83354394622152606</v>
      </c>
      <c r="G654" s="30">
        <v>11.4415771334951</v>
      </c>
      <c r="H654" s="29">
        <v>0.20455126000000001</v>
      </c>
      <c r="I654" s="29">
        <v>0.20455126000000001</v>
      </c>
      <c r="K654">
        <f t="shared" si="20"/>
        <v>8.3354394622152661E-3</v>
      </c>
      <c r="L654">
        <f t="shared" si="21"/>
        <v>2.2500640130496027E-4</v>
      </c>
    </row>
    <row r="655" spans="1:12" x14ac:dyDescent="0.3">
      <c r="A655" s="31">
        <v>45160</v>
      </c>
      <c r="B655" s="32">
        <v>0.202831528132733</v>
      </c>
      <c r="C655" s="32">
        <v>0.202889141373154</v>
      </c>
      <c r="D655" s="32">
        <v>0.20286033000000001</v>
      </c>
      <c r="E655" s="33">
        <v>2.3892100000000001E-3</v>
      </c>
      <c r="F655" s="33">
        <v>1.19179760156973</v>
      </c>
      <c r="G655" s="33">
        <v>10.5203415174332</v>
      </c>
      <c r="H655" s="32">
        <v>0.20286033000000001</v>
      </c>
      <c r="I655" s="32">
        <v>0.20286033000000001</v>
      </c>
      <c r="K655">
        <f t="shared" si="20"/>
        <v>1.1917976015697329E-2</v>
      </c>
      <c r="L655">
        <f t="shared" si="21"/>
        <v>2.8400446958259696E-4</v>
      </c>
    </row>
    <row r="656" spans="1:12" x14ac:dyDescent="0.3">
      <c r="A656" s="28">
        <v>45159</v>
      </c>
      <c r="B656" s="29">
        <v>0.20044900577293101</v>
      </c>
      <c r="C656" s="29">
        <v>0.20049321330472999</v>
      </c>
      <c r="D656" s="29">
        <v>0.20047112</v>
      </c>
      <c r="E656" s="30">
        <v>-1.1113E-3</v>
      </c>
      <c r="F656" s="30">
        <v>-0.55128815300461398</v>
      </c>
      <c r="G656" s="30">
        <v>9.2186759569125094</v>
      </c>
      <c r="H656" s="29">
        <v>0.20047112</v>
      </c>
      <c r="I656" s="29">
        <v>0.20047112</v>
      </c>
      <c r="K656">
        <f t="shared" si="20"/>
        <v>-5.5128815300461431E-3</v>
      </c>
      <c r="L656">
        <f t="shared" si="21"/>
        <v>2.2051820630814199E-4</v>
      </c>
    </row>
    <row r="657" spans="1:12" x14ac:dyDescent="0.3">
      <c r="A657" s="31">
        <v>45156</v>
      </c>
      <c r="B657" s="32">
        <v>0.20156820060067299</v>
      </c>
      <c r="C657" s="32">
        <v>0.20159664543181999</v>
      </c>
      <c r="D657" s="32">
        <v>0.20158242000000001</v>
      </c>
      <c r="E657" s="33">
        <v>1.0027500000000199E-3</v>
      </c>
      <c r="F657" s="33">
        <v>0.49992603936381802</v>
      </c>
      <c r="G657" s="33">
        <v>9.8241233380161699</v>
      </c>
      <c r="H657" s="32">
        <v>0.20158242000000001</v>
      </c>
      <c r="I657" s="32">
        <v>0.20158242000000001</v>
      </c>
      <c r="K657">
        <f t="shared" si="20"/>
        <v>4.999260393638183E-3</v>
      </c>
      <c r="L657">
        <f t="shared" si="21"/>
        <v>1.4110769752144513E-4</v>
      </c>
    </row>
    <row r="658" spans="1:12" x14ac:dyDescent="0.3">
      <c r="A658" s="28">
        <v>45155</v>
      </c>
      <c r="B658" s="29">
        <v>0.20054548371570699</v>
      </c>
      <c r="C658" s="29">
        <v>0.20061387846811199</v>
      </c>
      <c r="D658" s="29">
        <v>0.20057966999999999</v>
      </c>
      <c r="E658" s="30">
        <v>-6.5996000000001498E-4</v>
      </c>
      <c r="F658" s="30">
        <v>-0.32794733323651098</v>
      </c>
      <c r="G658" s="30">
        <v>9.27781508515762</v>
      </c>
      <c r="H658" s="29">
        <v>0.20057966999999999</v>
      </c>
      <c r="I658" s="29">
        <v>0.20057966999999999</v>
      </c>
      <c r="K658">
        <f t="shared" si="20"/>
        <v>-3.2794733323651126E-3</v>
      </c>
      <c r="L658">
        <f t="shared" si="21"/>
        <v>3.4098546679730212E-4</v>
      </c>
    </row>
    <row r="659" spans="1:12" x14ac:dyDescent="0.3">
      <c r="A659" s="31">
        <v>45154</v>
      </c>
      <c r="B659" s="32">
        <v>0.20122343850611701</v>
      </c>
      <c r="C659" s="32">
        <v>0.20125583641925601</v>
      </c>
      <c r="D659" s="32">
        <v>0.20123963</v>
      </c>
      <c r="E659" s="33">
        <v>4.3440000000000102E-4</v>
      </c>
      <c r="F659" s="33">
        <v>0.216329026888395</v>
      </c>
      <c r="G659" s="33">
        <v>9.6373679094473506</v>
      </c>
      <c r="H659" s="32">
        <v>0.20123963</v>
      </c>
      <c r="I659" s="32">
        <v>0.20123963</v>
      </c>
      <c r="K659">
        <f t="shared" si="20"/>
        <v>2.163290268883955E-3</v>
      </c>
      <c r="L659">
        <f t="shared" si="21"/>
        <v>1.6099171489730141E-4</v>
      </c>
    </row>
    <row r="660" spans="1:12" x14ac:dyDescent="0.3">
      <c r="A660" s="28">
        <v>45153</v>
      </c>
      <c r="B660" s="29">
        <v>0.20078305391025</v>
      </c>
      <c r="C660" s="29">
        <v>0.20082740892477</v>
      </c>
      <c r="D660" s="29">
        <v>0.20080523</v>
      </c>
      <c r="E660" s="30">
        <v>-1.09056999999998E-3</v>
      </c>
      <c r="F660" s="30">
        <v>-0.54016477806867402</v>
      </c>
      <c r="G660" s="30">
        <v>9.4007024344618095</v>
      </c>
      <c r="H660" s="29">
        <v>0.20080523</v>
      </c>
      <c r="I660" s="29">
        <v>0.20080523</v>
      </c>
      <c r="K660">
        <f t="shared" si="20"/>
        <v>-5.4016477806867469E-3</v>
      </c>
      <c r="L660">
        <f t="shared" si="21"/>
        <v>2.2088575342381391E-4</v>
      </c>
    </row>
    <row r="661" spans="1:12" x14ac:dyDescent="0.3">
      <c r="A661" s="31">
        <v>45152</v>
      </c>
      <c r="B661" s="32">
        <v>0.20185708518369</v>
      </c>
      <c r="C661" s="32">
        <v>0.201934532824458</v>
      </c>
      <c r="D661" s="32">
        <v>0.20189579999999999</v>
      </c>
      <c r="E661" s="33">
        <v>-2.9655599999999999E-3</v>
      </c>
      <c r="F661" s="33">
        <v>-1.44759363112693</v>
      </c>
      <c r="G661" s="33">
        <v>9.9948559037412199</v>
      </c>
      <c r="H661" s="32">
        <v>0.20189579999999999</v>
      </c>
      <c r="I661" s="32">
        <v>0.20189579999999999</v>
      </c>
      <c r="K661">
        <f t="shared" si="20"/>
        <v>-1.4475936311269311E-2</v>
      </c>
      <c r="L661">
        <f t="shared" si="21"/>
        <v>3.8360204010188663E-4</v>
      </c>
    </row>
    <row r="662" spans="1:12" x14ac:dyDescent="0.3">
      <c r="A662" s="28">
        <v>45149</v>
      </c>
      <c r="B662" s="29">
        <v>0.20481730296575501</v>
      </c>
      <c r="C662" s="29">
        <v>0.204905436141221</v>
      </c>
      <c r="D662" s="29">
        <v>0.20486135999999999</v>
      </c>
      <c r="E662" s="30">
        <v>-1.46247000000002E-3</v>
      </c>
      <c r="F662" s="30">
        <v>-0.70882263090987696</v>
      </c>
      <c r="G662" s="30">
        <v>11.610522722337199</v>
      </c>
      <c r="H662" s="29">
        <v>0.20486135999999999</v>
      </c>
      <c r="I662" s="29">
        <v>0.20486135999999999</v>
      </c>
      <c r="K662">
        <f t="shared" si="20"/>
        <v>-7.0882263090987774E-3</v>
      </c>
      <c r="L662">
        <f t="shared" si="21"/>
        <v>4.302088762175214E-4</v>
      </c>
    </row>
    <row r="663" spans="1:12" x14ac:dyDescent="0.3">
      <c r="A663" s="31">
        <v>45148</v>
      </c>
      <c r="B663" s="32">
        <v>0.20629615876552401</v>
      </c>
      <c r="C663" s="32">
        <v>0.20635149914364101</v>
      </c>
      <c r="D663" s="32">
        <v>0.20632383000000001</v>
      </c>
      <c r="E663" s="33">
        <v>2.4585399999999999E-3</v>
      </c>
      <c r="F663" s="33">
        <v>1.2059630160681201</v>
      </c>
      <c r="G663" s="33">
        <v>12.407291040021599</v>
      </c>
      <c r="H663" s="32">
        <v>0.20632383000000001</v>
      </c>
      <c r="I663" s="32">
        <v>0.20632383000000001</v>
      </c>
      <c r="K663">
        <f t="shared" si="20"/>
        <v>1.2059630160681234E-2</v>
      </c>
      <c r="L663">
        <f t="shared" si="21"/>
        <v>2.6822097145539123E-4</v>
      </c>
    </row>
    <row r="664" spans="1:12" x14ac:dyDescent="0.3">
      <c r="A664" s="28">
        <v>45147</v>
      </c>
      <c r="B664" s="29">
        <v>0.20384450740974799</v>
      </c>
      <c r="C664" s="29">
        <v>0.20388606846494201</v>
      </c>
      <c r="D664" s="29">
        <v>0.20386529</v>
      </c>
      <c r="E664" s="30">
        <v>7.0822000000000896E-4</v>
      </c>
      <c r="F664" s="30">
        <v>0.34860711468225303</v>
      </c>
      <c r="G664" s="30">
        <v>11.067853800447599</v>
      </c>
      <c r="H664" s="29">
        <v>0.20386529</v>
      </c>
      <c r="I664" s="29">
        <v>0.20386529</v>
      </c>
      <c r="K664">
        <f t="shared" si="20"/>
        <v>3.4860711468225336E-3</v>
      </c>
      <c r="L664">
        <f t="shared" si="21"/>
        <v>2.0386528375679618E-4</v>
      </c>
    </row>
    <row r="665" spans="1:12" x14ac:dyDescent="0.3">
      <c r="A665" s="31">
        <v>45146</v>
      </c>
      <c r="B665" s="32">
        <v>0.20311579631547899</v>
      </c>
      <c r="C665" s="32">
        <v>0.20319834190152999</v>
      </c>
      <c r="D665" s="32">
        <v>0.20315707</v>
      </c>
      <c r="E665" s="33">
        <v>-4.6746000000000201E-4</v>
      </c>
      <c r="F665" s="33">
        <v>-0.229569590657863</v>
      </c>
      <c r="G665" s="33">
        <v>10.6820084443374</v>
      </c>
      <c r="H665" s="32">
        <v>0.20315707</v>
      </c>
      <c r="I665" s="32">
        <v>0.20315707</v>
      </c>
      <c r="K665">
        <f t="shared" si="20"/>
        <v>-2.295695906578632E-3</v>
      </c>
      <c r="L665">
        <f t="shared" si="21"/>
        <v>4.0631411966614159E-4</v>
      </c>
    </row>
    <row r="666" spans="1:12" x14ac:dyDescent="0.3">
      <c r="A666" s="28">
        <v>45145</v>
      </c>
      <c r="B666" s="29">
        <v>0.20361207826848299</v>
      </c>
      <c r="C666" s="29">
        <v>0.20363695603478099</v>
      </c>
      <c r="D666" s="29">
        <v>0.20362453</v>
      </c>
      <c r="E666" s="30">
        <v>-2.56529999999999E-3</v>
      </c>
      <c r="F666" s="30">
        <v>-1.2441447766846601</v>
      </c>
      <c r="G666" s="30">
        <v>10.936685338759</v>
      </c>
      <c r="H666" s="29">
        <v>0.20362453</v>
      </c>
      <c r="I666" s="29">
        <v>0.20362453</v>
      </c>
      <c r="K666">
        <f t="shared" si="20"/>
        <v>-1.2441447766846636E-2</v>
      </c>
      <c r="L666">
        <f t="shared" si="21"/>
        <v>1.2217470212456111E-4</v>
      </c>
    </row>
    <row r="667" spans="1:12" x14ac:dyDescent="0.3">
      <c r="A667" s="31">
        <v>45142</v>
      </c>
      <c r="B667" s="32">
        <v>0.20615156262884499</v>
      </c>
      <c r="C667" s="32">
        <v>0.206228088265622</v>
      </c>
      <c r="D667" s="32">
        <v>0.20618982999999999</v>
      </c>
      <c r="E667" s="33">
        <v>1.45637999999997E-3</v>
      </c>
      <c r="F667" s="33">
        <v>0.71135420225663104</v>
      </c>
      <c r="G667" s="33">
        <v>12.334286496632901</v>
      </c>
      <c r="H667" s="32">
        <v>0.20618982999999999</v>
      </c>
      <c r="I667" s="32">
        <v>0.20618982999999999</v>
      </c>
      <c r="K667">
        <f t="shared" si="20"/>
        <v>7.1135420225663104E-3</v>
      </c>
      <c r="L667">
        <f t="shared" si="21"/>
        <v>3.7114166482902654E-4</v>
      </c>
    </row>
    <row r="668" spans="1:12" x14ac:dyDescent="0.3">
      <c r="A668" s="28">
        <v>45141</v>
      </c>
      <c r="B668" s="29">
        <v>0.20470829068577301</v>
      </c>
      <c r="C668" s="29">
        <v>0.204758589622835</v>
      </c>
      <c r="D668" s="29">
        <v>0.20473345000000001</v>
      </c>
      <c r="E668" s="30">
        <v>-2.8818799999999699E-3</v>
      </c>
      <c r="F668" s="30">
        <v>-1.3880863229126501</v>
      </c>
      <c r="G668" s="30">
        <v>11.540836072002501</v>
      </c>
      <c r="H668" s="29">
        <v>0.20473345000000001</v>
      </c>
      <c r="I668" s="29">
        <v>0.20473345000000001</v>
      </c>
      <c r="K668">
        <f t="shared" si="20"/>
        <v>-1.3880863229126517E-2</v>
      </c>
      <c r="L668">
        <f t="shared" si="21"/>
        <v>2.4568011266350338E-4</v>
      </c>
    </row>
    <row r="669" spans="1:12" x14ac:dyDescent="0.3">
      <c r="A669" s="31">
        <v>45140</v>
      </c>
      <c r="B669" s="32">
        <v>0.20758947106202799</v>
      </c>
      <c r="C669" s="32">
        <v>0.20764119601328901</v>
      </c>
      <c r="D669" s="32">
        <v>0.20761532999999999</v>
      </c>
      <c r="E669" s="33">
        <v>-1.84165E-3</v>
      </c>
      <c r="F669" s="33">
        <v>-0.87924976288686896</v>
      </c>
      <c r="G669" s="33">
        <v>13.1109131876823</v>
      </c>
      <c r="H669" s="32">
        <v>0.20761532999999999</v>
      </c>
      <c r="I669" s="32">
        <v>0.20761532999999999</v>
      </c>
      <c r="K669">
        <f t="shared" si="20"/>
        <v>-8.7924976288686896E-3</v>
      </c>
      <c r="L669">
        <f t="shared" si="21"/>
        <v>2.4913840062300502E-4</v>
      </c>
    </row>
    <row r="670" spans="1:12" x14ac:dyDescent="0.3">
      <c r="A670" s="28">
        <v>45139</v>
      </c>
      <c r="B670" s="29">
        <v>0.209441628618104</v>
      </c>
      <c r="C670" s="29">
        <v>0.20947233917761199</v>
      </c>
      <c r="D670" s="29">
        <v>0.20945697999999999</v>
      </c>
      <c r="E670" s="30">
        <v>-7.5734000000002299E-4</v>
      </c>
      <c r="F670" s="30">
        <v>-0.36027041354748102</v>
      </c>
      <c r="G670" s="30">
        <v>14.1142625707558</v>
      </c>
      <c r="H670" s="29">
        <v>0.20945697999999999</v>
      </c>
      <c r="I670" s="29">
        <v>0.20945697999999999</v>
      </c>
      <c r="K670">
        <f t="shared" si="20"/>
        <v>-3.6027041354748102E-3</v>
      </c>
      <c r="L670">
        <f t="shared" si="21"/>
        <v>1.4661989067151092E-4</v>
      </c>
    </row>
    <row r="671" spans="1:12" x14ac:dyDescent="0.3">
      <c r="A671" s="31">
        <v>45138</v>
      </c>
      <c r="B671" s="32">
        <v>0.21017675865402799</v>
      </c>
      <c r="C671" s="32">
        <v>0.21025188175434201</v>
      </c>
      <c r="D671" s="32">
        <v>0.21021432000000001</v>
      </c>
      <c r="E671" s="33">
        <v>-1.5782799999999801E-3</v>
      </c>
      <c r="F671" s="33">
        <v>-0.74520072939280302</v>
      </c>
      <c r="G671" s="33">
        <v>14.526868995308201</v>
      </c>
      <c r="H671" s="32">
        <v>0.21021432000000001</v>
      </c>
      <c r="I671" s="32">
        <v>0.21021432000000001</v>
      </c>
      <c r="K671">
        <f t="shared" si="20"/>
        <v>-7.4520072939280313E-3</v>
      </c>
      <c r="L671">
        <f t="shared" si="21"/>
        <v>3.5736433328622597E-4</v>
      </c>
    </row>
    <row r="672" spans="1:12" x14ac:dyDescent="0.3">
      <c r="A672" s="28">
        <v>45135</v>
      </c>
      <c r="B672" s="29">
        <v>0.21176570242683501</v>
      </c>
      <c r="C672" s="29">
        <v>0.211819529760644</v>
      </c>
      <c r="D672" s="29">
        <v>0.2117926</v>
      </c>
      <c r="E672" s="30">
        <v>4.00669999999991E-4</v>
      </c>
      <c r="F672" s="30">
        <v>0.18953892894586399</v>
      </c>
      <c r="G672" s="30">
        <v>15.3867317620213</v>
      </c>
      <c r="H672" s="29">
        <v>0.2117926</v>
      </c>
      <c r="I672" s="29">
        <v>0.2117926</v>
      </c>
      <c r="K672">
        <f t="shared" si="20"/>
        <v>1.8953892894586488E-3</v>
      </c>
      <c r="L672">
        <f t="shared" si="21"/>
        <v>2.5415115452091688E-4</v>
      </c>
    </row>
    <row r="673" spans="1:12" x14ac:dyDescent="0.3">
      <c r="A673" s="31">
        <v>45134</v>
      </c>
      <c r="B673" s="32">
        <v>0.21137627089982899</v>
      </c>
      <c r="C673" s="32">
        <v>0.21140755147773899</v>
      </c>
      <c r="D673" s="32">
        <v>0.21139193000000001</v>
      </c>
      <c r="E673" s="33">
        <v>4.0230000000002202E-5</v>
      </c>
      <c r="F673" s="33">
        <v>1.9034623331637399E-2</v>
      </c>
      <c r="G673" s="33">
        <v>15.168442729188699</v>
      </c>
      <c r="H673" s="32">
        <v>0.21139193000000001</v>
      </c>
      <c r="I673" s="32">
        <v>0.21139193000000001</v>
      </c>
      <c r="K673">
        <f t="shared" si="20"/>
        <v>1.9034623331637412E-4</v>
      </c>
      <c r="L673">
        <f t="shared" si="21"/>
        <v>1.4797432385423739E-4</v>
      </c>
    </row>
    <row r="674" spans="1:12" x14ac:dyDescent="0.3">
      <c r="A674" s="28">
        <v>45133</v>
      </c>
      <c r="B674" s="29">
        <v>0.21132713440405701</v>
      </c>
      <c r="C674" s="29">
        <v>0.21137627089982899</v>
      </c>
      <c r="D674" s="29">
        <v>0.2113517</v>
      </c>
      <c r="E674" s="30">
        <v>3.1000000000000401E-4</v>
      </c>
      <c r="F674" s="30">
        <v>0.14689040128088501</v>
      </c>
      <c r="G674" s="30">
        <v>15.146525021871399</v>
      </c>
      <c r="H674" s="29">
        <v>0.2113517</v>
      </c>
      <c r="I674" s="29">
        <v>0.2113517</v>
      </c>
      <c r="K674">
        <f t="shared" si="20"/>
        <v>1.4689040128088582E-3</v>
      </c>
      <c r="L674">
        <f t="shared" si="21"/>
        <v>2.324868726960048E-4</v>
      </c>
    </row>
    <row r="675" spans="1:12" x14ac:dyDescent="0.3">
      <c r="A675" s="31">
        <v>45132</v>
      </c>
      <c r="B675" s="32">
        <v>0.21102834110621099</v>
      </c>
      <c r="C675" s="32">
        <v>0.211055064266267</v>
      </c>
      <c r="D675" s="32">
        <v>0.2110417</v>
      </c>
      <c r="E675" s="33">
        <v>-1.8499999999999E-4</v>
      </c>
      <c r="F675" s="33">
        <v>-8.7583624608056299E-2</v>
      </c>
      <c r="G675" s="33">
        <v>14.9776339140318</v>
      </c>
      <c r="H675" s="32">
        <v>0.2110417</v>
      </c>
      <c r="I675" s="32">
        <v>0.2110417</v>
      </c>
      <c r="K675">
        <f t="shared" si="20"/>
        <v>-8.7583624608056354E-4</v>
      </c>
      <c r="L675">
        <f t="shared" si="21"/>
        <v>1.2662502271353247E-4</v>
      </c>
    </row>
    <row r="676" spans="1:12" x14ac:dyDescent="0.3">
      <c r="A676" s="28">
        <v>45131</v>
      </c>
      <c r="B676" s="29">
        <v>0.21122000675904001</v>
      </c>
      <c r="C676" s="29">
        <v>0.21123339177457201</v>
      </c>
      <c r="D676" s="29">
        <v>0.21122669999999999</v>
      </c>
      <c r="E676" s="30">
        <v>1.78726999999997E-3</v>
      </c>
      <c r="F676" s="30">
        <v>0.85335889235373896</v>
      </c>
      <c r="G676" s="30">
        <v>15.0784237687102</v>
      </c>
      <c r="H676" s="29">
        <v>0.21122669999999999</v>
      </c>
      <c r="I676" s="29">
        <v>0.21122669999999999</v>
      </c>
      <c r="K676">
        <f t="shared" si="20"/>
        <v>8.5335889235373941E-3</v>
      </c>
      <c r="L676">
        <f t="shared" si="21"/>
        <v>6.3368009498784972E-5</v>
      </c>
    </row>
    <row r="677" spans="1:12" x14ac:dyDescent="0.3">
      <c r="A677" s="31">
        <v>45128</v>
      </c>
      <c r="B677" s="32">
        <v>0.20942408376963301</v>
      </c>
      <c r="C677" s="32">
        <v>0.20945478918375501</v>
      </c>
      <c r="D677" s="32">
        <v>0.20943943000000001</v>
      </c>
      <c r="E677" s="33">
        <v>1.1408100000000101E-3</v>
      </c>
      <c r="F677" s="33">
        <v>0.547680056641763</v>
      </c>
      <c r="G677" s="33">
        <v>14.104701154812</v>
      </c>
      <c r="H677" s="32">
        <v>0.20943943000000001</v>
      </c>
      <c r="I677" s="32">
        <v>0.20943943000000001</v>
      </c>
      <c r="K677">
        <f t="shared" si="20"/>
        <v>5.4768005664176389E-3</v>
      </c>
      <c r="L677">
        <f t="shared" si="21"/>
        <v>1.466076092835358E-4</v>
      </c>
    </row>
    <row r="678" spans="1:12" x14ac:dyDescent="0.3">
      <c r="A678" s="28">
        <v>45127</v>
      </c>
      <c r="B678" s="29">
        <v>0.20826391202932401</v>
      </c>
      <c r="C678" s="29">
        <v>0.20833333333333301</v>
      </c>
      <c r="D678" s="29">
        <v>0.20829861999999999</v>
      </c>
      <c r="E678" s="30">
        <v>-2.69359999999996E-4</v>
      </c>
      <c r="F678" s="30">
        <v>-0.129147340833424</v>
      </c>
      <c r="G678" s="30">
        <v>13.483176429862</v>
      </c>
      <c r="H678" s="29">
        <v>0.20829861999999999</v>
      </c>
      <c r="I678" s="29">
        <v>0.20829861999999999</v>
      </c>
      <c r="K678">
        <f t="shared" si="20"/>
        <v>-1.2914734083342427E-3</v>
      </c>
      <c r="L678">
        <f t="shared" si="21"/>
        <v>3.332777913218945E-4</v>
      </c>
    </row>
    <row r="679" spans="1:12" x14ac:dyDescent="0.3">
      <c r="A679" s="31">
        <v>45126</v>
      </c>
      <c r="B679" s="32">
        <v>0.20855057351407699</v>
      </c>
      <c r="C679" s="32">
        <v>0.20858537399357599</v>
      </c>
      <c r="D679" s="32">
        <v>0.20856797999999999</v>
      </c>
      <c r="E679" s="33">
        <v>2.3247999999997899E-4</v>
      </c>
      <c r="F679" s="33">
        <v>0.111589239471898</v>
      </c>
      <c r="G679" s="33">
        <v>13.6299264582739</v>
      </c>
      <c r="H679" s="32">
        <v>0.20856797999999999</v>
      </c>
      <c r="I679" s="32">
        <v>0.20856797999999999</v>
      </c>
      <c r="K679">
        <f t="shared" si="20"/>
        <v>1.1158923947189869E-3</v>
      </c>
      <c r="L679">
        <f t="shared" si="21"/>
        <v>1.6685437284763251E-4</v>
      </c>
    </row>
    <row r="680" spans="1:12" x14ac:dyDescent="0.3">
      <c r="A680" s="28">
        <v>45125</v>
      </c>
      <c r="B680" s="29">
        <v>0.20831163420477</v>
      </c>
      <c r="C680" s="29">
        <v>0.20835937825561501</v>
      </c>
      <c r="D680" s="29">
        <v>0.20833550000000001</v>
      </c>
      <c r="E680" s="30">
        <v>1.5337899999999999E-3</v>
      </c>
      <c r="F680" s="30">
        <v>0.74167181693034401</v>
      </c>
      <c r="G680" s="30">
        <v>13.503269023594701</v>
      </c>
      <c r="H680" s="29">
        <v>0.20833550000000001</v>
      </c>
      <c r="I680" s="29">
        <v>0.20833550000000001</v>
      </c>
      <c r="K680">
        <f t="shared" si="20"/>
        <v>7.416718169303449E-3</v>
      </c>
      <c r="L680">
        <f t="shared" si="21"/>
        <v>2.29169060697822E-4</v>
      </c>
    </row>
    <row r="681" spans="1:12" x14ac:dyDescent="0.3">
      <c r="A681" s="31">
        <v>45124</v>
      </c>
      <c r="B681" s="32">
        <v>0.20677818903662001</v>
      </c>
      <c r="C681" s="32">
        <v>0.20682523267838701</v>
      </c>
      <c r="D681" s="32">
        <v>0.20680171</v>
      </c>
      <c r="E681" s="33">
        <v>-1.5099199999999899E-3</v>
      </c>
      <c r="F681" s="33">
        <v>-0.724837110630838</v>
      </c>
      <c r="G681" s="33">
        <v>12.667644854906699</v>
      </c>
      <c r="H681" s="32">
        <v>0.20680171</v>
      </c>
      <c r="I681" s="32">
        <v>0.20680171</v>
      </c>
      <c r="K681">
        <f t="shared" si="20"/>
        <v>-7.2483711063083822E-3</v>
      </c>
      <c r="L681">
        <f t="shared" si="21"/>
        <v>2.2748187994672418E-4</v>
      </c>
    </row>
    <row r="682" spans="1:12" x14ac:dyDescent="0.3">
      <c r="A682" s="28">
        <v>45121</v>
      </c>
      <c r="B682" s="29">
        <v>0.20828993959591799</v>
      </c>
      <c r="C682" s="29">
        <v>0.20833333333333301</v>
      </c>
      <c r="D682" s="29">
        <v>0.20831163</v>
      </c>
      <c r="E682" s="30">
        <v>2.1023999999999999E-4</v>
      </c>
      <c r="F682" s="30">
        <v>0.101027676941511</v>
      </c>
      <c r="G682" s="30">
        <v>13.4902644082911</v>
      </c>
      <c r="H682" s="29">
        <v>0.20831163</v>
      </c>
      <c r="I682" s="29">
        <v>0.20831163</v>
      </c>
      <c r="K682">
        <f t="shared" si="20"/>
        <v>1.0102767694151193E-3</v>
      </c>
      <c r="L682">
        <f t="shared" si="21"/>
        <v>2.0831164066557694E-4</v>
      </c>
    </row>
    <row r="683" spans="1:12" x14ac:dyDescent="0.3">
      <c r="A683" s="31">
        <v>45120</v>
      </c>
      <c r="B683" s="32">
        <v>0.20807757131858801</v>
      </c>
      <c r="C683" s="32">
        <v>0.20812520812520799</v>
      </c>
      <c r="D683" s="32">
        <v>0.20810139</v>
      </c>
      <c r="E683" s="33">
        <v>1.03889999999995E-4</v>
      </c>
      <c r="F683" s="33">
        <v>4.9947715717735201E-2</v>
      </c>
      <c r="G683" s="33">
        <v>13.3757235485743</v>
      </c>
      <c r="H683" s="32">
        <v>0.20810139</v>
      </c>
      <c r="I683" s="32">
        <v>0.20810139</v>
      </c>
      <c r="K683">
        <f t="shared" si="20"/>
        <v>4.9947715717735264E-4</v>
      </c>
      <c r="L683">
        <f t="shared" si="21"/>
        <v>2.289115253866532E-4</v>
      </c>
    </row>
    <row r="684" spans="1:12" x14ac:dyDescent="0.3">
      <c r="A684" s="28">
        <v>45119</v>
      </c>
      <c r="B684" s="29">
        <v>0.207965061869606</v>
      </c>
      <c r="C684" s="29">
        <v>0.20802995631370899</v>
      </c>
      <c r="D684" s="29">
        <v>0.2079975</v>
      </c>
      <c r="E684" s="30">
        <v>3.7699999999999899E-3</v>
      </c>
      <c r="F684" s="30">
        <v>1.84598058537659</v>
      </c>
      <c r="G684" s="30">
        <v>13.319123235047</v>
      </c>
      <c r="H684" s="29">
        <v>0.2079975</v>
      </c>
      <c r="I684" s="29">
        <v>0.2079975</v>
      </c>
      <c r="K684">
        <f t="shared" si="20"/>
        <v>1.8459805853765943E-2</v>
      </c>
      <c r="L684">
        <f t="shared" si="21"/>
        <v>3.1199626968106056E-4</v>
      </c>
    </row>
    <row r="685" spans="1:12" x14ac:dyDescent="0.3">
      <c r="A685" s="31">
        <v>45118</v>
      </c>
      <c r="B685" s="32">
        <v>0.20421499754941999</v>
      </c>
      <c r="C685" s="32">
        <v>0.20424002287488299</v>
      </c>
      <c r="D685" s="32">
        <v>0.20422750000000001</v>
      </c>
      <c r="E685" s="33">
        <v>-9.3648999999998395E-4</v>
      </c>
      <c r="F685" s="33">
        <v>-0.45645924511410402</v>
      </c>
      <c r="G685" s="33">
        <v>11.2651894397075</v>
      </c>
      <c r="H685" s="32">
        <v>0.20422750000000001</v>
      </c>
      <c r="I685" s="32">
        <v>0.20422750000000001</v>
      </c>
      <c r="K685">
        <f t="shared" si="20"/>
        <v>-4.5645924511410474E-3</v>
      </c>
      <c r="L685">
        <f t="shared" si="21"/>
        <v>1.2253651179690167E-4</v>
      </c>
    </row>
    <row r="686" spans="1:12" x14ac:dyDescent="0.3">
      <c r="A686" s="28">
        <v>45117</v>
      </c>
      <c r="B686" s="29">
        <v>0.20514082917923199</v>
      </c>
      <c r="C686" s="29">
        <v>0.20518713066316499</v>
      </c>
      <c r="D686" s="29">
        <v>0.20516398999999999</v>
      </c>
      <c r="E686" s="30">
        <v>-3.0984000000000502E-4</v>
      </c>
      <c r="F686" s="30">
        <v>-0.15079292579498399</v>
      </c>
      <c r="G686" s="30">
        <v>11.7753985802904</v>
      </c>
      <c r="H686" s="29">
        <v>0.20516398999999999</v>
      </c>
      <c r="I686" s="29">
        <v>0.20516398999999999</v>
      </c>
      <c r="K686">
        <f t="shared" si="20"/>
        <v>-1.5079292579498471E-3</v>
      </c>
      <c r="L686">
        <f t="shared" si="21"/>
        <v>2.256803639517996E-4</v>
      </c>
    </row>
    <row r="687" spans="1:12" x14ac:dyDescent="0.3">
      <c r="A687" s="31">
        <v>45114</v>
      </c>
      <c r="B687" s="32">
        <v>0.20544427324088299</v>
      </c>
      <c r="C687" s="32">
        <v>0.20550338053061001</v>
      </c>
      <c r="D687" s="32">
        <v>0.20547383</v>
      </c>
      <c r="E687" s="33">
        <v>1.5108299999999899E-3</v>
      </c>
      <c r="F687" s="33">
        <v>0.74073729058701199</v>
      </c>
      <c r="G687" s="33">
        <v>11.9442025185259</v>
      </c>
      <c r="H687" s="32">
        <v>0.20547383</v>
      </c>
      <c r="I687" s="32">
        <v>0.20547383</v>
      </c>
      <c r="K687">
        <f t="shared" si="20"/>
        <v>7.4073729058701243E-3</v>
      </c>
      <c r="L687">
        <f t="shared" si="21"/>
        <v>2.8766334733246971E-4</v>
      </c>
    </row>
    <row r="688" spans="1:12" x14ac:dyDescent="0.3">
      <c r="A688" s="28">
        <v>45113</v>
      </c>
      <c r="B688" s="29">
        <v>0.20394012317983401</v>
      </c>
      <c r="C688" s="29">
        <v>0.20398588417681501</v>
      </c>
      <c r="D688" s="29">
        <v>0.20396300000000001</v>
      </c>
      <c r="E688" s="30">
        <v>-1.9105799999999901E-3</v>
      </c>
      <c r="F688" s="30">
        <v>-0.92803554492033502</v>
      </c>
      <c r="G688" s="30">
        <v>11.121087188018601</v>
      </c>
      <c r="H688" s="29">
        <v>0.20396300000000001</v>
      </c>
      <c r="I688" s="29">
        <v>0.20396300000000001</v>
      </c>
      <c r="K688">
        <f t="shared" si="20"/>
        <v>-9.2803554492033591E-3</v>
      </c>
      <c r="L688">
        <f t="shared" si="21"/>
        <v>2.2435930527107148E-4</v>
      </c>
    </row>
    <row r="689" spans="1:12" x14ac:dyDescent="0.3">
      <c r="A689" s="31">
        <v>45112</v>
      </c>
      <c r="B689" s="32">
        <v>0.205858739732795</v>
      </c>
      <c r="C689" s="32">
        <v>0.20588840848260201</v>
      </c>
      <c r="D689" s="32">
        <v>0.20587358</v>
      </c>
      <c r="E689" s="33">
        <v>-1.6727999999999999E-3</v>
      </c>
      <c r="F689" s="33">
        <v>-0.80598852169814195</v>
      </c>
      <c r="G689" s="33">
        <v>12.1619903261352</v>
      </c>
      <c r="H689" s="32">
        <v>0.20587358</v>
      </c>
      <c r="I689" s="32">
        <v>0.20587358</v>
      </c>
      <c r="K689">
        <f t="shared" si="20"/>
        <v>-8.0598852169814217E-3</v>
      </c>
      <c r="L689">
        <f t="shared" si="21"/>
        <v>1.4411149700221241E-4</v>
      </c>
    </row>
    <row r="690" spans="1:12" x14ac:dyDescent="0.3">
      <c r="A690" s="28">
        <v>45111</v>
      </c>
      <c r="B690" s="29">
        <v>0.207533464771194</v>
      </c>
      <c r="C690" s="29">
        <v>0.207559310072853</v>
      </c>
      <c r="D690" s="29">
        <v>0.20754638</v>
      </c>
      <c r="E690" s="30">
        <v>-1.39200999999999E-3</v>
      </c>
      <c r="F690" s="30">
        <v>-0.66622988719305898</v>
      </c>
      <c r="G690" s="30">
        <v>13.073348536438701</v>
      </c>
      <c r="H690" s="29">
        <v>0.20754638</v>
      </c>
      <c r="I690" s="29">
        <v>0.20754638</v>
      </c>
      <c r="K690">
        <f t="shared" si="20"/>
        <v>-6.6622988719305942E-3</v>
      </c>
      <c r="L690">
        <f t="shared" si="21"/>
        <v>1.2452783642383884E-4</v>
      </c>
    </row>
    <row r="691" spans="1:12" x14ac:dyDescent="0.3">
      <c r="A691" s="31">
        <v>45110</v>
      </c>
      <c r="B691" s="32">
        <v>0.208912194204776</v>
      </c>
      <c r="C691" s="32">
        <v>0.208964580503605</v>
      </c>
      <c r="D691" s="32">
        <v>0.20893839</v>
      </c>
      <c r="E691" s="33">
        <v>1.64153999999999E-3</v>
      </c>
      <c r="F691" s="33">
        <v>0.79187889251572896</v>
      </c>
      <c r="G691" s="33">
        <v>13.8317295397412</v>
      </c>
      <c r="H691" s="32">
        <v>0.20893839</v>
      </c>
      <c r="I691" s="32">
        <v>0.20893839</v>
      </c>
      <c r="K691">
        <f t="shared" si="20"/>
        <v>7.918788925157294E-3</v>
      </c>
      <c r="L691">
        <f t="shared" si="21"/>
        <v>2.507260577101446E-4</v>
      </c>
    </row>
    <row r="692" spans="1:12" x14ac:dyDescent="0.3">
      <c r="A692" s="28">
        <v>45107</v>
      </c>
      <c r="B692" s="29">
        <v>0.207283958294468</v>
      </c>
      <c r="C692" s="29">
        <v>0.20730974148475201</v>
      </c>
      <c r="D692" s="29">
        <v>0.20729685</v>
      </c>
      <c r="E692" s="30">
        <v>1.8884399999999899E-3</v>
      </c>
      <c r="F692" s="30">
        <v>0.91935865722343402</v>
      </c>
      <c r="G692" s="30">
        <v>12.9374020908283</v>
      </c>
      <c r="H692" s="29">
        <v>0.20729685</v>
      </c>
      <c r="I692" s="29">
        <v>0.20729685</v>
      </c>
      <c r="K692">
        <f t="shared" si="20"/>
        <v>9.1935865722343468E-3</v>
      </c>
      <c r="L692">
        <f t="shared" si="21"/>
        <v>1.2437810938281123E-4</v>
      </c>
    </row>
    <row r="693" spans="1:12" x14ac:dyDescent="0.3">
      <c r="A693" s="31">
        <v>45106</v>
      </c>
      <c r="B693" s="32">
        <v>0.20538519994249199</v>
      </c>
      <c r="C693" s="32">
        <v>0.205431611816426</v>
      </c>
      <c r="D693" s="32">
        <v>0.20540841000000001</v>
      </c>
      <c r="E693" s="33">
        <v>-5.0755999999999002E-4</v>
      </c>
      <c r="F693" s="33">
        <v>-0.246488895446039</v>
      </c>
      <c r="G693" s="33">
        <v>11.908561046671601</v>
      </c>
      <c r="H693" s="32">
        <v>0.20540841000000001</v>
      </c>
      <c r="I693" s="32">
        <v>0.20540841000000001</v>
      </c>
      <c r="K693">
        <f t="shared" si="20"/>
        <v>-2.464888954460398E-3</v>
      </c>
      <c r="L693">
        <f t="shared" si="21"/>
        <v>2.2594923905016692E-4</v>
      </c>
    </row>
    <row r="694" spans="1:12" x14ac:dyDescent="0.3">
      <c r="A694" s="28">
        <v>45105</v>
      </c>
      <c r="B694" s="29">
        <v>0.20588840848260201</v>
      </c>
      <c r="C694" s="29">
        <v>0.20594353028399601</v>
      </c>
      <c r="D694" s="29">
        <v>0.20591597</v>
      </c>
      <c r="E694" s="30">
        <v>-2.42604999999998E-3</v>
      </c>
      <c r="F694" s="30">
        <v>-1.16445544686567</v>
      </c>
      <c r="G694" s="30">
        <v>12.1850848231072</v>
      </c>
      <c r="H694" s="29">
        <v>0.20591597</v>
      </c>
      <c r="I694" s="29">
        <v>0.20591597</v>
      </c>
      <c r="K694">
        <f t="shared" si="20"/>
        <v>-1.1644554468656754E-2</v>
      </c>
      <c r="L694">
        <f t="shared" si="21"/>
        <v>2.676907546024625E-4</v>
      </c>
    </row>
    <row r="695" spans="1:12" x14ac:dyDescent="0.3">
      <c r="A695" s="31">
        <v>45104</v>
      </c>
      <c r="B695" s="32">
        <v>0.208320313313751</v>
      </c>
      <c r="C695" s="32">
        <v>0.20836371970912401</v>
      </c>
      <c r="D695" s="32">
        <v>0.20834201999999999</v>
      </c>
      <c r="E695" s="33">
        <v>-9.8560000000000292E-4</v>
      </c>
      <c r="F695" s="33">
        <v>-0.47084087613473702</v>
      </c>
      <c r="G695" s="33">
        <v>13.5068211849596</v>
      </c>
      <c r="H695" s="32">
        <v>0.20834201999999999</v>
      </c>
      <c r="I695" s="32">
        <v>0.20834201999999999</v>
      </c>
      <c r="K695">
        <f t="shared" si="20"/>
        <v>-4.7084087613473713E-3</v>
      </c>
      <c r="L695">
        <f t="shared" si="21"/>
        <v>2.0834201076195741E-4</v>
      </c>
    </row>
    <row r="696" spans="1:12" x14ac:dyDescent="0.3">
      <c r="A696" s="28">
        <v>45103</v>
      </c>
      <c r="B696" s="29">
        <v>0.209301352086734</v>
      </c>
      <c r="C696" s="29">
        <v>0.209353933760415</v>
      </c>
      <c r="D696" s="29">
        <v>0.20932761999999999</v>
      </c>
      <c r="E696" s="30">
        <v>-4.3860000000006597E-5</v>
      </c>
      <c r="F696" s="30">
        <v>-2.0948411884946699E-2</v>
      </c>
      <c r="G696" s="30">
        <v>14.0437859458844</v>
      </c>
      <c r="H696" s="29">
        <v>0.20932761999999999</v>
      </c>
      <c r="I696" s="29">
        <v>0.20932761999999999</v>
      </c>
      <c r="K696">
        <f t="shared" si="20"/>
        <v>-2.0948411884946783E-4</v>
      </c>
      <c r="L696">
        <f t="shared" si="21"/>
        <v>2.5119319505469877E-4</v>
      </c>
    </row>
    <row r="697" spans="1:12" x14ac:dyDescent="0.3">
      <c r="A697" s="31">
        <v>45100</v>
      </c>
      <c r="B697" s="32">
        <v>0.209336403600586</v>
      </c>
      <c r="C697" s="32">
        <v>0.209406541860368</v>
      </c>
      <c r="D697" s="32">
        <v>0.20937148</v>
      </c>
      <c r="E697" s="33">
        <v>-3.5060000000003401E-5</v>
      </c>
      <c r="F697" s="33">
        <v>-1.6742552548743E-2</v>
      </c>
      <c r="G697" s="33">
        <v>14.067681313593599</v>
      </c>
      <c r="H697" s="32">
        <v>0.20937148</v>
      </c>
      <c r="I697" s="32">
        <v>0.20937148</v>
      </c>
      <c r="K697">
        <f t="shared" si="20"/>
        <v>-1.6742552548743017E-4</v>
      </c>
      <c r="L697">
        <f t="shared" si="21"/>
        <v>3.3499433534117846E-4</v>
      </c>
    </row>
    <row r="698" spans="1:12" x14ac:dyDescent="0.3">
      <c r="A698" s="28">
        <v>45099</v>
      </c>
      <c r="B698" s="29">
        <v>0.209393387356827</v>
      </c>
      <c r="C698" s="29">
        <v>0.209419698016795</v>
      </c>
      <c r="D698" s="29">
        <v>0.20940654</v>
      </c>
      <c r="E698" s="30">
        <v>-2.5685000000000199E-4</v>
      </c>
      <c r="F698" s="30">
        <v>-0.12250588908249101</v>
      </c>
      <c r="G698" s="30">
        <v>14.086782353080199</v>
      </c>
      <c r="H698" s="29">
        <v>0.20940654</v>
      </c>
      <c r="I698" s="29">
        <v>0.20940654</v>
      </c>
      <c r="K698">
        <f t="shared" si="20"/>
        <v>-1.2250588908249149E-3</v>
      </c>
      <c r="L698">
        <f t="shared" si="21"/>
        <v>1.2564392672740081E-4</v>
      </c>
    </row>
    <row r="699" spans="1:12" x14ac:dyDescent="0.3">
      <c r="A699" s="31">
        <v>45098</v>
      </c>
      <c r="B699" s="32">
        <v>0.20964800100631001</v>
      </c>
      <c r="C699" s="32">
        <v>0.20967877212111</v>
      </c>
      <c r="D699" s="32">
        <v>0.20966339000000001</v>
      </c>
      <c r="E699" s="33">
        <v>8.7550000000000095E-4</v>
      </c>
      <c r="F699" s="33">
        <v>0.41932508633521998</v>
      </c>
      <c r="G699" s="33">
        <v>14.2267168080757</v>
      </c>
      <c r="H699" s="32">
        <v>0.20966339000000001</v>
      </c>
      <c r="I699" s="32">
        <v>0.20966339000000001</v>
      </c>
      <c r="K699">
        <f t="shared" si="20"/>
        <v>4.1932508633522048E-3</v>
      </c>
      <c r="L699">
        <f t="shared" si="21"/>
        <v>1.467643673985613E-4</v>
      </c>
    </row>
    <row r="700" spans="1:12" x14ac:dyDescent="0.3">
      <c r="A700" s="28">
        <v>45097</v>
      </c>
      <c r="B700" s="29">
        <v>0.20876390889543001</v>
      </c>
      <c r="C700" s="29">
        <v>0.20881186051367701</v>
      </c>
      <c r="D700" s="29">
        <v>0.20878789</v>
      </c>
      <c r="E700" s="30">
        <v>-8.6231000000000502E-4</v>
      </c>
      <c r="F700" s="30">
        <v>-0.411308932688836</v>
      </c>
      <c r="G700" s="30">
        <v>13.7497356309352</v>
      </c>
      <c r="H700" s="29">
        <v>0.20878789</v>
      </c>
      <c r="I700" s="29">
        <v>0.20878789</v>
      </c>
      <c r="K700">
        <f t="shared" si="20"/>
        <v>-4.1130893268883639E-3</v>
      </c>
      <c r="L700">
        <f t="shared" si="21"/>
        <v>2.296666643213822E-4</v>
      </c>
    </row>
    <row r="701" spans="1:12" x14ac:dyDescent="0.3">
      <c r="A701" s="31">
        <v>45096</v>
      </c>
      <c r="B701" s="32">
        <v>0.20961723892172901</v>
      </c>
      <c r="C701" s="32">
        <v>0.20968316873204601</v>
      </c>
      <c r="D701" s="32">
        <v>0.20965020000000001</v>
      </c>
      <c r="E701" s="33">
        <v>2.3898700000000101E-3</v>
      </c>
      <c r="F701" s="33">
        <v>1.15307642325959</v>
      </c>
      <c r="G701" s="33">
        <v>14.2195307638421</v>
      </c>
      <c r="H701" s="32">
        <v>0.20965020000000001</v>
      </c>
      <c r="I701" s="32">
        <v>0.20965020000000001</v>
      </c>
      <c r="K701">
        <f t="shared" si="20"/>
        <v>1.1530764232595914E-2</v>
      </c>
      <c r="L701">
        <f t="shared" si="21"/>
        <v>3.144753037058886E-4</v>
      </c>
    </row>
    <row r="702" spans="1:12" x14ac:dyDescent="0.3">
      <c r="A702" s="28">
        <v>45093</v>
      </c>
      <c r="B702" s="29">
        <v>0.207245295531791</v>
      </c>
      <c r="C702" s="29">
        <v>0.207275365322831</v>
      </c>
      <c r="D702" s="29">
        <v>0.20726032999999999</v>
      </c>
      <c r="E702" s="30">
        <v>-3.6577000000001498E-4</v>
      </c>
      <c r="F702" s="30">
        <v>-0.17616763981021999</v>
      </c>
      <c r="G702" s="30">
        <v>12.917505628704699</v>
      </c>
      <c r="H702" s="29">
        <v>0.20726032999999999</v>
      </c>
      <c r="I702" s="29">
        <v>0.20726032999999999</v>
      </c>
      <c r="K702">
        <f t="shared" si="20"/>
        <v>-1.7616763981022077E-3</v>
      </c>
      <c r="L702">
        <f t="shared" si="21"/>
        <v>1.4508223083503223E-4</v>
      </c>
    </row>
    <row r="703" spans="1:12" x14ac:dyDescent="0.3">
      <c r="A703" s="31">
        <v>45092</v>
      </c>
      <c r="B703" s="32">
        <v>0.207593780490336</v>
      </c>
      <c r="C703" s="32">
        <v>0.20765844339230799</v>
      </c>
      <c r="D703" s="32">
        <v>0.20762610000000001</v>
      </c>
      <c r="E703" s="33">
        <v>1.0550700000000099E-3</v>
      </c>
      <c r="F703" s="33">
        <v>0.51075409751310996</v>
      </c>
      <c r="G703" s="33">
        <v>13.116780791654699</v>
      </c>
      <c r="H703" s="32">
        <v>0.20762610000000001</v>
      </c>
      <c r="I703" s="32">
        <v>0.20762610000000001</v>
      </c>
      <c r="K703">
        <f t="shared" si="20"/>
        <v>5.1075409751311085E-3</v>
      </c>
      <c r="L703">
        <f t="shared" si="21"/>
        <v>3.114391782728193E-4</v>
      </c>
    </row>
    <row r="704" spans="1:12" x14ac:dyDescent="0.3">
      <c r="A704" s="28">
        <v>45091</v>
      </c>
      <c r="B704" s="29">
        <v>0.206543291473893</v>
      </c>
      <c r="C704" s="29">
        <v>0.206598764539388</v>
      </c>
      <c r="D704" s="29">
        <v>0.20657102999999999</v>
      </c>
      <c r="E704" s="30">
        <v>4.9167999999999402E-4</v>
      </c>
      <c r="F704" s="30">
        <v>0.23858770905478199</v>
      </c>
      <c r="G704" s="30">
        <v>12.541968078272999</v>
      </c>
      <c r="H704" s="29">
        <v>0.20657102999999999</v>
      </c>
      <c r="I704" s="29">
        <v>0.20657102999999999</v>
      </c>
      <c r="K704">
        <f t="shared" si="20"/>
        <v>2.3858770905478277E-3</v>
      </c>
      <c r="L704">
        <f t="shared" si="21"/>
        <v>2.6854232897516485E-4</v>
      </c>
    </row>
    <row r="705" spans="1:12" x14ac:dyDescent="0.3">
      <c r="A705" s="31">
        <v>45090</v>
      </c>
      <c r="B705" s="32">
        <v>0.20606660072535399</v>
      </c>
      <c r="C705" s="32">
        <v>0.20609208194221201</v>
      </c>
      <c r="D705" s="32">
        <v>0.20607934999999999</v>
      </c>
      <c r="E705" s="33">
        <v>1.3501099999999799E-3</v>
      </c>
      <c r="F705" s="33">
        <v>0.65946124745053203</v>
      </c>
      <c r="G705" s="33">
        <v>12.2740958850389</v>
      </c>
      <c r="H705" s="32">
        <v>0.20607934999999999</v>
      </c>
      <c r="I705" s="32">
        <v>0.20607934999999999</v>
      </c>
      <c r="K705">
        <f t="shared" si="20"/>
        <v>6.5946124745053236E-3</v>
      </c>
      <c r="L705">
        <f t="shared" si="21"/>
        <v>1.2364759913123465E-4</v>
      </c>
    </row>
    <row r="706" spans="1:12" x14ac:dyDescent="0.3">
      <c r="A706" s="28">
        <v>45089</v>
      </c>
      <c r="B706" s="29">
        <v>0.20470410022312699</v>
      </c>
      <c r="C706" s="29">
        <v>0.204754397100678</v>
      </c>
      <c r="D706" s="29">
        <v>0.20472924000000001</v>
      </c>
      <c r="E706" s="30">
        <v>-2.8751999999998502E-4</v>
      </c>
      <c r="F706" s="30">
        <v>-0.14024219288217801</v>
      </c>
      <c r="G706" s="30">
        <v>11.538542421796</v>
      </c>
      <c r="H706" s="29">
        <v>0.20472924000000001</v>
      </c>
      <c r="I706" s="29">
        <v>0.20472924000000001</v>
      </c>
      <c r="K706">
        <f t="shared" si="20"/>
        <v>-1.4024219288217843E-3</v>
      </c>
      <c r="L706">
        <f t="shared" si="21"/>
        <v>2.4567510508518133E-4</v>
      </c>
    </row>
    <row r="707" spans="1:12" x14ac:dyDescent="0.3">
      <c r="A707" s="31">
        <v>45086</v>
      </c>
      <c r="B707" s="32">
        <v>0.204993645196999</v>
      </c>
      <c r="C707" s="32">
        <v>0.20503988025670999</v>
      </c>
      <c r="D707" s="32">
        <v>0.20501675999999999</v>
      </c>
      <c r="E707" s="33">
        <v>1.9669499999999899E-3</v>
      </c>
      <c r="F707" s="33">
        <v>0.96870319652109205</v>
      </c>
      <c r="G707" s="33">
        <v>11.6951862002671</v>
      </c>
      <c r="H707" s="32">
        <v>0.20501675999999999</v>
      </c>
      <c r="I707" s="32">
        <v>0.20501675999999999</v>
      </c>
      <c r="K707">
        <f t="shared" si="20"/>
        <v>9.6870319652109238E-3</v>
      </c>
      <c r="L707">
        <f t="shared" si="21"/>
        <v>2.2551843913147263E-4</v>
      </c>
    </row>
    <row r="708" spans="1:12" x14ac:dyDescent="0.3">
      <c r="A708" s="28">
        <v>45085</v>
      </c>
      <c r="B708" s="29">
        <v>0.203025073596589</v>
      </c>
      <c r="C708" s="29">
        <v>0.20307454866681601</v>
      </c>
      <c r="D708" s="29">
        <v>0.20304981</v>
      </c>
      <c r="E708" s="30">
        <v>-1.21690000000007E-4</v>
      </c>
      <c r="F708" s="30">
        <v>-5.9895211680771603E-2</v>
      </c>
      <c r="G708" s="30">
        <v>10.6235721210249</v>
      </c>
      <c r="H708" s="29">
        <v>0.20304981</v>
      </c>
      <c r="I708" s="29">
        <v>0.20304981</v>
      </c>
      <c r="K708">
        <f t="shared" si="20"/>
        <v>-5.989521168077161E-4</v>
      </c>
      <c r="L708">
        <f t="shared" si="21"/>
        <v>2.4365977110252858E-4</v>
      </c>
    </row>
    <row r="709" spans="1:12" x14ac:dyDescent="0.3">
      <c r="A709" s="31">
        <v>45084</v>
      </c>
      <c r="B709" s="32">
        <v>0.20315293352836</v>
      </c>
      <c r="C709" s="32">
        <v>0.203190084323885</v>
      </c>
      <c r="D709" s="32">
        <v>0.2031715</v>
      </c>
      <c r="E709" s="33">
        <v>-3.7160000000008298E-5</v>
      </c>
      <c r="F709" s="33">
        <v>-1.8286622233520899E-2</v>
      </c>
      <c r="G709" s="33">
        <v>10.6898700530024</v>
      </c>
      <c r="H709" s="32">
        <v>0.2031715</v>
      </c>
      <c r="I709" s="32">
        <v>0.2031715</v>
      </c>
      <c r="K709">
        <f t="shared" ref="K709:K772" si="22">D709/D710-1</f>
        <v>-1.8286622233520955E-4</v>
      </c>
      <c r="L709">
        <f t="shared" ref="L709:L772" si="23">(C709-B709)/D709</f>
        <v>1.8285436453928226E-4</v>
      </c>
    </row>
    <row r="710" spans="1:12" x14ac:dyDescent="0.3">
      <c r="A710" s="28">
        <v>45083</v>
      </c>
      <c r="B710" s="29">
        <v>0.20318182741735599</v>
      </c>
      <c r="C710" s="29">
        <v>0.20323550930818601</v>
      </c>
      <c r="D710" s="29">
        <v>0.20320866000000001</v>
      </c>
      <c r="E710" s="30">
        <v>9.4930000000020804E-5</v>
      </c>
      <c r="F710" s="30">
        <v>4.6737362363446999E-2</v>
      </c>
      <c r="G710" s="30">
        <v>10.7101151935421</v>
      </c>
      <c r="H710" s="29">
        <v>0.20320866000000001</v>
      </c>
      <c r="I710" s="29">
        <v>0.20320866000000001</v>
      </c>
      <c r="K710">
        <f t="shared" si="22"/>
        <v>4.6737362363447055E-4</v>
      </c>
      <c r="L710">
        <f t="shared" si="23"/>
        <v>2.6417127513178189E-4</v>
      </c>
    </row>
    <row r="711" spans="1:12" x14ac:dyDescent="0.3">
      <c r="A711" s="31">
        <v>45082</v>
      </c>
      <c r="B711" s="32">
        <v>0.20308692120227501</v>
      </c>
      <c r="C711" s="32">
        <v>0.20314055294858499</v>
      </c>
      <c r="D711" s="32">
        <v>0.20311372999999999</v>
      </c>
      <c r="E711" s="33">
        <v>1.3584599999999999E-3</v>
      </c>
      <c r="F711" s="33">
        <v>0.67332070185825899</v>
      </c>
      <c r="G711" s="33">
        <v>10.658396377841401</v>
      </c>
      <c r="H711" s="32">
        <v>0.20311372999999999</v>
      </c>
      <c r="I711" s="32">
        <v>0.20311372999999999</v>
      </c>
      <c r="K711">
        <f t="shared" si="22"/>
        <v>6.7332070185825987E-3</v>
      </c>
      <c r="L711">
        <f t="shared" si="23"/>
        <v>2.6404786279088306E-4</v>
      </c>
    </row>
    <row r="712" spans="1:12" x14ac:dyDescent="0.3">
      <c r="A712" s="28">
        <v>45079</v>
      </c>
      <c r="B712" s="29">
        <v>0.201734920314706</v>
      </c>
      <c r="C712" s="29">
        <v>0.201775625504439</v>
      </c>
      <c r="D712" s="29">
        <v>0.20175526999999999</v>
      </c>
      <c r="E712" s="30">
        <v>3.2007399999999702E-3</v>
      </c>
      <c r="F712" s="30">
        <v>1.6120206373533701</v>
      </c>
      <c r="G712" s="30">
        <v>9.9182937508873596</v>
      </c>
      <c r="H712" s="29">
        <v>0.20175526999999999</v>
      </c>
      <c r="I712" s="29">
        <v>0.20175526999999999</v>
      </c>
      <c r="K712">
        <f t="shared" si="22"/>
        <v>1.612020637353373E-2</v>
      </c>
      <c r="L712">
        <f t="shared" si="23"/>
        <v>2.0175527376811061E-4</v>
      </c>
    </row>
    <row r="713" spans="1:12" x14ac:dyDescent="0.3">
      <c r="A713" s="31">
        <v>45078</v>
      </c>
      <c r="B713" s="32">
        <v>0.19853087155052601</v>
      </c>
      <c r="C713" s="32">
        <v>0.19857818022955601</v>
      </c>
      <c r="D713" s="32">
        <v>0.19855453000000001</v>
      </c>
      <c r="E713" s="33">
        <v>3.3144799999999999E-3</v>
      </c>
      <c r="F713" s="33">
        <v>1.6976434906670099</v>
      </c>
      <c r="G713" s="33">
        <v>8.1744985105438808</v>
      </c>
      <c r="H713" s="32">
        <v>0.19855453000000001</v>
      </c>
      <c r="I713" s="32">
        <v>0.19855453000000001</v>
      </c>
      <c r="K713">
        <f t="shared" si="22"/>
        <v>1.6976434906670113E-2</v>
      </c>
      <c r="L713">
        <f t="shared" si="23"/>
        <v>2.3826542275310871E-4</v>
      </c>
    </row>
    <row r="714" spans="1:12" x14ac:dyDescent="0.3">
      <c r="A714" s="28">
        <v>45077</v>
      </c>
      <c r="B714" s="29">
        <v>0.19521717911176201</v>
      </c>
      <c r="C714" s="29">
        <v>0.19526292152383201</v>
      </c>
      <c r="D714" s="29">
        <v>0.19524005</v>
      </c>
      <c r="E714" s="30">
        <v>-2.4548299999999899E-3</v>
      </c>
      <c r="F714" s="30">
        <v>-1.24172664461517</v>
      </c>
      <c r="G714" s="30">
        <v>6.3687365779240199</v>
      </c>
      <c r="H714" s="29">
        <v>0.19524005</v>
      </c>
      <c r="I714" s="29">
        <v>0.19524005</v>
      </c>
      <c r="K714">
        <f t="shared" si="22"/>
        <v>-1.2417266446151709E-2</v>
      </c>
      <c r="L714">
        <f t="shared" si="23"/>
        <v>2.3428805754764206E-4</v>
      </c>
    </row>
    <row r="715" spans="1:12" x14ac:dyDescent="0.3">
      <c r="A715" s="31">
        <v>45076</v>
      </c>
      <c r="B715" s="32">
        <v>0.19767924565599901</v>
      </c>
      <c r="C715" s="32">
        <v>0.19771051226793701</v>
      </c>
      <c r="D715" s="32">
        <v>0.19769487999999999</v>
      </c>
      <c r="E715" s="33">
        <v>-1.9656900000000199E-3</v>
      </c>
      <c r="F715" s="33">
        <v>-0.98451587111066896</v>
      </c>
      <c r="G715" s="33">
        <v>7.7061525723041902</v>
      </c>
      <c r="H715" s="32">
        <v>0.19769487999999999</v>
      </c>
      <c r="I715" s="32">
        <v>0.19769487999999999</v>
      </c>
      <c r="K715">
        <f t="shared" si="22"/>
        <v>-9.845158711106694E-3</v>
      </c>
      <c r="L715">
        <f t="shared" si="23"/>
        <v>1.5815590134657148E-4</v>
      </c>
    </row>
    <row r="716" spans="1:12" x14ac:dyDescent="0.3">
      <c r="A716" s="28">
        <v>45075</v>
      </c>
      <c r="B716" s="29">
        <v>0.19964064683569599</v>
      </c>
      <c r="C716" s="29">
        <v>0.199680511182109</v>
      </c>
      <c r="D716" s="29">
        <v>0.19966057000000001</v>
      </c>
      <c r="E716" s="30">
        <v>2.9890000000004601E-5</v>
      </c>
      <c r="F716" s="30">
        <v>1.49726484927059E-2</v>
      </c>
      <c r="G716" s="30">
        <v>8.7770801909145195</v>
      </c>
      <c r="H716" s="29">
        <v>0.19966057000000001</v>
      </c>
      <c r="I716" s="29">
        <v>0.19966057000000001</v>
      </c>
      <c r="K716">
        <f t="shared" si="22"/>
        <v>1.4972648492705964E-4</v>
      </c>
      <c r="L716">
        <f t="shared" si="23"/>
        <v>1.9966058602862826E-4</v>
      </c>
    </row>
    <row r="717" spans="1:12" x14ac:dyDescent="0.3">
      <c r="A717" s="31">
        <v>45072</v>
      </c>
      <c r="B717" s="32">
        <v>0.199620720630801</v>
      </c>
      <c r="C717" s="32">
        <v>0.19964064683569599</v>
      </c>
      <c r="D717" s="32">
        <v>0.19963068</v>
      </c>
      <c r="E717" s="33">
        <v>-2.7934999999998302E-4</v>
      </c>
      <c r="F717" s="33">
        <v>-0.13973786107679401</v>
      </c>
      <c r="G717" s="33">
        <v>8.7607958192586306</v>
      </c>
      <c r="H717" s="32">
        <v>0.19963068</v>
      </c>
      <c r="I717" s="32">
        <v>0.19963068</v>
      </c>
      <c r="K717">
        <f t="shared" si="22"/>
        <v>-1.3973786107679409E-3</v>
      </c>
      <c r="L717">
        <f t="shared" si="23"/>
        <v>9.9815343488251926E-5</v>
      </c>
    </row>
    <row r="718" spans="1:12" x14ac:dyDescent="0.3">
      <c r="A718" s="28">
        <v>45071</v>
      </c>
      <c r="B718" s="29">
        <v>0.19988806268489601</v>
      </c>
      <c r="C718" s="29">
        <v>0.199932023112142</v>
      </c>
      <c r="D718" s="29">
        <v>0.19991002999999999</v>
      </c>
      <c r="E718" s="30">
        <v>-1.9552000000000098E-3</v>
      </c>
      <c r="F718" s="30">
        <v>-0.96856699888336895</v>
      </c>
      <c r="G718" s="30">
        <v>8.9129884998231006</v>
      </c>
      <c r="H718" s="29">
        <v>0.19991002999999999</v>
      </c>
      <c r="I718" s="29">
        <v>0.19991002999999999</v>
      </c>
      <c r="K718">
        <f t="shared" si="22"/>
        <v>-9.6856699888336895E-3</v>
      </c>
      <c r="L718">
        <f t="shared" si="23"/>
        <v>2.1990105872125645E-4</v>
      </c>
    </row>
    <row r="719" spans="1:12" x14ac:dyDescent="0.3">
      <c r="A719" s="31">
        <v>45070</v>
      </c>
      <c r="B719" s="32">
        <v>0.201824493420522</v>
      </c>
      <c r="C719" s="32">
        <v>0.201905992569859</v>
      </c>
      <c r="D719" s="32">
        <v>0.20186523000000001</v>
      </c>
      <c r="E719" s="33">
        <v>3.6811000000000401E-4</v>
      </c>
      <c r="F719" s="33">
        <v>0.18268747463983101</v>
      </c>
      <c r="G719" s="33">
        <v>9.9782010612681393</v>
      </c>
      <c r="H719" s="32">
        <v>0.20186523000000001</v>
      </c>
      <c r="I719" s="32">
        <v>0.20186523000000001</v>
      </c>
      <c r="K719">
        <f t="shared" si="22"/>
        <v>1.8268747463983104E-3</v>
      </c>
      <c r="L719">
        <f t="shared" si="23"/>
        <v>4.0373049552416661E-4</v>
      </c>
    </row>
    <row r="720" spans="1:12" x14ac:dyDescent="0.3">
      <c r="A720" s="28">
        <v>45069</v>
      </c>
      <c r="B720" s="29">
        <v>0.20147885479418901</v>
      </c>
      <c r="C720" s="29">
        <v>0.20151539577623701</v>
      </c>
      <c r="D720" s="29">
        <v>0.20149712</v>
      </c>
      <c r="E720" s="30">
        <v>6.8989999999991003E-5</v>
      </c>
      <c r="F720" s="30">
        <v>3.4250429669380099E-2</v>
      </c>
      <c r="G720" s="30">
        <v>9.7776510428590093</v>
      </c>
      <c r="H720" s="29">
        <v>0.20149712</v>
      </c>
      <c r="I720" s="29">
        <v>0.20149712</v>
      </c>
      <c r="K720">
        <f t="shared" si="22"/>
        <v>3.4250429669380189E-4</v>
      </c>
      <c r="L720">
        <f t="shared" si="23"/>
        <v>1.813474160226213E-4</v>
      </c>
    </row>
    <row r="721" spans="1:12" x14ac:dyDescent="0.3">
      <c r="A721" s="31">
        <v>45068</v>
      </c>
      <c r="B721" s="32">
        <v>0.201405812571751</v>
      </c>
      <c r="C721" s="32">
        <v>0.20145044319097499</v>
      </c>
      <c r="D721" s="32">
        <v>0.20142813000000001</v>
      </c>
      <c r="E721" s="33">
        <v>1.11163E-3</v>
      </c>
      <c r="F721" s="33">
        <v>0.55493681249423299</v>
      </c>
      <c r="G721" s="33">
        <v>9.74006459921433</v>
      </c>
      <c r="H721" s="32">
        <v>0.20142813000000001</v>
      </c>
      <c r="I721" s="32">
        <v>0.20142813000000001</v>
      </c>
      <c r="K721">
        <f t="shared" si="22"/>
        <v>5.5493681249423332E-3</v>
      </c>
      <c r="L721">
        <f t="shared" si="23"/>
        <v>2.2157093561855218E-4</v>
      </c>
    </row>
    <row r="722" spans="1:12" x14ac:dyDescent="0.3">
      <c r="A722" s="28">
        <v>45065</v>
      </c>
      <c r="B722" s="29">
        <v>0.20030045067601401</v>
      </c>
      <c r="C722" s="29">
        <v>0.20033255203638001</v>
      </c>
      <c r="D722" s="29">
        <v>0.20031650000000001</v>
      </c>
      <c r="E722" s="30">
        <v>-6.2389999999998204E-4</v>
      </c>
      <c r="F722" s="30">
        <v>-0.31049007566421499</v>
      </c>
      <c r="G722" s="30">
        <v>9.1344374308023202</v>
      </c>
      <c r="H722" s="29">
        <v>0.20031650000000001</v>
      </c>
      <c r="I722" s="29">
        <v>0.20031650000000001</v>
      </c>
      <c r="K722">
        <f t="shared" si="22"/>
        <v>-3.1049007566421594E-3</v>
      </c>
      <c r="L722">
        <f t="shared" si="23"/>
        <v>1.602532011391655E-4</v>
      </c>
    </row>
    <row r="723" spans="1:12" x14ac:dyDescent="0.3">
      <c r="A723" s="31">
        <v>45064</v>
      </c>
      <c r="B723" s="32">
        <v>0.200916177770634</v>
      </c>
      <c r="C723" s="32">
        <v>0.20096463022507999</v>
      </c>
      <c r="D723" s="32">
        <v>0.20094039999999999</v>
      </c>
      <c r="E723" s="33">
        <v>-6.54200000000021E-4</v>
      </c>
      <c r="F723" s="33">
        <v>-0.32451266055738498</v>
      </c>
      <c r="G723" s="33">
        <v>9.4743444055801191</v>
      </c>
      <c r="H723" s="32">
        <v>0.20094039999999999</v>
      </c>
      <c r="I723" s="32">
        <v>0.20094039999999999</v>
      </c>
      <c r="K723">
        <f t="shared" si="22"/>
        <v>-3.2451266055738559E-3</v>
      </c>
      <c r="L723">
        <f t="shared" si="23"/>
        <v>2.4112848608833878E-4</v>
      </c>
    </row>
    <row r="724" spans="1:12" x14ac:dyDescent="0.3">
      <c r="A724" s="28">
        <v>45063</v>
      </c>
      <c r="B724" s="29">
        <v>0.20157226365652101</v>
      </c>
      <c r="C724" s="29">
        <v>0.20161696808403401</v>
      </c>
      <c r="D724" s="29">
        <v>0.20159460000000001</v>
      </c>
      <c r="E724" s="30">
        <v>-1.8124599999999799E-3</v>
      </c>
      <c r="F724" s="30">
        <v>-0.89105068427811596</v>
      </c>
      <c r="G724" s="30">
        <v>9.8307591241241905</v>
      </c>
      <c r="H724" s="29">
        <v>0.20159460000000001</v>
      </c>
      <c r="I724" s="29">
        <v>0.20159460000000001</v>
      </c>
      <c r="K724">
        <f t="shared" si="22"/>
        <v>-8.9105068427811629E-3</v>
      </c>
      <c r="L724">
        <f t="shared" si="23"/>
        <v>2.2175409218800374E-4</v>
      </c>
    </row>
    <row r="725" spans="1:12" x14ac:dyDescent="0.3">
      <c r="A725" s="31">
        <v>45062</v>
      </c>
      <c r="B725" s="32">
        <v>0.20339258837408</v>
      </c>
      <c r="C725" s="32">
        <v>0.20342155047905799</v>
      </c>
      <c r="D725" s="32">
        <v>0.20340706</v>
      </c>
      <c r="E725" s="33">
        <v>-2.9006000000000799E-4</v>
      </c>
      <c r="F725" s="33">
        <v>-0.14239769320253301</v>
      </c>
      <c r="G725" s="33">
        <v>10.818205502559399</v>
      </c>
      <c r="H725" s="32">
        <v>0.20340706</v>
      </c>
      <c r="I725" s="32">
        <v>0.20340706</v>
      </c>
      <c r="K725">
        <f t="shared" si="22"/>
        <v>-1.4239769320253393E-3</v>
      </c>
      <c r="L725">
        <f t="shared" si="23"/>
        <v>1.4238495447499222E-4</v>
      </c>
    </row>
    <row r="726" spans="1:12" x14ac:dyDescent="0.3">
      <c r="A726" s="28">
        <v>45061</v>
      </c>
      <c r="B726" s="29">
        <v>0.20368672980955299</v>
      </c>
      <c r="C726" s="29">
        <v>0.20370747606437201</v>
      </c>
      <c r="D726" s="29">
        <v>0.20369712000000001</v>
      </c>
      <c r="E726" s="30">
        <v>6.4731000000001204E-4</v>
      </c>
      <c r="F726" s="30">
        <v>0.31879369894509602</v>
      </c>
      <c r="G726" s="30">
        <v>10.9762330984948</v>
      </c>
      <c r="H726" s="29">
        <v>0.20369712000000001</v>
      </c>
      <c r="I726" s="29">
        <v>0.20369712000000001</v>
      </c>
      <c r="K726">
        <f t="shared" si="22"/>
        <v>3.1879369894509679E-3</v>
      </c>
      <c r="L726">
        <f t="shared" si="23"/>
        <v>1.0184854267460999E-4</v>
      </c>
    </row>
    <row r="727" spans="1:12" x14ac:dyDescent="0.3">
      <c r="A727" s="31">
        <v>45058</v>
      </c>
      <c r="B727" s="32">
        <v>0.203025073596589</v>
      </c>
      <c r="C727" s="32">
        <v>0.20307454866681601</v>
      </c>
      <c r="D727" s="32">
        <v>0.20304981</v>
      </c>
      <c r="E727" s="33">
        <v>2.04681000000001E-3</v>
      </c>
      <c r="F727" s="33">
        <v>1.0182982343547</v>
      </c>
      <c r="G727" s="33">
        <v>10.6235721210249</v>
      </c>
      <c r="H727" s="32">
        <v>0.20304981</v>
      </c>
      <c r="I727" s="32">
        <v>0.20304981</v>
      </c>
      <c r="K727">
        <f t="shared" si="22"/>
        <v>1.0182982343547087E-2</v>
      </c>
      <c r="L727">
        <f t="shared" si="23"/>
        <v>2.4365977110252858E-4</v>
      </c>
    </row>
    <row r="728" spans="1:12" x14ac:dyDescent="0.3">
      <c r="A728" s="28">
        <v>45057</v>
      </c>
      <c r="B728" s="29">
        <v>0.20098078623683599</v>
      </c>
      <c r="C728" s="29">
        <v>0.20102522866619801</v>
      </c>
      <c r="D728" s="29">
        <v>0.20100299999999999</v>
      </c>
      <c r="E728" s="30">
        <v>-7.6652000000001998E-4</v>
      </c>
      <c r="F728" s="30">
        <v>-0.37989880731242798</v>
      </c>
      <c r="G728" s="30">
        <v>9.5084495131632103</v>
      </c>
      <c r="H728" s="29">
        <v>0.20100299999999999</v>
      </c>
      <c r="I728" s="29">
        <v>0.20100299999999999</v>
      </c>
      <c r="K728">
        <f t="shared" si="22"/>
        <v>-3.7989880731242875E-3</v>
      </c>
      <c r="L728">
        <f t="shared" si="23"/>
        <v>2.211033136919539E-4</v>
      </c>
    </row>
    <row r="729" spans="1:12" x14ac:dyDescent="0.3">
      <c r="A729" s="31">
        <v>45056</v>
      </c>
      <c r="B729" s="32">
        <v>0.201734920314706</v>
      </c>
      <c r="C729" s="32">
        <v>0.20180412891247801</v>
      </c>
      <c r="D729" s="32">
        <v>0.20176952000000001</v>
      </c>
      <c r="E729" s="33">
        <v>2.0211999999999999E-3</v>
      </c>
      <c r="F729" s="33">
        <v>1.01187334141283</v>
      </c>
      <c r="G729" s="33">
        <v>9.9260572937477392</v>
      </c>
      <c r="H729" s="32">
        <v>0.20176952000000001</v>
      </c>
      <c r="I729" s="32">
        <v>0.20176952000000001</v>
      </c>
      <c r="K729">
        <f t="shared" si="22"/>
        <v>1.0118733414128389E-2</v>
      </c>
      <c r="L729">
        <f t="shared" si="23"/>
        <v>3.4300818960174756E-4</v>
      </c>
    </row>
    <row r="730" spans="1:12" x14ac:dyDescent="0.3">
      <c r="A730" s="28">
        <v>45055</v>
      </c>
      <c r="B730" s="29">
        <v>0.19972438035511</v>
      </c>
      <c r="C730" s="29">
        <v>0.199772259624029</v>
      </c>
      <c r="D730" s="29">
        <v>0.19974832000000001</v>
      </c>
      <c r="E730" s="30">
        <v>-1.9357399999999901E-3</v>
      </c>
      <c r="F730" s="30">
        <v>-0.95978829462278703</v>
      </c>
      <c r="G730" s="30">
        <v>8.8248872706336208</v>
      </c>
      <c r="H730" s="29">
        <v>0.19974832000000001</v>
      </c>
      <c r="I730" s="29">
        <v>0.19974832000000001</v>
      </c>
      <c r="K730">
        <f t="shared" si="22"/>
        <v>-9.5978829462278759E-3</v>
      </c>
      <c r="L730">
        <f t="shared" si="23"/>
        <v>2.3969798053369786E-4</v>
      </c>
    </row>
    <row r="731" spans="1:12" x14ac:dyDescent="0.3">
      <c r="A731" s="31">
        <v>45054</v>
      </c>
      <c r="B731" s="32">
        <v>0.20165355918531999</v>
      </c>
      <c r="C731" s="32">
        <v>0.20171457387796299</v>
      </c>
      <c r="D731" s="32">
        <v>0.20168406</v>
      </c>
      <c r="E731" s="33">
        <v>3.5325999999999403E-4</v>
      </c>
      <c r="F731" s="33">
        <v>0.175462472706611</v>
      </c>
      <c r="G731" s="33">
        <v>9.8794978289865298</v>
      </c>
      <c r="H731" s="32">
        <v>0.20168406</v>
      </c>
      <c r="I731" s="32">
        <v>0.20168406</v>
      </c>
      <c r="K731">
        <f t="shared" si="22"/>
        <v>1.7546247270661119E-3</v>
      </c>
      <c r="L731">
        <f t="shared" si="23"/>
        <v>3.0252610267264866E-4</v>
      </c>
    </row>
    <row r="732" spans="1:12" x14ac:dyDescent="0.3">
      <c r="A732" s="28">
        <v>45051</v>
      </c>
      <c r="B732" s="29">
        <v>0.201296348484238</v>
      </c>
      <c r="C732" s="29">
        <v>0.20136525643865399</v>
      </c>
      <c r="D732" s="29">
        <v>0.2013308</v>
      </c>
      <c r="E732" s="30">
        <v>2.0839500000000002E-3</v>
      </c>
      <c r="F732" s="30">
        <v>1.0459136493249299</v>
      </c>
      <c r="G732" s="30">
        <v>9.6870382394529493</v>
      </c>
      <c r="H732" s="29">
        <v>0.2013308</v>
      </c>
      <c r="I732" s="29">
        <v>0.2013308</v>
      </c>
      <c r="K732">
        <f t="shared" si="22"/>
        <v>1.0459136493249366E-2</v>
      </c>
      <c r="L732">
        <f t="shared" si="23"/>
        <v>3.4226235834754356E-4</v>
      </c>
    </row>
    <row r="733" spans="1:12" x14ac:dyDescent="0.3">
      <c r="A733" s="31">
        <v>45050</v>
      </c>
      <c r="B733" s="32">
        <v>0.19918731575173301</v>
      </c>
      <c r="C733" s="32">
        <v>0.19930641368039201</v>
      </c>
      <c r="D733" s="32">
        <v>0.19924685</v>
      </c>
      <c r="E733" s="33">
        <v>-3.12110000000004E-4</v>
      </c>
      <c r="F733" s="33">
        <v>-0.15639989304414501</v>
      </c>
      <c r="G733" s="33">
        <v>8.5516813872519499</v>
      </c>
      <c r="H733" s="32">
        <v>0.19924685</v>
      </c>
      <c r="I733" s="32">
        <v>0.19924685</v>
      </c>
      <c r="K733">
        <f t="shared" si="22"/>
        <v>-1.563998930441457E-3</v>
      </c>
      <c r="L733">
        <f t="shared" si="23"/>
        <v>5.9774058490257432E-4</v>
      </c>
    </row>
    <row r="734" spans="1:12" x14ac:dyDescent="0.3">
      <c r="A734" s="28">
        <v>45049</v>
      </c>
      <c r="B734" s="29">
        <v>0.19953309256340199</v>
      </c>
      <c r="C734" s="29">
        <v>0.19958486348395299</v>
      </c>
      <c r="D734" s="29">
        <v>0.19955896000000001</v>
      </c>
      <c r="E734" s="30">
        <v>1.12659000000001E-3</v>
      </c>
      <c r="F734" s="30">
        <v>0.56774507102848004</v>
      </c>
      <c r="G734" s="30">
        <v>8.7217220442449008</v>
      </c>
      <c r="H734" s="29">
        <v>0.19955896000000001</v>
      </c>
      <c r="I734" s="29">
        <v>0.19955896000000001</v>
      </c>
      <c r="K734">
        <f t="shared" si="22"/>
        <v>5.6774507102848037E-3</v>
      </c>
      <c r="L734">
        <f t="shared" si="23"/>
        <v>2.5942669049289029E-4</v>
      </c>
    </row>
    <row r="735" spans="1:12" x14ac:dyDescent="0.3">
      <c r="A735" s="31">
        <v>45048</v>
      </c>
      <c r="B735" s="32">
        <v>0.19840876173091801</v>
      </c>
      <c r="C735" s="32">
        <v>0.19845601222489001</v>
      </c>
      <c r="D735" s="32">
        <v>0.19843237</v>
      </c>
      <c r="E735" s="33">
        <v>-2.1010499999999902E-3</v>
      </c>
      <c r="F735" s="33">
        <v>-1.0477305977228</v>
      </c>
      <c r="G735" s="33">
        <v>8.1079445178545697</v>
      </c>
      <c r="H735" s="32">
        <v>0.19843237</v>
      </c>
      <c r="I735" s="32">
        <v>0.19843237</v>
      </c>
      <c r="K735">
        <f t="shared" si="22"/>
        <v>-1.0477305977228069E-2</v>
      </c>
      <c r="L735">
        <f t="shared" si="23"/>
        <v>2.3811888137001476E-4</v>
      </c>
    </row>
    <row r="736" spans="1:12" x14ac:dyDescent="0.3">
      <c r="A736" s="28">
        <v>45047</v>
      </c>
      <c r="B736" s="29">
        <v>0.20051331408405501</v>
      </c>
      <c r="C736" s="29">
        <v>0.20055352773655299</v>
      </c>
      <c r="D736" s="29">
        <v>0.20053341999999999</v>
      </c>
      <c r="E736" s="30">
        <v>6.4734999999999099E-4</v>
      </c>
      <c r="F736" s="30">
        <v>0.32385948655650998</v>
      </c>
      <c r="G736" s="30">
        <v>9.2526176214879996</v>
      </c>
      <c r="H736" s="29">
        <v>0.20053341999999999</v>
      </c>
      <c r="I736" s="29">
        <v>0.20053341999999999</v>
      </c>
      <c r="K736">
        <f t="shared" si="22"/>
        <v>3.2385948655651031E-3</v>
      </c>
      <c r="L736">
        <f t="shared" si="23"/>
        <v>2.0053341980595294E-4</v>
      </c>
    </row>
    <row r="737" spans="1:12" x14ac:dyDescent="0.3">
      <c r="A737" s="31">
        <v>45044</v>
      </c>
      <c r="B737" s="32">
        <v>0.199864092417156</v>
      </c>
      <c r="C737" s="32">
        <v>0.19990804230054199</v>
      </c>
      <c r="D737" s="32">
        <v>0.19988607</v>
      </c>
      <c r="E737" s="33">
        <v>1.3374999999998799E-4</v>
      </c>
      <c r="F737" s="33">
        <v>6.6957920688981404E-2</v>
      </c>
      <c r="G737" s="33">
        <v>8.8999348516171803</v>
      </c>
      <c r="H737" s="32">
        <v>0.19988607</v>
      </c>
      <c r="I737" s="32">
        <v>0.19988607</v>
      </c>
      <c r="K737">
        <f t="shared" si="22"/>
        <v>6.6957920688981432E-4</v>
      </c>
      <c r="L737">
        <f t="shared" si="23"/>
        <v>2.1987466853488498E-4</v>
      </c>
    </row>
    <row r="738" spans="1:12" x14ac:dyDescent="0.3">
      <c r="A738" s="28">
        <v>45043</v>
      </c>
      <c r="B738" s="29">
        <v>0.19972836941759201</v>
      </c>
      <c r="C738" s="29">
        <v>0.19977625059932899</v>
      </c>
      <c r="D738" s="29">
        <v>0.19975232000000001</v>
      </c>
      <c r="E738" s="30">
        <v>1.7678000000000099E-3</v>
      </c>
      <c r="F738" s="30">
        <v>0.89289809122450303</v>
      </c>
      <c r="G738" s="30">
        <v>8.8270665107347792</v>
      </c>
      <c r="H738" s="29">
        <v>0.19975232000000001</v>
      </c>
      <c r="I738" s="29">
        <v>0.19975232000000001</v>
      </c>
      <c r="K738">
        <f t="shared" si="22"/>
        <v>8.9289809122450325E-3</v>
      </c>
      <c r="L738">
        <f t="shared" si="23"/>
        <v>2.3970275657867797E-4</v>
      </c>
    </row>
    <row r="739" spans="1:12" x14ac:dyDescent="0.3">
      <c r="A739" s="31">
        <v>45042</v>
      </c>
      <c r="B739" s="32">
        <v>0.197961001682669</v>
      </c>
      <c r="C739" s="32">
        <v>0.19800803912638901</v>
      </c>
      <c r="D739" s="32">
        <v>0.19798452</v>
      </c>
      <c r="E739" s="33">
        <v>7.2252000000000405E-4</v>
      </c>
      <c r="F739" s="33">
        <v>0.36627429509992199</v>
      </c>
      <c r="G739" s="33">
        <v>7.8639513480289001</v>
      </c>
      <c r="H739" s="32">
        <v>0.19798452</v>
      </c>
      <c r="I739" s="32">
        <v>0.19798452</v>
      </c>
      <c r="K739">
        <f t="shared" si="22"/>
        <v>3.6627429509992204E-3</v>
      </c>
      <c r="L739">
        <f t="shared" si="23"/>
        <v>2.3758142161824043E-4</v>
      </c>
    </row>
    <row r="740" spans="1:12" x14ac:dyDescent="0.3">
      <c r="A740" s="28">
        <v>45041</v>
      </c>
      <c r="B740" s="29">
        <v>0.19723865877711999</v>
      </c>
      <c r="C740" s="29">
        <v>0.19728535353535401</v>
      </c>
      <c r="D740" s="29">
        <v>0.19726199999999999</v>
      </c>
      <c r="E740" s="30">
        <v>-1.6357000000000101E-4</v>
      </c>
      <c r="F740" s="30">
        <v>-8.2851476634970805E-2</v>
      </c>
      <c r="G740" s="30">
        <v>7.4703152085570901</v>
      </c>
      <c r="H740" s="29">
        <v>0.19726199999999999</v>
      </c>
      <c r="I740" s="29">
        <v>0.19726199999999999</v>
      </c>
      <c r="K740">
        <f t="shared" si="22"/>
        <v>-8.2851476634970833E-4</v>
      </c>
      <c r="L740">
        <f t="shared" si="23"/>
        <v>2.3671441146301439E-4</v>
      </c>
    </row>
    <row r="741" spans="1:12" x14ac:dyDescent="0.3">
      <c r="A741" s="31">
        <v>45040</v>
      </c>
      <c r="B741" s="32">
        <v>0.19739829053080399</v>
      </c>
      <c r="C741" s="32">
        <v>0.19745285813012101</v>
      </c>
      <c r="D741" s="32">
        <v>0.19742556999999999</v>
      </c>
      <c r="E741" s="33">
        <v>-5.4327000000001203E-4</v>
      </c>
      <c r="F741" s="33">
        <v>-0.27442197469056401</v>
      </c>
      <c r="G741" s="33">
        <v>7.5594297843936102</v>
      </c>
      <c r="H741" s="32">
        <v>0.19742556999999999</v>
      </c>
      <c r="I741" s="32">
        <v>0.19742556999999999</v>
      </c>
      <c r="K741">
        <f t="shared" si="22"/>
        <v>-2.7442197469056406E-3</v>
      </c>
      <c r="L741">
        <f t="shared" si="23"/>
        <v>2.763958048444183E-4</v>
      </c>
    </row>
    <row r="742" spans="1:12" x14ac:dyDescent="0.3">
      <c r="A742" s="28">
        <v>45037</v>
      </c>
      <c r="B742" s="29">
        <v>0.19790615290229399</v>
      </c>
      <c r="C742" s="29">
        <v>0.19803156623165699</v>
      </c>
      <c r="D742" s="29">
        <v>0.19796884000000001</v>
      </c>
      <c r="E742" s="30">
        <v>-2.8258999999999901E-4</v>
      </c>
      <c r="F742" s="30">
        <v>-0.142541216474456</v>
      </c>
      <c r="G742" s="30">
        <v>7.85540872683237</v>
      </c>
      <c r="H742" s="29">
        <v>0.19796884000000001</v>
      </c>
      <c r="I742" s="29">
        <v>0.19796884000000001</v>
      </c>
      <c r="K742">
        <f t="shared" si="22"/>
        <v>-1.4254121647445661E-3</v>
      </c>
      <c r="L742">
        <f t="shared" si="23"/>
        <v>6.3350034966613931E-4</v>
      </c>
    </row>
    <row r="743" spans="1:12" x14ac:dyDescent="0.3">
      <c r="A743" s="31">
        <v>45036</v>
      </c>
      <c r="B743" s="32">
        <v>0.198235702249975</v>
      </c>
      <c r="C743" s="32">
        <v>0.198267145151377</v>
      </c>
      <c r="D743" s="32">
        <v>0.19825143000000001</v>
      </c>
      <c r="E743" s="33">
        <v>-3.2872999999999898E-4</v>
      </c>
      <c r="F743" s="33">
        <v>-0.16554020300920599</v>
      </c>
      <c r="G743" s="33">
        <v>8.0093665918787895</v>
      </c>
      <c r="H743" s="32">
        <v>0.19825143000000001</v>
      </c>
      <c r="I743" s="32">
        <v>0.19825143000000001</v>
      </c>
      <c r="K743">
        <f t="shared" si="22"/>
        <v>-1.655402030092068E-3</v>
      </c>
      <c r="L743">
        <f t="shared" si="23"/>
        <v>1.5860113292499948E-4</v>
      </c>
    </row>
    <row r="744" spans="1:12" x14ac:dyDescent="0.3">
      <c r="A744" s="28">
        <v>45035</v>
      </c>
      <c r="B744" s="29">
        <v>0.19855058076044901</v>
      </c>
      <c r="C744" s="29">
        <v>0.19860973187686201</v>
      </c>
      <c r="D744" s="29">
        <v>0.19858016000000001</v>
      </c>
      <c r="E744" s="30">
        <v>-2.5481699999999798E-3</v>
      </c>
      <c r="F744" s="30">
        <v>-1.2669373827148001</v>
      </c>
      <c r="G744" s="30">
        <v>8.1884619914920407</v>
      </c>
      <c r="H744" s="29">
        <v>0.19858016000000001</v>
      </c>
      <c r="I744" s="29">
        <v>0.19858016000000001</v>
      </c>
      <c r="K744">
        <f t="shared" si="22"/>
        <v>-1.2669373827148056E-2</v>
      </c>
      <c r="L744">
        <f t="shared" si="23"/>
        <v>2.9787022234747739E-4</v>
      </c>
    </row>
    <row r="745" spans="1:12" x14ac:dyDescent="0.3">
      <c r="A745" s="31">
        <v>45034</v>
      </c>
      <c r="B745" s="32">
        <v>0.201097995052989</v>
      </c>
      <c r="C745" s="32">
        <v>0.201158673962021</v>
      </c>
      <c r="D745" s="32">
        <v>0.20112832999999999</v>
      </c>
      <c r="E745" s="33">
        <v>-8.4700000000001397E-4</v>
      </c>
      <c r="F745" s="33">
        <v>-0.41935814636372398</v>
      </c>
      <c r="G745" s="33">
        <v>9.5767305536326806</v>
      </c>
      <c r="H745" s="32">
        <v>0.20112832999999999</v>
      </c>
      <c r="I745" s="32">
        <v>0.20112832999999999</v>
      </c>
      <c r="K745">
        <f t="shared" si="22"/>
        <v>-4.1935814636372415E-3</v>
      </c>
      <c r="L745">
        <f t="shared" si="23"/>
        <v>3.016925016580062E-4</v>
      </c>
    </row>
    <row r="746" spans="1:12" x14ac:dyDescent="0.3">
      <c r="A746" s="28">
        <v>45033</v>
      </c>
      <c r="B746" s="29">
        <v>0.201959002322529</v>
      </c>
      <c r="C746" s="29">
        <v>0.201991637546206</v>
      </c>
      <c r="D746" s="29">
        <v>0.20197533000000001</v>
      </c>
      <c r="E746" s="30">
        <v>2.4244000000000999E-4</v>
      </c>
      <c r="F746" s="30">
        <v>0.120178717511065</v>
      </c>
      <c r="G746" s="30">
        <v>10.0381846450524</v>
      </c>
      <c r="H746" s="29">
        <v>0.20197533000000001</v>
      </c>
      <c r="I746" s="29">
        <v>0.20197533000000001</v>
      </c>
      <c r="K746">
        <f t="shared" si="22"/>
        <v>1.2017871751106579E-3</v>
      </c>
      <c r="L746">
        <f t="shared" si="23"/>
        <v>1.6158024684003076E-4</v>
      </c>
    </row>
    <row r="747" spans="1:12" x14ac:dyDescent="0.3">
      <c r="A747" s="31">
        <v>45030</v>
      </c>
      <c r="B747" s="32">
        <v>0.20171050508310501</v>
      </c>
      <c r="C747" s="32">
        <v>0.20175527085645101</v>
      </c>
      <c r="D747" s="32">
        <v>0.20173289</v>
      </c>
      <c r="E747" s="33">
        <v>-2.10537999999999E-3</v>
      </c>
      <c r="F747" s="33">
        <v>-1.03286787118042</v>
      </c>
      <c r="G747" s="33">
        <v>9.9061009025213895</v>
      </c>
      <c r="H747" s="32">
        <v>0.20173289</v>
      </c>
      <c r="I747" s="32">
        <v>0.20173289</v>
      </c>
      <c r="K747">
        <f t="shared" si="22"/>
        <v>-1.0328678711804207E-2</v>
      </c>
      <c r="L747">
        <f t="shared" si="23"/>
        <v>2.2190617179975223E-4</v>
      </c>
    </row>
    <row r="748" spans="1:12" x14ac:dyDescent="0.3">
      <c r="A748" s="28">
        <v>45029</v>
      </c>
      <c r="B748" s="29">
        <v>0.20379880981495099</v>
      </c>
      <c r="C748" s="29">
        <v>0.20387775489816301</v>
      </c>
      <c r="D748" s="29">
        <v>0.20383826999999999</v>
      </c>
      <c r="E748" s="30">
        <v>1.23891999999997E-3</v>
      </c>
      <c r="F748" s="30">
        <v>0.61151232716194404</v>
      </c>
      <c r="G748" s="30">
        <v>11.053133033564301</v>
      </c>
      <c r="H748" s="29">
        <v>0.20383826999999999</v>
      </c>
      <c r="I748" s="29">
        <v>0.20383826999999999</v>
      </c>
      <c r="K748">
        <f t="shared" si="22"/>
        <v>6.1151232716194492E-3</v>
      </c>
      <c r="L748">
        <f t="shared" si="23"/>
        <v>3.872927454300782E-4</v>
      </c>
    </row>
    <row r="749" spans="1:12" x14ac:dyDescent="0.3">
      <c r="A749" s="31">
        <v>45028</v>
      </c>
      <c r="B749" s="32">
        <v>0.20257267294642001</v>
      </c>
      <c r="C749" s="32">
        <v>0.20262603339276999</v>
      </c>
      <c r="D749" s="32">
        <v>0.20259935000000001</v>
      </c>
      <c r="E749" s="33">
        <v>2.7652100000000101E-3</v>
      </c>
      <c r="F749" s="33">
        <v>1.38375254598639</v>
      </c>
      <c r="G749" s="33">
        <v>10.378156997033299</v>
      </c>
      <c r="H749" s="32">
        <v>0.20259935000000001</v>
      </c>
      <c r="I749" s="32">
        <v>0.20259935000000001</v>
      </c>
      <c r="K749">
        <f t="shared" si="22"/>
        <v>1.3837525459863942E-2</v>
      </c>
      <c r="L749">
        <f t="shared" si="23"/>
        <v>2.6337915866949741E-4</v>
      </c>
    </row>
    <row r="750" spans="1:12" x14ac:dyDescent="0.3">
      <c r="A750" s="28">
        <v>45027</v>
      </c>
      <c r="B750" s="29">
        <v>0.19980419189194601</v>
      </c>
      <c r="C750" s="29">
        <v>0.199864092417156</v>
      </c>
      <c r="D750" s="29">
        <v>0.19983413999999999</v>
      </c>
      <c r="E750" s="30">
        <v>3.0224799999999902E-3</v>
      </c>
      <c r="F750" s="30">
        <v>1.53572201972178</v>
      </c>
      <c r="G750" s="30">
        <v>8.8716428670039207</v>
      </c>
      <c r="H750" s="29">
        <v>0.19983413999999999</v>
      </c>
      <c r="I750" s="29">
        <v>0.19983413999999999</v>
      </c>
      <c r="K750">
        <f t="shared" si="22"/>
        <v>1.5357220197217858E-2</v>
      </c>
      <c r="L750">
        <f t="shared" si="23"/>
        <v>2.9975120972816876E-4</v>
      </c>
    </row>
    <row r="751" spans="1:12" x14ac:dyDescent="0.3">
      <c r="A751" s="31">
        <v>45026</v>
      </c>
      <c r="B751" s="32">
        <v>0.196788413098237</v>
      </c>
      <c r="C751" s="32">
        <v>0.19683489489016601</v>
      </c>
      <c r="D751" s="32">
        <v>0.19681166</v>
      </c>
      <c r="E751" s="33">
        <v>-8.8319000000000505E-4</v>
      </c>
      <c r="F751" s="33">
        <v>-0.44674406035362102</v>
      </c>
      <c r="G751" s="33">
        <v>7.2249654617684502</v>
      </c>
      <c r="H751" s="32">
        <v>0.19681166</v>
      </c>
      <c r="I751" s="32">
        <v>0.19681166</v>
      </c>
      <c r="K751">
        <f t="shared" si="22"/>
        <v>-4.4674406035362102E-3</v>
      </c>
      <c r="L751">
        <f t="shared" si="23"/>
        <v>2.3617397429100224E-4</v>
      </c>
    </row>
    <row r="752" spans="1:12" x14ac:dyDescent="0.3">
      <c r="A752" s="28">
        <v>45023</v>
      </c>
      <c r="B752" s="29">
        <v>0.19767533802482801</v>
      </c>
      <c r="C752" s="29">
        <v>0.197714421289889</v>
      </c>
      <c r="D752" s="29">
        <v>0.19769485000000001</v>
      </c>
      <c r="E752" s="30">
        <v>-2.9999999984209298E-8</v>
      </c>
      <c r="F752" s="30">
        <v>-1.51748998145073E-5</v>
      </c>
      <c r="G752" s="30">
        <v>7.70613622800344</v>
      </c>
      <c r="H752" s="29">
        <v>0.19769485000000001</v>
      </c>
      <c r="I752" s="29">
        <v>0.19769485000000001</v>
      </c>
      <c r="K752">
        <f t="shared" si="22"/>
        <v>-1.517489981450737E-7</v>
      </c>
      <c r="L752">
        <f t="shared" si="23"/>
        <v>1.9769490738375957E-4</v>
      </c>
    </row>
    <row r="753" spans="1:12" x14ac:dyDescent="0.3">
      <c r="A753" s="31">
        <v>45022</v>
      </c>
      <c r="B753" s="32">
        <v>0.19767533802482801</v>
      </c>
      <c r="C753" s="32">
        <v>0.197714421289889</v>
      </c>
      <c r="D753" s="32">
        <v>0.19769487999999999</v>
      </c>
      <c r="E753" s="33">
        <v>-2.5437999999999801E-4</v>
      </c>
      <c r="F753" s="33">
        <v>-0.12850767919011499</v>
      </c>
      <c r="G753" s="33">
        <v>7.7061525723041902</v>
      </c>
      <c r="H753" s="32">
        <v>0.19769487999999999</v>
      </c>
      <c r="I753" s="32">
        <v>0.19769487999999999</v>
      </c>
      <c r="K753">
        <f t="shared" si="22"/>
        <v>-1.2850767919011519E-3</v>
      </c>
      <c r="L753">
        <f t="shared" si="23"/>
        <v>1.9769487738375543E-4</v>
      </c>
    </row>
    <row r="754" spans="1:12" x14ac:dyDescent="0.3">
      <c r="A754" s="28">
        <v>45021</v>
      </c>
      <c r="B754" s="29">
        <v>0.19791006966434499</v>
      </c>
      <c r="C754" s="29">
        <v>0.19798843747525099</v>
      </c>
      <c r="D754" s="29">
        <v>0.19794925999999999</v>
      </c>
      <c r="E754" s="30">
        <v>9.0491999999997498E-4</v>
      </c>
      <c r="F754" s="30">
        <v>0.45924688828919902</v>
      </c>
      <c r="G754" s="30">
        <v>7.8447413465371998</v>
      </c>
      <c r="H754" s="29">
        <v>0.19794925999999999</v>
      </c>
      <c r="I754" s="29">
        <v>0.19794925999999999</v>
      </c>
      <c r="K754">
        <f t="shared" si="22"/>
        <v>4.5924688828919979E-3</v>
      </c>
      <c r="L754">
        <f t="shared" si="23"/>
        <v>3.9589847876170324E-4</v>
      </c>
    </row>
    <row r="755" spans="1:12" x14ac:dyDescent="0.3">
      <c r="A755" s="31">
        <v>45020</v>
      </c>
      <c r="B755" s="32">
        <v>0.19702104184726901</v>
      </c>
      <c r="C755" s="32">
        <v>0.197067633611856</v>
      </c>
      <c r="D755" s="32">
        <v>0.19704434000000001</v>
      </c>
      <c r="E755" s="33">
        <v>-5.5482999999997796E-4</v>
      </c>
      <c r="F755" s="33">
        <v>-0.28078559236862599</v>
      </c>
      <c r="G755" s="33">
        <v>7.3517318584527001</v>
      </c>
      <c r="H755" s="32">
        <v>0.19704434000000001</v>
      </c>
      <c r="I755" s="32">
        <v>0.19704434000000001</v>
      </c>
      <c r="K755">
        <f t="shared" si="22"/>
        <v>-2.8078559236862644E-3</v>
      </c>
      <c r="L755">
        <f t="shared" si="23"/>
        <v>2.3645319924941536E-4</v>
      </c>
    </row>
    <row r="756" spans="1:12" x14ac:dyDescent="0.3">
      <c r="A756" s="28">
        <v>45019</v>
      </c>
      <c r="B756" s="29">
        <v>0.197573793811989</v>
      </c>
      <c r="C756" s="29">
        <v>0.19762455287444899</v>
      </c>
      <c r="D756" s="29">
        <v>0.19759916999999999</v>
      </c>
      <c r="E756" s="30">
        <v>3.7022999999999901E-4</v>
      </c>
      <c r="F756" s="30">
        <v>0.18771585954879799</v>
      </c>
      <c r="G756" s="30">
        <v>7.6540088047837802</v>
      </c>
      <c r="H756" s="29">
        <v>0.19759916999999999</v>
      </c>
      <c r="I756" s="29">
        <v>0.19759916999999999</v>
      </c>
      <c r="K756">
        <f t="shared" si="22"/>
        <v>1.8771585954879821E-3</v>
      </c>
      <c r="L756">
        <f t="shared" si="23"/>
        <v>2.5687892545294072E-4</v>
      </c>
    </row>
    <row r="757" spans="1:12" x14ac:dyDescent="0.3">
      <c r="A757" s="31">
        <v>45016</v>
      </c>
      <c r="B757" s="32">
        <v>0.19721531968603301</v>
      </c>
      <c r="C757" s="32">
        <v>0.19724254916270501</v>
      </c>
      <c r="D757" s="32">
        <v>0.19722893999999999</v>
      </c>
      <c r="E757" s="33">
        <v>2.2686599999999701E-3</v>
      </c>
      <c r="F757" s="33">
        <v>1.1636524116604501</v>
      </c>
      <c r="G757" s="33">
        <v>7.4523037891210402</v>
      </c>
      <c r="H757" s="32">
        <v>0.19722893999999999</v>
      </c>
      <c r="I757" s="32">
        <v>0.19722893999999999</v>
      </c>
      <c r="K757">
        <f t="shared" si="22"/>
        <v>1.1636524116604541E-2</v>
      </c>
      <c r="L757">
        <f t="shared" si="23"/>
        <v>1.3806024953537323E-4</v>
      </c>
    </row>
    <row r="758" spans="1:12" x14ac:dyDescent="0.3">
      <c r="A758" s="28">
        <v>45015</v>
      </c>
      <c r="B758" s="29">
        <v>0.19494317406476</v>
      </c>
      <c r="C758" s="29">
        <v>0.194977382623616</v>
      </c>
      <c r="D758" s="29">
        <v>0.19496028000000001</v>
      </c>
      <c r="E758" s="30">
        <v>6.8556000000000096E-4</v>
      </c>
      <c r="F758" s="30">
        <v>0.352881733660459</v>
      </c>
      <c r="G758" s="30">
        <v>6.21631507714892</v>
      </c>
      <c r="H758" s="29">
        <v>0.19496028000000001</v>
      </c>
      <c r="I758" s="29">
        <v>0.19496028000000001</v>
      </c>
      <c r="K758">
        <f t="shared" si="22"/>
        <v>3.528817336604595E-3</v>
      </c>
      <c r="L758">
        <f t="shared" si="23"/>
        <v>1.7546424767135669E-4</v>
      </c>
    </row>
    <row r="759" spans="1:12" x14ac:dyDescent="0.3">
      <c r="A759" s="31">
        <v>45014</v>
      </c>
      <c r="B759" s="32">
        <v>0.194238874968436</v>
      </c>
      <c r="C759" s="32">
        <v>0.19431058604072801</v>
      </c>
      <c r="D759" s="32">
        <v>0.19427472000000001</v>
      </c>
      <c r="E759" s="33">
        <v>1.1779300000000199E-3</v>
      </c>
      <c r="F759" s="33">
        <v>0.61002049801035496</v>
      </c>
      <c r="G759" s="33">
        <v>5.8428151162118001</v>
      </c>
      <c r="H759" s="32">
        <v>0.19427472000000001</v>
      </c>
      <c r="I759" s="32">
        <v>0.19427472000000001</v>
      </c>
      <c r="K759">
        <f t="shared" si="22"/>
        <v>6.1002049801035518E-3</v>
      </c>
      <c r="L759">
        <f t="shared" si="23"/>
        <v>3.691219953476592E-4</v>
      </c>
    </row>
    <row r="760" spans="1:12" x14ac:dyDescent="0.3">
      <c r="A760" s="28">
        <v>45013</v>
      </c>
      <c r="B760" s="29">
        <v>0.19306882903755199</v>
      </c>
      <c r="C760" s="29">
        <v>0.19312475859405201</v>
      </c>
      <c r="D760" s="29">
        <v>0.19309678999999999</v>
      </c>
      <c r="E760" s="30">
        <v>2.0218899999999902E-3</v>
      </c>
      <c r="F760" s="30">
        <v>1.0581661955599599</v>
      </c>
      <c r="G760" s="30">
        <v>5.2010670431231301</v>
      </c>
      <c r="H760" s="29">
        <v>0.19309678999999999</v>
      </c>
      <c r="I760" s="29">
        <v>0.19309678999999999</v>
      </c>
      <c r="K760">
        <f t="shared" si="22"/>
        <v>1.0581661955599619E-2</v>
      </c>
      <c r="L760">
        <f t="shared" si="23"/>
        <v>2.8964519037329856E-4</v>
      </c>
    </row>
    <row r="761" spans="1:12" x14ac:dyDescent="0.3">
      <c r="A761" s="31">
        <v>45012</v>
      </c>
      <c r="B761" s="32">
        <v>0.19106576483625701</v>
      </c>
      <c r="C761" s="32">
        <v>0.19108401964343699</v>
      </c>
      <c r="D761" s="32">
        <v>0.19107489999999999</v>
      </c>
      <c r="E761" s="33">
        <v>5.2248999999998603E-4</v>
      </c>
      <c r="F761" s="33">
        <v>0.27419752917319201</v>
      </c>
      <c r="G761" s="33">
        <v>4.09952110109157</v>
      </c>
      <c r="H761" s="32">
        <v>0.19107489999999999</v>
      </c>
      <c r="I761" s="32">
        <v>0.19107489999999999</v>
      </c>
      <c r="K761">
        <f t="shared" si="22"/>
        <v>2.741975291731924E-3</v>
      </c>
      <c r="L761">
        <f t="shared" si="23"/>
        <v>9.553744201873111E-5</v>
      </c>
    </row>
    <row r="762" spans="1:12" x14ac:dyDescent="0.3">
      <c r="A762" s="28">
        <v>45009</v>
      </c>
      <c r="B762" s="29">
        <v>0.19052699767557099</v>
      </c>
      <c r="C762" s="29">
        <v>0.19057783198658301</v>
      </c>
      <c r="D762" s="29">
        <v>0.19055241000000001</v>
      </c>
      <c r="E762" s="30">
        <v>7.7388999999999898E-4</v>
      </c>
      <c r="F762" s="30">
        <v>0.40778587587257897</v>
      </c>
      <c r="G762" s="30">
        <v>3.8148633109783301</v>
      </c>
      <c r="H762" s="29">
        <v>0.19055241000000001</v>
      </c>
      <c r="I762" s="29">
        <v>0.19055241000000001</v>
      </c>
      <c r="K762">
        <f t="shared" si="22"/>
        <v>4.0778587587257942E-3</v>
      </c>
      <c r="L762">
        <f t="shared" si="23"/>
        <v>2.6677338277706009E-4</v>
      </c>
    </row>
    <row r="763" spans="1:12" x14ac:dyDescent="0.3">
      <c r="A763" s="31">
        <v>45008</v>
      </c>
      <c r="B763" s="32">
        <v>0.18975692138370701</v>
      </c>
      <c r="C763" s="32">
        <v>0.189800140452104</v>
      </c>
      <c r="D763" s="32">
        <v>0.18977852000000001</v>
      </c>
      <c r="E763" s="33">
        <v>-3.5182000000000198E-4</v>
      </c>
      <c r="F763" s="33">
        <v>-0.18504148259557099</v>
      </c>
      <c r="G763" s="33">
        <v>3.3932402805074302</v>
      </c>
      <c r="H763" s="32">
        <v>0.18977852000000001</v>
      </c>
      <c r="I763" s="32">
        <v>0.18977852000000001</v>
      </c>
      <c r="K763">
        <f t="shared" si="22"/>
        <v>-1.8504148259557152E-3</v>
      </c>
      <c r="L763">
        <f t="shared" si="23"/>
        <v>2.2773424725302694E-4</v>
      </c>
    </row>
    <row r="764" spans="1:12" x14ac:dyDescent="0.3">
      <c r="A764" s="28">
        <v>45007</v>
      </c>
      <c r="B764" s="29">
        <v>0.19011406844106499</v>
      </c>
      <c r="C764" s="29">
        <v>0.190146603030937</v>
      </c>
      <c r="D764" s="29">
        <v>0.19013034000000001</v>
      </c>
      <c r="E764" s="30">
        <v>-5.3833000000000299E-4</v>
      </c>
      <c r="F764" s="30">
        <v>-0.282337942568122</v>
      </c>
      <c r="G764" s="30">
        <v>3.5849153436046102</v>
      </c>
      <c r="H764" s="29">
        <v>0.19013034000000001</v>
      </c>
      <c r="I764" s="29">
        <v>0.19013034000000001</v>
      </c>
      <c r="K764">
        <f t="shared" si="22"/>
        <v>-2.8233794256812272E-3</v>
      </c>
      <c r="L764">
        <f t="shared" si="23"/>
        <v>1.7111729707112013E-4</v>
      </c>
    </row>
    <row r="765" spans="1:12" x14ac:dyDescent="0.3">
      <c r="A765" s="31">
        <v>45006</v>
      </c>
      <c r="B765" s="32">
        <v>0.190657769304099</v>
      </c>
      <c r="C765" s="32">
        <v>0.19067958203035601</v>
      </c>
      <c r="D765" s="32">
        <v>0.19066867000000001</v>
      </c>
      <c r="E765" s="33">
        <v>7.9940000000000498E-5</v>
      </c>
      <c r="F765" s="33">
        <v>4.1943718288073299E-2</v>
      </c>
      <c r="G765" s="33">
        <v>3.8782029245184302</v>
      </c>
      <c r="H765" s="32">
        <v>0.19066867000000001</v>
      </c>
      <c r="I765" s="32">
        <v>0.19066867000000001</v>
      </c>
      <c r="K765">
        <f t="shared" si="22"/>
        <v>4.1943718288073306E-4</v>
      </c>
      <c r="L765">
        <f t="shared" si="23"/>
        <v>1.1440120842616103E-4</v>
      </c>
    </row>
    <row r="766" spans="1:12" x14ac:dyDescent="0.3">
      <c r="A766" s="28">
        <v>45005</v>
      </c>
      <c r="B766" s="29">
        <v>0.190556042532109</v>
      </c>
      <c r="C766" s="29">
        <v>0.190621425848265</v>
      </c>
      <c r="D766" s="29">
        <v>0.19058873000000001</v>
      </c>
      <c r="E766" s="30">
        <v>1.21272E-3</v>
      </c>
      <c r="F766" s="30">
        <v>0.64037678267696496</v>
      </c>
      <c r="G766" s="30">
        <v>3.83465081109683</v>
      </c>
      <c r="H766" s="29">
        <v>0.19058873000000001</v>
      </c>
      <c r="I766" s="29">
        <v>0.19058873000000001</v>
      </c>
      <c r="K766">
        <f t="shared" si="22"/>
        <v>6.4037678267696574E-3</v>
      </c>
      <c r="L766">
        <f t="shared" si="23"/>
        <v>3.430597189875417E-4</v>
      </c>
    </row>
    <row r="767" spans="1:12" x14ac:dyDescent="0.3">
      <c r="A767" s="31">
        <v>45002</v>
      </c>
      <c r="B767" s="32">
        <v>0.18934731978868799</v>
      </c>
      <c r="C767" s="32">
        <v>0.18940470102467899</v>
      </c>
      <c r="D767" s="32">
        <v>0.18937601000000001</v>
      </c>
      <c r="E767" s="33">
        <v>3.58500000000039E-5</v>
      </c>
      <c r="F767" s="33">
        <v>1.8934176457863199E-2</v>
      </c>
      <c r="G767" s="33">
        <v>3.17394879722836</v>
      </c>
      <c r="H767" s="32">
        <v>0.18937601000000001</v>
      </c>
      <c r="I767" s="32">
        <v>0.18937601000000001</v>
      </c>
      <c r="K767">
        <f t="shared" si="22"/>
        <v>1.8934176457863217E-4</v>
      </c>
      <c r="L767">
        <f t="shared" si="23"/>
        <v>3.0300161034652572E-4</v>
      </c>
    </row>
    <row r="768" spans="1:12" x14ac:dyDescent="0.3">
      <c r="A768" s="28">
        <v>45001</v>
      </c>
      <c r="B768" s="29">
        <v>0.189318642206698</v>
      </c>
      <c r="C768" s="29">
        <v>0.18936166183794401</v>
      </c>
      <c r="D768" s="29">
        <v>0.18934016000000001</v>
      </c>
      <c r="E768" s="30">
        <v>9.3642000000002102E-4</v>
      </c>
      <c r="F768" s="30">
        <v>0.49702834986184902</v>
      </c>
      <c r="G768" s="30">
        <v>3.15441735782175</v>
      </c>
      <c r="H768" s="29">
        <v>0.18934016000000001</v>
      </c>
      <c r="I768" s="29">
        <v>0.18934016000000001</v>
      </c>
      <c r="K768">
        <f t="shared" si="22"/>
        <v>4.9702834986184996E-3</v>
      </c>
      <c r="L768">
        <f t="shared" si="23"/>
        <v>2.2720816992023859E-4</v>
      </c>
    </row>
    <row r="769" spans="1:12" x14ac:dyDescent="0.3">
      <c r="A769" s="31">
        <v>45000</v>
      </c>
      <c r="B769" s="32">
        <v>0.188362937708376</v>
      </c>
      <c r="C769" s="32">
        <v>0.18844457844947801</v>
      </c>
      <c r="D769" s="32">
        <v>0.18840373999999999</v>
      </c>
      <c r="E769" s="33">
        <v>-1.80072E-3</v>
      </c>
      <c r="F769" s="33">
        <v>-0.94672858880385702</v>
      </c>
      <c r="G769" s="33">
        <v>2.6442463539406198</v>
      </c>
      <c r="H769" s="32">
        <v>0.18840373999999999</v>
      </c>
      <c r="I769" s="32">
        <v>0.18840373999999999</v>
      </c>
      <c r="K769">
        <f t="shared" si="22"/>
        <v>-9.4672858880385791E-3</v>
      </c>
      <c r="L769">
        <f t="shared" si="23"/>
        <v>4.3332866482378237E-4</v>
      </c>
    </row>
    <row r="770" spans="1:12" x14ac:dyDescent="0.3">
      <c r="A770" s="28">
        <v>44999</v>
      </c>
      <c r="B770" s="29">
        <v>0.19018638265500201</v>
      </c>
      <c r="C770" s="29">
        <v>0.19022256039566299</v>
      </c>
      <c r="D770" s="29">
        <v>0.19020445999999999</v>
      </c>
      <c r="E770" s="30">
        <v>-7.2451000000001099E-4</v>
      </c>
      <c r="F770" s="30">
        <v>-0.37946572487140801</v>
      </c>
      <c r="G770" s="30">
        <v>3.6252966626790202</v>
      </c>
      <c r="H770" s="29">
        <v>0.19020445999999999</v>
      </c>
      <c r="I770" s="29">
        <v>0.19020445999999999</v>
      </c>
      <c r="K770">
        <f t="shared" si="22"/>
        <v>-3.7946572487140839E-3</v>
      </c>
      <c r="L770">
        <f t="shared" si="23"/>
        <v>1.9020448133011888E-4</v>
      </c>
    </row>
    <row r="771" spans="1:12" x14ac:dyDescent="0.3">
      <c r="A771" s="31">
        <v>44998</v>
      </c>
      <c r="B771" s="32">
        <v>0.19090527280363501</v>
      </c>
      <c r="C771" s="32">
        <v>0.19095266283488299</v>
      </c>
      <c r="D771" s="32">
        <v>0.19092897</v>
      </c>
      <c r="E771" s="33">
        <v>-2.7850100000000001E-3</v>
      </c>
      <c r="F771" s="33">
        <v>-1.43769179694723</v>
      </c>
      <c r="G771" s="33">
        <v>4.02001697410115</v>
      </c>
      <c r="H771" s="32">
        <v>0.19092897</v>
      </c>
      <c r="I771" s="32">
        <v>0.19092897</v>
      </c>
      <c r="K771">
        <f t="shared" si="22"/>
        <v>-1.437691796947238E-2</v>
      </c>
      <c r="L771">
        <f t="shared" si="23"/>
        <v>2.4820765150508427E-4</v>
      </c>
    </row>
    <row r="772" spans="1:12" x14ac:dyDescent="0.3">
      <c r="A772" s="28">
        <v>44995</v>
      </c>
      <c r="B772" s="29">
        <v>0.19370084840971599</v>
      </c>
      <c r="C772" s="29">
        <v>0.19372711598442399</v>
      </c>
      <c r="D772" s="29">
        <v>0.19371398000000001</v>
      </c>
      <c r="E772" s="30">
        <v>-5.7772000000000303E-4</v>
      </c>
      <c r="F772" s="30">
        <v>-0.29734672145027502</v>
      </c>
      <c r="G772" s="30">
        <v>5.5373183426312504</v>
      </c>
      <c r="H772" s="29">
        <v>0.19371398000000001</v>
      </c>
      <c r="I772" s="29">
        <v>0.19371398000000001</v>
      </c>
      <c r="K772">
        <f t="shared" si="22"/>
        <v>-2.9734672145027563E-3</v>
      </c>
      <c r="L772">
        <f t="shared" si="23"/>
        <v>1.3559978845099303E-4</v>
      </c>
    </row>
    <row r="773" spans="1:12" x14ac:dyDescent="0.3">
      <c r="A773" s="31">
        <v>44994</v>
      </c>
      <c r="B773" s="32">
        <v>0.19426906265177299</v>
      </c>
      <c r="C773" s="32">
        <v>0.194314361774479</v>
      </c>
      <c r="D773" s="32">
        <v>0.19429170000000001</v>
      </c>
      <c r="E773" s="33">
        <v>-1.0799399999999999E-3</v>
      </c>
      <c r="F773" s="33">
        <v>-0.55276190546386095</v>
      </c>
      <c r="G773" s="33">
        <v>5.8520659904412096</v>
      </c>
      <c r="H773" s="32">
        <v>0.19429170000000001</v>
      </c>
      <c r="I773" s="32">
        <v>0.19429170000000001</v>
      </c>
      <c r="K773">
        <f t="shared" ref="K773:K836" si="24">D773/D774-1</f>
        <v>-5.5276190546386106E-3</v>
      </c>
      <c r="L773">
        <f t="shared" ref="L773:L836" si="25">(C773-B773)/D773</f>
        <v>2.3315006614287002E-4</v>
      </c>
    </row>
    <row r="774" spans="1:12" x14ac:dyDescent="0.3">
      <c r="A774" s="28">
        <v>44993</v>
      </c>
      <c r="B774" s="29">
        <v>0.19533920653214301</v>
      </c>
      <c r="C774" s="29">
        <v>0.19540409566984501</v>
      </c>
      <c r="D774" s="29">
        <v>0.19537164000000001</v>
      </c>
      <c r="E774" s="30">
        <v>2.9973699999999901E-3</v>
      </c>
      <c r="F774" s="30">
        <v>1.55809298197726</v>
      </c>
      <c r="G774" s="30">
        <v>6.4404281291518002</v>
      </c>
      <c r="H774" s="29">
        <v>0.19537164000000001</v>
      </c>
      <c r="I774" s="29">
        <v>0.19537164000000001</v>
      </c>
      <c r="K774">
        <f t="shared" si="24"/>
        <v>1.558092981977266E-2</v>
      </c>
      <c r="L774">
        <f t="shared" si="25"/>
        <v>3.3213181658300612E-4</v>
      </c>
    </row>
    <row r="775" spans="1:12" x14ac:dyDescent="0.3">
      <c r="A775" s="31">
        <v>44992</v>
      </c>
      <c r="B775" s="32">
        <v>0.19235948139883799</v>
      </c>
      <c r="C775" s="32">
        <v>0.19238908769094601</v>
      </c>
      <c r="D775" s="32">
        <v>0.19237427000000001</v>
      </c>
      <c r="E775" s="33">
        <v>-8.4377999999998799E-4</v>
      </c>
      <c r="F775" s="33">
        <v>-0.43669833123768298</v>
      </c>
      <c r="G775" s="33">
        <v>4.8074309036513396</v>
      </c>
      <c r="H775" s="32">
        <v>0.19237427000000001</v>
      </c>
      <c r="I775" s="32">
        <v>0.19237427000000001</v>
      </c>
      <c r="K775">
        <f t="shared" si="24"/>
        <v>-4.3669833123768376E-3</v>
      </c>
      <c r="L775">
        <f t="shared" si="25"/>
        <v>1.5389943836054473E-4</v>
      </c>
    </row>
    <row r="776" spans="1:12" x14ac:dyDescent="0.3">
      <c r="A776" s="28">
        <v>44991</v>
      </c>
      <c r="B776" s="29">
        <v>0.193180720564088</v>
      </c>
      <c r="C776" s="29">
        <v>0.19325538699391201</v>
      </c>
      <c r="D776" s="29">
        <v>0.19321805</v>
      </c>
      <c r="E776" s="30">
        <v>1.3881E-3</v>
      </c>
      <c r="F776" s="30">
        <v>0.72360963447053395</v>
      </c>
      <c r="G776" s="30">
        <v>5.26713070678968</v>
      </c>
      <c r="H776" s="29">
        <v>0.19321805</v>
      </c>
      <c r="I776" s="29">
        <v>0.19321805</v>
      </c>
      <c r="K776">
        <f t="shared" si="24"/>
        <v>7.236096344705345E-3</v>
      </c>
      <c r="L776">
        <f t="shared" si="25"/>
        <v>3.8643610068526583E-4</v>
      </c>
    </row>
    <row r="777" spans="1:12" x14ac:dyDescent="0.3">
      <c r="A777" s="31">
        <v>44988</v>
      </c>
      <c r="B777" s="32">
        <v>0.19180604572656099</v>
      </c>
      <c r="C777" s="32">
        <v>0.191853884081883</v>
      </c>
      <c r="D777" s="32">
        <v>0.19182995</v>
      </c>
      <c r="E777" s="33">
        <v>-3.7793999999999301E-4</v>
      </c>
      <c r="F777" s="33">
        <v>-0.196630845903356</v>
      </c>
      <c r="G777" s="33">
        <v>4.5108799106860298</v>
      </c>
      <c r="H777" s="32">
        <v>0.19182995</v>
      </c>
      <c r="I777" s="32">
        <v>0.19182995</v>
      </c>
      <c r="K777">
        <f t="shared" si="24"/>
        <v>-1.9663084590335611E-3</v>
      </c>
      <c r="L777">
        <f t="shared" si="25"/>
        <v>2.4937896987418441E-4</v>
      </c>
    </row>
    <row r="778" spans="1:12" x14ac:dyDescent="0.3">
      <c r="A778" s="28">
        <v>44987</v>
      </c>
      <c r="B778" s="29">
        <v>0.19218572828781699</v>
      </c>
      <c r="C778" s="29">
        <v>0.19223006093692899</v>
      </c>
      <c r="D778" s="29">
        <v>0.19220788999999999</v>
      </c>
      <c r="E778" s="30">
        <v>-3.1823999999999698E-4</v>
      </c>
      <c r="F778" s="30">
        <v>-0.16529704305592299</v>
      </c>
      <c r="G778" s="30">
        <v>4.7167854116437402</v>
      </c>
      <c r="H778" s="29">
        <v>0.19220788999999999</v>
      </c>
      <c r="I778" s="29">
        <v>0.19220788999999999</v>
      </c>
      <c r="K778">
        <f t="shared" si="24"/>
        <v>-1.6529704305592308E-3</v>
      </c>
      <c r="L778">
        <f t="shared" si="25"/>
        <v>2.306494760022308E-4</v>
      </c>
    </row>
    <row r="779" spans="1:12" x14ac:dyDescent="0.3">
      <c r="A779" s="31">
        <v>44986</v>
      </c>
      <c r="B779" s="32">
        <v>0.19250389820393901</v>
      </c>
      <c r="C779" s="32">
        <v>0.19254837777991701</v>
      </c>
      <c r="D779" s="32">
        <v>0.19252612999999999</v>
      </c>
      <c r="E779" s="33">
        <v>9.8092999999999098E-4</v>
      </c>
      <c r="F779" s="33">
        <v>0.51211411196938605</v>
      </c>
      <c r="G779" s="33">
        <v>4.8901657540917096</v>
      </c>
      <c r="H779" s="32">
        <v>0.19252612999999999</v>
      </c>
      <c r="I779" s="32">
        <v>0.19252612999999999</v>
      </c>
      <c r="K779">
        <f t="shared" si="24"/>
        <v>5.1211411196938617E-3</v>
      </c>
      <c r="L779">
        <f t="shared" si="25"/>
        <v>2.3103137209479801E-4</v>
      </c>
    </row>
    <row r="780" spans="1:12" x14ac:dyDescent="0.3">
      <c r="A780" s="28">
        <v>44985</v>
      </c>
      <c r="B780" s="29">
        <v>0.191508512553383</v>
      </c>
      <c r="C780" s="29">
        <v>0.19158189167959799</v>
      </c>
      <c r="D780" s="29">
        <v>0.1915452</v>
      </c>
      <c r="E780" s="30">
        <v>-9.0313000000000199E-4</v>
      </c>
      <c r="F780" s="30">
        <v>-0.46928440480621297</v>
      </c>
      <c r="G780" s="30">
        <v>4.3557452559849903</v>
      </c>
      <c r="H780" s="29">
        <v>0.1915452</v>
      </c>
      <c r="I780" s="29">
        <v>0.1915452</v>
      </c>
      <c r="K780">
        <f t="shared" si="24"/>
        <v>-4.6928440480621392E-3</v>
      </c>
      <c r="L780">
        <f t="shared" si="25"/>
        <v>3.8309039440818774E-4</v>
      </c>
    </row>
    <row r="781" spans="1:12" x14ac:dyDescent="0.3">
      <c r="A781" s="31">
        <v>44984</v>
      </c>
      <c r="B781" s="32">
        <v>0.19241870309794101</v>
      </c>
      <c r="C781" s="32">
        <v>0.192477961273434</v>
      </c>
      <c r="D781" s="32">
        <v>0.19244833</v>
      </c>
      <c r="E781" s="33">
        <v>-6.1129999999992498E-5</v>
      </c>
      <c r="F781" s="33">
        <v>-3.17542836596129E-2</v>
      </c>
      <c r="G781" s="33">
        <v>4.8477795341242302</v>
      </c>
      <c r="H781" s="32">
        <v>0.19244833</v>
      </c>
      <c r="I781" s="32">
        <v>0.19244833</v>
      </c>
      <c r="K781">
        <f t="shared" si="24"/>
        <v>-3.175428365961297E-4</v>
      </c>
      <c r="L781">
        <f t="shared" si="25"/>
        <v>3.0791732769511551E-4</v>
      </c>
    </row>
    <row r="782" spans="1:12" x14ac:dyDescent="0.3">
      <c r="A782" s="28">
        <v>44981</v>
      </c>
      <c r="B782" s="29">
        <v>0.19248537111179601</v>
      </c>
      <c r="C782" s="29">
        <v>0.19253354897090799</v>
      </c>
      <c r="D782" s="29">
        <v>0.19250945999999999</v>
      </c>
      <c r="E782" s="30">
        <v>-2.4755300000000001E-3</v>
      </c>
      <c r="F782" s="30">
        <v>-1.2696002907710999</v>
      </c>
      <c r="G782" s="30">
        <v>4.8810837709701502</v>
      </c>
      <c r="H782" s="29">
        <v>0.19250945999999999</v>
      </c>
      <c r="I782" s="29">
        <v>0.19250945999999999</v>
      </c>
      <c r="K782">
        <f t="shared" si="24"/>
        <v>-1.2696002907711001E-2</v>
      </c>
      <c r="L782">
        <f t="shared" si="25"/>
        <v>2.5026229418536813E-4</v>
      </c>
    </row>
    <row r="783" spans="1:12" x14ac:dyDescent="0.3">
      <c r="A783" s="31">
        <v>44980</v>
      </c>
      <c r="B783" s="32">
        <v>0.19496217733759699</v>
      </c>
      <c r="C783" s="32">
        <v>0.19500780031201201</v>
      </c>
      <c r="D783" s="32">
        <v>0.19498499</v>
      </c>
      <c r="E783" s="33">
        <v>1.79681E-3</v>
      </c>
      <c r="F783" s="33">
        <v>0.93008278249735399</v>
      </c>
      <c r="G783" s="33">
        <v>6.2297773328738097</v>
      </c>
      <c r="H783" s="32">
        <v>0.19498499</v>
      </c>
      <c r="I783" s="32">
        <v>0.19498499</v>
      </c>
      <c r="K783">
        <f t="shared" si="24"/>
        <v>9.3008278249735454E-3</v>
      </c>
      <c r="L783">
        <f t="shared" si="25"/>
        <v>2.3398198197213058E-4</v>
      </c>
    </row>
    <row r="784" spans="1:12" x14ac:dyDescent="0.3">
      <c r="A784" s="28">
        <v>44979</v>
      </c>
      <c r="B784" s="29">
        <v>0.193165794201163</v>
      </c>
      <c r="C784" s="29">
        <v>0.193210580211372</v>
      </c>
      <c r="D784" s="29">
        <v>0.19318817999999999</v>
      </c>
      <c r="E784" s="30">
        <v>-5.1642000000001699E-4</v>
      </c>
      <c r="F784" s="30">
        <v>-0.26660182566651203</v>
      </c>
      <c r="G784" s="30">
        <v>5.2508572313342903</v>
      </c>
      <c r="H784" s="29">
        <v>0.19318817999999999</v>
      </c>
      <c r="I784" s="29">
        <v>0.19318817999999999</v>
      </c>
      <c r="K784">
        <f t="shared" si="24"/>
        <v>-2.6660182566651258E-3</v>
      </c>
      <c r="L784">
        <f t="shared" si="25"/>
        <v>2.3182583017755757E-4</v>
      </c>
    </row>
    <row r="785" spans="1:12" x14ac:dyDescent="0.3">
      <c r="A785" s="31">
        <v>44978</v>
      </c>
      <c r="B785" s="32">
        <v>0.19368209021711799</v>
      </c>
      <c r="C785" s="32">
        <v>0.19372711598442399</v>
      </c>
      <c r="D785" s="32">
        <v>0.1937046</v>
      </c>
      <c r="E785" s="33"/>
      <c r="F785" s="33"/>
      <c r="G785" s="33">
        <v>5.5322080245940404</v>
      </c>
      <c r="H785" s="32">
        <v>0.1937046</v>
      </c>
      <c r="I785" s="32">
        <v>0.1937046</v>
      </c>
      <c r="K785">
        <f t="shared" si="24"/>
        <v>0</v>
      </c>
      <c r="L785">
        <f t="shared" si="25"/>
        <v>2.3244552429834195E-4</v>
      </c>
    </row>
    <row r="786" spans="1:12" x14ac:dyDescent="0.3">
      <c r="A786" s="28">
        <v>44977</v>
      </c>
      <c r="B786" s="29">
        <v>0.19368209021711799</v>
      </c>
      <c r="C786" s="29">
        <v>0.19372711598442399</v>
      </c>
      <c r="D786" s="29">
        <v>0.1937046</v>
      </c>
      <c r="E786" s="30">
        <v>1.02451E-3</v>
      </c>
      <c r="F786" s="30">
        <v>0.53171554985260705</v>
      </c>
      <c r="G786" s="30">
        <v>5.5322080245940404</v>
      </c>
      <c r="H786" s="29">
        <v>0.1937046</v>
      </c>
      <c r="I786" s="29">
        <v>0.1937046</v>
      </c>
      <c r="K786">
        <f t="shared" si="24"/>
        <v>5.3171554985260716E-3</v>
      </c>
      <c r="L786">
        <f t="shared" si="25"/>
        <v>2.3244552429834195E-4</v>
      </c>
    </row>
    <row r="787" spans="1:12" x14ac:dyDescent="0.3">
      <c r="A787" s="31">
        <v>44974</v>
      </c>
      <c r="B787" s="32">
        <v>0.19265966669877699</v>
      </c>
      <c r="C787" s="32">
        <v>0.192700504875323</v>
      </c>
      <c r="D787" s="32">
        <v>0.19268009</v>
      </c>
      <c r="E787" s="33">
        <v>1.7565899999999999E-3</v>
      </c>
      <c r="F787" s="33">
        <v>0.92004912962522201</v>
      </c>
      <c r="G787" s="33">
        <v>4.9740447055852099</v>
      </c>
      <c r="H787" s="32">
        <v>0.19268009</v>
      </c>
      <c r="I787" s="32">
        <v>0.19268009</v>
      </c>
      <c r="K787">
        <f t="shared" si="24"/>
        <v>9.2004912962522223E-3</v>
      </c>
      <c r="L787">
        <f t="shared" si="25"/>
        <v>2.1194808735046415E-4</v>
      </c>
    </row>
    <row r="788" spans="1:12" x14ac:dyDescent="0.3">
      <c r="A788" s="28">
        <v>44973</v>
      </c>
      <c r="B788" s="29">
        <v>0.19090891735553001</v>
      </c>
      <c r="C788" s="29">
        <v>0.19093807878105101</v>
      </c>
      <c r="D788" s="29">
        <v>0.1909235</v>
      </c>
      <c r="E788" s="30">
        <v>-2.1164000000001201E-4</v>
      </c>
      <c r="F788" s="30">
        <v>-0.110727938358179</v>
      </c>
      <c r="G788" s="30">
        <v>4.0170368632628204</v>
      </c>
      <c r="H788" s="29">
        <v>0.1909235</v>
      </c>
      <c r="I788" s="29">
        <v>0.1909235</v>
      </c>
      <c r="K788">
        <f t="shared" si="24"/>
        <v>-1.107279383581794E-3</v>
      </c>
      <c r="L788">
        <f t="shared" si="25"/>
        <v>1.5273879601519503E-4</v>
      </c>
    </row>
    <row r="789" spans="1:12" x14ac:dyDescent="0.3">
      <c r="A789" s="31">
        <v>44972</v>
      </c>
      <c r="B789" s="32">
        <v>0.19110593001700801</v>
      </c>
      <c r="C789" s="32">
        <v>0.19116438225229901</v>
      </c>
      <c r="D789" s="32">
        <v>0.19113514000000001</v>
      </c>
      <c r="E789" s="33">
        <v>-2.7196599999999801E-3</v>
      </c>
      <c r="F789" s="33">
        <v>-1.40293663092169</v>
      </c>
      <c r="G789" s="33">
        <v>4.1323404570149904</v>
      </c>
      <c r="H789" s="32">
        <v>0.19113514000000001</v>
      </c>
      <c r="I789" s="32">
        <v>0.19113514000000001</v>
      </c>
      <c r="K789">
        <f t="shared" si="24"/>
        <v>-1.4029366309216917E-2</v>
      </c>
      <c r="L789">
        <f t="shared" si="25"/>
        <v>3.0581626848414961E-4</v>
      </c>
    </row>
    <row r="790" spans="1:12" x14ac:dyDescent="0.3">
      <c r="A790" s="28">
        <v>44971</v>
      </c>
      <c r="B790" s="29">
        <v>0.193836014731537</v>
      </c>
      <c r="C790" s="29">
        <v>0.19387359441644</v>
      </c>
      <c r="D790" s="29">
        <v>0.19385479999999999</v>
      </c>
      <c r="E790" s="30">
        <v>4.6113999999999801E-4</v>
      </c>
      <c r="F790" s="30">
        <v>0.23844628619158401</v>
      </c>
      <c r="G790" s="30">
        <v>5.6140384903924403</v>
      </c>
      <c r="H790" s="29">
        <v>0.19385479999999999</v>
      </c>
      <c r="I790" s="29">
        <v>0.19385479999999999</v>
      </c>
      <c r="K790">
        <f t="shared" si="24"/>
        <v>2.3844628619158481E-3</v>
      </c>
      <c r="L790">
        <f t="shared" si="25"/>
        <v>1.9385480732489073E-4</v>
      </c>
    </row>
    <row r="791" spans="1:12" x14ac:dyDescent="0.3">
      <c r="A791" s="31">
        <v>44970</v>
      </c>
      <c r="B791" s="32">
        <v>0.19336749492410299</v>
      </c>
      <c r="C791" s="32">
        <v>0.19341985648246701</v>
      </c>
      <c r="D791" s="32">
        <v>0.19339366</v>
      </c>
      <c r="E791" s="33">
        <v>2.79766E-3</v>
      </c>
      <c r="F791" s="33">
        <v>1.4678482234674299</v>
      </c>
      <c r="G791" s="33">
        <v>5.3628047953306703</v>
      </c>
      <c r="H791" s="32">
        <v>0.19339366</v>
      </c>
      <c r="I791" s="32">
        <v>0.19339366</v>
      </c>
      <c r="K791">
        <f t="shared" si="24"/>
        <v>1.4678482234674384E-2</v>
      </c>
      <c r="L791">
        <f t="shared" si="25"/>
        <v>2.7075116301135443E-4</v>
      </c>
    </row>
    <row r="792" spans="1:12" x14ac:dyDescent="0.3">
      <c r="A792" s="28">
        <v>44967</v>
      </c>
      <c r="B792" s="29">
        <v>0.19057783198658301</v>
      </c>
      <c r="C792" s="29">
        <v>0.19061415881971699</v>
      </c>
      <c r="D792" s="29">
        <v>0.19059599999999999</v>
      </c>
      <c r="E792" s="30">
        <v>5.0000000000000001E-4</v>
      </c>
      <c r="F792" s="30">
        <v>0.26302499789581102</v>
      </c>
      <c r="G792" s="30">
        <v>3.8386115799806699</v>
      </c>
      <c r="H792" s="29">
        <v>0.19059599999999999</v>
      </c>
      <c r="I792" s="29">
        <v>0.19059599999999999</v>
      </c>
      <c r="K792">
        <f t="shared" si="24"/>
        <v>2.6302499789581102E-3</v>
      </c>
      <c r="L792">
        <f t="shared" si="25"/>
        <v>1.9059598907627477E-4</v>
      </c>
    </row>
    <row r="793" spans="1:12" x14ac:dyDescent="0.3">
      <c r="A793" s="31">
        <v>44966</v>
      </c>
      <c r="B793" s="32">
        <v>0.19007431905875199</v>
      </c>
      <c r="C793" s="32">
        <v>0.19011768284568101</v>
      </c>
      <c r="D793" s="32">
        <v>0.19009599999999999</v>
      </c>
      <c r="E793" s="33">
        <v>-1.1634400000000099E-3</v>
      </c>
      <c r="F793" s="33">
        <v>-0.60830461492515897</v>
      </c>
      <c r="G793" s="33">
        <v>3.5662065673361698</v>
      </c>
      <c r="H793" s="32">
        <v>0.19009599999999999</v>
      </c>
      <c r="I793" s="32">
        <v>0.19009599999999999</v>
      </c>
      <c r="K793">
        <f t="shared" si="24"/>
        <v>-6.0830461492515919E-3</v>
      </c>
      <c r="L793">
        <f t="shared" si="25"/>
        <v>2.2811519931514952E-4</v>
      </c>
    </row>
    <row r="794" spans="1:12" x14ac:dyDescent="0.3">
      <c r="A794" s="28">
        <v>44965</v>
      </c>
      <c r="B794" s="29">
        <v>0.19124115509657699</v>
      </c>
      <c r="C794" s="29">
        <v>0.19127773527161401</v>
      </c>
      <c r="D794" s="29">
        <v>0.19125944</v>
      </c>
      <c r="E794" s="30">
        <v>-1.46149E-3</v>
      </c>
      <c r="F794" s="30">
        <v>-0.75834524044689999</v>
      </c>
      <c r="G794" s="30">
        <v>4.2000603431584098</v>
      </c>
      <c r="H794" s="29">
        <v>0.19125944</v>
      </c>
      <c r="I794" s="29">
        <v>0.19125944</v>
      </c>
      <c r="K794">
        <f t="shared" si="24"/>
        <v>-7.5834524044690044E-3</v>
      </c>
      <c r="L794">
        <f t="shared" si="25"/>
        <v>1.9125944861608365E-4</v>
      </c>
    </row>
    <row r="795" spans="1:12" x14ac:dyDescent="0.3">
      <c r="A795" s="31">
        <v>44964</v>
      </c>
      <c r="B795" s="32">
        <v>0.19270793185847501</v>
      </c>
      <c r="C795" s="32">
        <v>0.192733930808519</v>
      </c>
      <c r="D795" s="32">
        <v>0.19272093000000001</v>
      </c>
      <c r="E795" s="33">
        <v>2.0591000000000299E-4</v>
      </c>
      <c r="F795" s="33">
        <v>0.10695788827281801</v>
      </c>
      <c r="G795" s="33">
        <v>4.9962947470180197</v>
      </c>
      <c r="H795" s="32">
        <v>0.19272093000000001</v>
      </c>
      <c r="I795" s="32">
        <v>0.19272093000000001</v>
      </c>
      <c r="K795">
        <f t="shared" si="24"/>
        <v>1.0695788827281838E-3</v>
      </c>
      <c r="L795">
        <f t="shared" si="25"/>
        <v>1.3490465225539966E-4</v>
      </c>
    </row>
    <row r="796" spans="1:12" x14ac:dyDescent="0.3">
      <c r="A796" s="28">
        <v>44963</v>
      </c>
      <c r="B796" s="29">
        <v>0.19249278152069299</v>
      </c>
      <c r="C796" s="29">
        <v>0.19253725595902799</v>
      </c>
      <c r="D796" s="29">
        <v>0.19251502000000001</v>
      </c>
      <c r="E796" s="30">
        <v>-2.8929099999999899E-3</v>
      </c>
      <c r="F796" s="30">
        <v>-1.4804465714364701</v>
      </c>
      <c r="G796" s="30">
        <v>4.8841129147107596</v>
      </c>
      <c r="H796" s="29">
        <v>0.19251502000000001</v>
      </c>
      <c r="I796" s="29">
        <v>0.19251502000000001</v>
      </c>
      <c r="K796">
        <f t="shared" si="24"/>
        <v>-1.4804465714364778E-2</v>
      </c>
      <c r="L796">
        <f t="shared" si="25"/>
        <v>2.3101801789281677E-4</v>
      </c>
    </row>
    <row r="797" spans="1:12" x14ac:dyDescent="0.3">
      <c r="A797" s="31">
        <v>44960</v>
      </c>
      <c r="B797" s="32">
        <v>0.19538882375928099</v>
      </c>
      <c r="C797" s="32">
        <v>0.19542700801250701</v>
      </c>
      <c r="D797" s="32">
        <v>0.19540793000000001</v>
      </c>
      <c r="E797" s="33">
        <v>-4.7682199999999897E-3</v>
      </c>
      <c r="F797" s="33">
        <v>-2.3820120428932099</v>
      </c>
      <c r="G797" s="33">
        <v>6.4601992849695398</v>
      </c>
      <c r="H797" s="32">
        <v>0.19540793000000001</v>
      </c>
      <c r="I797" s="32">
        <v>0.19540793000000001</v>
      </c>
      <c r="K797">
        <f t="shared" si="24"/>
        <v>-2.3820120428932112E-2</v>
      </c>
      <c r="L797">
        <f t="shared" si="25"/>
        <v>1.954078999046771E-4</v>
      </c>
    </row>
    <row r="798" spans="1:12" x14ac:dyDescent="0.3">
      <c r="A798" s="28">
        <v>44959</v>
      </c>
      <c r="B798" s="29">
        <v>0.20016012810248199</v>
      </c>
      <c r="C798" s="29">
        <v>0.20019218449711701</v>
      </c>
      <c r="D798" s="29">
        <v>0.20017615</v>
      </c>
      <c r="E798" s="30">
        <v>3.1279300000000001E-3</v>
      </c>
      <c r="F798" s="30">
        <v>1.5873931771624299</v>
      </c>
      <c r="G798" s="30">
        <v>9.0579733437530106</v>
      </c>
      <c r="H798" s="29">
        <v>0.20017615</v>
      </c>
      <c r="I798" s="29">
        <v>0.20017615</v>
      </c>
      <c r="K798">
        <f t="shared" si="24"/>
        <v>1.5873931771624328E-2</v>
      </c>
      <c r="L798">
        <f t="shared" si="25"/>
        <v>1.6014092905184576E-4</v>
      </c>
    </row>
    <row r="799" spans="1:12" x14ac:dyDescent="0.3">
      <c r="A799" s="31">
        <v>44958</v>
      </c>
      <c r="B799" s="32">
        <v>0.197013278694984</v>
      </c>
      <c r="C799" s="32">
        <v>0.19708316909735901</v>
      </c>
      <c r="D799" s="32">
        <v>0.19704822</v>
      </c>
      <c r="E799" s="33">
        <v>6.4053000000000005E-4</v>
      </c>
      <c r="F799" s="33">
        <v>0.32612266861853301</v>
      </c>
      <c r="G799" s="33">
        <v>7.3538457213508099</v>
      </c>
      <c r="H799" s="32">
        <v>0.19704822</v>
      </c>
      <c r="I799" s="32">
        <v>0.19704822</v>
      </c>
      <c r="K799">
        <f t="shared" si="24"/>
        <v>3.2612266861853367E-3</v>
      </c>
      <c r="L799">
        <f t="shared" si="25"/>
        <v>3.5468679887091251E-4</v>
      </c>
    </row>
    <row r="800" spans="1:12" x14ac:dyDescent="0.3">
      <c r="A800" s="28">
        <v>44957</v>
      </c>
      <c r="B800" s="29">
        <v>0.19638648860958399</v>
      </c>
      <c r="C800" s="29">
        <v>0.196428922194504</v>
      </c>
      <c r="D800" s="29">
        <v>0.19640769</v>
      </c>
      <c r="E800" s="30">
        <v>1.0794E-4</v>
      </c>
      <c r="F800" s="30">
        <v>5.4987334420952799E-2</v>
      </c>
      <c r="G800" s="30">
        <v>7.00487855585245</v>
      </c>
      <c r="H800" s="29">
        <v>0.19640769</v>
      </c>
      <c r="I800" s="29">
        <v>0.19640769</v>
      </c>
      <c r="K800">
        <f t="shared" si="24"/>
        <v>5.4987334420952827E-4</v>
      </c>
      <c r="L800">
        <f t="shared" si="25"/>
        <v>2.1604849036211212E-4</v>
      </c>
    </row>
    <row r="801" spans="1:12" x14ac:dyDescent="0.3">
      <c r="A801" s="31">
        <v>44956</v>
      </c>
      <c r="B801" s="32">
        <v>0.19627085377821399</v>
      </c>
      <c r="C801" s="32">
        <v>0.19632865416707601</v>
      </c>
      <c r="D801" s="32">
        <v>0.19629975</v>
      </c>
      <c r="E801" s="33">
        <v>-9.6400000000052E-6</v>
      </c>
      <c r="F801" s="33">
        <v>-4.91061583962615E-3</v>
      </c>
      <c r="G801" s="33">
        <v>6.9460717617227603</v>
      </c>
      <c r="H801" s="32">
        <v>0.19629975</v>
      </c>
      <c r="I801" s="32">
        <v>0.19629975</v>
      </c>
      <c r="K801">
        <f t="shared" si="24"/>
        <v>-4.9106158396261534E-5</v>
      </c>
      <c r="L801">
        <f t="shared" si="25"/>
        <v>2.9444963053708756E-4</v>
      </c>
    </row>
    <row r="802" spans="1:12" x14ac:dyDescent="0.3">
      <c r="A802" s="28">
        <v>44953</v>
      </c>
      <c r="B802" s="29">
        <v>0.19627855853026599</v>
      </c>
      <c r="C802" s="29">
        <v>0.196340218330323</v>
      </c>
      <c r="D802" s="29">
        <v>0.19630939</v>
      </c>
      <c r="E802" s="30">
        <v>-3.9965999999999602E-4</v>
      </c>
      <c r="F802" s="30">
        <v>-0.203173163613978</v>
      </c>
      <c r="G802" s="30">
        <v>6.9513237303665498</v>
      </c>
      <c r="H802" s="29">
        <v>0.19630939</v>
      </c>
      <c r="I802" s="29">
        <v>0.19630939</v>
      </c>
      <c r="K802">
        <f t="shared" si="24"/>
        <v>-2.0317316361397886E-3</v>
      </c>
      <c r="L802">
        <f t="shared" si="25"/>
        <v>3.1409501123207773E-4</v>
      </c>
    </row>
    <row r="803" spans="1:12" x14ac:dyDescent="0.3">
      <c r="A803" s="31">
        <v>44952</v>
      </c>
      <c r="B803" s="32">
        <v>0.19668004090944899</v>
      </c>
      <c r="C803" s="32">
        <v>0.19673808259064701</v>
      </c>
      <c r="D803" s="32">
        <v>0.19670905</v>
      </c>
      <c r="E803" s="33">
        <v>-3.6247000000000303E-4</v>
      </c>
      <c r="F803" s="33">
        <v>-0.18392814953678199</v>
      </c>
      <c r="G803" s="33">
        <v>7.1690625050735397</v>
      </c>
      <c r="H803" s="32">
        <v>0.19670905</v>
      </c>
      <c r="I803" s="32">
        <v>0.19670905</v>
      </c>
      <c r="K803">
        <f t="shared" si="24"/>
        <v>-1.8392814953678283E-3</v>
      </c>
      <c r="L803">
        <f t="shared" si="25"/>
        <v>2.9506360382515869E-4</v>
      </c>
    </row>
    <row r="804" spans="1:12" x14ac:dyDescent="0.3">
      <c r="A804" s="28">
        <v>44951</v>
      </c>
      <c r="B804" s="29">
        <v>0.19703656998739</v>
      </c>
      <c r="C804" s="29">
        <v>0.19710647691883201</v>
      </c>
      <c r="D804" s="29">
        <v>0.19707152</v>
      </c>
      <c r="E804" s="30">
        <v>3.2016900000000001E-3</v>
      </c>
      <c r="F804" s="30">
        <v>1.65146376824079</v>
      </c>
      <c r="G804" s="30">
        <v>7.3665397949400502</v>
      </c>
      <c r="H804" s="29">
        <v>0.19707152</v>
      </c>
      <c r="I804" s="29">
        <v>0.19707152</v>
      </c>
      <c r="K804">
        <f t="shared" si="24"/>
        <v>1.6514637682407907E-2</v>
      </c>
      <c r="L804">
        <f t="shared" si="25"/>
        <v>3.5472873727271863E-4</v>
      </c>
    </row>
    <row r="805" spans="1:12" x14ac:dyDescent="0.3">
      <c r="A805" s="31">
        <v>44950</v>
      </c>
      <c r="B805" s="32">
        <v>0.19383977204442801</v>
      </c>
      <c r="C805" s="32">
        <v>0.193899908867043</v>
      </c>
      <c r="D805" s="32">
        <v>0.19386982999999999</v>
      </c>
      <c r="E805" s="33">
        <v>5.4719000000000295E-4</v>
      </c>
      <c r="F805" s="33">
        <v>0.28304496565947301</v>
      </c>
      <c r="G805" s="33">
        <v>5.6222269850725297</v>
      </c>
      <c r="H805" s="32">
        <v>0.19386982999999999</v>
      </c>
      <c r="I805" s="32">
        <v>0.19386982999999999</v>
      </c>
      <c r="K805">
        <f t="shared" si="24"/>
        <v>2.8304496565947357E-3</v>
      </c>
      <c r="L805">
        <f t="shared" si="25"/>
        <v>3.1019175399799091E-4</v>
      </c>
    </row>
    <row r="806" spans="1:12" x14ac:dyDescent="0.3">
      <c r="A806" s="28">
        <v>44949</v>
      </c>
      <c r="B806" s="29">
        <v>0.19330021456323801</v>
      </c>
      <c r="C806" s="29">
        <v>0.19334506293381801</v>
      </c>
      <c r="D806" s="29">
        <v>0.19332263999999999</v>
      </c>
      <c r="E806" s="30">
        <v>1.03158999999999E-3</v>
      </c>
      <c r="F806" s="30">
        <v>0.53647322639300798</v>
      </c>
      <c r="G806" s="30">
        <v>5.3241123873346501</v>
      </c>
      <c r="H806" s="29">
        <v>0.19332263999999999</v>
      </c>
      <c r="I806" s="29">
        <v>0.19332263999999999</v>
      </c>
      <c r="K806">
        <f t="shared" si="24"/>
        <v>5.3647322639300832E-3</v>
      </c>
      <c r="L806">
        <f t="shared" si="25"/>
        <v>2.3198716187611216E-4</v>
      </c>
    </row>
    <row r="807" spans="1:12" x14ac:dyDescent="0.3">
      <c r="A807" s="31">
        <v>44946</v>
      </c>
      <c r="B807" s="32">
        <v>0.19227071716977501</v>
      </c>
      <c r="C807" s="32">
        <v>0.19231139060366501</v>
      </c>
      <c r="D807" s="32">
        <v>0.19229104999999999</v>
      </c>
      <c r="E807" s="33">
        <v>6.33880000000003E-4</v>
      </c>
      <c r="F807" s="33">
        <v>0.33073638726899202</v>
      </c>
      <c r="G807" s="33">
        <v>4.76209181334678</v>
      </c>
      <c r="H807" s="32">
        <v>0.19229104999999999</v>
      </c>
      <c r="I807" s="32">
        <v>0.19229104999999999</v>
      </c>
      <c r="K807">
        <f t="shared" si="24"/>
        <v>3.3073638726899279E-3</v>
      </c>
      <c r="L807">
        <f t="shared" si="25"/>
        <v>2.115201611827401E-4</v>
      </c>
    </row>
    <row r="808" spans="1:12" x14ac:dyDescent="0.3">
      <c r="A808" s="28">
        <v>44945</v>
      </c>
      <c r="B808" s="29">
        <v>0.191636962937411</v>
      </c>
      <c r="C808" s="29">
        <v>0.19167736865308299</v>
      </c>
      <c r="D808" s="29">
        <v>0.19165716999999999</v>
      </c>
      <c r="E808" s="30">
        <v>-4.4866300000000097E-3</v>
      </c>
      <c r="F808" s="30">
        <v>-2.28741872034702</v>
      </c>
      <c r="G808" s="30">
        <v>4.4167476345165904</v>
      </c>
      <c r="H808" s="29">
        <v>0.19165716999999999</v>
      </c>
      <c r="I808" s="29">
        <v>0.19165716999999999</v>
      </c>
      <c r="K808">
        <f t="shared" si="24"/>
        <v>-2.2874187203470231E-2</v>
      </c>
      <c r="L808">
        <f t="shared" si="25"/>
        <v>2.1082287540814286E-4</v>
      </c>
    </row>
    <row r="809" spans="1:12" x14ac:dyDescent="0.3">
      <c r="A809" s="31">
        <v>44944</v>
      </c>
      <c r="B809" s="32">
        <v>0.19612457833215699</v>
      </c>
      <c r="C809" s="32">
        <v>0.19616305072776499</v>
      </c>
      <c r="D809" s="32">
        <v>0.19614380000000001</v>
      </c>
      <c r="E809" s="33">
        <v>4.7780999999999502E-4</v>
      </c>
      <c r="F809" s="33">
        <v>0.24419675591040799</v>
      </c>
      <c r="G809" s="33">
        <v>6.8611086382789503</v>
      </c>
      <c r="H809" s="32">
        <v>0.19614380000000001</v>
      </c>
      <c r="I809" s="32">
        <v>0.19614380000000001</v>
      </c>
      <c r="K809">
        <f t="shared" si="24"/>
        <v>2.4419675591040857E-3</v>
      </c>
      <c r="L809">
        <f t="shared" si="25"/>
        <v>1.9614382717170981E-4</v>
      </c>
    </row>
    <row r="810" spans="1:12" x14ac:dyDescent="0.3">
      <c r="A810" s="28">
        <v>44943</v>
      </c>
      <c r="B810" s="29">
        <v>0.195644943556434</v>
      </c>
      <c r="C810" s="29">
        <v>0.19568705725803301</v>
      </c>
      <c r="D810" s="29">
        <v>0.19566599000000001</v>
      </c>
      <c r="E810" s="30">
        <v>1.34000000000245E-5</v>
      </c>
      <c r="F810" s="30">
        <v>6.8488743236283503E-3</v>
      </c>
      <c r="G810" s="30">
        <v>6.6007929600956201</v>
      </c>
      <c r="H810" s="29">
        <v>0.19566599000000001</v>
      </c>
      <c r="I810" s="29">
        <v>0.19566599000000001</v>
      </c>
      <c r="K810">
        <f t="shared" si="24"/>
        <v>6.8488743236283511E-5</v>
      </c>
      <c r="L810">
        <f t="shared" si="25"/>
        <v>2.152326094024383E-4</v>
      </c>
    </row>
    <row r="811" spans="1:12" x14ac:dyDescent="0.3">
      <c r="A811" s="31">
        <v>44942</v>
      </c>
      <c r="B811" s="32">
        <v>0.19562580695645401</v>
      </c>
      <c r="C811" s="32">
        <v>0.19567939887288699</v>
      </c>
      <c r="D811" s="32">
        <v>0.19565258999999999</v>
      </c>
      <c r="E811" s="33">
        <v>-7.0883000000002095E-4</v>
      </c>
      <c r="F811" s="33">
        <v>-0.36098231516151702</v>
      </c>
      <c r="G811" s="33">
        <v>6.5934925057567302</v>
      </c>
      <c r="H811" s="32">
        <v>0.19565258999999999</v>
      </c>
      <c r="I811" s="32">
        <v>0.19565258999999999</v>
      </c>
      <c r="K811">
        <f t="shared" si="24"/>
        <v>-3.6098231516151769E-3</v>
      </c>
      <c r="L811">
        <f t="shared" si="25"/>
        <v>2.7391365702328184E-4</v>
      </c>
    </row>
    <row r="812" spans="1:12" x14ac:dyDescent="0.3">
      <c r="A812" s="28">
        <v>44939</v>
      </c>
      <c r="B812" s="29">
        <v>0.19634792852935401</v>
      </c>
      <c r="C812" s="29">
        <v>0.19637491899534601</v>
      </c>
      <c r="D812" s="29">
        <v>0.19636142000000001</v>
      </c>
      <c r="E812" s="30">
        <v>1.5530700000000099E-3</v>
      </c>
      <c r="F812" s="30">
        <v>0.79722968753650403</v>
      </c>
      <c r="G812" s="30">
        <v>6.9796701959823402</v>
      </c>
      <c r="H812" s="29">
        <v>0.19636142000000001</v>
      </c>
      <c r="I812" s="29">
        <v>0.19636142000000001</v>
      </c>
      <c r="K812">
        <f t="shared" si="24"/>
        <v>7.9722968753650481E-3</v>
      </c>
      <c r="L812">
        <f t="shared" si="25"/>
        <v>1.3745299861856518E-4</v>
      </c>
    </row>
    <row r="813" spans="1:12" x14ac:dyDescent="0.3">
      <c r="A813" s="31">
        <v>44938</v>
      </c>
      <c r="B813" s="32">
        <v>0.194779898714453</v>
      </c>
      <c r="C813" s="32">
        <v>0.194836824159766</v>
      </c>
      <c r="D813" s="32">
        <v>0.19480834999999999</v>
      </c>
      <c r="E813" s="33">
        <v>2.60968999999999E-3</v>
      </c>
      <c r="F813" s="33">
        <v>1.3578086340456199</v>
      </c>
      <c r="G813" s="33">
        <v>6.1335420900067597</v>
      </c>
      <c r="H813" s="32">
        <v>0.19480834999999999</v>
      </c>
      <c r="I813" s="32">
        <v>0.19480834999999999</v>
      </c>
      <c r="K813">
        <f t="shared" si="24"/>
        <v>1.3578086340456208E-2</v>
      </c>
      <c r="L813">
        <f t="shared" si="25"/>
        <v>2.9221255307071875E-4</v>
      </c>
    </row>
    <row r="814" spans="1:12" x14ac:dyDescent="0.3">
      <c r="A814" s="28">
        <v>44937</v>
      </c>
      <c r="B814" s="29">
        <v>0.19216726238518</v>
      </c>
      <c r="C814" s="29">
        <v>0.19223006093692899</v>
      </c>
      <c r="D814" s="29">
        <v>0.19219865999999999</v>
      </c>
      <c r="E814" s="30">
        <v>8.64199999999981E-4</v>
      </c>
      <c r="F814" s="30">
        <v>0.45166981420909902</v>
      </c>
      <c r="G814" s="30">
        <v>4.7117568151103297</v>
      </c>
      <c r="H814" s="29">
        <v>0.19219865999999999</v>
      </c>
      <c r="I814" s="29">
        <v>0.19219865999999999</v>
      </c>
      <c r="K814">
        <f t="shared" si="24"/>
        <v>4.5166981420909913E-3</v>
      </c>
      <c r="L814">
        <f t="shared" si="25"/>
        <v>3.2673771892573357E-4</v>
      </c>
    </row>
    <row r="815" spans="1:12" x14ac:dyDescent="0.3">
      <c r="A815" s="31">
        <v>44936</v>
      </c>
      <c r="B815" s="32">
        <v>0.191310669396032</v>
      </c>
      <c r="C815" s="32">
        <v>0.19135826093612501</v>
      </c>
      <c r="D815" s="32">
        <v>0.19133446000000001</v>
      </c>
      <c r="E815" s="33">
        <v>2.27531E-3</v>
      </c>
      <c r="F815" s="33">
        <v>1.20349107673445</v>
      </c>
      <c r="G815" s="33">
        <v>4.2409319912555903</v>
      </c>
      <c r="H815" s="32">
        <v>0.19133446000000001</v>
      </c>
      <c r="I815" s="32">
        <v>0.19133446000000001</v>
      </c>
      <c r="K815">
        <f t="shared" si="24"/>
        <v>1.2034910767344531E-2</v>
      </c>
      <c r="L815">
        <f t="shared" si="25"/>
        <v>2.487348075877789E-4</v>
      </c>
    </row>
    <row r="816" spans="1:12" x14ac:dyDescent="0.3">
      <c r="A816" s="28">
        <v>44935</v>
      </c>
      <c r="B816" s="29">
        <v>0.18904663780554701</v>
      </c>
      <c r="C816" s="29">
        <v>0.18907165815844201</v>
      </c>
      <c r="D816" s="29">
        <v>0.18905915000000001</v>
      </c>
      <c r="E816" s="30">
        <v>-1.3916499999999899E-3</v>
      </c>
      <c r="F816" s="30">
        <v>-0.73071365413008804</v>
      </c>
      <c r="G816" s="30">
        <v>3.00132029261529</v>
      </c>
      <c r="H816" s="29">
        <v>0.18905915000000001</v>
      </c>
      <c r="I816" s="29">
        <v>0.18905915000000001</v>
      </c>
      <c r="K816">
        <f t="shared" si="24"/>
        <v>-7.3071365413008849E-3</v>
      </c>
      <c r="L816">
        <f t="shared" si="25"/>
        <v>1.3234140159312828E-4</v>
      </c>
    </row>
    <row r="817" spans="1:12" x14ac:dyDescent="0.3">
      <c r="A817" s="31">
        <v>44932</v>
      </c>
      <c r="B817" s="32">
        <v>0.19043266301035999</v>
      </c>
      <c r="C817" s="32">
        <v>0.19046893451677999</v>
      </c>
      <c r="D817" s="32">
        <v>0.1904508</v>
      </c>
      <c r="E817" s="33">
        <v>5.2038699999999898E-3</v>
      </c>
      <c r="F817" s="33">
        <v>2.8091531665329099</v>
      </c>
      <c r="G817" s="33">
        <v>3.7595051643087198</v>
      </c>
      <c r="H817" s="32">
        <v>0.1904508</v>
      </c>
      <c r="I817" s="32">
        <v>0.1904508</v>
      </c>
      <c r="K817">
        <f t="shared" si="24"/>
        <v>2.8091531665329184E-2</v>
      </c>
      <c r="L817">
        <f t="shared" si="25"/>
        <v>1.9045079579604632E-4</v>
      </c>
    </row>
    <row r="818" spans="1:12" x14ac:dyDescent="0.3">
      <c r="A818" s="28">
        <v>44931</v>
      </c>
      <c r="B818" s="29">
        <v>0.18522977753903699</v>
      </c>
      <c r="C818" s="29">
        <v>0.18526409396594801</v>
      </c>
      <c r="D818" s="29">
        <v>0.18524693</v>
      </c>
      <c r="E818" s="30">
        <v>1.98766999999999E-3</v>
      </c>
      <c r="F818" s="30">
        <v>1.0846218630371001</v>
      </c>
      <c r="G818" s="30">
        <v>0.92438461800809502</v>
      </c>
      <c r="H818" s="29">
        <v>0.18524693</v>
      </c>
      <c r="I818" s="29">
        <v>0.18524693</v>
      </c>
      <c r="K818">
        <f t="shared" si="24"/>
        <v>1.0846218630371052E-2</v>
      </c>
      <c r="L818">
        <f t="shared" si="25"/>
        <v>1.8524693991427008E-4</v>
      </c>
    </row>
    <row r="819" spans="1:12" x14ac:dyDescent="0.3">
      <c r="A819" s="31">
        <v>44930</v>
      </c>
      <c r="B819" s="32">
        <v>0.18324079673098401</v>
      </c>
      <c r="C819" s="32">
        <v>0.18327773908581099</v>
      </c>
      <c r="D819" s="32">
        <v>0.18325926000000001</v>
      </c>
      <c r="E819" s="33">
        <v>-2.09238999999999E-3</v>
      </c>
      <c r="F819" s="33">
        <v>-1.12887584221667</v>
      </c>
      <c r="G819" s="33">
        <v>-0.15851792495807299</v>
      </c>
      <c r="H819" s="32">
        <v>0.18325926000000001</v>
      </c>
      <c r="I819" s="32">
        <v>0.18325926000000001</v>
      </c>
      <c r="K819">
        <f t="shared" si="24"/>
        <v>-1.12887584221667E-2</v>
      </c>
      <c r="L819">
        <f t="shared" si="25"/>
        <v>2.0158520135345618E-4</v>
      </c>
    </row>
    <row r="820" spans="1:12" x14ac:dyDescent="0.3">
      <c r="A820" s="28">
        <v>44929</v>
      </c>
      <c r="B820" s="29">
        <v>0.18533963488091901</v>
      </c>
      <c r="C820" s="29">
        <v>0.18536368354711899</v>
      </c>
      <c r="D820" s="29">
        <v>0.18535165000000001</v>
      </c>
      <c r="E820" s="30">
        <v>-4.0515999999999799E-3</v>
      </c>
      <c r="F820" s="30">
        <v>-2.1391396398952902</v>
      </c>
      <c r="G820" s="30">
        <v>0.98143712385635895</v>
      </c>
      <c r="H820" s="29">
        <v>0.18535165000000001</v>
      </c>
      <c r="I820" s="29">
        <v>0.18535165000000001</v>
      </c>
      <c r="K820">
        <f t="shared" si="24"/>
        <v>-2.1391396398952933E-2</v>
      </c>
      <c r="L820">
        <f t="shared" si="25"/>
        <v>1.2974616735261221E-4</v>
      </c>
    </row>
    <row r="821" spans="1:12" x14ac:dyDescent="0.3">
      <c r="A821" s="31">
        <v>44928</v>
      </c>
      <c r="B821" s="32">
        <v>0.18938317898604201</v>
      </c>
      <c r="C821" s="32">
        <v>0.189422639793908</v>
      </c>
      <c r="D821" s="32">
        <v>0.18940325</v>
      </c>
      <c r="E821" s="33">
        <v>3.3999999998757199E-7</v>
      </c>
      <c r="F821" s="33">
        <v>1.79511497466755E-4</v>
      </c>
      <c r="G821" s="33">
        <v>3.1887894223172299</v>
      </c>
      <c r="H821" s="32">
        <v>0.18940325</v>
      </c>
      <c r="I821" s="32">
        <v>0.18940325</v>
      </c>
      <c r="K821">
        <f t="shared" si="24"/>
        <v>1.7951149746675554E-6</v>
      </c>
      <c r="L821">
        <f t="shared" si="25"/>
        <v>2.0834282339921565E-4</v>
      </c>
    </row>
    <row r="822" spans="1:12" x14ac:dyDescent="0.3">
      <c r="A822" s="28">
        <v>44925</v>
      </c>
      <c r="B822" s="29">
        <v>0.18938317898604201</v>
      </c>
      <c r="C822" s="29">
        <v>0.189422639793908</v>
      </c>
      <c r="D822" s="29">
        <v>0.18940291000000001</v>
      </c>
      <c r="E822" s="30">
        <v>-9.9530999999999903E-4</v>
      </c>
      <c r="F822" s="30">
        <v>-0.52275173580929002</v>
      </c>
      <c r="G822" s="30">
        <v>3.1886041869086399</v>
      </c>
      <c r="H822" s="29">
        <v>0.18940291000000001</v>
      </c>
      <c r="I822" s="29">
        <v>0.18940291000000001</v>
      </c>
      <c r="K822">
        <f t="shared" si="24"/>
        <v>-5.2275173580929035E-3</v>
      </c>
      <c r="L822">
        <f t="shared" si="25"/>
        <v>2.083431973985378E-4</v>
      </c>
    </row>
    <row r="823" spans="1:12" x14ac:dyDescent="0.3">
      <c r="A823" s="31">
        <v>44924</v>
      </c>
      <c r="B823" s="32">
        <v>0.190381906103644</v>
      </c>
      <c r="C823" s="32">
        <v>0.19041453243711601</v>
      </c>
      <c r="D823" s="32">
        <v>0.19039822000000001</v>
      </c>
      <c r="E823" s="33">
        <v>6.6649000000001902E-4</v>
      </c>
      <c r="F823" s="33">
        <v>0.35128019967984803</v>
      </c>
      <c r="G823" s="33">
        <v>3.73085905317902</v>
      </c>
      <c r="H823" s="32">
        <v>0.19039822000000001</v>
      </c>
      <c r="I823" s="32">
        <v>0.19039822000000001</v>
      </c>
      <c r="K823">
        <f t="shared" si="24"/>
        <v>3.5128019967984869E-3</v>
      </c>
      <c r="L823">
        <f t="shared" si="25"/>
        <v>1.7135839543041856E-4</v>
      </c>
    </row>
    <row r="824" spans="1:12" x14ac:dyDescent="0.3">
      <c r="A824" s="28">
        <v>44923</v>
      </c>
      <c r="B824" s="29">
        <v>0.189695728052204</v>
      </c>
      <c r="C824" s="29">
        <v>0.18976772430545</v>
      </c>
      <c r="D824" s="29">
        <v>0.18973172999999999</v>
      </c>
      <c r="E824" s="30">
        <v>7.2797999999998897E-4</v>
      </c>
      <c r="F824" s="30">
        <v>0.38516696097299302</v>
      </c>
      <c r="G824" s="30">
        <v>3.3677486194241499</v>
      </c>
      <c r="H824" s="29">
        <v>0.18973172999999999</v>
      </c>
      <c r="I824" s="29">
        <v>0.18973172999999999</v>
      </c>
      <c r="K824">
        <f t="shared" si="24"/>
        <v>3.8516696097299352E-3</v>
      </c>
      <c r="L824">
        <f t="shared" si="25"/>
        <v>3.7946343105604082E-4</v>
      </c>
    </row>
    <row r="825" spans="1:12" x14ac:dyDescent="0.3">
      <c r="A825" s="31">
        <v>44922</v>
      </c>
      <c r="B825" s="32">
        <v>0.18898233015213101</v>
      </c>
      <c r="C825" s="32">
        <v>0.189025197058768</v>
      </c>
      <c r="D825" s="32">
        <v>0.18900375</v>
      </c>
      <c r="E825" s="33">
        <v>-5.9906399999999898E-3</v>
      </c>
      <c r="F825" s="33">
        <v>-3.0722114620835899</v>
      </c>
      <c r="G825" s="33">
        <v>2.9711378172142799</v>
      </c>
      <c r="H825" s="32">
        <v>0.18900375</v>
      </c>
      <c r="I825" s="32">
        <v>0.18900375</v>
      </c>
      <c r="K825">
        <f t="shared" si="24"/>
        <v>-3.0722114620835961E-2</v>
      </c>
      <c r="L825">
        <f t="shared" si="25"/>
        <v>2.2680452973546938E-4</v>
      </c>
    </row>
    <row r="826" spans="1:12" x14ac:dyDescent="0.3">
      <c r="A826" s="28">
        <v>44921</v>
      </c>
      <c r="B826" s="29">
        <v>0.194969779684149</v>
      </c>
      <c r="C826" s="29">
        <v>0.195019209392125</v>
      </c>
      <c r="D826" s="29">
        <v>0.19499438999999999</v>
      </c>
      <c r="E826" s="30">
        <v>-1.0999999999761199E-7</v>
      </c>
      <c r="F826" s="30">
        <v>-5.6411847515480599E-5</v>
      </c>
      <c r="G826" s="30">
        <v>6.2348985471115199</v>
      </c>
      <c r="H826" s="29">
        <v>0.19499438999999999</v>
      </c>
      <c r="I826" s="29">
        <v>0.19499438999999999</v>
      </c>
      <c r="K826">
        <f t="shared" si="24"/>
        <v>-5.6411847515480673E-7</v>
      </c>
      <c r="L826">
        <f t="shared" si="25"/>
        <v>2.5349297472609792E-4</v>
      </c>
    </row>
    <row r="827" spans="1:12" x14ac:dyDescent="0.3">
      <c r="A827" s="31">
        <v>44918</v>
      </c>
      <c r="B827" s="32">
        <v>0.194969779684149</v>
      </c>
      <c r="C827" s="32">
        <v>0.195019209392125</v>
      </c>
      <c r="D827" s="32">
        <v>0.19499449999999999</v>
      </c>
      <c r="E827" s="33">
        <v>1.8212399999999701E-3</v>
      </c>
      <c r="F827" s="33">
        <v>0.94280129661836698</v>
      </c>
      <c r="G827" s="33">
        <v>6.2349584762142998</v>
      </c>
      <c r="H827" s="32">
        <v>0.19499449999999999</v>
      </c>
      <c r="I827" s="32">
        <v>0.19499449999999999</v>
      </c>
      <c r="K827">
        <f t="shared" si="24"/>
        <v>9.4280129661836742E-3</v>
      </c>
      <c r="L827">
        <f t="shared" si="25"/>
        <v>2.5349283172602759E-4</v>
      </c>
    </row>
    <row r="828" spans="1:12" x14ac:dyDescent="0.3">
      <c r="A828" s="28">
        <v>44917</v>
      </c>
      <c r="B828" s="29">
        <v>0.193143408981168</v>
      </c>
      <c r="C828" s="29">
        <v>0.19320311443420499</v>
      </c>
      <c r="D828" s="29">
        <v>0.19317326000000001</v>
      </c>
      <c r="E828" s="30">
        <v>9.1548000000002405E-4</v>
      </c>
      <c r="F828" s="30">
        <v>0.47617318789388002</v>
      </c>
      <c r="G828" s="30">
        <v>5.2427286657569896</v>
      </c>
      <c r="H828" s="29">
        <v>0.19317326000000001</v>
      </c>
      <c r="I828" s="29">
        <v>0.19317326000000001</v>
      </c>
      <c r="K828">
        <f t="shared" si="24"/>
        <v>4.7617318789388019E-3</v>
      </c>
      <c r="L828">
        <f t="shared" si="25"/>
        <v>3.0907721408744688E-4</v>
      </c>
    </row>
    <row r="829" spans="1:12" x14ac:dyDescent="0.3">
      <c r="A829" s="31">
        <v>44916</v>
      </c>
      <c r="B829" s="32">
        <v>0.19222636576832899</v>
      </c>
      <c r="C829" s="32">
        <v>0.19228920296125401</v>
      </c>
      <c r="D829" s="32">
        <v>0.19225777999999999</v>
      </c>
      <c r="E829" s="33">
        <v>-5.2072999999999703E-4</v>
      </c>
      <c r="F829" s="33">
        <v>-0.27011828237494201</v>
      </c>
      <c r="G829" s="33">
        <v>4.7439659838054098</v>
      </c>
      <c r="H829" s="32">
        <v>0.19225777999999999</v>
      </c>
      <c r="I829" s="32">
        <v>0.19225777999999999</v>
      </c>
      <c r="K829">
        <f t="shared" si="24"/>
        <v>-2.7011828237494262E-3</v>
      </c>
      <c r="L829">
        <f t="shared" si="25"/>
        <v>3.2683823211221582E-4</v>
      </c>
    </row>
    <row r="830" spans="1:12" x14ac:dyDescent="0.3">
      <c r="A830" s="28">
        <v>44915</v>
      </c>
      <c r="B830" s="29">
        <v>0.192756221207039</v>
      </c>
      <c r="C830" s="29">
        <v>0.19280081747546601</v>
      </c>
      <c r="D830" s="29">
        <v>0.19277850999999999</v>
      </c>
      <c r="E830" s="30">
        <v>4.22733999999999E-3</v>
      </c>
      <c r="F830" s="30">
        <v>2.2420120755548698</v>
      </c>
      <c r="G830" s="30">
        <v>5.0276649082741498</v>
      </c>
      <c r="H830" s="29">
        <v>0.19277850999999999</v>
      </c>
      <c r="I830" s="29">
        <v>0.19277850999999999</v>
      </c>
      <c r="K830">
        <f t="shared" si="24"/>
        <v>2.2420120755548778E-2</v>
      </c>
      <c r="L830">
        <f t="shared" si="25"/>
        <v>2.3133423132594346E-4</v>
      </c>
    </row>
    <row r="831" spans="1:12" x14ac:dyDescent="0.3">
      <c r="A831" s="31">
        <v>44914</v>
      </c>
      <c r="B831" s="32">
        <v>0.18852984427434899</v>
      </c>
      <c r="C831" s="32">
        <v>0.18857250612860599</v>
      </c>
      <c r="D831" s="32">
        <v>0.18855116999999999</v>
      </c>
      <c r="E831" s="33">
        <v>-8.4098000000001796E-4</v>
      </c>
      <c r="F831" s="33">
        <v>-0.44404163530538099</v>
      </c>
      <c r="G831" s="33">
        <v>2.7245676959689802</v>
      </c>
      <c r="H831" s="32">
        <v>0.18855116999999999</v>
      </c>
      <c r="I831" s="32">
        <v>0.18855116999999999</v>
      </c>
      <c r="K831">
        <f t="shared" si="24"/>
        <v>-4.440416353053811E-3</v>
      </c>
      <c r="L831">
        <f t="shared" si="25"/>
        <v>2.2626141358336767E-4</v>
      </c>
    </row>
    <row r="832" spans="1:12" x14ac:dyDescent="0.3">
      <c r="A832" s="28">
        <v>44911</v>
      </c>
      <c r="B832" s="29">
        <v>0.18934731978868799</v>
      </c>
      <c r="C832" s="29">
        <v>0.18943699325604299</v>
      </c>
      <c r="D832" s="29">
        <v>0.18939215000000001</v>
      </c>
      <c r="E832" s="30">
        <v>1.9103099999999899E-3</v>
      </c>
      <c r="F832" s="30">
        <v>1.01893068683345</v>
      </c>
      <c r="G832" s="30">
        <v>3.18274203103653</v>
      </c>
      <c r="H832" s="29">
        <v>0.18939215000000001</v>
      </c>
      <c r="I832" s="29">
        <v>0.18939215000000001</v>
      </c>
      <c r="K832">
        <f t="shared" si="24"/>
        <v>1.0189306868334524E-2</v>
      </c>
      <c r="L832">
        <f t="shared" si="25"/>
        <v>4.7348038107704234E-4</v>
      </c>
    </row>
    <row r="833" spans="1:12" x14ac:dyDescent="0.3">
      <c r="A833" s="31">
        <v>44910</v>
      </c>
      <c r="B833" s="32">
        <v>0.18746250749849999</v>
      </c>
      <c r="C833" s="32">
        <v>0.18750117188232401</v>
      </c>
      <c r="D833" s="32">
        <v>0.18748184000000001</v>
      </c>
      <c r="E833" s="33">
        <v>-3.39800000000001E-4</v>
      </c>
      <c r="F833" s="33">
        <v>-0.180916320398438</v>
      </c>
      <c r="G833" s="33">
        <v>2.1419859916267101</v>
      </c>
      <c r="H833" s="32">
        <v>0.18748184000000001</v>
      </c>
      <c r="I833" s="32">
        <v>0.18748184000000001</v>
      </c>
      <c r="K833">
        <f t="shared" si="24"/>
        <v>-1.8091632039843875E-3</v>
      </c>
      <c r="L833">
        <f t="shared" si="25"/>
        <v>2.0623002112642977E-4</v>
      </c>
    </row>
    <row r="834" spans="1:12" x14ac:dyDescent="0.3">
      <c r="A834" s="28">
        <v>44909</v>
      </c>
      <c r="B834" s="29">
        <v>0.187786374220687</v>
      </c>
      <c r="C834" s="29">
        <v>0.18785692816351099</v>
      </c>
      <c r="D834" s="29">
        <v>0.18782164000000001</v>
      </c>
      <c r="E834" s="30">
        <v>-2.0145199999999901E-3</v>
      </c>
      <c r="F834" s="30">
        <v>-1.0611887640373601</v>
      </c>
      <c r="G834" s="30">
        <v>2.3271124382199102</v>
      </c>
      <c r="H834" s="29">
        <v>0.18782164000000001</v>
      </c>
      <c r="I834" s="29">
        <v>0.18782164000000001</v>
      </c>
      <c r="K834">
        <f t="shared" si="24"/>
        <v>-1.0611887640373685E-2</v>
      </c>
      <c r="L834">
        <f t="shared" si="25"/>
        <v>3.7564331151610924E-4</v>
      </c>
    </row>
    <row r="835" spans="1:12" x14ac:dyDescent="0.3">
      <c r="A835" s="31">
        <v>44908</v>
      </c>
      <c r="B835" s="32">
        <v>0.18981094829549799</v>
      </c>
      <c r="C835" s="32">
        <v>0.18986140117714101</v>
      </c>
      <c r="D835" s="32">
        <v>0.18983616</v>
      </c>
      <c r="E835" s="33">
        <v>2.84512E-3</v>
      </c>
      <c r="F835" s="33">
        <v>1.52152744858791</v>
      </c>
      <c r="G835" s="33">
        <v>3.4246431303650899</v>
      </c>
      <c r="H835" s="32">
        <v>0.18983616</v>
      </c>
      <c r="I835" s="32">
        <v>0.18983616</v>
      </c>
      <c r="K835">
        <f t="shared" si="24"/>
        <v>1.5215274485879116E-2</v>
      </c>
      <c r="L835">
        <f t="shared" si="25"/>
        <v>2.65770660568645E-4</v>
      </c>
    </row>
    <row r="836" spans="1:12" x14ac:dyDescent="0.3">
      <c r="A836" s="28">
        <v>44907</v>
      </c>
      <c r="B836" s="29">
        <v>0.186964813222152</v>
      </c>
      <c r="C836" s="29">
        <v>0.187017261693254</v>
      </c>
      <c r="D836" s="29">
        <v>0.18699104</v>
      </c>
      <c r="E836" s="30">
        <v>-4.3598999999999999E-3</v>
      </c>
      <c r="F836" s="30">
        <v>-2.2784837116556602</v>
      </c>
      <c r="G836" s="30">
        <v>1.8745932312148701</v>
      </c>
      <c r="H836" s="29">
        <v>0.18699104</v>
      </c>
      <c r="I836" s="29">
        <v>0.18699104</v>
      </c>
      <c r="K836">
        <f t="shared" si="24"/>
        <v>-2.2784837116556655E-2</v>
      </c>
      <c r="L836">
        <f t="shared" si="25"/>
        <v>2.8048654685273284E-4</v>
      </c>
    </row>
    <row r="837" spans="1:12" x14ac:dyDescent="0.3">
      <c r="A837" s="31">
        <v>44904</v>
      </c>
      <c r="B837" s="32">
        <v>0.19132164995790901</v>
      </c>
      <c r="C837" s="32">
        <v>0.19138023424940701</v>
      </c>
      <c r="D837" s="32">
        <v>0.19135094</v>
      </c>
      <c r="E837" s="33">
        <v>-5.1766000000000301E-4</v>
      </c>
      <c r="F837" s="33">
        <v>-0.269799227179434</v>
      </c>
      <c r="G837" s="33">
        <v>4.2499104604723499</v>
      </c>
      <c r="H837" s="32">
        <v>0.19135094</v>
      </c>
      <c r="I837" s="32">
        <v>0.19135094</v>
      </c>
      <c r="K837">
        <f t="shared" ref="K837:K900" si="26">D837/D838-1</f>
        <v>-2.6979922717943472E-3</v>
      </c>
      <c r="L837">
        <f t="shared" ref="L837:L900" si="27">(C837-B837)/D837</f>
        <v>3.061615035598614E-4</v>
      </c>
    </row>
    <row r="838" spans="1:12" x14ac:dyDescent="0.3">
      <c r="A838" s="28">
        <v>44903</v>
      </c>
      <c r="B838" s="29">
        <v>0.191846522781775</v>
      </c>
      <c r="C838" s="29">
        <v>0.191890699057817</v>
      </c>
      <c r="D838" s="29">
        <v>0.1918686</v>
      </c>
      <c r="E838" s="30">
        <v>2.22460000000007E-4</v>
      </c>
      <c r="F838" s="30">
        <v>0.11607851846116</v>
      </c>
      <c r="G838" s="30">
        <v>4.5319368181634498</v>
      </c>
      <c r="H838" s="29">
        <v>0.1918686</v>
      </c>
      <c r="I838" s="29">
        <v>0.1918686</v>
      </c>
      <c r="K838">
        <f t="shared" si="26"/>
        <v>1.1607851846116013E-3</v>
      </c>
      <c r="L838">
        <f t="shared" si="27"/>
        <v>2.3024234315568933E-4</v>
      </c>
    </row>
    <row r="839" spans="1:12" x14ac:dyDescent="0.3">
      <c r="A839" s="31">
        <v>44902</v>
      </c>
      <c r="B839" s="32">
        <v>0.19161860233391501</v>
      </c>
      <c r="C839" s="32">
        <v>0.19167369470213899</v>
      </c>
      <c r="D839" s="32">
        <v>0.19164613999999999</v>
      </c>
      <c r="E839" s="33">
        <v>5.5663999999999703E-4</v>
      </c>
      <c r="F839" s="33">
        <v>0.29129805666978598</v>
      </c>
      <c r="G839" s="33">
        <v>4.4107383799376496</v>
      </c>
      <c r="H839" s="32">
        <v>0.19164613999999999</v>
      </c>
      <c r="I839" s="32">
        <v>0.19164613999999999</v>
      </c>
      <c r="K839">
        <f t="shared" si="26"/>
        <v>2.9129805666978648E-3</v>
      </c>
      <c r="L839">
        <f t="shared" si="27"/>
        <v>2.8746922961237658E-4</v>
      </c>
    </row>
    <row r="840" spans="1:12" x14ac:dyDescent="0.3">
      <c r="A840" s="28">
        <v>44901</v>
      </c>
      <c r="B840" s="29">
        <v>0.191069415518658</v>
      </c>
      <c r="C840" s="29">
        <v>0.19110958223445301</v>
      </c>
      <c r="D840" s="29">
        <v>0.1910895</v>
      </c>
      <c r="E840" s="30">
        <v>8.65119999999997E-4</v>
      </c>
      <c r="F840" s="30">
        <v>0.45478923364081703</v>
      </c>
      <c r="G840" s="30">
        <v>4.10747532746079</v>
      </c>
      <c r="H840" s="29">
        <v>0.1910895</v>
      </c>
      <c r="I840" s="29">
        <v>0.1910895</v>
      </c>
      <c r="K840">
        <f t="shared" si="26"/>
        <v>4.5478923364081769E-3</v>
      </c>
      <c r="L840">
        <f t="shared" si="27"/>
        <v>2.1019844520507271E-4</v>
      </c>
    </row>
    <row r="841" spans="1:12" x14ac:dyDescent="0.3">
      <c r="A841" s="31">
        <v>44900</v>
      </c>
      <c r="B841" s="32">
        <v>0.19019361710221</v>
      </c>
      <c r="C841" s="32">
        <v>0.190255132132189</v>
      </c>
      <c r="D841" s="32">
        <v>0.19022438</v>
      </c>
      <c r="E841" s="33">
        <v>-8.4138999999999698E-4</v>
      </c>
      <c r="F841" s="33">
        <v>-0.44036668629864301</v>
      </c>
      <c r="G841" s="33">
        <v>3.63614927838278</v>
      </c>
      <c r="H841" s="32">
        <v>0.19022438</v>
      </c>
      <c r="I841" s="32">
        <v>0.19022438</v>
      </c>
      <c r="K841">
        <f t="shared" si="26"/>
        <v>-4.4036668629864328E-3</v>
      </c>
      <c r="L841">
        <f t="shared" si="27"/>
        <v>3.2338141924291455E-4</v>
      </c>
    </row>
    <row r="842" spans="1:12" x14ac:dyDescent="0.3">
      <c r="A842" s="28">
        <v>44897</v>
      </c>
      <c r="B842" s="29">
        <v>0.19104021396504001</v>
      </c>
      <c r="C842" s="29">
        <v>0.19109132254304301</v>
      </c>
      <c r="D842" s="29">
        <v>0.19106577</v>
      </c>
      <c r="E842" s="30">
        <v>-1.7499200000000101E-3</v>
      </c>
      <c r="F842" s="30">
        <v>-0.90756099775905996</v>
      </c>
      <c r="G842" s="30">
        <v>4.0945469855606804</v>
      </c>
      <c r="H842" s="29">
        <v>0.19106577</v>
      </c>
      <c r="I842" s="29">
        <v>0.19106577</v>
      </c>
      <c r="K842">
        <f t="shared" si="26"/>
        <v>-9.0756099775906041E-3</v>
      </c>
      <c r="L842">
        <f t="shared" si="27"/>
        <v>2.6749206832286454E-4</v>
      </c>
    </row>
    <row r="843" spans="1:12" x14ac:dyDescent="0.3">
      <c r="A843" s="31">
        <v>44896</v>
      </c>
      <c r="B843" s="32">
        <v>0.19279338333108401</v>
      </c>
      <c r="C843" s="32">
        <v>0.19283799679888899</v>
      </c>
      <c r="D843" s="32">
        <v>0.19281569000000001</v>
      </c>
      <c r="E843" s="33">
        <v>2.65825E-3</v>
      </c>
      <c r="F843" s="33">
        <v>1.3979205862258</v>
      </c>
      <c r="G843" s="33">
        <v>5.0479209450143996</v>
      </c>
      <c r="H843" s="32">
        <v>0.19281569000000001</v>
      </c>
      <c r="I843" s="32">
        <v>0.19281569000000001</v>
      </c>
      <c r="K843">
        <f t="shared" si="26"/>
        <v>1.3979205862258093E-2</v>
      </c>
      <c r="L843">
        <f t="shared" si="27"/>
        <v>2.3137882505821019E-4</v>
      </c>
    </row>
    <row r="844" spans="1:12" x14ac:dyDescent="0.3">
      <c r="A844" s="28">
        <v>44895</v>
      </c>
      <c r="B844" s="29">
        <v>0.19013214183857799</v>
      </c>
      <c r="C844" s="29">
        <v>0.190182765637778</v>
      </c>
      <c r="D844" s="29">
        <v>0.19015744000000001</v>
      </c>
      <c r="E844" s="30">
        <v>1.4283500000000201E-3</v>
      </c>
      <c r="F844" s="30">
        <v>0.75682556409297697</v>
      </c>
      <c r="G844" s="30">
        <v>3.5996796952899399</v>
      </c>
      <c r="H844" s="29">
        <v>0.19015744000000001</v>
      </c>
      <c r="I844" s="29">
        <v>0.19015744000000001</v>
      </c>
      <c r="K844">
        <f t="shared" si="26"/>
        <v>7.5682556409297774E-3</v>
      </c>
      <c r="L844">
        <f t="shared" si="27"/>
        <v>2.6622044974948842E-4</v>
      </c>
    </row>
    <row r="845" spans="1:12" x14ac:dyDescent="0.3">
      <c r="A845" s="31">
        <v>44894</v>
      </c>
      <c r="B845" s="32">
        <v>0.18871129059651601</v>
      </c>
      <c r="C845" s="32">
        <v>0.188746909269361</v>
      </c>
      <c r="D845" s="32">
        <v>0.18872908999999999</v>
      </c>
      <c r="E845" s="33">
        <v>2.6185199999999801E-3</v>
      </c>
      <c r="F845" s="33">
        <v>1.40697006086218</v>
      </c>
      <c r="G845" s="33">
        <v>2.8215002956683999</v>
      </c>
      <c r="H845" s="32">
        <v>0.18872908999999999</v>
      </c>
      <c r="I845" s="32">
        <v>0.18872908999999999</v>
      </c>
      <c r="K845">
        <f t="shared" si="26"/>
        <v>1.4069700608621893E-2</v>
      </c>
      <c r="L845">
        <f t="shared" si="27"/>
        <v>1.887291081888288E-4</v>
      </c>
    </row>
    <row r="846" spans="1:12" x14ac:dyDescent="0.3">
      <c r="A846" s="28">
        <v>44893</v>
      </c>
      <c r="B846" s="29">
        <v>0.186063819890222</v>
      </c>
      <c r="C846" s="29">
        <v>0.18615734018392299</v>
      </c>
      <c r="D846" s="29">
        <v>0.18611057</v>
      </c>
      <c r="E846" s="30">
        <v>-5.0532999999999796E-4</v>
      </c>
      <c r="F846" s="30">
        <v>-0.27078614416027302</v>
      </c>
      <c r="G846" s="30">
        <v>1.39490434824867</v>
      </c>
      <c r="H846" s="29">
        <v>0.18611057</v>
      </c>
      <c r="I846" s="29">
        <v>0.18611057</v>
      </c>
      <c r="K846">
        <f t="shared" si="26"/>
        <v>-2.7078614416027325E-3</v>
      </c>
      <c r="L846">
        <f t="shared" si="27"/>
        <v>5.0249856147876928E-4</v>
      </c>
    </row>
    <row r="847" spans="1:12" x14ac:dyDescent="0.3">
      <c r="A847" s="31">
        <v>44890</v>
      </c>
      <c r="B847" s="32">
        <v>0.18658805090121999</v>
      </c>
      <c r="C847" s="32">
        <v>0.18664377169733801</v>
      </c>
      <c r="D847" s="32">
        <v>0.1866159</v>
      </c>
      <c r="E847" s="33">
        <v>-1.6583799999999799E-3</v>
      </c>
      <c r="F847" s="33">
        <v>-0.88083194369406004</v>
      </c>
      <c r="G847" s="33">
        <v>1.67021319832796</v>
      </c>
      <c r="H847" s="32">
        <v>0.1866159</v>
      </c>
      <c r="I847" s="32">
        <v>0.1866159</v>
      </c>
      <c r="K847">
        <f t="shared" si="26"/>
        <v>-8.8083194369406037E-3</v>
      </c>
      <c r="L847">
        <f t="shared" si="27"/>
        <v>2.9858546950186959E-4</v>
      </c>
    </row>
    <row r="848" spans="1:12" x14ac:dyDescent="0.3">
      <c r="A848" s="28">
        <v>44889</v>
      </c>
      <c r="B848" s="29">
        <v>0.188253012048193</v>
      </c>
      <c r="C848" s="29">
        <v>0.18829554869322901</v>
      </c>
      <c r="D848" s="29">
        <v>0.18827427999999999</v>
      </c>
      <c r="E848" s="30">
        <v>2.6180799999999901E-3</v>
      </c>
      <c r="F848" s="30">
        <v>1.4101764444171401</v>
      </c>
      <c r="G848" s="30">
        <v>2.5737152480667098</v>
      </c>
      <c r="H848" s="29">
        <v>0.18827427999999999</v>
      </c>
      <c r="I848" s="29">
        <v>0.18827427999999999</v>
      </c>
      <c r="K848">
        <f t="shared" si="26"/>
        <v>1.4101764444171438E-2</v>
      </c>
      <c r="L848">
        <f t="shared" si="27"/>
        <v>2.259291340060178E-4</v>
      </c>
    </row>
    <row r="849" spans="1:12" x14ac:dyDescent="0.3">
      <c r="A849" s="31">
        <v>44888</v>
      </c>
      <c r="B849" s="32">
        <v>0.18563552321372201</v>
      </c>
      <c r="C849" s="32">
        <v>0.185676885084576</v>
      </c>
      <c r="D849" s="32">
        <v>0.18565619999999999</v>
      </c>
      <c r="E849" s="33">
        <v>-1.4012999999999901E-3</v>
      </c>
      <c r="F849" s="33">
        <v>-0.74912794194298404</v>
      </c>
      <c r="G849" s="33">
        <v>1.1473590170581101</v>
      </c>
      <c r="H849" s="32">
        <v>0.18565619999999999</v>
      </c>
      <c r="I849" s="32">
        <v>0.18565619999999999</v>
      </c>
      <c r="K849">
        <f t="shared" si="26"/>
        <v>-7.4912794194298415E-3</v>
      </c>
      <c r="L849">
        <f t="shared" si="27"/>
        <v>2.2278744719535245E-4</v>
      </c>
    </row>
    <row r="850" spans="1:12" x14ac:dyDescent="0.3">
      <c r="A850" s="28">
        <v>44887</v>
      </c>
      <c r="B850" s="29">
        <v>0.18702775491883</v>
      </c>
      <c r="C850" s="29">
        <v>0.187087238779443</v>
      </c>
      <c r="D850" s="29">
        <v>0.18705749999999999</v>
      </c>
      <c r="E850" s="30">
        <v>1.99249999999984E-4</v>
      </c>
      <c r="F850" s="30">
        <v>0.106631631196374</v>
      </c>
      <c r="G850" s="30">
        <v>1.9108013054955699</v>
      </c>
      <c r="H850" s="29">
        <v>0.18705749999999999</v>
      </c>
      <c r="I850" s="29">
        <v>0.18705749999999999</v>
      </c>
      <c r="K850">
        <f t="shared" si="26"/>
        <v>1.0663163119637442E-3</v>
      </c>
      <c r="L850">
        <f t="shared" si="27"/>
        <v>3.1799773124839477E-4</v>
      </c>
    </row>
    <row r="851" spans="1:12" x14ac:dyDescent="0.3">
      <c r="A851" s="31">
        <v>44886</v>
      </c>
      <c r="B851" s="32">
        <v>0.186835566018347</v>
      </c>
      <c r="C851" s="32">
        <v>0.18688095683049899</v>
      </c>
      <c r="D851" s="32">
        <v>0.18685825</v>
      </c>
      <c r="E851" s="33">
        <v>-4.9712999999998399E-4</v>
      </c>
      <c r="F851" s="33">
        <v>-0.26534065901922999</v>
      </c>
      <c r="G851" s="33">
        <v>1.8022479079567499</v>
      </c>
      <c r="H851" s="32">
        <v>0.18685825</v>
      </c>
      <c r="I851" s="32">
        <v>0.18685825</v>
      </c>
      <c r="K851">
        <f t="shared" si="26"/>
        <v>-2.6534065901923087E-3</v>
      </c>
      <c r="L851">
        <f t="shared" si="27"/>
        <v>2.4291575112145604E-4</v>
      </c>
    </row>
    <row r="852" spans="1:12" x14ac:dyDescent="0.3">
      <c r="A852" s="28">
        <v>44883</v>
      </c>
      <c r="B852" s="29">
        <v>0.18733959047565499</v>
      </c>
      <c r="C852" s="29">
        <v>0.18737118231215999</v>
      </c>
      <c r="D852" s="29">
        <v>0.18735537999999999</v>
      </c>
      <c r="E852" s="30">
        <v>4.3107999999999697E-3</v>
      </c>
      <c r="F852" s="30">
        <v>2.35505470853054</v>
      </c>
      <c r="G852" s="30">
        <v>2.0730893158286601</v>
      </c>
      <c r="H852" s="29">
        <v>0.18735537999999999</v>
      </c>
      <c r="I852" s="29">
        <v>0.18735537999999999</v>
      </c>
      <c r="K852">
        <f t="shared" si="26"/>
        <v>2.3550547085305462E-2</v>
      </c>
      <c r="L852">
        <f t="shared" si="27"/>
        <v>1.6861985230956077E-4</v>
      </c>
    </row>
    <row r="853" spans="1:12" x14ac:dyDescent="0.3">
      <c r="A853" s="31">
        <v>44882</v>
      </c>
      <c r="B853" s="32">
        <v>0.18301945496806299</v>
      </c>
      <c r="C853" s="32">
        <v>0.18306971294669</v>
      </c>
      <c r="D853" s="32">
        <v>0.18304458000000001</v>
      </c>
      <c r="E853" s="33">
        <v>-4.1354499999999798E-3</v>
      </c>
      <c r="F853" s="33">
        <v>-2.2093435929035601</v>
      </c>
      <c r="G853" s="33">
        <v>-0.27547774118711099</v>
      </c>
      <c r="H853" s="32">
        <v>0.18304458000000001</v>
      </c>
      <c r="I853" s="32">
        <v>0.18304458000000001</v>
      </c>
      <c r="K853">
        <f t="shared" si="26"/>
        <v>-2.2093435929035676E-2</v>
      </c>
      <c r="L853">
        <f t="shared" si="27"/>
        <v>2.7456687669752774E-4</v>
      </c>
    </row>
    <row r="854" spans="1:12" x14ac:dyDescent="0.3">
      <c r="A854" s="28">
        <v>44881</v>
      </c>
      <c r="B854" s="29">
        <v>0.18715376553376301</v>
      </c>
      <c r="C854" s="29">
        <v>0.187206320085366</v>
      </c>
      <c r="D854" s="29">
        <v>0.18718003</v>
      </c>
      <c r="E854" s="30">
        <v>-6.0281000000000895E-4</v>
      </c>
      <c r="F854" s="30">
        <v>-0.32101442283012299</v>
      </c>
      <c r="G854" s="30">
        <v>1.9775568778942401</v>
      </c>
      <c r="H854" s="29">
        <v>0.18718003</v>
      </c>
      <c r="I854" s="29">
        <v>0.18718003</v>
      </c>
      <c r="K854">
        <f t="shared" si="26"/>
        <v>-3.2101442283012371E-3</v>
      </c>
      <c r="L854">
        <f t="shared" si="27"/>
        <v>2.8077007789236764E-4</v>
      </c>
    </row>
    <row r="855" spans="1:12" x14ac:dyDescent="0.3">
      <c r="A855" s="31">
        <v>44880</v>
      </c>
      <c r="B855" s="32">
        <v>0.18776874401487101</v>
      </c>
      <c r="C855" s="32">
        <v>0.18779695393340701</v>
      </c>
      <c r="D855" s="32">
        <v>0.18778284000000001</v>
      </c>
      <c r="E855" s="33">
        <v>-2.4894000000000299E-4</v>
      </c>
      <c r="F855" s="33">
        <v>-0.132392513648493</v>
      </c>
      <c r="G855" s="33">
        <v>2.3059738092386999</v>
      </c>
      <c r="H855" s="32">
        <v>0.18778284000000001</v>
      </c>
      <c r="I855" s="32">
        <v>0.18778284000000001</v>
      </c>
      <c r="K855">
        <f t="shared" si="26"/>
        <v>-1.323925136484938E-3</v>
      </c>
      <c r="L855">
        <f t="shared" si="27"/>
        <v>1.5022628551149042E-4</v>
      </c>
    </row>
    <row r="856" spans="1:12" x14ac:dyDescent="0.3">
      <c r="A856" s="28">
        <v>44879</v>
      </c>
      <c r="B856" s="29">
        <v>0.187998195217326</v>
      </c>
      <c r="C856" s="29">
        <v>0.18806537152314101</v>
      </c>
      <c r="D856" s="29">
        <v>0.18803178000000001</v>
      </c>
      <c r="E856" s="30">
        <v>-1.7611699999999699E-3</v>
      </c>
      <c r="F856" s="30">
        <v>-0.92794279239559696</v>
      </c>
      <c r="G856" s="30">
        <v>2.4415988169341398</v>
      </c>
      <c r="H856" s="29">
        <v>0.18803178000000001</v>
      </c>
      <c r="I856" s="29">
        <v>0.18803178000000001</v>
      </c>
      <c r="K856">
        <f t="shared" si="26"/>
        <v>-9.279427923955974E-3</v>
      </c>
      <c r="L856">
        <f t="shared" si="27"/>
        <v>3.5726038340441345E-4</v>
      </c>
    </row>
    <row r="857" spans="1:12" x14ac:dyDescent="0.3">
      <c r="A857" s="31">
        <v>44876</v>
      </c>
      <c r="B857" s="32">
        <v>0.18977132555270901</v>
      </c>
      <c r="C857" s="32">
        <v>0.189814551183494</v>
      </c>
      <c r="D857" s="32">
        <v>0.18979294999999999</v>
      </c>
      <c r="E857" s="33">
        <v>1.9907099999999702E-3</v>
      </c>
      <c r="F857" s="33">
        <v>1.0600033311636701</v>
      </c>
      <c r="G857" s="33">
        <v>3.4011018891723399</v>
      </c>
      <c r="H857" s="32">
        <v>0.18979294999999999</v>
      </c>
      <c r="I857" s="32">
        <v>0.18979294999999999</v>
      </c>
      <c r="K857">
        <f t="shared" si="26"/>
        <v>1.0600033311636725E-2</v>
      </c>
      <c r="L857">
        <f t="shared" si="27"/>
        <v>2.2775150913133312E-4</v>
      </c>
    </row>
    <row r="858" spans="1:12" x14ac:dyDescent="0.3">
      <c r="A858" s="28">
        <v>44875</v>
      </c>
      <c r="B858" s="29">
        <v>0.187786374220687</v>
      </c>
      <c r="C858" s="29">
        <v>0.18781811693556</v>
      </c>
      <c r="D858" s="29">
        <v>0.18780224000000001</v>
      </c>
      <c r="E858" s="30">
        <v>-5.9098599999999803E-3</v>
      </c>
      <c r="F858" s="30">
        <v>-3.05084710764066</v>
      </c>
      <c r="G858" s="30">
        <v>2.3165431237293101</v>
      </c>
      <c r="H858" s="29">
        <v>0.18780224000000001</v>
      </c>
      <c r="I858" s="29">
        <v>0.18780224000000001</v>
      </c>
      <c r="K858">
        <f t="shared" si="26"/>
        <v>-3.050847107640664E-2</v>
      </c>
      <c r="L858">
        <f t="shared" si="27"/>
        <v>1.6902202483311916E-4</v>
      </c>
    </row>
    <row r="859" spans="1:12" x14ac:dyDescent="0.3">
      <c r="A859" s="31">
        <v>44874</v>
      </c>
      <c r="B859" s="32">
        <v>0.19368959305816499</v>
      </c>
      <c r="C859" s="32">
        <v>0.19373462231435401</v>
      </c>
      <c r="D859" s="32">
        <v>0.1937121</v>
      </c>
      <c r="E859" s="33">
        <v>-5.1356999999999098E-4</v>
      </c>
      <c r="F859" s="33">
        <v>-0.26441921914852601</v>
      </c>
      <c r="G859" s="33">
        <v>5.5362940997837002</v>
      </c>
      <c r="H859" s="32">
        <v>0.1937121</v>
      </c>
      <c r="I859" s="32">
        <v>0.1937121</v>
      </c>
      <c r="K859">
        <f t="shared" si="26"/>
        <v>-2.6441921914852617E-3</v>
      </c>
      <c r="L859">
        <f t="shared" si="27"/>
        <v>2.3245453530789471E-4</v>
      </c>
    </row>
    <row r="860" spans="1:12" x14ac:dyDescent="0.3">
      <c r="A860" s="28">
        <v>44873</v>
      </c>
      <c r="B860" s="29">
        <v>0.19420115355485201</v>
      </c>
      <c r="C860" s="29">
        <v>0.19425019425019399</v>
      </c>
      <c r="D860" s="29">
        <v>0.19422566999999999</v>
      </c>
      <c r="E860" s="30">
        <v>-1.22616E-3</v>
      </c>
      <c r="F860" s="30">
        <v>-0.62734639015659099</v>
      </c>
      <c r="G860" s="30">
        <v>5.81609218447137</v>
      </c>
      <c r="H860" s="29">
        <v>0.19422566999999999</v>
      </c>
      <c r="I860" s="29">
        <v>0.19422566999999999</v>
      </c>
      <c r="K860">
        <f t="shared" si="26"/>
        <v>-6.2734639015659122E-3</v>
      </c>
      <c r="L860">
        <f t="shared" si="27"/>
        <v>2.5249337712146205E-4</v>
      </c>
    </row>
    <row r="861" spans="1:12" x14ac:dyDescent="0.3">
      <c r="A861" s="31">
        <v>44872</v>
      </c>
      <c r="B861" s="32">
        <v>0.19542700801250701</v>
      </c>
      <c r="C861" s="32">
        <v>0.195476669859452</v>
      </c>
      <c r="D861" s="32">
        <v>0.19545182999999999</v>
      </c>
      <c r="E861" s="33">
        <v>-2.8153000000000201E-3</v>
      </c>
      <c r="F861" s="33">
        <v>-1.4199529695113899</v>
      </c>
      <c r="G861" s="33">
        <v>6.48411644507972</v>
      </c>
      <c r="H861" s="32">
        <v>0.19545182999999999</v>
      </c>
      <c r="I861" s="32">
        <v>0.19545182999999999</v>
      </c>
      <c r="K861">
        <f t="shared" si="26"/>
        <v>-1.4199529695113955E-2</v>
      </c>
      <c r="L861">
        <f t="shared" si="27"/>
        <v>2.5408739813279193E-4</v>
      </c>
    </row>
    <row r="862" spans="1:12" x14ac:dyDescent="0.3">
      <c r="A862" s="28">
        <v>44869</v>
      </c>
      <c r="B862" s="29">
        <v>0.19824356204032301</v>
      </c>
      <c r="C862" s="29">
        <v>0.198290733874006</v>
      </c>
      <c r="D862" s="29">
        <v>0.19826713000000001</v>
      </c>
      <c r="E862" s="30">
        <v>2.2405800000000098E-3</v>
      </c>
      <c r="F862" s="30">
        <v>1.1429982316170899</v>
      </c>
      <c r="G862" s="30">
        <v>8.0179201092758294</v>
      </c>
      <c r="H862" s="29">
        <v>0.19826713000000001</v>
      </c>
      <c r="I862" s="29">
        <v>0.19826713000000001</v>
      </c>
      <c r="K862">
        <f t="shared" si="26"/>
        <v>1.1429982316170983E-2</v>
      </c>
      <c r="L862">
        <f t="shared" si="27"/>
        <v>2.3792059572858227E-4</v>
      </c>
    </row>
    <row r="863" spans="1:12" x14ac:dyDescent="0.3">
      <c r="A863" s="31">
        <v>44868</v>
      </c>
      <c r="B863" s="32">
        <v>0.19599388499078799</v>
      </c>
      <c r="C863" s="32">
        <v>0.19605920988138401</v>
      </c>
      <c r="D863" s="32">
        <v>0.19602654999999999</v>
      </c>
      <c r="E863" s="33">
        <v>1.6555399999999801E-3</v>
      </c>
      <c r="F863" s="33">
        <v>0.85174224283754896</v>
      </c>
      <c r="G863" s="33">
        <v>6.7972296628138098</v>
      </c>
      <c r="H863" s="32">
        <v>0.19602654999999999</v>
      </c>
      <c r="I863" s="32">
        <v>0.19602654999999999</v>
      </c>
      <c r="K863">
        <f t="shared" si="26"/>
        <v>8.5174224283754985E-3</v>
      </c>
      <c r="L863">
        <f t="shared" si="27"/>
        <v>3.3324511703143833E-4</v>
      </c>
    </row>
    <row r="864" spans="1:12" x14ac:dyDescent="0.3">
      <c r="A864" s="28">
        <v>44867</v>
      </c>
      <c r="B864" s="29">
        <v>0.19433324264448701</v>
      </c>
      <c r="C864" s="29">
        <v>0.194408802830592</v>
      </c>
      <c r="D864" s="29">
        <v>0.19437101000000001</v>
      </c>
      <c r="E864" s="30">
        <v>-1.28732999999997E-3</v>
      </c>
      <c r="F864" s="30">
        <v>-0.65794793107207805</v>
      </c>
      <c r="G864" s="30">
        <v>5.8952748735468798</v>
      </c>
      <c r="H864" s="29">
        <v>0.19437101000000001</v>
      </c>
      <c r="I864" s="29">
        <v>0.19437101000000001</v>
      </c>
      <c r="K864">
        <f t="shared" si="26"/>
        <v>-6.5794793107207816E-3</v>
      </c>
      <c r="L864">
        <f t="shared" si="27"/>
        <v>3.887420562613469E-4</v>
      </c>
    </row>
    <row r="865" spans="1:12" x14ac:dyDescent="0.3">
      <c r="A865" s="31">
        <v>44866</v>
      </c>
      <c r="B865" s="32">
        <v>0.19563728846718201</v>
      </c>
      <c r="C865" s="32">
        <v>0.19567939887288699</v>
      </c>
      <c r="D865" s="32">
        <v>0.19565833999999999</v>
      </c>
      <c r="E865" s="33">
        <v>5.0823199999999701E-3</v>
      </c>
      <c r="F865" s="33">
        <v>2.6668203061434199</v>
      </c>
      <c r="G865" s="33">
        <v>6.5966251634021402</v>
      </c>
      <c r="H865" s="32">
        <v>0.19565833999999999</v>
      </c>
      <c r="I865" s="32">
        <v>0.19565833999999999</v>
      </c>
      <c r="K865">
        <f t="shared" si="26"/>
        <v>2.6668203061434248E-2</v>
      </c>
      <c r="L865">
        <f t="shared" si="27"/>
        <v>2.1522417958253905E-4</v>
      </c>
    </row>
    <row r="866" spans="1:12" x14ac:dyDescent="0.3">
      <c r="A866" s="28">
        <v>44865</v>
      </c>
      <c r="B866" s="29">
        <v>0.190563305129964</v>
      </c>
      <c r="C866" s="29">
        <v>0.19058872858259199</v>
      </c>
      <c r="D866" s="29">
        <v>0.19057602000000001</v>
      </c>
      <c r="E866" s="30">
        <v>3.2539700000000201E-3</v>
      </c>
      <c r="F866" s="30">
        <v>1.7370992896992199</v>
      </c>
      <c r="G866" s="30">
        <v>3.8277262756754098</v>
      </c>
      <c r="H866" s="29">
        <v>0.19057602000000001</v>
      </c>
      <c r="I866" s="29">
        <v>0.19057602000000001</v>
      </c>
      <c r="K866">
        <f t="shared" si="26"/>
        <v>1.7370992896992288E-2</v>
      </c>
      <c r="L866">
        <f t="shared" si="27"/>
        <v>1.3340320900807607E-4</v>
      </c>
    </row>
    <row r="867" spans="1:12" x14ac:dyDescent="0.3">
      <c r="A867" s="31">
        <v>44862</v>
      </c>
      <c r="B867" s="32">
        <v>0.18730099269526099</v>
      </c>
      <c r="C867" s="32">
        <v>0.18734310015362099</v>
      </c>
      <c r="D867" s="32">
        <v>0.18732204999999999</v>
      </c>
      <c r="E867" s="33">
        <v>-1.5728199999999999E-3</v>
      </c>
      <c r="F867" s="33">
        <v>-0.83264304636754205</v>
      </c>
      <c r="G867" s="33">
        <v>2.0549307976857798</v>
      </c>
      <c r="H867" s="32">
        <v>0.18732204999999999</v>
      </c>
      <c r="I867" s="32">
        <v>0.18732204999999999</v>
      </c>
      <c r="K867">
        <f t="shared" si="26"/>
        <v>-8.3264304636754272E-3</v>
      </c>
      <c r="L867">
        <f t="shared" si="27"/>
        <v>2.247864485788101E-4</v>
      </c>
    </row>
    <row r="868" spans="1:12" x14ac:dyDescent="0.3">
      <c r="A868" s="28">
        <v>44861</v>
      </c>
      <c r="B868" s="29">
        <v>0.188875247898763</v>
      </c>
      <c r="C868" s="29">
        <v>0.188914497298523</v>
      </c>
      <c r="D868" s="29">
        <v>0.18889486999999999</v>
      </c>
      <c r="E868" s="30">
        <v>1.1596299999999901E-3</v>
      </c>
      <c r="F868" s="30">
        <v>0.617694365746146</v>
      </c>
      <c r="G868" s="30">
        <v>2.9118189016608098</v>
      </c>
      <c r="H868" s="29">
        <v>0.18889486999999999</v>
      </c>
      <c r="I868" s="29">
        <v>0.18889486999999999</v>
      </c>
      <c r="K868">
        <f t="shared" si="26"/>
        <v>6.1769436574614645E-3</v>
      </c>
      <c r="L868">
        <f t="shared" si="27"/>
        <v>2.0778436047518966E-4</v>
      </c>
    </row>
    <row r="869" spans="1:12" x14ac:dyDescent="0.3">
      <c r="A869" s="31">
        <v>44860</v>
      </c>
      <c r="B869" s="32">
        <v>0.18770530267480101</v>
      </c>
      <c r="C869" s="32">
        <v>0.18776521837094901</v>
      </c>
      <c r="D869" s="32">
        <v>0.18773524</v>
      </c>
      <c r="E869" s="33">
        <v>-5.5145000000000801E-4</v>
      </c>
      <c r="F869" s="33">
        <v>-0.292877844950167</v>
      </c>
      <c r="G869" s="33">
        <v>2.28004085203494</v>
      </c>
      <c r="H869" s="32">
        <v>0.18773524</v>
      </c>
      <c r="I869" s="32">
        <v>0.18773524</v>
      </c>
      <c r="K869">
        <f t="shared" si="26"/>
        <v>-2.9287784495016789E-3</v>
      </c>
      <c r="L869">
        <f t="shared" si="27"/>
        <v>3.191499696487142E-4</v>
      </c>
    </row>
    <row r="870" spans="1:12" x14ac:dyDescent="0.3">
      <c r="A870" s="28">
        <v>44859</v>
      </c>
      <c r="B870" s="29">
        <v>0.18825655603456401</v>
      </c>
      <c r="C870" s="29">
        <v>0.18831682422507601</v>
      </c>
      <c r="D870" s="29">
        <v>0.18828669000000001</v>
      </c>
      <c r="E870" s="30">
        <v>-9.2090999999999701E-4</v>
      </c>
      <c r="F870" s="30">
        <v>-0.48671934953986501</v>
      </c>
      <c r="G870" s="30">
        <v>2.5804763404805602</v>
      </c>
      <c r="H870" s="29">
        <v>0.18828669000000001</v>
      </c>
      <c r="I870" s="29">
        <v>0.18828669000000001</v>
      </c>
      <c r="K870">
        <f t="shared" si="26"/>
        <v>-4.8671934953986584E-3</v>
      </c>
      <c r="L870">
        <f t="shared" si="27"/>
        <v>3.2008736524072562E-4</v>
      </c>
    </row>
    <row r="871" spans="1:12" x14ac:dyDescent="0.3">
      <c r="A871" s="31">
        <v>44858</v>
      </c>
      <c r="B871" s="32">
        <v>0.189182542235003</v>
      </c>
      <c r="C871" s="32">
        <v>0.189232661557385</v>
      </c>
      <c r="D871" s="32">
        <v>0.1892076</v>
      </c>
      <c r="E871" s="33">
        <v>-3.50775999999999E-3</v>
      </c>
      <c r="F871" s="33">
        <v>-1.8201766584666601</v>
      </c>
      <c r="G871" s="33">
        <v>3.0821973408694401</v>
      </c>
      <c r="H871" s="32">
        <v>0.1892076</v>
      </c>
      <c r="I871" s="32">
        <v>0.1892076</v>
      </c>
      <c r="K871">
        <f t="shared" si="26"/>
        <v>-1.8201766584666657E-2</v>
      </c>
      <c r="L871">
        <f t="shared" si="27"/>
        <v>2.6489064066135474E-4</v>
      </c>
    </row>
    <row r="872" spans="1:12" x14ac:dyDescent="0.3">
      <c r="A872" s="28">
        <v>44855</v>
      </c>
      <c r="B872" s="29">
        <v>0.19269679159841999</v>
      </c>
      <c r="C872" s="29">
        <v>0.192733930808519</v>
      </c>
      <c r="D872" s="29">
        <v>0.19271536</v>
      </c>
      <c r="E872" s="30">
        <v>5.3701000000000399E-4</v>
      </c>
      <c r="F872" s="30">
        <v>0.27943314114207102</v>
      </c>
      <c r="G872" s="30">
        <v>4.9932601551771496</v>
      </c>
      <c r="H872" s="29">
        <v>0.19271536</v>
      </c>
      <c r="I872" s="29">
        <v>0.19271536</v>
      </c>
      <c r="K872">
        <f t="shared" si="26"/>
        <v>2.7943314114207141E-3</v>
      </c>
      <c r="L872">
        <f t="shared" si="27"/>
        <v>1.9271536061792432E-4</v>
      </c>
    </row>
    <row r="873" spans="1:12" x14ac:dyDescent="0.3">
      <c r="A873" s="31">
        <v>44854</v>
      </c>
      <c r="B873" s="32">
        <v>0.192148800030744</v>
      </c>
      <c r="C873" s="32">
        <v>0.19220789205604799</v>
      </c>
      <c r="D873" s="32">
        <v>0.19217835</v>
      </c>
      <c r="E873" s="33">
        <v>2.7915799999999802E-3</v>
      </c>
      <c r="F873" s="33">
        <v>1.47401003776557</v>
      </c>
      <c r="G873" s="33">
        <v>4.7006917234967096</v>
      </c>
      <c r="H873" s="32">
        <v>0.19217835</v>
      </c>
      <c r="I873" s="32">
        <v>0.19217835</v>
      </c>
      <c r="K873">
        <f t="shared" si="26"/>
        <v>1.4740100377655718E-2</v>
      </c>
      <c r="L873">
        <f t="shared" si="27"/>
        <v>3.0748534007078173E-4</v>
      </c>
    </row>
    <row r="874" spans="1:12" x14ac:dyDescent="0.3">
      <c r="A874" s="28">
        <v>44853</v>
      </c>
      <c r="B874" s="29">
        <v>0.18937241980078001</v>
      </c>
      <c r="C874" s="29">
        <v>0.18940111367854801</v>
      </c>
      <c r="D874" s="29">
        <v>0.18938677000000001</v>
      </c>
      <c r="E874" s="30">
        <v>-5.0888999999998397E-4</v>
      </c>
      <c r="F874" s="30">
        <v>-0.26798400763871</v>
      </c>
      <c r="G874" s="30">
        <v>3.1798109531004699</v>
      </c>
      <c r="H874" s="29">
        <v>0.18938677000000001</v>
      </c>
      <c r="I874" s="29">
        <v>0.18938677000000001</v>
      </c>
      <c r="K874">
        <f t="shared" si="26"/>
        <v>-2.6798400763871078E-3</v>
      </c>
      <c r="L874">
        <f t="shared" si="27"/>
        <v>1.5150940991281217E-4</v>
      </c>
    </row>
    <row r="875" spans="1:12" x14ac:dyDescent="0.3">
      <c r="A875" s="31">
        <v>44852</v>
      </c>
      <c r="B875" s="32">
        <v>0.18987942656413201</v>
      </c>
      <c r="C875" s="32">
        <v>0.18991188088726799</v>
      </c>
      <c r="D875" s="32">
        <v>0.18989565999999999</v>
      </c>
      <c r="E875" s="33">
        <v>1.89129999999981E-4</v>
      </c>
      <c r="F875" s="33">
        <v>9.9696093750689593E-2</v>
      </c>
      <c r="G875" s="33">
        <v>3.4570593268697798</v>
      </c>
      <c r="H875" s="32">
        <v>0.18989565999999999</v>
      </c>
      <c r="I875" s="32">
        <v>0.18989565999999999</v>
      </c>
      <c r="K875">
        <f t="shared" si="26"/>
        <v>9.9696093750689663E-4</v>
      </c>
      <c r="L875">
        <f t="shared" si="27"/>
        <v>1.7090608145535035E-4</v>
      </c>
    </row>
    <row r="876" spans="1:12" x14ac:dyDescent="0.3">
      <c r="A876" s="28">
        <v>44851</v>
      </c>
      <c r="B876" s="29">
        <v>0.18968133535660101</v>
      </c>
      <c r="C876" s="29">
        <v>0.189731719348841</v>
      </c>
      <c r="D876" s="29">
        <v>0.18970653000000001</v>
      </c>
      <c r="E876" s="30">
        <v>6.81330000000007E-4</v>
      </c>
      <c r="F876" s="30">
        <v>0.36044400429149298</v>
      </c>
      <c r="G876" s="30">
        <v>3.3540194067868798</v>
      </c>
      <c r="H876" s="29">
        <v>0.18970653000000001</v>
      </c>
      <c r="I876" s="29">
        <v>0.18970653000000001</v>
      </c>
      <c r="K876">
        <f t="shared" si="26"/>
        <v>3.6044400429149359E-3</v>
      </c>
      <c r="L876">
        <f t="shared" si="27"/>
        <v>2.6558912990501464E-4</v>
      </c>
    </row>
    <row r="877" spans="1:12" x14ac:dyDescent="0.3">
      <c r="A877" s="31">
        <v>44848</v>
      </c>
      <c r="B877" s="32">
        <v>0.189010905929272</v>
      </c>
      <c r="C877" s="32">
        <v>0.18903949034953399</v>
      </c>
      <c r="D877" s="32">
        <v>0.1890252</v>
      </c>
      <c r="E877" s="33">
        <v>2.19500000000011E-4</v>
      </c>
      <c r="F877" s="33">
        <v>0.116257083340176</v>
      </c>
      <c r="G877" s="33">
        <v>2.9828239922567299</v>
      </c>
      <c r="H877" s="32">
        <v>0.1890252</v>
      </c>
      <c r="I877" s="32">
        <v>0.1890252</v>
      </c>
      <c r="K877">
        <f t="shared" si="26"/>
        <v>1.1625708334017659E-3</v>
      </c>
      <c r="L877">
        <f t="shared" si="27"/>
        <v>1.5122015615902026E-4</v>
      </c>
    </row>
    <row r="878" spans="1:12" x14ac:dyDescent="0.3">
      <c r="A878" s="28">
        <v>44847</v>
      </c>
      <c r="B878" s="29">
        <v>0.18879323365050599</v>
      </c>
      <c r="C878" s="29">
        <v>0.188818186967769</v>
      </c>
      <c r="D878" s="29">
        <v>0.18880569999999999</v>
      </c>
      <c r="E878" s="30">
        <v>1.22889999999986E-4</v>
      </c>
      <c r="F878" s="30">
        <v>6.5130469490037798E-2</v>
      </c>
      <c r="G878" s="30">
        <v>2.8632381917057899</v>
      </c>
      <c r="H878" s="29">
        <v>0.18880569999999999</v>
      </c>
      <c r="I878" s="29">
        <v>0.18880569999999999</v>
      </c>
      <c r="K878">
        <f t="shared" si="26"/>
        <v>6.5130469490037868E-4</v>
      </c>
      <c r="L878">
        <f t="shared" si="27"/>
        <v>1.3216400385695793E-4</v>
      </c>
    </row>
    <row r="879" spans="1:12" x14ac:dyDescent="0.3">
      <c r="A879" s="31">
        <v>44846</v>
      </c>
      <c r="B879" s="32">
        <v>0.18866500641461001</v>
      </c>
      <c r="C879" s="32">
        <v>0.188700607615957</v>
      </c>
      <c r="D879" s="32">
        <v>0.18868281000000001</v>
      </c>
      <c r="E879" s="33">
        <v>-3.0166099999999999E-3</v>
      </c>
      <c r="F879" s="33">
        <v>-1.5736145680566</v>
      </c>
      <c r="G879" s="33">
        <v>2.7962864876980298</v>
      </c>
      <c r="H879" s="32">
        <v>0.18868281000000001</v>
      </c>
      <c r="I879" s="32">
        <v>0.18868281000000001</v>
      </c>
      <c r="K879">
        <f t="shared" si="26"/>
        <v>-1.5736145680566027E-2</v>
      </c>
      <c r="L879">
        <f t="shared" si="27"/>
        <v>1.8868280235486662E-4</v>
      </c>
    </row>
    <row r="880" spans="1:12" x14ac:dyDescent="0.3">
      <c r="A880" s="28">
        <v>44845</v>
      </c>
      <c r="B880" s="29">
        <v>0.19168104274487299</v>
      </c>
      <c r="C880" s="29">
        <v>0.191717791411043</v>
      </c>
      <c r="D880" s="29">
        <v>0.19169942000000001</v>
      </c>
      <c r="E880" s="30">
        <v>-2.7784000000000099E-4</v>
      </c>
      <c r="F880" s="30">
        <v>-0.14472547425669</v>
      </c>
      <c r="G880" s="30">
        <v>4.4397658580850603</v>
      </c>
      <c r="H880" s="29">
        <v>0.19169942000000001</v>
      </c>
      <c r="I880" s="29">
        <v>0.19169942000000001</v>
      </c>
      <c r="K880">
        <f t="shared" si="26"/>
        <v>-1.4472547425669058E-3</v>
      </c>
      <c r="L880">
        <f t="shared" si="27"/>
        <v>1.9169941239264654E-4</v>
      </c>
    </row>
    <row r="881" spans="1:12" x14ac:dyDescent="0.3">
      <c r="A881" s="31">
        <v>44844</v>
      </c>
      <c r="B881" s="32">
        <v>0.191942263767059</v>
      </c>
      <c r="C881" s="32">
        <v>0.19201228878648199</v>
      </c>
      <c r="D881" s="32">
        <v>0.19197726000000001</v>
      </c>
      <c r="E881" s="33">
        <v>1.4912999999999699E-4</v>
      </c>
      <c r="F881" s="33">
        <v>7.77414657589625E-2</v>
      </c>
      <c r="G881" s="33">
        <v>4.5911358755113501</v>
      </c>
      <c r="H881" s="32">
        <v>0.19197726000000001</v>
      </c>
      <c r="I881" s="32">
        <v>0.19197726000000001</v>
      </c>
      <c r="K881">
        <f t="shared" si="26"/>
        <v>7.7741465758962569E-4</v>
      </c>
      <c r="L881">
        <f t="shared" si="27"/>
        <v>3.6475684371676273E-4</v>
      </c>
    </row>
    <row r="882" spans="1:12" x14ac:dyDescent="0.3">
      <c r="A882" s="28">
        <v>44841</v>
      </c>
      <c r="B882" s="29">
        <v>0.19180604572656099</v>
      </c>
      <c r="C882" s="29">
        <v>0.191850203361216</v>
      </c>
      <c r="D882" s="29">
        <v>0.19182813000000001</v>
      </c>
      <c r="E882" s="30">
        <v>-9.9499999999999502E-4</v>
      </c>
      <c r="F882" s="30">
        <v>-0.51601693220102396</v>
      </c>
      <c r="G882" s="30">
        <v>4.5098883564400101</v>
      </c>
      <c r="H882" s="29">
        <v>0.19182813000000001</v>
      </c>
      <c r="I882" s="29">
        <v>0.19182813000000001</v>
      </c>
      <c r="K882">
        <f t="shared" si="26"/>
        <v>-5.160169322010244E-3</v>
      </c>
      <c r="L882">
        <f t="shared" si="27"/>
        <v>2.3019373985980107E-4</v>
      </c>
    </row>
    <row r="883" spans="1:12" x14ac:dyDescent="0.3">
      <c r="A883" s="31">
        <v>44840</v>
      </c>
      <c r="B883" s="32">
        <v>0.192808252193194</v>
      </c>
      <c r="C883" s="32">
        <v>0.19283799679888899</v>
      </c>
      <c r="D883" s="32">
        <v>0.19282313000000001</v>
      </c>
      <c r="E883" s="33">
        <v>1.70258E-3</v>
      </c>
      <c r="F883" s="33">
        <v>0.89084088550395102</v>
      </c>
      <c r="G883" s="33">
        <v>5.0519743316025503</v>
      </c>
      <c r="H883" s="32">
        <v>0.19282313000000001</v>
      </c>
      <c r="I883" s="32">
        <v>0.19282313000000001</v>
      </c>
      <c r="K883">
        <f t="shared" si="26"/>
        <v>8.908408855039518E-3</v>
      </c>
      <c r="L883">
        <f t="shared" si="27"/>
        <v>1.5425849427396171E-4</v>
      </c>
    </row>
    <row r="884" spans="1:12" x14ac:dyDescent="0.3">
      <c r="A884" s="28">
        <v>44839</v>
      </c>
      <c r="B884" s="29">
        <v>0.191073066340569</v>
      </c>
      <c r="C884" s="29">
        <v>0.19116803670426299</v>
      </c>
      <c r="D884" s="29">
        <v>0.19112055</v>
      </c>
      <c r="E884" s="30">
        <v>-3.4338799999999998E-3</v>
      </c>
      <c r="F884" s="30">
        <v>-1.76499707562557</v>
      </c>
      <c r="G884" s="30">
        <v>4.1243916787460204</v>
      </c>
      <c r="H884" s="29">
        <v>0.19112055</v>
      </c>
      <c r="I884" s="29">
        <v>0.19112055</v>
      </c>
      <c r="K884">
        <f t="shared" si="26"/>
        <v>-1.764997075625574E-2</v>
      </c>
      <c r="L884">
        <f t="shared" si="27"/>
        <v>4.969134072395217E-4</v>
      </c>
    </row>
    <row r="885" spans="1:12" x14ac:dyDescent="0.3">
      <c r="A885" s="31">
        <v>44838</v>
      </c>
      <c r="B885" s="32">
        <v>0.19453739008637499</v>
      </c>
      <c r="C885" s="32">
        <v>0.19457145636735099</v>
      </c>
      <c r="D885" s="32">
        <v>0.19455443</v>
      </c>
      <c r="E885" s="33">
        <v>1.66435E-3</v>
      </c>
      <c r="F885" s="33">
        <v>0.86284893448123001</v>
      </c>
      <c r="G885" s="33">
        <v>5.9952039283853802</v>
      </c>
      <c r="H885" s="32">
        <v>0.19455443</v>
      </c>
      <c r="I885" s="32">
        <v>0.19455443</v>
      </c>
      <c r="K885">
        <f t="shared" si="26"/>
        <v>8.6284893448123068E-3</v>
      </c>
      <c r="L885">
        <f t="shared" si="27"/>
        <v>1.7509897346460699E-4</v>
      </c>
    </row>
    <row r="886" spans="1:12" x14ac:dyDescent="0.3">
      <c r="A886" s="28">
        <v>44837</v>
      </c>
      <c r="B886" s="29">
        <v>0.19286403085824499</v>
      </c>
      <c r="C886" s="29">
        <v>0.19291612007099301</v>
      </c>
      <c r="D886" s="29">
        <v>0.19289007999999999</v>
      </c>
      <c r="E886" s="30">
        <v>8.0078999999999793E-3</v>
      </c>
      <c r="F886" s="30">
        <v>4.3313530811893202</v>
      </c>
      <c r="G886" s="30">
        <v>5.0884493627956404</v>
      </c>
      <c r="H886" s="29">
        <v>0.19289007999999999</v>
      </c>
      <c r="I886" s="29">
        <v>0.19289007999999999</v>
      </c>
      <c r="K886">
        <f t="shared" si="26"/>
        <v>4.3313530811893264E-2</v>
      </c>
      <c r="L886">
        <f t="shared" si="27"/>
        <v>2.7004609437674977E-4</v>
      </c>
    </row>
    <row r="887" spans="1:12" x14ac:dyDescent="0.3">
      <c r="A887" s="31">
        <v>44834</v>
      </c>
      <c r="B887" s="32">
        <v>0.18485313418488999</v>
      </c>
      <c r="C887" s="32">
        <v>0.18491124260354999</v>
      </c>
      <c r="D887" s="32">
        <v>0.18488218000000001</v>
      </c>
      <c r="E887" s="33">
        <v>-1.7106000000000001E-4</v>
      </c>
      <c r="F887" s="33">
        <v>-9.2438262631877599E-2</v>
      </c>
      <c r="G887" s="33">
        <v>0.72566516128393599</v>
      </c>
      <c r="H887" s="32">
        <v>0.18488218000000001</v>
      </c>
      <c r="I887" s="32">
        <v>0.18488218000000001</v>
      </c>
      <c r="K887">
        <f t="shared" si="26"/>
        <v>-9.2438262631877599E-4</v>
      </c>
      <c r="L887">
        <f t="shared" si="27"/>
        <v>3.142997267773277E-4</v>
      </c>
    </row>
    <row r="888" spans="1:12" x14ac:dyDescent="0.3">
      <c r="A888" s="28">
        <v>44833</v>
      </c>
      <c r="B888" s="29">
        <v>0.18504126420191699</v>
      </c>
      <c r="C888" s="29">
        <v>0.18506523549551199</v>
      </c>
      <c r="D888" s="29">
        <v>0.18505324000000001</v>
      </c>
      <c r="E888" s="30">
        <v>-1.34873999999998E-3</v>
      </c>
      <c r="F888" s="30">
        <v>-0.72356527543322402</v>
      </c>
      <c r="G888" s="30">
        <v>0.81886036420987196</v>
      </c>
      <c r="H888" s="29">
        <v>0.18505324000000001</v>
      </c>
      <c r="I888" s="29">
        <v>0.18505324000000001</v>
      </c>
      <c r="K888">
        <f t="shared" si="26"/>
        <v>-7.2356527543322446E-3</v>
      </c>
      <c r="L888">
        <f t="shared" si="27"/>
        <v>1.2953728124399859E-4</v>
      </c>
    </row>
    <row r="889" spans="1:12" x14ac:dyDescent="0.3">
      <c r="A889" s="31">
        <v>44832</v>
      </c>
      <c r="B889" s="32">
        <v>0.186393289841566</v>
      </c>
      <c r="C889" s="32">
        <v>0.186410662689906</v>
      </c>
      <c r="D889" s="32">
        <v>0.18640197999999999</v>
      </c>
      <c r="E889" s="33">
        <v>-5.0342999999999905E-4</v>
      </c>
      <c r="F889" s="33">
        <v>-0.26935014882661901</v>
      </c>
      <c r="G889" s="33">
        <v>1.5536674377181401</v>
      </c>
      <c r="H889" s="32">
        <v>0.18640197999999999</v>
      </c>
      <c r="I889" s="32">
        <v>0.18640197999999999</v>
      </c>
      <c r="K889">
        <f t="shared" si="26"/>
        <v>-2.6935014882661923E-3</v>
      </c>
      <c r="L889">
        <f t="shared" si="27"/>
        <v>9.3200986062471451E-5</v>
      </c>
    </row>
    <row r="890" spans="1:12" x14ac:dyDescent="0.3">
      <c r="A890" s="28">
        <v>44831</v>
      </c>
      <c r="B890" s="29">
        <v>0.18689143476554501</v>
      </c>
      <c r="C890" s="29">
        <v>0.186919381670685</v>
      </c>
      <c r="D890" s="29">
        <v>0.18690540999999999</v>
      </c>
      <c r="E890" s="30">
        <v>2.2155999999998101E-4</v>
      </c>
      <c r="F890" s="30">
        <v>0.11868193204713701</v>
      </c>
      <c r="G890" s="30">
        <v>1.82794114874937</v>
      </c>
      <c r="H890" s="29">
        <v>0.18690540999999999</v>
      </c>
      <c r="I890" s="29">
        <v>0.18690540999999999</v>
      </c>
      <c r="K890">
        <f t="shared" si="26"/>
        <v>1.1868193204713773E-3</v>
      </c>
      <c r="L890">
        <f t="shared" si="27"/>
        <v>1.4952432430924097E-4</v>
      </c>
    </row>
    <row r="891" spans="1:12" x14ac:dyDescent="0.3">
      <c r="A891" s="31">
        <v>44830</v>
      </c>
      <c r="B891" s="32">
        <v>0.186668160011947</v>
      </c>
      <c r="C891" s="32">
        <v>0.18669952578320501</v>
      </c>
      <c r="D891" s="32">
        <v>0.18668385000000001</v>
      </c>
      <c r="E891" s="33">
        <v>-4.2031999999999903E-3</v>
      </c>
      <c r="F891" s="33">
        <v>-2.2019304085845501</v>
      </c>
      <c r="G891" s="33">
        <v>1.70723303954635</v>
      </c>
      <c r="H891" s="32">
        <v>0.18668385000000001</v>
      </c>
      <c r="I891" s="32">
        <v>0.18668385000000001</v>
      </c>
      <c r="K891">
        <f t="shared" si="26"/>
        <v>-2.2019304085845515E-2</v>
      </c>
      <c r="L891">
        <f t="shared" si="27"/>
        <v>1.6801545103128804E-4</v>
      </c>
    </row>
    <row r="892" spans="1:12" x14ac:dyDescent="0.3">
      <c r="A892" s="28">
        <v>44827</v>
      </c>
      <c r="B892" s="29">
        <v>0.19086883493663201</v>
      </c>
      <c r="C892" s="29">
        <v>0.19090527280363501</v>
      </c>
      <c r="D892" s="29">
        <v>0.19088705</v>
      </c>
      <c r="E892" s="30">
        <v>-2.0700200000000001E-3</v>
      </c>
      <c r="F892" s="30">
        <v>-1.0727878486131599</v>
      </c>
      <c r="G892" s="30">
        <v>3.99717853784104</v>
      </c>
      <c r="H892" s="29">
        <v>0.19088705</v>
      </c>
      <c r="I892" s="29">
        <v>0.19088705</v>
      </c>
      <c r="K892">
        <f t="shared" si="26"/>
        <v>-1.0727878486131659E-2</v>
      </c>
      <c r="L892">
        <f t="shared" si="27"/>
        <v>1.9088705599985671E-4</v>
      </c>
    </row>
    <row r="893" spans="1:12" x14ac:dyDescent="0.3">
      <c r="A893" s="31">
        <v>44826</v>
      </c>
      <c r="B893" s="32">
        <v>0.19293845263361001</v>
      </c>
      <c r="C893" s="32">
        <v>0.19297568506368201</v>
      </c>
      <c r="D893" s="32">
        <v>0.19295707000000001</v>
      </c>
      <c r="E893" s="33">
        <v>-1.30299999999972E-5</v>
      </c>
      <c r="F893" s="33">
        <v>-6.7523414249093198E-3</v>
      </c>
      <c r="G893" s="33">
        <v>5.1249461863897601</v>
      </c>
      <c r="H893" s="32">
        <v>0.19295707000000001</v>
      </c>
      <c r="I893" s="32">
        <v>0.19295707000000001</v>
      </c>
      <c r="K893">
        <f t="shared" si="26"/>
        <v>-6.752341424909325E-5</v>
      </c>
      <c r="L893">
        <f t="shared" si="27"/>
        <v>1.9295706590074125E-4</v>
      </c>
    </row>
    <row r="894" spans="1:12" x14ac:dyDescent="0.3">
      <c r="A894" s="28">
        <v>44825</v>
      </c>
      <c r="B894" s="29">
        <v>0.192949620853995</v>
      </c>
      <c r="C894" s="29">
        <v>0.19299058205959499</v>
      </c>
      <c r="D894" s="29">
        <v>0.19297010000000001</v>
      </c>
      <c r="E894" s="30">
        <v>-5.30229999999992E-4</v>
      </c>
      <c r="F894" s="30">
        <v>-0.27402020451334702</v>
      </c>
      <c r="G894" s="30">
        <v>5.1320450610192703</v>
      </c>
      <c r="H894" s="29">
        <v>0.19297010000000001</v>
      </c>
      <c r="I894" s="29">
        <v>0.19297010000000001</v>
      </c>
      <c r="K894">
        <f t="shared" si="26"/>
        <v>-2.7402020451334774E-3</v>
      </c>
      <c r="L894">
        <f t="shared" si="27"/>
        <v>2.1226711081140292E-4</v>
      </c>
    </row>
    <row r="895" spans="1:12" x14ac:dyDescent="0.3">
      <c r="A895" s="31">
        <v>44824</v>
      </c>
      <c r="B895" s="32">
        <v>0.193479732997968</v>
      </c>
      <c r="C895" s="32">
        <v>0.19352091961140999</v>
      </c>
      <c r="D895" s="32">
        <v>0.19350033</v>
      </c>
      <c r="E895" s="33">
        <v>1.92027E-3</v>
      </c>
      <c r="F895" s="33">
        <v>1.0023329150225799</v>
      </c>
      <c r="G895" s="33">
        <v>5.4209196807282503</v>
      </c>
      <c r="H895" s="32">
        <v>0.19350033</v>
      </c>
      <c r="I895" s="32">
        <v>0.19350033</v>
      </c>
      <c r="K895">
        <f t="shared" si="26"/>
        <v>1.0023329150225857E-2</v>
      </c>
      <c r="L895">
        <f t="shared" si="27"/>
        <v>2.1285035246188086E-4</v>
      </c>
    </row>
    <row r="896" spans="1:12" x14ac:dyDescent="0.3">
      <c r="A896" s="28">
        <v>44823</v>
      </c>
      <c r="B896" s="29">
        <v>0.19155987203800501</v>
      </c>
      <c r="C896" s="29">
        <v>0.19160024524831401</v>
      </c>
      <c r="D896" s="29">
        <v>0.19158006</v>
      </c>
      <c r="E896" s="30">
        <v>1.8609299999999801E-3</v>
      </c>
      <c r="F896" s="30">
        <v>0.98088685099915196</v>
      </c>
      <c r="G896" s="30">
        <v>4.3747373334665598</v>
      </c>
      <c r="H896" s="29">
        <v>0.19158006</v>
      </c>
      <c r="I896" s="29">
        <v>0.19158006</v>
      </c>
      <c r="K896">
        <f t="shared" si="26"/>
        <v>9.8088685099915196E-3</v>
      </c>
      <c r="L896">
        <f t="shared" si="27"/>
        <v>2.1073806067814496E-4</v>
      </c>
    </row>
    <row r="897" spans="1:12" x14ac:dyDescent="0.3">
      <c r="A897" s="31">
        <v>44820</v>
      </c>
      <c r="B897" s="32">
        <v>0.18968133535660101</v>
      </c>
      <c r="C897" s="32">
        <v>0.18975692138370701</v>
      </c>
      <c r="D897" s="32">
        <v>0.18971913000000001</v>
      </c>
      <c r="E897" s="33">
        <v>-1.5110499999999799E-3</v>
      </c>
      <c r="F897" s="33">
        <v>-0.79017339208695603</v>
      </c>
      <c r="G897" s="33">
        <v>3.3608840131055202</v>
      </c>
      <c r="H897" s="32">
        <v>0.18971913000000001</v>
      </c>
      <c r="I897" s="32">
        <v>0.18971913000000001</v>
      </c>
      <c r="K897">
        <f t="shared" si="26"/>
        <v>-7.9017339208695692E-3</v>
      </c>
      <c r="L897">
        <f t="shared" si="27"/>
        <v>3.9841015034172082E-4</v>
      </c>
    </row>
    <row r="898" spans="1:12" x14ac:dyDescent="0.3">
      <c r="A898" s="28">
        <v>44819</v>
      </c>
      <c r="B898" s="29">
        <v>0.19121190102871999</v>
      </c>
      <c r="C898" s="29">
        <v>0.19124847001223999</v>
      </c>
      <c r="D898" s="29">
        <v>0.19123018</v>
      </c>
      <c r="E898" s="30">
        <v>-2.0550899999999999E-3</v>
      </c>
      <c r="F898" s="30">
        <v>-1.06324191181252</v>
      </c>
      <c r="G898" s="30">
        <v>4.1841192018184499</v>
      </c>
      <c r="H898" s="29">
        <v>0.19123018</v>
      </c>
      <c r="I898" s="29">
        <v>0.19123018</v>
      </c>
      <c r="K898">
        <f t="shared" si="26"/>
        <v>-1.0632419118125291E-2</v>
      </c>
      <c r="L898">
        <f t="shared" si="27"/>
        <v>1.9123018929335453E-4</v>
      </c>
    </row>
    <row r="899" spans="1:12" x14ac:dyDescent="0.3">
      <c r="A899" s="31">
        <v>44818</v>
      </c>
      <c r="B899" s="32">
        <v>0.19326285681154901</v>
      </c>
      <c r="C899" s="32">
        <v>0.19330768784674601</v>
      </c>
      <c r="D899" s="32">
        <v>0.19328527000000001</v>
      </c>
      <c r="E899" s="33">
        <v>-3.4244999999999399E-4</v>
      </c>
      <c r="F899" s="33">
        <v>-0.17686000744108199</v>
      </c>
      <c r="G899" s="33">
        <v>5.3037528366896103</v>
      </c>
      <c r="H899" s="32">
        <v>0.19328527000000001</v>
      </c>
      <c r="I899" s="32">
        <v>0.19328527000000001</v>
      </c>
      <c r="K899">
        <f t="shared" si="26"/>
        <v>-1.7686000744108199E-3</v>
      </c>
      <c r="L899">
        <f t="shared" si="27"/>
        <v>2.3194232647426858E-4</v>
      </c>
    </row>
    <row r="900" spans="1:12" x14ac:dyDescent="0.3">
      <c r="A900" s="28">
        <v>44817</v>
      </c>
      <c r="B900" s="29">
        <v>0.19360709376391599</v>
      </c>
      <c r="C900" s="29">
        <v>0.19364833462432199</v>
      </c>
      <c r="D900" s="29">
        <v>0.19362772</v>
      </c>
      <c r="E900" s="30">
        <v>-1.5323100000000001E-3</v>
      </c>
      <c r="F900" s="30">
        <v>-0.78515564893077905</v>
      </c>
      <c r="G900" s="30">
        <v>5.4903230298498196</v>
      </c>
      <c r="H900" s="29">
        <v>0.19362772</v>
      </c>
      <c r="I900" s="29">
        <v>0.19362772</v>
      </c>
      <c r="K900">
        <f t="shared" si="26"/>
        <v>-7.8515564893077983E-3</v>
      </c>
      <c r="L900">
        <f t="shared" si="27"/>
        <v>2.129904768077339E-4</v>
      </c>
    </row>
    <row r="901" spans="1:12" x14ac:dyDescent="0.3">
      <c r="A901" s="31">
        <v>44816</v>
      </c>
      <c r="B901" s="32">
        <v>0.19513718143855099</v>
      </c>
      <c r="C901" s="32">
        <v>0.19518288636452399</v>
      </c>
      <c r="D901" s="32">
        <v>0.19516003000000001</v>
      </c>
      <c r="E901" s="33">
        <v>9.5321000000000902E-4</v>
      </c>
      <c r="F901" s="33">
        <v>0.49082210398172499</v>
      </c>
      <c r="G901" s="33">
        <v>6.3251408797003998</v>
      </c>
      <c r="H901" s="32">
        <v>0.19516003000000001</v>
      </c>
      <c r="I901" s="32">
        <v>0.19516003000000001</v>
      </c>
      <c r="K901">
        <f t="shared" ref="K901:K964" si="28">D901/D902-1</f>
        <v>4.908221039817251E-3</v>
      </c>
      <c r="L901">
        <f t="shared" ref="L901:L964" si="29">(C901-B901)/D901</f>
        <v>2.3419204215637925E-4</v>
      </c>
    </row>
    <row r="902" spans="1:12" x14ac:dyDescent="0.3">
      <c r="A902" s="28">
        <v>44813</v>
      </c>
      <c r="B902" s="29">
        <v>0.19418606909140301</v>
      </c>
      <c r="C902" s="29">
        <v>0.194227557005788</v>
      </c>
      <c r="D902" s="29">
        <v>0.19420682</v>
      </c>
      <c r="E902" s="30">
        <v>2.6708000000000001E-3</v>
      </c>
      <c r="F902" s="30">
        <v>1.3944113488418599</v>
      </c>
      <c r="G902" s="30">
        <v>5.8058225154946701</v>
      </c>
      <c r="H902" s="29">
        <v>0.19420682</v>
      </c>
      <c r="I902" s="29">
        <v>0.19420682</v>
      </c>
      <c r="K902">
        <f t="shared" si="28"/>
        <v>1.3944113488418619E-2</v>
      </c>
      <c r="L902">
        <f t="shared" si="29"/>
        <v>2.1362748427161882E-4</v>
      </c>
    </row>
    <row r="903" spans="1:12" x14ac:dyDescent="0.3">
      <c r="A903" s="31">
        <v>44812</v>
      </c>
      <c r="B903" s="32">
        <v>0.19150484507258</v>
      </c>
      <c r="C903" s="32">
        <v>0.19156721135610399</v>
      </c>
      <c r="D903" s="32">
        <v>0.19153602</v>
      </c>
      <c r="E903" s="33">
        <v>1.0035700000000001E-3</v>
      </c>
      <c r="F903" s="33">
        <v>0.52671867705476005</v>
      </c>
      <c r="G903" s="33">
        <v>4.3507438999528301</v>
      </c>
      <c r="H903" s="32">
        <v>0.19153602</v>
      </c>
      <c r="I903" s="32">
        <v>0.19153602</v>
      </c>
      <c r="K903">
        <f t="shared" si="28"/>
        <v>5.267186770547605E-3</v>
      </c>
      <c r="L903">
        <f t="shared" si="29"/>
        <v>3.2561125329841459E-4</v>
      </c>
    </row>
    <row r="904" spans="1:12" x14ac:dyDescent="0.3">
      <c r="A904" s="28">
        <v>44811</v>
      </c>
      <c r="B904" s="29">
        <v>0.190516108136943</v>
      </c>
      <c r="C904" s="29">
        <v>0.19054878048780499</v>
      </c>
      <c r="D904" s="29">
        <v>0.19053244999999999</v>
      </c>
      <c r="E904" s="30">
        <v>-7.2883000000001298E-4</v>
      </c>
      <c r="F904" s="30">
        <v>-0.381065106329947</v>
      </c>
      <c r="G904" s="30">
        <v>3.8039889028735598</v>
      </c>
      <c r="H904" s="29">
        <v>0.19053244999999999</v>
      </c>
      <c r="I904" s="29">
        <v>0.19053244999999999</v>
      </c>
      <c r="K904">
        <f t="shared" si="28"/>
        <v>-3.810651063299475E-3</v>
      </c>
      <c r="L904">
        <f t="shared" si="29"/>
        <v>1.7147919350215526E-4</v>
      </c>
    </row>
    <row r="905" spans="1:12" x14ac:dyDescent="0.3">
      <c r="A905" s="31">
        <v>44810</v>
      </c>
      <c r="B905" s="32">
        <v>0.19123749784857799</v>
      </c>
      <c r="C905" s="32">
        <v>0.19128505298595999</v>
      </c>
      <c r="D905" s="32">
        <v>0.19126128000000001</v>
      </c>
      <c r="E905" s="33">
        <v>-2.1492199999999999E-3</v>
      </c>
      <c r="F905" s="33">
        <v>-1.11122198639681</v>
      </c>
      <c r="G905" s="33">
        <v>4.2010627936049403</v>
      </c>
      <c r="H905" s="32">
        <v>0.19126128000000001</v>
      </c>
      <c r="I905" s="32">
        <v>0.19126128000000001</v>
      </c>
      <c r="K905">
        <f t="shared" si="28"/>
        <v>-1.1112219863968154E-2</v>
      </c>
      <c r="L905">
        <f t="shared" si="29"/>
        <v>2.486396482445341E-4</v>
      </c>
    </row>
    <row r="906" spans="1:12" x14ac:dyDescent="0.3">
      <c r="A906" s="28">
        <v>44809</v>
      </c>
      <c r="B906" s="29">
        <v>0.19337497341094101</v>
      </c>
      <c r="C906" s="29">
        <v>0.19344604789724101</v>
      </c>
      <c r="D906" s="29">
        <v>0.19341050000000001</v>
      </c>
      <c r="E906" s="30">
        <v>3.3049000000001601E-4</v>
      </c>
      <c r="F906" s="30">
        <v>0.17116738288962499</v>
      </c>
      <c r="G906" s="30">
        <v>5.3719793961565498</v>
      </c>
      <c r="H906" s="29">
        <v>0.19341050000000001</v>
      </c>
      <c r="I906" s="29">
        <v>0.19341050000000001</v>
      </c>
      <c r="K906">
        <f t="shared" si="28"/>
        <v>1.7116738288962541E-3</v>
      </c>
      <c r="L906">
        <f t="shared" si="29"/>
        <v>3.6747997807773912E-4</v>
      </c>
    </row>
    <row r="907" spans="1:12" x14ac:dyDescent="0.3">
      <c r="A907" s="31">
        <v>44806</v>
      </c>
      <c r="B907" s="32">
        <v>0.193053919959845</v>
      </c>
      <c r="C907" s="32">
        <v>0.19310611180843901</v>
      </c>
      <c r="D907" s="32">
        <v>0.19308001</v>
      </c>
      <c r="E907" s="33">
        <v>1.30521999999999E-3</v>
      </c>
      <c r="F907" s="33">
        <v>0.68060040634121399</v>
      </c>
      <c r="G907" s="33">
        <v>5.1919251308987802</v>
      </c>
      <c r="H907" s="32">
        <v>0.19308001</v>
      </c>
      <c r="I907" s="32">
        <v>0.19308001</v>
      </c>
      <c r="K907">
        <f t="shared" si="28"/>
        <v>6.806004063412141E-3</v>
      </c>
      <c r="L907">
        <f t="shared" si="29"/>
        <v>2.7031202553805343E-4</v>
      </c>
    </row>
    <row r="908" spans="1:12" x14ac:dyDescent="0.3">
      <c r="A908" s="28">
        <v>44805</v>
      </c>
      <c r="B908" s="29">
        <v>0.19175455417066201</v>
      </c>
      <c r="C908" s="29">
        <v>0.191795009493853</v>
      </c>
      <c r="D908" s="29">
        <v>0.19177479</v>
      </c>
      <c r="E908" s="30">
        <v>-1.23813E-3</v>
      </c>
      <c r="F908" s="30">
        <v>-0.64147519243790097</v>
      </c>
      <c r="G908" s="30">
        <v>4.4808281896910902</v>
      </c>
      <c r="H908" s="29">
        <v>0.19177479</v>
      </c>
      <c r="I908" s="29">
        <v>0.19177479</v>
      </c>
      <c r="K908">
        <f t="shared" si="28"/>
        <v>-6.4147519243790141E-3</v>
      </c>
      <c r="L908">
        <f t="shared" si="29"/>
        <v>2.109522486818864E-4</v>
      </c>
    </row>
    <row r="909" spans="1:12" x14ac:dyDescent="0.3">
      <c r="A909" s="31">
        <v>44804</v>
      </c>
      <c r="B909" s="32">
        <v>0.19300175631598199</v>
      </c>
      <c r="C909" s="32">
        <v>0.19302410871117801</v>
      </c>
      <c r="D909" s="32">
        <v>0.19301292</v>
      </c>
      <c r="E909" s="33">
        <v>-4.4165399999999896E-3</v>
      </c>
      <c r="F909" s="33">
        <v>-2.2370217696994099</v>
      </c>
      <c r="G909" s="33">
        <v>5.1553738263021502</v>
      </c>
      <c r="H909" s="32">
        <v>0.19301292</v>
      </c>
      <c r="I909" s="32">
        <v>0.19301292</v>
      </c>
      <c r="K909">
        <f t="shared" si="28"/>
        <v>-2.2370217696994099E-2</v>
      </c>
      <c r="L909">
        <f t="shared" si="29"/>
        <v>1.1580776663043106E-4</v>
      </c>
    </row>
    <row r="910" spans="1:12" x14ac:dyDescent="0.3">
      <c r="A910" s="28">
        <v>44803</v>
      </c>
      <c r="B910" s="29">
        <v>0.19739439399920999</v>
      </c>
      <c r="C910" s="29">
        <v>0.197464555112357</v>
      </c>
      <c r="D910" s="29">
        <v>0.19742946</v>
      </c>
      <c r="E910" s="30">
        <v>-8.7503999999999295E-4</v>
      </c>
      <c r="F910" s="30">
        <v>-0.44126078833308602</v>
      </c>
      <c r="G910" s="30">
        <v>7.5615490953919897</v>
      </c>
      <c r="H910" s="29">
        <v>0.19742946</v>
      </c>
      <c r="I910" s="29">
        <v>0.19742946</v>
      </c>
      <c r="K910">
        <f t="shared" si="28"/>
        <v>-4.4126078833308657E-3</v>
      </c>
      <c r="L910">
        <f t="shared" si="29"/>
        <v>3.5537306918129034E-4</v>
      </c>
    </row>
    <row r="911" spans="1:12" x14ac:dyDescent="0.3">
      <c r="A911" s="31">
        <v>44802</v>
      </c>
      <c r="B911" s="32">
        <v>0.19828287034283101</v>
      </c>
      <c r="C911" s="32">
        <v>0.198326127484035</v>
      </c>
      <c r="D911" s="32">
        <v>0.19830449999999999</v>
      </c>
      <c r="E911" s="33">
        <v>1.40759999999998E-3</v>
      </c>
      <c r="F911" s="33">
        <v>0.71489190535756197</v>
      </c>
      <c r="G911" s="33">
        <v>8.0382796599208692</v>
      </c>
      <c r="H911" s="32">
        <v>0.19830449999999999</v>
      </c>
      <c r="I911" s="32">
        <v>0.19830449999999999</v>
      </c>
      <c r="K911">
        <f t="shared" si="28"/>
        <v>7.1489190535756197E-3</v>
      </c>
      <c r="L911">
        <f t="shared" si="29"/>
        <v>2.1813494501629534E-4</v>
      </c>
    </row>
    <row r="912" spans="1:12" x14ac:dyDescent="0.3">
      <c r="A912" s="28">
        <v>44799</v>
      </c>
      <c r="B912" s="29">
        <v>0.19686977064671701</v>
      </c>
      <c r="C912" s="29">
        <v>0.196924046395305</v>
      </c>
      <c r="D912" s="29">
        <v>0.19689690000000001</v>
      </c>
      <c r="E912" s="30">
        <v>9.2605000000001104E-4</v>
      </c>
      <c r="F912" s="30">
        <v>0.47254476877556201</v>
      </c>
      <c r="G912" s="30">
        <v>7.2714050683240901</v>
      </c>
      <c r="H912" s="29">
        <v>0.19689690000000001</v>
      </c>
      <c r="I912" s="29">
        <v>0.19689690000000001</v>
      </c>
      <c r="K912">
        <f t="shared" si="28"/>
        <v>4.725447687755624E-3</v>
      </c>
      <c r="L912">
        <f t="shared" si="29"/>
        <v>2.7565567862160181E-4</v>
      </c>
    </row>
    <row r="913" spans="1:12" x14ac:dyDescent="0.3">
      <c r="A913" s="31">
        <v>44798</v>
      </c>
      <c r="B913" s="32">
        <v>0.19595931884540799</v>
      </c>
      <c r="C913" s="32">
        <v>0.19598236158745699</v>
      </c>
      <c r="D913" s="32">
        <v>0.19597085</v>
      </c>
      <c r="E913" s="33">
        <v>-1.7269999999985901E-5</v>
      </c>
      <c r="F913" s="33">
        <v>-8.8117585902547299E-3</v>
      </c>
      <c r="G913" s="33">
        <v>6.7668837444052103</v>
      </c>
      <c r="H913" s="32">
        <v>0.19597085</v>
      </c>
      <c r="I913" s="32">
        <v>0.19597085</v>
      </c>
      <c r="K913">
        <f t="shared" si="28"/>
        <v>-8.8117585902547368E-5</v>
      </c>
      <c r="L913">
        <f t="shared" si="29"/>
        <v>1.1758249785111648E-4</v>
      </c>
    </row>
    <row r="914" spans="1:12" x14ac:dyDescent="0.3">
      <c r="A914" s="28">
        <v>44797</v>
      </c>
      <c r="B914" s="29">
        <v>0.19595163913546099</v>
      </c>
      <c r="C914" s="29">
        <v>0.19602462069235899</v>
      </c>
      <c r="D914" s="29">
        <v>0.19598811999999999</v>
      </c>
      <c r="E914" s="30">
        <v>-4.8710000000001802E-4</v>
      </c>
      <c r="F914" s="30">
        <v>-0.24791930504010001</v>
      </c>
      <c r="G914" s="30">
        <v>6.7762926135419503</v>
      </c>
      <c r="H914" s="29">
        <v>0.19598811999999999</v>
      </c>
      <c r="I914" s="29">
        <v>0.19598811999999999</v>
      </c>
      <c r="K914">
        <f t="shared" si="28"/>
        <v>-2.4791930504010073E-3</v>
      </c>
      <c r="L914">
        <f t="shared" si="29"/>
        <v>3.7237745276601296E-4</v>
      </c>
    </row>
    <row r="915" spans="1:12" x14ac:dyDescent="0.3">
      <c r="A915" s="31">
        <v>44796</v>
      </c>
      <c r="B915" s="32">
        <v>0.196440498173103</v>
      </c>
      <c r="C915" s="32">
        <v>0.196509982707122</v>
      </c>
      <c r="D915" s="32">
        <v>0.19647522000000001</v>
      </c>
      <c r="E915" s="33">
        <v>3.6874099999999999E-3</v>
      </c>
      <c r="F915" s="33">
        <v>1.91267798519003</v>
      </c>
      <c r="G915" s="33">
        <v>7.0416695768602198</v>
      </c>
      <c r="H915" s="32">
        <v>0.19647522000000001</v>
      </c>
      <c r="I915" s="32">
        <v>0.19647522000000001</v>
      </c>
      <c r="K915">
        <f t="shared" si="28"/>
        <v>1.9126779851900366E-2</v>
      </c>
      <c r="L915">
        <f t="shared" si="29"/>
        <v>3.5365545853061888E-4</v>
      </c>
    </row>
    <row r="916" spans="1:12" x14ac:dyDescent="0.3">
      <c r="A916" s="28">
        <v>44795</v>
      </c>
      <c r="B916" s="29">
        <v>0.192763652485687</v>
      </c>
      <c r="C916" s="29">
        <v>0.19281196976708301</v>
      </c>
      <c r="D916" s="29">
        <v>0.19278781</v>
      </c>
      <c r="E916" s="30">
        <v>7.8659000000000302E-4</v>
      </c>
      <c r="F916" s="30">
        <v>0.40967968849365799</v>
      </c>
      <c r="G916" s="30">
        <v>5.0327316415093399</v>
      </c>
      <c r="H916" s="29">
        <v>0.19278781</v>
      </c>
      <c r="I916" s="29">
        <v>0.19278781</v>
      </c>
      <c r="K916">
        <f t="shared" si="28"/>
        <v>4.0967968849365821E-3</v>
      </c>
      <c r="L916">
        <f t="shared" si="29"/>
        <v>2.5062415199389302E-4</v>
      </c>
    </row>
    <row r="917" spans="1:12" x14ac:dyDescent="0.3">
      <c r="A917" s="31">
        <v>44792</v>
      </c>
      <c r="B917" s="32">
        <v>0.191982798341269</v>
      </c>
      <c r="C917" s="32">
        <v>0.19201966281347199</v>
      </c>
      <c r="D917" s="32">
        <v>0.19200122</v>
      </c>
      <c r="E917" s="33">
        <v>-1.2747100000000101E-3</v>
      </c>
      <c r="F917" s="33">
        <v>-0.65952858175356499</v>
      </c>
      <c r="G917" s="33">
        <v>4.6041895237172703</v>
      </c>
      <c r="H917" s="32">
        <v>0.19200122</v>
      </c>
      <c r="I917" s="32">
        <v>0.19200122</v>
      </c>
      <c r="K917">
        <f t="shared" si="28"/>
        <v>-6.5952858175356566E-3</v>
      </c>
      <c r="L917">
        <f t="shared" si="29"/>
        <v>1.9200123938273149E-4</v>
      </c>
    </row>
    <row r="918" spans="1:12" x14ac:dyDescent="0.3">
      <c r="A918" s="28">
        <v>44791</v>
      </c>
      <c r="B918" s="29">
        <v>0.19325538699391201</v>
      </c>
      <c r="C918" s="29">
        <v>0.193296478138168</v>
      </c>
      <c r="D918" s="29">
        <v>0.19327593000000001</v>
      </c>
      <c r="E918" s="30">
        <v>-1.5140999999998999E-4</v>
      </c>
      <c r="F918" s="30">
        <v>-7.82774555034393E-2</v>
      </c>
      <c r="G918" s="30">
        <v>5.2986643110534102</v>
      </c>
      <c r="H918" s="29">
        <v>0.19327593000000001</v>
      </c>
      <c r="I918" s="29">
        <v>0.19327593000000001</v>
      </c>
      <c r="K918">
        <f t="shared" si="28"/>
        <v>-7.8277455503439342E-4</v>
      </c>
      <c r="L918">
        <f t="shared" si="29"/>
        <v>2.1260352624348589E-4</v>
      </c>
    </row>
    <row r="919" spans="1:12" x14ac:dyDescent="0.3">
      <c r="A919" s="31">
        <v>44790</v>
      </c>
      <c r="B919" s="32">
        <v>0.19341237452372201</v>
      </c>
      <c r="C919" s="32">
        <v>0.193442305832285</v>
      </c>
      <c r="D919" s="32">
        <v>0.19342734</v>
      </c>
      <c r="E919" s="33">
        <v>-7.5871999999998997E-4</v>
      </c>
      <c r="F919" s="33">
        <v>-0.39071805669262899</v>
      </c>
      <c r="G919" s="33">
        <v>5.3811539969824098</v>
      </c>
      <c r="H919" s="32">
        <v>0.19342734</v>
      </c>
      <c r="I919" s="32">
        <v>0.19342734</v>
      </c>
      <c r="K919">
        <f t="shared" si="28"/>
        <v>-3.9071805669262938E-3</v>
      </c>
      <c r="L919">
        <f t="shared" si="29"/>
        <v>1.5474187135588761E-4</v>
      </c>
    </row>
    <row r="920" spans="1:12" x14ac:dyDescent="0.3">
      <c r="A920" s="28">
        <v>44789</v>
      </c>
      <c r="B920" s="29">
        <v>0.194163446789507</v>
      </c>
      <c r="C920" s="29">
        <v>0.194208696665437</v>
      </c>
      <c r="D920" s="29">
        <v>0.19418605999999999</v>
      </c>
      <c r="E920" s="30">
        <v>-2.21586000000001E-3</v>
      </c>
      <c r="F920" s="30">
        <v>-1.12822725969278</v>
      </c>
      <c r="G920" s="30">
        <v>5.7945122593696698</v>
      </c>
      <c r="H920" s="29">
        <v>0.19418605999999999</v>
      </c>
      <c r="I920" s="29">
        <v>0.19418605999999999</v>
      </c>
      <c r="K920">
        <f t="shared" si="28"/>
        <v>-1.1282272596927823E-2</v>
      </c>
      <c r="L920">
        <f t="shared" si="29"/>
        <v>2.3302329698636666E-4</v>
      </c>
    </row>
    <row r="921" spans="1:12" x14ac:dyDescent="0.3">
      <c r="A921" s="31">
        <v>44788</v>
      </c>
      <c r="B921" s="32">
        <v>0.196378775381957</v>
      </c>
      <c r="C921" s="32">
        <v>0.19642506383814601</v>
      </c>
      <c r="D921" s="32">
        <v>0.19640192000000001</v>
      </c>
      <c r="E921" s="33">
        <v>5.5920000000014799E-5</v>
      </c>
      <c r="F921" s="33">
        <v>2.8480335733860301E-2</v>
      </c>
      <c r="G921" s="33">
        <v>7.0017350020065399</v>
      </c>
      <c r="H921" s="32">
        <v>0.19640192000000001</v>
      </c>
      <c r="I921" s="32">
        <v>0.19640192000000001</v>
      </c>
      <c r="K921">
        <f t="shared" si="28"/>
        <v>2.8480335733860329E-4</v>
      </c>
      <c r="L921">
        <f t="shared" si="29"/>
        <v>2.356822997912071E-4</v>
      </c>
    </row>
    <row r="922" spans="1:12" x14ac:dyDescent="0.3">
      <c r="A922" s="28">
        <v>44785</v>
      </c>
      <c r="B922" s="29">
        <v>0.19632865416707601</v>
      </c>
      <c r="C922" s="29">
        <v>0.19636335074421701</v>
      </c>
      <c r="D922" s="29">
        <v>0.19634599999999999</v>
      </c>
      <c r="E922" s="30">
        <v>1.7631999999999899E-3</v>
      </c>
      <c r="F922" s="30">
        <v>0.90614381127211896</v>
      </c>
      <c r="G922" s="30">
        <v>6.9712692253923798</v>
      </c>
      <c r="H922" s="29">
        <v>0.19634599999999999</v>
      </c>
      <c r="I922" s="29">
        <v>0.19634599999999999</v>
      </c>
      <c r="K922">
        <f t="shared" si="28"/>
        <v>9.0614381127211985E-3</v>
      </c>
      <c r="L922">
        <f t="shared" si="29"/>
        <v>1.7671140303852578E-4</v>
      </c>
    </row>
    <row r="923" spans="1:12" x14ac:dyDescent="0.3">
      <c r="A923" s="31">
        <v>44784</v>
      </c>
      <c r="B923" s="32">
        <v>0.194556314325181</v>
      </c>
      <c r="C923" s="32">
        <v>0.19460932178651399</v>
      </c>
      <c r="D923" s="32">
        <v>0.1945828</v>
      </c>
      <c r="E923" s="33">
        <v>-3.4840600000000102E-3</v>
      </c>
      <c r="F923" s="33">
        <v>-1.75903227829229</v>
      </c>
      <c r="G923" s="33">
        <v>6.0106601888028299</v>
      </c>
      <c r="H923" s="32">
        <v>0.1945828</v>
      </c>
      <c r="I923" s="32">
        <v>0.1945828</v>
      </c>
      <c r="K923">
        <f t="shared" si="28"/>
        <v>-1.759032278292294E-2</v>
      </c>
      <c r="L923">
        <f t="shared" si="29"/>
        <v>2.7241596550668093E-4</v>
      </c>
    </row>
    <row r="924" spans="1:12" x14ac:dyDescent="0.3">
      <c r="A924" s="28">
        <v>44783</v>
      </c>
      <c r="B924" s="29">
        <v>0.19805509892852199</v>
      </c>
      <c r="C924" s="29">
        <v>0.19807863721897601</v>
      </c>
      <c r="D924" s="29">
        <v>0.19806686000000001</v>
      </c>
      <c r="E924" s="30">
        <v>3.19586000000002E-3</v>
      </c>
      <c r="F924" s="30">
        <v>1.6399874788963</v>
      </c>
      <c r="G924" s="30">
        <v>7.9088110055112004</v>
      </c>
      <c r="H924" s="29">
        <v>0.19806686000000001</v>
      </c>
      <c r="I924" s="29">
        <v>0.19806686000000001</v>
      </c>
      <c r="K924">
        <f t="shared" si="28"/>
        <v>1.6399874788963098E-2</v>
      </c>
      <c r="L924">
        <f t="shared" si="29"/>
        <v>1.1884012526886914E-4</v>
      </c>
    </row>
    <row r="925" spans="1:12" x14ac:dyDescent="0.3">
      <c r="A925" s="31">
        <v>44782</v>
      </c>
      <c r="B925" s="32">
        <v>0.194852009898482</v>
      </c>
      <c r="C925" s="32">
        <v>0.194889984603691</v>
      </c>
      <c r="D925" s="32">
        <v>0.19487099999999999</v>
      </c>
      <c r="E925" s="33">
        <v>-1.5012000000000299E-4</v>
      </c>
      <c r="F925" s="33">
        <v>-7.6976278261553496E-2</v>
      </c>
      <c r="G925" s="33">
        <v>6.1676744380911099</v>
      </c>
      <c r="H925" s="32">
        <v>0.19487099999999999</v>
      </c>
      <c r="I925" s="32">
        <v>0.19487099999999999</v>
      </c>
      <c r="K925">
        <f t="shared" si="28"/>
        <v>-7.697627826155351E-4</v>
      </c>
      <c r="L925">
        <f t="shared" si="29"/>
        <v>1.9487099265154119E-4</v>
      </c>
    </row>
    <row r="926" spans="1:12" x14ac:dyDescent="0.3">
      <c r="A926" s="28">
        <v>44781</v>
      </c>
      <c r="B926" s="29">
        <v>0.195000195000195</v>
      </c>
      <c r="C926" s="29">
        <v>0.195042031557801</v>
      </c>
      <c r="D926" s="29">
        <v>0.19502111999999999</v>
      </c>
      <c r="E926" s="30">
        <v>2.3113299999999999E-3</v>
      </c>
      <c r="F926" s="30">
        <v>1.19938379881998</v>
      </c>
      <c r="G926" s="30">
        <v>6.2494613190874997</v>
      </c>
      <c r="H926" s="29">
        <v>0.19502111999999999</v>
      </c>
      <c r="I926" s="29">
        <v>0.19502111999999999</v>
      </c>
      <c r="K926">
        <f t="shared" si="28"/>
        <v>1.1993837988199862E-2</v>
      </c>
      <c r="L926">
        <f t="shared" si="29"/>
        <v>2.1452321474723591E-4</v>
      </c>
    </row>
    <row r="927" spans="1:12" x14ac:dyDescent="0.3">
      <c r="A927" s="31">
        <v>44778</v>
      </c>
      <c r="B927" s="32">
        <v>0.19268936547391899</v>
      </c>
      <c r="C927" s="32">
        <v>0.192730216243303</v>
      </c>
      <c r="D927" s="32">
        <v>0.19270978999999999</v>
      </c>
      <c r="E927" s="33">
        <v>2.2354099999999902E-3</v>
      </c>
      <c r="F927" s="33">
        <v>1.1736014050813499</v>
      </c>
      <c r="G927" s="33">
        <v>4.9902255633362902</v>
      </c>
      <c r="H927" s="32">
        <v>0.19270978999999999</v>
      </c>
      <c r="I927" s="32">
        <v>0.19270978999999999</v>
      </c>
      <c r="K927">
        <f t="shared" si="28"/>
        <v>1.1736014050813592E-2</v>
      </c>
      <c r="L927">
        <f t="shared" si="29"/>
        <v>2.1198076851212328E-4</v>
      </c>
    </row>
    <row r="928" spans="1:12" x14ac:dyDescent="0.3">
      <c r="A928" s="28">
        <v>44777</v>
      </c>
      <c r="B928" s="29">
        <v>0.19044716995505401</v>
      </c>
      <c r="C928" s="29">
        <v>0.19050159068828201</v>
      </c>
      <c r="D928" s="29">
        <v>0.19047438</v>
      </c>
      <c r="E928" s="30">
        <v>1.7969099999999799E-3</v>
      </c>
      <c r="F928" s="30">
        <v>0.95237126086118395</v>
      </c>
      <c r="G928" s="30">
        <v>3.7723517847050299</v>
      </c>
      <c r="H928" s="29">
        <v>0.19047438</v>
      </c>
      <c r="I928" s="29">
        <v>0.19047438</v>
      </c>
      <c r="K928">
        <f t="shared" si="28"/>
        <v>9.5237126086118451E-3</v>
      </c>
      <c r="L928">
        <f t="shared" si="29"/>
        <v>2.8571156513545581E-4</v>
      </c>
    </row>
    <row r="929" spans="1:12" x14ac:dyDescent="0.3">
      <c r="A929" s="31">
        <v>44776</v>
      </c>
      <c r="B929" s="32">
        <v>0.18864365214110501</v>
      </c>
      <c r="C929" s="32">
        <v>0.18871129059651601</v>
      </c>
      <c r="D929" s="32">
        <v>0.18867747000000001</v>
      </c>
      <c r="E929" s="33">
        <v>-2.23691999999997E-3</v>
      </c>
      <c r="F929" s="33">
        <v>-1.1716874773032899</v>
      </c>
      <c r="G929" s="33">
        <v>2.7933772021629899</v>
      </c>
      <c r="H929" s="32">
        <v>0.18867747000000001</v>
      </c>
      <c r="I929" s="32">
        <v>0.18867747000000001</v>
      </c>
      <c r="K929">
        <f t="shared" si="28"/>
        <v>-1.1716874773032959E-2</v>
      </c>
      <c r="L929">
        <f t="shared" si="29"/>
        <v>3.5848718668421534E-4</v>
      </c>
    </row>
    <row r="930" spans="1:12" x14ac:dyDescent="0.3">
      <c r="A930" s="28">
        <v>44775</v>
      </c>
      <c r="B930" s="29">
        <v>0.19089433998281999</v>
      </c>
      <c r="C930" s="29">
        <v>0.19093443311566799</v>
      </c>
      <c r="D930" s="29">
        <v>0.19091438999999999</v>
      </c>
      <c r="E930" s="30">
        <v>-3.7119700000000002E-3</v>
      </c>
      <c r="F930" s="30">
        <v>-1.90722880497791</v>
      </c>
      <c r="G930" s="30">
        <v>4.01207364393243</v>
      </c>
      <c r="H930" s="29">
        <v>0.19091438999999999</v>
      </c>
      <c r="I930" s="29">
        <v>0.19091438999999999</v>
      </c>
      <c r="K930">
        <f t="shared" si="28"/>
        <v>-1.9072288049779118E-2</v>
      </c>
      <c r="L930">
        <f t="shared" si="29"/>
        <v>2.1000581908991472E-4</v>
      </c>
    </row>
    <row r="931" spans="1:12" x14ac:dyDescent="0.3">
      <c r="A931" s="31">
        <v>44774</v>
      </c>
      <c r="B931" s="32">
        <v>0.19459417385043501</v>
      </c>
      <c r="C931" s="32">
        <v>0.194658568870202</v>
      </c>
      <c r="D931" s="32">
        <v>0.19462636</v>
      </c>
      <c r="E931" s="33">
        <v>2.2465299999999901E-3</v>
      </c>
      <c r="F931" s="33">
        <v>1.16775755545681</v>
      </c>
      <c r="G931" s="33">
        <v>6.0343921135044196</v>
      </c>
      <c r="H931" s="32">
        <v>0.19462636</v>
      </c>
      <c r="I931" s="32">
        <v>0.19462636</v>
      </c>
      <c r="K931">
        <f t="shared" si="28"/>
        <v>1.1677575554568165E-2</v>
      </c>
      <c r="L931">
        <f t="shared" si="29"/>
        <v>3.3086484157124693E-4</v>
      </c>
    </row>
    <row r="932" spans="1:12" x14ac:dyDescent="0.3">
      <c r="A932" s="28">
        <v>44771</v>
      </c>
      <c r="B932" s="29">
        <v>0.19235948139883799</v>
      </c>
      <c r="C932" s="29">
        <v>0.19240019240019199</v>
      </c>
      <c r="D932" s="29">
        <v>0.19237983</v>
      </c>
      <c r="E932" s="30">
        <v>7.8507999999999302E-4</v>
      </c>
      <c r="F932" s="30">
        <v>0.40976070586484697</v>
      </c>
      <c r="G932" s="30">
        <v>4.8104600473919401</v>
      </c>
      <c r="H932" s="29">
        <v>0.19237983</v>
      </c>
      <c r="I932" s="29">
        <v>0.19237983</v>
      </c>
      <c r="K932">
        <f t="shared" si="28"/>
        <v>4.0976070586484781E-3</v>
      </c>
      <c r="L932">
        <f t="shared" si="29"/>
        <v>2.1161782580844923E-4</v>
      </c>
    </row>
    <row r="933" spans="1:12" x14ac:dyDescent="0.3">
      <c r="A933" s="31">
        <v>44770</v>
      </c>
      <c r="B933" s="32">
        <v>0.19157455123661399</v>
      </c>
      <c r="C933" s="32">
        <v>0.191614930635395</v>
      </c>
      <c r="D933" s="32">
        <v>0.19159475000000001</v>
      </c>
      <c r="E933" s="33">
        <v>3.2637400000000102E-3</v>
      </c>
      <c r="F933" s="33">
        <v>1.73298067057572</v>
      </c>
      <c r="G933" s="33">
        <v>4.3827405927380596</v>
      </c>
      <c r="H933" s="32">
        <v>0.19159475000000001</v>
      </c>
      <c r="I933" s="32">
        <v>0.19159475000000001</v>
      </c>
      <c r="K933">
        <f t="shared" si="28"/>
        <v>1.7329806705757234E-2</v>
      </c>
      <c r="L933">
        <f t="shared" si="29"/>
        <v>2.1075420271701213E-4</v>
      </c>
    </row>
    <row r="934" spans="1:12" x14ac:dyDescent="0.3">
      <c r="A934" s="28">
        <v>44769</v>
      </c>
      <c r="B934" s="29">
        <v>0.18830618585820499</v>
      </c>
      <c r="C934" s="29">
        <v>0.188355841856435</v>
      </c>
      <c r="D934" s="29">
        <v>0.18833100999999999</v>
      </c>
      <c r="E934" s="30">
        <v>1.52860999999998E-3</v>
      </c>
      <c r="F934" s="30">
        <v>0.81830319096540804</v>
      </c>
      <c r="G934" s="30">
        <v>2.6046223208013601</v>
      </c>
      <c r="H934" s="29">
        <v>0.18833100999999999</v>
      </c>
      <c r="I934" s="29">
        <v>0.18833100999999999</v>
      </c>
      <c r="K934">
        <f t="shared" si="28"/>
        <v>8.1830319096540816E-3</v>
      </c>
      <c r="L934">
        <f t="shared" si="29"/>
        <v>2.6366342021958154E-4</v>
      </c>
    </row>
    <row r="935" spans="1:12" x14ac:dyDescent="0.3">
      <c r="A935" s="31">
        <v>44768</v>
      </c>
      <c r="B935" s="32">
        <v>0.18675880100849801</v>
      </c>
      <c r="C935" s="32">
        <v>0.18684603886397599</v>
      </c>
      <c r="D935" s="32">
        <v>0.18680240000000001</v>
      </c>
      <c r="E935" s="33">
        <v>2.1199600000000002E-3</v>
      </c>
      <c r="F935" s="33">
        <v>1.1478947321683599</v>
      </c>
      <c r="G935" s="33">
        <v>1.77182026804436</v>
      </c>
      <c r="H935" s="32">
        <v>0.18680240000000001</v>
      </c>
      <c r="I935" s="32">
        <v>0.18680240000000001</v>
      </c>
      <c r="K935">
        <f t="shared" si="28"/>
        <v>1.1478947321683641E-2</v>
      </c>
      <c r="L935">
        <f t="shared" si="29"/>
        <v>4.6700607421523498E-4</v>
      </c>
    </row>
    <row r="936" spans="1:12" x14ac:dyDescent="0.3">
      <c r="A936" s="28">
        <v>44767</v>
      </c>
      <c r="B936" s="29">
        <v>0.184658566310891</v>
      </c>
      <c r="C936" s="29">
        <v>0.18470631695604001</v>
      </c>
      <c r="D936" s="29">
        <v>0.18468244</v>
      </c>
      <c r="E936" s="30">
        <v>1.0513199999999899E-3</v>
      </c>
      <c r="F936" s="30">
        <v>0.57251733801981697</v>
      </c>
      <c r="G936" s="30">
        <v>0.61684480683271103</v>
      </c>
      <c r="H936" s="29">
        <v>0.18468244</v>
      </c>
      <c r="I936" s="29">
        <v>0.18468244</v>
      </c>
      <c r="K936">
        <f t="shared" si="28"/>
        <v>5.7251733801981786E-3</v>
      </c>
      <c r="L936">
        <f t="shared" si="29"/>
        <v>2.5855541625399172E-4</v>
      </c>
    </row>
    <row r="937" spans="1:12" x14ac:dyDescent="0.3">
      <c r="A937" s="31">
        <v>44764</v>
      </c>
      <c r="B937" s="32">
        <v>0.183607520564042</v>
      </c>
      <c r="C937" s="32">
        <v>0.18365472910927499</v>
      </c>
      <c r="D937" s="32">
        <v>0.18363112000000001</v>
      </c>
      <c r="E937" s="33">
        <v>1.3273499999999999E-3</v>
      </c>
      <c r="F937" s="33">
        <v>0.7280979433393</v>
      </c>
      <c r="G937" s="33">
        <v>4.4075131045891697E-2</v>
      </c>
      <c r="H937" s="32">
        <v>0.18363112000000001</v>
      </c>
      <c r="I937" s="32">
        <v>0.18363112000000001</v>
      </c>
      <c r="K937">
        <f t="shared" si="28"/>
        <v>7.2809794333930089E-3</v>
      </c>
      <c r="L937">
        <f t="shared" si="29"/>
        <v>2.5708357729882969E-4</v>
      </c>
    </row>
    <row r="938" spans="1:12" x14ac:dyDescent="0.3">
      <c r="A938" s="28">
        <v>44763</v>
      </c>
      <c r="B938" s="29">
        <v>0.18228549554312001</v>
      </c>
      <c r="C938" s="29">
        <v>0.18232205367561299</v>
      </c>
      <c r="D938" s="29">
        <v>0.18230377</v>
      </c>
      <c r="E938" s="30">
        <v>-1.65503E-3</v>
      </c>
      <c r="F938" s="30">
        <v>-0.89967427489199203</v>
      </c>
      <c r="G938" s="30">
        <v>-0.679078456021454</v>
      </c>
      <c r="H938" s="29">
        <v>0.18230377</v>
      </c>
      <c r="I938" s="29">
        <v>0.18230377</v>
      </c>
      <c r="K938">
        <f t="shared" si="28"/>
        <v>-8.9967427489199281E-3</v>
      </c>
      <c r="L938">
        <f t="shared" si="29"/>
        <v>2.0053415512460821E-4</v>
      </c>
    </row>
    <row r="939" spans="1:12" x14ac:dyDescent="0.3">
      <c r="A939" s="31">
        <v>44762</v>
      </c>
      <c r="B939" s="32">
        <v>0.18393849096862</v>
      </c>
      <c r="C939" s="32">
        <v>0.183979099974243</v>
      </c>
      <c r="D939" s="32">
        <v>0.18395880000000001</v>
      </c>
      <c r="E939" s="33">
        <v>-1.5097399999999799E-3</v>
      </c>
      <c r="F939" s="33">
        <v>-0.81401406405635601</v>
      </c>
      <c r="G939" s="33">
        <v>0.22259848013258601</v>
      </c>
      <c r="H939" s="32">
        <v>0.18395880000000001</v>
      </c>
      <c r="I939" s="32">
        <v>0.18395880000000001</v>
      </c>
      <c r="K939">
        <f t="shared" si="28"/>
        <v>-8.1401406405635646E-3</v>
      </c>
      <c r="L939">
        <f t="shared" si="29"/>
        <v>2.2075054644300285E-4</v>
      </c>
    </row>
    <row r="940" spans="1:12" x14ac:dyDescent="0.3">
      <c r="A940" s="28">
        <v>44761</v>
      </c>
      <c r="B940" s="29">
        <v>0.18544962261001799</v>
      </c>
      <c r="C940" s="29">
        <v>0.185487461047633</v>
      </c>
      <c r="D940" s="29">
        <v>0.18546853999999999</v>
      </c>
      <c r="E940" s="30">
        <v>-1.2205199999999999E-3</v>
      </c>
      <c r="F940" s="30">
        <v>-0.65377157076049697</v>
      </c>
      <c r="G940" s="30">
        <v>1.0451199677123699</v>
      </c>
      <c r="H940" s="29">
        <v>0.18546853999999999</v>
      </c>
      <c r="I940" s="29">
        <v>0.18546853999999999</v>
      </c>
      <c r="K940">
        <f t="shared" si="28"/>
        <v>-6.5377157076049741E-3</v>
      </c>
      <c r="L940">
        <f t="shared" si="29"/>
        <v>2.0401539589955282E-4</v>
      </c>
    </row>
    <row r="941" spans="1:12" x14ac:dyDescent="0.3">
      <c r="A941" s="31">
        <v>44760</v>
      </c>
      <c r="B941" s="32">
        <v>0.186668160011947</v>
      </c>
      <c r="C941" s="32">
        <v>0.186709983382811</v>
      </c>
      <c r="D941" s="32">
        <v>0.18668905999999999</v>
      </c>
      <c r="E941" s="33">
        <v>9.1040999999999995E-4</v>
      </c>
      <c r="F941" s="33">
        <v>0.49005092888767499</v>
      </c>
      <c r="G941" s="33">
        <v>1.7100714997780999</v>
      </c>
      <c r="H941" s="32">
        <v>0.18668905999999999</v>
      </c>
      <c r="I941" s="32">
        <v>0.18668905999999999</v>
      </c>
      <c r="K941">
        <f t="shared" si="28"/>
        <v>4.9005092888767532E-3</v>
      </c>
      <c r="L941">
        <f t="shared" si="29"/>
        <v>2.2402689725901757E-4</v>
      </c>
    </row>
    <row r="942" spans="1:12" x14ac:dyDescent="0.3">
      <c r="A942" s="28">
        <v>44757</v>
      </c>
      <c r="B942" s="29">
        <v>0.18576656573349901</v>
      </c>
      <c r="C942" s="29">
        <v>0.18579072532699201</v>
      </c>
      <c r="D942" s="29">
        <v>0.18577864999999999</v>
      </c>
      <c r="E942" s="30">
        <v>2.1019899999999898E-3</v>
      </c>
      <c r="F942" s="30">
        <v>1.1443968983321</v>
      </c>
      <c r="G942" s="30">
        <v>1.21407100465474</v>
      </c>
      <c r="H942" s="29">
        <v>0.18577864999999999</v>
      </c>
      <c r="I942" s="29">
        <v>0.18577864999999999</v>
      </c>
      <c r="K942">
        <f t="shared" si="28"/>
        <v>1.1443968983321007E-2</v>
      </c>
      <c r="L942">
        <f t="shared" si="29"/>
        <v>1.300450481957995E-4</v>
      </c>
    </row>
    <row r="943" spans="1:12" x14ac:dyDescent="0.3">
      <c r="A943" s="31">
        <v>44756</v>
      </c>
      <c r="B943" s="32">
        <v>0.18364123847651201</v>
      </c>
      <c r="C943" s="32">
        <v>0.183712086418165</v>
      </c>
      <c r="D943" s="32">
        <v>0.18367665999999999</v>
      </c>
      <c r="E943" s="33">
        <v>-2.2764500000000101E-3</v>
      </c>
      <c r="F943" s="33">
        <v>-1.22420646796389</v>
      </c>
      <c r="G943" s="33">
        <v>6.8885779597542995E-2</v>
      </c>
      <c r="H943" s="32">
        <v>0.18367665999999999</v>
      </c>
      <c r="I943" s="32">
        <v>0.18367665999999999</v>
      </c>
      <c r="K943">
        <f t="shared" si="28"/>
        <v>-1.2242064679638953E-2</v>
      </c>
      <c r="L943">
        <f t="shared" si="29"/>
        <v>3.8572098193091368E-4</v>
      </c>
    </row>
    <row r="944" spans="1:12" x14ac:dyDescent="0.3">
      <c r="A944" s="28">
        <v>44755</v>
      </c>
      <c r="B944" s="29">
        <v>0.18592890078833901</v>
      </c>
      <c r="C944" s="29">
        <v>0.18597731076808599</v>
      </c>
      <c r="D944" s="29">
        <v>0.18595311</v>
      </c>
      <c r="E944" s="30">
        <v>1.5788200000000001E-3</v>
      </c>
      <c r="F944" s="30">
        <v>0.85631245007100598</v>
      </c>
      <c r="G944" s="30">
        <v>1.3091185616666701</v>
      </c>
      <c r="H944" s="29">
        <v>0.18595311</v>
      </c>
      <c r="I944" s="29">
        <v>0.18595311</v>
      </c>
      <c r="K944">
        <f t="shared" si="28"/>
        <v>8.563124500710062E-3</v>
      </c>
      <c r="L944">
        <f t="shared" si="29"/>
        <v>2.6033433776384405E-4</v>
      </c>
    </row>
    <row r="945" spans="1:12" x14ac:dyDescent="0.3">
      <c r="A945" s="31">
        <v>44754</v>
      </c>
      <c r="B945" s="32">
        <v>0.18435558505244901</v>
      </c>
      <c r="C945" s="32">
        <v>0.18439297831538601</v>
      </c>
      <c r="D945" s="32">
        <v>0.18437429</v>
      </c>
      <c r="E945" s="33">
        <v>-2.37403999999999E-3</v>
      </c>
      <c r="F945" s="33">
        <v>-1.2712509932485001</v>
      </c>
      <c r="G945" s="33">
        <v>0.448961597539904</v>
      </c>
      <c r="H945" s="32">
        <v>0.18437429</v>
      </c>
      <c r="I945" s="32">
        <v>0.18437429</v>
      </c>
      <c r="K945">
        <f t="shared" si="28"/>
        <v>-1.2712509932485072E-2</v>
      </c>
      <c r="L945">
        <f t="shared" si="29"/>
        <v>2.0281169862133261E-4</v>
      </c>
    </row>
    <row r="946" spans="1:12" x14ac:dyDescent="0.3">
      <c r="A946" s="28">
        <v>44753</v>
      </c>
      <c r="B946" s="29">
        <v>0.18673090209698801</v>
      </c>
      <c r="C946" s="29">
        <v>0.18676577703901501</v>
      </c>
      <c r="D946" s="29">
        <v>0.18674832999999999</v>
      </c>
      <c r="E946" s="30">
        <v>-2.4216900000000002E-3</v>
      </c>
      <c r="F946" s="30">
        <v>-1.2801658529189699</v>
      </c>
      <c r="G946" s="30">
        <v>1.74236238997697</v>
      </c>
      <c r="H946" s="29">
        <v>0.18674832999999999</v>
      </c>
      <c r="I946" s="29">
        <v>0.18674832999999999</v>
      </c>
      <c r="K946">
        <f t="shared" si="28"/>
        <v>-1.2801658529189797E-2</v>
      </c>
      <c r="L946">
        <f t="shared" si="29"/>
        <v>1.8674834750598442E-4</v>
      </c>
    </row>
    <row r="947" spans="1:12" x14ac:dyDescent="0.3">
      <c r="A947" s="31">
        <v>44750</v>
      </c>
      <c r="B947" s="32">
        <v>0.18914318138831099</v>
      </c>
      <c r="C947" s="32">
        <v>0.18919685933213501</v>
      </c>
      <c r="D947" s="32">
        <v>0.18917001999999999</v>
      </c>
      <c r="E947" s="33">
        <v>1.7988399999999899E-3</v>
      </c>
      <c r="F947" s="33">
        <v>0.96004091984689399</v>
      </c>
      <c r="G947" s="33">
        <v>3.06172338011908</v>
      </c>
      <c r="H947" s="32">
        <v>0.18917001999999999</v>
      </c>
      <c r="I947" s="32">
        <v>0.18917001999999999</v>
      </c>
      <c r="K947">
        <f t="shared" si="28"/>
        <v>9.6004091984689399E-3</v>
      </c>
      <c r="L947">
        <f t="shared" si="29"/>
        <v>2.837550253682952E-4</v>
      </c>
    </row>
    <row r="948" spans="1:12" x14ac:dyDescent="0.3">
      <c r="A948" s="28">
        <v>44749</v>
      </c>
      <c r="B948" s="29">
        <v>0.187353629976581</v>
      </c>
      <c r="C948" s="29">
        <v>0.18738873793685001</v>
      </c>
      <c r="D948" s="29">
        <v>0.18737118</v>
      </c>
      <c r="E948" s="30">
        <v>3.32943999999998E-3</v>
      </c>
      <c r="F948" s="30">
        <v>1.8090678777542499</v>
      </c>
      <c r="G948" s="30">
        <v>2.0816973142282298</v>
      </c>
      <c r="H948" s="29">
        <v>0.18737118</v>
      </c>
      <c r="I948" s="29">
        <v>0.18737118</v>
      </c>
      <c r="K948">
        <f t="shared" si="28"/>
        <v>1.8090678777542557E-2</v>
      </c>
      <c r="L948">
        <f t="shared" si="29"/>
        <v>1.8737118626786491E-4</v>
      </c>
    </row>
    <row r="949" spans="1:12" x14ac:dyDescent="0.3">
      <c r="A949" s="31">
        <v>44748</v>
      </c>
      <c r="B949" s="32">
        <v>0.18401634065104999</v>
      </c>
      <c r="C949" s="32">
        <v>0.18406714769547899</v>
      </c>
      <c r="D949" s="32">
        <v>0.18404174000000001</v>
      </c>
      <c r="E949" s="33">
        <v>-1.27213999999997E-3</v>
      </c>
      <c r="F949" s="33">
        <v>-0.68647853037234696</v>
      </c>
      <c r="G949" s="33">
        <v>0.26778502363005702</v>
      </c>
      <c r="H949" s="32">
        <v>0.18404174000000001</v>
      </c>
      <c r="I949" s="32">
        <v>0.18404174000000001</v>
      </c>
      <c r="K949">
        <f t="shared" si="28"/>
        <v>-6.8647853037234752E-3</v>
      </c>
      <c r="L949">
        <f t="shared" si="29"/>
        <v>2.7606261725737909E-4</v>
      </c>
    </row>
    <row r="950" spans="1:12" x14ac:dyDescent="0.3">
      <c r="A950" s="28">
        <v>44747</v>
      </c>
      <c r="B950" s="29">
        <v>0.18528812303131401</v>
      </c>
      <c r="C950" s="29">
        <v>0.18533963488091901</v>
      </c>
      <c r="D950" s="29">
        <v>0.18531387999999999</v>
      </c>
      <c r="E950" s="30">
        <v>-3.61846000000001E-3</v>
      </c>
      <c r="F950" s="30">
        <v>-1.9152147271346001</v>
      </c>
      <c r="G950" s="30">
        <v>0.96085964920118305</v>
      </c>
      <c r="H950" s="29">
        <v>0.18531387999999999</v>
      </c>
      <c r="I950" s="29">
        <v>0.18531387999999999</v>
      </c>
      <c r="K950">
        <f t="shared" si="28"/>
        <v>-1.9152147271346065E-2</v>
      </c>
      <c r="L950">
        <f t="shared" si="29"/>
        <v>2.7797081149561788E-4</v>
      </c>
    </row>
    <row r="951" spans="1:12" x14ac:dyDescent="0.3">
      <c r="A951" s="31">
        <v>44746</v>
      </c>
      <c r="B951" s="32">
        <v>0.188910928497214</v>
      </c>
      <c r="C951" s="32">
        <v>0.18895376301419001</v>
      </c>
      <c r="D951" s="32">
        <v>0.18893234</v>
      </c>
      <c r="E951" s="33">
        <v>1.2059E-3</v>
      </c>
      <c r="F951" s="33">
        <v>0.64237088819241095</v>
      </c>
      <c r="G951" s="33">
        <v>2.9322329333083901</v>
      </c>
      <c r="H951" s="32">
        <v>0.18893234</v>
      </c>
      <c r="I951" s="32">
        <v>0.18893234</v>
      </c>
      <c r="K951">
        <f t="shared" si="28"/>
        <v>6.4237088819241173E-3</v>
      </c>
      <c r="L951">
        <f t="shared" si="29"/>
        <v>2.2671881889574412E-4</v>
      </c>
    </row>
    <row r="952" spans="1:12" x14ac:dyDescent="0.3">
      <c r="A952" s="28">
        <v>44743</v>
      </c>
      <c r="B952" s="29">
        <v>0.18769473328578401</v>
      </c>
      <c r="C952" s="29">
        <v>0.18775816748028501</v>
      </c>
      <c r="D952" s="29">
        <v>0.18772643999999999</v>
      </c>
      <c r="E952" s="30">
        <v>-3.49826E-3</v>
      </c>
      <c r="F952" s="30">
        <v>-1.82939756213501</v>
      </c>
      <c r="G952" s="30">
        <v>2.27524652381239</v>
      </c>
      <c r="H952" s="29">
        <v>0.18772643999999999</v>
      </c>
      <c r="I952" s="29">
        <v>0.18772643999999999</v>
      </c>
      <c r="K952">
        <f t="shared" si="28"/>
        <v>-1.8293975621350156E-2</v>
      </c>
      <c r="L952">
        <f t="shared" si="29"/>
        <v>3.3790761973113509E-4</v>
      </c>
    </row>
    <row r="953" spans="1:12" x14ac:dyDescent="0.3">
      <c r="A953" s="31">
        <v>44742</v>
      </c>
      <c r="B953" s="32">
        <v>0.19121190102871999</v>
      </c>
      <c r="C953" s="32">
        <v>0.19123749784857799</v>
      </c>
      <c r="D953" s="32">
        <v>0.1912247</v>
      </c>
      <c r="E953" s="33">
        <v>2.55999999999867E-5</v>
      </c>
      <c r="F953" s="33">
        <v>1.3389184363310399E-2</v>
      </c>
      <c r="G953" s="33">
        <v>4.1811336428798596</v>
      </c>
      <c r="H953" s="32">
        <v>0.1912247</v>
      </c>
      <c r="I953" s="32">
        <v>0.1912247</v>
      </c>
      <c r="K953">
        <f t="shared" si="28"/>
        <v>1.3389184363310491E-4</v>
      </c>
      <c r="L953">
        <f t="shared" si="29"/>
        <v>1.3385728861388545E-4</v>
      </c>
    </row>
    <row r="954" spans="1:12" x14ac:dyDescent="0.3">
      <c r="A954" s="28">
        <v>44741</v>
      </c>
      <c r="B954" s="29">
        <v>0.19117169129595299</v>
      </c>
      <c r="C954" s="29">
        <v>0.191226526943818</v>
      </c>
      <c r="D954" s="29">
        <v>0.19119910000000001</v>
      </c>
      <c r="E954" s="30">
        <v>-3.86459999999977E-4</v>
      </c>
      <c r="F954" s="30">
        <v>-0.201716663823714</v>
      </c>
      <c r="G954" s="30">
        <v>4.1671865062324702</v>
      </c>
      <c r="H954" s="29">
        <v>0.19119910000000001</v>
      </c>
      <c r="I954" s="29">
        <v>0.19119910000000001</v>
      </c>
      <c r="K954">
        <f t="shared" si="28"/>
        <v>-2.0171666382371445E-3</v>
      </c>
      <c r="L954">
        <f t="shared" si="29"/>
        <v>2.8679867146348865E-4</v>
      </c>
    </row>
    <row r="955" spans="1:12" x14ac:dyDescent="0.3">
      <c r="A955" s="31">
        <v>44740</v>
      </c>
      <c r="B955" s="32">
        <v>0.19156721135610399</v>
      </c>
      <c r="C955" s="32">
        <v>0.191603916384051</v>
      </c>
      <c r="D955" s="32">
        <v>0.19158555999999999</v>
      </c>
      <c r="E955" s="33">
        <v>-1.8923000000001201E-4</v>
      </c>
      <c r="F955" s="33">
        <v>-9.8673032049734197E-2</v>
      </c>
      <c r="G955" s="33">
        <v>4.3777337886056404</v>
      </c>
      <c r="H955" s="32">
        <v>0.19158555999999999</v>
      </c>
      <c r="I955" s="32">
        <v>0.19158555999999999</v>
      </c>
      <c r="K955">
        <f t="shared" si="28"/>
        <v>-9.8673032049734211E-4</v>
      </c>
      <c r="L955">
        <f t="shared" si="29"/>
        <v>1.9158556598422038E-4</v>
      </c>
    </row>
    <row r="956" spans="1:12" x14ac:dyDescent="0.3">
      <c r="A956" s="28">
        <v>44739</v>
      </c>
      <c r="B956" s="29">
        <v>0.191758231222075</v>
      </c>
      <c r="C956" s="29">
        <v>0.19179133103183699</v>
      </c>
      <c r="D956" s="29">
        <v>0.19177479</v>
      </c>
      <c r="E956" s="30">
        <v>1.0570199999999899E-3</v>
      </c>
      <c r="F956" s="30">
        <v>0.55423257098696699</v>
      </c>
      <c r="G956" s="30">
        <v>4.4808281896910902</v>
      </c>
      <c r="H956" s="29">
        <v>0.19177479</v>
      </c>
      <c r="I956" s="29">
        <v>0.19177479</v>
      </c>
      <c r="K956">
        <f t="shared" si="28"/>
        <v>5.5423257098696777E-3</v>
      </c>
      <c r="L956">
        <f t="shared" si="29"/>
        <v>1.7259729374225017E-4</v>
      </c>
    </row>
    <row r="957" spans="1:12" x14ac:dyDescent="0.3">
      <c r="A957" s="31">
        <v>44736</v>
      </c>
      <c r="B957" s="32">
        <v>0.190705036520014</v>
      </c>
      <c r="C957" s="32">
        <v>0.19073049780659901</v>
      </c>
      <c r="D957" s="32">
        <v>0.19071777000000001</v>
      </c>
      <c r="E957" s="33">
        <v>-2.4200399999999801E-3</v>
      </c>
      <c r="F957" s="33">
        <v>-1.25301203322124</v>
      </c>
      <c r="G957" s="33">
        <v>3.9049530967601198</v>
      </c>
      <c r="H957" s="32">
        <v>0.19071777000000001</v>
      </c>
      <c r="I957" s="32">
        <v>0.19071777000000001</v>
      </c>
      <c r="K957">
        <f t="shared" si="28"/>
        <v>-1.2530120332212458E-2</v>
      </c>
      <c r="L957">
        <f t="shared" si="29"/>
        <v>1.3350243443497752E-4</v>
      </c>
    </row>
    <row r="958" spans="1:12" x14ac:dyDescent="0.3">
      <c r="A958" s="28">
        <v>44735</v>
      </c>
      <c r="B958" s="29">
        <v>0.19308746862328599</v>
      </c>
      <c r="C958" s="29">
        <v>0.193188184610629</v>
      </c>
      <c r="D958" s="29">
        <v>0.19313780999999999</v>
      </c>
      <c r="E958" s="30">
        <v>-1.4317500000000001E-3</v>
      </c>
      <c r="F958" s="30">
        <v>-0.73585508442328695</v>
      </c>
      <c r="G958" s="30">
        <v>5.2234151503604798</v>
      </c>
      <c r="H958" s="29">
        <v>0.19313780999999999</v>
      </c>
      <c r="I958" s="29">
        <v>0.19313780999999999</v>
      </c>
      <c r="K958">
        <f t="shared" si="28"/>
        <v>-7.3585508442328695E-3</v>
      </c>
      <c r="L958">
        <f t="shared" si="29"/>
        <v>5.2147214128095442E-4</v>
      </c>
    </row>
    <row r="959" spans="1:12" x14ac:dyDescent="0.3">
      <c r="A959" s="31">
        <v>44734</v>
      </c>
      <c r="B959" s="32">
        <v>0.19454495934010299</v>
      </c>
      <c r="C959" s="32">
        <v>0.19459417385043501</v>
      </c>
      <c r="D959" s="32">
        <v>0.19456956</v>
      </c>
      <c r="E959" s="33">
        <v>-6.3046999999999398E-4</v>
      </c>
      <c r="F959" s="33">
        <v>-0.32298663068852601</v>
      </c>
      <c r="G959" s="33">
        <v>6.0034469040680003</v>
      </c>
      <c r="H959" s="32">
        <v>0.19456956</v>
      </c>
      <c r="I959" s="32">
        <v>0.19456956</v>
      </c>
      <c r="K959">
        <f t="shared" si="28"/>
        <v>-3.2298663068852651E-3</v>
      </c>
      <c r="L959">
        <f t="shared" si="29"/>
        <v>2.5294044110506551E-4</v>
      </c>
    </row>
    <row r="960" spans="1:12" x14ac:dyDescent="0.3">
      <c r="A960" s="28">
        <v>44733</v>
      </c>
      <c r="B960" s="29">
        <v>0.19517526739011601</v>
      </c>
      <c r="C960" s="29">
        <v>0.19522480135876499</v>
      </c>
      <c r="D960" s="29">
        <v>0.19520003</v>
      </c>
      <c r="E960" s="30">
        <v>1.07426999999998E-3</v>
      </c>
      <c r="F960" s="30">
        <v>0.55338868988845602</v>
      </c>
      <c r="G960" s="30">
        <v>6.3469332807119496</v>
      </c>
      <c r="H960" s="29">
        <v>0.19520003</v>
      </c>
      <c r="I960" s="29">
        <v>0.19520003</v>
      </c>
      <c r="K960">
        <f t="shared" si="28"/>
        <v>5.5338868988845658E-3</v>
      </c>
      <c r="L960">
        <f t="shared" si="29"/>
        <v>2.5376004629192348E-4</v>
      </c>
    </row>
    <row r="961" spans="1:12" x14ac:dyDescent="0.3">
      <c r="A961" s="31">
        <v>44732</v>
      </c>
      <c r="B961" s="32">
        <v>0.194099378881988</v>
      </c>
      <c r="C961" s="32">
        <v>0.194152137615035</v>
      </c>
      <c r="D961" s="32">
        <v>0.19412576000000001</v>
      </c>
      <c r="E961" s="33">
        <v>-7.8322000000000103E-4</v>
      </c>
      <c r="F961" s="33">
        <v>-0.401838848061286</v>
      </c>
      <c r="G961" s="33">
        <v>5.76166021484475</v>
      </c>
      <c r="H961" s="32">
        <v>0.19412576000000001</v>
      </c>
      <c r="I961" s="32">
        <v>0.19412576000000001</v>
      </c>
      <c r="K961">
        <f t="shared" si="28"/>
        <v>-4.0183884806128667E-3</v>
      </c>
      <c r="L961">
        <f t="shared" si="29"/>
        <v>2.7177605407442099E-4</v>
      </c>
    </row>
    <row r="962" spans="1:12" x14ac:dyDescent="0.3">
      <c r="A962" s="28">
        <v>44729</v>
      </c>
      <c r="B962" s="29">
        <v>0.19489758132101601</v>
      </c>
      <c r="C962" s="29">
        <v>0.19492037502680201</v>
      </c>
      <c r="D962" s="29">
        <v>0.19490898000000001</v>
      </c>
      <c r="E962" s="30">
        <v>-2.8816999999999801E-3</v>
      </c>
      <c r="F962" s="30">
        <v>-1.45694428069107</v>
      </c>
      <c r="G962" s="30">
        <v>6.1883663228515999</v>
      </c>
      <c r="H962" s="29">
        <v>0.19490898000000001</v>
      </c>
      <c r="I962" s="29">
        <v>0.19490898000000001</v>
      </c>
      <c r="K962">
        <f t="shared" si="28"/>
        <v>-1.4569442806910748E-2</v>
      </c>
      <c r="L962">
        <f t="shared" si="29"/>
        <v>1.1694538541018554E-4</v>
      </c>
    </row>
    <row r="963" spans="1:12" x14ac:dyDescent="0.3">
      <c r="A963" s="31">
        <v>44728</v>
      </c>
      <c r="B963" s="32">
        <v>0.19772223979753201</v>
      </c>
      <c r="C963" s="32">
        <v>0.197859163847174</v>
      </c>
      <c r="D963" s="32">
        <v>0.19779068</v>
      </c>
      <c r="E963" s="33">
        <v>2.44575999999999E-3</v>
      </c>
      <c r="F963" s="33">
        <v>1.2520212964841799</v>
      </c>
      <c r="G963" s="33">
        <v>7.7583453727268799</v>
      </c>
      <c r="H963" s="32">
        <v>0.19779068</v>
      </c>
      <c r="I963" s="32">
        <v>0.19779068</v>
      </c>
      <c r="K963">
        <f t="shared" si="28"/>
        <v>1.2520212964841848E-2</v>
      </c>
      <c r="L963">
        <f t="shared" si="29"/>
        <v>6.9226744982117184E-4</v>
      </c>
    </row>
    <row r="964" spans="1:12" x14ac:dyDescent="0.3">
      <c r="A964" s="28">
        <v>44727</v>
      </c>
      <c r="B964" s="29">
        <v>0.19532394476238801</v>
      </c>
      <c r="C964" s="29">
        <v>0.195365920368851</v>
      </c>
      <c r="D964" s="29">
        <v>0.19534492000000001</v>
      </c>
      <c r="E964" s="30">
        <v>1.14400000000014E-5</v>
      </c>
      <c r="F964" s="30">
        <v>5.8566508926105598E-3</v>
      </c>
      <c r="G964" s="30">
        <v>6.4258708052760802</v>
      </c>
      <c r="H964" s="29">
        <v>0.19534492000000001</v>
      </c>
      <c r="I964" s="29">
        <v>0.19534492000000001</v>
      </c>
      <c r="K964">
        <f t="shared" si="28"/>
        <v>5.8566508926105598E-5</v>
      </c>
      <c r="L964">
        <f t="shared" si="29"/>
        <v>2.1487943716678472E-4</v>
      </c>
    </row>
    <row r="965" spans="1:12" x14ac:dyDescent="0.3">
      <c r="A965" s="31">
        <v>44726</v>
      </c>
      <c r="B965" s="32">
        <v>0.19532012969256601</v>
      </c>
      <c r="C965" s="32">
        <v>0.19534683831142199</v>
      </c>
      <c r="D965" s="32">
        <v>0.19533348</v>
      </c>
      <c r="E965" s="33">
        <v>4.7958000000000701E-4</v>
      </c>
      <c r="F965" s="33">
        <v>0.246122864361453</v>
      </c>
      <c r="G965" s="33">
        <v>6.4196381785867702</v>
      </c>
      <c r="H965" s="32">
        <v>0.19533348</v>
      </c>
      <c r="I965" s="32">
        <v>0.19533348</v>
      </c>
      <c r="K965">
        <f t="shared" ref="K965:K1028" si="30">D965/D966-1</f>
        <v>2.4612286436145325E-3</v>
      </c>
      <c r="L965">
        <f t="shared" ref="L965:L1028" si="31">(C965-B965)/D965</f>
        <v>1.3673344096455271E-4</v>
      </c>
    </row>
    <row r="966" spans="1:12" x14ac:dyDescent="0.3">
      <c r="A966" s="28">
        <v>44725</v>
      </c>
      <c r="B966" s="29">
        <v>0.194829232177996</v>
      </c>
      <c r="C966" s="29">
        <v>0.19487859063803301</v>
      </c>
      <c r="D966" s="29">
        <v>0.1948539</v>
      </c>
      <c r="E966" s="30">
        <v>-5.0441499999999903E-3</v>
      </c>
      <c r="F966" s="30">
        <v>-2.5233612834142098</v>
      </c>
      <c r="G966" s="30">
        <v>6.1583581866586696</v>
      </c>
      <c r="H966" s="29">
        <v>0.1948539</v>
      </c>
      <c r="I966" s="29">
        <v>0.1948539</v>
      </c>
      <c r="K966">
        <f t="shared" si="30"/>
        <v>-2.5233612834142161E-2</v>
      </c>
      <c r="L966">
        <f t="shared" si="31"/>
        <v>2.5331009559987169E-4</v>
      </c>
    </row>
    <row r="967" spans="1:12" x14ac:dyDescent="0.3">
      <c r="A967" s="31">
        <v>44722</v>
      </c>
      <c r="B967" s="32">
        <v>0.19988806268489601</v>
      </c>
      <c r="C967" s="32">
        <v>0.19990804230054199</v>
      </c>
      <c r="D967" s="32">
        <v>0.19989804999999999</v>
      </c>
      <c r="E967" s="33">
        <v>-3.83432E-3</v>
      </c>
      <c r="F967" s="33">
        <v>-1.8820376948444599</v>
      </c>
      <c r="G967" s="33">
        <v>8.9064616757201396</v>
      </c>
      <c r="H967" s="32">
        <v>0.19989804999999999</v>
      </c>
      <c r="I967" s="32">
        <v>0.19989804999999999</v>
      </c>
      <c r="K967">
        <f t="shared" si="30"/>
        <v>-1.8820376948444628E-2</v>
      </c>
      <c r="L967">
        <f t="shared" si="31"/>
        <v>9.9949027246548633E-5</v>
      </c>
    </row>
    <row r="968" spans="1:12" x14ac:dyDescent="0.3">
      <c r="A968" s="28">
        <v>44721</v>
      </c>
      <c r="B968" s="29">
        <v>0.20370332647532099</v>
      </c>
      <c r="C968" s="29">
        <v>0.20376143611060199</v>
      </c>
      <c r="D968" s="29">
        <v>0.20373237</v>
      </c>
      <c r="E968" s="30">
        <v>-1.5621799999999901E-3</v>
      </c>
      <c r="F968" s="30">
        <v>-0.76094567537228197</v>
      </c>
      <c r="G968" s="30">
        <v>10.995437651886199</v>
      </c>
      <c r="H968" s="29">
        <v>0.20373237</v>
      </c>
      <c r="I968" s="29">
        <v>0.20373237</v>
      </c>
      <c r="K968">
        <f t="shared" si="30"/>
        <v>-7.6094567537228208E-3</v>
      </c>
      <c r="L968">
        <f t="shared" si="31"/>
        <v>2.8522534382236414E-4</v>
      </c>
    </row>
    <row r="969" spans="1:12" x14ac:dyDescent="0.3">
      <c r="A969" s="31">
        <v>44720</v>
      </c>
      <c r="B969" s="32">
        <v>0.20526294182848201</v>
      </c>
      <c r="C969" s="32">
        <v>0.20532616060612299</v>
      </c>
      <c r="D969" s="32">
        <v>0.20529454999999999</v>
      </c>
      <c r="E969" s="33">
        <v>1.3169899999999899E-3</v>
      </c>
      <c r="F969" s="33">
        <v>0.645654355312408</v>
      </c>
      <c r="G969" s="33">
        <v>11.846528977192101</v>
      </c>
      <c r="H969" s="32">
        <v>0.20529454999999999</v>
      </c>
      <c r="I969" s="32">
        <v>0.20529454999999999</v>
      </c>
      <c r="K969">
        <f t="shared" si="30"/>
        <v>6.4565435531240833E-3</v>
      </c>
      <c r="L969">
        <f t="shared" si="31"/>
        <v>3.0794182135367528E-4</v>
      </c>
    </row>
    <row r="970" spans="1:12" x14ac:dyDescent="0.3">
      <c r="A970" s="28">
        <v>44719</v>
      </c>
      <c r="B970" s="29">
        <v>0.20395260141543101</v>
      </c>
      <c r="C970" s="29">
        <v>0.204002529631367</v>
      </c>
      <c r="D970" s="29">
        <v>0.20397756</v>
      </c>
      <c r="E970" s="30">
        <v>-4.7079299999999904E-3</v>
      </c>
      <c r="F970" s="30">
        <v>-2.2559929777580501</v>
      </c>
      <c r="G970" s="30">
        <v>11.129019621986799</v>
      </c>
      <c r="H970" s="29">
        <v>0.20397756</v>
      </c>
      <c r="I970" s="29">
        <v>0.20397756</v>
      </c>
      <c r="K970">
        <f t="shared" si="30"/>
        <v>-2.255992977758059E-2</v>
      </c>
      <c r="L970">
        <f t="shared" si="31"/>
        <v>2.4477308158797438E-4</v>
      </c>
    </row>
    <row r="971" spans="1:12" x14ac:dyDescent="0.3">
      <c r="A971" s="31">
        <v>44718</v>
      </c>
      <c r="B971" s="32">
        <v>0.20865936358894099</v>
      </c>
      <c r="C971" s="32">
        <v>0.20871162315029301</v>
      </c>
      <c r="D971" s="32">
        <v>0.20868549</v>
      </c>
      <c r="E971" s="33">
        <v>-1.5908000000000499E-4</v>
      </c>
      <c r="F971" s="33">
        <v>-7.6171480062903196E-2</v>
      </c>
      <c r="G971" s="33">
        <v>13.6939470843456</v>
      </c>
      <c r="H971" s="32">
        <v>0.20868549</v>
      </c>
      <c r="I971" s="32">
        <v>0.20868549</v>
      </c>
      <c r="K971">
        <f t="shared" si="30"/>
        <v>-7.6171480062903196E-4</v>
      </c>
      <c r="L971">
        <f t="shared" si="31"/>
        <v>2.5042259216018979E-4</v>
      </c>
    </row>
    <row r="972" spans="1:12" x14ac:dyDescent="0.3">
      <c r="A972" s="28">
        <v>44715</v>
      </c>
      <c r="B972" s="29">
        <v>0.20882930292778701</v>
      </c>
      <c r="C972" s="29">
        <v>0.208859834165292</v>
      </c>
      <c r="D972" s="29">
        <v>0.20884457000000001</v>
      </c>
      <c r="E972" s="30">
        <v>-1.98630000000005E-4</v>
      </c>
      <c r="F972" s="30">
        <v>-9.5018637296029301E-2</v>
      </c>
      <c r="G972" s="30">
        <v>13.7806154631686</v>
      </c>
      <c r="H972" s="29">
        <v>0.20884457000000001</v>
      </c>
      <c r="I972" s="29">
        <v>0.20884457000000001</v>
      </c>
      <c r="K972">
        <f t="shared" si="30"/>
        <v>-9.5018637296029329E-4</v>
      </c>
      <c r="L972">
        <f t="shared" si="31"/>
        <v>1.4619119618474257E-4</v>
      </c>
    </row>
    <row r="973" spans="1:12" x14ac:dyDescent="0.3">
      <c r="A973" s="31">
        <v>44714</v>
      </c>
      <c r="B973" s="32">
        <v>0.20901699308153801</v>
      </c>
      <c r="C973" s="32">
        <v>0.20906943195835301</v>
      </c>
      <c r="D973" s="32">
        <v>0.20904320000000001</v>
      </c>
      <c r="E973" s="33">
        <v>4.66540000000015E-4</v>
      </c>
      <c r="F973" s="33">
        <v>0.223677951310574</v>
      </c>
      <c r="G973" s="33">
        <v>13.8888310784917</v>
      </c>
      <c r="H973" s="32">
        <v>0.20904320000000001</v>
      </c>
      <c r="I973" s="32">
        <v>0.20904320000000001</v>
      </c>
      <c r="K973">
        <f t="shared" si="30"/>
        <v>2.2367795131057466E-3</v>
      </c>
      <c r="L973">
        <f t="shared" si="31"/>
        <v>2.5085186609752184E-4</v>
      </c>
    </row>
    <row r="974" spans="1:12" x14ac:dyDescent="0.3">
      <c r="A974" s="28">
        <v>44713</v>
      </c>
      <c r="B974" s="29">
        <v>0.20852882911062501</v>
      </c>
      <c r="C974" s="29">
        <v>0.20862453841820899</v>
      </c>
      <c r="D974" s="29">
        <v>0.20857666</v>
      </c>
      <c r="E974" s="30">
        <v>-2.4561499999999899E-3</v>
      </c>
      <c r="F974" s="30">
        <v>-1.1638711534950299</v>
      </c>
      <c r="G974" s="30">
        <v>13.6346554092934</v>
      </c>
      <c r="H974" s="29">
        <v>0.20857666</v>
      </c>
      <c r="I974" s="29">
        <v>0.20857666</v>
      </c>
      <c r="K974">
        <f t="shared" si="30"/>
        <v>-1.163871153495033E-2</v>
      </c>
      <c r="L974">
        <f t="shared" si="31"/>
        <v>4.5886873240747763E-4</v>
      </c>
    </row>
    <row r="975" spans="1:12" x14ac:dyDescent="0.3">
      <c r="A975" s="31">
        <v>44712</v>
      </c>
      <c r="B975" s="32">
        <v>0.21100162471250999</v>
      </c>
      <c r="C975" s="32">
        <v>0.21106397349036499</v>
      </c>
      <c r="D975" s="32">
        <v>0.21103280999999999</v>
      </c>
      <c r="E975" s="33">
        <v>-4.4540000000009497E-5</v>
      </c>
      <c r="F975" s="33">
        <v>-2.11012692740375E-2</v>
      </c>
      <c r="G975" s="33">
        <v>14.972790552906901</v>
      </c>
      <c r="H975" s="32">
        <v>0.21103280999999999</v>
      </c>
      <c r="I975" s="32">
        <v>0.21103280999999999</v>
      </c>
      <c r="K975">
        <f t="shared" si="30"/>
        <v>-2.1101269274037548E-4</v>
      </c>
      <c r="L975">
        <f t="shared" si="31"/>
        <v>2.9544589703843916E-4</v>
      </c>
    </row>
    <row r="976" spans="1:12" x14ac:dyDescent="0.3">
      <c r="A976" s="28">
        <v>44711</v>
      </c>
      <c r="B976" s="29">
        <v>0.21102834110621099</v>
      </c>
      <c r="C976" s="29">
        <v>0.211126359125937</v>
      </c>
      <c r="D976" s="29">
        <v>0.21107735</v>
      </c>
      <c r="E976" s="30">
        <v>-2.9893000000000199E-4</v>
      </c>
      <c r="F976" s="30">
        <v>-0.14142078761155599</v>
      </c>
      <c r="G976" s="30">
        <v>14.997056391433301</v>
      </c>
      <c r="H976" s="29">
        <v>0.21107735</v>
      </c>
      <c r="I976" s="29">
        <v>0.21107735</v>
      </c>
      <c r="K976">
        <f t="shared" si="30"/>
        <v>-1.4142078761155696E-3</v>
      </c>
      <c r="L976">
        <f t="shared" si="31"/>
        <v>4.6437014547512503E-4</v>
      </c>
    </row>
    <row r="977" spans="1:12" x14ac:dyDescent="0.3">
      <c r="A977" s="31">
        <v>44708</v>
      </c>
      <c r="B977" s="32">
        <v>0.21134946634259699</v>
      </c>
      <c r="C977" s="32">
        <v>0.21140308225693899</v>
      </c>
      <c r="D977" s="32">
        <v>0.21137628</v>
      </c>
      <c r="E977" s="33">
        <v>2.1187199999999902E-3</v>
      </c>
      <c r="F977" s="33">
        <v>1.0124938855255501</v>
      </c>
      <c r="G977" s="33">
        <v>15.159916452293</v>
      </c>
      <c r="H977" s="32">
        <v>0.21137628</v>
      </c>
      <c r="I977" s="32">
        <v>0.21137628</v>
      </c>
      <c r="K977">
        <f t="shared" si="30"/>
        <v>1.0124938855255561E-2</v>
      </c>
      <c r="L977">
        <f t="shared" si="31"/>
        <v>2.5365151824035252E-4</v>
      </c>
    </row>
    <row r="978" spans="1:12" x14ac:dyDescent="0.3">
      <c r="A978" s="28">
        <v>44707</v>
      </c>
      <c r="B978" s="29">
        <v>0.209235662126253</v>
      </c>
      <c r="C978" s="29">
        <v>0.209279450850721</v>
      </c>
      <c r="D978" s="29">
        <v>0.20925756000000001</v>
      </c>
      <c r="E978" s="30">
        <v>2.3210399999999899E-3</v>
      </c>
      <c r="F978" s="30">
        <v>1.1216193255786799</v>
      </c>
      <c r="G978" s="30">
        <v>14.005616555512701</v>
      </c>
      <c r="H978" s="29">
        <v>0.20925756000000001</v>
      </c>
      <c r="I978" s="29">
        <v>0.20925756000000001</v>
      </c>
      <c r="K978">
        <f t="shared" si="30"/>
        <v>1.1216193255786822E-2</v>
      </c>
      <c r="L978">
        <f t="shared" si="31"/>
        <v>2.0925755068539658E-4</v>
      </c>
    </row>
    <row r="979" spans="1:12" x14ac:dyDescent="0.3">
      <c r="A979" s="31">
        <v>44706</v>
      </c>
      <c r="B979" s="32">
        <v>0.20690654031573899</v>
      </c>
      <c r="C979" s="32">
        <v>0.20696649212492499</v>
      </c>
      <c r="D979" s="32">
        <v>0.20693652000000001</v>
      </c>
      <c r="E979" s="33">
        <v>-5.7819999999986202E-5</v>
      </c>
      <c r="F979" s="33">
        <v>-2.7933130925217299E-2</v>
      </c>
      <c r="G979" s="33">
        <v>12.741090694415901</v>
      </c>
      <c r="H979" s="32">
        <v>0.20693652000000001</v>
      </c>
      <c r="I979" s="32">
        <v>0.20693652000000001</v>
      </c>
      <c r="K979">
        <f t="shared" si="30"/>
        <v>-2.793313092521732E-4</v>
      </c>
      <c r="L979">
        <f t="shared" si="31"/>
        <v>2.8971111133983753E-4</v>
      </c>
    </row>
    <row r="980" spans="1:12" x14ac:dyDescent="0.3">
      <c r="A980" s="28">
        <v>44705</v>
      </c>
      <c r="B980" s="29">
        <v>0.20696220870069101</v>
      </c>
      <c r="C980" s="29">
        <v>0.20702647868662399</v>
      </c>
      <c r="D980" s="29">
        <v>0.20699434</v>
      </c>
      <c r="E980" s="30">
        <v>-1.4649299999999999E-3</v>
      </c>
      <c r="F980" s="30">
        <v>-0.70274159551647597</v>
      </c>
      <c r="G980" s="30">
        <v>12.7725916100781</v>
      </c>
      <c r="H980" s="29">
        <v>0.20699434</v>
      </c>
      <c r="I980" s="29">
        <v>0.20699434</v>
      </c>
      <c r="K980">
        <f t="shared" si="30"/>
        <v>-7.0274159551647619E-3</v>
      </c>
      <c r="L980">
        <f t="shared" si="31"/>
        <v>3.1049151359877682E-4</v>
      </c>
    </row>
    <row r="981" spans="1:12" x14ac:dyDescent="0.3">
      <c r="A981" s="31">
        <v>44704</v>
      </c>
      <c r="B981" s="32">
        <v>0.208437552109388</v>
      </c>
      <c r="C981" s="32">
        <v>0.20848100738022801</v>
      </c>
      <c r="D981" s="32">
        <v>0.20845927</v>
      </c>
      <c r="E981" s="33">
        <v>2.8735099999999902E-3</v>
      </c>
      <c r="F981" s="33">
        <v>1.3977184022862099</v>
      </c>
      <c r="G981" s="33">
        <v>13.5707001604247</v>
      </c>
      <c r="H981" s="32">
        <v>0.20845927</v>
      </c>
      <c r="I981" s="32">
        <v>0.20845927</v>
      </c>
      <c r="K981">
        <f t="shared" si="30"/>
        <v>1.3977184022862188E-2</v>
      </c>
      <c r="L981">
        <f t="shared" si="31"/>
        <v>2.0845928722677999E-4</v>
      </c>
    </row>
    <row r="982" spans="1:12" x14ac:dyDescent="0.3">
      <c r="A982" s="28">
        <v>44701</v>
      </c>
      <c r="B982" s="29">
        <v>0.20554984583761601</v>
      </c>
      <c r="C982" s="29">
        <v>0.20562169720148901</v>
      </c>
      <c r="D982" s="29">
        <v>0.20558576000000001</v>
      </c>
      <c r="E982" s="30">
        <v>2.9802399999999899E-3</v>
      </c>
      <c r="F982" s="30">
        <v>1.4709569610936499</v>
      </c>
      <c r="G982" s="30">
        <v>12.0051831046566</v>
      </c>
      <c r="H982" s="29">
        <v>0.20558576000000001</v>
      </c>
      <c r="I982" s="29">
        <v>0.20558576000000001</v>
      </c>
      <c r="K982">
        <f t="shared" si="30"/>
        <v>1.4709569610936502E-2</v>
      </c>
      <c r="L982">
        <f t="shared" si="31"/>
        <v>3.4949582049359327E-4</v>
      </c>
    </row>
    <row r="983" spans="1:12" x14ac:dyDescent="0.3">
      <c r="A983" s="31">
        <v>44700</v>
      </c>
      <c r="B983" s="32">
        <v>0.20257677659833101</v>
      </c>
      <c r="C983" s="32">
        <v>0.202634245187437</v>
      </c>
      <c r="D983" s="32">
        <v>0.20260552000000001</v>
      </c>
      <c r="E983" s="33">
        <v>8.9094000000000597E-4</v>
      </c>
      <c r="F983" s="33">
        <v>0.441683491594901</v>
      </c>
      <c r="G983" s="33">
        <v>10.381518474889299</v>
      </c>
      <c r="H983" s="32">
        <v>0.20260552000000001</v>
      </c>
      <c r="I983" s="32">
        <v>0.20260552000000001</v>
      </c>
      <c r="K983">
        <f t="shared" si="30"/>
        <v>4.4168349159490194E-3</v>
      </c>
      <c r="L983">
        <f t="shared" si="31"/>
        <v>2.8364769679518686E-4</v>
      </c>
    </row>
    <row r="984" spans="1:12" x14ac:dyDescent="0.3">
      <c r="A984" s="28">
        <v>44699</v>
      </c>
      <c r="B984" s="29">
        <v>0.201682028114475</v>
      </c>
      <c r="C984" s="29">
        <v>0.20174713014707399</v>
      </c>
      <c r="D984" s="29">
        <v>0.20171458</v>
      </c>
      <c r="E984" s="30">
        <v>7.8022999999999201E-4</v>
      </c>
      <c r="F984" s="30">
        <v>0.388300955013409</v>
      </c>
      <c r="G984" s="30">
        <v>9.8961254309583602</v>
      </c>
      <c r="H984" s="29">
        <v>0.20171458</v>
      </c>
      <c r="I984" s="29">
        <v>0.20171458</v>
      </c>
      <c r="K984">
        <f t="shared" si="30"/>
        <v>3.8830095501340978E-3</v>
      </c>
      <c r="L984">
        <f t="shared" si="31"/>
        <v>3.2274331681423518E-4</v>
      </c>
    </row>
    <row r="985" spans="1:12" x14ac:dyDescent="0.3">
      <c r="A985" s="31">
        <v>44698</v>
      </c>
      <c r="B985" s="32">
        <v>0.20089599614279699</v>
      </c>
      <c r="C985" s="32">
        <v>0.20097270790626601</v>
      </c>
      <c r="D985" s="32">
        <v>0.20093435000000001</v>
      </c>
      <c r="E985" s="33">
        <v>3.1612800000000098E-3</v>
      </c>
      <c r="F985" s="33">
        <v>1.5984380482135501</v>
      </c>
      <c r="G985" s="33">
        <v>9.4710483049271303</v>
      </c>
      <c r="H985" s="32">
        <v>0.20093435000000001</v>
      </c>
      <c r="I985" s="32">
        <v>0.20093435000000001</v>
      </c>
      <c r="K985">
        <f t="shared" si="30"/>
        <v>1.5984380482135574E-2</v>
      </c>
      <c r="L985">
        <f t="shared" si="31"/>
        <v>3.8177525877988163E-4</v>
      </c>
    </row>
    <row r="986" spans="1:12" x14ac:dyDescent="0.3">
      <c r="A986" s="28">
        <v>44697</v>
      </c>
      <c r="B986" s="29">
        <v>0.197749609444521</v>
      </c>
      <c r="C986" s="29">
        <v>0.197796546472299</v>
      </c>
      <c r="D986" s="29">
        <v>0.19777307</v>
      </c>
      <c r="E986" s="30">
        <v>1.4270699999999999E-3</v>
      </c>
      <c r="F986" s="30">
        <v>0.72681388976603101</v>
      </c>
      <c r="G986" s="30">
        <v>7.7487512681815396</v>
      </c>
      <c r="H986" s="29">
        <v>0.19777307</v>
      </c>
      <c r="I986" s="29">
        <v>0.19777307</v>
      </c>
      <c r="K986">
        <f t="shared" si="30"/>
        <v>7.2681388976603145E-3</v>
      </c>
      <c r="L986">
        <f t="shared" si="31"/>
        <v>2.3732769976215175E-4</v>
      </c>
    </row>
    <row r="987" spans="1:12" x14ac:dyDescent="0.3">
      <c r="A987" s="31">
        <v>44694</v>
      </c>
      <c r="B987" s="32">
        <v>0.19631323740159801</v>
      </c>
      <c r="C987" s="32">
        <v>0.196378775381957</v>
      </c>
      <c r="D987" s="32">
        <v>0.19634599999999999</v>
      </c>
      <c r="E987" s="33">
        <v>1.05827999999999E-3</v>
      </c>
      <c r="F987" s="33">
        <v>0.54190811383327797</v>
      </c>
      <c r="G987" s="33">
        <v>6.9712692253923798</v>
      </c>
      <c r="H987" s="32">
        <v>0.19634599999999999</v>
      </c>
      <c r="I987" s="32">
        <v>0.19634599999999999</v>
      </c>
      <c r="K987">
        <f t="shared" si="30"/>
        <v>5.4190811383327819E-3</v>
      </c>
      <c r="L987">
        <f t="shared" si="31"/>
        <v>3.3378821243617305E-4</v>
      </c>
    </row>
    <row r="988" spans="1:12" x14ac:dyDescent="0.3">
      <c r="A988" s="28">
        <v>44693</v>
      </c>
      <c r="B988" s="29">
        <v>0.19527054734334401</v>
      </c>
      <c r="C988" s="29">
        <v>0.19530487090348</v>
      </c>
      <c r="D988" s="29">
        <v>0.19528772</v>
      </c>
      <c r="E988" s="30">
        <v>8.0059999999992901E-5</v>
      </c>
      <c r="F988" s="30">
        <v>4.1012734848622202E-2</v>
      </c>
      <c r="G988" s="30">
        <v>6.3947076718295399</v>
      </c>
      <c r="H988" s="29">
        <v>0.19528772</v>
      </c>
      <c r="I988" s="29">
        <v>0.19528772</v>
      </c>
      <c r="K988">
        <f t="shared" si="30"/>
        <v>4.1012734848622223E-4</v>
      </c>
      <c r="L988">
        <f t="shared" si="31"/>
        <v>1.7575892706410783E-4</v>
      </c>
    </row>
    <row r="989" spans="1:12" x14ac:dyDescent="0.3">
      <c r="A989" s="31">
        <v>44692</v>
      </c>
      <c r="B989" s="32">
        <v>0.195190505933791</v>
      </c>
      <c r="C989" s="32">
        <v>0.19522480135876499</v>
      </c>
      <c r="D989" s="32">
        <v>0.19520766000000001</v>
      </c>
      <c r="E989" s="33">
        <v>1.1572399999999999E-3</v>
      </c>
      <c r="F989" s="33">
        <v>0.59636047167535</v>
      </c>
      <c r="G989" s="33">
        <v>6.3510901812049099</v>
      </c>
      <c r="H989" s="32">
        <v>0.19520766000000001</v>
      </c>
      <c r="I989" s="32">
        <v>0.19520766000000001</v>
      </c>
      <c r="K989">
        <f t="shared" si="30"/>
        <v>5.9636047167535011E-3</v>
      </c>
      <c r="L989">
        <f t="shared" si="31"/>
        <v>1.7568688121147595E-4</v>
      </c>
    </row>
    <row r="990" spans="1:12" x14ac:dyDescent="0.3">
      <c r="A990" s="28">
        <v>44691</v>
      </c>
      <c r="B990" s="29">
        <v>0.194020294522807</v>
      </c>
      <c r="C990" s="29">
        <v>0.194080543425522</v>
      </c>
      <c r="D990" s="29">
        <v>0.19405042</v>
      </c>
      <c r="E990" s="30">
        <v>-4.9453999999998701E-4</v>
      </c>
      <c r="F990" s="30">
        <v>-0.25420344993773902</v>
      </c>
      <c r="G990" s="30">
        <v>5.72061422753948</v>
      </c>
      <c r="H990" s="29">
        <v>0.19405042</v>
      </c>
      <c r="I990" s="29">
        <v>0.19405042</v>
      </c>
      <c r="K990">
        <f t="shared" si="30"/>
        <v>-2.5420344993773991E-3</v>
      </c>
      <c r="L990">
        <f t="shared" si="31"/>
        <v>3.1048066123741874E-4</v>
      </c>
    </row>
    <row r="991" spans="1:12" x14ac:dyDescent="0.3">
      <c r="A991" s="31">
        <v>44690</v>
      </c>
      <c r="B991" s="32">
        <v>0.19451846952868199</v>
      </c>
      <c r="C991" s="32">
        <v>0.19457145636735099</v>
      </c>
      <c r="D991" s="32">
        <v>0.19454495999999999</v>
      </c>
      <c r="E991" s="33">
        <v>-3.21638000000001E-3</v>
      </c>
      <c r="F991" s="33">
        <v>-1.6263947240648799</v>
      </c>
      <c r="G991" s="33">
        <v>5.9900445774458904</v>
      </c>
      <c r="H991" s="32">
        <v>0.19454495999999999</v>
      </c>
      <c r="I991" s="32">
        <v>0.19454495999999999</v>
      </c>
      <c r="K991">
        <f t="shared" si="30"/>
        <v>-1.6263947240648835E-2</v>
      </c>
      <c r="L991">
        <f t="shared" si="31"/>
        <v>2.7236294720253988E-4</v>
      </c>
    </row>
    <row r="992" spans="1:12" x14ac:dyDescent="0.3">
      <c r="A992" s="28">
        <v>44687</v>
      </c>
      <c r="B992" s="29">
        <v>0.19773787866803799</v>
      </c>
      <c r="C992" s="29">
        <v>0.197784810126582</v>
      </c>
      <c r="D992" s="29">
        <v>0.19776134000000001</v>
      </c>
      <c r="E992" s="30">
        <v>-1.3902799999999901E-3</v>
      </c>
      <c r="F992" s="30">
        <v>-0.69810127580182102</v>
      </c>
      <c r="G992" s="30">
        <v>7.7423606465849</v>
      </c>
      <c r="H992" s="29">
        <v>0.19776134000000001</v>
      </c>
      <c r="I992" s="29">
        <v>0.19776134000000001</v>
      </c>
      <c r="K992">
        <f t="shared" si="30"/>
        <v>-6.9810127580182124E-3</v>
      </c>
      <c r="L992">
        <f t="shared" si="31"/>
        <v>2.3731361520916259E-4</v>
      </c>
    </row>
    <row r="993" spans="1:12" x14ac:dyDescent="0.3">
      <c r="A993" s="31">
        <v>44686</v>
      </c>
      <c r="B993" s="32">
        <v>0.19911989008582101</v>
      </c>
      <c r="C993" s="32">
        <v>0.199183348272084</v>
      </c>
      <c r="D993" s="32">
        <v>0.19915162</v>
      </c>
      <c r="E993" s="33">
        <v>-2.5217999999998999E-4</v>
      </c>
      <c r="F993" s="33">
        <v>-0.126466998121399</v>
      </c>
      <c r="G993" s="33">
        <v>8.49979912854368</v>
      </c>
      <c r="H993" s="32">
        <v>0.19915162</v>
      </c>
      <c r="I993" s="32">
        <v>0.19915162</v>
      </c>
      <c r="K993">
        <f t="shared" si="30"/>
        <v>-1.264669981213995E-3</v>
      </c>
      <c r="L993">
        <f t="shared" si="31"/>
        <v>3.1864258128050122E-4</v>
      </c>
    </row>
    <row r="994" spans="1:12" x14ac:dyDescent="0.3">
      <c r="A994" s="28">
        <v>44685</v>
      </c>
      <c r="B994" s="29">
        <v>0.19938191606021299</v>
      </c>
      <c r="C994" s="29">
        <v>0.19942565411614499</v>
      </c>
      <c r="D994" s="29">
        <v>0.19940379999999999</v>
      </c>
      <c r="E994" s="30">
        <v>-2.6276000000000001E-4</v>
      </c>
      <c r="F994" s="30">
        <v>-0.131599402523885</v>
      </c>
      <c r="G994" s="30">
        <v>8.6371893207210508</v>
      </c>
      <c r="H994" s="29">
        <v>0.19940379999999999</v>
      </c>
      <c r="I994" s="29">
        <v>0.19940379999999999</v>
      </c>
      <c r="K994">
        <f t="shared" si="30"/>
        <v>-1.3159940252388536E-3</v>
      </c>
      <c r="L994">
        <f t="shared" si="31"/>
        <v>2.1934414455490139E-4</v>
      </c>
    </row>
    <row r="995" spans="1:12" x14ac:dyDescent="0.3">
      <c r="A995" s="31">
        <v>44684</v>
      </c>
      <c r="B995" s="32">
        <v>0.19964064683569599</v>
      </c>
      <c r="C995" s="32">
        <v>0.19969247359066999</v>
      </c>
      <c r="D995" s="32">
        <v>0.19966655999999999</v>
      </c>
      <c r="E995" s="33">
        <v>8.0997999999998696E-4</v>
      </c>
      <c r="F995" s="33">
        <v>0.40731868163477097</v>
      </c>
      <c r="G995" s="33">
        <v>8.7803436029659903</v>
      </c>
      <c r="H995" s="32">
        <v>0.19966655999999999</v>
      </c>
      <c r="I995" s="32">
        <v>0.19966655999999999</v>
      </c>
      <c r="K995">
        <f t="shared" si="30"/>
        <v>4.0731868163477181E-3</v>
      </c>
      <c r="L995">
        <f t="shared" si="31"/>
        <v>2.5956652417913546E-4</v>
      </c>
    </row>
    <row r="996" spans="1:12" x14ac:dyDescent="0.3">
      <c r="A996" s="28">
        <v>44683</v>
      </c>
      <c r="B996" s="29">
        <v>0.19883087445818601</v>
      </c>
      <c r="C996" s="29">
        <v>0.19888228157753399</v>
      </c>
      <c r="D996" s="29">
        <v>0.19885658000000001</v>
      </c>
      <c r="E996" s="30">
        <v>-3.0738800000000002E-3</v>
      </c>
      <c r="F996" s="30">
        <v>-1.5222468170478101</v>
      </c>
      <c r="G996" s="30">
        <v>8.3390583786824202</v>
      </c>
      <c r="H996" s="29">
        <v>0.19885658000000001</v>
      </c>
      <c r="I996" s="29">
        <v>0.19885658000000001</v>
      </c>
      <c r="K996">
        <f t="shared" si="30"/>
        <v>-1.5222468170478121E-2</v>
      </c>
      <c r="L996">
        <f t="shared" si="31"/>
        <v>2.5851354452530189E-4</v>
      </c>
    </row>
    <row r="997" spans="1:12" x14ac:dyDescent="0.3">
      <c r="A997" s="31">
        <v>44680</v>
      </c>
      <c r="B997" s="32">
        <v>0.20191006925515401</v>
      </c>
      <c r="C997" s="32">
        <v>0.20195084516428699</v>
      </c>
      <c r="D997" s="32">
        <v>0.20193046000000001</v>
      </c>
      <c r="E997" s="33">
        <v>2.9314099999999902E-3</v>
      </c>
      <c r="F997" s="33">
        <v>1.47307738403776</v>
      </c>
      <c r="G997" s="33">
        <v>10.0137390192177</v>
      </c>
      <c r="H997" s="32">
        <v>0.20193046000000001</v>
      </c>
      <c r="I997" s="32">
        <v>0.20193046000000001</v>
      </c>
      <c r="K997">
        <f t="shared" si="30"/>
        <v>1.4730773840377687E-2</v>
      </c>
      <c r="L997">
        <f t="shared" si="31"/>
        <v>2.0193045235960939E-4</v>
      </c>
    </row>
    <row r="998" spans="1:12" x14ac:dyDescent="0.3">
      <c r="A998" s="28">
        <v>44679</v>
      </c>
      <c r="B998" s="29">
        <v>0.198973297783437</v>
      </c>
      <c r="C998" s="29">
        <v>0.199024778584934</v>
      </c>
      <c r="D998" s="29">
        <v>0.19899905000000001</v>
      </c>
      <c r="E998" s="30">
        <v>1.7213000000002E-4</v>
      </c>
      <c r="F998" s="30">
        <v>8.6572784007321602E-2</v>
      </c>
      <c r="G998" s="30">
        <v>8.4166774629853407</v>
      </c>
      <c r="H998" s="29">
        <v>0.19899905000000001</v>
      </c>
      <c r="I998" s="29">
        <v>0.19899905000000001</v>
      </c>
      <c r="K998">
        <f t="shared" si="30"/>
        <v>8.6572784007321602E-4</v>
      </c>
      <c r="L998">
        <f t="shared" si="31"/>
        <v>2.5869872995373745E-4</v>
      </c>
    </row>
    <row r="999" spans="1:12" x14ac:dyDescent="0.3">
      <c r="A999" s="31">
        <v>44678</v>
      </c>
      <c r="B999" s="32">
        <v>0.198807157057654</v>
      </c>
      <c r="C999" s="32">
        <v>0.19884668920262499</v>
      </c>
      <c r="D999" s="32">
        <v>0.19882691999999999</v>
      </c>
      <c r="E999" s="33">
        <v>-1.43340999999999E-3</v>
      </c>
      <c r="F999" s="33">
        <v>-0.71577331366626795</v>
      </c>
      <c r="G999" s="33">
        <v>8.3228993133323392</v>
      </c>
      <c r="H999" s="32">
        <v>0.19882691999999999</v>
      </c>
      <c r="I999" s="32">
        <v>0.19882691999999999</v>
      </c>
      <c r="K999">
        <f t="shared" si="30"/>
        <v>-7.1577331366626806E-3</v>
      </c>
      <c r="L999">
        <f t="shared" si="31"/>
        <v>1.9882692429671218E-4</v>
      </c>
    </row>
    <row r="1000" spans="1:12" x14ac:dyDescent="0.3">
      <c r="A1000" s="28">
        <v>44677</v>
      </c>
      <c r="B1000" s="29">
        <v>0.20024028834601501</v>
      </c>
      <c r="C1000" s="29">
        <v>0.200280392549569</v>
      </c>
      <c r="D1000" s="29">
        <v>0.20026032999999999</v>
      </c>
      <c r="E1000" s="30">
        <v>-2.5259500000000198E-3</v>
      </c>
      <c r="F1000" s="30">
        <v>-1.24562174521867</v>
      </c>
      <c r="G1000" s="30">
        <v>9.1038354516818298</v>
      </c>
      <c r="H1000" s="29">
        <v>0.20026032999999999</v>
      </c>
      <c r="I1000" s="29">
        <v>0.20026032999999999</v>
      </c>
      <c r="K1000">
        <f t="shared" si="30"/>
        <v>-1.2456217452186724E-2</v>
      </c>
      <c r="L1000">
        <f t="shared" si="31"/>
        <v>2.0026034888683271E-4</v>
      </c>
    </row>
    <row r="1001" spans="1:12" x14ac:dyDescent="0.3">
      <c r="A1001" s="31">
        <v>44676</v>
      </c>
      <c r="B1001" s="32">
        <v>0.20277394760321199</v>
      </c>
      <c r="C1001" s="32">
        <v>0.20279862096937701</v>
      </c>
      <c r="D1001" s="32">
        <v>0.20278628000000001</v>
      </c>
      <c r="E1001" s="33">
        <v>-7.8864099999999809E-3</v>
      </c>
      <c r="F1001" s="33">
        <v>-3.7434420189916202</v>
      </c>
      <c r="G1001" s="33">
        <v>10.4799983350605</v>
      </c>
      <c r="H1001" s="32">
        <v>0.20278628000000001</v>
      </c>
      <c r="I1001" s="32">
        <v>0.20278628000000001</v>
      </c>
      <c r="K1001">
        <f t="shared" si="30"/>
        <v>-3.7434420189916273E-2</v>
      </c>
      <c r="L1001">
        <f t="shared" si="31"/>
        <v>1.2167177269102134E-4</v>
      </c>
    </row>
    <row r="1002" spans="1:12" x14ac:dyDescent="0.3">
      <c r="A1002" s="28">
        <v>44673</v>
      </c>
      <c r="B1002" s="29">
        <v>0.210646051439766</v>
      </c>
      <c r="C1002" s="29">
        <v>0.21069931101325301</v>
      </c>
      <c r="D1002" s="29">
        <v>0.21067269</v>
      </c>
      <c r="E1002" s="30">
        <v>-5.6534400000000096E-3</v>
      </c>
      <c r="F1002" s="30">
        <v>-2.61338748120719</v>
      </c>
      <c r="G1002" s="30">
        <v>14.7765935665999</v>
      </c>
      <c r="H1002" s="29">
        <v>0.21067269</v>
      </c>
      <c r="I1002" s="29">
        <v>0.21067269</v>
      </c>
      <c r="K1002">
        <f t="shared" si="30"/>
        <v>-2.6133874812071967E-2</v>
      </c>
      <c r="L1002">
        <f t="shared" si="31"/>
        <v>2.528072029032706E-4</v>
      </c>
    </row>
    <row r="1003" spans="1:12" x14ac:dyDescent="0.3">
      <c r="A1003" s="31">
        <v>44672</v>
      </c>
      <c r="B1003" s="32">
        <v>0.21628636314480401</v>
      </c>
      <c r="C1003" s="32">
        <v>0.21636591804058999</v>
      </c>
      <c r="D1003" s="32">
        <v>0.21632613000000001</v>
      </c>
      <c r="E1003" s="33">
        <v>-2.13130000000005E-4</v>
      </c>
      <c r="F1003" s="33">
        <v>-9.8425569571081103E-2</v>
      </c>
      <c r="G1003" s="33">
        <v>17.856644355969699</v>
      </c>
      <c r="H1003" s="32">
        <v>0.21632613000000001</v>
      </c>
      <c r="I1003" s="32">
        <v>0.21632613000000001</v>
      </c>
      <c r="K1003">
        <f t="shared" si="30"/>
        <v>-9.8425569571081173E-4</v>
      </c>
      <c r="L1003">
        <f t="shared" si="31"/>
        <v>3.6775444457857505E-4</v>
      </c>
    </row>
    <row r="1004" spans="1:12" x14ac:dyDescent="0.3">
      <c r="A1004" s="28">
        <v>44671</v>
      </c>
      <c r="B1004" s="29">
        <v>0.216511139498127</v>
      </c>
      <c r="C1004" s="29">
        <v>0.21656740660530599</v>
      </c>
      <c r="D1004" s="29">
        <v>0.21653926000000001</v>
      </c>
      <c r="E1004" s="30">
        <v>2.8982700000000001E-3</v>
      </c>
      <c r="F1004" s="30">
        <v>1.35660764350511</v>
      </c>
      <c r="G1004" s="30">
        <v>17.9727597166595</v>
      </c>
      <c r="H1004" s="29">
        <v>0.21653926000000001</v>
      </c>
      <c r="I1004" s="29">
        <v>0.21653926000000001</v>
      </c>
      <c r="K1004">
        <f t="shared" si="30"/>
        <v>1.3566076435051144E-2</v>
      </c>
      <c r="L1004">
        <f t="shared" si="31"/>
        <v>2.5984713893908496E-4</v>
      </c>
    </row>
    <row r="1005" spans="1:12" x14ac:dyDescent="0.3">
      <c r="A1005" s="31">
        <v>44670</v>
      </c>
      <c r="B1005" s="32">
        <v>0.21362500267031301</v>
      </c>
      <c r="C1005" s="32">
        <v>0.21365695239723101</v>
      </c>
      <c r="D1005" s="32">
        <v>0.21364099</v>
      </c>
      <c r="E1005" s="33">
        <v>-2.8564000000000302E-4</v>
      </c>
      <c r="F1005" s="33">
        <v>-0.13352241373596399</v>
      </c>
      <c r="G1005" s="33">
        <v>16.393753164665199</v>
      </c>
      <c r="H1005" s="32">
        <v>0.21364099</v>
      </c>
      <c r="I1005" s="32">
        <v>0.21364099</v>
      </c>
      <c r="K1005">
        <f t="shared" si="30"/>
        <v>-1.3352241373596474E-3</v>
      </c>
      <c r="L1005">
        <f t="shared" si="31"/>
        <v>1.495486747089187E-4</v>
      </c>
    </row>
    <row r="1006" spans="1:12" x14ac:dyDescent="0.3">
      <c r="A1006" s="28">
        <v>44669</v>
      </c>
      <c r="B1006" s="29">
        <v>0.21389916793223701</v>
      </c>
      <c r="C1006" s="29">
        <v>0.213954085453262</v>
      </c>
      <c r="D1006" s="29">
        <v>0.21392663000000001</v>
      </c>
      <c r="E1006" s="30">
        <v>1.88916E-3</v>
      </c>
      <c r="F1006" s="30">
        <v>0.89095573532358396</v>
      </c>
      <c r="G1006" s="30">
        <v>16.5493727002887</v>
      </c>
      <c r="H1006" s="29">
        <v>0.21392663000000001</v>
      </c>
      <c r="I1006" s="29">
        <v>0.21392663000000001</v>
      </c>
      <c r="K1006">
        <f t="shared" si="30"/>
        <v>8.9095573532358419E-3</v>
      </c>
      <c r="L1006">
        <f t="shared" si="31"/>
        <v>2.5671194383321326E-4</v>
      </c>
    </row>
    <row r="1007" spans="1:12" x14ac:dyDescent="0.3">
      <c r="A1007" s="31">
        <v>44666</v>
      </c>
      <c r="B1007" s="32">
        <v>0.21202612161818299</v>
      </c>
      <c r="C1007" s="32">
        <v>0.212048601539473</v>
      </c>
      <c r="D1007" s="32">
        <v>0.21203747000000001</v>
      </c>
      <c r="E1007" s="33">
        <v>1.00000000002875E-7</v>
      </c>
      <c r="F1007" s="33">
        <v>4.7161497995773502E-5</v>
      </c>
      <c r="G1007" s="33">
        <v>15.5201393929138</v>
      </c>
      <c r="H1007" s="32">
        <v>0.21203747000000001</v>
      </c>
      <c r="I1007" s="32">
        <v>0.21203747000000001</v>
      </c>
      <c r="K1007">
        <f t="shared" si="30"/>
        <v>4.7161497995773516E-7</v>
      </c>
      <c r="L1007">
        <f t="shared" si="31"/>
        <v>1.0601862628340368E-4</v>
      </c>
    </row>
    <row r="1008" spans="1:12" x14ac:dyDescent="0.3">
      <c r="A1008" s="28">
        <v>44665</v>
      </c>
      <c r="B1008" s="29">
        <v>0.21202612161818299</v>
      </c>
      <c r="C1008" s="29">
        <v>0.212048601539473</v>
      </c>
      <c r="D1008" s="29">
        <v>0.21203737</v>
      </c>
      <c r="E1008" s="30">
        <v>-1.1617800000000001E-3</v>
      </c>
      <c r="F1008" s="30">
        <v>-0.54492712564754298</v>
      </c>
      <c r="G1008" s="30">
        <v>15.520084911911299</v>
      </c>
      <c r="H1008" s="29">
        <v>0.21203737</v>
      </c>
      <c r="I1008" s="29">
        <v>0.21203737</v>
      </c>
      <c r="K1008">
        <f t="shared" si="30"/>
        <v>-5.4492712564754298E-3</v>
      </c>
      <c r="L1008">
        <f t="shared" si="31"/>
        <v>1.0601867628337599E-4</v>
      </c>
    </row>
    <row r="1009" spans="1:12" x14ac:dyDescent="0.3">
      <c r="A1009" s="31">
        <v>44664</v>
      </c>
      <c r="B1009" s="32">
        <v>0.213160531196044</v>
      </c>
      <c r="C1009" s="32">
        <v>0.21323780279768001</v>
      </c>
      <c r="D1009" s="32">
        <v>0.21319915</v>
      </c>
      <c r="E1009" s="33">
        <v>-1.4967800000000001E-3</v>
      </c>
      <c r="F1009" s="33">
        <v>-0.69716272683883995</v>
      </c>
      <c r="G1009" s="33">
        <v>16.153034303091498</v>
      </c>
      <c r="H1009" s="32">
        <v>0.21319915</v>
      </c>
      <c r="I1009" s="32">
        <v>0.21319915</v>
      </c>
      <c r="K1009">
        <f t="shared" si="30"/>
        <v>-6.9716272683884029E-3</v>
      </c>
      <c r="L1009">
        <f t="shared" si="31"/>
        <v>3.6243860088564449E-4</v>
      </c>
    </row>
    <row r="1010" spans="1:12" x14ac:dyDescent="0.3">
      <c r="A1010" s="28">
        <v>44663</v>
      </c>
      <c r="B1010" s="29">
        <v>0.214679805070737</v>
      </c>
      <c r="C1010" s="29">
        <v>0.21471207111263799</v>
      </c>
      <c r="D1010" s="29">
        <v>0.21469593000000001</v>
      </c>
      <c r="E1010" s="30">
        <v>2.3704499999999901E-3</v>
      </c>
      <c r="F1010" s="30">
        <v>1.1164227675359599</v>
      </c>
      <c r="G1010" s="30">
        <v>16.968495052743599</v>
      </c>
      <c r="H1010" s="29">
        <v>0.21469593000000001</v>
      </c>
      <c r="I1010" s="29">
        <v>0.21469593000000001</v>
      </c>
      <c r="K1010">
        <f t="shared" si="30"/>
        <v>1.1164227675359628E-2</v>
      </c>
      <c r="L1010">
        <f t="shared" si="31"/>
        <v>1.5028716147989251E-4</v>
      </c>
    </row>
    <row r="1011" spans="1:12" x14ac:dyDescent="0.3">
      <c r="A1011" s="31">
        <v>44662</v>
      </c>
      <c r="B1011" s="32">
        <v>0.212296195652174</v>
      </c>
      <c r="C1011" s="32">
        <v>0.21235480240385601</v>
      </c>
      <c r="D1011" s="32">
        <v>0.21232548000000001</v>
      </c>
      <c r="E1011" s="33">
        <v>1.81690000000001E-3</v>
      </c>
      <c r="F1011" s="33">
        <v>0.86310021187734298</v>
      </c>
      <c r="G1011" s="33">
        <v>15.677050128297299</v>
      </c>
      <c r="H1011" s="32">
        <v>0.21232548000000001</v>
      </c>
      <c r="I1011" s="32">
        <v>0.21232548000000001</v>
      </c>
      <c r="K1011">
        <f t="shared" si="30"/>
        <v>8.6310021187734343E-3</v>
      </c>
      <c r="L1011">
        <f t="shared" si="31"/>
        <v>2.7602316821330637E-4</v>
      </c>
    </row>
    <row r="1012" spans="1:12" x14ac:dyDescent="0.3">
      <c r="A1012" s="28">
        <v>44659</v>
      </c>
      <c r="B1012" s="29">
        <v>0.21048200378867599</v>
      </c>
      <c r="C1012" s="29">
        <v>0.21053518042864999</v>
      </c>
      <c r="D1012" s="29">
        <v>0.21050858</v>
      </c>
      <c r="E1012" s="30">
        <v>5.9651999999998896E-4</v>
      </c>
      <c r="F1012" s="30">
        <v>0.28417614500091298</v>
      </c>
      <c r="G1012" s="30">
        <v>14.687184793349701</v>
      </c>
      <c r="H1012" s="29">
        <v>0.21050858</v>
      </c>
      <c r="I1012" s="29">
        <v>0.21050858</v>
      </c>
      <c r="K1012">
        <f t="shared" si="30"/>
        <v>2.8417614500091393E-3</v>
      </c>
      <c r="L1012">
        <f t="shared" si="31"/>
        <v>2.5261032103302558E-4</v>
      </c>
    </row>
    <row r="1013" spans="1:12" x14ac:dyDescent="0.3">
      <c r="A1013" s="31">
        <v>44658</v>
      </c>
      <c r="B1013" s="32">
        <v>0.209898828764535</v>
      </c>
      <c r="C1013" s="32">
        <v>0.20992526660508901</v>
      </c>
      <c r="D1013" s="32">
        <v>0.20991206000000001</v>
      </c>
      <c r="E1013" s="33">
        <v>-3.1008999999999798E-3</v>
      </c>
      <c r="F1013" s="33">
        <v>-1.45573302206588</v>
      </c>
      <c r="G1013" s="33">
        <v>14.3621947170643</v>
      </c>
      <c r="H1013" s="32">
        <v>0.20991206000000001</v>
      </c>
      <c r="I1013" s="32">
        <v>0.20991206000000001</v>
      </c>
      <c r="K1013">
        <f t="shared" si="30"/>
        <v>-1.455733022065886E-2</v>
      </c>
      <c r="L1013">
        <f t="shared" si="31"/>
        <v>1.2594722072664882E-4</v>
      </c>
    </row>
    <row r="1014" spans="1:12" x14ac:dyDescent="0.3">
      <c r="A1014" s="28">
        <v>44657</v>
      </c>
      <c r="B1014" s="29">
        <v>0.21300161881230301</v>
      </c>
      <c r="C1014" s="29">
        <v>0.21302430607332301</v>
      </c>
      <c r="D1014" s="29">
        <v>0.21301296</v>
      </c>
      <c r="E1014" s="30">
        <v>-1.34011E-3</v>
      </c>
      <c r="F1014" s="30">
        <v>-0.62518815335837996</v>
      </c>
      <c r="G1014" s="30">
        <v>16.051596124482899</v>
      </c>
      <c r="H1014" s="29">
        <v>0.21301296</v>
      </c>
      <c r="I1014" s="29">
        <v>0.21301296</v>
      </c>
      <c r="K1014">
        <f t="shared" si="30"/>
        <v>-6.2518815335838029E-3</v>
      </c>
      <c r="L1014">
        <f t="shared" si="31"/>
        <v>1.0650648214082665E-4</v>
      </c>
    </row>
    <row r="1015" spans="1:12" x14ac:dyDescent="0.3">
      <c r="A1015" s="31">
        <v>44656</v>
      </c>
      <c r="B1015" s="32">
        <v>0.214307145000214</v>
      </c>
      <c r="C1015" s="32">
        <v>0.21439903949230299</v>
      </c>
      <c r="D1015" s="32">
        <v>0.21435307000000001</v>
      </c>
      <c r="E1015" s="33">
        <v>-2.5666699999999901E-3</v>
      </c>
      <c r="F1015" s="33">
        <v>-1.1832348683434599</v>
      </c>
      <c r="G1015" s="33">
        <v>16.781701487473001</v>
      </c>
      <c r="H1015" s="32">
        <v>0.21435307000000001</v>
      </c>
      <c r="I1015" s="32">
        <v>0.21435307000000001</v>
      </c>
      <c r="K1015">
        <f t="shared" si="30"/>
        <v>-1.1832348683434635E-2</v>
      </c>
      <c r="L1015">
        <f t="shared" si="31"/>
        <v>4.2870620928820704E-4</v>
      </c>
    </row>
    <row r="1016" spans="1:12" x14ac:dyDescent="0.3">
      <c r="A1016" s="28">
        <v>44655</v>
      </c>
      <c r="B1016" s="29">
        <v>0.21689621516104499</v>
      </c>
      <c r="C1016" s="29">
        <v>0.21694326933506899</v>
      </c>
      <c r="D1016" s="29">
        <v>0.21691974</v>
      </c>
      <c r="E1016" s="30">
        <v>4.0813299999999898E-3</v>
      </c>
      <c r="F1016" s="30">
        <v>1.9175721149204199</v>
      </c>
      <c r="G1016" s="30">
        <v>18.180049035081499</v>
      </c>
      <c r="H1016" s="29">
        <v>0.21691974</v>
      </c>
      <c r="I1016" s="29">
        <v>0.21691974</v>
      </c>
      <c r="K1016">
        <f t="shared" si="30"/>
        <v>1.9175721149204294E-2</v>
      </c>
      <c r="L1016">
        <f t="shared" si="31"/>
        <v>2.1691974194699038E-4</v>
      </c>
    </row>
    <row r="1017" spans="1:12" x14ac:dyDescent="0.3">
      <c r="A1017" s="31">
        <v>44652</v>
      </c>
      <c r="B1017" s="32">
        <v>0.21281123643328401</v>
      </c>
      <c r="C1017" s="32">
        <v>0.21286559666226701</v>
      </c>
      <c r="D1017" s="32">
        <v>0.21283841000000001</v>
      </c>
      <c r="E1017" s="33">
        <v>2.3984700000000102E-3</v>
      </c>
      <c r="F1017" s="33">
        <v>1.1397408685822601</v>
      </c>
      <c r="G1017" s="33">
        <v>15.956499534568801</v>
      </c>
      <c r="H1017" s="32">
        <v>0.21283841000000001</v>
      </c>
      <c r="I1017" s="32">
        <v>0.21283841000000001</v>
      </c>
      <c r="K1017">
        <f t="shared" si="30"/>
        <v>1.1397408685822619E-2</v>
      </c>
      <c r="L1017">
        <f t="shared" si="31"/>
        <v>2.554061035458897E-4</v>
      </c>
    </row>
    <row r="1018" spans="1:12" x14ac:dyDescent="0.3">
      <c r="A1018" s="28">
        <v>44651</v>
      </c>
      <c r="B1018" s="29">
        <v>0.21042442606737799</v>
      </c>
      <c r="C1018" s="29">
        <v>0.21045542554086999</v>
      </c>
      <c r="D1018" s="29">
        <v>0.21043993999999999</v>
      </c>
      <c r="E1018" s="30">
        <v>2.7865999999998598E-4</v>
      </c>
      <c r="F1018" s="30">
        <v>0.13259340635913799</v>
      </c>
      <c r="G1018" s="30">
        <v>14.649789033213899</v>
      </c>
      <c r="H1018" s="29">
        <v>0.21043993999999999</v>
      </c>
      <c r="I1018" s="29">
        <v>0.21043993999999999</v>
      </c>
      <c r="K1018">
        <f t="shared" si="30"/>
        <v>1.325934063591383E-3</v>
      </c>
      <c r="L1018">
        <f t="shared" si="31"/>
        <v>1.4730793732406209E-4</v>
      </c>
    </row>
    <row r="1019" spans="1:12" x14ac:dyDescent="0.3">
      <c r="A1019" s="31">
        <v>44650</v>
      </c>
      <c r="B1019" s="32">
        <v>0.210128178188695</v>
      </c>
      <c r="C1019" s="32">
        <v>0.210194429847609</v>
      </c>
      <c r="D1019" s="32">
        <v>0.21016128000000001</v>
      </c>
      <c r="E1019" s="33">
        <v>-4.3376000000000498E-4</v>
      </c>
      <c r="F1019" s="33">
        <v>-0.205968763556829</v>
      </c>
      <c r="G1019" s="33">
        <v>14.4979722715668</v>
      </c>
      <c r="H1019" s="32">
        <v>0.21016128000000001</v>
      </c>
      <c r="I1019" s="32">
        <v>0.21016128000000001</v>
      </c>
      <c r="K1019">
        <f t="shared" si="30"/>
        <v>-2.0596876355682969E-3</v>
      </c>
      <c r="L1019">
        <f t="shared" si="31"/>
        <v>3.1524198422276499E-4</v>
      </c>
    </row>
    <row r="1020" spans="1:12" x14ac:dyDescent="0.3">
      <c r="A1020" s="28">
        <v>44649</v>
      </c>
      <c r="B1020" s="29">
        <v>0.21056177882590801</v>
      </c>
      <c r="C1020" s="29">
        <v>0.21062830423152301</v>
      </c>
      <c r="D1020" s="29">
        <v>0.21059504000000001</v>
      </c>
      <c r="E1020" s="30">
        <v>2.5694100000000198E-3</v>
      </c>
      <c r="F1020" s="30">
        <v>1.2351410737225099</v>
      </c>
      <c r="G1020" s="30">
        <v>14.734289068136199</v>
      </c>
      <c r="H1020" s="29">
        <v>0.21059504000000001</v>
      </c>
      <c r="I1020" s="29">
        <v>0.21059504000000001</v>
      </c>
      <c r="K1020">
        <f t="shared" si="30"/>
        <v>1.2351410737225121E-2</v>
      </c>
      <c r="L1020">
        <f t="shared" si="31"/>
        <v>3.1589255670502856E-4</v>
      </c>
    </row>
    <row r="1021" spans="1:12" x14ac:dyDescent="0.3">
      <c r="A1021" s="31">
        <v>44648</v>
      </c>
      <c r="B1021" s="32">
        <v>0.20798668885191299</v>
      </c>
      <c r="C1021" s="32">
        <v>0.20806458324664001</v>
      </c>
      <c r="D1021" s="32">
        <v>0.20802562999999999</v>
      </c>
      <c r="E1021" s="33">
        <v>-2.2439399999999998E-3</v>
      </c>
      <c r="F1021" s="33">
        <v>-1.06717296278296</v>
      </c>
      <c r="G1021" s="33">
        <v>13.334448741058401</v>
      </c>
      <c r="H1021" s="32">
        <v>0.20802562999999999</v>
      </c>
      <c r="I1021" s="32">
        <v>0.20802562999999999</v>
      </c>
      <c r="K1021">
        <f t="shared" si="30"/>
        <v>-1.0671729627829696E-2</v>
      </c>
      <c r="L1021">
        <f t="shared" si="31"/>
        <v>3.7444614265570963E-4</v>
      </c>
    </row>
    <row r="1022" spans="1:12" x14ac:dyDescent="0.3">
      <c r="A1022" s="28">
        <v>44645</v>
      </c>
      <c r="B1022" s="29">
        <v>0.210220942210263</v>
      </c>
      <c r="C1022" s="29">
        <v>0.21031821145393001</v>
      </c>
      <c r="D1022" s="29">
        <v>0.21026956999999999</v>
      </c>
      <c r="E1022" s="30">
        <v>2.7662499999999901E-3</v>
      </c>
      <c r="F1022" s="30">
        <v>1.33311120034127</v>
      </c>
      <c r="G1022" s="30">
        <v>14.5569697492054</v>
      </c>
      <c r="H1022" s="29">
        <v>0.21026956999999999</v>
      </c>
      <c r="I1022" s="29">
        <v>0.21026956999999999</v>
      </c>
      <c r="K1022">
        <f t="shared" si="30"/>
        <v>1.3331112003412748E-2</v>
      </c>
      <c r="L1022">
        <f t="shared" si="31"/>
        <v>4.6259305931435624E-4</v>
      </c>
    </row>
    <row r="1023" spans="1:12" x14ac:dyDescent="0.3">
      <c r="A1023" s="31">
        <v>44644</v>
      </c>
      <c r="B1023" s="32">
        <v>0.20748179347262299</v>
      </c>
      <c r="C1023" s="32">
        <v>0.20752485110091901</v>
      </c>
      <c r="D1023" s="32">
        <v>0.20750331999999999</v>
      </c>
      <c r="E1023" s="33">
        <v>1.2752299999999801E-3</v>
      </c>
      <c r="F1023" s="33">
        <v>0.61835902179958602</v>
      </c>
      <c r="G1023" s="33">
        <v>13.049889016749701</v>
      </c>
      <c r="H1023" s="32">
        <v>0.20750331999999999</v>
      </c>
      <c r="I1023" s="32">
        <v>0.20750331999999999</v>
      </c>
      <c r="K1023">
        <f t="shared" si="30"/>
        <v>6.1835902179958602E-3</v>
      </c>
      <c r="L1023">
        <f t="shared" si="31"/>
        <v>2.0750332233725977E-4</v>
      </c>
    </row>
    <row r="1024" spans="1:12" x14ac:dyDescent="0.3">
      <c r="A1024" s="28">
        <v>44643</v>
      </c>
      <c r="B1024" s="29">
        <v>0.20620257340811601</v>
      </c>
      <c r="C1024" s="29">
        <v>0.20625360943816501</v>
      </c>
      <c r="D1024" s="29">
        <v>0.20622809</v>
      </c>
      <c r="E1024" s="30">
        <v>3.7415600000000001E-3</v>
      </c>
      <c r="F1024" s="30">
        <v>1.8478068639923899</v>
      </c>
      <c r="G1024" s="30">
        <v>12.355130928200399</v>
      </c>
      <c r="H1024" s="29">
        <v>0.20622809</v>
      </c>
      <c r="I1024" s="29">
        <v>0.20622809</v>
      </c>
      <c r="K1024">
        <f t="shared" si="30"/>
        <v>1.8478068639923961E-2</v>
      </c>
      <c r="L1024">
        <f t="shared" si="31"/>
        <v>2.4747370762632468E-4</v>
      </c>
    </row>
    <row r="1025" spans="1:12" x14ac:dyDescent="0.3">
      <c r="A1025" s="31">
        <v>44642</v>
      </c>
      <c r="B1025" s="32">
        <v>0.20246193715581501</v>
      </c>
      <c r="C1025" s="32">
        <v>0.202511138112596</v>
      </c>
      <c r="D1025" s="32">
        <v>0.20248653</v>
      </c>
      <c r="E1025" s="33">
        <v>4.0101000000000698E-4</v>
      </c>
      <c r="F1025" s="33">
        <v>0.19843579094633801</v>
      </c>
      <c r="G1025" s="33">
        <v>10.316691529980099</v>
      </c>
      <c r="H1025" s="32">
        <v>0.20248653</v>
      </c>
      <c r="I1025" s="32">
        <v>0.20248653</v>
      </c>
      <c r="K1025">
        <f t="shared" si="30"/>
        <v>1.9843579094633856E-3</v>
      </c>
      <c r="L1025">
        <f t="shared" si="31"/>
        <v>2.4298385073311799E-4</v>
      </c>
    </row>
    <row r="1026" spans="1:12" x14ac:dyDescent="0.3">
      <c r="A1026" s="28">
        <v>44641</v>
      </c>
      <c r="B1026" s="29">
        <v>0.202052857027398</v>
      </c>
      <c r="C1026" s="29">
        <v>0.202118198722613</v>
      </c>
      <c r="D1026" s="29">
        <v>0.20208551999999999</v>
      </c>
      <c r="E1026" s="30">
        <v>2.74333999999998E-3</v>
      </c>
      <c r="F1026" s="30">
        <v>1.3761964477362301</v>
      </c>
      <c r="G1026" s="30">
        <v>10.098217261739</v>
      </c>
      <c r="H1026" s="29">
        <v>0.20208551999999999</v>
      </c>
      <c r="I1026" s="29">
        <v>0.20208551999999999</v>
      </c>
      <c r="K1026">
        <f t="shared" si="30"/>
        <v>1.3761964477362332E-2</v>
      </c>
      <c r="L1026">
        <f t="shared" si="31"/>
        <v>3.2333684875093094E-4</v>
      </c>
    </row>
    <row r="1027" spans="1:12" x14ac:dyDescent="0.3">
      <c r="A1027" s="31">
        <v>44638</v>
      </c>
      <c r="B1027" s="32">
        <v>0.19931435860639399</v>
      </c>
      <c r="C1027" s="32">
        <v>0.19936999082897999</v>
      </c>
      <c r="D1027" s="32">
        <v>0.19934218000000001</v>
      </c>
      <c r="E1027" s="33">
        <v>1.0671700000000001E-3</v>
      </c>
      <c r="F1027" s="33">
        <v>0.53822718253804203</v>
      </c>
      <c r="G1027" s="33">
        <v>8.6036181269627594</v>
      </c>
      <c r="H1027" s="32">
        <v>0.19934218000000001</v>
      </c>
      <c r="I1027" s="32">
        <v>0.19934218000000001</v>
      </c>
      <c r="K1027">
        <f t="shared" si="30"/>
        <v>5.3822718253804247E-3</v>
      </c>
      <c r="L1027">
        <f t="shared" si="31"/>
        <v>2.7907903177343144E-4</v>
      </c>
    </row>
    <row r="1028" spans="1:12" x14ac:dyDescent="0.3">
      <c r="A1028" s="28">
        <v>44637</v>
      </c>
      <c r="B1028" s="29">
        <v>0.198255352894528</v>
      </c>
      <c r="C1028" s="29">
        <v>0.19829466587348801</v>
      </c>
      <c r="D1028" s="29">
        <v>0.19827501</v>
      </c>
      <c r="E1028" s="30">
        <v>2.62049999999999E-3</v>
      </c>
      <c r="F1028" s="30">
        <v>1.3393506748196</v>
      </c>
      <c r="G1028" s="30">
        <v>8.0222132122750995</v>
      </c>
      <c r="H1028" s="29">
        <v>0.19827501</v>
      </c>
      <c r="I1028" s="29">
        <v>0.19827501</v>
      </c>
      <c r="K1028">
        <f t="shared" si="30"/>
        <v>1.339350674819606E-2</v>
      </c>
      <c r="L1028">
        <f t="shared" si="31"/>
        <v>1.9827500682012301E-4</v>
      </c>
    </row>
    <row r="1029" spans="1:12" x14ac:dyDescent="0.3">
      <c r="A1029" s="31">
        <v>44636</v>
      </c>
      <c r="B1029" s="32">
        <v>0.19560667409971999</v>
      </c>
      <c r="C1029" s="32">
        <v>0.19570237582684299</v>
      </c>
      <c r="D1029" s="32">
        <v>0.19565451</v>
      </c>
      <c r="E1029" s="33">
        <v>1.1606399999999899E-3</v>
      </c>
      <c r="F1029" s="33">
        <v>0.596748884682063</v>
      </c>
      <c r="G1029" s="33">
        <v>6.5945385410053001</v>
      </c>
      <c r="H1029" s="32">
        <v>0.19565451</v>
      </c>
      <c r="I1029" s="32">
        <v>0.19565451</v>
      </c>
      <c r="K1029">
        <f t="shared" ref="K1029:K1092" si="32">D1029/D1030-1</f>
        <v>5.9674888468206344E-3</v>
      </c>
      <c r="L1029">
        <f t="shared" ref="L1029:L1092" si="33">(C1029-B1029)/D1029</f>
        <v>4.8913632056324331E-4</v>
      </c>
    </row>
    <row r="1030" spans="1:12" x14ac:dyDescent="0.3">
      <c r="A1030" s="28">
        <v>44635</v>
      </c>
      <c r="B1030" s="29">
        <v>0.19447307520273799</v>
      </c>
      <c r="C1030" s="29">
        <v>0.19451468585878201</v>
      </c>
      <c r="D1030" s="29">
        <v>0.19449387000000001</v>
      </c>
      <c r="E1030" s="30">
        <v>-2.2306599999999898E-3</v>
      </c>
      <c r="F1030" s="30">
        <v>-1.1339002817798001</v>
      </c>
      <c r="G1030" s="30">
        <v>5.9622102332538898</v>
      </c>
      <c r="H1030" s="29">
        <v>0.19449387000000001</v>
      </c>
      <c r="I1030" s="29">
        <v>0.19449387000000001</v>
      </c>
      <c r="K1030">
        <f t="shared" si="32"/>
        <v>-1.1339002817798094E-2</v>
      </c>
      <c r="L1030">
        <f t="shared" si="33"/>
        <v>2.1394327771884092E-4</v>
      </c>
    </row>
    <row r="1031" spans="1:12" x14ac:dyDescent="0.3">
      <c r="A1031" s="31">
        <v>44634</v>
      </c>
      <c r="B1031" s="32">
        <v>0.196691646505773</v>
      </c>
      <c r="C1031" s="32">
        <v>0.196757437431135</v>
      </c>
      <c r="D1031" s="32">
        <v>0.19672453000000001</v>
      </c>
      <c r="E1031" s="33">
        <v>-1.6586499999999801E-3</v>
      </c>
      <c r="F1031" s="33">
        <v>-0.83608398655570204</v>
      </c>
      <c r="G1031" s="33">
        <v>7.1774961642650297</v>
      </c>
      <c r="H1031" s="32">
        <v>0.19672453000000001</v>
      </c>
      <c r="I1031" s="32">
        <v>0.19672453000000001</v>
      </c>
      <c r="K1031">
        <f t="shared" si="32"/>
        <v>-8.3608398655570237E-3</v>
      </c>
      <c r="L1031">
        <f t="shared" si="33"/>
        <v>3.3443173234162251E-4</v>
      </c>
    </row>
    <row r="1032" spans="1:12" x14ac:dyDescent="0.3">
      <c r="A1032" s="28">
        <v>44631</v>
      </c>
      <c r="B1032" s="29">
        <v>0.19836153373137899</v>
      </c>
      <c r="C1032" s="29">
        <v>0.19840482520534899</v>
      </c>
      <c r="D1032" s="29">
        <v>0.19838317999999999</v>
      </c>
      <c r="E1032" s="30">
        <v>3.8887999999997997E-4</v>
      </c>
      <c r="F1032" s="30">
        <v>0.19640969462251201</v>
      </c>
      <c r="G1032" s="30">
        <v>8.0811453127105999</v>
      </c>
      <c r="H1032" s="29">
        <v>0.19838317999999999</v>
      </c>
      <c r="I1032" s="29">
        <v>0.19838317999999999</v>
      </c>
      <c r="K1032">
        <f t="shared" si="32"/>
        <v>1.9640969462251245E-3</v>
      </c>
      <c r="L1032">
        <f t="shared" si="33"/>
        <v>2.1822149423153211E-4</v>
      </c>
    </row>
    <row r="1033" spans="1:12" x14ac:dyDescent="0.3">
      <c r="A1033" s="31">
        <v>44630</v>
      </c>
      <c r="B1033" s="32">
        <v>0.19796492061606699</v>
      </c>
      <c r="C1033" s="32">
        <v>0.19802372324204401</v>
      </c>
      <c r="D1033" s="32">
        <v>0.19799430000000001</v>
      </c>
      <c r="E1033" s="33">
        <v>-2.32620999999999E-3</v>
      </c>
      <c r="F1033" s="33">
        <v>-1.1612440483503099</v>
      </c>
      <c r="G1033" s="33">
        <v>7.8692795900762302</v>
      </c>
      <c r="H1033" s="32">
        <v>0.19799430000000001</v>
      </c>
      <c r="I1033" s="32">
        <v>0.19799430000000001</v>
      </c>
      <c r="K1033">
        <f t="shared" si="32"/>
        <v>-1.1612440483503184E-2</v>
      </c>
      <c r="L1033">
        <f t="shared" si="33"/>
        <v>2.9699150923545228E-4</v>
      </c>
    </row>
    <row r="1034" spans="1:12" x14ac:dyDescent="0.3">
      <c r="A1034" s="28">
        <v>44629</v>
      </c>
      <c r="B1034" s="29">
        <v>0.200280392549569</v>
      </c>
      <c r="C1034" s="29">
        <v>0.20036064916850299</v>
      </c>
      <c r="D1034" s="29">
        <v>0.20032051000000001</v>
      </c>
      <c r="E1034" s="30">
        <v>3.9166600000000102E-3</v>
      </c>
      <c r="F1034" s="30">
        <v>1.9941869774956</v>
      </c>
      <c r="G1034" s="30">
        <v>9.1366221190037304</v>
      </c>
      <c r="H1034" s="29">
        <v>0.20032051000000001</v>
      </c>
      <c r="I1034" s="29">
        <v>0.20032051000000001</v>
      </c>
      <c r="K1034">
        <f t="shared" si="32"/>
        <v>1.9941869774956045E-2</v>
      </c>
      <c r="L1034">
        <f t="shared" si="33"/>
        <v>4.0064104735949488E-4</v>
      </c>
    </row>
    <row r="1035" spans="1:12" x14ac:dyDescent="0.3">
      <c r="A1035" s="31">
        <v>44628</v>
      </c>
      <c r="B1035" s="32">
        <v>0.19635949496337901</v>
      </c>
      <c r="C1035" s="32">
        <v>0.19644821625019601</v>
      </c>
      <c r="D1035" s="32">
        <v>0.19640384999999999</v>
      </c>
      <c r="E1035" s="33">
        <v>-9.6717000000001697E-4</v>
      </c>
      <c r="F1035" s="33">
        <v>-0.49002634733307199</v>
      </c>
      <c r="G1035" s="33">
        <v>7.0027864853553403</v>
      </c>
      <c r="H1035" s="32">
        <v>0.19640384999999999</v>
      </c>
      <c r="I1035" s="32">
        <v>0.19640384999999999</v>
      </c>
      <c r="K1035">
        <f t="shared" si="32"/>
        <v>-4.9002634733307238E-3</v>
      </c>
      <c r="L1035">
        <f t="shared" si="33"/>
        <v>4.5172885774388155E-4</v>
      </c>
    </row>
    <row r="1036" spans="1:12" x14ac:dyDescent="0.3">
      <c r="A1036" s="28">
        <v>44627</v>
      </c>
      <c r="B1036" s="29">
        <v>0.19733207040808301</v>
      </c>
      <c r="C1036" s="29">
        <v>0.19740998104864199</v>
      </c>
      <c r="D1036" s="29">
        <v>0.19737102000000001</v>
      </c>
      <c r="E1036" s="30">
        <v>6.2518999999999704E-4</v>
      </c>
      <c r="F1036" s="30">
        <v>0.31776531172222899</v>
      </c>
      <c r="G1036" s="30">
        <v>7.5297103975141102</v>
      </c>
      <c r="H1036" s="29">
        <v>0.19737102000000001</v>
      </c>
      <c r="I1036" s="29">
        <v>0.19737102000000001</v>
      </c>
      <c r="K1036">
        <f t="shared" si="32"/>
        <v>3.1776531172222899E-3</v>
      </c>
      <c r="L1036">
        <f t="shared" si="33"/>
        <v>3.9474204753555683E-4</v>
      </c>
    </row>
    <row r="1037" spans="1:12" x14ac:dyDescent="0.3">
      <c r="A1037" s="31">
        <v>44624</v>
      </c>
      <c r="B1037" s="32">
        <v>0.19671873155761899</v>
      </c>
      <c r="C1037" s="32">
        <v>0.196772924045651</v>
      </c>
      <c r="D1037" s="32">
        <v>0.19674583000000001</v>
      </c>
      <c r="E1037" s="33">
        <v>-1.63339999999997E-3</v>
      </c>
      <c r="F1037" s="33">
        <v>-0.82337248712981403</v>
      </c>
      <c r="G1037" s="33">
        <v>7.18910061780368</v>
      </c>
      <c r="H1037" s="32">
        <v>0.19674583000000001</v>
      </c>
      <c r="I1037" s="32">
        <v>0.19674583000000001</v>
      </c>
      <c r="K1037">
        <f t="shared" si="32"/>
        <v>-8.2337248712981426E-3</v>
      </c>
      <c r="L1037">
        <f t="shared" si="33"/>
        <v>2.7544415061814601E-4</v>
      </c>
    </row>
    <row r="1038" spans="1:12" x14ac:dyDescent="0.3">
      <c r="A1038" s="28">
        <v>44623</v>
      </c>
      <c r="B1038" s="29">
        <v>0.198357599079621</v>
      </c>
      <c r="C1038" s="29">
        <v>0.198400888835982</v>
      </c>
      <c r="D1038" s="29">
        <v>0.19837922999999999</v>
      </c>
      <c r="E1038" s="30">
        <v>6.3816699999999704E-3</v>
      </c>
      <c r="F1038" s="30">
        <v>3.3238286986563699</v>
      </c>
      <c r="G1038" s="30">
        <v>8.0789933131107095</v>
      </c>
      <c r="H1038" s="29">
        <v>0.19837922999999999</v>
      </c>
      <c r="I1038" s="29">
        <v>0.19837922999999999</v>
      </c>
      <c r="K1038">
        <f t="shared" si="32"/>
        <v>3.3238286986563725E-2</v>
      </c>
      <c r="L1038">
        <f t="shared" si="33"/>
        <v>2.1821718110814081E-4</v>
      </c>
    </row>
    <row r="1039" spans="1:12" x14ac:dyDescent="0.3">
      <c r="A1039" s="31">
        <v>44622</v>
      </c>
      <c r="B1039" s="32">
        <v>0.19196437141266601</v>
      </c>
      <c r="C1039" s="32">
        <v>0.19203072491598699</v>
      </c>
      <c r="D1039" s="32">
        <v>0.19199756000000001</v>
      </c>
      <c r="E1039" s="33">
        <v>-2.11311999999999E-3</v>
      </c>
      <c r="F1039" s="33">
        <v>-1.0886160411163299</v>
      </c>
      <c r="G1039" s="33">
        <v>4.6021955190247201</v>
      </c>
      <c r="H1039" s="32">
        <v>0.19199756000000001</v>
      </c>
      <c r="I1039" s="32">
        <v>0.19199756000000001</v>
      </c>
      <c r="K1039">
        <f t="shared" si="32"/>
        <v>-1.0886160411163304E-2</v>
      </c>
      <c r="L1039">
        <f t="shared" si="33"/>
        <v>3.4559555507365411E-4</v>
      </c>
    </row>
    <row r="1040" spans="1:12" x14ac:dyDescent="0.3">
      <c r="A1040" s="28">
        <v>44621</v>
      </c>
      <c r="B1040" s="29">
        <v>0.194091844260704</v>
      </c>
      <c r="C1040" s="29">
        <v>0.19412952321789101</v>
      </c>
      <c r="D1040" s="29">
        <v>0.19411068000000001</v>
      </c>
      <c r="E1040" s="30"/>
      <c r="F1040" s="30"/>
      <c r="G1040" s="30">
        <v>5.7534444796633899</v>
      </c>
      <c r="H1040" s="29">
        <v>0.19411068000000001</v>
      </c>
      <c r="I1040" s="29">
        <v>0.19411068000000001</v>
      </c>
      <c r="K1040">
        <f t="shared" si="32"/>
        <v>0</v>
      </c>
      <c r="L1040">
        <f t="shared" si="33"/>
        <v>1.9411068565114258E-4</v>
      </c>
    </row>
    <row r="1041" spans="1:12" x14ac:dyDescent="0.3">
      <c r="A1041" s="31">
        <v>44620</v>
      </c>
      <c r="B1041" s="32">
        <v>0.194091844260704</v>
      </c>
      <c r="C1041" s="32">
        <v>0.19412952321789101</v>
      </c>
      <c r="D1041" s="32">
        <v>0.19411068000000001</v>
      </c>
      <c r="E1041" s="33">
        <v>1.4119000000001301E-4</v>
      </c>
      <c r="F1041" s="33">
        <v>7.2789798024430696E-2</v>
      </c>
      <c r="G1041" s="33">
        <v>5.7534444796633899</v>
      </c>
      <c r="H1041" s="32">
        <v>0.19411068000000001</v>
      </c>
      <c r="I1041" s="32">
        <v>0.19411068000000001</v>
      </c>
      <c r="K1041">
        <f t="shared" si="32"/>
        <v>7.2789798024430752E-4</v>
      </c>
      <c r="L1041">
        <f t="shared" si="33"/>
        <v>1.9411068565114258E-4</v>
      </c>
    </row>
    <row r="1042" spans="1:12" x14ac:dyDescent="0.3">
      <c r="A1042" s="28">
        <v>44617</v>
      </c>
      <c r="B1042" s="29">
        <v>0.19395255920401899</v>
      </c>
      <c r="C1042" s="29">
        <v>0.19398642095053301</v>
      </c>
      <c r="D1042" s="29">
        <v>0.19396948999999999</v>
      </c>
      <c r="E1042" s="30">
        <v>-7.0612000000000398E-4</v>
      </c>
      <c r="F1042" s="30">
        <v>-0.36271621288357297</v>
      </c>
      <c r="G1042" s="30">
        <v>5.6765227521928301</v>
      </c>
      <c r="H1042" s="29">
        <v>0.19396948999999999</v>
      </c>
      <c r="I1042" s="29">
        <v>0.19396948999999999</v>
      </c>
      <c r="K1042">
        <f t="shared" si="32"/>
        <v>-3.627162128835737E-3</v>
      </c>
      <c r="L1042">
        <f t="shared" si="33"/>
        <v>1.7457253980516943E-4</v>
      </c>
    </row>
    <row r="1043" spans="1:12" x14ac:dyDescent="0.3">
      <c r="A1043" s="31">
        <v>44616</v>
      </c>
      <c r="B1043" s="32">
        <v>0.194647201946472</v>
      </c>
      <c r="C1043" s="32">
        <v>0.194704049844237</v>
      </c>
      <c r="D1043" s="32">
        <v>0.19467561</v>
      </c>
      <c r="E1043" s="33">
        <v>-4.1908499999999899E-3</v>
      </c>
      <c r="F1043" s="33">
        <v>-2.1073689349124001</v>
      </c>
      <c r="G1043" s="33">
        <v>6.0612240072499004</v>
      </c>
      <c r="H1043" s="32">
        <v>0.19467561</v>
      </c>
      <c r="I1043" s="32">
        <v>0.19467561</v>
      </c>
      <c r="K1043">
        <f t="shared" si="32"/>
        <v>-2.1073689349124014E-2</v>
      </c>
      <c r="L1043">
        <f t="shared" si="33"/>
        <v>2.9201345646226554E-4</v>
      </c>
    </row>
    <row r="1044" spans="1:12" x14ac:dyDescent="0.3">
      <c r="A1044" s="28">
        <v>44615</v>
      </c>
      <c r="B1044" s="29">
        <v>0.198834827908456</v>
      </c>
      <c r="C1044" s="29">
        <v>0.19889810450106399</v>
      </c>
      <c r="D1044" s="29">
        <v>0.19886645999999999</v>
      </c>
      <c r="E1044" s="30">
        <v>8.9565999999999203E-4</v>
      </c>
      <c r="F1044" s="30">
        <v>0.45242025591651902</v>
      </c>
      <c r="G1044" s="30">
        <v>8.3444411017322704</v>
      </c>
      <c r="H1044" s="29">
        <v>0.19886645999999999</v>
      </c>
      <c r="I1044" s="29">
        <v>0.19886645999999999</v>
      </c>
      <c r="K1044">
        <f t="shared" si="32"/>
        <v>4.5242025591651913E-3</v>
      </c>
      <c r="L1044">
        <f t="shared" si="33"/>
        <v>3.1818634780340265E-4</v>
      </c>
    </row>
    <row r="1045" spans="1:12" x14ac:dyDescent="0.3">
      <c r="A1045" s="31">
        <v>44614</v>
      </c>
      <c r="B1045" s="32">
        <v>0.197945327500544</v>
      </c>
      <c r="C1045" s="32">
        <v>0.19799627766997999</v>
      </c>
      <c r="D1045" s="32">
        <v>0.1979708</v>
      </c>
      <c r="E1045" s="33">
        <v>1.02154000000001E-3</v>
      </c>
      <c r="F1045" s="33">
        <v>0.51868181682936898</v>
      </c>
      <c r="G1045" s="33">
        <v>7.8564765544819304</v>
      </c>
      <c r="H1045" s="32">
        <v>0.1979708</v>
      </c>
      <c r="I1045" s="32">
        <v>0.1979708</v>
      </c>
      <c r="K1045">
        <f t="shared" si="32"/>
        <v>5.1868181682936942E-3</v>
      </c>
      <c r="L1045">
        <f t="shared" si="33"/>
        <v>2.5736204246276255E-4</v>
      </c>
    </row>
    <row r="1046" spans="1:12" x14ac:dyDescent="0.3">
      <c r="A1046" s="28">
        <v>44613</v>
      </c>
      <c r="B1046" s="29">
        <v>0.196935680806649</v>
      </c>
      <c r="C1046" s="29">
        <v>0.19696283311339199</v>
      </c>
      <c r="D1046" s="29">
        <v>0.19694925999999999</v>
      </c>
      <c r="E1046" s="30">
        <v>1.84823999999997E-3</v>
      </c>
      <c r="F1046" s="30">
        <v>0.94732462188049604</v>
      </c>
      <c r="G1046" s="30">
        <v>7.2999313212482102</v>
      </c>
      <c r="H1046" s="29">
        <v>0.19694925999999999</v>
      </c>
      <c r="I1046" s="29">
        <v>0.19694925999999999</v>
      </c>
      <c r="K1046">
        <f t="shared" si="32"/>
        <v>9.4732462188049649E-3</v>
      </c>
      <c r="L1046">
        <f t="shared" si="33"/>
        <v>1.3786447708914786E-4</v>
      </c>
    </row>
    <row r="1047" spans="1:12" x14ac:dyDescent="0.3">
      <c r="A1047" s="31">
        <v>44610</v>
      </c>
      <c r="B1047" s="32">
        <v>0.19506105410993599</v>
      </c>
      <c r="C1047" s="32">
        <v>0.195140989364816</v>
      </c>
      <c r="D1047" s="32">
        <v>0.19510102000000001</v>
      </c>
      <c r="E1047" s="33">
        <v>1.55763E-3</v>
      </c>
      <c r="F1047" s="33">
        <v>0.80479627849858704</v>
      </c>
      <c r="G1047" s="33">
        <v>6.2929916401080996</v>
      </c>
      <c r="H1047" s="32">
        <v>0.19510102000000001</v>
      </c>
      <c r="I1047" s="32">
        <v>0.19510102000000001</v>
      </c>
      <c r="K1047">
        <f t="shared" si="32"/>
        <v>8.0479627849858737E-3</v>
      </c>
      <c r="L1047">
        <f t="shared" si="33"/>
        <v>4.0971213210473824E-4</v>
      </c>
    </row>
    <row r="1048" spans="1:12" x14ac:dyDescent="0.3">
      <c r="A1048" s="28">
        <v>44609</v>
      </c>
      <c r="B1048" s="29">
        <v>0.19352840997058399</v>
      </c>
      <c r="C1048" s="29">
        <v>0.19355837720656499</v>
      </c>
      <c r="D1048" s="29">
        <v>0.19354339000000001</v>
      </c>
      <c r="E1048" s="30">
        <v>-2.8697999999999202E-4</v>
      </c>
      <c r="F1048" s="30">
        <v>-0.14805729360161099</v>
      </c>
      <c r="G1048" s="30">
        <v>5.4443792004171998</v>
      </c>
      <c r="H1048" s="29">
        <v>0.19354339000000001</v>
      </c>
      <c r="I1048" s="29">
        <v>0.19354339000000001</v>
      </c>
      <c r="K1048">
        <f t="shared" si="32"/>
        <v>-1.4805729360161113E-3</v>
      </c>
      <c r="L1048">
        <f t="shared" si="33"/>
        <v>1.5483471680951939E-4</v>
      </c>
    </row>
    <row r="1049" spans="1:12" x14ac:dyDescent="0.3">
      <c r="A1049" s="31">
        <v>44608</v>
      </c>
      <c r="B1049" s="32">
        <v>0.193817230351778</v>
      </c>
      <c r="C1049" s="32">
        <v>0.193843529502985</v>
      </c>
      <c r="D1049" s="32">
        <v>0.19383037</v>
      </c>
      <c r="E1049" s="33">
        <v>5.8243999999998898E-4</v>
      </c>
      <c r="F1049" s="33">
        <v>0.30139520770027201</v>
      </c>
      <c r="G1049" s="33">
        <v>5.60072878147463</v>
      </c>
      <c r="H1049" s="32">
        <v>0.19383037</v>
      </c>
      <c r="I1049" s="32">
        <v>0.19383037</v>
      </c>
      <c r="K1049">
        <f t="shared" si="32"/>
        <v>3.0139520770027239E-3</v>
      </c>
      <c r="L1049">
        <f t="shared" si="33"/>
        <v>1.3568127227430238E-4</v>
      </c>
    </row>
    <row r="1050" spans="1:12" x14ac:dyDescent="0.3">
      <c r="A1050" s="28">
        <v>44607</v>
      </c>
      <c r="B1050" s="29">
        <v>0.19323298100519801</v>
      </c>
      <c r="C1050" s="29">
        <v>0.19326285681154901</v>
      </c>
      <c r="D1050" s="29">
        <v>0.19324793000000001</v>
      </c>
      <c r="E1050" s="30">
        <v>1.83289E-3</v>
      </c>
      <c r="F1050" s="30">
        <v>0.95754753649452895</v>
      </c>
      <c r="G1050" s="30">
        <v>5.2834096303453197</v>
      </c>
      <c r="H1050" s="29">
        <v>0.19324793000000001</v>
      </c>
      <c r="I1050" s="29">
        <v>0.19324793000000001</v>
      </c>
      <c r="K1050">
        <f t="shared" si="32"/>
        <v>9.5754753649452962E-3</v>
      </c>
      <c r="L1050">
        <f t="shared" si="33"/>
        <v>1.5459832532746152E-4</v>
      </c>
    </row>
    <row r="1051" spans="1:12" x14ac:dyDescent="0.3">
      <c r="A1051" s="31">
        <v>44606</v>
      </c>
      <c r="B1051" s="32">
        <v>0.191387559808612</v>
      </c>
      <c r="C1051" s="32">
        <v>0.191442519383555</v>
      </c>
      <c r="D1051" s="32">
        <v>0.19141504000000001</v>
      </c>
      <c r="E1051" s="33">
        <v>-1.09998E-3</v>
      </c>
      <c r="F1051" s="33">
        <v>-0.57137359983652203</v>
      </c>
      <c r="G1051" s="33">
        <v>4.2848327830933801</v>
      </c>
      <c r="H1051" s="32">
        <v>0.19141504000000001</v>
      </c>
      <c r="I1051" s="32">
        <v>0.19141504000000001</v>
      </c>
      <c r="K1051">
        <f t="shared" si="32"/>
        <v>-5.7137359983652214E-3</v>
      </c>
      <c r="L1051">
        <f t="shared" si="33"/>
        <v>2.8712255287255997E-4</v>
      </c>
    </row>
    <row r="1052" spans="1:12" x14ac:dyDescent="0.3">
      <c r="A1052" s="28">
        <v>44603</v>
      </c>
      <c r="B1052" s="29">
        <v>0.19249278152069299</v>
      </c>
      <c r="C1052" s="29">
        <v>0.19253725595902799</v>
      </c>
      <c r="D1052" s="29">
        <v>0.19251502000000001</v>
      </c>
      <c r="E1052" s="30">
        <v>-8.8979999999988499E-5</v>
      </c>
      <c r="F1052" s="30">
        <v>-4.6198417478338E-2</v>
      </c>
      <c r="G1052" s="30">
        <v>4.8841129147107596</v>
      </c>
      <c r="H1052" s="29">
        <v>0.19251502000000001</v>
      </c>
      <c r="I1052" s="29">
        <v>0.19251502000000001</v>
      </c>
      <c r="K1052">
        <f t="shared" si="32"/>
        <v>-4.6198417478338083E-4</v>
      </c>
      <c r="L1052">
        <f t="shared" si="33"/>
        <v>2.3101801789281677E-4</v>
      </c>
    </row>
    <row r="1053" spans="1:12" x14ac:dyDescent="0.3">
      <c r="A1053" s="31">
        <v>44602</v>
      </c>
      <c r="B1053" s="32">
        <v>0.19258175095328001</v>
      </c>
      <c r="C1053" s="32">
        <v>0.19262626651770201</v>
      </c>
      <c r="D1053" s="32">
        <v>0.192604</v>
      </c>
      <c r="E1053" s="33">
        <v>2.6939199999999799E-3</v>
      </c>
      <c r="F1053" s="33">
        <v>1.4185239667109799</v>
      </c>
      <c r="G1053" s="33">
        <v>4.9325901107609704</v>
      </c>
      <c r="H1053" s="32">
        <v>0.192604</v>
      </c>
      <c r="I1053" s="32">
        <v>0.192604</v>
      </c>
      <c r="K1053">
        <f t="shared" si="32"/>
        <v>1.4185239667109828E-2</v>
      </c>
      <c r="L1053">
        <f t="shared" si="33"/>
        <v>2.3112481787503948E-4</v>
      </c>
    </row>
    <row r="1054" spans="1:12" x14ac:dyDescent="0.3">
      <c r="A1054" s="28">
        <v>44601</v>
      </c>
      <c r="B1054" s="29">
        <v>0.18988663767730701</v>
      </c>
      <c r="C1054" s="29">
        <v>0.189933523266857</v>
      </c>
      <c r="D1054" s="29">
        <v>0.18991008000000001</v>
      </c>
      <c r="E1054" s="30">
        <v>2.9168000000001599E-4</v>
      </c>
      <c r="F1054" s="30">
        <v>0.153824734308494</v>
      </c>
      <c r="G1054" s="30">
        <v>3.4649154874344599</v>
      </c>
      <c r="H1054" s="29">
        <v>0.18991008000000001</v>
      </c>
      <c r="I1054" s="29">
        <v>0.18991008000000001</v>
      </c>
      <c r="K1054">
        <f t="shared" si="32"/>
        <v>1.5382473430849419E-3</v>
      </c>
      <c r="L1054">
        <f t="shared" si="33"/>
        <v>2.4688310146564452E-4</v>
      </c>
    </row>
    <row r="1055" spans="1:12" x14ac:dyDescent="0.3">
      <c r="A1055" s="31">
        <v>44600</v>
      </c>
      <c r="B1055" s="32">
        <v>0.18958064760749199</v>
      </c>
      <c r="C1055" s="32">
        <v>0.18965615339389699</v>
      </c>
      <c r="D1055" s="32">
        <v>0.18961839999999999</v>
      </c>
      <c r="E1055" s="33">
        <v>4.9309999999999599E-4</v>
      </c>
      <c r="F1055" s="33">
        <v>0.26072661880773801</v>
      </c>
      <c r="G1055" s="33">
        <v>3.3060052992581501</v>
      </c>
      <c r="H1055" s="32">
        <v>0.18961839999999999</v>
      </c>
      <c r="I1055" s="32">
        <v>0.18961839999999999</v>
      </c>
      <c r="K1055">
        <f t="shared" si="32"/>
        <v>2.607266188077384E-3</v>
      </c>
      <c r="L1055">
        <f t="shared" si="33"/>
        <v>3.9819862632002048E-4</v>
      </c>
    </row>
    <row r="1056" spans="1:12" x14ac:dyDescent="0.3">
      <c r="A1056" s="28">
        <v>44599</v>
      </c>
      <c r="B1056" s="29">
        <v>0.189089533894299</v>
      </c>
      <c r="C1056" s="29">
        <v>0.18916107065165999</v>
      </c>
      <c r="D1056" s="29">
        <v>0.1891253</v>
      </c>
      <c r="E1056" s="30">
        <v>2.03629999999999E-3</v>
      </c>
      <c r="F1056" s="30">
        <v>1.0884124667938699</v>
      </c>
      <c r="G1056" s="30">
        <v>3.0373594757881501</v>
      </c>
      <c r="H1056" s="29">
        <v>0.1891253</v>
      </c>
      <c r="I1056" s="29">
        <v>0.1891253</v>
      </c>
      <c r="K1056">
        <f t="shared" si="32"/>
        <v>1.0884124667938755E-2</v>
      </c>
      <c r="L1056">
        <f t="shared" si="33"/>
        <v>3.7825059556278518E-4</v>
      </c>
    </row>
    <row r="1057" spans="1:12" x14ac:dyDescent="0.3">
      <c r="A1057" s="31">
        <v>44596</v>
      </c>
      <c r="B1057" s="32">
        <v>0.18705574261129801</v>
      </c>
      <c r="C1057" s="32">
        <v>0.187122246963942</v>
      </c>
      <c r="D1057" s="32">
        <v>0.18708900000000001</v>
      </c>
      <c r="E1057" s="33">
        <v>-2.1418599999999898E-3</v>
      </c>
      <c r="F1057" s="33">
        <v>-1.13187669283962</v>
      </c>
      <c r="G1057" s="33">
        <v>1.92796282129218</v>
      </c>
      <c r="H1057" s="32">
        <v>0.18708900000000001</v>
      </c>
      <c r="I1057" s="32">
        <v>0.18708900000000001</v>
      </c>
      <c r="K1057">
        <f t="shared" si="32"/>
        <v>-1.1318766928396284E-2</v>
      </c>
      <c r="L1057">
        <f t="shared" si="33"/>
        <v>3.5546906896713514E-4</v>
      </c>
    </row>
    <row r="1058" spans="1:12" x14ac:dyDescent="0.3">
      <c r="A1058" s="28">
        <v>44595</v>
      </c>
      <c r="B1058" s="29">
        <v>0.18920043894501801</v>
      </c>
      <c r="C1058" s="29">
        <v>0.18926131309499</v>
      </c>
      <c r="D1058" s="29">
        <v>0.18923086</v>
      </c>
      <c r="E1058" s="30">
        <v>5.7476000000000705E-4</v>
      </c>
      <c r="F1058" s="30">
        <v>0.30466017266337297</v>
      </c>
      <c r="G1058" s="30">
        <v>3.0948696220576601</v>
      </c>
      <c r="H1058" s="29">
        <v>0.18923086</v>
      </c>
      <c r="I1058" s="29">
        <v>0.18923086</v>
      </c>
      <c r="K1058">
        <f t="shared" si="32"/>
        <v>3.0466017266337353E-3</v>
      </c>
      <c r="L1058">
        <f t="shared" si="33"/>
        <v>3.2169250814584674E-4</v>
      </c>
    </row>
    <row r="1059" spans="1:12" x14ac:dyDescent="0.3">
      <c r="A1059" s="31">
        <v>44594</v>
      </c>
      <c r="B1059" s="32">
        <v>0.188632976817007</v>
      </c>
      <c r="C1059" s="32">
        <v>0.18867924528301899</v>
      </c>
      <c r="D1059" s="32">
        <v>0.18865609999999999</v>
      </c>
      <c r="E1059" s="33">
        <v>-7.3784000000001705E-4</v>
      </c>
      <c r="F1059" s="33">
        <v>-0.389579518753357</v>
      </c>
      <c r="G1059" s="33">
        <v>2.7817346119225599</v>
      </c>
      <c r="H1059" s="32">
        <v>0.18865609999999999</v>
      </c>
      <c r="I1059" s="32">
        <v>0.18865609999999999</v>
      </c>
      <c r="K1059">
        <f t="shared" si="32"/>
        <v>-3.8957951875335795E-3</v>
      </c>
      <c r="L1059">
        <f t="shared" si="33"/>
        <v>2.4525295504356854E-4</v>
      </c>
    </row>
    <row r="1060" spans="1:12" x14ac:dyDescent="0.3">
      <c r="A1060" s="28">
        <v>44593</v>
      </c>
      <c r="B1060" s="29">
        <v>0.18937241980078001</v>
      </c>
      <c r="C1060" s="29">
        <v>0.189415463878471</v>
      </c>
      <c r="D1060" s="29">
        <v>0.18939394000000001</v>
      </c>
      <c r="E1060" s="30">
        <v>1.0700200000000001E-3</v>
      </c>
      <c r="F1060" s="30">
        <v>0.56818061136365505</v>
      </c>
      <c r="G1060" s="30">
        <v>3.1837172409818</v>
      </c>
      <c r="H1060" s="29">
        <v>0.18939394000000001</v>
      </c>
      <c r="I1060" s="29">
        <v>0.18939394000000001</v>
      </c>
      <c r="K1060">
        <f t="shared" si="32"/>
        <v>5.6818061136365561E-3</v>
      </c>
      <c r="L1060">
        <f t="shared" si="33"/>
        <v>2.2727272948112602E-4</v>
      </c>
    </row>
    <row r="1061" spans="1:12" x14ac:dyDescent="0.3">
      <c r="A1061" s="31">
        <v>44592</v>
      </c>
      <c r="B1061" s="32">
        <v>0.18828845791752999</v>
      </c>
      <c r="C1061" s="32">
        <v>0.188359389715577</v>
      </c>
      <c r="D1061" s="32">
        <v>0.18832392000000001</v>
      </c>
      <c r="E1061" s="33">
        <v>3.35111000000001E-3</v>
      </c>
      <c r="F1061" s="33">
        <v>1.8116770783770999</v>
      </c>
      <c r="G1061" s="33">
        <v>2.60075961772207</v>
      </c>
      <c r="H1061" s="32">
        <v>0.18832392000000001</v>
      </c>
      <c r="I1061" s="32">
        <v>0.18832392000000001</v>
      </c>
      <c r="K1061">
        <f t="shared" si="32"/>
        <v>1.8116770783771052E-2</v>
      </c>
      <c r="L1061">
        <f t="shared" si="33"/>
        <v>3.7664784190459533E-4</v>
      </c>
    </row>
    <row r="1062" spans="1:12" x14ac:dyDescent="0.3">
      <c r="A1062" s="28">
        <v>44589</v>
      </c>
      <c r="B1062" s="29">
        <v>0.184938600384672</v>
      </c>
      <c r="C1062" s="29">
        <v>0.18500703026715001</v>
      </c>
      <c r="D1062" s="29">
        <v>0.18497280999999999</v>
      </c>
      <c r="E1062" s="30">
        <v>7.5239999999976396E-5</v>
      </c>
      <c r="F1062" s="30">
        <v>4.0692800884278797E-2</v>
      </c>
      <c r="G1062" s="30">
        <v>0.77504129387586695</v>
      </c>
      <c r="H1062" s="29">
        <v>0.18497280999999999</v>
      </c>
      <c r="I1062" s="29">
        <v>0.18497280999999999</v>
      </c>
      <c r="K1062">
        <f t="shared" si="32"/>
        <v>4.0692800884278846E-4</v>
      </c>
      <c r="L1062">
        <f t="shared" si="33"/>
        <v>3.6994562864680529E-4</v>
      </c>
    </row>
    <row r="1063" spans="1:12" x14ac:dyDescent="0.3">
      <c r="A1063" s="31">
        <v>44588</v>
      </c>
      <c r="B1063" s="32">
        <v>0.184866803468101</v>
      </c>
      <c r="C1063" s="32">
        <v>0.184928340268146</v>
      </c>
      <c r="D1063" s="32">
        <v>0.18489757000000001</v>
      </c>
      <c r="E1063" s="33">
        <v>9.5400000000000996E-4</v>
      </c>
      <c r="F1063" s="33">
        <v>0.51863731904302401</v>
      </c>
      <c r="G1063" s="33">
        <v>0.73404978757313599</v>
      </c>
      <c r="H1063" s="32">
        <v>0.18489757000000001</v>
      </c>
      <c r="I1063" s="32">
        <v>0.18489757000000001</v>
      </c>
      <c r="K1063">
        <f t="shared" si="32"/>
        <v>5.186373190430249E-3</v>
      </c>
      <c r="L1063">
        <f t="shared" si="33"/>
        <v>3.3281562350983516E-4</v>
      </c>
    </row>
    <row r="1064" spans="1:12" x14ac:dyDescent="0.3">
      <c r="A1064" s="28">
        <v>44587</v>
      </c>
      <c r="B1064" s="29">
        <v>0.18392834151814499</v>
      </c>
      <c r="C1064" s="29">
        <v>0.183958793230316</v>
      </c>
      <c r="D1064" s="29">
        <v>0.18394357</v>
      </c>
      <c r="E1064" s="30">
        <v>1.52341E-3</v>
      </c>
      <c r="F1064" s="30">
        <v>0.835110549184925</v>
      </c>
      <c r="G1064" s="30">
        <v>0.21430102344743199</v>
      </c>
      <c r="H1064" s="29">
        <v>0.18394357</v>
      </c>
      <c r="I1064" s="29">
        <v>0.18394357</v>
      </c>
      <c r="K1064">
        <f t="shared" si="32"/>
        <v>8.3511054918492533E-3</v>
      </c>
      <c r="L1064">
        <f t="shared" si="33"/>
        <v>1.6554920713457671E-4</v>
      </c>
    </row>
    <row r="1065" spans="1:12" x14ac:dyDescent="0.3">
      <c r="A1065" s="31">
        <v>44586</v>
      </c>
      <c r="B1065" s="32">
        <v>0.18239188720885699</v>
      </c>
      <c r="C1065" s="32">
        <v>0.182448458310527</v>
      </c>
      <c r="D1065" s="32">
        <v>0.18242016</v>
      </c>
      <c r="E1065" s="33">
        <v>4.2991999999999998E-4</v>
      </c>
      <c r="F1065" s="33">
        <v>0.23623244850932101</v>
      </c>
      <c r="G1065" s="33">
        <v>-0.61566801717807096</v>
      </c>
      <c r="H1065" s="32">
        <v>0.18242016</v>
      </c>
      <c r="I1065" s="32">
        <v>0.18242016</v>
      </c>
      <c r="K1065">
        <f t="shared" si="32"/>
        <v>2.3623244850932146E-3</v>
      </c>
      <c r="L1065">
        <f t="shared" si="33"/>
        <v>3.1011430792523702E-4</v>
      </c>
    </row>
    <row r="1066" spans="1:12" x14ac:dyDescent="0.3">
      <c r="A1066" s="28">
        <v>44585</v>
      </c>
      <c r="B1066" s="29">
        <v>0.181963752820438</v>
      </c>
      <c r="C1066" s="29">
        <v>0.18201674554059</v>
      </c>
      <c r="D1066" s="29">
        <v>0.18199024</v>
      </c>
      <c r="E1066" s="30">
        <v>-2.4282399999999899E-3</v>
      </c>
      <c r="F1066" s="30">
        <v>-1.31670101608037</v>
      </c>
      <c r="G1066" s="30">
        <v>-0.84989274325031505</v>
      </c>
      <c r="H1066" s="29">
        <v>0.18199024</v>
      </c>
      <c r="I1066" s="29">
        <v>0.18199024</v>
      </c>
      <c r="K1066">
        <f t="shared" si="32"/>
        <v>-1.3167010160803794E-2</v>
      </c>
      <c r="L1066">
        <f t="shared" si="33"/>
        <v>2.9118440720774533E-4</v>
      </c>
    </row>
    <row r="1067" spans="1:12" x14ac:dyDescent="0.3">
      <c r="A1067" s="31">
        <v>44582</v>
      </c>
      <c r="B1067" s="32">
        <v>0.184399778720266</v>
      </c>
      <c r="C1067" s="32">
        <v>0.18443718991497399</v>
      </c>
      <c r="D1067" s="32">
        <v>0.18441848</v>
      </c>
      <c r="E1067" s="33">
        <v>-4.7566000000001597E-4</v>
      </c>
      <c r="F1067" s="33">
        <v>-0.25726072227060198</v>
      </c>
      <c r="G1067" s="33">
        <v>0.473036752557425</v>
      </c>
      <c r="H1067" s="32">
        <v>0.18441848</v>
      </c>
      <c r="I1067" s="32">
        <v>0.18441848</v>
      </c>
      <c r="K1067">
        <f t="shared" si="32"/>
        <v>-2.5726072227060248E-3</v>
      </c>
      <c r="L1067">
        <f t="shared" si="33"/>
        <v>2.0286033540666278E-4</v>
      </c>
    </row>
    <row r="1068" spans="1:12" x14ac:dyDescent="0.3">
      <c r="A1068" s="28">
        <v>44581</v>
      </c>
      <c r="B1068" s="29">
        <v>0.18485996857380499</v>
      </c>
      <c r="C1068" s="29">
        <v>0.184928340268146</v>
      </c>
      <c r="D1068" s="29">
        <v>0.18489414000000001</v>
      </c>
      <c r="E1068" s="30">
        <v>2.2223800000000199E-3</v>
      </c>
      <c r="F1068" s="30">
        <v>1.2165974642166899</v>
      </c>
      <c r="G1068" s="30">
        <v>0.73218108918639602</v>
      </c>
      <c r="H1068" s="29">
        <v>0.18489414000000001</v>
      </c>
      <c r="I1068" s="29">
        <v>0.18489414000000001</v>
      </c>
      <c r="K1068">
        <f t="shared" si="32"/>
        <v>1.2165974642166955E-2</v>
      </c>
      <c r="L1068">
        <f t="shared" si="33"/>
        <v>3.6978832504379458E-4</v>
      </c>
    </row>
    <row r="1069" spans="1:12" x14ac:dyDescent="0.3">
      <c r="A1069" s="31">
        <v>44580</v>
      </c>
      <c r="B1069" s="32">
        <v>0.18265841050651199</v>
      </c>
      <c r="C1069" s="32">
        <v>0.18268510568333399</v>
      </c>
      <c r="D1069" s="32">
        <v>0.18267175999999999</v>
      </c>
      <c r="E1069" s="33">
        <v>1.5795899999999901E-3</v>
      </c>
      <c r="F1069" s="33">
        <v>0.87225748081762799</v>
      </c>
      <c r="G1069" s="33">
        <v>-0.478593814815366</v>
      </c>
      <c r="H1069" s="32">
        <v>0.18267175999999999</v>
      </c>
      <c r="I1069" s="32">
        <v>0.18267175999999999</v>
      </c>
      <c r="K1069">
        <f t="shared" si="32"/>
        <v>8.7225748081762866E-3</v>
      </c>
      <c r="L1069">
        <f t="shared" si="33"/>
        <v>1.461374041723512E-4</v>
      </c>
    </row>
    <row r="1070" spans="1:12" x14ac:dyDescent="0.3">
      <c r="A1070" s="28">
        <v>44579</v>
      </c>
      <c r="B1070" s="29">
        <v>0.18107085302478901</v>
      </c>
      <c r="C1070" s="29">
        <v>0.18111348571014599</v>
      </c>
      <c r="D1070" s="29">
        <v>0.18109217</v>
      </c>
      <c r="E1070" s="30">
        <v>-4.7182000000001102E-4</v>
      </c>
      <c r="F1070" s="30">
        <v>-0.25986430459036203</v>
      </c>
      <c r="G1070" s="30">
        <v>-1.3391702826616001</v>
      </c>
      <c r="H1070" s="29">
        <v>0.18109217</v>
      </c>
      <c r="I1070" s="29">
        <v>0.18109217</v>
      </c>
      <c r="K1070">
        <f t="shared" si="32"/>
        <v>-2.5986430459036258E-3</v>
      </c>
      <c r="L1070">
        <f t="shared" si="33"/>
        <v>2.3541981609133229E-4</v>
      </c>
    </row>
    <row r="1071" spans="1:12" x14ac:dyDescent="0.3">
      <c r="A1071" s="31">
        <v>44578</v>
      </c>
      <c r="B1071" s="32">
        <v>0.18153103273004501</v>
      </c>
      <c r="C1071" s="32">
        <v>0.18159696369876699</v>
      </c>
      <c r="D1071" s="32">
        <v>0.18156399000000001</v>
      </c>
      <c r="E1071" s="33">
        <v>9.5588000000002005E-4</v>
      </c>
      <c r="F1071" s="33">
        <v>0.52925641046794802</v>
      </c>
      <c r="G1071" s="33">
        <v>-1.0821180165297399</v>
      </c>
      <c r="H1071" s="32">
        <v>0.18156399000000001</v>
      </c>
      <c r="I1071" s="32">
        <v>0.18156399000000001</v>
      </c>
      <c r="K1071">
        <f t="shared" si="32"/>
        <v>5.2925641046794869E-3</v>
      </c>
      <c r="L1071">
        <f t="shared" si="33"/>
        <v>3.6312800088819007E-4</v>
      </c>
    </row>
    <row r="1072" spans="1:12" x14ac:dyDescent="0.3">
      <c r="A1072" s="28">
        <v>44575</v>
      </c>
      <c r="B1072" s="29">
        <v>0.18059016867121799</v>
      </c>
      <c r="C1072" s="29">
        <v>0.18062604988891501</v>
      </c>
      <c r="D1072" s="29">
        <v>0.18060810999999999</v>
      </c>
      <c r="E1072" s="30">
        <v>-6.9912000000002495E-4</v>
      </c>
      <c r="F1072" s="30">
        <v>-0.38559962556375899</v>
      </c>
      <c r="G1072" s="30">
        <v>-1.6028910235029901</v>
      </c>
      <c r="H1072" s="29">
        <v>0.18060810999999999</v>
      </c>
      <c r="I1072" s="29">
        <v>0.18060810999999999</v>
      </c>
      <c r="K1072">
        <f t="shared" si="32"/>
        <v>-3.8559962556375948E-3</v>
      </c>
      <c r="L1072">
        <f t="shared" si="33"/>
        <v>1.9866891745345594E-4</v>
      </c>
    </row>
    <row r="1073" spans="1:12" x14ac:dyDescent="0.3">
      <c r="A1073" s="31">
        <v>44574</v>
      </c>
      <c r="B1073" s="32">
        <v>0.18129079042784599</v>
      </c>
      <c r="C1073" s="32">
        <v>0.181323662737987</v>
      </c>
      <c r="D1073" s="32">
        <v>0.18130723000000001</v>
      </c>
      <c r="E1073" s="33">
        <v>1.2811300000000101E-3</v>
      </c>
      <c r="F1073" s="33">
        <v>0.71163570171215396</v>
      </c>
      <c r="G1073" s="33">
        <v>-1.2220034386229399</v>
      </c>
      <c r="H1073" s="32">
        <v>0.18130723000000001</v>
      </c>
      <c r="I1073" s="32">
        <v>0.18130723000000001</v>
      </c>
      <c r="K1073">
        <f t="shared" si="32"/>
        <v>7.116357017121544E-3</v>
      </c>
      <c r="L1073">
        <f t="shared" si="33"/>
        <v>1.8130722167567905E-4</v>
      </c>
    </row>
    <row r="1074" spans="1:12" x14ac:dyDescent="0.3">
      <c r="A1074" s="28">
        <v>44573</v>
      </c>
      <c r="B1074" s="29">
        <v>0.18000180001800001</v>
      </c>
      <c r="C1074" s="29">
        <v>0.18005041411595199</v>
      </c>
      <c r="D1074" s="29">
        <v>0.18002609999999999</v>
      </c>
      <c r="E1074" s="30">
        <v>1.8031599999999901E-3</v>
      </c>
      <c r="F1074" s="30">
        <v>1.0117440549460099</v>
      </c>
      <c r="G1074" s="30">
        <v>-1.9199759063214299</v>
      </c>
      <c r="H1074" s="29">
        <v>0.18002609999999999</v>
      </c>
      <c r="I1074" s="29">
        <v>0.18002609999999999</v>
      </c>
      <c r="K1074">
        <f t="shared" si="32"/>
        <v>1.0117440549460177E-2</v>
      </c>
      <c r="L1074">
        <f t="shared" si="33"/>
        <v>2.7003916627634682E-4</v>
      </c>
    </row>
    <row r="1075" spans="1:12" x14ac:dyDescent="0.3">
      <c r="A1075" s="31">
        <v>44572</v>
      </c>
      <c r="B1075" s="32">
        <v>0.178211822572309</v>
      </c>
      <c r="C1075" s="32">
        <v>0.178234056963605</v>
      </c>
      <c r="D1075" s="32">
        <v>0.17822294</v>
      </c>
      <c r="E1075" s="33">
        <v>2.1960400000000102E-3</v>
      </c>
      <c r="F1075" s="33">
        <v>1.2475593218990999</v>
      </c>
      <c r="G1075" s="33">
        <v>-2.9023555515215298</v>
      </c>
      <c r="H1075" s="32">
        <v>0.17822294</v>
      </c>
      <c r="I1075" s="32">
        <v>0.17822294</v>
      </c>
      <c r="K1075">
        <f t="shared" si="32"/>
        <v>1.2475593218991055E-2</v>
      </c>
      <c r="L1075">
        <f t="shared" si="33"/>
        <v>1.2475605719446364E-4</v>
      </c>
    </row>
    <row r="1076" spans="1:12" x14ac:dyDescent="0.3">
      <c r="A1076" s="28">
        <v>44571</v>
      </c>
      <c r="B1076" s="29">
        <v>0.176016052664003</v>
      </c>
      <c r="C1076" s="29">
        <v>0.17603774249199</v>
      </c>
      <c r="D1076" s="29">
        <v>0.17602689999999999</v>
      </c>
      <c r="E1076" s="30">
        <v>-7.9526000000001897E-4</v>
      </c>
      <c r="F1076" s="30">
        <v>-0.44975132076206997</v>
      </c>
      <c r="G1076" s="30">
        <v>-4.0987801594571698</v>
      </c>
      <c r="H1076" s="29">
        <v>0.17602689999999999</v>
      </c>
      <c r="I1076" s="29">
        <v>0.17602689999999999</v>
      </c>
      <c r="K1076">
        <f t="shared" si="32"/>
        <v>-4.4975132076207069E-3</v>
      </c>
      <c r="L1076">
        <f t="shared" si="33"/>
        <v>1.2321882613966216E-4</v>
      </c>
    </row>
    <row r="1077" spans="1:12" x14ac:dyDescent="0.3">
      <c r="A1077" s="31">
        <v>44568</v>
      </c>
      <c r="B1077" s="32">
        <v>0.17679089173325799</v>
      </c>
      <c r="C1077" s="32">
        <v>0.176853423882286</v>
      </c>
      <c r="D1077" s="32">
        <v>0.17682216000000001</v>
      </c>
      <c r="E1077" s="33">
        <v>1.38356E-3</v>
      </c>
      <c r="F1077" s="33">
        <v>0.78862918422741801</v>
      </c>
      <c r="G1077" s="33">
        <v>-3.6655145387458399</v>
      </c>
      <c r="H1077" s="32">
        <v>0.17682216000000001</v>
      </c>
      <c r="I1077" s="32">
        <v>0.17682216000000001</v>
      </c>
      <c r="K1077">
        <f t="shared" si="32"/>
        <v>7.8862918422741846E-3</v>
      </c>
      <c r="L1077">
        <f t="shared" si="33"/>
        <v>3.5364430017151798E-4</v>
      </c>
    </row>
    <row r="1078" spans="1:12" x14ac:dyDescent="0.3">
      <c r="A1078" s="28">
        <v>44567</v>
      </c>
      <c r="B1078" s="29">
        <v>0.17542320849048301</v>
      </c>
      <c r="C1078" s="29">
        <v>0.17545398719185901</v>
      </c>
      <c r="D1078" s="29">
        <v>0.1754386</v>
      </c>
      <c r="E1078" s="30">
        <v>-1.27107000000001E-3</v>
      </c>
      <c r="F1078" s="30">
        <v>-0.71929849679420699</v>
      </c>
      <c r="G1078" s="30">
        <v>-4.4192918973346798</v>
      </c>
      <c r="H1078" s="29">
        <v>0.1754386</v>
      </c>
      <c r="I1078" s="29">
        <v>0.1754386</v>
      </c>
      <c r="K1078">
        <f t="shared" si="32"/>
        <v>-7.1929849679420732E-3</v>
      </c>
      <c r="L1078">
        <f t="shared" si="33"/>
        <v>1.7543859433439472E-4</v>
      </c>
    </row>
    <row r="1079" spans="1:12" x14ac:dyDescent="0.3">
      <c r="A1079" s="31">
        <v>44566</v>
      </c>
      <c r="B1079" s="32">
        <v>0.176697176379121</v>
      </c>
      <c r="C1079" s="32">
        <v>0.176722157424098</v>
      </c>
      <c r="D1079" s="32">
        <v>0.17670967000000001</v>
      </c>
      <c r="E1079" s="33">
        <v>2.9615000000002202E-4</v>
      </c>
      <c r="F1079" s="33">
        <v>0.16787262110071699</v>
      </c>
      <c r="G1079" s="33">
        <v>-3.72680021849059</v>
      </c>
      <c r="H1079" s="32">
        <v>0.17670967000000001</v>
      </c>
      <c r="I1079" s="32">
        <v>0.17670967000000001</v>
      </c>
      <c r="K1079">
        <f t="shared" si="32"/>
        <v>1.6787262110071755E-3</v>
      </c>
      <c r="L1079">
        <f t="shared" si="33"/>
        <v>1.4136773033983707E-4</v>
      </c>
    </row>
    <row r="1080" spans="1:12" x14ac:dyDescent="0.3">
      <c r="A1080" s="28">
        <v>44565</v>
      </c>
      <c r="B1080" s="29">
        <v>0.176394842214814</v>
      </c>
      <c r="C1080" s="29">
        <v>0.17643218828843099</v>
      </c>
      <c r="D1080" s="29">
        <v>0.17641351999999999</v>
      </c>
      <c r="E1080" s="30">
        <v>-1.4328000000002301E-4</v>
      </c>
      <c r="F1080" s="30">
        <v>-8.11523543698289E-2</v>
      </c>
      <c r="G1080" s="30">
        <v>-3.8881457074799401</v>
      </c>
      <c r="H1080" s="29">
        <v>0.17641351999999999</v>
      </c>
      <c r="I1080" s="29">
        <v>0.17641351999999999</v>
      </c>
      <c r="K1080">
        <f t="shared" si="32"/>
        <v>-8.1152354369828927E-4</v>
      </c>
      <c r="L1080">
        <f t="shared" si="33"/>
        <v>2.116962102280769E-4</v>
      </c>
    </row>
    <row r="1081" spans="1:12" x14ac:dyDescent="0.3">
      <c r="A1081" s="31">
        <v>44564</v>
      </c>
      <c r="B1081" s="32">
        <v>0.17653497157786999</v>
      </c>
      <c r="C1081" s="32">
        <v>0.17657861279841799</v>
      </c>
      <c r="D1081" s="32">
        <v>0.17655680000000001</v>
      </c>
      <c r="E1081" s="33">
        <v>-2.9764099999999801E-3</v>
      </c>
      <c r="F1081" s="33">
        <v>-1.6578604036545499</v>
      </c>
      <c r="G1081" s="33">
        <v>-3.81008532705652</v>
      </c>
      <c r="H1081" s="32">
        <v>0.17655680000000001</v>
      </c>
      <c r="I1081" s="32">
        <v>0.17655680000000001</v>
      </c>
      <c r="K1081">
        <f t="shared" si="32"/>
        <v>-1.6578604036545541E-2</v>
      </c>
      <c r="L1081">
        <f t="shared" si="33"/>
        <v>2.4717949434973588E-4</v>
      </c>
    </row>
    <row r="1082" spans="1:12" x14ac:dyDescent="0.3">
      <c r="A1082" s="28">
        <v>44561</v>
      </c>
      <c r="B1082" s="29">
        <v>0.17950098725543001</v>
      </c>
      <c r="C1082" s="29">
        <v>0.17956545160711099</v>
      </c>
      <c r="D1082" s="29">
        <v>0.17953321</v>
      </c>
      <c r="E1082" s="30">
        <v>2.02829999999987E-4</v>
      </c>
      <c r="F1082" s="30">
        <v>0.11310409312688099</v>
      </c>
      <c r="G1082" s="30">
        <v>-2.1885073196861198</v>
      </c>
      <c r="H1082" s="29">
        <v>0.17953321</v>
      </c>
      <c r="I1082" s="29">
        <v>0.17953321</v>
      </c>
      <c r="K1082">
        <f t="shared" si="32"/>
        <v>1.1310409312688119E-3</v>
      </c>
      <c r="L1082">
        <f t="shared" si="33"/>
        <v>3.5906644615208626E-4</v>
      </c>
    </row>
    <row r="1083" spans="1:12" x14ac:dyDescent="0.3">
      <c r="A1083" s="31">
        <v>44560</v>
      </c>
      <c r="B1083" s="32">
        <v>0.179307871615564</v>
      </c>
      <c r="C1083" s="32">
        <v>0.179352894755721</v>
      </c>
      <c r="D1083" s="32">
        <v>0.17933038000000001</v>
      </c>
      <c r="E1083" s="33">
        <v>3.24924000000001E-3</v>
      </c>
      <c r="F1083" s="33">
        <v>1.84530836181546</v>
      </c>
      <c r="G1083" s="33">
        <v>-2.29901113711548</v>
      </c>
      <c r="H1083" s="32">
        <v>0.17933038000000001</v>
      </c>
      <c r="I1083" s="32">
        <v>0.17933038000000001</v>
      </c>
      <c r="K1083">
        <f t="shared" si="32"/>
        <v>1.8453083618154675E-2</v>
      </c>
      <c r="L1083">
        <f t="shared" si="33"/>
        <v>2.5106253696112316E-4</v>
      </c>
    </row>
    <row r="1084" spans="1:12" x14ac:dyDescent="0.3">
      <c r="A1084" s="28">
        <v>44559</v>
      </c>
      <c r="B1084" s="29">
        <v>0.176059437666156</v>
      </c>
      <c r="C1084" s="29">
        <v>0.17610284406093199</v>
      </c>
      <c r="D1084" s="29">
        <v>0.17608114</v>
      </c>
      <c r="E1084" s="30">
        <v>-1.25997999999999E-3</v>
      </c>
      <c r="F1084" s="30">
        <v>-0.71048384040880397</v>
      </c>
      <c r="G1084" s="30">
        <v>-4.0692296636854897</v>
      </c>
      <c r="H1084" s="29">
        <v>0.17608114</v>
      </c>
      <c r="I1084" s="29">
        <v>0.17608114</v>
      </c>
      <c r="K1084">
        <f t="shared" si="32"/>
        <v>-7.104838404088043E-3</v>
      </c>
      <c r="L1084">
        <f t="shared" si="33"/>
        <v>2.4651359467564506E-4</v>
      </c>
    </row>
    <row r="1085" spans="1:12" x14ac:dyDescent="0.3">
      <c r="A1085" s="31">
        <v>44558</v>
      </c>
      <c r="B1085" s="32">
        <v>0.177326973205894</v>
      </c>
      <c r="C1085" s="32">
        <v>0.177355278093076</v>
      </c>
      <c r="D1085" s="32">
        <v>0.17734111999999999</v>
      </c>
      <c r="E1085" s="33">
        <v>3.7814999999999301E-4</v>
      </c>
      <c r="F1085" s="33">
        <v>0.21368877341965101</v>
      </c>
      <c r="G1085" s="33">
        <v>-3.3827799280218702</v>
      </c>
      <c r="H1085" s="32">
        <v>0.17734111999999999</v>
      </c>
      <c r="I1085" s="32">
        <v>0.17734111999999999</v>
      </c>
      <c r="K1085">
        <f t="shared" si="32"/>
        <v>2.1368877341965131E-3</v>
      </c>
      <c r="L1085">
        <f t="shared" si="33"/>
        <v>1.5960701715429172E-4</v>
      </c>
    </row>
    <row r="1086" spans="1:12" x14ac:dyDescent="0.3">
      <c r="A1086" s="28">
        <v>44557</v>
      </c>
      <c r="B1086" s="29">
        <v>0.176941043244391</v>
      </c>
      <c r="C1086" s="29">
        <v>0.17698488549077901</v>
      </c>
      <c r="D1086" s="29">
        <v>0.17696297</v>
      </c>
      <c r="E1086" s="30">
        <v>7.7635000000000898E-4</v>
      </c>
      <c r="F1086" s="30">
        <v>0.440640725158369</v>
      </c>
      <c r="G1086" s="30">
        <v>-3.5887998390849001</v>
      </c>
      <c r="H1086" s="29">
        <v>0.17696297</v>
      </c>
      <c r="I1086" s="29">
        <v>0.17696297</v>
      </c>
      <c r="K1086">
        <f t="shared" si="32"/>
        <v>4.4064072515836994E-3</v>
      </c>
      <c r="L1086">
        <f t="shared" si="33"/>
        <v>2.4774813842697989E-4</v>
      </c>
    </row>
    <row r="1087" spans="1:12" x14ac:dyDescent="0.3">
      <c r="A1087" s="31">
        <v>44554</v>
      </c>
      <c r="B1087" s="32">
        <v>0.176171097369765</v>
      </c>
      <c r="C1087" s="32">
        <v>0.17620213909396901</v>
      </c>
      <c r="D1087" s="32">
        <v>0.17618661999999999</v>
      </c>
      <c r="E1087" s="33">
        <v>1.18705999999998E-3</v>
      </c>
      <c r="F1087" s="33">
        <v>0.67832170549457704</v>
      </c>
      <c r="G1087" s="33">
        <v>-4.0117631022180102</v>
      </c>
      <c r="H1087" s="32">
        <v>0.17618661999999999</v>
      </c>
      <c r="I1087" s="32">
        <v>0.17618661999999999</v>
      </c>
      <c r="K1087">
        <f t="shared" si="32"/>
        <v>6.7832170549457782E-3</v>
      </c>
      <c r="L1087">
        <f t="shared" si="33"/>
        <v>1.7618661510171286E-4</v>
      </c>
    </row>
    <row r="1088" spans="1:12" x14ac:dyDescent="0.3">
      <c r="A1088" s="28">
        <v>44553</v>
      </c>
      <c r="B1088" s="29">
        <v>0.17497200447928299</v>
      </c>
      <c r="C1088" s="29">
        <v>0.175027129205027</v>
      </c>
      <c r="D1088" s="29">
        <v>0.17499956</v>
      </c>
      <c r="E1088" s="30">
        <v>5.20400000000031E-5</v>
      </c>
      <c r="F1088" s="30">
        <v>2.9746063276569999E-2</v>
      </c>
      <c r="G1088" s="30">
        <v>-4.65848529083756</v>
      </c>
      <c r="H1088" s="29">
        <v>0.17499956</v>
      </c>
      <c r="I1088" s="29">
        <v>0.17499956</v>
      </c>
      <c r="K1088">
        <f t="shared" si="32"/>
        <v>2.9746063276570034E-4</v>
      </c>
      <c r="L1088">
        <f t="shared" si="33"/>
        <v>3.1499922482096626E-4</v>
      </c>
    </row>
    <row r="1089" spans="1:12" x14ac:dyDescent="0.3">
      <c r="A1089" s="31">
        <v>44552</v>
      </c>
      <c r="B1089" s="32">
        <v>0.17491691446562899</v>
      </c>
      <c r="C1089" s="32">
        <v>0.17497812773403301</v>
      </c>
      <c r="D1089" s="32">
        <v>0.17494752</v>
      </c>
      <c r="E1089" s="33">
        <v>8.7251999999998699E-4</v>
      </c>
      <c r="F1089" s="33">
        <v>0.501232227488146</v>
      </c>
      <c r="G1089" s="33">
        <v>-4.6868372045536004</v>
      </c>
      <c r="H1089" s="32">
        <v>0.17494752</v>
      </c>
      <c r="I1089" s="32">
        <v>0.17494752</v>
      </c>
      <c r="K1089">
        <f t="shared" si="32"/>
        <v>5.0123222748814644E-3</v>
      </c>
      <c r="L1089">
        <f t="shared" si="33"/>
        <v>3.498950336879633E-4</v>
      </c>
    </row>
    <row r="1090" spans="1:12" x14ac:dyDescent="0.3">
      <c r="A1090" s="28">
        <v>44551</v>
      </c>
      <c r="B1090" s="29">
        <v>0.17403713952557501</v>
      </c>
      <c r="C1090" s="29">
        <v>0.17411289480098899</v>
      </c>
      <c r="D1090" s="29">
        <v>0.17407500000000001</v>
      </c>
      <c r="E1090" s="30">
        <v>-6.2647999999998396E-4</v>
      </c>
      <c r="F1090" s="30">
        <v>-0.35860028203538102</v>
      </c>
      <c r="G1090" s="30">
        <v>-5.1621948478187401</v>
      </c>
      <c r="H1090" s="29">
        <v>0.17407500000000001</v>
      </c>
      <c r="I1090" s="29">
        <v>0.17407500000000001</v>
      </c>
      <c r="K1090">
        <f t="shared" si="32"/>
        <v>-3.5860028203538175E-3</v>
      </c>
      <c r="L1090">
        <f t="shared" si="33"/>
        <v>4.3518756521028338E-4</v>
      </c>
    </row>
    <row r="1091" spans="1:12" x14ac:dyDescent="0.3">
      <c r="A1091" s="31">
        <v>44550</v>
      </c>
      <c r="B1091" s="32">
        <v>0.17466943808841801</v>
      </c>
      <c r="C1091" s="32">
        <v>0.17473353136466899</v>
      </c>
      <c r="D1091" s="32">
        <v>0.17470147999999999</v>
      </c>
      <c r="E1091" s="33">
        <v>-1.53016999999999E-3</v>
      </c>
      <c r="F1091" s="33">
        <v>-0.86827195909474597</v>
      </c>
      <c r="G1091" s="33">
        <v>-4.8208822631757098</v>
      </c>
      <c r="H1091" s="32">
        <v>0.17470147999999999</v>
      </c>
      <c r="I1091" s="32">
        <v>0.17470147999999999</v>
      </c>
      <c r="K1091">
        <f t="shared" si="32"/>
        <v>-8.682719590947463E-3</v>
      </c>
      <c r="L1091">
        <f t="shared" si="33"/>
        <v>3.6687311550526994E-4</v>
      </c>
    </row>
    <row r="1092" spans="1:12" x14ac:dyDescent="0.3">
      <c r="A1092" s="28">
        <v>44547</v>
      </c>
      <c r="B1092" s="29">
        <v>0.176214558846852</v>
      </c>
      <c r="C1092" s="29">
        <v>0.17624872219676399</v>
      </c>
      <c r="D1092" s="29">
        <v>0.17623164999999999</v>
      </c>
      <c r="E1092" s="30">
        <v>1.13289999999988E-4</v>
      </c>
      <c r="F1092" s="30">
        <v>6.4326058907204706E-2</v>
      </c>
      <c r="G1092" s="30">
        <v>-3.9872303067792498</v>
      </c>
      <c r="H1092" s="29">
        <v>0.17623164999999999</v>
      </c>
      <c r="I1092" s="29">
        <v>0.17623164999999999</v>
      </c>
      <c r="K1092">
        <f t="shared" si="32"/>
        <v>6.4326058907204775E-4</v>
      </c>
      <c r="L1092">
        <f t="shared" si="33"/>
        <v>1.9385479232585063E-4</v>
      </c>
    </row>
    <row r="1093" spans="1:12" x14ac:dyDescent="0.3">
      <c r="A1093" s="31">
        <v>44546</v>
      </c>
      <c r="B1093" s="32">
        <v>0.17608733932030299</v>
      </c>
      <c r="C1093" s="32">
        <v>0.17614937466972</v>
      </c>
      <c r="D1093" s="32">
        <v>0.17611836</v>
      </c>
      <c r="E1093" s="33">
        <v>1.47027999999999E-3</v>
      </c>
      <c r="F1093" s="33">
        <v>0.841852942213838</v>
      </c>
      <c r="G1093" s="33">
        <v>-4.0489518345442299</v>
      </c>
      <c r="H1093" s="32">
        <v>0.17611836</v>
      </c>
      <c r="I1093" s="32">
        <v>0.17611836</v>
      </c>
      <c r="K1093">
        <f t="shared" ref="K1093:K1156" si="34">D1093/D1094-1</f>
        <v>8.4185294221383877E-3</v>
      </c>
      <c r="L1093">
        <f t="shared" ref="L1093:L1156" si="35">(C1093-B1093)/D1093</f>
        <v>3.5223669705424898E-4</v>
      </c>
    </row>
    <row r="1094" spans="1:12" x14ac:dyDescent="0.3">
      <c r="A1094" s="28">
        <v>44545</v>
      </c>
      <c r="B1094" s="29">
        <v>0.17462063666684099</v>
      </c>
      <c r="C1094" s="29">
        <v>0.174675540184108</v>
      </c>
      <c r="D1094" s="29">
        <v>0.17464808000000001</v>
      </c>
      <c r="E1094" s="30">
        <v>-1.9741899999999798E-3</v>
      </c>
      <c r="F1094" s="30">
        <v>-1.1177469296482201</v>
      </c>
      <c r="G1094" s="30">
        <v>-4.8499751185261299</v>
      </c>
      <c r="H1094" s="29">
        <v>0.17464808000000001</v>
      </c>
      <c r="I1094" s="29">
        <v>0.17464808000000001</v>
      </c>
      <c r="K1094">
        <f t="shared" si="34"/>
        <v>-1.1177469296482223E-2</v>
      </c>
      <c r="L1094">
        <f t="shared" si="35"/>
        <v>3.1436656656633178E-4</v>
      </c>
    </row>
    <row r="1095" spans="1:12" x14ac:dyDescent="0.3">
      <c r="A1095" s="31">
        <v>44544</v>
      </c>
      <c r="B1095" s="32">
        <v>0.17660356032777599</v>
      </c>
      <c r="C1095" s="32">
        <v>0.17664099484208301</v>
      </c>
      <c r="D1095" s="32">
        <v>0.17662227</v>
      </c>
      <c r="E1095" s="33">
        <v>3.7821999999998397E-4</v>
      </c>
      <c r="F1095" s="33">
        <v>0.21460015245904299</v>
      </c>
      <c r="G1095" s="33">
        <v>-3.77441661470086</v>
      </c>
      <c r="H1095" s="32">
        <v>0.17662227</v>
      </c>
      <c r="I1095" s="32">
        <v>0.17662227</v>
      </c>
      <c r="K1095">
        <f t="shared" si="34"/>
        <v>2.1460015245904351E-3</v>
      </c>
      <c r="L1095">
        <f t="shared" si="35"/>
        <v>2.1194673982514491E-4</v>
      </c>
    </row>
    <row r="1096" spans="1:12" x14ac:dyDescent="0.3">
      <c r="A1096" s="28">
        <v>44543</v>
      </c>
      <c r="B1096" s="29">
        <v>0.17623319175933599</v>
      </c>
      <c r="C1096" s="29">
        <v>0.17625493513818399</v>
      </c>
      <c r="D1096" s="29">
        <v>0.17624405000000001</v>
      </c>
      <c r="E1096" s="30">
        <v>-2.20629999999999E-3</v>
      </c>
      <c r="F1096" s="30">
        <v>-1.2363663058099801</v>
      </c>
      <c r="G1096" s="30">
        <v>-3.98047466246565</v>
      </c>
      <c r="H1096" s="29">
        <v>0.17624405000000001</v>
      </c>
      <c r="I1096" s="29">
        <v>0.17624405000000001</v>
      </c>
      <c r="K1096">
        <f t="shared" si="34"/>
        <v>-1.2363663058099883E-2</v>
      </c>
      <c r="L1096">
        <f t="shared" si="35"/>
        <v>1.2337085335930071E-4</v>
      </c>
    </row>
    <row r="1097" spans="1:12" x14ac:dyDescent="0.3">
      <c r="A1097" s="31">
        <v>44540</v>
      </c>
      <c r="B1097" s="32">
        <v>0.17842804888928501</v>
      </c>
      <c r="C1097" s="32">
        <v>0.17847263122200199</v>
      </c>
      <c r="D1097" s="32">
        <v>0.17845035000000001</v>
      </c>
      <c r="E1097" s="33">
        <v>-9.4115000000000095E-4</v>
      </c>
      <c r="F1097" s="33">
        <v>-0.52463466775182199</v>
      </c>
      <c r="G1097" s="33">
        <v>-2.77846030367055</v>
      </c>
      <c r="H1097" s="32">
        <v>0.17845035000000001</v>
      </c>
      <c r="I1097" s="32">
        <v>0.17845035000000001</v>
      </c>
      <c r="K1097">
        <f t="shared" si="34"/>
        <v>-5.246346677518221E-3</v>
      </c>
      <c r="L1097">
        <f t="shared" si="35"/>
        <v>2.4983045825900766E-4</v>
      </c>
    </row>
    <row r="1098" spans="1:12" x14ac:dyDescent="0.3">
      <c r="A1098" s="28">
        <v>44539</v>
      </c>
      <c r="B1098" s="29">
        <v>0.17936576266322299</v>
      </c>
      <c r="C1098" s="29">
        <v>0.179417252763026</v>
      </c>
      <c r="D1098" s="29">
        <v>0.17939150000000001</v>
      </c>
      <c r="E1098" s="30">
        <v>-7.8219999999998204E-4</v>
      </c>
      <c r="F1098" s="30">
        <v>-0.43413661372330098</v>
      </c>
      <c r="G1098" s="30">
        <v>-2.2657123483698198</v>
      </c>
      <c r="H1098" s="29">
        <v>0.17939150000000001</v>
      </c>
      <c r="I1098" s="29">
        <v>0.17939150000000001</v>
      </c>
      <c r="K1098">
        <f t="shared" si="34"/>
        <v>-4.3413661372330159E-3</v>
      </c>
      <c r="L1098">
        <f t="shared" si="35"/>
        <v>2.8702641877131484E-4</v>
      </c>
    </row>
    <row r="1099" spans="1:12" x14ac:dyDescent="0.3">
      <c r="A1099" s="31">
        <v>44538</v>
      </c>
      <c r="B1099" s="32">
        <v>0.18015421200547699</v>
      </c>
      <c r="C1099" s="32">
        <v>0.18019316707510499</v>
      </c>
      <c r="D1099" s="32">
        <v>0.18017369999999999</v>
      </c>
      <c r="E1099" s="33">
        <v>2.8231299999999702E-3</v>
      </c>
      <c r="F1099" s="33">
        <v>1.5918358762534399</v>
      </c>
      <c r="G1099" s="33">
        <v>-1.83956194658878</v>
      </c>
      <c r="H1099" s="32">
        <v>0.18017369999999999</v>
      </c>
      <c r="I1099" s="32">
        <v>0.18017369999999999</v>
      </c>
      <c r="K1099">
        <f t="shared" si="34"/>
        <v>1.5918358762534446E-2</v>
      </c>
      <c r="L1099">
        <f t="shared" si="35"/>
        <v>2.1620841237097863E-4</v>
      </c>
    </row>
    <row r="1100" spans="1:12" x14ac:dyDescent="0.3">
      <c r="A1100" s="28">
        <v>44537</v>
      </c>
      <c r="B1100" s="29">
        <v>0.17733011774719801</v>
      </c>
      <c r="C1100" s="29">
        <v>0.17737100693520599</v>
      </c>
      <c r="D1100" s="29">
        <v>0.17735057000000001</v>
      </c>
      <c r="E1100" s="30">
        <v>1.3825200000000201E-3</v>
      </c>
      <c r="F1100" s="30">
        <v>0.78566535231823198</v>
      </c>
      <c r="G1100" s="30">
        <v>-3.37763147328288</v>
      </c>
      <c r="H1100" s="29">
        <v>0.17735057000000001</v>
      </c>
      <c r="I1100" s="29">
        <v>0.17735057000000001</v>
      </c>
      <c r="K1100">
        <f t="shared" si="34"/>
        <v>7.856653523182322E-3</v>
      </c>
      <c r="L1100">
        <f t="shared" si="35"/>
        <v>2.3055571802214374E-4</v>
      </c>
    </row>
    <row r="1101" spans="1:12" x14ac:dyDescent="0.3">
      <c r="A1101" s="31">
        <v>44536</v>
      </c>
      <c r="B1101" s="32">
        <v>0.175929346774335</v>
      </c>
      <c r="C1101" s="32">
        <v>0.176006758659533</v>
      </c>
      <c r="D1101" s="32">
        <v>0.17596804999999999</v>
      </c>
      <c r="E1101" s="33">
        <v>-4.3458000000001703E-4</v>
      </c>
      <c r="F1101" s="33">
        <v>-0.246356871209918</v>
      </c>
      <c r="G1101" s="33">
        <v>-4.1308422294454301</v>
      </c>
      <c r="H1101" s="32">
        <v>0.17596804999999999</v>
      </c>
      <c r="I1101" s="32">
        <v>0.17596804999999999</v>
      </c>
      <c r="K1101">
        <f t="shared" si="34"/>
        <v>-2.4635687120991845E-3</v>
      </c>
      <c r="L1101">
        <f t="shared" si="35"/>
        <v>4.3992011730537272E-4</v>
      </c>
    </row>
    <row r="1102" spans="1:12" x14ac:dyDescent="0.3">
      <c r="A1102" s="28">
        <v>44533</v>
      </c>
      <c r="B1102" s="29">
        <v>0.176385508166649</v>
      </c>
      <c r="C1102" s="29">
        <v>0.17641973784027001</v>
      </c>
      <c r="D1102" s="29">
        <v>0.17640263</v>
      </c>
      <c r="E1102" s="30">
        <v>-1.1620699999999799E-3</v>
      </c>
      <c r="F1102" s="30">
        <v>-0.65444877275718705</v>
      </c>
      <c r="G1102" s="30">
        <v>-3.89407868865533</v>
      </c>
      <c r="H1102" s="29">
        <v>0.17640263</v>
      </c>
      <c r="I1102" s="29">
        <v>0.17640263</v>
      </c>
      <c r="K1102">
        <f t="shared" si="34"/>
        <v>-6.5444877275718794E-3</v>
      </c>
      <c r="L1102">
        <f t="shared" si="35"/>
        <v>1.9404287578374997E-4</v>
      </c>
    </row>
    <row r="1103" spans="1:12" x14ac:dyDescent="0.3">
      <c r="A1103" s="31">
        <v>44532</v>
      </c>
      <c r="B1103" s="32">
        <v>0.17755681818181801</v>
      </c>
      <c r="C1103" s="32">
        <v>0.177572582793217</v>
      </c>
      <c r="D1103" s="32">
        <v>0.17756469999999999</v>
      </c>
      <c r="E1103" s="33">
        <v>-3.4591000000000401E-4</v>
      </c>
      <c r="F1103" s="33">
        <v>-0.19442910122111601</v>
      </c>
      <c r="G1103" s="33">
        <v>-3.2609713025677598</v>
      </c>
      <c r="H1103" s="32">
        <v>0.17756469999999999</v>
      </c>
      <c r="I1103" s="32">
        <v>0.17756469999999999</v>
      </c>
      <c r="K1103">
        <f t="shared" si="34"/>
        <v>-1.9442910122111634E-3</v>
      </c>
      <c r="L1103">
        <f t="shared" si="35"/>
        <v>8.8782350315059463E-5</v>
      </c>
    </row>
    <row r="1104" spans="1:12" x14ac:dyDescent="0.3">
      <c r="A1104" s="28">
        <v>44531</v>
      </c>
      <c r="B1104" s="29">
        <v>0.17790112255608301</v>
      </c>
      <c r="C1104" s="29">
        <v>0.17792011386887299</v>
      </c>
      <c r="D1104" s="29">
        <v>0.17791061</v>
      </c>
      <c r="E1104" s="30">
        <v>8.7717000000001001E-4</v>
      </c>
      <c r="F1104" s="30">
        <v>0.49548266135483998</v>
      </c>
      <c r="G1104" s="30">
        <v>-3.07251606672004</v>
      </c>
      <c r="H1104" s="29">
        <v>0.17791061</v>
      </c>
      <c r="I1104" s="29">
        <v>0.17791061</v>
      </c>
      <c r="K1104">
        <f t="shared" si="34"/>
        <v>4.954826613548402E-3</v>
      </c>
      <c r="L1104">
        <f t="shared" si="35"/>
        <v>1.0674637555334299E-4</v>
      </c>
    </row>
    <row r="1105" spans="1:12" x14ac:dyDescent="0.3">
      <c r="A1105" s="31">
        <v>44530</v>
      </c>
      <c r="B1105" s="32">
        <v>0.17701621468526499</v>
      </c>
      <c r="C1105" s="32">
        <v>0.177050689612436</v>
      </c>
      <c r="D1105" s="32">
        <v>0.17703343999999999</v>
      </c>
      <c r="E1105" s="33">
        <v>-7.1274000000001703E-4</v>
      </c>
      <c r="F1105" s="33">
        <v>-0.40098752051943498</v>
      </c>
      <c r="G1105" s="33">
        <v>-3.5504070766027902</v>
      </c>
      <c r="H1105" s="32">
        <v>0.17703343999999999</v>
      </c>
      <c r="I1105" s="32">
        <v>0.17703343999999999</v>
      </c>
      <c r="K1105">
        <f t="shared" si="34"/>
        <v>-4.0098752051943576E-3</v>
      </c>
      <c r="L1105">
        <f t="shared" si="35"/>
        <v>1.9473680888205751E-4</v>
      </c>
    </row>
    <row r="1106" spans="1:12" x14ac:dyDescent="0.3">
      <c r="A1106" s="28">
        <v>44529</v>
      </c>
      <c r="B1106" s="29">
        <v>0.17772722425621201</v>
      </c>
      <c r="C1106" s="29">
        <v>0.17776513670138999</v>
      </c>
      <c r="D1106" s="29">
        <v>0.17774618</v>
      </c>
      <c r="E1106" s="30">
        <v>-1.2535700000000001E-3</v>
      </c>
      <c r="F1106" s="30">
        <v>-0.70031941385393304</v>
      </c>
      <c r="G1106" s="30">
        <v>-3.16209917917831</v>
      </c>
      <c r="H1106" s="29">
        <v>0.17774618</v>
      </c>
      <c r="I1106" s="29">
        <v>0.17774618</v>
      </c>
      <c r="K1106">
        <f t="shared" si="34"/>
        <v>-7.003194138539337E-3</v>
      </c>
      <c r="L1106">
        <f t="shared" si="35"/>
        <v>2.1329541471990491E-4</v>
      </c>
    </row>
    <row r="1107" spans="1:12" x14ac:dyDescent="0.3">
      <c r="A1107" s="31">
        <v>44526</v>
      </c>
      <c r="B1107" s="32">
        <v>0.17896771422435401</v>
      </c>
      <c r="C1107" s="32">
        <v>0.179031796046978</v>
      </c>
      <c r="D1107" s="32">
        <v>0.17899975000000001</v>
      </c>
      <c r="E1107" s="33">
        <v>-1.0441699999999799E-3</v>
      </c>
      <c r="F1107" s="33">
        <v>-0.57995293592807395</v>
      </c>
      <c r="G1107" s="33">
        <v>-2.4791416757767801</v>
      </c>
      <c r="H1107" s="32">
        <v>0.17899975000000001</v>
      </c>
      <c r="I1107" s="32">
        <v>0.17899975000000001</v>
      </c>
      <c r="K1107">
        <f t="shared" si="34"/>
        <v>-5.7995293592807418E-3</v>
      </c>
      <c r="L1107">
        <f t="shared" si="35"/>
        <v>3.579995090718859E-4</v>
      </c>
    </row>
    <row r="1108" spans="1:12" x14ac:dyDescent="0.3">
      <c r="A1108" s="28">
        <v>44525</v>
      </c>
      <c r="B1108" s="29">
        <v>0.180027724269538</v>
      </c>
      <c r="C1108" s="29">
        <v>0.180060140086789</v>
      </c>
      <c r="D1108" s="29">
        <v>0.18004392</v>
      </c>
      <c r="E1108" s="30">
        <v>1.37038E-3</v>
      </c>
      <c r="F1108" s="30">
        <v>0.76697422573035401</v>
      </c>
      <c r="G1108" s="30">
        <v>-1.91026739167078</v>
      </c>
      <c r="H1108" s="29">
        <v>0.18004392</v>
      </c>
      <c r="I1108" s="29">
        <v>0.18004392</v>
      </c>
      <c r="K1108">
        <f t="shared" si="34"/>
        <v>7.6697422573035468E-3</v>
      </c>
      <c r="L1108">
        <f t="shared" si="35"/>
        <v>1.8004394289458349E-4</v>
      </c>
    </row>
    <row r="1109" spans="1:12" x14ac:dyDescent="0.3">
      <c r="A1109" s="31">
        <v>44524</v>
      </c>
      <c r="B1109" s="32">
        <v>0.17865437524565</v>
      </c>
      <c r="C1109" s="32">
        <v>0.17869268432150401</v>
      </c>
      <c r="D1109" s="32">
        <v>0.17867353999999999</v>
      </c>
      <c r="E1109" s="33">
        <v>1.9341999999999901E-3</v>
      </c>
      <c r="F1109" s="33">
        <v>1.0943800061717901</v>
      </c>
      <c r="G1109" s="33">
        <v>-2.6568641541263101</v>
      </c>
      <c r="H1109" s="32">
        <v>0.17867353999999999</v>
      </c>
      <c r="I1109" s="32">
        <v>0.17867353999999999</v>
      </c>
      <c r="K1109">
        <f t="shared" si="34"/>
        <v>1.0943800061717912E-2</v>
      </c>
      <c r="L1109">
        <f t="shared" si="35"/>
        <v>2.1440822101584766E-4</v>
      </c>
    </row>
    <row r="1110" spans="1:12" x14ac:dyDescent="0.3">
      <c r="A1110" s="28">
        <v>44523</v>
      </c>
      <c r="B1110" s="29">
        <v>0.176722157424098</v>
      </c>
      <c r="C1110" s="29">
        <v>0.17675651789659699</v>
      </c>
      <c r="D1110" s="29">
        <v>0.17673933999999999</v>
      </c>
      <c r="E1110" s="30">
        <v>-2.5540699999999899E-3</v>
      </c>
      <c r="F1110" s="30">
        <v>-1.4245197299778001</v>
      </c>
      <c r="G1110" s="30">
        <v>-3.7106357050402798</v>
      </c>
      <c r="H1110" s="29">
        <v>0.17673933999999999</v>
      </c>
      <c r="I1110" s="29">
        <v>0.17673933999999999</v>
      </c>
      <c r="K1110">
        <f t="shared" si="34"/>
        <v>-1.4245197299778023E-2</v>
      </c>
      <c r="L1110">
        <f t="shared" si="35"/>
        <v>1.944132670122873E-4</v>
      </c>
    </row>
    <row r="1111" spans="1:12" x14ac:dyDescent="0.3">
      <c r="A1111" s="31">
        <v>44522</v>
      </c>
      <c r="B1111" s="32">
        <v>0.17927251214571299</v>
      </c>
      <c r="C1111" s="32">
        <v>0.179314302108736</v>
      </c>
      <c r="D1111" s="32">
        <v>0.17929340999999999</v>
      </c>
      <c r="E1111" s="33">
        <v>-5.5139000000001205E-4</v>
      </c>
      <c r="F1111" s="33">
        <v>-0.30659212832397897</v>
      </c>
      <c r="G1111" s="33">
        <v>-2.3191527637504299</v>
      </c>
      <c r="H1111" s="32">
        <v>0.17929340999999999</v>
      </c>
      <c r="I1111" s="32">
        <v>0.17929340999999999</v>
      </c>
      <c r="K1111">
        <f t="shared" si="34"/>
        <v>-3.065921283239792E-3</v>
      </c>
      <c r="L1111">
        <f t="shared" si="35"/>
        <v>2.3308142236242243E-4</v>
      </c>
    </row>
    <row r="1112" spans="1:12" x14ac:dyDescent="0.3">
      <c r="A1112" s="28">
        <v>44519</v>
      </c>
      <c r="B1112" s="29">
        <v>0.17982700641982399</v>
      </c>
      <c r="C1112" s="29">
        <v>0.17986258498507099</v>
      </c>
      <c r="D1112" s="29">
        <v>0.1798448</v>
      </c>
      <c r="E1112" s="30">
        <v>-6.1664000000000098E-4</v>
      </c>
      <c r="F1112" s="30">
        <v>-0.341701806214111</v>
      </c>
      <c r="G1112" s="30">
        <v>-2.0187499639063202</v>
      </c>
      <c r="H1112" s="29">
        <v>0.1798448</v>
      </c>
      <c r="I1112" s="29">
        <v>0.1798448</v>
      </c>
      <c r="K1112">
        <f t="shared" si="34"/>
        <v>-3.4170180621411195E-3</v>
      </c>
      <c r="L1112">
        <f t="shared" si="35"/>
        <v>1.9782926860824684E-4</v>
      </c>
    </row>
    <row r="1113" spans="1:12" x14ac:dyDescent="0.3">
      <c r="A1113" s="31">
        <v>44518</v>
      </c>
      <c r="B1113" s="32">
        <v>0.18045004240576001</v>
      </c>
      <c r="C1113" s="32">
        <v>0.180472838837755</v>
      </c>
      <c r="D1113" s="32">
        <v>0.18046144</v>
      </c>
      <c r="E1113" s="33">
        <v>-1.3237000000000099E-3</v>
      </c>
      <c r="F1113" s="33">
        <v>-0.72816732984886101</v>
      </c>
      <c r="G1113" s="33">
        <v>-1.68279830991212</v>
      </c>
      <c r="H1113" s="32">
        <v>0.18046144</v>
      </c>
      <c r="I1113" s="32">
        <v>0.18046144</v>
      </c>
      <c r="K1113">
        <f t="shared" si="34"/>
        <v>-7.2816732984886112E-3</v>
      </c>
      <c r="L1113">
        <f t="shared" si="35"/>
        <v>1.2632300836670112E-4</v>
      </c>
    </row>
    <row r="1114" spans="1:12" x14ac:dyDescent="0.3">
      <c r="A1114" s="28">
        <v>44517</v>
      </c>
      <c r="B1114" s="29">
        <v>0.181768608561301</v>
      </c>
      <c r="C1114" s="29">
        <v>0.181801654395055</v>
      </c>
      <c r="D1114" s="29">
        <v>0.18178514000000001</v>
      </c>
      <c r="E1114" s="30">
        <v>1.4034000000001599E-4</v>
      </c>
      <c r="F1114" s="30">
        <v>7.7260675780443905E-2</v>
      </c>
      <c r="G1114" s="30">
        <v>-0.96163327943707899</v>
      </c>
      <c r="H1114" s="29">
        <v>0.18178514000000001</v>
      </c>
      <c r="I1114" s="29">
        <v>0.18178514000000001</v>
      </c>
      <c r="K1114">
        <f t="shared" si="34"/>
        <v>7.7260675780443933E-4</v>
      </c>
      <c r="L1114">
        <f t="shared" si="35"/>
        <v>1.817851214570775E-4</v>
      </c>
    </row>
    <row r="1115" spans="1:12" x14ac:dyDescent="0.3">
      <c r="A1115" s="31">
        <v>44516</v>
      </c>
      <c r="B1115" s="32">
        <v>0.181623349497811</v>
      </c>
      <c r="C1115" s="32">
        <v>0.181666242778767</v>
      </c>
      <c r="D1115" s="32">
        <v>0.1816448</v>
      </c>
      <c r="E1115" s="33">
        <v>-1.69173999999999E-3</v>
      </c>
      <c r="F1115" s="33">
        <v>-0.92275113297108902</v>
      </c>
      <c r="G1115" s="33">
        <v>-1.0380919183861399</v>
      </c>
      <c r="H1115" s="32">
        <v>0.1816448</v>
      </c>
      <c r="I1115" s="32">
        <v>0.1816448</v>
      </c>
      <c r="K1115">
        <f t="shared" si="34"/>
        <v>-9.2275113297108913E-3</v>
      </c>
      <c r="L1115">
        <f t="shared" si="35"/>
        <v>2.361382266709356E-4</v>
      </c>
    </row>
    <row r="1116" spans="1:12" x14ac:dyDescent="0.3">
      <c r="A1116" s="28">
        <v>44515</v>
      </c>
      <c r="B1116" s="29">
        <v>0.18332141744120001</v>
      </c>
      <c r="C1116" s="29">
        <v>0.183351668500183</v>
      </c>
      <c r="D1116" s="29">
        <v>0.18333653999999999</v>
      </c>
      <c r="E1116" s="30">
        <v>-1.0530499999999901E-3</v>
      </c>
      <c r="F1116" s="30">
        <v>-0.57110057026538097</v>
      </c>
      <c r="G1116" s="30">
        <v>-0.11641500620374801</v>
      </c>
      <c r="H1116" s="29">
        <v>0.18333653999999999</v>
      </c>
      <c r="I1116" s="29">
        <v>0.18333653999999999</v>
      </c>
      <c r="K1116">
        <f t="shared" si="34"/>
        <v>-5.7110057026538152E-3</v>
      </c>
      <c r="L1116">
        <f t="shared" si="35"/>
        <v>1.6500289022032419E-4</v>
      </c>
    </row>
    <row r="1117" spans="1:12" x14ac:dyDescent="0.3">
      <c r="A1117" s="31">
        <v>44512</v>
      </c>
      <c r="B1117" s="32">
        <v>0.184365781710914</v>
      </c>
      <c r="C1117" s="32">
        <v>0.18441338103492799</v>
      </c>
      <c r="D1117" s="32">
        <v>0.18438958999999999</v>
      </c>
      <c r="E1117" s="33">
        <v>-8.8309000000000304E-4</v>
      </c>
      <c r="F1117" s="33">
        <v>-0.47664339933982602</v>
      </c>
      <c r="G1117" s="33">
        <v>0.45729719092682403</v>
      </c>
      <c r="H1117" s="32">
        <v>0.18438958999999999</v>
      </c>
      <c r="I1117" s="32">
        <v>0.18438958999999999</v>
      </c>
      <c r="K1117">
        <f t="shared" si="34"/>
        <v>-4.7664339933982669E-3</v>
      </c>
      <c r="L1117">
        <f t="shared" si="35"/>
        <v>2.5814539754652954E-4</v>
      </c>
    </row>
    <row r="1118" spans="1:12" x14ac:dyDescent="0.3">
      <c r="A1118" s="28">
        <v>44511</v>
      </c>
      <c r="B1118" s="29">
        <v>0.18526409396594801</v>
      </c>
      <c r="C1118" s="29">
        <v>0.18528125694804701</v>
      </c>
      <c r="D1118" s="29">
        <v>0.18527268</v>
      </c>
      <c r="E1118" s="30">
        <v>2.76428E-3</v>
      </c>
      <c r="F1118" s="30">
        <v>1.5146042593108</v>
      </c>
      <c r="G1118" s="30">
        <v>0.93841347615928095</v>
      </c>
      <c r="H1118" s="29">
        <v>0.18527268</v>
      </c>
      <c r="I1118" s="29">
        <v>0.18527268</v>
      </c>
      <c r="K1118">
        <f t="shared" si="34"/>
        <v>1.5146042593108033E-2</v>
      </c>
      <c r="L1118">
        <f t="shared" si="35"/>
        <v>9.2636335260009559E-5</v>
      </c>
    </row>
    <row r="1119" spans="1:12" x14ac:dyDescent="0.3">
      <c r="A1119" s="31">
        <v>44510</v>
      </c>
      <c r="B1119" s="32">
        <v>0.18248841198583901</v>
      </c>
      <c r="C1119" s="32">
        <v>0.182528383163582</v>
      </c>
      <c r="D1119" s="32">
        <v>0.18250839999999999</v>
      </c>
      <c r="E1119" s="33">
        <v>3.3745999999998302E-4</v>
      </c>
      <c r="F1119" s="33">
        <v>0.18524359593246001</v>
      </c>
      <c r="G1119" s="33">
        <v>-0.56759398054657595</v>
      </c>
      <c r="H1119" s="32">
        <v>0.18250839999999999</v>
      </c>
      <c r="I1119" s="32">
        <v>0.18250839999999999</v>
      </c>
      <c r="K1119">
        <f t="shared" si="34"/>
        <v>1.8524359593246054E-3</v>
      </c>
      <c r="L1119">
        <f t="shared" si="35"/>
        <v>2.1901007155279841E-4</v>
      </c>
    </row>
    <row r="1120" spans="1:12" x14ac:dyDescent="0.3">
      <c r="A1120" s="28">
        <v>44509</v>
      </c>
      <c r="B1120" s="29">
        <v>0.18214936247723101</v>
      </c>
      <c r="C1120" s="29">
        <v>0.18219250460036099</v>
      </c>
      <c r="D1120" s="29">
        <v>0.18217094</v>
      </c>
      <c r="E1120" s="30">
        <v>1.88681000000001E-3</v>
      </c>
      <c r="F1120" s="30">
        <v>1.0465757579438599</v>
      </c>
      <c r="G1120" s="30">
        <v>-0.75144557168059101</v>
      </c>
      <c r="H1120" s="29">
        <v>0.18217094</v>
      </c>
      <c r="I1120" s="29">
        <v>0.18217094</v>
      </c>
      <c r="K1120">
        <f t="shared" si="34"/>
        <v>1.0465757579438684E-2</v>
      </c>
      <c r="L1120">
        <f t="shared" si="35"/>
        <v>2.3682220188343131E-4</v>
      </c>
    </row>
    <row r="1121" spans="1:12" x14ac:dyDescent="0.3">
      <c r="A1121" s="31">
        <v>44508</v>
      </c>
      <c r="B1121" s="32">
        <v>0.18027437760271101</v>
      </c>
      <c r="C1121" s="32">
        <v>0.180293879022807</v>
      </c>
      <c r="D1121" s="32">
        <v>0.18028412999999999</v>
      </c>
      <c r="E1121" s="33">
        <v>-4.0884000000002097E-4</v>
      </c>
      <c r="F1121" s="33">
        <v>-0.22626226133757299</v>
      </c>
      <c r="G1121" s="33">
        <v>-1.7793985754961199</v>
      </c>
      <c r="H1121" s="32">
        <v>0.18028412999999999</v>
      </c>
      <c r="I1121" s="32">
        <v>0.18028412999999999</v>
      </c>
      <c r="K1121">
        <f t="shared" si="34"/>
        <v>-2.262622613375731E-3</v>
      </c>
      <c r="L1121">
        <f t="shared" si="35"/>
        <v>1.0817047565967606E-4</v>
      </c>
    </row>
    <row r="1122" spans="1:12" x14ac:dyDescent="0.3">
      <c r="A1122" s="28">
        <v>44505</v>
      </c>
      <c r="B1122" s="29">
        <v>0.18067500180675</v>
      </c>
      <c r="C1122" s="29">
        <v>0.18071091674648099</v>
      </c>
      <c r="D1122" s="29">
        <v>0.18069297000000001</v>
      </c>
      <c r="E1122" s="30">
        <v>1.76369000000001E-3</v>
      </c>
      <c r="F1122" s="30">
        <v>0.98569110656456704</v>
      </c>
      <c r="G1122" s="30">
        <v>-1.55665844475695</v>
      </c>
      <c r="H1122" s="29">
        <v>0.18069297000000001</v>
      </c>
      <c r="I1122" s="29">
        <v>0.18069297000000001</v>
      </c>
      <c r="K1122">
        <f t="shared" si="34"/>
        <v>9.8569110656456793E-3</v>
      </c>
      <c r="L1122">
        <f t="shared" si="35"/>
        <v>1.987622414473871E-4</v>
      </c>
    </row>
    <row r="1123" spans="1:12" x14ac:dyDescent="0.3">
      <c r="A1123" s="31">
        <v>44504</v>
      </c>
      <c r="B1123" s="32">
        <v>0.178910079793896</v>
      </c>
      <c r="C1123" s="32">
        <v>0.178948498622097</v>
      </c>
      <c r="D1123" s="32">
        <v>0.17892928</v>
      </c>
      <c r="E1123" s="33">
        <v>9.9018000000000695E-4</v>
      </c>
      <c r="F1123" s="33">
        <v>0.55647128708642402</v>
      </c>
      <c r="G1123" s="33">
        <v>-2.5175344382589002</v>
      </c>
      <c r="H1123" s="32">
        <v>0.17892928</v>
      </c>
      <c r="I1123" s="32">
        <v>0.17892928</v>
      </c>
      <c r="K1123">
        <f t="shared" si="34"/>
        <v>5.5647128708642413E-3</v>
      </c>
      <c r="L1123">
        <f t="shared" si="35"/>
        <v>2.147151556245702E-4</v>
      </c>
    </row>
    <row r="1124" spans="1:12" x14ac:dyDescent="0.3">
      <c r="A1124" s="28">
        <v>44503</v>
      </c>
      <c r="B1124" s="29">
        <v>0.17792644520755099</v>
      </c>
      <c r="C1124" s="29">
        <v>0.17795177506895599</v>
      </c>
      <c r="D1124" s="29">
        <v>0.17793909999999999</v>
      </c>
      <c r="E1124" s="30">
        <v>2.01439999999999E-3</v>
      </c>
      <c r="F1124" s="30">
        <v>1.1450353475094699</v>
      </c>
      <c r="G1124" s="30">
        <v>-3.0569944290995599</v>
      </c>
      <c r="H1124" s="29">
        <v>0.17793909999999999</v>
      </c>
      <c r="I1124" s="29">
        <v>0.17793909999999999</v>
      </c>
      <c r="K1124">
        <f t="shared" si="34"/>
        <v>1.145035347509471E-2</v>
      </c>
      <c r="L1124">
        <f t="shared" si="35"/>
        <v>1.4235129549937869E-4</v>
      </c>
    </row>
    <row r="1125" spans="1:12" x14ac:dyDescent="0.3">
      <c r="A1125" s="31">
        <v>44502</v>
      </c>
      <c r="B1125" s="32">
        <v>0.17588602585524599</v>
      </c>
      <c r="C1125" s="32">
        <v>0.17596339961288099</v>
      </c>
      <c r="D1125" s="32">
        <v>0.17592469999999999</v>
      </c>
      <c r="E1125" s="33">
        <v>-1.20790000000009E-4</v>
      </c>
      <c r="F1125" s="33">
        <v>-6.8612947710278094E-2</v>
      </c>
      <c r="G1125" s="33">
        <v>-4.1544597440417101</v>
      </c>
      <c r="H1125" s="32">
        <v>0.17592469999999999</v>
      </c>
      <c r="I1125" s="32">
        <v>0.17592469999999999</v>
      </c>
      <c r="K1125">
        <f t="shared" si="34"/>
        <v>-6.8612947710278149E-4</v>
      </c>
      <c r="L1125">
        <f t="shared" si="35"/>
        <v>4.3981179240323837E-4</v>
      </c>
    </row>
    <row r="1126" spans="1:12" x14ac:dyDescent="0.3">
      <c r="A1126" s="28">
        <v>44501</v>
      </c>
      <c r="B1126" s="29">
        <v>0.176034643617864</v>
      </c>
      <c r="C1126" s="29">
        <v>0.176056338028169</v>
      </c>
      <c r="D1126" s="29">
        <v>0.17604549</v>
      </c>
      <c r="E1126" s="30">
        <v>-1.3538300000000001E-3</v>
      </c>
      <c r="F1126" s="30">
        <v>-0.76315399630618697</v>
      </c>
      <c r="G1126" s="30">
        <v>-4.0886521410870396</v>
      </c>
      <c r="H1126" s="29">
        <v>0.17604549</v>
      </c>
      <c r="I1126" s="29">
        <v>0.17604549</v>
      </c>
      <c r="K1126">
        <f t="shared" si="34"/>
        <v>-7.631539963061873E-3</v>
      </c>
      <c r="L1126">
        <f t="shared" si="35"/>
        <v>1.2323184368427141E-4</v>
      </c>
    </row>
    <row r="1127" spans="1:12" x14ac:dyDescent="0.3">
      <c r="A1127" s="31">
        <v>44498</v>
      </c>
      <c r="B1127" s="32">
        <v>0.17736786094359699</v>
      </c>
      <c r="C1127" s="32">
        <v>0.177430801987225</v>
      </c>
      <c r="D1127" s="32">
        <v>0.17739932</v>
      </c>
      <c r="E1127" s="33">
        <v>-6.3007000000001002E-4</v>
      </c>
      <c r="F1127" s="33">
        <v>-0.35391347462348999</v>
      </c>
      <c r="G1127" s="33">
        <v>-3.3510719845500501</v>
      </c>
      <c r="H1127" s="32">
        <v>0.17739932</v>
      </c>
      <c r="I1127" s="32">
        <v>0.17739932</v>
      </c>
      <c r="K1127">
        <f t="shared" si="34"/>
        <v>-3.5391347462349065E-3</v>
      </c>
      <c r="L1127">
        <f t="shared" si="35"/>
        <v>3.5479867469616512E-4</v>
      </c>
    </row>
    <row r="1128" spans="1:12" x14ac:dyDescent="0.3">
      <c r="A1128" s="28">
        <v>44497</v>
      </c>
      <c r="B1128" s="29">
        <v>0.17801196240387401</v>
      </c>
      <c r="C1128" s="29">
        <v>0.17804682631532101</v>
      </c>
      <c r="D1128" s="29">
        <v>0.17802939000000001</v>
      </c>
      <c r="E1128" s="30">
        <v>-1.03607999999999E-3</v>
      </c>
      <c r="F1128" s="30">
        <v>-0.57860401561506902</v>
      </c>
      <c r="G1128" s="30">
        <v>-3.0078035319162102</v>
      </c>
      <c r="H1128" s="29">
        <v>0.17802939000000001</v>
      </c>
      <c r="I1128" s="29">
        <v>0.17802939000000001</v>
      </c>
      <c r="K1128">
        <f t="shared" si="34"/>
        <v>-5.7860401561506958E-3</v>
      </c>
      <c r="L1128">
        <f t="shared" si="35"/>
        <v>1.958323367113559E-4</v>
      </c>
    </row>
    <row r="1129" spans="1:12" x14ac:dyDescent="0.3">
      <c r="A1129" s="31">
        <v>44496</v>
      </c>
      <c r="B1129" s="32">
        <v>0.179054235527941</v>
      </c>
      <c r="C1129" s="32">
        <v>0.17907668063464799</v>
      </c>
      <c r="D1129" s="32">
        <v>0.17906547</v>
      </c>
      <c r="E1129" s="33">
        <v>-2.9706999999998198E-4</v>
      </c>
      <c r="F1129" s="33">
        <v>-0.16562544219098599</v>
      </c>
      <c r="G1129" s="33">
        <v>-2.4433367609147898</v>
      </c>
      <c r="H1129" s="32">
        <v>0.17906547</v>
      </c>
      <c r="I1129" s="32">
        <v>0.17906547</v>
      </c>
      <c r="K1129">
        <f t="shared" si="34"/>
        <v>-1.656254421909864E-3</v>
      </c>
      <c r="L1129">
        <f t="shared" si="35"/>
        <v>1.2534581182506267E-4</v>
      </c>
    </row>
    <row r="1130" spans="1:12" x14ac:dyDescent="0.3">
      <c r="A1130" s="28">
        <v>44495</v>
      </c>
      <c r="B1130" s="29">
        <v>0.17934646149431499</v>
      </c>
      <c r="C1130" s="29">
        <v>0.17937863241730601</v>
      </c>
      <c r="D1130" s="29">
        <v>0.17936253999999999</v>
      </c>
      <c r="E1130" s="30">
        <v>5.2764999999998998E-4</v>
      </c>
      <c r="F1130" s="30">
        <v>0.29504868988372501</v>
      </c>
      <c r="G1130" s="30">
        <v>-2.2814900467022001</v>
      </c>
      <c r="H1130" s="29">
        <v>0.17936253999999999</v>
      </c>
      <c r="I1130" s="29">
        <v>0.17936253999999999</v>
      </c>
      <c r="K1130">
        <f t="shared" si="34"/>
        <v>2.9504868988372568E-3</v>
      </c>
      <c r="L1130">
        <f t="shared" si="35"/>
        <v>1.7936255246505197E-4</v>
      </c>
    </row>
    <row r="1131" spans="1:12" x14ac:dyDescent="0.3">
      <c r="A1131" s="31">
        <v>44494</v>
      </c>
      <c r="B1131" s="32">
        <v>0.17882369771642101</v>
      </c>
      <c r="C1131" s="32">
        <v>0.178846085059198</v>
      </c>
      <c r="D1131" s="32">
        <v>0.17883489</v>
      </c>
      <c r="E1131" s="33">
        <v>4.2295099999999902E-3</v>
      </c>
      <c r="F1131" s="33">
        <v>2.4223251311041998</v>
      </c>
      <c r="G1131" s="33">
        <v>-2.5689590565459302</v>
      </c>
      <c r="H1131" s="32">
        <v>0.17883489</v>
      </c>
      <c r="I1131" s="32">
        <v>0.17883489</v>
      </c>
      <c r="K1131">
        <f t="shared" si="34"/>
        <v>2.4223251311042082E-2</v>
      </c>
      <c r="L1131">
        <f t="shared" si="35"/>
        <v>1.2518442445423296E-4</v>
      </c>
    </row>
    <row r="1132" spans="1:12" x14ac:dyDescent="0.3">
      <c r="A1132" s="28">
        <v>44491</v>
      </c>
      <c r="B1132" s="29">
        <v>0.17459319784901201</v>
      </c>
      <c r="C1132" s="29">
        <v>0.174617587483411</v>
      </c>
      <c r="D1132" s="29">
        <v>0.17460538</v>
      </c>
      <c r="E1132" s="30">
        <v>-2.9624699999999901E-3</v>
      </c>
      <c r="F1132" s="30">
        <v>-1.6683594468255201</v>
      </c>
      <c r="G1132" s="30">
        <v>-4.8732385066059702</v>
      </c>
      <c r="H1132" s="29">
        <v>0.17460538</v>
      </c>
      <c r="I1132" s="29">
        <v>0.17460538</v>
      </c>
      <c r="K1132">
        <f t="shared" si="34"/>
        <v>-1.6683594468255292E-2</v>
      </c>
      <c r="L1132">
        <f t="shared" si="35"/>
        <v>1.3968432358150323E-4</v>
      </c>
    </row>
    <row r="1133" spans="1:12" x14ac:dyDescent="0.3">
      <c r="A1133" s="31">
        <v>44490</v>
      </c>
      <c r="B1133" s="32">
        <v>0.17755051312098299</v>
      </c>
      <c r="C1133" s="32">
        <v>0.17758519649801999</v>
      </c>
      <c r="D1133" s="32">
        <v>0.17756785</v>
      </c>
      <c r="E1133" s="33">
        <v>-2.5652700000000001E-3</v>
      </c>
      <c r="F1133" s="33">
        <v>-1.4240968012989501</v>
      </c>
      <c r="G1133" s="33">
        <v>-3.25925515098809</v>
      </c>
      <c r="H1133" s="32">
        <v>0.17756785</v>
      </c>
      <c r="I1133" s="32">
        <v>0.17756785</v>
      </c>
      <c r="K1133">
        <f t="shared" si="34"/>
        <v>-1.4240968012989574E-2</v>
      </c>
      <c r="L1133">
        <f t="shared" si="35"/>
        <v>1.953246437178382E-4</v>
      </c>
    </row>
    <row r="1134" spans="1:12" x14ac:dyDescent="0.3">
      <c r="A1134" s="28">
        <v>44489</v>
      </c>
      <c r="B1134" s="29">
        <v>0.180105541847523</v>
      </c>
      <c r="C1134" s="29">
        <v>0.18016070334738599</v>
      </c>
      <c r="D1134" s="29">
        <v>0.18013312000000001</v>
      </c>
      <c r="E1134" s="30">
        <v>-9.0909999999999602E-5</v>
      </c>
      <c r="F1134" s="30">
        <v>-5.0442773918657403E-2</v>
      </c>
      <c r="G1134" s="30">
        <v>-1.8616703374150001</v>
      </c>
      <c r="H1134" s="29">
        <v>0.18013312000000001</v>
      </c>
      <c r="I1134" s="29">
        <v>0.18013312000000001</v>
      </c>
      <c r="K1134">
        <f t="shared" si="34"/>
        <v>-5.044277391865748E-4</v>
      </c>
      <c r="L1134">
        <f t="shared" si="35"/>
        <v>3.062263056509672E-4</v>
      </c>
    </row>
    <row r="1135" spans="1:12" x14ac:dyDescent="0.3">
      <c r="A1135" s="31">
        <v>44488</v>
      </c>
      <c r="B1135" s="32">
        <v>0.180206155842284</v>
      </c>
      <c r="C1135" s="32">
        <v>0.180241884609145</v>
      </c>
      <c r="D1135" s="32">
        <v>0.18022403000000001</v>
      </c>
      <c r="E1135" s="33">
        <v>-4.6730000000000301E-4</v>
      </c>
      <c r="F1135" s="33">
        <v>-0.25861783185723197</v>
      </c>
      <c r="G1135" s="33">
        <v>-1.8121416580159799</v>
      </c>
      <c r="H1135" s="32">
        <v>0.18022403000000001</v>
      </c>
      <c r="I1135" s="32">
        <v>0.18022403000000001</v>
      </c>
      <c r="K1135">
        <f t="shared" si="34"/>
        <v>-2.5861783185723297E-3</v>
      </c>
      <c r="L1135">
        <f t="shared" si="35"/>
        <v>1.9824640954374404E-4</v>
      </c>
    </row>
    <row r="1136" spans="1:12" x14ac:dyDescent="0.3">
      <c r="A1136" s="28">
        <v>44487</v>
      </c>
      <c r="B1136" s="29">
        <v>0.18067826621135699</v>
      </c>
      <c r="C1136" s="29">
        <v>0.18070438569544101</v>
      </c>
      <c r="D1136" s="29">
        <v>0.18069133000000001</v>
      </c>
      <c r="E1136" s="30">
        <v>-3.0393199999999799E-3</v>
      </c>
      <c r="F1136" s="30">
        <v>-1.65422590079553</v>
      </c>
      <c r="G1136" s="30">
        <v>-1.55755193319843</v>
      </c>
      <c r="H1136" s="29">
        <v>0.18069133000000001</v>
      </c>
      <c r="I1136" s="29">
        <v>0.18069133000000001</v>
      </c>
      <c r="K1136">
        <f t="shared" si="34"/>
        <v>-1.6542259007955362E-2</v>
      </c>
      <c r="L1136">
        <f t="shared" si="35"/>
        <v>1.4455305677374774E-4</v>
      </c>
    </row>
    <row r="1137" spans="1:12" x14ac:dyDescent="0.3">
      <c r="A1137" s="31">
        <v>44484</v>
      </c>
      <c r="B1137" s="32">
        <v>0.183705336640029</v>
      </c>
      <c r="C1137" s="32">
        <v>0.183755972069092</v>
      </c>
      <c r="D1137" s="32">
        <v>0.18373065</v>
      </c>
      <c r="E1137" s="33">
        <v>1.98350999999999E-3</v>
      </c>
      <c r="F1137" s="33">
        <v>1.09135692589164</v>
      </c>
      <c r="G1137" s="33">
        <v>9.8300072862897797E-2</v>
      </c>
      <c r="H1137" s="32">
        <v>0.18373065</v>
      </c>
      <c r="I1137" s="32">
        <v>0.18373065</v>
      </c>
      <c r="K1137">
        <f t="shared" si="34"/>
        <v>1.09135692589164E-2</v>
      </c>
      <c r="L1137">
        <f t="shared" si="35"/>
        <v>2.7559598283139299E-4</v>
      </c>
    </row>
    <row r="1138" spans="1:12" x14ac:dyDescent="0.3">
      <c r="A1138" s="28">
        <v>44483</v>
      </c>
      <c r="B1138" s="29">
        <v>0.18173557473875501</v>
      </c>
      <c r="C1138" s="29">
        <v>0.181758697153659</v>
      </c>
      <c r="D1138" s="29">
        <v>0.18174714</v>
      </c>
      <c r="E1138" s="30">
        <v>1.6367300000000001E-3</v>
      </c>
      <c r="F1138" s="30">
        <v>0.90873703524409999</v>
      </c>
      <c r="G1138" s="30">
        <v>-0.98233606039806698</v>
      </c>
      <c r="H1138" s="29">
        <v>0.18174714</v>
      </c>
      <c r="I1138" s="29">
        <v>0.18174714</v>
      </c>
      <c r="K1138">
        <f t="shared" si="34"/>
        <v>9.0873703524410043E-3</v>
      </c>
      <c r="L1138">
        <f t="shared" si="35"/>
        <v>1.2722299181151675E-4</v>
      </c>
    </row>
    <row r="1139" spans="1:12" x14ac:dyDescent="0.3">
      <c r="A1139" s="31">
        <v>44482</v>
      </c>
      <c r="B1139" s="32">
        <v>0.18007959518107</v>
      </c>
      <c r="C1139" s="32">
        <v>0.180141230724888</v>
      </c>
      <c r="D1139" s="32">
        <v>0.18011041</v>
      </c>
      <c r="E1139" s="33">
        <v>-4.7812999999999301E-4</v>
      </c>
      <c r="F1139" s="33">
        <v>-0.26476209398447098</v>
      </c>
      <c r="G1139" s="33">
        <v>-1.87404297308932</v>
      </c>
      <c r="H1139" s="32">
        <v>0.18011041</v>
      </c>
      <c r="I1139" s="32">
        <v>0.18011041</v>
      </c>
      <c r="K1139">
        <f t="shared" si="34"/>
        <v>-2.6476209398447192E-3</v>
      </c>
      <c r="L1139">
        <f t="shared" si="35"/>
        <v>3.4220978020090546E-4</v>
      </c>
    </row>
    <row r="1140" spans="1:12" x14ac:dyDescent="0.3">
      <c r="A1140" s="28">
        <v>44481</v>
      </c>
      <c r="B1140" s="29">
        <v>0.18055756175068599</v>
      </c>
      <c r="C1140" s="29">
        <v>0.18061952497064901</v>
      </c>
      <c r="D1140" s="29">
        <v>0.18058853999999999</v>
      </c>
      <c r="E1140" s="30">
        <v>-4.6102000000000599E-4</v>
      </c>
      <c r="F1140" s="30">
        <v>-0.25463745948899302</v>
      </c>
      <c r="G1140" s="30">
        <v>-1.61355295569789</v>
      </c>
      <c r="H1140" s="29">
        <v>0.18058853999999999</v>
      </c>
      <c r="I1140" s="29">
        <v>0.18058853999999999</v>
      </c>
      <c r="K1140">
        <f t="shared" si="34"/>
        <v>-2.546374594889933E-3</v>
      </c>
      <c r="L1140">
        <f t="shared" si="35"/>
        <v>3.4311822867064677E-4</v>
      </c>
    </row>
    <row r="1141" spans="1:12" x14ac:dyDescent="0.3">
      <c r="A1141" s="31">
        <v>44480</v>
      </c>
      <c r="B1141" s="32">
        <v>0.18104134984430401</v>
      </c>
      <c r="C1141" s="32">
        <v>0.18105773931306701</v>
      </c>
      <c r="D1141" s="32">
        <v>0.18104956</v>
      </c>
      <c r="E1141" s="33">
        <v>-3.0534000000001499E-4</v>
      </c>
      <c r="F1141" s="33">
        <v>-0.168366004999043</v>
      </c>
      <c r="G1141" s="33">
        <v>-1.36238463783916</v>
      </c>
      <c r="H1141" s="32">
        <v>0.18104956</v>
      </c>
      <c r="I1141" s="32">
        <v>0.18104956</v>
      </c>
      <c r="K1141">
        <f t="shared" si="34"/>
        <v>-1.683660049990432E-3</v>
      </c>
      <c r="L1141">
        <f t="shared" si="35"/>
        <v>9.0524764396037071E-5</v>
      </c>
    </row>
    <row r="1142" spans="1:12" x14ac:dyDescent="0.3">
      <c r="A1142" s="28">
        <v>44477</v>
      </c>
      <c r="B1142" s="29">
        <v>0.181317087322309</v>
      </c>
      <c r="C1142" s="29">
        <v>0.18139273340709999</v>
      </c>
      <c r="D1142" s="29">
        <v>0.18135490000000001</v>
      </c>
      <c r="E1142" s="30">
        <v>3.7820000000021698E-5</v>
      </c>
      <c r="F1142" s="30">
        <v>2.0858487242358899E-2</v>
      </c>
      <c r="G1142" s="30">
        <v>-1.1960323447174099</v>
      </c>
      <c r="H1142" s="29">
        <v>0.18135490000000001</v>
      </c>
      <c r="I1142" s="29">
        <v>0.18135490000000001</v>
      </c>
      <c r="K1142">
        <f t="shared" si="34"/>
        <v>2.0858487242358947E-4</v>
      </c>
      <c r="L1142">
        <f t="shared" si="35"/>
        <v>4.1711629953749429E-4</v>
      </c>
    </row>
    <row r="1143" spans="1:12" x14ac:dyDescent="0.3">
      <c r="A1143" s="31">
        <v>44476</v>
      </c>
      <c r="B1143" s="32">
        <v>0.18128421739603301</v>
      </c>
      <c r="C1143" s="32">
        <v>0.181349969170505</v>
      </c>
      <c r="D1143" s="32">
        <v>0.18131707999999999</v>
      </c>
      <c r="E1143" s="33">
        <v>-4.64750000000013E-4</v>
      </c>
      <c r="F1143" s="33">
        <v>-0.25566361610509503</v>
      </c>
      <c r="G1143" s="33">
        <v>-1.2166370598738501</v>
      </c>
      <c r="H1143" s="32">
        <v>0.18131707999999999</v>
      </c>
      <c r="I1143" s="32">
        <v>0.18131707999999999</v>
      </c>
      <c r="K1143">
        <f t="shared" si="34"/>
        <v>-2.5566361610509514E-3</v>
      </c>
      <c r="L1143">
        <f t="shared" si="35"/>
        <v>3.626342012125351E-4</v>
      </c>
    </row>
    <row r="1144" spans="1:12" x14ac:dyDescent="0.3">
      <c r="A1144" s="28">
        <v>44475</v>
      </c>
      <c r="B1144" s="29">
        <v>0.181748786826848</v>
      </c>
      <c r="C1144" s="29">
        <v>0.18181487609316199</v>
      </c>
      <c r="D1144" s="29">
        <v>0.18178183000000001</v>
      </c>
      <c r="E1144" s="30">
        <v>-1.0301899999999801E-3</v>
      </c>
      <c r="F1144" s="30">
        <v>-0.56352421465502001</v>
      </c>
      <c r="G1144" s="30">
        <v>-0.96343660062078895</v>
      </c>
      <c r="H1144" s="29">
        <v>0.18178183000000001</v>
      </c>
      <c r="I1144" s="29">
        <v>0.18178183000000001</v>
      </c>
      <c r="K1144">
        <f t="shared" si="34"/>
        <v>-5.6352421465502012E-3</v>
      </c>
      <c r="L1144">
        <f t="shared" si="35"/>
        <v>3.6356365382607289E-4</v>
      </c>
    </row>
    <row r="1145" spans="1:12" x14ac:dyDescent="0.3">
      <c r="A1145" s="31">
        <v>44474</v>
      </c>
      <c r="B1145" s="32">
        <v>0.18278528212908299</v>
      </c>
      <c r="C1145" s="32">
        <v>0.182838754502404</v>
      </c>
      <c r="D1145" s="32">
        <v>0.18281201999999999</v>
      </c>
      <c r="E1145" s="33">
        <v>-1.13323000000001E-3</v>
      </c>
      <c r="F1145" s="33">
        <v>-0.61606918362937502</v>
      </c>
      <c r="G1145" s="33">
        <v>-0.40217876066833003</v>
      </c>
      <c r="H1145" s="32">
        <v>0.18281201999999999</v>
      </c>
      <c r="I1145" s="32">
        <v>0.18281201999999999</v>
      </c>
      <c r="K1145">
        <f t="shared" si="34"/>
        <v>-6.1606918362937524E-3</v>
      </c>
      <c r="L1145">
        <f t="shared" si="35"/>
        <v>2.9249922035220577E-4</v>
      </c>
    </row>
    <row r="1146" spans="1:12" x14ac:dyDescent="0.3">
      <c r="A1146" s="28">
        <v>44473</v>
      </c>
      <c r="B1146" s="29">
        <v>0.183921575840062</v>
      </c>
      <c r="C1146" s="29">
        <v>0.183968946041908</v>
      </c>
      <c r="D1146" s="29">
        <v>0.18394525</v>
      </c>
      <c r="E1146" s="30">
        <v>-1.6351499999999999E-3</v>
      </c>
      <c r="F1146" s="30">
        <v>-0.88110059036406996</v>
      </c>
      <c r="G1146" s="30">
        <v>0.21521630428992</v>
      </c>
      <c r="H1146" s="29">
        <v>0.18394525</v>
      </c>
      <c r="I1146" s="29">
        <v>0.18394525</v>
      </c>
      <c r="K1146">
        <f t="shared" si="34"/>
        <v>-8.8110059036407007E-3</v>
      </c>
      <c r="L1146">
        <f t="shared" si="35"/>
        <v>2.5752337636336442E-4</v>
      </c>
    </row>
    <row r="1147" spans="1:12" x14ac:dyDescent="0.3">
      <c r="A1147" s="31">
        <v>44470</v>
      </c>
      <c r="B1147" s="32">
        <v>0.185559740958602</v>
      </c>
      <c r="C1147" s="32">
        <v>0.18560106906215801</v>
      </c>
      <c r="D1147" s="32">
        <v>0.18558040000000001</v>
      </c>
      <c r="E1147" s="33">
        <v>2.0571300000000099E-3</v>
      </c>
      <c r="F1147" s="33">
        <v>1.12090962633786</v>
      </c>
      <c r="G1147" s="33">
        <v>1.1060624171412099</v>
      </c>
      <c r="H1147" s="32">
        <v>0.18558040000000001</v>
      </c>
      <c r="I1147" s="32">
        <v>0.18558040000000001</v>
      </c>
      <c r="K1147">
        <f t="shared" si="34"/>
        <v>1.1209096263378626E-2</v>
      </c>
      <c r="L1147">
        <f t="shared" si="35"/>
        <v>2.2269648926289762E-4</v>
      </c>
    </row>
    <row r="1148" spans="1:12" x14ac:dyDescent="0.3">
      <c r="A1148" s="28">
        <v>44469</v>
      </c>
      <c r="B1148" s="29">
        <v>0.18349633924803199</v>
      </c>
      <c r="C1148" s="29">
        <v>0.183550228520034</v>
      </c>
      <c r="D1148" s="29">
        <v>0.18352326999999999</v>
      </c>
      <c r="E1148" s="30">
        <v>-8.6801000000000196E-4</v>
      </c>
      <c r="F1148" s="30">
        <v>-0.47074351889091398</v>
      </c>
      <c r="G1148" s="30">
        <v>-1.46826301815371E-2</v>
      </c>
      <c r="H1148" s="29">
        <v>0.18352326999999999</v>
      </c>
      <c r="I1148" s="29">
        <v>0.18352326999999999</v>
      </c>
      <c r="K1148">
        <f t="shared" si="34"/>
        <v>-4.7074351889091481E-3</v>
      </c>
      <c r="L1148">
        <f t="shared" si="35"/>
        <v>2.9363727009662407E-4</v>
      </c>
    </row>
    <row r="1149" spans="1:12" x14ac:dyDescent="0.3">
      <c r="A1149" s="31">
        <v>44468</v>
      </c>
      <c r="B1149" s="32">
        <v>0.18436918084772899</v>
      </c>
      <c r="C1149" s="32">
        <v>0.18441338103492799</v>
      </c>
      <c r="D1149" s="32">
        <v>0.18439127999999999</v>
      </c>
      <c r="E1149" s="33">
        <v>3.8847999999999601E-4</v>
      </c>
      <c r="F1149" s="33">
        <v>0.211127221977047</v>
      </c>
      <c r="G1149" s="33">
        <v>0.45821791986956101</v>
      </c>
      <c r="H1149" s="32">
        <v>0.18439127999999999</v>
      </c>
      <c r="I1149" s="32">
        <v>0.18439127999999999</v>
      </c>
      <c r="K1149">
        <f t="shared" si="34"/>
        <v>2.111272219770477E-3</v>
      </c>
      <c r="L1149">
        <f t="shared" si="35"/>
        <v>2.3970866300727746E-4</v>
      </c>
    </row>
    <row r="1150" spans="1:12" x14ac:dyDescent="0.3">
      <c r="A1150" s="28">
        <v>44467</v>
      </c>
      <c r="B1150" s="29">
        <v>0.183985869885193</v>
      </c>
      <c r="C1150" s="29">
        <v>0.18401972691472501</v>
      </c>
      <c r="D1150" s="29">
        <v>0.18400279999999999</v>
      </c>
      <c r="E1150" s="30">
        <v>-2.9689999999999899E-3</v>
      </c>
      <c r="F1150" s="30">
        <v>-1.58793999950794</v>
      </c>
      <c r="G1150" s="30">
        <v>0.24657012124529601</v>
      </c>
      <c r="H1150" s="29">
        <v>0.18400279999999999</v>
      </c>
      <c r="I1150" s="29">
        <v>0.18400279999999999</v>
      </c>
      <c r="K1150">
        <f t="shared" si="34"/>
        <v>-1.587939999507948E-2</v>
      </c>
      <c r="L1150">
        <f t="shared" si="35"/>
        <v>1.8400279524014837E-4</v>
      </c>
    </row>
    <row r="1151" spans="1:12" x14ac:dyDescent="0.3">
      <c r="A1151" s="31">
        <v>44466</v>
      </c>
      <c r="B1151" s="32">
        <v>0.18695083193120199</v>
      </c>
      <c r="C1151" s="32">
        <v>0.186992782078612</v>
      </c>
      <c r="D1151" s="32">
        <v>0.18697179999999999</v>
      </c>
      <c r="E1151" s="33">
        <v>6.4640000000004694E-5</v>
      </c>
      <c r="F1151" s="33">
        <v>3.4584014866001399E-2</v>
      </c>
      <c r="G1151" s="33">
        <v>1.8641110863283099</v>
      </c>
      <c r="H1151" s="32">
        <v>0.18697179999999999</v>
      </c>
      <c r="I1151" s="32">
        <v>0.18697179999999999</v>
      </c>
      <c r="K1151">
        <f t="shared" si="34"/>
        <v>3.4584014866001489E-4</v>
      </c>
      <c r="L1151">
        <f t="shared" si="35"/>
        <v>2.243661739899476E-4</v>
      </c>
    </row>
    <row r="1152" spans="1:12" x14ac:dyDescent="0.3">
      <c r="A1152" s="28">
        <v>44463</v>
      </c>
      <c r="B1152" s="29">
        <v>0.18688095683049899</v>
      </c>
      <c r="C1152" s="29">
        <v>0.18693335825778101</v>
      </c>
      <c r="D1152" s="29">
        <v>0.18690715999999999</v>
      </c>
      <c r="E1152" s="30">
        <v>-2.2270800000000202E-3</v>
      </c>
      <c r="F1152" s="30">
        <v>-1.17751286070677</v>
      </c>
      <c r="G1152" s="30">
        <v>1.82889456629362</v>
      </c>
      <c r="H1152" s="29">
        <v>0.18690715999999999</v>
      </c>
      <c r="I1152" s="29">
        <v>0.18690715999999999</v>
      </c>
      <c r="K1152">
        <f t="shared" si="34"/>
        <v>-1.1775128607067753E-2</v>
      </c>
      <c r="L1152">
        <f t="shared" si="35"/>
        <v>2.8036072712261424E-4</v>
      </c>
    </row>
    <row r="1153" spans="1:12" x14ac:dyDescent="0.3">
      <c r="A1153" s="31">
        <v>44462</v>
      </c>
      <c r="B1153" s="32">
        <v>0.18911456560384299</v>
      </c>
      <c r="C1153" s="32">
        <v>0.18915391454026101</v>
      </c>
      <c r="D1153" s="32">
        <v>0.18913424000000001</v>
      </c>
      <c r="E1153" s="33">
        <v>-1.4140999999998001E-4</v>
      </c>
      <c r="F1153" s="33">
        <v>-7.4711142188643706E-2</v>
      </c>
      <c r="G1153" s="33">
        <v>3.0422300774142399</v>
      </c>
      <c r="H1153" s="32">
        <v>0.18913424000000001</v>
      </c>
      <c r="I1153" s="32">
        <v>0.18913424000000001</v>
      </c>
      <c r="K1153">
        <f t="shared" si="34"/>
        <v>-7.471114218864372E-4</v>
      </c>
      <c r="L1153">
        <f t="shared" si="35"/>
        <v>2.0804766190416426E-4</v>
      </c>
    </row>
    <row r="1154" spans="1:12" x14ac:dyDescent="0.3">
      <c r="A1154" s="28">
        <v>44461</v>
      </c>
      <c r="B1154" s="29">
        <v>0.18926489514724801</v>
      </c>
      <c r="C1154" s="29">
        <v>0.189286390308537</v>
      </c>
      <c r="D1154" s="29">
        <v>0.18927564999999999</v>
      </c>
      <c r="E1154" s="30">
        <v>1.23149999999999E-3</v>
      </c>
      <c r="F1154" s="30">
        <v>0.654899394636832</v>
      </c>
      <c r="G1154" s="30">
        <v>3.1192716630903501</v>
      </c>
      <c r="H1154" s="29">
        <v>0.18927564999999999</v>
      </c>
      <c r="I1154" s="29">
        <v>0.18927564999999999</v>
      </c>
      <c r="K1154">
        <f t="shared" si="34"/>
        <v>6.54899394636832E-3</v>
      </c>
      <c r="L1154">
        <f t="shared" si="35"/>
        <v>1.135653809087034E-4</v>
      </c>
    </row>
    <row r="1155" spans="1:12" x14ac:dyDescent="0.3">
      <c r="A1155" s="31">
        <v>44460</v>
      </c>
      <c r="B1155" s="32">
        <v>0.18801940360245201</v>
      </c>
      <c r="C1155" s="32">
        <v>0.18806890844805499</v>
      </c>
      <c r="D1155" s="32">
        <v>0.18804414999999999</v>
      </c>
      <c r="E1155" s="33">
        <v>4.5151999999998299E-4</v>
      </c>
      <c r="F1155" s="33">
        <v>0.240691758519506</v>
      </c>
      <c r="G1155" s="33">
        <v>2.4483381169469598</v>
      </c>
      <c r="H1155" s="32">
        <v>0.18804414999999999</v>
      </c>
      <c r="I1155" s="32">
        <v>0.18804414999999999</v>
      </c>
      <c r="K1155">
        <f t="shared" si="34"/>
        <v>2.4069175851950675E-3</v>
      </c>
      <c r="L1155">
        <f t="shared" si="35"/>
        <v>2.6326182230599726E-4</v>
      </c>
    </row>
    <row r="1156" spans="1:12" x14ac:dyDescent="0.3">
      <c r="A1156" s="28">
        <v>44459</v>
      </c>
      <c r="B1156" s="29">
        <v>0.18757503001200501</v>
      </c>
      <c r="C1156" s="29">
        <v>0.18761022100484001</v>
      </c>
      <c r="D1156" s="29">
        <v>0.18759263000000001</v>
      </c>
      <c r="E1156" s="30">
        <v>-4.9752000000000097E-4</v>
      </c>
      <c r="F1156" s="30">
        <v>-0.26451145899984901</v>
      </c>
      <c r="G1156" s="30">
        <v>2.2023454943284801</v>
      </c>
      <c r="H1156" s="29">
        <v>0.18759263000000001</v>
      </c>
      <c r="I1156" s="29">
        <v>0.18759263000000001</v>
      </c>
      <c r="K1156">
        <f t="shared" si="34"/>
        <v>-2.6451145899984985E-3</v>
      </c>
      <c r="L1156">
        <f t="shared" si="35"/>
        <v>1.8759261936356005E-4</v>
      </c>
    </row>
    <row r="1157" spans="1:12" x14ac:dyDescent="0.3">
      <c r="A1157" s="31">
        <v>44456</v>
      </c>
      <c r="B1157" s="32">
        <v>0.18806890844805499</v>
      </c>
      <c r="C1157" s="32">
        <v>0.18811136192625999</v>
      </c>
      <c r="D1157" s="32">
        <v>0.18809015000000001</v>
      </c>
      <c r="E1157" s="33">
        <v>-2.1776499999999698E-3</v>
      </c>
      <c r="F1157" s="33">
        <v>-1.14451841036684</v>
      </c>
      <c r="G1157" s="33">
        <v>2.4733993781102601</v>
      </c>
      <c r="H1157" s="32">
        <v>0.18809015000000001</v>
      </c>
      <c r="I1157" s="32">
        <v>0.18809015000000001</v>
      </c>
      <c r="K1157">
        <f t="shared" ref="K1157:K1220" si="36">D1157/D1158-1</f>
        <v>-1.144518410366846E-2</v>
      </c>
      <c r="L1157">
        <f t="shared" ref="L1157:L1220" si="37">(C1157-B1157)/D1157</f>
        <v>2.2570814157467164E-4</v>
      </c>
    </row>
    <row r="1158" spans="1:12" x14ac:dyDescent="0.3">
      <c r="A1158" s="28">
        <v>44455</v>
      </c>
      <c r="B1158" s="29">
        <v>0.19024427364736299</v>
      </c>
      <c r="C1158" s="29">
        <v>0.19029133603546999</v>
      </c>
      <c r="D1158" s="29">
        <v>0.19026779999999999</v>
      </c>
      <c r="E1158" s="30">
        <v>-5.9750000000025E-5</v>
      </c>
      <c r="F1158" s="30">
        <v>-3.1393248113598102E-2</v>
      </c>
      <c r="G1158" s="30">
        <v>3.6598049296808202</v>
      </c>
      <c r="H1158" s="29">
        <v>0.19026779999999999</v>
      </c>
      <c r="I1158" s="29">
        <v>0.19026779999999999</v>
      </c>
      <c r="K1158">
        <f t="shared" si="36"/>
        <v>-3.1393248113598116E-4</v>
      </c>
      <c r="L1158">
        <f t="shared" si="37"/>
        <v>2.4734814880397716E-4</v>
      </c>
    </row>
    <row r="1159" spans="1:12" x14ac:dyDescent="0.3">
      <c r="A1159" s="31">
        <v>44454</v>
      </c>
      <c r="B1159" s="32">
        <v>0.190313064991912</v>
      </c>
      <c r="C1159" s="32">
        <v>0.19034204465424401</v>
      </c>
      <c r="D1159" s="32">
        <v>0.19032755000000001</v>
      </c>
      <c r="E1159" s="33">
        <v>-7.6742999999998497E-4</v>
      </c>
      <c r="F1159" s="33">
        <v>-0.40159610681557101</v>
      </c>
      <c r="G1159" s="33">
        <v>3.6923573286918501</v>
      </c>
      <c r="H1159" s="32">
        <v>0.19032755000000001</v>
      </c>
      <c r="I1159" s="32">
        <v>0.19032755000000001</v>
      </c>
      <c r="K1159">
        <f t="shared" si="36"/>
        <v>-4.0159610681557156E-3</v>
      </c>
      <c r="L1159">
        <f t="shared" si="37"/>
        <v>1.5226204683456022E-4</v>
      </c>
    </row>
    <row r="1160" spans="1:12" x14ac:dyDescent="0.3">
      <c r="A1160" s="28">
        <v>44453</v>
      </c>
      <c r="B1160" s="29">
        <v>0.19105846388994999</v>
      </c>
      <c r="C1160" s="29">
        <v>0.19113149847094801</v>
      </c>
      <c r="D1160" s="29">
        <v>0.19109498</v>
      </c>
      <c r="E1160" s="30">
        <v>-8.7307000000000302E-4</v>
      </c>
      <c r="F1160" s="30">
        <v>-0.45479963983590099</v>
      </c>
      <c r="G1160" s="30">
        <v>4.1104608863993803</v>
      </c>
      <c r="H1160" s="29">
        <v>0.19109498</v>
      </c>
      <c r="I1160" s="29">
        <v>0.19109498</v>
      </c>
      <c r="K1160">
        <f t="shared" si="36"/>
        <v>-4.547996398359011E-3</v>
      </c>
      <c r="L1160">
        <f t="shared" si="37"/>
        <v>3.8218995076703255E-4</v>
      </c>
    </row>
    <row r="1161" spans="1:12" x14ac:dyDescent="0.3">
      <c r="A1161" s="31">
        <v>44452</v>
      </c>
      <c r="B1161" s="32">
        <v>0.191938579654511</v>
      </c>
      <c r="C1161" s="32">
        <v>0.191997542431457</v>
      </c>
      <c r="D1161" s="32">
        <v>0.19196805</v>
      </c>
      <c r="E1161" s="33">
        <v>7.1227000000001397E-4</v>
      </c>
      <c r="F1161" s="33">
        <v>0.37241750288541298</v>
      </c>
      <c r="G1161" s="33">
        <v>4.5861181751784397</v>
      </c>
      <c r="H1161" s="32">
        <v>0.19196805</v>
      </c>
      <c r="I1161" s="32">
        <v>0.19196805</v>
      </c>
      <c r="K1161">
        <f t="shared" si="36"/>
        <v>3.7241750288541375E-3</v>
      </c>
      <c r="L1161">
        <f t="shared" si="37"/>
        <v>3.0714890809175417E-4</v>
      </c>
    </row>
    <row r="1162" spans="1:12" x14ac:dyDescent="0.3">
      <c r="A1162" s="28">
        <v>44449</v>
      </c>
      <c r="B1162" s="29">
        <v>0.19121921370659301</v>
      </c>
      <c r="C1162" s="29">
        <v>0.19129237126023399</v>
      </c>
      <c r="D1162" s="29">
        <v>0.19125577999999999</v>
      </c>
      <c r="E1162" s="30">
        <v>1.59242999999997E-3</v>
      </c>
      <c r="F1162" s="30">
        <v>0.83960870669001997</v>
      </c>
      <c r="G1162" s="30">
        <v>4.1980663384658401</v>
      </c>
      <c r="H1162" s="29">
        <v>0.19125577999999999</v>
      </c>
      <c r="I1162" s="29">
        <v>0.19125577999999999</v>
      </c>
      <c r="K1162">
        <f t="shared" si="36"/>
        <v>8.3960870669002041E-3</v>
      </c>
      <c r="L1162">
        <f t="shared" si="37"/>
        <v>3.8251159594227446E-4</v>
      </c>
    </row>
    <row r="1163" spans="1:12" x14ac:dyDescent="0.3">
      <c r="A1163" s="31">
        <v>44448</v>
      </c>
      <c r="B1163" s="32">
        <v>0.18964536317087</v>
      </c>
      <c r="C1163" s="32">
        <v>0.18968133535660101</v>
      </c>
      <c r="D1163" s="32">
        <v>0.18966335000000001</v>
      </c>
      <c r="E1163" s="33">
        <v>3.4470999999999802E-4</v>
      </c>
      <c r="F1163" s="33">
        <v>0.18207927122231199</v>
      </c>
      <c r="G1163" s="33">
        <v>3.3304945098948999</v>
      </c>
      <c r="H1163" s="32">
        <v>0.18966335000000001</v>
      </c>
      <c r="I1163" s="32">
        <v>0.18966335000000001</v>
      </c>
      <c r="K1163">
        <f t="shared" si="36"/>
        <v>1.8207927122231293E-3</v>
      </c>
      <c r="L1163">
        <f t="shared" si="37"/>
        <v>1.8966334682483005E-4</v>
      </c>
    </row>
    <row r="1164" spans="1:12" x14ac:dyDescent="0.3">
      <c r="A1164" s="28">
        <v>44447</v>
      </c>
      <c r="B1164" s="29">
        <v>0.18930430667297701</v>
      </c>
      <c r="C1164" s="29">
        <v>0.189332979911771</v>
      </c>
      <c r="D1164" s="29">
        <v>0.18931864000000001</v>
      </c>
      <c r="E1164" s="30">
        <v>-4.0993599999999903E-3</v>
      </c>
      <c r="F1164" s="30">
        <v>-2.1194304563173998</v>
      </c>
      <c r="G1164" s="30">
        <v>3.1426930460775302</v>
      </c>
      <c r="H1164" s="29">
        <v>0.18931864000000001</v>
      </c>
      <c r="I1164" s="29">
        <v>0.18931864000000001</v>
      </c>
      <c r="K1164">
        <f t="shared" si="36"/>
        <v>-2.119430456317406E-2</v>
      </c>
      <c r="L1164">
        <f t="shared" si="37"/>
        <v>1.5145491639910057E-4</v>
      </c>
    </row>
    <row r="1165" spans="1:12" x14ac:dyDescent="0.3">
      <c r="A1165" s="31">
        <v>44446</v>
      </c>
      <c r="B1165" s="32">
        <v>0.19337497341094101</v>
      </c>
      <c r="C1165" s="32">
        <v>0.19346101760495299</v>
      </c>
      <c r="D1165" s="32">
        <v>0.19341800000000001</v>
      </c>
      <c r="E1165" s="33">
        <v>-1.77839999999984E-4</v>
      </c>
      <c r="F1165" s="33">
        <v>-9.1861478015220405E-2</v>
      </c>
      <c r="G1165" s="33">
        <v>5.3760654713462097</v>
      </c>
      <c r="H1165" s="32">
        <v>0.19341800000000001</v>
      </c>
      <c r="I1165" s="32">
        <v>0.19341800000000001</v>
      </c>
      <c r="K1165">
        <f t="shared" si="36"/>
        <v>-9.1861478015220488E-4</v>
      </c>
      <c r="L1165">
        <f t="shared" si="37"/>
        <v>4.4486135732962022E-4</v>
      </c>
    </row>
    <row r="1166" spans="1:12" x14ac:dyDescent="0.3">
      <c r="A1166" s="28">
        <v>44445</v>
      </c>
      <c r="B1166" s="29">
        <v>0.19356587046571899</v>
      </c>
      <c r="C1166" s="29">
        <v>0.19362583743174699</v>
      </c>
      <c r="D1166" s="29">
        <v>0.19359583999999999</v>
      </c>
      <c r="E1166" s="30">
        <v>2.6945999999999898E-4</v>
      </c>
      <c r="F1166" s="30">
        <v>0.13938087497422599</v>
      </c>
      <c r="G1166" s="30">
        <v>5.4729544862435997</v>
      </c>
      <c r="H1166" s="29">
        <v>0.19359583999999999</v>
      </c>
      <c r="I1166" s="29">
        <v>0.19359583999999999</v>
      </c>
      <c r="K1166">
        <f t="shared" si="36"/>
        <v>1.3938087497422647E-3</v>
      </c>
      <c r="L1166">
        <f t="shared" si="37"/>
        <v>3.097533812090292E-4</v>
      </c>
    </row>
    <row r="1167" spans="1:12" x14ac:dyDescent="0.3">
      <c r="A1167" s="31">
        <v>44442</v>
      </c>
      <c r="B1167" s="32">
        <v>0.19331142470519999</v>
      </c>
      <c r="C1167" s="32">
        <v>0.19334132477475699</v>
      </c>
      <c r="D1167" s="32">
        <v>0.19332637999999999</v>
      </c>
      <c r="E1167" s="33">
        <v>-9.9931999999999799E-4</v>
      </c>
      <c r="F1167" s="33">
        <v>-0.51425004515615003</v>
      </c>
      <c r="G1167" s="33">
        <v>5.32614997682923</v>
      </c>
      <c r="H1167" s="32">
        <v>0.19332637999999999</v>
      </c>
      <c r="I1167" s="32">
        <v>0.19332637999999999</v>
      </c>
      <c r="K1167">
        <f t="shared" si="36"/>
        <v>-5.1425004515615047E-3</v>
      </c>
      <c r="L1167">
        <f t="shared" si="37"/>
        <v>1.5466109465763763E-4</v>
      </c>
    </row>
    <row r="1168" spans="1:12" x14ac:dyDescent="0.3">
      <c r="A1168" s="28">
        <v>44441</v>
      </c>
      <c r="B1168" s="29">
        <v>0.19428793471925401</v>
      </c>
      <c r="C1168" s="29">
        <v>0.19436345966958199</v>
      </c>
      <c r="D1168" s="29">
        <v>0.19432569999999999</v>
      </c>
      <c r="E1168" s="30">
        <v>3.4114999999998398E-4</v>
      </c>
      <c r="F1168" s="30">
        <v>0.17586452116933299</v>
      </c>
      <c r="G1168" s="30">
        <v>5.8705895313010199</v>
      </c>
      <c r="H1168" s="29">
        <v>0.19432569999999999</v>
      </c>
      <c r="I1168" s="29">
        <v>0.19432569999999999</v>
      </c>
      <c r="K1168">
        <f t="shared" si="36"/>
        <v>1.7586452116933327E-3</v>
      </c>
      <c r="L1168">
        <f t="shared" si="37"/>
        <v>3.8865137410016513E-4</v>
      </c>
    </row>
    <row r="1169" spans="1:12" x14ac:dyDescent="0.3">
      <c r="A1169" s="31">
        <v>44440</v>
      </c>
      <c r="B1169" s="32">
        <v>0.19397136982581401</v>
      </c>
      <c r="C1169" s="32">
        <v>0.193997710827012</v>
      </c>
      <c r="D1169" s="32">
        <v>0.19398455000000001</v>
      </c>
      <c r="E1169" s="33">
        <v>-1.34512E-3</v>
      </c>
      <c r="F1169" s="33">
        <v>-0.688640901302917</v>
      </c>
      <c r="G1169" s="33">
        <v>5.6847275911736901</v>
      </c>
      <c r="H1169" s="32">
        <v>0.19398455000000001</v>
      </c>
      <c r="I1169" s="32">
        <v>0.19398455000000001</v>
      </c>
      <c r="K1169">
        <f t="shared" si="36"/>
        <v>-6.8864090130291711E-3</v>
      </c>
      <c r="L1169">
        <f t="shared" si="37"/>
        <v>1.3578917082829125E-4</v>
      </c>
    </row>
    <row r="1170" spans="1:12" x14ac:dyDescent="0.3">
      <c r="A1170" s="28">
        <v>44439</v>
      </c>
      <c r="B1170" s="29">
        <v>0.195316314771773</v>
      </c>
      <c r="C1170" s="29">
        <v>0.19534302234724199</v>
      </c>
      <c r="D1170" s="29">
        <v>0.19532967000000001</v>
      </c>
      <c r="E1170" s="30">
        <v>2.4414500000000099E-3</v>
      </c>
      <c r="F1170" s="30">
        <v>1.2657330758716101</v>
      </c>
      <c r="G1170" s="30">
        <v>6.4175624523904196</v>
      </c>
      <c r="H1170" s="29">
        <v>0.19532967000000001</v>
      </c>
      <c r="I1170" s="29">
        <v>0.19532967000000001</v>
      </c>
      <c r="K1170">
        <f t="shared" si="36"/>
        <v>1.2657330758716112E-2</v>
      </c>
      <c r="L1170">
        <f t="shared" si="37"/>
        <v>1.3673076634488103E-4</v>
      </c>
    </row>
    <row r="1171" spans="1:12" x14ac:dyDescent="0.3">
      <c r="A1171" s="31">
        <v>44438</v>
      </c>
      <c r="B1171" s="32">
        <v>0.19286775058342501</v>
      </c>
      <c r="C1171" s="32">
        <v>0.192908677032293</v>
      </c>
      <c r="D1171" s="32">
        <v>0.19288822</v>
      </c>
      <c r="E1171" s="33">
        <v>8.7593999999999097E-4</v>
      </c>
      <c r="F1171" s="33">
        <v>0.45618957287523099</v>
      </c>
      <c r="G1171" s="33">
        <v>5.0874360161486099</v>
      </c>
      <c r="H1171" s="32">
        <v>0.19288822</v>
      </c>
      <c r="I1171" s="32">
        <v>0.19288822</v>
      </c>
      <c r="K1171">
        <f t="shared" si="36"/>
        <v>4.5618957287523187E-3</v>
      </c>
      <c r="L1171">
        <f t="shared" si="37"/>
        <v>2.1217702598943063E-4</v>
      </c>
    </row>
    <row r="1172" spans="1:12" x14ac:dyDescent="0.3">
      <c r="A1172" s="28">
        <v>44435</v>
      </c>
      <c r="B1172" s="29">
        <v>0.191993856196602</v>
      </c>
      <c r="C1172" s="29">
        <v>0.19203072491598699</v>
      </c>
      <c r="D1172" s="29">
        <v>0.19201228000000001</v>
      </c>
      <c r="E1172" s="30">
        <v>1.54516000000001E-3</v>
      </c>
      <c r="F1172" s="30">
        <v>0.81124763161222102</v>
      </c>
      <c r="G1172" s="30">
        <v>4.6102151225969701</v>
      </c>
      <c r="H1172" s="29">
        <v>0.19201228000000001</v>
      </c>
      <c r="I1172" s="29">
        <v>0.19201228000000001</v>
      </c>
      <c r="K1172">
        <f t="shared" si="36"/>
        <v>8.1124763161222191E-3</v>
      </c>
      <c r="L1172">
        <f t="shared" si="37"/>
        <v>1.9201229934351843E-4</v>
      </c>
    </row>
    <row r="1173" spans="1:12" x14ac:dyDescent="0.3">
      <c r="A1173" s="31">
        <v>44434</v>
      </c>
      <c r="B1173" s="32">
        <v>0.190436289539335</v>
      </c>
      <c r="C1173" s="32">
        <v>0.19049796167180999</v>
      </c>
      <c r="D1173" s="32">
        <v>0.19046711999999999</v>
      </c>
      <c r="E1173" s="33">
        <v>-1.5432000000001301E-4</v>
      </c>
      <c r="F1173" s="33">
        <v>-8.09562659898177E-2</v>
      </c>
      <c r="G1173" s="33">
        <v>3.76839646392142</v>
      </c>
      <c r="H1173" s="32">
        <v>0.19046711999999999</v>
      </c>
      <c r="I1173" s="32">
        <v>0.19046711999999999</v>
      </c>
      <c r="K1173">
        <f t="shared" si="36"/>
        <v>-8.0956265989817755E-4</v>
      </c>
      <c r="L1173">
        <f t="shared" si="37"/>
        <v>3.2379411456942304E-4</v>
      </c>
    </row>
    <row r="1174" spans="1:12" x14ac:dyDescent="0.3">
      <c r="A1174" s="28">
        <v>44433</v>
      </c>
      <c r="B1174" s="29">
        <v>0.190610525513219</v>
      </c>
      <c r="C1174" s="29">
        <v>0.19063232743008601</v>
      </c>
      <c r="D1174" s="29">
        <v>0.19062144</v>
      </c>
      <c r="E1174" s="30">
        <v>1.05875999999999E-3</v>
      </c>
      <c r="F1174" s="30">
        <v>0.55852765955830497</v>
      </c>
      <c r="G1174" s="30">
        <v>3.8524715470240301</v>
      </c>
      <c r="H1174" s="29">
        <v>0.19062144</v>
      </c>
      <c r="I1174" s="29">
        <v>0.19062144</v>
      </c>
      <c r="K1174">
        <f t="shared" si="36"/>
        <v>5.5852765955830552E-3</v>
      </c>
      <c r="L1174">
        <f t="shared" si="37"/>
        <v>1.14372847393319E-4</v>
      </c>
    </row>
    <row r="1175" spans="1:12" x14ac:dyDescent="0.3">
      <c r="A1175" s="31">
        <v>44432</v>
      </c>
      <c r="B1175" s="32">
        <v>0.18953752843062899</v>
      </c>
      <c r="C1175" s="32">
        <v>0.18958783604443899</v>
      </c>
      <c r="D1175" s="32">
        <v>0.18956268000000001</v>
      </c>
      <c r="E1175" s="33">
        <v>3.5265600000000102E-3</v>
      </c>
      <c r="F1175" s="33">
        <v>1.89563188051868</v>
      </c>
      <c r="G1175" s="33">
        <v>3.2756484846490599</v>
      </c>
      <c r="H1175" s="32">
        <v>0.18956268000000001</v>
      </c>
      <c r="I1175" s="32">
        <v>0.18956268000000001</v>
      </c>
      <c r="K1175">
        <f t="shared" si="36"/>
        <v>1.8956318805186889E-2</v>
      </c>
      <c r="L1175">
        <f t="shared" si="37"/>
        <v>2.6538775359159441E-4</v>
      </c>
    </row>
    <row r="1176" spans="1:12" x14ac:dyDescent="0.3">
      <c r="A1176" s="28">
        <v>44431</v>
      </c>
      <c r="B1176" s="29">
        <v>0.18602228546979899</v>
      </c>
      <c r="C1176" s="29">
        <v>0.186049973022754</v>
      </c>
      <c r="D1176" s="29">
        <v>0.18603612</v>
      </c>
      <c r="E1176" s="30">
        <v>1.3877899999999901E-3</v>
      </c>
      <c r="F1176" s="30">
        <v>0.75158545977642699</v>
      </c>
      <c r="G1176" s="30">
        <v>1.35434324186591</v>
      </c>
      <c r="H1176" s="29">
        <v>0.18603612</v>
      </c>
      <c r="I1176" s="29">
        <v>0.18603612</v>
      </c>
      <c r="K1176">
        <f t="shared" si="36"/>
        <v>7.515854597764271E-3</v>
      </c>
      <c r="L1176">
        <f t="shared" si="37"/>
        <v>1.4882890997196444E-4</v>
      </c>
    </row>
    <row r="1177" spans="1:12" x14ac:dyDescent="0.3">
      <c r="A1177" s="31">
        <v>44428</v>
      </c>
      <c r="B1177" s="32">
        <v>0.18462447382024999</v>
      </c>
      <c r="C1177" s="32">
        <v>0.184672206832872</v>
      </c>
      <c r="D1177" s="32">
        <v>0.18464833</v>
      </c>
      <c r="E1177" s="33">
        <v>1.37980000000009E-4</v>
      </c>
      <c r="F1177" s="33">
        <v>7.4781712787386198E-2</v>
      </c>
      <c r="G1177" s="33">
        <v>0.59826133687010197</v>
      </c>
      <c r="H1177" s="32">
        <v>0.18464833</v>
      </c>
      <c r="I1177" s="32">
        <v>0.18464833</v>
      </c>
      <c r="K1177">
        <f t="shared" si="36"/>
        <v>7.4781712787386212E-4</v>
      </c>
      <c r="L1177">
        <f t="shared" si="37"/>
        <v>2.5850768659542602E-4</v>
      </c>
    </row>
    <row r="1178" spans="1:12" x14ac:dyDescent="0.3">
      <c r="A1178" s="28">
        <v>44427</v>
      </c>
      <c r="B1178" s="29">
        <v>0.18449163330443</v>
      </c>
      <c r="C1178" s="29">
        <v>0.184529081783289</v>
      </c>
      <c r="D1178" s="29">
        <v>0.18451034999999999</v>
      </c>
      <c r="E1178" s="30">
        <v>-3.8259800000000001E-3</v>
      </c>
      <c r="F1178" s="30">
        <v>-2.0314614817013799</v>
      </c>
      <c r="G1178" s="30">
        <v>0.52308844958072098</v>
      </c>
      <c r="H1178" s="29">
        <v>0.18451034999999999</v>
      </c>
      <c r="I1178" s="29">
        <v>0.18451034999999999</v>
      </c>
      <c r="K1178">
        <f t="shared" si="36"/>
        <v>-2.0314614817013799E-2</v>
      </c>
      <c r="L1178">
        <f t="shared" si="37"/>
        <v>2.0296139950416598E-4</v>
      </c>
    </row>
    <row r="1179" spans="1:12" x14ac:dyDescent="0.3">
      <c r="A1179" s="31">
        <v>44426</v>
      </c>
      <c r="B1179" s="32">
        <v>0.18831682422507601</v>
      </c>
      <c r="C1179" s="32">
        <v>0.188355841856435</v>
      </c>
      <c r="D1179" s="32">
        <v>0.18833633</v>
      </c>
      <c r="E1179" s="33">
        <v>-1.9061200000000101E-3</v>
      </c>
      <c r="F1179" s="33">
        <v>-1.0019425212406601</v>
      </c>
      <c r="G1179" s="33">
        <v>2.6075207101358999</v>
      </c>
      <c r="H1179" s="32">
        <v>0.18833633</v>
      </c>
      <c r="I1179" s="32">
        <v>0.18833633</v>
      </c>
      <c r="K1179">
        <f t="shared" si="36"/>
        <v>-1.0019425212406619E-2</v>
      </c>
      <c r="L1179">
        <f t="shared" si="37"/>
        <v>2.0716996746721763E-4</v>
      </c>
    </row>
    <row r="1180" spans="1:12" x14ac:dyDescent="0.3">
      <c r="A1180" s="28">
        <v>44425</v>
      </c>
      <c r="B1180" s="29">
        <v>0.19022979759549499</v>
      </c>
      <c r="C1180" s="29">
        <v>0.190255132132189</v>
      </c>
      <c r="D1180" s="29">
        <v>0.19024245000000001</v>
      </c>
      <c r="E1180" s="30">
        <v>-7.9777000000000298E-4</v>
      </c>
      <c r="F1180" s="30">
        <v>-0.417592693308244</v>
      </c>
      <c r="G1180" s="30">
        <v>3.6459939955397598</v>
      </c>
      <c r="H1180" s="29">
        <v>0.19024245000000001</v>
      </c>
      <c r="I1180" s="29">
        <v>0.19024245000000001</v>
      </c>
      <c r="K1180">
        <f t="shared" si="36"/>
        <v>-4.1759269330824411E-3</v>
      </c>
      <c r="L1180">
        <f t="shared" si="37"/>
        <v>1.3316973521950822E-4</v>
      </c>
    </row>
    <row r="1181" spans="1:12" x14ac:dyDescent="0.3">
      <c r="A1181" s="31">
        <v>44424</v>
      </c>
      <c r="B1181" s="32">
        <v>0.19102926568350301</v>
      </c>
      <c r="C1181" s="32">
        <v>0.19105116350158599</v>
      </c>
      <c r="D1181" s="32">
        <v>0.19104022000000001</v>
      </c>
      <c r="E1181" s="33">
        <v>5.5133000000001599E-4</v>
      </c>
      <c r="F1181" s="33">
        <v>0.28942895304813199</v>
      </c>
      <c r="G1181" s="33">
        <v>4.08062708941456</v>
      </c>
      <c r="H1181" s="32">
        <v>0.19104022000000001</v>
      </c>
      <c r="I1181" s="32">
        <v>0.19104022000000001</v>
      </c>
      <c r="K1181">
        <f t="shared" si="36"/>
        <v>2.8942895304813199E-3</v>
      </c>
      <c r="L1181">
        <f t="shared" si="37"/>
        <v>1.1462412513439939E-4</v>
      </c>
    </row>
    <row r="1182" spans="1:12" x14ac:dyDescent="0.3">
      <c r="A1182" s="28">
        <v>44421</v>
      </c>
      <c r="B1182" s="29">
        <v>0.19046530674437701</v>
      </c>
      <c r="C1182" s="29">
        <v>0.19051247856734599</v>
      </c>
      <c r="D1182" s="29">
        <v>0.19048888999999999</v>
      </c>
      <c r="E1182" s="30">
        <v>-2.07050000000014E-4</v>
      </c>
      <c r="F1182" s="30">
        <v>-0.10857598751184901</v>
      </c>
      <c r="G1182" s="30">
        <v>3.7802569781719702</v>
      </c>
      <c r="H1182" s="29">
        <v>0.19048888999999999</v>
      </c>
      <c r="I1182" s="29">
        <v>0.19048888999999999</v>
      </c>
      <c r="K1182">
        <f t="shared" si="36"/>
        <v>-1.0857598751184971E-3</v>
      </c>
      <c r="L1182">
        <f t="shared" si="37"/>
        <v>2.4763556010528101E-4</v>
      </c>
    </row>
    <row r="1183" spans="1:12" x14ac:dyDescent="0.3">
      <c r="A1183" s="31">
        <v>44420</v>
      </c>
      <c r="B1183" s="32">
        <v>0.19066867504337701</v>
      </c>
      <c r="C1183" s="32">
        <v>0.19072322245956699</v>
      </c>
      <c r="D1183" s="32">
        <v>0.19069594000000001</v>
      </c>
      <c r="E1183" s="33">
        <v>-1.0145E-3</v>
      </c>
      <c r="F1183" s="33">
        <v>-0.52918349151981303</v>
      </c>
      <c r="G1183" s="33">
        <v>3.8930598939080601</v>
      </c>
      <c r="H1183" s="32">
        <v>0.19069594000000001</v>
      </c>
      <c r="I1183" s="32">
        <v>0.19069594000000001</v>
      </c>
      <c r="K1183">
        <f t="shared" si="36"/>
        <v>-5.2918349151981348E-3</v>
      </c>
      <c r="L1183">
        <f t="shared" si="37"/>
        <v>2.8604393040558313E-4</v>
      </c>
    </row>
    <row r="1184" spans="1:12" x14ac:dyDescent="0.3">
      <c r="A1184" s="28">
        <v>44419</v>
      </c>
      <c r="B1184" s="29">
        <v>0.19168104274487299</v>
      </c>
      <c r="C1184" s="29">
        <v>0.19173984737508101</v>
      </c>
      <c r="D1184" s="29">
        <v>0.19171044000000001</v>
      </c>
      <c r="E1184" s="30">
        <v>2.0375999999999701E-4</v>
      </c>
      <c r="F1184" s="30">
        <v>0.106398377330751</v>
      </c>
      <c r="G1184" s="30">
        <v>4.4457696645637403</v>
      </c>
      <c r="H1184" s="29">
        <v>0.19171044000000001</v>
      </c>
      <c r="I1184" s="29">
        <v>0.19171044000000001</v>
      </c>
      <c r="K1184">
        <f t="shared" si="36"/>
        <v>1.0639837733075197E-3</v>
      </c>
      <c r="L1184">
        <f t="shared" si="37"/>
        <v>3.0673671297202327E-4</v>
      </c>
    </row>
    <row r="1185" spans="1:12" x14ac:dyDescent="0.3">
      <c r="A1185" s="31">
        <v>44418</v>
      </c>
      <c r="B1185" s="32">
        <v>0.19147917663954001</v>
      </c>
      <c r="C1185" s="32">
        <v>0.19153418885271001</v>
      </c>
      <c r="D1185" s="32">
        <v>0.19150668000000001</v>
      </c>
      <c r="E1185" s="33">
        <v>2.67066000000001E-3</v>
      </c>
      <c r="F1185" s="33">
        <v>1.4142746706904801</v>
      </c>
      <c r="G1185" s="33">
        <v>4.33475917381086</v>
      </c>
      <c r="H1185" s="32">
        <v>0.19150668000000001</v>
      </c>
      <c r="I1185" s="32">
        <v>0.19150668000000001</v>
      </c>
      <c r="K1185">
        <f t="shared" si="36"/>
        <v>1.4142746706904852E-2</v>
      </c>
      <c r="L1185">
        <f t="shared" si="37"/>
        <v>2.8726002231359554E-4</v>
      </c>
    </row>
    <row r="1186" spans="1:12" x14ac:dyDescent="0.3">
      <c r="A1186" s="28">
        <v>44417</v>
      </c>
      <c r="B1186" s="29">
        <v>0.18880036249669599</v>
      </c>
      <c r="C1186" s="29">
        <v>0.188871680580214</v>
      </c>
      <c r="D1186" s="29">
        <v>0.18883601999999999</v>
      </c>
      <c r="E1186" s="30">
        <v>-1.86356000000001E-3</v>
      </c>
      <c r="F1186" s="30">
        <v>-0.97722291784807502</v>
      </c>
      <c r="G1186" s="30">
        <v>2.8797568316725499</v>
      </c>
      <c r="H1186" s="29">
        <v>0.18883601999999999</v>
      </c>
      <c r="I1186" s="29">
        <v>0.18883601999999999</v>
      </c>
      <c r="K1186">
        <f t="shared" si="36"/>
        <v>-9.7722291784807513E-3</v>
      </c>
      <c r="L1186">
        <f t="shared" si="37"/>
        <v>3.7767203268747519E-4</v>
      </c>
    </row>
    <row r="1187" spans="1:12" x14ac:dyDescent="0.3">
      <c r="A1187" s="31">
        <v>44414</v>
      </c>
      <c r="B1187" s="32">
        <v>0.19067231056705899</v>
      </c>
      <c r="C1187" s="32">
        <v>0.19072686006370301</v>
      </c>
      <c r="D1187" s="32">
        <v>0.19069958000000001</v>
      </c>
      <c r="E1187" s="33">
        <v>-3.9400399999999997E-3</v>
      </c>
      <c r="F1187" s="33">
        <v>-2.0242744000425001</v>
      </c>
      <c r="G1187" s="33">
        <v>3.8950430024001101</v>
      </c>
      <c r="H1187" s="32">
        <v>0.19069958000000001</v>
      </c>
      <c r="I1187" s="32">
        <v>0.19069958000000001</v>
      </c>
      <c r="K1187">
        <f t="shared" si="36"/>
        <v>-2.0242744000425028E-2</v>
      </c>
      <c r="L1187">
        <f t="shared" si="37"/>
        <v>2.8604938009836486E-4</v>
      </c>
    </row>
    <row r="1188" spans="1:12" x14ac:dyDescent="0.3">
      <c r="A1188" s="28">
        <v>44413</v>
      </c>
      <c r="B1188" s="29">
        <v>0.19460932178651399</v>
      </c>
      <c r="C1188" s="29">
        <v>0.19466993712160999</v>
      </c>
      <c r="D1188" s="29">
        <v>0.19463962000000001</v>
      </c>
      <c r="E1188" s="30">
        <v>3.0926E-3</v>
      </c>
      <c r="F1188" s="30">
        <v>1.61453829978666</v>
      </c>
      <c r="G1188" s="30">
        <v>6.04161629443976</v>
      </c>
      <c r="H1188" s="29">
        <v>0.19463962000000001</v>
      </c>
      <c r="I1188" s="29">
        <v>0.19463962000000001</v>
      </c>
      <c r="K1188">
        <f t="shared" si="36"/>
        <v>1.6145382997866609E-2</v>
      </c>
      <c r="L1188">
        <f t="shared" si="37"/>
        <v>3.1142341469836713E-4</v>
      </c>
    </row>
    <row r="1189" spans="1:12" x14ac:dyDescent="0.3">
      <c r="A1189" s="31">
        <v>44412</v>
      </c>
      <c r="B1189" s="32">
        <v>0.191530520388424</v>
      </c>
      <c r="C1189" s="32">
        <v>0.19156354162675801</v>
      </c>
      <c r="D1189" s="32">
        <v>0.19154702000000001</v>
      </c>
      <c r="E1189" s="33">
        <v>1.29550999999999E-3</v>
      </c>
      <c r="F1189" s="33">
        <v>0.68094597514627397</v>
      </c>
      <c r="G1189" s="33">
        <v>4.3567368102310198</v>
      </c>
      <c r="H1189" s="32">
        <v>0.19154702000000001</v>
      </c>
      <c r="I1189" s="32">
        <v>0.19154702000000001</v>
      </c>
      <c r="K1189">
        <f t="shared" si="36"/>
        <v>6.8094597514627431E-3</v>
      </c>
      <c r="L1189">
        <f t="shared" si="37"/>
        <v>1.723923365344623E-4</v>
      </c>
    </row>
    <row r="1190" spans="1:12" x14ac:dyDescent="0.3">
      <c r="A1190" s="28">
        <v>44411</v>
      </c>
      <c r="B1190" s="29">
        <v>0.19022979759549499</v>
      </c>
      <c r="C1190" s="29">
        <v>0.19027323236167101</v>
      </c>
      <c r="D1190" s="29">
        <v>0.19025151000000001</v>
      </c>
      <c r="E1190" s="30">
        <v>-4.60809999999997E-3</v>
      </c>
      <c r="F1190" s="30">
        <v>-2.3648307620034599</v>
      </c>
      <c r="G1190" s="30">
        <v>3.6509299743688799</v>
      </c>
      <c r="H1190" s="29">
        <v>0.19025151000000001</v>
      </c>
      <c r="I1190" s="29">
        <v>0.19025151000000001</v>
      </c>
      <c r="K1190">
        <f t="shared" si="36"/>
        <v>-2.364830762003467E-2</v>
      </c>
      <c r="L1190">
        <f t="shared" si="37"/>
        <v>2.2830182097382761E-4</v>
      </c>
    </row>
    <row r="1191" spans="1:12" x14ac:dyDescent="0.3">
      <c r="A1191" s="31">
        <v>44410</v>
      </c>
      <c r="B1191" s="32">
        <v>0.194829232177996</v>
      </c>
      <c r="C1191" s="32">
        <v>0.194889984603691</v>
      </c>
      <c r="D1191" s="32">
        <v>0.19485960999999999</v>
      </c>
      <c r="E1191" s="33">
        <v>5.7544999999997704E-4</v>
      </c>
      <c r="F1191" s="33">
        <v>0.296189869518936</v>
      </c>
      <c r="G1191" s="33">
        <v>6.1614690519030697</v>
      </c>
      <c r="H1191" s="32">
        <v>0.19485960999999999</v>
      </c>
      <c r="I1191" s="32">
        <v>0.19485960999999999</v>
      </c>
      <c r="K1191">
        <f t="shared" si="36"/>
        <v>2.9618986951893689E-3</v>
      </c>
      <c r="L1191">
        <f t="shared" si="37"/>
        <v>3.1177536327309843E-4</v>
      </c>
    </row>
    <row r="1192" spans="1:12" x14ac:dyDescent="0.3">
      <c r="A1192" s="28">
        <v>44407</v>
      </c>
      <c r="B1192" s="29">
        <v>0.19425019425019399</v>
      </c>
      <c r="C1192" s="29">
        <v>0.194318137654969</v>
      </c>
      <c r="D1192" s="29">
        <v>0.19428416000000001</v>
      </c>
      <c r="E1192" s="30">
        <v>-3.3150099999999698E-3</v>
      </c>
      <c r="F1192" s="30">
        <v>-1.67764368645879</v>
      </c>
      <c r="G1192" s="30">
        <v>5.84795812285053</v>
      </c>
      <c r="H1192" s="29">
        <v>0.19428416000000001</v>
      </c>
      <c r="I1192" s="29">
        <v>0.19428416000000001</v>
      </c>
      <c r="K1192">
        <f t="shared" si="36"/>
        <v>-1.6776436864587962E-2</v>
      </c>
      <c r="L1192">
        <f t="shared" si="37"/>
        <v>3.4971149873981513E-4</v>
      </c>
    </row>
    <row r="1193" spans="1:12" x14ac:dyDescent="0.3">
      <c r="A1193" s="31">
        <v>44406</v>
      </c>
      <c r="B1193" s="32">
        <v>0.197569890348711</v>
      </c>
      <c r="C1193" s="32">
        <v>0.19762845849802399</v>
      </c>
      <c r="D1193" s="32">
        <v>0.19759916999999999</v>
      </c>
      <c r="E1193" s="33">
        <v>4.0988399999999899E-3</v>
      </c>
      <c r="F1193" s="33">
        <v>2.1182599533550999</v>
      </c>
      <c r="G1193" s="33">
        <v>7.6540088047837802</v>
      </c>
      <c r="H1193" s="32">
        <v>0.19759916999999999</v>
      </c>
      <c r="I1193" s="32">
        <v>0.19759916999999999</v>
      </c>
      <c r="K1193">
        <f t="shared" si="36"/>
        <v>2.1182599533551061E-2</v>
      </c>
      <c r="L1193">
        <f t="shared" si="37"/>
        <v>2.9639876176092991E-4</v>
      </c>
    </row>
    <row r="1194" spans="1:12" x14ac:dyDescent="0.3">
      <c r="A1194" s="28">
        <v>44405</v>
      </c>
      <c r="B1194" s="29">
        <v>0.193479732997968</v>
      </c>
      <c r="C1194" s="29">
        <v>0.19352091961140999</v>
      </c>
      <c r="D1194" s="29">
        <v>0.19350033</v>
      </c>
      <c r="E1194" s="30">
        <v>-2.0052000000000901E-4</v>
      </c>
      <c r="F1194" s="30">
        <v>-0.103520454350103</v>
      </c>
      <c r="G1194" s="30">
        <v>5.4209196807282503</v>
      </c>
      <c r="H1194" s="29">
        <v>0.19350033</v>
      </c>
      <c r="I1194" s="29">
        <v>0.19350033</v>
      </c>
      <c r="K1194">
        <f t="shared" si="36"/>
        <v>-1.0352045435010337E-3</v>
      </c>
      <c r="L1194">
        <f t="shared" si="37"/>
        <v>2.1285035246188086E-4</v>
      </c>
    </row>
    <row r="1195" spans="1:12" x14ac:dyDescent="0.3">
      <c r="A1195" s="31">
        <v>44404</v>
      </c>
      <c r="B1195" s="32">
        <v>0.19367833901456499</v>
      </c>
      <c r="C1195" s="32">
        <v>0.193723363037582</v>
      </c>
      <c r="D1195" s="32">
        <v>0.19370085000000001</v>
      </c>
      <c r="E1195" s="33">
        <v>4.7347000000000301E-4</v>
      </c>
      <c r="F1195" s="33">
        <v>0.24503256215553301</v>
      </c>
      <c r="G1195" s="33">
        <v>5.5301649869992104</v>
      </c>
      <c r="H1195" s="32">
        <v>0.19370085000000001</v>
      </c>
      <c r="I1195" s="32">
        <v>0.19370085000000001</v>
      </c>
      <c r="K1195">
        <f t="shared" si="36"/>
        <v>2.4503256215553382E-3</v>
      </c>
      <c r="L1195">
        <f t="shared" si="37"/>
        <v>2.3244101931927291E-4</v>
      </c>
    </row>
    <row r="1196" spans="1:12" x14ac:dyDescent="0.3">
      <c r="A1196" s="28">
        <v>44403</v>
      </c>
      <c r="B1196" s="29">
        <v>0.193206847250667</v>
      </c>
      <c r="C1196" s="29">
        <v>0.19324791775368599</v>
      </c>
      <c r="D1196" s="29">
        <v>0.19322738</v>
      </c>
      <c r="E1196" s="30">
        <v>-3.1601000000000502E-4</v>
      </c>
      <c r="F1196" s="30">
        <v>-0.16327604884879199</v>
      </c>
      <c r="G1196" s="30">
        <v>5.27221378432563</v>
      </c>
      <c r="H1196" s="29">
        <v>0.19322738</v>
      </c>
      <c r="I1196" s="29">
        <v>0.19322738</v>
      </c>
      <c r="K1196">
        <f t="shared" si="36"/>
        <v>-1.6327604884879277E-3</v>
      </c>
      <c r="L1196">
        <f t="shared" si="37"/>
        <v>2.125501211008074E-4</v>
      </c>
    </row>
    <row r="1197" spans="1:12" x14ac:dyDescent="0.3">
      <c r="A1197" s="31">
        <v>44400</v>
      </c>
      <c r="B1197" s="32">
        <v>0.19351342983202999</v>
      </c>
      <c r="C1197" s="32">
        <v>0.19357336430507199</v>
      </c>
      <c r="D1197" s="32">
        <v>0.19354339000000001</v>
      </c>
      <c r="E1197" s="33">
        <v>1.4886999999999999E-3</v>
      </c>
      <c r="F1197" s="33">
        <v>0.77514378846983401</v>
      </c>
      <c r="G1197" s="33">
        <v>5.4443792004171998</v>
      </c>
      <c r="H1197" s="32">
        <v>0.19354339000000001</v>
      </c>
      <c r="I1197" s="32">
        <v>0.19354339000000001</v>
      </c>
      <c r="K1197">
        <f t="shared" si="36"/>
        <v>7.7514378846983423E-3</v>
      </c>
      <c r="L1197">
        <f t="shared" si="37"/>
        <v>3.096694391991684E-4</v>
      </c>
    </row>
    <row r="1198" spans="1:12" x14ac:dyDescent="0.3">
      <c r="A1198" s="28">
        <v>44399</v>
      </c>
      <c r="B1198" s="29">
        <v>0.19202335003936499</v>
      </c>
      <c r="C1198" s="29">
        <v>0.19208605455243899</v>
      </c>
      <c r="D1198" s="29">
        <v>0.19205469</v>
      </c>
      <c r="E1198" s="30">
        <v>1.7959300000000001E-3</v>
      </c>
      <c r="F1198" s="30">
        <v>0.94394076782588998</v>
      </c>
      <c r="G1198" s="30">
        <v>4.6333205157694799</v>
      </c>
      <c r="H1198" s="29">
        <v>0.19205469</v>
      </c>
      <c r="I1198" s="29">
        <v>0.19205469</v>
      </c>
      <c r="K1198">
        <f t="shared" si="36"/>
        <v>9.4394076782589043E-3</v>
      </c>
      <c r="L1198">
        <f t="shared" si="37"/>
        <v>3.2649300610152615E-4</v>
      </c>
    </row>
    <row r="1199" spans="1:12" x14ac:dyDescent="0.3">
      <c r="A1199" s="31">
        <v>44398</v>
      </c>
      <c r="B1199" s="32">
        <v>0.19023341640192501</v>
      </c>
      <c r="C1199" s="32">
        <v>0.19028409415257</v>
      </c>
      <c r="D1199" s="32">
        <v>0.19025876</v>
      </c>
      <c r="E1199" s="33">
        <v>-2.66409999999994E-4</v>
      </c>
      <c r="F1199" s="33">
        <v>-0.139829293945781</v>
      </c>
      <c r="G1199" s="33">
        <v>3.6548798470522201</v>
      </c>
      <c r="H1199" s="32">
        <v>0.19025876</v>
      </c>
      <c r="I1199" s="32">
        <v>0.19025876</v>
      </c>
      <c r="K1199">
        <f t="shared" si="36"/>
        <v>-1.3982929394578125E-3</v>
      </c>
      <c r="L1199">
        <f t="shared" si="37"/>
        <v>2.6636224605368808E-4</v>
      </c>
    </row>
    <row r="1200" spans="1:12" x14ac:dyDescent="0.3">
      <c r="A1200" s="28">
        <v>44397</v>
      </c>
      <c r="B1200" s="29">
        <v>0.19050521984302399</v>
      </c>
      <c r="C1200" s="29">
        <v>0.19054514967321501</v>
      </c>
      <c r="D1200" s="29">
        <v>0.19052516999999999</v>
      </c>
      <c r="E1200" s="30">
        <v>-1.5332099999999999E-3</v>
      </c>
      <c r="F1200" s="30">
        <v>-0.79830414064724298</v>
      </c>
      <c r="G1200" s="30">
        <v>3.8000226858894499</v>
      </c>
      <c r="H1200" s="29">
        <v>0.19052516999999999</v>
      </c>
      <c r="I1200" s="29">
        <v>0.19052516999999999</v>
      </c>
      <c r="K1200">
        <f t="shared" si="36"/>
        <v>-7.9830414064724353E-3</v>
      </c>
      <c r="L1200">
        <f t="shared" si="37"/>
        <v>2.0957771716472497E-4</v>
      </c>
    </row>
    <row r="1201" spans="1:12" x14ac:dyDescent="0.3">
      <c r="A1201" s="31">
        <v>44396</v>
      </c>
      <c r="B1201" s="32">
        <v>0.19204178829313301</v>
      </c>
      <c r="C1201" s="32">
        <v>0.192074986074564</v>
      </c>
      <c r="D1201" s="32">
        <v>0.19205838</v>
      </c>
      <c r="E1201" s="33">
        <v>-4.7861999999999896E-3</v>
      </c>
      <c r="F1201" s="33">
        <v>-2.43146140980868</v>
      </c>
      <c r="G1201" s="33">
        <v>4.63533086476279</v>
      </c>
      <c r="H1201" s="32">
        <v>0.19205838</v>
      </c>
      <c r="I1201" s="32">
        <v>0.19205838</v>
      </c>
      <c r="K1201">
        <f t="shared" si="36"/>
        <v>-2.4314614098086884E-2</v>
      </c>
      <c r="L1201">
        <f t="shared" si="37"/>
        <v>1.7285255364013827E-4</v>
      </c>
    </row>
    <row r="1202" spans="1:12" x14ac:dyDescent="0.3">
      <c r="A1202" s="28">
        <v>44393</v>
      </c>
      <c r="B1202" s="29">
        <v>0.19681552480859699</v>
      </c>
      <c r="C1202" s="29">
        <v>0.19687364649368</v>
      </c>
      <c r="D1202" s="29">
        <v>0.19684457999999999</v>
      </c>
      <c r="E1202" s="30">
        <v>1.00613999999998E-3</v>
      </c>
      <c r="F1202" s="30">
        <v>0.51376021990370202</v>
      </c>
      <c r="G1202" s="30">
        <v>7.2429006078009603</v>
      </c>
      <c r="H1202" s="29">
        <v>0.19684457999999999</v>
      </c>
      <c r="I1202" s="29">
        <v>0.19684457999999999</v>
      </c>
      <c r="K1202">
        <f t="shared" si="36"/>
        <v>5.137602199037028E-3</v>
      </c>
      <c r="L1202">
        <f t="shared" si="37"/>
        <v>2.9526688051564545E-4</v>
      </c>
    </row>
    <row r="1203" spans="1:12" x14ac:dyDescent="0.3">
      <c r="A1203" s="31">
        <v>44392</v>
      </c>
      <c r="B1203" s="32">
        <v>0.19581734158377101</v>
      </c>
      <c r="C1203" s="32">
        <v>0.19585952954541</v>
      </c>
      <c r="D1203" s="32">
        <v>0.19583844</v>
      </c>
      <c r="E1203" s="33">
        <v>-1.0158399999999901E-3</v>
      </c>
      <c r="F1203" s="33">
        <v>-0.51603653220035905</v>
      </c>
      <c r="G1203" s="33">
        <v>6.6947454489567004</v>
      </c>
      <c r="H1203" s="32">
        <v>0.19583844</v>
      </c>
      <c r="I1203" s="32">
        <v>0.19583844</v>
      </c>
      <c r="K1203">
        <f t="shared" si="36"/>
        <v>-5.1603653220035905E-3</v>
      </c>
      <c r="L1203">
        <f t="shared" si="37"/>
        <v>2.1542227174087858E-4</v>
      </c>
    </row>
    <row r="1204" spans="1:12" x14ac:dyDescent="0.3">
      <c r="A1204" s="28">
        <v>44391</v>
      </c>
      <c r="B1204" s="29">
        <v>0.19682714640003199</v>
      </c>
      <c r="C1204" s="29">
        <v>0.19688139864545601</v>
      </c>
      <c r="D1204" s="29">
        <v>0.19685427999999999</v>
      </c>
      <c r="E1204" s="30">
        <v>3.33147999999999E-3</v>
      </c>
      <c r="F1204" s="30">
        <v>1.72149224794184</v>
      </c>
      <c r="G1204" s="30">
        <v>7.2481852650462599</v>
      </c>
      <c r="H1204" s="29">
        <v>0.19685427999999999</v>
      </c>
      <c r="I1204" s="29">
        <v>0.19685427999999999</v>
      </c>
      <c r="K1204">
        <f t="shared" si="36"/>
        <v>1.7214922479418471E-2</v>
      </c>
      <c r="L1204">
        <f t="shared" si="37"/>
        <v>2.7559596582822112E-4</v>
      </c>
    </row>
    <row r="1205" spans="1:12" x14ac:dyDescent="0.3">
      <c r="A1205" s="31">
        <v>44390</v>
      </c>
      <c r="B1205" s="32">
        <v>0.193498452012384</v>
      </c>
      <c r="C1205" s="32">
        <v>0.19354713840555901</v>
      </c>
      <c r="D1205" s="32">
        <v>0.19352279999999999</v>
      </c>
      <c r="E1205" s="33">
        <v>1.7369899999999899E-3</v>
      </c>
      <c r="F1205" s="33">
        <v>0.90569265786659603</v>
      </c>
      <c r="G1205" s="33">
        <v>5.4331615619964904</v>
      </c>
      <c r="H1205" s="32">
        <v>0.19352279999999999</v>
      </c>
      <c r="I1205" s="32">
        <v>0.19352279999999999</v>
      </c>
      <c r="K1205">
        <f t="shared" si="36"/>
        <v>9.0569265786659692E-3</v>
      </c>
      <c r="L1205">
        <f t="shared" si="37"/>
        <v>2.5157962356380003E-4</v>
      </c>
    </row>
    <row r="1206" spans="1:12" x14ac:dyDescent="0.3">
      <c r="A1206" s="28">
        <v>44389</v>
      </c>
      <c r="B1206" s="29">
        <v>0.191758231222075</v>
      </c>
      <c r="C1206" s="29">
        <v>0.19181340392066601</v>
      </c>
      <c r="D1206" s="29">
        <v>0.19178581</v>
      </c>
      <c r="E1206" s="30">
        <v>1.6825900000000101E-3</v>
      </c>
      <c r="F1206" s="30">
        <v>0.88509284587605597</v>
      </c>
      <c r="G1206" s="30">
        <v>4.4868319961697702</v>
      </c>
      <c r="H1206" s="29">
        <v>0.19178581</v>
      </c>
      <c r="I1206" s="29">
        <v>0.19178581</v>
      </c>
      <c r="K1206">
        <f t="shared" si="36"/>
        <v>8.8509284587605652E-3</v>
      </c>
      <c r="L1206">
        <f t="shared" si="37"/>
        <v>2.8767873176336971E-4</v>
      </c>
    </row>
    <row r="1207" spans="1:12" x14ac:dyDescent="0.3">
      <c r="A1207" s="31">
        <v>44386</v>
      </c>
      <c r="B1207" s="32">
        <v>0.19007431905875199</v>
      </c>
      <c r="C1207" s="32">
        <v>0.19013214183857799</v>
      </c>
      <c r="D1207" s="32">
        <v>0.19010321999999999</v>
      </c>
      <c r="E1207" s="33">
        <v>8.2577999999999797E-4</v>
      </c>
      <c r="F1207" s="33">
        <v>0.43628020328254602</v>
      </c>
      <c r="G1207" s="33">
        <v>3.5701400957187599</v>
      </c>
      <c r="H1207" s="32">
        <v>0.19010321999999999</v>
      </c>
      <c r="I1207" s="32">
        <v>0.19010321999999999</v>
      </c>
      <c r="K1207">
        <f t="shared" si="36"/>
        <v>4.3628020328254635E-3</v>
      </c>
      <c r="L1207">
        <f t="shared" si="37"/>
        <v>3.0416517840147308E-4</v>
      </c>
    </row>
    <row r="1208" spans="1:12" x14ac:dyDescent="0.3">
      <c r="A1208" s="28">
        <v>44385</v>
      </c>
      <c r="B1208" s="29">
        <v>0.18925773117831901</v>
      </c>
      <c r="C1208" s="29">
        <v>0.189297139720219</v>
      </c>
      <c r="D1208" s="29">
        <v>0.18927743999999999</v>
      </c>
      <c r="E1208" s="30">
        <v>-8.8362000000000098E-4</v>
      </c>
      <c r="F1208" s="30">
        <v>-0.46466926509559597</v>
      </c>
      <c r="G1208" s="30">
        <v>3.1202468730356201</v>
      </c>
      <c r="H1208" s="29">
        <v>0.18927743999999999</v>
      </c>
      <c r="I1208" s="29">
        <v>0.18927743999999999</v>
      </c>
      <c r="K1208">
        <f t="shared" si="36"/>
        <v>-4.6466926509559636E-3</v>
      </c>
      <c r="L1208">
        <f t="shared" si="37"/>
        <v>2.0820517173091458E-4</v>
      </c>
    </row>
    <row r="1209" spans="1:12" x14ac:dyDescent="0.3">
      <c r="A1209" s="31">
        <v>44384</v>
      </c>
      <c r="B1209" s="32">
        <v>0.19013214183857799</v>
      </c>
      <c r="C1209" s="32">
        <v>0.19018999980981</v>
      </c>
      <c r="D1209" s="32">
        <v>0.19016105999999999</v>
      </c>
      <c r="E1209" s="33">
        <v>-2.3298799999999999E-3</v>
      </c>
      <c r="F1209" s="33">
        <v>-1.2103842393829101</v>
      </c>
      <c r="G1209" s="33">
        <v>3.6016519075814801</v>
      </c>
      <c r="H1209" s="32">
        <v>0.19016105999999999</v>
      </c>
      <c r="I1209" s="32">
        <v>0.19016105999999999</v>
      </c>
      <c r="K1209">
        <f t="shared" si="36"/>
        <v>-1.2103842393829112E-2</v>
      </c>
      <c r="L1209">
        <f t="shared" si="37"/>
        <v>3.0425772359496725E-4</v>
      </c>
    </row>
    <row r="1210" spans="1:12" x14ac:dyDescent="0.3">
      <c r="A1210" s="28">
        <v>44383</v>
      </c>
      <c r="B1210" s="29">
        <v>0.192477961273434</v>
      </c>
      <c r="C1210" s="29">
        <v>0.19250389820393901</v>
      </c>
      <c r="D1210" s="29">
        <v>0.19249094</v>
      </c>
      <c r="E1210" s="30">
        <v>-4.3420100000000003E-3</v>
      </c>
      <c r="F1210" s="30">
        <v>-2.2059365568620501</v>
      </c>
      <c r="G1210" s="30">
        <v>4.8709938893017997</v>
      </c>
      <c r="H1210" s="29">
        <v>0.19249094</v>
      </c>
      <c r="I1210" s="29">
        <v>0.19249094</v>
      </c>
      <c r="K1210">
        <f t="shared" si="36"/>
        <v>-2.2059365568620537E-2</v>
      </c>
      <c r="L1210">
        <f t="shared" si="37"/>
        <v>1.3474364302553957E-4</v>
      </c>
    </row>
    <row r="1211" spans="1:12" x14ac:dyDescent="0.3">
      <c r="A1211" s="31">
        <v>44382</v>
      </c>
      <c r="B1211" s="32">
        <v>0.19680003148800501</v>
      </c>
      <c r="C1211" s="32">
        <v>0.19686589495235801</v>
      </c>
      <c r="D1211" s="32">
        <v>0.19683295000000001</v>
      </c>
      <c r="E1211" s="33">
        <v>-1.0281699999999899E-3</v>
      </c>
      <c r="F1211" s="33">
        <v>-0.51964226220896303</v>
      </c>
      <c r="G1211" s="33">
        <v>7.2365644672068603</v>
      </c>
      <c r="H1211" s="32">
        <v>0.19683295000000001</v>
      </c>
      <c r="I1211" s="32">
        <v>0.19683295000000001</v>
      </c>
      <c r="K1211">
        <f t="shared" si="36"/>
        <v>-5.1964226220896359E-3</v>
      </c>
      <c r="L1211">
        <f t="shared" si="37"/>
        <v>3.3461605057994522E-4</v>
      </c>
    </row>
    <row r="1212" spans="1:12" x14ac:dyDescent="0.3">
      <c r="A1212" s="28">
        <v>44379</v>
      </c>
      <c r="B1212" s="29">
        <v>0.19783176386800699</v>
      </c>
      <c r="C1212" s="29">
        <v>0.19789048740427001</v>
      </c>
      <c r="D1212" s="29">
        <v>0.19786112</v>
      </c>
      <c r="E1212" s="30">
        <v>-1.61823999999999E-3</v>
      </c>
      <c r="F1212" s="30">
        <v>-0.81123179861816097</v>
      </c>
      <c r="G1212" s="30">
        <v>7.79672179090824</v>
      </c>
      <c r="H1212" s="29">
        <v>0.19786112</v>
      </c>
      <c r="I1212" s="29">
        <v>0.19786112</v>
      </c>
      <c r="K1212">
        <f t="shared" si="36"/>
        <v>-8.1123179861816164E-3</v>
      </c>
      <c r="L1212">
        <f t="shared" si="37"/>
        <v>2.9679169036856123E-4</v>
      </c>
    </row>
    <row r="1213" spans="1:12" x14ac:dyDescent="0.3">
      <c r="A1213" s="31">
        <v>44378</v>
      </c>
      <c r="B1213" s="32">
        <v>0.19945349741707699</v>
      </c>
      <c r="C1213" s="32">
        <v>0.19950522703694801</v>
      </c>
      <c r="D1213" s="32">
        <v>0.19947935999999999</v>
      </c>
      <c r="E1213" s="33">
        <v>1.9080999999998501E-4</v>
      </c>
      <c r="F1213" s="33">
        <v>9.5745591003582001E-2</v>
      </c>
      <c r="G1213" s="33">
        <v>8.6783551662318903</v>
      </c>
      <c r="H1213" s="32">
        <v>0.19947935999999999</v>
      </c>
      <c r="I1213" s="32">
        <v>0.19947935999999999</v>
      </c>
      <c r="K1213">
        <f t="shared" si="36"/>
        <v>9.5745591003582042E-4</v>
      </c>
      <c r="L1213">
        <f t="shared" si="37"/>
        <v>2.5932316942973944E-4</v>
      </c>
    </row>
    <row r="1214" spans="1:12" x14ac:dyDescent="0.3">
      <c r="A1214" s="28">
        <v>44377</v>
      </c>
      <c r="B1214" s="29">
        <v>0.19925478709625999</v>
      </c>
      <c r="C1214" s="29">
        <v>0.19932230416583599</v>
      </c>
      <c r="D1214" s="29">
        <v>0.19928855000000001</v>
      </c>
      <c r="E1214" s="30">
        <v>-2.7540999999999798E-3</v>
      </c>
      <c r="F1214" s="30">
        <v>-1.3631280326208299</v>
      </c>
      <c r="G1214" s="30">
        <v>8.5743999653065099</v>
      </c>
      <c r="H1214" s="29">
        <v>0.19928855000000001</v>
      </c>
      <c r="I1214" s="29">
        <v>0.19928855000000001</v>
      </c>
      <c r="K1214">
        <f t="shared" si="36"/>
        <v>-1.3631280326208306E-2</v>
      </c>
      <c r="L1214">
        <f t="shared" si="37"/>
        <v>3.387905104232069E-4</v>
      </c>
    </row>
    <row r="1215" spans="1:12" x14ac:dyDescent="0.3">
      <c r="A1215" s="31">
        <v>44376</v>
      </c>
      <c r="B1215" s="32">
        <v>0.20202020202020199</v>
      </c>
      <c r="C1215" s="32">
        <v>0.20206510537695199</v>
      </c>
      <c r="D1215" s="32">
        <v>0.20204264999999999</v>
      </c>
      <c r="E1215" s="33">
        <v>-4.47990000000009E-4</v>
      </c>
      <c r="F1215" s="33">
        <v>-0.22123985582741501</v>
      </c>
      <c r="G1215" s="33">
        <v>10.0748612559549</v>
      </c>
      <c r="H1215" s="32">
        <v>0.20204264999999999</v>
      </c>
      <c r="I1215" s="32">
        <v>0.20204264999999999</v>
      </c>
      <c r="K1215">
        <f t="shared" si="36"/>
        <v>-2.2123985582741534E-3</v>
      </c>
      <c r="L1215">
        <f t="shared" si="37"/>
        <v>2.2224692039034063E-4</v>
      </c>
    </row>
    <row r="1216" spans="1:12" x14ac:dyDescent="0.3">
      <c r="A1216" s="28">
        <v>44375</v>
      </c>
      <c r="B1216" s="29">
        <v>0.20245783815520399</v>
      </c>
      <c r="C1216" s="29">
        <v>0.20252344208842199</v>
      </c>
      <c r="D1216" s="29">
        <v>0.20249064</v>
      </c>
      <c r="E1216" s="30">
        <v>-3.4087999999998699E-4</v>
      </c>
      <c r="F1216" s="30">
        <v>-0.16806066433855399</v>
      </c>
      <c r="G1216" s="30">
        <v>10.318930699184101</v>
      </c>
      <c r="H1216" s="29">
        <v>0.20249064</v>
      </c>
      <c r="I1216" s="29">
        <v>0.20249064</v>
      </c>
      <c r="K1216">
        <f t="shared" si="36"/>
        <v>-1.6806066433855404E-3</v>
      </c>
      <c r="L1216">
        <f t="shared" si="37"/>
        <v>3.2398501589011859E-4</v>
      </c>
    </row>
    <row r="1217" spans="1:12" x14ac:dyDescent="0.3">
      <c r="A1217" s="31">
        <v>44372</v>
      </c>
      <c r="B1217" s="32">
        <v>0.20281507321624101</v>
      </c>
      <c r="C1217" s="32">
        <v>0.20284798571950199</v>
      </c>
      <c r="D1217" s="32">
        <v>0.20283151999999999</v>
      </c>
      <c r="E1217" s="33">
        <v>-9.6740000000011803E-5</v>
      </c>
      <c r="F1217" s="33">
        <v>-4.7672019658573303E-2</v>
      </c>
      <c r="G1217" s="33">
        <v>10.504645540604599</v>
      </c>
      <c r="H1217" s="32">
        <v>0.20283151999999999</v>
      </c>
      <c r="I1217" s="32">
        <v>0.20283151999999999</v>
      </c>
      <c r="K1217">
        <f t="shared" si="36"/>
        <v>-4.7672019658573372E-4</v>
      </c>
      <c r="L1217">
        <f t="shared" si="37"/>
        <v>1.6226523008349244E-4</v>
      </c>
    </row>
    <row r="1218" spans="1:12" x14ac:dyDescent="0.3">
      <c r="A1218" s="28">
        <v>44371</v>
      </c>
      <c r="B1218" s="29">
        <v>0.202901491325961</v>
      </c>
      <c r="C1218" s="29">
        <v>0.202955025166423</v>
      </c>
      <c r="D1218" s="29">
        <v>0.20292826</v>
      </c>
      <c r="E1218" s="30">
        <v>1.62988999999999E-3</v>
      </c>
      <c r="F1218" s="30">
        <v>0.80968862291332899</v>
      </c>
      <c r="G1218" s="30">
        <v>10.557350462451099</v>
      </c>
      <c r="H1218" s="29">
        <v>0.20292826</v>
      </c>
      <c r="I1218" s="29">
        <v>0.20292826</v>
      </c>
      <c r="K1218">
        <f t="shared" si="36"/>
        <v>8.0968862291332933E-3</v>
      </c>
      <c r="L1218">
        <f t="shared" si="37"/>
        <v>2.6380672885087592E-4</v>
      </c>
    </row>
    <row r="1219" spans="1:12" x14ac:dyDescent="0.3">
      <c r="A1219" s="31">
        <v>44370</v>
      </c>
      <c r="B1219" s="32">
        <v>0.20127609041322</v>
      </c>
      <c r="C1219" s="32">
        <v>0.20132066355290701</v>
      </c>
      <c r="D1219" s="32">
        <v>0.20129837</v>
      </c>
      <c r="E1219" s="33">
        <v>1.86078E-3</v>
      </c>
      <c r="F1219" s="33">
        <v>0.93301368112199601</v>
      </c>
      <c r="G1219" s="33">
        <v>9.6693700503328301</v>
      </c>
      <c r="H1219" s="32">
        <v>0.20129837</v>
      </c>
      <c r="I1219" s="32">
        <v>0.20129837</v>
      </c>
      <c r="K1219">
        <f t="shared" si="36"/>
        <v>9.330136811219969E-3</v>
      </c>
      <c r="L1219">
        <f t="shared" si="37"/>
        <v>2.2142821964730346E-4</v>
      </c>
    </row>
    <row r="1220" spans="1:12" x14ac:dyDescent="0.3">
      <c r="A1220" s="28">
        <v>44369</v>
      </c>
      <c r="B1220" s="29">
        <v>0.19940179461615201</v>
      </c>
      <c r="C1220" s="29">
        <v>0.19947339024974101</v>
      </c>
      <c r="D1220" s="29">
        <v>0.19943759</v>
      </c>
      <c r="E1220" s="30">
        <v>1.0012699999999901E-3</v>
      </c>
      <c r="F1220" s="30">
        <v>0.50458000833717398</v>
      </c>
      <c r="G1220" s="30">
        <v>8.6555984514755693</v>
      </c>
      <c r="H1220" s="29">
        <v>0.19943759</v>
      </c>
      <c r="I1220" s="29">
        <v>0.19943759</v>
      </c>
      <c r="K1220">
        <f t="shared" si="36"/>
        <v>5.0458000833717431E-3</v>
      </c>
      <c r="L1220">
        <f t="shared" si="37"/>
        <v>3.5898765919200313E-4</v>
      </c>
    </row>
    <row r="1221" spans="1:12" x14ac:dyDescent="0.3">
      <c r="A1221" s="31">
        <v>44368</v>
      </c>
      <c r="B1221" s="32">
        <v>0.19839695262280799</v>
      </c>
      <c r="C1221" s="32">
        <v>0.19847570657351499</v>
      </c>
      <c r="D1221" s="32">
        <v>0.19843632</v>
      </c>
      <c r="E1221" s="33">
        <v>-1.6353999999998899E-4</v>
      </c>
      <c r="F1221" s="33">
        <v>-8.2346483023698597E-2</v>
      </c>
      <c r="G1221" s="33">
        <v>8.1100965174544601</v>
      </c>
      <c r="H1221" s="32">
        <v>0.19843632</v>
      </c>
      <c r="I1221" s="32">
        <v>0.19843632</v>
      </c>
      <c r="K1221">
        <f t="shared" ref="K1221:K1284" si="38">D1221/D1222-1</f>
        <v>-8.2346483023698624E-4</v>
      </c>
      <c r="L1221">
        <f t="shared" ref="L1221:L1284" si="39">(C1221-B1221)/D1221</f>
        <v>3.9687266276153521E-4</v>
      </c>
    </row>
    <row r="1222" spans="1:12" x14ac:dyDescent="0.3">
      <c r="A1222" s="28">
        <v>44365</v>
      </c>
      <c r="B1222" s="29">
        <v>0.198574236978494</v>
      </c>
      <c r="C1222" s="29">
        <v>0.19862551146069199</v>
      </c>
      <c r="D1222" s="29">
        <v>0.19859985999999999</v>
      </c>
      <c r="E1222" s="30">
        <v>-4.8831000000001902E-4</v>
      </c>
      <c r="F1222" s="30">
        <v>-0.24527323748066901</v>
      </c>
      <c r="G1222" s="30">
        <v>8.1991947489902195</v>
      </c>
      <c r="H1222" s="29">
        <v>0.19859985999999999</v>
      </c>
      <c r="I1222" s="29">
        <v>0.19859985999999999</v>
      </c>
      <c r="K1222">
        <f t="shared" si="38"/>
        <v>-2.4527323748066987E-3</v>
      </c>
      <c r="L1222">
        <f t="shared" si="39"/>
        <v>2.5817985067055839E-4</v>
      </c>
    </row>
    <row r="1223" spans="1:12" x14ac:dyDescent="0.3">
      <c r="A1223" s="31">
        <v>44364</v>
      </c>
      <c r="B1223" s="32">
        <v>0.199064397332537</v>
      </c>
      <c r="C1223" s="32">
        <v>0.19911196065547701</v>
      </c>
      <c r="D1223" s="32">
        <v>0.19908817000000001</v>
      </c>
      <c r="E1223" s="33">
        <v>-2.7388000000000401E-4</v>
      </c>
      <c r="F1223" s="33">
        <v>-0.13737820212021901</v>
      </c>
      <c r="G1223" s="33">
        <v>8.4652309324391002</v>
      </c>
      <c r="H1223" s="32">
        <v>0.19908817000000001</v>
      </c>
      <c r="I1223" s="32">
        <v>0.19908817000000001</v>
      </c>
      <c r="K1223">
        <f t="shared" si="38"/>
        <v>-1.3737820212021967E-3</v>
      </c>
      <c r="L1223">
        <f t="shared" si="39"/>
        <v>2.3890582217923111E-4</v>
      </c>
    </row>
    <row r="1224" spans="1:12" x14ac:dyDescent="0.3">
      <c r="A1224" s="28">
        <v>44363</v>
      </c>
      <c r="B1224" s="29">
        <v>0.19933422369286599</v>
      </c>
      <c r="C1224" s="29">
        <v>0.19938986700695899</v>
      </c>
      <c r="D1224" s="29">
        <v>0.19936205000000001</v>
      </c>
      <c r="E1224" s="30">
        <v>2.44188E-3</v>
      </c>
      <c r="F1224" s="30">
        <v>1.24003549255518</v>
      </c>
      <c r="G1224" s="30">
        <v>8.6144435021652495</v>
      </c>
      <c r="H1224" s="29">
        <v>0.19936205000000001</v>
      </c>
      <c r="I1224" s="29">
        <v>0.19936205000000001</v>
      </c>
      <c r="K1224">
        <f t="shared" si="38"/>
        <v>1.2400354925551804E-2</v>
      </c>
      <c r="L1224">
        <f t="shared" si="39"/>
        <v>2.7910685154469326E-4</v>
      </c>
    </row>
    <row r="1225" spans="1:12" x14ac:dyDescent="0.3">
      <c r="A1225" s="31">
        <v>44362</v>
      </c>
      <c r="B1225" s="32">
        <v>0.19689690478065699</v>
      </c>
      <c r="C1225" s="32">
        <v>0.19694343784465099</v>
      </c>
      <c r="D1225" s="32">
        <v>0.19692017000000001</v>
      </c>
      <c r="E1225" s="33">
        <v>-6.1654999999999295E-4</v>
      </c>
      <c r="F1225" s="33">
        <v>-0.31211918472676597</v>
      </c>
      <c r="G1225" s="33">
        <v>7.2840827976125597</v>
      </c>
      <c r="H1225" s="32">
        <v>0.19692017000000001</v>
      </c>
      <c r="I1225" s="32">
        <v>0.19692017000000001</v>
      </c>
      <c r="K1225">
        <f t="shared" si="38"/>
        <v>-3.1211918472676681E-3</v>
      </c>
      <c r="L1225">
        <f t="shared" si="39"/>
        <v>2.363042038506875E-4</v>
      </c>
    </row>
    <row r="1226" spans="1:12" x14ac:dyDescent="0.3">
      <c r="A1226" s="28">
        <v>44361</v>
      </c>
      <c r="B1226" s="29">
        <v>0.19750745590645999</v>
      </c>
      <c r="C1226" s="29">
        <v>0.19756598703967099</v>
      </c>
      <c r="D1226" s="29">
        <v>0.19753672</v>
      </c>
      <c r="E1226" s="30">
        <v>2.5498399999999899E-3</v>
      </c>
      <c r="F1226" s="30">
        <v>1.3076982410303599</v>
      </c>
      <c r="G1226" s="30">
        <v>7.6199854187044904</v>
      </c>
      <c r="H1226" s="29">
        <v>0.19753672</v>
      </c>
      <c r="I1226" s="29">
        <v>0.19753672</v>
      </c>
      <c r="K1226">
        <f t="shared" si="38"/>
        <v>1.3076982410303639E-2</v>
      </c>
      <c r="L1226">
        <f t="shared" si="39"/>
        <v>2.9630507791664429E-4</v>
      </c>
    </row>
    <row r="1227" spans="1:12" x14ac:dyDescent="0.3">
      <c r="A1227" s="31">
        <v>44358</v>
      </c>
      <c r="B1227" s="32">
        <v>0.194965978436763</v>
      </c>
      <c r="C1227" s="32">
        <v>0.19500780031201201</v>
      </c>
      <c r="D1227" s="32">
        <v>0.19498688</v>
      </c>
      <c r="E1227" s="33">
        <v>-2.0865599999999799E-3</v>
      </c>
      <c r="F1227" s="33">
        <v>-1.05877281078565</v>
      </c>
      <c r="G1227" s="33">
        <v>6.2308070238216002</v>
      </c>
      <c r="H1227" s="32">
        <v>0.19498688</v>
      </c>
      <c r="I1227" s="32">
        <v>0.19498688</v>
      </c>
      <c r="K1227">
        <f t="shared" si="38"/>
        <v>-1.0587728107856575E-2</v>
      </c>
      <c r="L1227">
        <f t="shared" si="39"/>
        <v>2.1448558615333297E-4</v>
      </c>
    </row>
    <row r="1228" spans="1:12" x14ac:dyDescent="0.3">
      <c r="A1228" s="28">
        <v>44357</v>
      </c>
      <c r="B1228" s="29">
        <v>0.19705210057539199</v>
      </c>
      <c r="C1228" s="29">
        <v>0.19709482231901801</v>
      </c>
      <c r="D1228" s="29">
        <v>0.19707343999999999</v>
      </c>
      <c r="E1228" s="30">
        <v>-6.6445000000001E-4</v>
      </c>
      <c r="F1228" s="30">
        <v>-0.33602563474305303</v>
      </c>
      <c r="G1228" s="30">
        <v>7.3675858301885997</v>
      </c>
      <c r="H1228" s="29">
        <v>0.19707343999999999</v>
      </c>
      <c r="I1228" s="29">
        <v>0.19707343999999999</v>
      </c>
      <c r="K1228">
        <f t="shared" si="38"/>
        <v>-3.3602563474305347E-3</v>
      </c>
      <c r="L1228">
        <f t="shared" si="39"/>
        <v>2.1678082863940185E-4</v>
      </c>
    </row>
    <row r="1229" spans="1:12" x14ac:dyDescent="0.3">
      <c r="A1229" s="31">
        <v>44356</v>
      </c>
      <c r="B1229" s="32">
        <v>0.19771833046641801</v>
      </c>
      <c r="C1229" s="32">
        <v>0.19775743073546001</v>
      </c>
      <c r="D1229" s="32">
        <v>0.19773789</v>
      </c>
      <c r="E1229" s="33">
        <v>-8.8763000000000004E-4</v>
      </c>
      <c r="F1229" s="33">
        <v>-0.44688618058746898</v>
      </c>
      <c r="G1229" s="33">
        <v>7.7295848514918699</v>
      </c>
      <c r="H1229" s="32">
        <v>0.19773789</v>
      </c>
      <c r="I1229" s="32">
        <v>0.19773789</v>
      </c>
      <c r="K1229">
        <f t="shared" si="38"/>
        <v>-4.468861805874691E-3</v>
      </c>
      <c r="L1229">
        <f t="shared" si="39"/>
        <v>1.9773786926722674E-4</v>
      </c>
    </row>
    <row r="1230" spans="1:12" x14ac:dyDescent="0.3">
      <c r="A1230" s="28">
        <v>44355</v>
      </c>
      <c r="B1230" s="29">
        <v>0.198601843025103</v>
      </c>
      <c r="C1230" s="29">
        <v>0.19864918553833899</v>
      </c>
      <c r="D1230" s="29">
        <v>0.19862552</v>
      </c>
      <c r="E1230" s="30">
        <v>7.1546000000000099E-4</v>
      </c>
      <c r="F1230" s="30">
        <v>0.36150764645315098</v>
      </c>
      <c r="G1230" s="30">
        <v>8.2131745742391402</v>
      </c>
      <c r="H1230" s="29">
        <v>0.19862552</v>
      </c>
      <c r="I1230" s="29">
        <v>0.19862552</v>
      </c>
      <c r="K1230">
        <f t="shared" si="38"/>
        <v>3.6150764645315192E-3</v>
      </c>
      <c r="L1230">
        <f t="shared" si="39"/>
        <v>2.3835060689073216E-4</v>
      </c>
    </row>
    <row r="1231" spans="1:12" x14ac:dyDescent="0.3">
      <c r="A1231" s="31">
        <v>44354</v>
      </c>
      <c r="B1231" s="32">
        <v>0.19789048740427001</v>
      </c>
      <c r="C1231" s="32">
        <v>0.19792965580032901</v>
      </c>
      <c r="D1231" s="32">
        <v>0.19791006</v>
      </c>
      <c r="E1231" s="33">
        <v>4.9616999999999001E-4</v>
      </c>
      <c r="F1231" s="33">
        <v>0.25133489847142199</v>
      </c>
      <c r="G1231" s="33">
        <v>7.8233847935458796</v>
      </c>
      <c r="H1231" s="32">
        <v>0.19791006</v>
      </c>
      <c r="I1231" s="32">
        <v>0.19791006</v>
      </c>
      <c r="K1231">
        <f t="shared" si="38"/>
        <v>2.5133489847142254E-3</v>
      </c>
      <c r="L1231">
        <f t="shared" si="39"/>
        <v>1.9791008127124639E-4</v>
      </c>
    </row>
    <row r="1232" spans="1:12" x14ac:dyDescent="0.3">
      <c r="A1232" s="28">
        <v>44351</v>
      </c>
      <c r="B1232" s="29">
        <v>0.197390497621445</v>
      </c>
      <c r="C1232" s="29">
        <v>0.197437264309266</v>
      </c>
      <c r="D1232" s="29">
        <v>0.19741389000000001</v>
      </c>
      <c r="E1232" s="30">
        <v>4.0449000000000702E-4</v>
      </c>
      <c r="F1232" s="30">
        <v>0.20531507633645399</v>
      </c>
      <c r="G1232" s="30">
        <v>7.5530664032982404</v>
      </c>
      <c r="H1232" s="29">
        <v>0.19741389000000001</v>
      </c>
      <c r="I1232" s="29">
        <v>0.19741389000000001</v>
      </c>
      <c r="K1232">
        <f t="shared" si="38"/>
        <v>2.0531507633645418E-3</v>
      </c>
      <c r="L1232">
        <f t="shared" si="39"/>
        <v>2.3689664299203183E-4</v>
      </c>
    </row>
    <row r="1233" spans="1:12" x14ac:dyDescent="0.3">
      <c r="A1233" s="31">
        <v>44350</v>
      </c>
      <c r="B1233" s="32">
        <v>0.19697059229057101</v>
      </c>
      <c r="C1233" s="32">
        <v>0.19704821769887099</v>
      </c>
      <c r="D1233" s="32">
        <v>0.1970094</v>
      </c>
      <c r="E1233" s="33">
        <v>6.6726000000000198E-4</v>
      </c>
      <c r="F1233" s="33">
        <v>0.339845536979477</v>
      </c>
      <c r="G1233" s="33">
        <v>7.3326961961691</v>
      </c>
      <c r="H1233" s="32">
        <v>0.1970094</v>
      </c>
      <c r="I1233" s="32">
        <v>0.1970094</v>
      </c>
      <c r="K1233">
        <f t="shared" si="38"/>
        <v>3.3984553697947728E-3</v>
      </c>
      <c r="L1233">
        <f t="shared" si="39"/>
        <v>3.9401880468634999E-4</v>
      </c>
    </row>
    <row r="1234" spans="1:12" x14ac:dyDescent="0.3">
      <c r="A1234" s="28">
        <v>44349</v>
      </c>
      <c r="B1234" s="29">
        <v>0.196309383588536</v>
      </c>
      <c r="C1234" s="29">
        <v>0.19637491899534601</v>
      </c>
      <c r="D1234" s="29">
        <v>0.19634214</v>
      </c>
      <c r="E1234" s="30">
        <v>2.3368999999999998E-3</v>
      </c>
      <c r="F1234" s="30">
        <v>1.2045550934603499</v>
      </c>
      <c r="G1234" s="30">
        <v>6.9691662586947603</v>
      </c>
      <c r="H1234" s="29">
        <v>0.19634214</v>
      </c>
      <c r="I1234" s="29">
        <v>0.19634214</v>
      </c>
      <c r="K1234">
        <f t="shared" si="38"/>
        <v>1.2045550934603577E-2</v>
      </c>
      <c r="L1234">
        <f t="shared" si="39"/>
        <v>3.3378166709402169E-4</v>
      </c>
    </row>
    <row r="1235" spans="1:12" x14ac:dyDescent="0.3">
      <c r="A1235" s="31">
        <v>44348</v>
      </c>
      <c r="B1235" s="32">
        <v>0.19398642095053301</v>
      </c>
      <c r="C1235" s="32">
        <v>0.19402405898331401</v>
      </c>
      <c r="D1235" s="32">
        <v>0.19400524</v>
      </c>
      <c r="E1235" s="33">
        <v>3.4582800000000002E-3</v>
      </c>
      <c r="F1235" s="33">
        <v>1.8149226836261301</v>
      </c>
      <c r="G1235" s="33">
        <v>5.6959997105969196</v>
      </c>
      <c r="H1235" s="32">
        <v>0.19400524</v>
      </c>
      <c r="I1235" s="32">
        <v>0.19400524</v>
      </c>
      <c r="K1235">
        <f t="shared" si="38"/>
        <v>1.8149226836261301E-2</v>
      </c>
      <c r="L1235">
        <f t="shared" si="39"/>
        <v>1.9400523811112852E-4</v>
      </c>
    </row>
    <row r="1236" spans="1:12" x14ac:dyDescent="0.3">
      <c r="A1236" s="28">
        <v>44347</v>
      </c>
      <c r="B1236" s="29">
        <v>0.190519737844841</v>
      </c>
      <c r="C1236" s="29">
        <v>0.190574200064795</v>
      </c>
      <c r="D1236" s="29">
        <v>0.19054695999999999</v>
      </c>
      <c r="E1236" s="30">
        <v>-9.59720000000025E-4</v>
      </c>
      <c r="F1236" s="30">
        <v>-0.50114178784783603</v>
      </c>
      <c r="G1236" s="30">
        <v>3.8118940963405001</v>
      </c>
      <c r="H1236" s="29">
        <v>0.19054695999999999</v>
      </c>
      <c r="I1236" s="29">
        <v>0.19054695999999999</v>
      </c>
      <c r="K1236">
        <f t="shared" si="38"/>
        <v>-5.0114178784783636E-3</v>
      </c>
      <c r="L1236">
        <f t="shared" si="39"/>
        <v>2.8582046102443504E-4</v>
      </c>
    </row>
    <row r="1237" spans="1:12" x14ac:dyDescent="0.3">
      <c r="A1237" s="31">
        <v>44344</v>
      </c>
      <c r="B1237" s="32">
        <v>0.19147917663954001</v>
      </c>
      <c r="C1237" s="32">
        <v>0.19153418885271001</v>
      </c>
      <c r="D1237" s="32">
        <v>0.19150668000000001</v>
      </c>
      <c r="E1237" s="33">
        <v>1.48291999999999E-3</v>
      </c>
      <c r="F1237" s="33">
        <v>0.78038662112569401</v>
      </c>
      <c r="G1237" s="33">
        <v>4.33475917381086</v>
      </c>
      <c r="H1237" s="32">
        <v>0.19150668000000001</v>
      </c>
      <c r="I1237" s="32">
        <v>0.19150668000000001</v>
      </c>
      <c r="K1237">
        <f t="shared" si="38"/>
        <v>7.803866211256949E-3</v>
      </c>
      <c r="L1237">
        <f t="shared" si="39"/>
        <v>2.8726002231359554E-4</v>
      </c>
    </row>
    <row r="1238" spans="1:12" x14ac:dyDescent="0.3">
      <c r="A1238" s="28">
        <v>44343</v>
      </c>
      <c r="B1238" s="29">
        <v>0.19001292087862001</v>
      </c>
      <c r="C1238" s="29">
        <v>0.19003458629470599</v>
      </c>
      <c r="D1238" s="29">
        <v>0.19002376000000001</v>
      </c>
      <c r="E1238" s="30">
        <v>1.5720700000000001E-3</v>
      </c>
      <c r="F1238" s="30">
        <v>0.83420318491174095</v>
      </c>
      <c r="G1238" s="30">
        <v>3.52684949110931</v>
      </c>
      <c r="H1238" s="29">
        <v>0.19002376000000001</v>
      </c>
      <c r="I1238" s="29">
        <v>0.19002376000000001</v>
      </c>
      <c r="K1238">
        <f t="shared" si="38"/>
        <v>8.342031849117415E-3</v>
      </c>
      <c r="L1238">
        <f t="shared" si="39"/>
        <v>1.1401424793391771E-4</v>
      </c>
    </row>
    <row r="1239" spans="1:12" x14ac:dyDescent="0.3">
      <c r="A1239" s="31">
        <v>44342</v>
      </c>
      <c r="B1239" s="32">
        <v>0.18841972377668501</v>
      </c>
      <c r="C1239" s="32">
        <v>0.188483649043445</v>
      </c>
      <c r="D1239" s="32">
        <v>0.18845169000000001</v>
      </c>
      <c r="E1239" s="33">
        <v>1.10040000000005E-4</v>
      </c>
      <c r="F1239" s="33">
        <v>5.8425738544820499E-2</v>
      </c>
      <c r="G1239" s="33">
        <v>2.6703699946532402</v>
      </c>
      <c r="H1239" s="32">
        <v>0.18845169000000001</v>
      </c>
      <c r="I1239" s="32">
        <v>0.18845169000000001</v>
      </c>
      <c r="K1239">
        <f t="shared" si="38"/>
        <v>5.8425738544820582E-4</v>
      </c>
      <c r="L1239">
        <f t="shared" si="39"/>
        <v>3.3921301931543005E-4</v>
      </c>
    </row>
    <row r="1240" spans="1:12" x14ac:dyDescent="0.3">
      <c r="A1240" s="28">
        <v>44341</v>
      </c>
      <c r="B1240" s="29">
        <v>0.188327463794045</v>
      </c>
      <c r="C1240" s="29">
        <v>0.188355841856435</v>
      </c>
      <c r="D1240" s="29">
        <v>0.18834165</v>
      </c>
      <c r="E1240" s="30">
        <v>1.82509999999996E-4</v>
      </c>
      <c r="F1240" s="30">
        <v>9.6997679730037506E-2</v>
      </c>
      <c r="G1240" s="30">
        <v>2.6104190994704402</v>
      </c>
      <c r="H1240" s="29">
        <v>0.18834165</v>
      </c>
      <c r="I1240" s="29">
        <v>0.18834165</v>
      </c>
      <c r="K1240">
        <f t="shared" si="38"/>
        <v>9.6997679730037589E-4</v>
      </c>
      <c r="L1240">
        <f t="shared" si="39"/>
        <v>1.506733236647624E-4</v>
      </c>
    </row>
    <row r="1241" spans="1:12" x14ac:dyDescent="0.3">
      <c r="A1241" s="31">
        <v>44340</v>
      </c>
      <c r="B1241" s="32">
        <v>0.188136135307509</v>
      </c>
      <c r="C1241" s="32">
        <v>0.188182160331201</v>
      </c>
      <c r="D1241" s="32">
        <v>0.18815914</v>
      </c>
      <c r="E1241" s="33">
        <v>-1.13360000000006E-4</v>
      </c>
      <c r="F1241" s="33">
        <v>-6.0210598998799901E-2</v>
      </c>
      <c r="G1241" s="33">
        <v>2.5109858217549399</v>
      </c>
      <c r="H1241" s="32">
        <v>0.18815914</v>
      </c>
      <c r="I1241" s="32">
        <v>0.18815914</v>
      </c>
      <c r="K1241">
        <f t="shared" si="38"/>
        <v>-6.0210598998799991E-4</v>
      </c>
      <c r="L1241">
        <f t="shared" si="39"/>
        <v>2.4460689867097555E-4</v>
      </c>
    </row>
    <row r="1242" spans="1:12" x14ac:dyDescent="0.3">
      <c r="A1242" s="28">
        <v>44337</v>
      </c>
      <c r="B1242" s="29">
        <v>0.188253012048193</v>
      </c>
      <c r="C1242" s="29">
        <v>0.188292003238622</v>
      </c>
      <c r="D1242" s="29">
        <v>0.18827250000000001</v>
      </c>
      <c r="E1242" s="30">
        <v>-6.72329999999998E-4</v>
      </c>
      <c r="F1242" s="30">
        <v>-0.35583402837748801</v>
      </c>
      <c r="G1242" s="30">
        <v>2.5727454862217098</v>
      </c>
      <c r="H1242" s="29">
        <v>0.18827250000000001</v>
      </c>
      <c r="I1242" s="29">
        <v>0.18827250000000001</v>
      </c>
      <c r="K1242">
        <f t="shared" si="38"/>
        <v>-3.5583402837748856E-3</v>
      </c>
      <c r="L1242">
        <f t="shared" si="39"/>
        <v>2.0709976459118632E-4</v>
      </c>
    </row>
    <row r="1243" spans="1:12" x14ac:dyDescent="0.3">
      <c r="A1243" s="31">
        <v>44336</v>
      </c>
      <c r="B1243" s="32">
        <v>0.188910928497214</v>
      </c>
      <c r="C1243" s="32">
        <v>0.188978758787512</v>
      </c>
      <c r="D1243" s="32">
        <v>0.18894483000000001</v>
      </c>
      <c r="E1243" s="33">
        <v>3.74700000000116E-5</v>
      </c>
      <c r="F1243" s="33">
        <v>1.9835119182243201E-2</v>
      </c>
      <c r="G1243" s="33">
        <v>2.9390376105242599</v>
      </c>
      <c r="H1243" s="32">
        <v>0.18894483000000001</v>
      </c>
      <c r="I1243" s="32">
        <v>0.18894483000000001</v>
      </c>
      <c r="K1243">
        <f t="shared" si="38"/>
        <v>1.9835119182243233E-4</v>
      </c>
      <c r="L1243">
        <f t="shared" si="39"/>
        <v>3.5899521727055883E-4</v>
      </c>
    </row>
    <row r="1244" spans="1:12" x14ac:dyDescent="0.3">
      <c r="A1244" s="28">
        <v>44335</v>
      </c>
      <c r="B1244" s="29">
        <v>0.18887881535206999</v>
      </c>
      <c r="C1244" s="29">
        <v>0.18893591293833101</v>
      </c>
      <c r="D1244" s="29">
        <v>0.18890736</v>
      </c>
      <c r="E1244" s="30">
        <v>-1.10556E-3</v>
      </c>
      <c r="F1244" s="30">
        <v>-0.58183411949039798</v>
      </c>
      <c r="G1244" s="30">
        <v>2.9186235788766699</v>
      </c>
      <c r="H1244" s="29">
        <v>0.18890736</v>
      </c>
      <c r="I1244" s="29">
        <v>0.18890736</v>
      </c>
      <c r="K1244">
        <f t="shared" si="38"/>
        <v>-5.8183411949039865E-3</v>
      </c>
      <c r="L1244">
        <f t="shared" si="39"/>
        <v>3.022517823605068E-4</v>
      </c>
    </row>
    <row r="1245" spans="1:12" x14ac:dyDescent="0.3">
      <c r="A1245" s="31">
        <v>44334</v>
      </c>
      <c r="B1245" s="32">
        <v>0.18998404134052699</v>
      </c>
      <c r="C1245" s="32">
        <v>0.19004180919802399</v>
      </c>
      <c r="D1245" s="32">
        <v>0.19001292</v>
      </c>
      <c r="E1245" s="33">
        <v>-2.4402000000001099E-4</v>
      </c>
      <c r="F1245" s="33">
        <v>-0.12825813344838899</v>
      </c>
      <c r="G1245" s="33">
        <v>3.5209437504351699</v>
      </c>
      <c r="H1245" s="32">
        <v>0.19001292</v>
      </c>
      <c r="I1245" s="32">
        <v>0.19001292</v>
      </c>
      <c r="K1245">
        <f t="shared" si="38"/>
        <v>-1.2825813344838899E-3</v>
      </c>
      <c r="L1245">
        <f t="shared" si="39"/>
        <v>3.0402068184102532E-4</v>
      </c>
    </row>
    <row r="1246" spans="1:12" x14ac:dyDescent="0.3">
      <c r="A1246" s="28">
        <v>44333</v>
      </c>
      <c r="B1246" s="29">
        <v>0.19022979759549499</v>
      </c>
      <c r="C1246" s="29">
        <v>0.19028409415257</v>
      </c>
      <c r="D1246" s="29">
        <v>0.19025694000000001</v>
      </c>
      <c r="E1246" s="30">
        <v>2.8733000000000198E-4</v>
      </c>
      <c r="F1246" s="30">
        <v>0.15125050791018299</v>
      </c>
      <c r="G1246" s="30">
        <v>3.6538882928062</v>
      </c>
      <c r="H1246" s="29">
        <v>0.19025694000000001</v>
      </c>
      <c r="I1246" s="29">
        <v>0.19025694000000001</v>
      </c>
      <c r="K1246">
        <f t="shared" si="38"/>
        <v>1.5125050791018335E-3</v>
      </c>
      <c r="L1246">
        <f t="shared" si="39"/>
        <v>2.8538542181434466E-4</v>
      </c>
    </row>
    <row r="1247" spans="1:12" x14ac:dyDescent="0.3">
      <c r="A1247" s="31">
        <v>44330</v>
      </c>
      <c r="B1247" s="32">
        <v>0.18994434630653201</v>
      </c>
      <c r="C1247" s="32">
        <v>0.18999487013850599</v>
      </c>
      <c r="D1247" s="32">
        <v>0.18996961000000001</v>
      </c>
      <c r="E1247" s="33">
        <v>5.7925000000000305E-4</v>
      </c>
      <c r="F1247" s="33">
        <v>0.30584978031617999</v>
      </c>
      <c r="G1247" s="33">
        <v>3.4973480282399101</v>
      </c>
      <c r="H1247" s="32">
        <v>0.18996961000000001</v>
      </c>
      <c r="I1247" s="32">
        <v>0.18996961000000001</v>
      </c>
      <c r="K1247">
        <f t="shared" si="38"/>
        <v>3.0584978031618082E-3</v>
      </c>
      <c r="L1247">
        <f t="shared" si="39"/>
        <v>2.6595744431957542E-4</v>
      </c>
    </row>
    <row r="1248" spans="1:12" x14ac:dyDescent="0.3">
      <c r="A1248" s="28">
        <v>44329</v>
      </c>
      <c r="B1248" s="29">
        <v>0.18935807612194699</v>
      </c>
      <c r="C1248" s="29">
        <v>0.189422639793908</v>
      </c>
      <c r="D1248" s="29">
        <v>0.18939036000000001</v>
      </c>
      <c r="E1248" s="30">
        <v>-1.59877999999999E-3</v>
      </c>
      <c r="F1248" s="30">
        <v>-0.83710518828452596</v>
      </c>
      <c r="G1248" s="30">
        <v>3.18176682109126</v>
      </c>
      <c r="H1248" s="29">
        <v>0.18939036000000001</v>
      </c>
      <c r="I1248" s="29">
        <v>0.18939036000000001</v>
      </c>
      <c r="K1248">
        <f t="shared" si="38"/>
        <v>-8.3710518828452596E-3</v>
      </c>
      <c r="L1248">
        <f t="shared" si="39"/>
        <v>3.4090263074110168E-4</v>
      </c>
    </row>
    <row r="1249" spans="1:12" x14ac:dyDescent="0.3">
      <c r="A1249" s="31">
        <v>44328</v>
      </c>
      <c r="B1249" s="32">
        <v>0.19095266283488299</v>
      </c>
      <c r="C1249" s="32">
        <v>0.191025616535177</v>
      </c>
      <c r="D1249" s="32">
        <v>0.19098914</v>
      </c>
      <c r="E1249" s="33">
        <v>8.2050000000000097E-5</v>
      </c>
      <c r="F1249" s="33">
        <v>4.29790218896553E-2</v>
      </c>
      <c r="G1249" s="33">
        <v>4.0527981933227899</v>
      </c>
      <c r="H1249" s="32">
        <v>0.19098914</v>
      </c>
      <c r="I1249" s="32">
        <v>0.19098914</v>
      </c>
      <c r="K1249">
        <f t="shared" si="38"/>
        <v>4.29790218896553E-4</v>
      </c>
      <c r="L1249">
        <f t="shared" si="39"/>
        <v>3.8197826480607192E-4</v>
      </c>
    </row>
    <row r="1250" spans="1:12" x14ac:dyDescent="0.3">
      <c r="A1250" s="28">
        <v>44327</v>
      </c>
      <c r="B1250" s="29">
        <v>0.19088705213125401</v>
      </c>
      <c r="C1250" s="29">
        <v>0.19092714220253601</v>
      </c>
      <c r="D1250" s="29">
        <v>0.19090709</v>
      </c>
      <c r="E1250" s="30">
        <v>-7.4455000000001005E-4</v>
      </c>
      <c r="F1250" s="30">
        <v>-0.38849132728527802</v>
      </c>
      <c r="G1250" s="30">
        <v>4.0080965307478298</v>
      </c>
      <c r="H1250" s="29">
        <v>0.19090709</v>
      </c>
      <c r="I1250" s="29">
        <v>0.19090709</v>
      </c>
      <c r="K1250">
        <f t="shared" si="38"/>
        <v>-3.8849132728527858E-3</v>
      </c>
      <c r="L1250">
        <f t="shared" si="39"/>
        <v>2.0999781245421899E-4</v>
      </c>
    </row>
    <row r="1251" spans="1:12" x14ac:dyDescent="0.3">
      <c r="A1251" s="31">
        <v>44326</v>
      </c>
      <c r="B1251" s="32">
        <v>0.191614930635395</v>
      </c>
      <c r="C1251" s="32">
        <v>0.19168839135102</v>
      </c>
      <c r="D1251" s="32">
        <v>0.19165164000000001</v>
      </c>
      <c r="E1251" s="33">
        <v>-3.84629999999996E-4</v>
      </c>
      <c r="F1251" s="33">
        <v>-0.200290288912607</v>
      </c>
      <c r="G1251" s="33">
        <v>4.4137348350767498</v>
      </c>
      <c r="H1251" s="32">
        <v>0.19165164000000001</v>
      </c>
      <c r="I1251" s="32">
        <v>0.19165164000000001</v>
      </c>
      <c r="K1251">
        <f t="shared" si="38"/>
        <v>-2.0029028891260792E-3</v>
      </c>
      <c r="L1251">
        <f t="shared" si="39"/>
        <v>3.833033498956811E-4</v>
      </c>
    </row>
    <row r="1252" spans="1:12" x14ac:dyDescent="0.3">
      <c r="A1252" s="28">
        <v>44323</v>
      </c>
      <c r="B1252" s="29">
        <v>0.19200860198536901</v>
      </c>
      <c r="C1252" s="29">
        <v>0.19206391887220101</v>
      </c>
      <c r="D1252" s="29">
        <v>0.19203627000000001</v>
      </c>
      <c r="E1252" s="30">
        <v>1.92040000000001E-3</v>
      </c>
      <c r="F1252" s="30">
        <v>1.01012082789302</v>
      </c>
      <c r="G1252" s="30">
        <v>4.62328511510366</v>
      </c>
      <c r="H1252" s="29">
        <v>0.19203627000000001</v>
      </c>
      <c r="I1252" s="29">
        <v>0.19203627000000001</v>
      </c>
      <c r="K1252">
        <f t="shared" si="38"/>
        <v>1.010120827893024E-2</v>
      </c>
      <c r="L1252">
        <f t="shared" si="39"/>
        <v>2.8805437031242286E-4</v>
      </c>
    </row>
    <row r="1253" spans="1:12" x14ac:dyDescent="0.3">
      <c r="A1253" s="31">
        <v>44322</v>
      </c>
      <c r="B1253" s="32">
        <v>0.190092384899061</v>
      </c>
      <c r="C1253" s="32">
        <v>0.19013937215979301</v>
      </c>
      <c r="D1253" s="32">
        <v>0.19011586999999999</v>
      </c>
      <c r="E1253" s="33">
        <v>4.4923999999999797E-3</v>
      </c>
      <c r="F1253" s="33">
        <v>2.4201680962003098</v>
      </c>
      <c r="G1253" s="33">
        <v>3.5770319425386701</v>
      </c>
      <c r="H1253" s="32">
        <v>0.19011586999999999</v>
      </c>
      <c r="I1253" s="32">
        <v>0.19011586999999999</v>
      </c>
      <c r="K1253">
        <f t="shared" si="38"/>
        <v>2.4201680962003147E-2</v>
      </c>
      <c r="L1253">
        <f t="shared" si="39"/>
        <v>2.4715064940142897E-4</v>
      </c>
    </row>
    <row r="1254" spans="1:12" x14ac:dyDescent="0.3">
      <c r="A1254" s="28">
        <v>44321</v>
      </c>
      <c r="B1254" s="29">
        <v>0.185587290982314</v>
      </c>
      <c r="C1254" s="29">
        <v>0.18565964873194499</v>
      </c>
      <c r="D1254" s="29">
        <v>0.18562347000000001</v>
      </c>
      <c r="E1254" s="30">
        <v>2.4430800000000098E-3</v>
      </c>
      <c r="F1254" s="30">
        <v>1.33370171337663</v>
      </c>
      <c r="G1254" s="30">
        <v>1.1295273849304099</v>
      </c>
      <c r="H1254" s="29">
        <v>0.18562347000000001</v>
      </c>
      <c r="I1254" s="29">
        <v>0.18562347000000001</v>
      </c>
      <c r="K1254">
        <f t="shared" si="38"/>
        <v>1.3337017133766338E-2</v>
      </c>
      <c r="L1254">
        <f t="shared" si="39"/>
        <v>3.8980927159152495E-4</v>
      </c>
    </row>
    <row r="1255" spans="1:12" x14ac:dyDescent="0.3">
      <c r="A1255" s="31">
        <v>44320</v>
      </c>
      <c r="B1255" s="32">
        <v>0.18316024690001301</v>
      </c>
      <c r="C1255" s="32">
        <v>0.183200512961436</v>
      </c>
      <c r="D1255" s="32">
        <v>0.18318039</v>
      </c>
      <c r="E1255" s="33">
        <v>-1.9482200000000001E-3</v>
      </c>
      <c r="F1255" s="33">
        <v>-1.05236030238654</v>
      </c>
      <c r="G1255" s="33">
        <v>-0.20148709165262099</v>
      </c>
      <c r="H1255" s="32">
        <v>0.18318039</v>
      </c>
      <c r="I1255" s="32">
        <v>0.18318039</v>
      </c>
      <c r="K1255">
        <f t="shared" si="38"/>
        <v>-1.0523603023865458E-2</v>
      </c>
      <c r="L1255">
        <f t="shared" si="39"/>
        <v>2.1981644117576577E-4</v>
      </c>
    </row>
    <row r="1256" spans="1:12" x14ac:dyDescent="0.3">
      <c r="A1256" s="28">
        <v>44319</v>
      </c>
      <c r="B1256" s="29">
        <v>0.185109770093666</v>
      </c>
      <c r="C1256" s="29">
        <v>0.18514746995982301</v>
      </c>
      <c r="D1256" s="29">
        <v>0.18512861</v>
      </c>
      <c r="E1256" s="30">
        <v>8.0531000000000298E-4</v>
      </c>
      <c r="F1256" s="30">
        <v>0.43690081503531197</v>
      </c>
      <c r="G1256" s="30">
        <v>0.85992269581589798</v>
      </c>
      <c r="H1256" s="29">
        <v>0.18512861</v>
      </c>
      <c r="I1256" s="29">
        <v>0.18512861</v>
      </c>
      <c r="K1256">
        <f t="shared" si="38"/>
        <v>4.3690081503531264E-3</v>
      </c>
      <c r="L1256">
        <f t="shared" si="39"/>
        <v>2.0364149094518333E-4</v>
      </c>
    </row>
    <row r="1257" spans="1:12" x14ac:dyDescent="0.3">
      <c r="A1257" s="31">
        <v>44316</v>
      </c>
      <c r="B1257" s="32">
        <v>0.18430461867374401</v>
      </c>
      <c r="C1257" s="32">
        <v>0.18434199126219</v>
      </c>
      <c r="D1257" s="32">
        <v>0.1843233</v>
      </c>
      <c r="E1257" s="33">
        <v>-2.44421999999999E-3</v>
      </c>
      <c r="F1257" s="33">
        <v>-1.30869650140452</v>
      </c>
      <c r="G1257" s="33">
        <v>0.421181734350418</v>
      </c>
      <c r="H1257" s="32">
        <v>0.1843233</v>
      </c>
      <c r="I1257" s="32">
        <v>0.1843233</v>
      </c>
      <c r="K1257">
        <f t="shared" si="38"/>
        <v>-1.3086965014045271E-2</v>
      </c>
      <c r="L1257">
        <f t="shared" si="39"/>
        <v>2.0275563884757986E-4</v>
      </c>
    </row>
    <row r="1258" spans="1:12" x14ac:dyDescent="0.3">
      <c r="A1258" s="28">
        <v>44315</v>
      </c>
      <c r="B1258" s="29">
        <v>0.18674485051074699</v>
      </c>
      <c r="C1258" s="29">
        <v>0.18679019725044799</v>
      </c>
      <c r="D1258" s="29">
        <v>0.18676751999999999</v>
      </c>
      <c r="E1258" s="30">
        <v>1.81865999999999E-3</v>
      </c>
      <c r="F1258" s="30">
        <v>0.98333128411820503</v>
      </c>
      <c r="G1258" s="30">
        <v>1.75281729436227</v>
      </c>
      <c r="H1258" s="29">
        <v>0.18676751999999999</v>
      </c>
      <c r="I1258" s="29">
        <v>0.18676751999999999</v>
      </c>
      <c r="K1258">
        <f t="shared" si="38"/>
        <v>9.8333128411820514E-3</v>
      </c>
      <c r="L1258">
        <f t="shared" si="39"/>
        <v>2.4279778251055947E-4</v>
      </c>
    </row>
    <row r="1259" spans="1:12" x14ac:dyDescent="0.3">
      <c r="A1259" s="31">
        <v>44314</v>
      </c>
      <c r="B1259" s="32">
        <v>0.18492150082290101</v>
      </c>
      <c r="C1259" s="32">
        <v>0.18497623055437401</v>
      </c>
      <c r="D1259" s="32">
        <v>0.18494885999999999</v>
      </c>
      <c r="E1259" s="33">
        <v>1.1016699999999899E-3</v>
      </c>
      <c r="F1259" s="33">
        <v>0.59923135077559697</v>
      </c>
      <c r="G1259" s="33">
        <v>0.76199309377019897</v>
      </c>
      <c r="H1259" s="32">
        <v>0.18494885999999999</v>
      </c>
      <c r="I1259" s="32">
        <v>0.18494885999999999</v>
      </c>
      <c r="K1259">
        <f t="shared" si="38"/>
        <v>5.9923135077559753E-3</v>
      </c>
      <c r="L1259">
        <f t="shared" si="39"/>
        <v>2.9591818772495623E-4</v>
      </c>
    </row>
    <row r="1260" spans="1:12" x14ac:dyDescent="0.3">
      <c r="A1260" s="28">
        <v>44313</v>
      </c>
      <c r="B1260" s="29">
        <v>0.18382690858287801</v>
      </c>
      <c r="C1260" s="29">
        <v>0.183867468328829</v>
      </c>
      <c r="D1260" s="29">
        <v>0.18384718999999999</v>
      </c>
      <c r="E1260" s="30">
        <v>4.9889000000000096E-4</v>
      </c>
      <c r="F1260" s="30">
        <v>0.27209960495953001</v>
      </c>
      <c r="G1260" s="30">
        <v>0.16179223321007599</v>
      </c>
      <c r="H1260" s="29">
        <v>0.18384718999999999</v>
      </c>
      <c r="I1260" s="29">
        <v>0.18384718999999999</v>
      </c>
      <c r="K1260">
        <f t="shared" si="38"/>
        <v>2.7209960495953034E-3</v>
      </c>
      <c r="L1260">
        <f t="shared" si="39"/>
        <v>2.2061662161380324E-4</v>
      </c>
    </row>
    <row r="1261" spans="1:12" x14ac:dyDescent="0.3">
      <c r="A1261" s="31">
        <v>44312</v>
      </c>
      <c r="B1261" s="32">
        <v>0.18332813903606099</v>
      </c>
      <c r="C1261" s="32">
        <v>0.183368478958467</v>
      </c>
      <c r="D1261" s="32">
        <v>0.18334829999999999</v>
      </c>
      <c r="E1261" s="33">
        <v>1.06113999999998E-3</v>
      </c>
      <c r="F1261" s="33">
        <v>0.58212547718665597</v>
      </c>
      <c r="G1261" s="33">
        <v>-0.11000804030635</v>
      </c>
      <c r="H1261" s="32">
        <v>0.18334829999999999</v>
      </c>
      <c r="I1261" s="32">
        <v>0.18334829999999999</v>
      </c>
      <c r="K1261">
        <f t="shared" si="38"/>
        <v>5.8212547718665686E-3</v>
      </c>
      <c r="L1261">
        <f t="shared" si="39"/>
        <v>2.2001797892870034E-4</v>
      </c>
    </row>
    <row r="1262" spans="1:12" x14ac:dyDescent="0.3">
      <c r="A1262" s="28">
        <v>44309</v>
      </c>
      <c r="B1262" s="29">
        <v>0.18226223890934301</v>
      </c>
      <c r="C1262" s="29">
        <v>0.182312081821662</v>
      </c>
      <c r="D1262" s="29">
        <v>0.18228716</v>
      </c>
      <c r="E1262" s="30">
        <v>3.8961000000001201E-4</v>
      </c>
      <c r="F1262" s="30">
        <v>0.21419199983727599</v>
      </c>
      <c r="G1262" s="30">
        <v>-0.68812775054150399</v>
      </c>
      <c r="H1262" s="29">
        <v>0.18228716</v>
      </c>
      <c r="I1262" s="29">
        <v>0.18228716</v>
      </c>
      <c r="K1262">
        <f t="shared" si="38"/>
        <v>2.1419199983727655E-3</v>
      </c>
      <c r="L1262">
        <f t="shared" si="39"/>
        <v>2.7343073598267982E-4</v>
      </c>
    </row>
    <row r="1263" spans="1:12" x14ac:dyDescent="0.3">
      <c r="A1263" s="31">
        <v>44308</v>
      </c>
      <c r="B1263" s="32">
        <v>0.181864474593533</v>
      </c>
      <c r="C1263" s="32">
        <v>0.18193064803696801</v>
      </c>
      <c r="D1263" s="32">
        <v>0.18189754999999999</v>
      </c>
      <c r="E1263" s="33">
        <v>2.2950199999999801E-3</v>
      </c>
      <c r="F1263" s="33">
        <v>1.2778327788589501</v>
      </c>
      <c r="G1263" s="33">
        <v>-0.90039118449435496</v>
      </c>
      <c r="H1263" s="32">
        <v>0.18189754999999999</v>
      </c>
      <c r="I1263" s="32">
        <v>0.18189754999999999</v>
      </c>
      <c r="K1263">
        <f t="shared" si="38"/>
        <v>1.2778327788589561E-2</v>
      </c>
      <c r="L1263">
        <f t="shared" si="39"/>
        <v>3.6379513322204525E-4</v>
      </c>
    </row>
    <row r="1264" spans="1:12" x14ac:dyDescent="0.3">
      <c r="A1264" s="28">
        <v>44307</v>
      </c>
      <c r="B1264" s="29">
        <v>0.17955900308841499</v>
      </c>
      <c r="C1264" s="29">
        <v>0.17964609718853899</v>
      </c>
      <c r="D1264" s="29">
        <v>0.17960253000000001</v>
      </c>
      <c r="E1264" s="30">
        <v>-1.8560299999999801E-3</v>
      </c>
      <c r="F1264" s="30">
        <v>-1.0228395948915201</v>
      </c>
      <c r="G1264" s="30">
        <v>-2.15074108873308</v>
      </c>
      <c r="H1264" s="29">
        <v>0.17960253000000001</v>
      </c>
      <c r="I1264" s="29">
        <v>0.17960253000000001</v>
      </c>
      <c r="K1264">
        <f t="shared" si="38"/>
        <v>-1.0228395948915225E-2</v>
      </c>
      <c r="L1264">
        <f t="shared" si="39"/>
        <v>4.8492691124118461E-4</v>
      </c>
    </row>
    <row r="1265" spans="1:12" x14ac:dyDescent="0.3">
      <c r="A1265" s="31">
        <v>44306</v>
      </c>
      <c r="B1265" s="32">
        <v>0.181432225991981</v>
      </c>
      <c r="C1265" s="32">
        <v>0.181484909529773</v>
      </c>
      <c r="D1265" s="32">
        <v>0.18145855999999999</v>
      </c>
      <c r="E1265" s="33">
        <v>1.28323999999999E-3</v>
      </c>
      <c r="F1265" s="33">
        <v>0.71221741135245598</v>
      </c>
      <c r="G1265" s="33">
        <v>-1.13955733749597</v>
      </c>
      <c r="H1265" s="32">
        <v>0.18145855999999999</v>
      </c>
      <c r="I1265" s="32">
        <v>0.18145855999999999</v>
      </c>
      <c r="K1265">
        <f t="shared" si="38"/>
        <v>7.1221741135245598E-3</v>
      </c>
      <c r="L1265">
        <f t="shared" si="39"/>
        <v>2.9033371471703066E-4</v>
      </c>
    </row>
    <row r="1266" spans="1:12" x14ac:dyDescent="0.3">
      <c r="A1266" s="28">
        <v>44305</v>
      </c>
      <c r="B1266" s="29">
        <v>0.18015096650993501</v>
      </c>
      <c r="C1266" s="29">
        <v>0.18019966122463699</v>
      </c>
      <c r="D1266" s="29">
        <v>0.18017532</v>
      </c>
      <c r="E1266" s="30">
        <v>2.2852699999999998E-3</v>
      </c>
      <c r="F1266" s="30">
        <v>1.28465307643681</v>
      </c>
      <c r="G1266" s="30">
        <v>-1.8386793543478099</v>
      </c>
      <c r="H1266" s="29">
        <v>0.18017532</v>
      </c>
      <c r="I1266" s="29">
        <v>0.18017532</v>
      </c>
      <c r="K1266">
        <f t="shared" si="38"/>
        <v>1.2846530764368147E-2</v>
      </c>
      <c r="L1266">
        <f t="shared" si="39"/>
        <v>2.7026295666898249E-4</v>
      </c>
    </row>
    <row r="1267" spans="1:12" x14ac:dyDescent="0.3">
      <c r="A1267" s="31">
        <v>44302</v>
      </c>
      <c r="B1267" s="32">
        <v>0.17786947937603401</v>
      </c>
      <c r="C1267" s="32">
        <v>0.17791061770566499</v>
      </c>
      <c r="D1267" s="32">
        <v>0.17789004999999999</v>
      </c>
      <c r="E1267" s="33">
        <v>2.3386000000000199E-4</v>
      </c>
      <c r="F1267" s="33">
        <v>0.131636280165636</v>
      </c>
      <c r="G1267" s="33">
        <v>-3.0837173608399802</v>
      </c>
      <c r="H1267" s="32">
        <v>0.17789004999999999</v>
      </c>
      <c r="I1267" s="32">
        <v>0.17789004999999999</v>
      </c>
      <c r="K1267">
        <f t="shared" si="38"/>
        <v>1.3163628016563678E-3</v>
      </c>
      <c r="L1267">
        <f t="shared" si="39"/>
        <v>2.312570581153094E-4</v>
      </c>
    </row>
    <row r="1268" spans="1:12" x14ac:dyDescent="0.3">
      <c r="A1268" s="28">
        <v>44301</v>
      </c>
      <c r="B1268" s="29">
        <v>0.177638824741536</v>
      </c>
      <c r="C1268" s="29">
        <v>0.177673542632767</v>
      </c>
      <c r="D1268" s="29">
        <v>0.17765618999999999</v>
      </c>
      <c r="E1268" s="30">
        <v>1.6742199999999999E-3</v>
      </c>
      <c r="F1268" s="30">
        <v>0.95135882386132498</v>
      </c>
      <c r="G1268" s="30">
        <v>-3.2111266333540698</v>
      </c>
      <c r="H1268" s="29">
        <v>0.17765618999999999</v>
      </c>
      <c r="I1268" s="29">
        <v>0.17765618999999999</v>
      </c>
      <c r="K1268">
        <f t="shared" si="38"/>
        <v>9.5135882386132575E-3</v>
      </c>
      <c r="L1268">
        <f t="shared" si="39"/>
        <v>1.9542179324568052E-4</v>
      </c>
    </row>
    <row r="1269" spans="1:12" x14ac:dyDescent="0.3">
      <c r="A1269" s="31">
        <v>44300</v>
      </c>
      <c r="B1269" s="32">
        <v>0.17596339961288099</v>
      </c>
      <c r="C1269" s="32">
        <v>0.17600056320180199</v>
      </c>
      <c r="D1269" s="32">
        <v>0.17598196999999999</v>
      </c>
      <c r="E1269" s="33">
        <v>1.17971E-3</v>
      </c>
      <c r="F1269" s="33">
        <v>0.67488257874925806</v>
      </c>
      <c r="G1269" s="33">
        <v>-4.1232584738934097</v>
      </c>
      <c r="H1269" s="32">
        <v>0.17598196999999999</v>
      </c>
      <c r="I1269" s="32">
        <v>0.17598196999999999</v>
      </c>
      <c r="K1269">
        <f t="shared" si="38"/>
        <v>6.748825787492585E-3</v>
      </c>
      <c r="L1269">
        <f t="shared" si="39"/>
        <v>2.1117838901906841E-4</v>
      </c>
    </row>
    <row r="1270" spans="1:12" x14ac:dyDescent="0.3">
      <c r="A1270" s="28">
        <v>44299</v>
      </c>
      <c r="B1270" s="29">
        <v>0.174779341081884</v>
      </c>
      <c r="C1270" s="29">
        <v>0.17482517482517501</v>
      </c>
      <c r="D1270" s="29">
        <v>0.17480225999999999</v>
      </c>
      <c r="E1270" s="30">
        <v>-1.8356100000000101E-3</v>
      </c>
      <c r="F1270" s="30">
        <v>-1.0391939169103499</v>
      </c>
      <c r="G1270" s="30">
        <v>-4.7659763088270797</v>
      </c>
      <c r="H1270" s="29">
        <v>0.17480225999999999</v>
      </c>
      <c r="I1270" s="29">
        <v>0.17480225999999999</v>
      </c>
      <c r="K1270">
        <f t="shared" si="38"/>
        <v>-1.0391939169103526E-2</v>
      </c>
      <c r="L1270">
        <f t="shared" si="39"/>
        <v>2.6220337935566279E-4</v>
      </c>
    </row>
    <row r="1271" spans="1:12" x14ac:dyDescent="0.3">
      <c r="A1271" s="31">
        <v>44298</v>
      </c>
      <c r="B1271" s="32">
        <v>0.17661291746878399</v>
      </c>
      <c r="C1271" s="32">
        <v>0.176662838971822</v>
      </c>
      <c r="D1271" s="32">
        <v>0.17663787</v>
      </c>
      <c r="E1271" s="33">
        <v>-5.9796000000000805E-4</v>
      </c>
      <c r="F1271" s="33">
        <v>-0.337380991191227</v>
      </c>
      <c r="G1271" s="33">
        <v>-3.7659175783063499</v>
      </c>
      <c r="H1271" s="32">
        <v>0.17663787</v>
      </c>
      <c r="I1271" s="32">
        <v>0.17663787</v>
      </c>
      <c r="K1271">
        <f t="shared" si="38"/>
        <v>-3.3738099119122733E-3</v>
      </c>
      <c r="L1271">
        <f t="shared" si="39"/>
        <v>2.8262061265802438E-4</v>
      </c>
    </row>
    <row r="1272" spans="1:12" x14ac:dyDescent="0.3">
      <c r="A1272" s="28">
        <v>44295</v>
      </c>
      <c r="B1272" s="29">
        <v>0.177204423022399</v>
      </c>
      <c r="C1272" s="29">
        <v>0.17726724810323999</v>
      </c>
      <c r="D1272" s="29">
        <v>0.17723583000000001</v>
      </c>
      <c r="E1272" s="30">
        <v>-1.8328400000000001E-3</v>
      </c>
      <c r="F1272" s="30">
        <v>-1.02354029881386</v>
      </c>
      <c r="G1272" s="30">
        <v>-3.4401429755845401</v>
      </c>
      <c r="H1272" s="29">
        <v>0.17723583000000001</v>
      </c>
      <c r="I1272" s="29">
        <v>0.17723583000000001</v>
      </c>
      <c r="K1272">
        <f t="shared" si="38"/>
        <v>-1.0235402988138631E-2</v>
      </c>
      <c r="L1272">
        <f t="shared" si="39"/>
        <v>3.5447167111181269E-4</v>
      </c>
    </row>
    <row r="1273" spans="1:12" x14ac:dyDescent="0.3">
      <c r="A1273" s="31">
        <v>44294</v>
      </c>
      <c r="B1273" s="32">
        <v>0.179047823673703</v>
      </c>
      <c r="C1273" s="32">
        <v>0.179089508936566</v>
      </c>
      <c r="D1273" s="32">
        <v>0.17906867000000001</v>
      </c>
      <c r="E1273" s="33">
        <v>-8.0200999999999103E-4</v>
      </c>
      <c r="F1273" s="33">
        <v>-0.445881452163299</v>
      </c>
      <c r="G1273" s="33">
        <v>-2.44159336883386</v>
      </c>
      <c r="H1273" s="32">
        <v>0.17906867000000001</v>
      </c>
      <c r="I1273" s="32">
        <v>0.17906867000000001</v>
      </c>
      <c r="K1273">
        <f t="shared" si="38"/>
        <v>-4.4588145216329922E-3</v>
      </c>
      <c r="L1273">
        <f t="shared" si="39"/>
        <v>2.3278925823816581E-4</v>
      </c>
    </row>
    <row r="1274" spans="1:12" x14ac:dyDescent="0.3">
      <c r="A1274" s="28">
        <v>44293</v>
      </c>
      <c r="B1274" s="29">
        <v>0.17983347420288801</v>
      </c>
      <c r="C1274" s="29">
        <v>0.179907887161773</v>
      </c>
      <c r="D1274" s="29">
        <v>0.17987068000000001</v>
      </c>
      <c r="E1274" s="30">
        <v>1.75884000000001E-3</v>
      </c>
      <c r="F1274" s="30">
        <v>0.98749190396327702</v>
      </c>
      <c r="G1274" s="30">
        <v>-2.0046502804518398</v>
      </c>
      <c r="H1274" s="29">
        <v>0.17987068000000001</v>
      </c>
      <c r="I1274" s="29">
        <v>0.17987068000000001</v>
      </c>
      <c r="K1274">
        <f t="shared" si="38"/>
        <v>9.8749190396327791E-3</v>
      </c>
      <c r="L1274">
        <f t="shared" si="39"/>
        <v>4.1370254943715734E-4</v>
      </c>
    </row>
    <row r="1275" spans="1:12" x14ac:dyDescent="0.3">
      <c r="A1275" s="31">
        <v>44292</v>
      </c>
      <c r="B1275" s="32">
        <v>0.17808170388574299</v>
      </c>
      <c r="C1275" s="32">
        <v>0.178141979157388</v>
      </c>
      <c r="D1275" s="32">
        <v>0.17811183999999999</v>
      </c>
      <c r="E1275" s="33">
        <v>1.21773999999999E-3</v>
      </c>
      <c r="F1275" s="33">
        <v>0.68840057412882205</v>
      </c>
      <c r="G1275" s="33">
        <v>-2.9628839453311402</v>
      </c>
      <c r="H1275" s="32">
        <v>0.17811183999999999</v>
      </c>
      <c r="I1275" s="32">
        <v>0.17811183999999999</v>
      </c>
      <c r="K1275">
        <f t="shared" si="38"/>
        <v>6.8840057412882238E-3</v>
      </c>
      <c r="L1275">
        <f t="shared" si="39"/>
        <v>3.3841249208929944E-4</v>
      </c>
    </row>
    <row r="1276" spans="1:12" x14ac:dyDescent="0.3">
      <c r="A1276" s="28">
        <v>44291</v>
      </c>
      <c r="B1276" s="29">
        <v>0.176875320586519</v>
      </c>
      <c r="C1276" s="29">
        <v>0.176912870411322</v>
      </c>
      <c r="D1276" s="29">
        <v>0.1768941</v>
      </c>
      <c r="E1276" s="30">
        <v>9.1559999999998799E-4</v>
      </c>
      <c r="F1276" s="30">
        <v>0.52029083098219497</v>
      </c>
      <c r="G1276" s="30">
        <v>-3.62632090552655</v>
      </c>
      <c r="H1276" s="29">
        <v>0.1768941</v>
      </c>
      <c r="I1276" s="29">
        <v>0.1768941</v>
      </c>
      <c r="K1276">
        <f t="shared" si="38"/>
        <v>5.202908309821952E-3</v>
      </c>
      <c r="L1276">
        <f t="shared" si="39"/>
        <v>2.1227290680130942E-4</v>
      </c>
    </row>
    <row r="1277" spans="1:12" x14ac:dyDescent="0.3">
      <c r="A1277" s="31">
        <v>44288</v>
      </c>
      <c r="B1277" s="32">
        <v>0.17596339961288099</v>
      </c>
      <c r="C1277" s="32">
        <v>0.17599436818021799</v>
      </c>
      <c r="D1277" s="32">
        <v>0.17597850000000001</v>
      </c>
      <c r="E1277" s="33">
        <v>-3.7999999999427301E-7</v>
      </c>
      <c r="F1277" s="33">
        <v>-2.1593500311167799E-4</v>
      </c>
      <c r="G1277" s="33">
        <v>-4.1251489646811503</v>
      </c>
      <c r="H1277" s="32">
        <v>0.17597850000000001</v>
      </c>
      <c r="I1277" s="32">
        <v>0.17597850000000001</v>
      </c>
      <c r="K1277">
        <f t="shared" si="38"/>
        <v>-2.1593500311167801E-6</v>
      </c>
      <c r="L1277">
        <f t="shared" si="39"/>
        <v>1.7597926642745016E-4</v>
      </c>
    </row>
    <row r="1278" spans="1:12" x14ac:dyDescent="0.3">
      <c r="A1278" s="28">
        <v>44287</v>
      </c>
      <c r="B1278" s="29">
        <v>0.17596339961288099</v>
      </c>
      <c r="C1278" s="29">
        <v>0.17599436818021799</v>
      </c>
      <c r="D1278" s="29">
        <v>0.17597888</v>
      </c>
      <c r="E1278" s="30">
        <v>-1.23181999999999E-3</v>
      </c>
      <c r="F1278" s="30">
        <v>-0.69511603983281001</v>
      </c>
      <c r="G1278" s="30">
        <v>-4.1249419368715401</v>
      </c>
      <c r="H1278" s="29">
        <v>0.17597888</v>
      </c>
      <c r="I1278" s="29">
        <v>0.17597888</v>
      </c>
      <c r="K1278">
        <f t="shared" si="38"/>
        <v>-6.9511603983281045E-3</v>
      </c>
      <c r="L1278">
        <f t="shared" si="39"/>
        <v>1.7597888642661573E-4</v>
      </c>
    </row>
    <row r="1279" spans="1:12" x14ac:dyDescent="0.3">
      <c r="A1279" s="31">
        <v>44286</v>
      </c>
      <c r="B1279" s="32">
        <v>0.17719186334963499</v>
      </c>
      <c r="C1279" s="32">
        <v>0.177229547710194</v>
      </c>
      <c r="D1279" s="32">
        <v>0.1772107</v>
      </c>
      <c r="E1279" s="33">
        <v>3.69448999999999E-3</v>
      </c>
      <c r="F1279" s="33">
        <v>2.12919012004699</v>
      </c>
      <c r="G1279" s="33">
        <v>-3.4538340515200598</v>
      </c>
      <c r="H1279" s="32">
        <v>0.1772107</v>
      </c>
      <c r="I1279" s="32">
        <v>0.1772107</v>
      </c>
      <c r="K1279">
        <f t="shared" si="38"/>
        <v>2.1291901200469976E-2</v>
      </c>
      <c r="L1279">
        <f t="shared" si="39"/>
        <v>2.1265285086628159E-4</v>
      </c>
    </row>
    <row r="1280" spans="1:12" x14ac:dyDescent="0.3">
      <c r="A1280" s="28">
        <v>44285</v>
      </c>
      <c r="B1280" s="29">
        <v>0.173490631505899</v>
      </c>
      <c r="C1280" s="29">
        <v>0.17354181490029999</v>
      </c>
      <c r="D1280" s="29">
        <v>0.17351621</v>
      </c>
      <c r="E1280" s="30">
        <v>1.2034299999999999E-3</v>
      </c>
      <c r="F1280" s="30">
        <v>0.698398574963499</v>
      </c>
      <c r="G1280" s="30">
        <v>-5.4666292418499802</v>
      </c>
      <c r="H1280" s="29">
        <v>0.17351621</v>
      </c>
      <c r="I1280" s="29">
        <v>0.17351621</v>
      </c>
      <c r="K1280">
        <f t="shared" si="38"/>
        <v>6.9839857496349911E-3</v>
      </c>
      <c r="L1280">
        <f t="shared" si="39"/>
        <v>2.9497759547073027E-4</v>
      </c>
    </row>
    <row r="1281" spans="1:12" x14ac:dyDescent="0.3">
      <c r="A1281" s="31">
        <v>44284</v>
      </c>
      <c r="B1281" s="32">
        <v>0.17230090630276701</v>
      </c>
      <c r="C1281" s="32">
        <v>0.17232465965879701</v>
      </c>
      <c r="D1281" s="32">
        <v>0.17231278</v>
      </c>
      <c r="E1281" s="33">
        <v>-2.5903600000000099E-3</v>
      </c>
      <c r="F1281" s="33">
        <v>-1.4810254407096399</v>
      </c>
      <c r="G1281" s="33">
        <v>-6.1222699705835204</v>
      </c>
      <c r="H1281" s="32">
        <v>0.17231278</v>
      </c>
      <c r="I1281" s="32">
        <v>0.17231278</v>
      </c>
      <c r="K1281">
        <f t="shared" si="38"/>
        <v>-1.481025440709649E-2</v>
      </c>
      <c r="L1281">
        <f t="shared" si="39"/>
        <v>1.3785022811423799E-4</v>
      </c>
    </row>
    <row r="1282" spans="1:12" x14ac:dyDescent="0.3">
      <c r="A1282" s="28">
        <v>44281</v>
      </c>
      <c r="B1282" s="29">
        <v>0.17488632388947201</v>
      </c>
      <c r="C1282" s="29">
        <v>0.17491997411184401</v>
      </c>
      <c r="D1282" s="29">
        <v>0.17490314000000001</v>
      </c>
      <c r="E1282" s="30">
        <v>-2.5040499999999799E-3</v>
      </c>
      <c r="F1282" s="30">
        <v>-1.4114704144741601</v>
      </c>
      <c r="G1282" s="30">
        <v>-4.7110158734759198</v>
      </c>
      <c r="H1282" s="29">
        <v>0.17490314000000001</v>
      </c>
      <c r="I1282" s="29">
        <v>0.17490314000000001</v>
      </c>
      <c r="K1282">
        <f t="shared" si="38"/>
        <v>-1.4114704144741697E-2</v>
      </c>
      <c r="L1282">
        <f t="shared" si="39"/>
        <v>1.9239347202117625E-4</v>
      </c>
    </row>
    <row r="1283" spans="1:12" x14ac:dyDescent="0.3">
      <c r="A1283" s="31">
        <v>44280</v>
      </c>
      <c r="B1283" s="32">
        <v>0.17738359201773801</v>
      </c>
      <c r="C1283" s="32">
        <v>0.177430801987225</v>
      </c>
      <c r="D1283" s="32">
        <v>0.17740718999999999</v>
      </c>
      <c r="E1283" s="33">
        <v>-2.4262799999999998E-3</v>
      </c>
      <c r="F1283" s="33">
        <v>-1.34918155113172</v>
      </c>
      <c r="G1283" s="33">
        <v>-3.34678432965103</v>
      </c>
      <c r="H1283" s="32">
        <v>0.17740718999999999</v>
      </c>
      <c r="I1283" s="32">
        <v>0.17740718999999999</v>
      </c>
      <c r="K1283">
        <f t="shared" si="38"/>
        <v>-1.3491815511317284E-2</v>
      </c>
      <c r="L1283">
        <f t="shared" si="39"/>
        <v>2.6611080129831938E-4</v>
      </c>
    </row>
    <row r="1284" spans="1:12" x14ac:dyDescent="0.3">
      <c r="A1284" s="28">
        <v>44279</v>
      </c>
      <c r="B1284" s="29">
        <v>0.17981083899737499</v>
      </c>
      <c r="C1284" s="29">
        <v>0.17985611510791399</v>
      </c>
      <c r="D1284" s="29">
        <v>0.17983347</v>
      </c>
      <c r="E1284" s="30">
        <v>-2.7099100000000098E-3</v>
      </c>
      <c r="F1284" s="30">
        <v>-1.4845293211947801</v>
      </c>
      <c r="G1284" s="30">
        <v>-2.0249226614928499</v>
      </c>
      <c r="H1284" s="29">
        <v>0.17983347</v>
      </c>
      <c r="I1284" s="29">
        <v>0.17983347</v>
      </c>
      <c r="K1284">
        <f t="shared" si="38"/>
        <v>-1.484529321194783E-2</v>
      </c>
      <c r="L1284">
        <f t="shared" si="39"/>
        <v>2.5176687375829082E-4</v>
      </c>
    </row>
    <row r="1285" spans="1:12" x14ac:dyDescent="0.3">
      <c r="A1285" s="31">
        <v>44278</v>
      </c>
      <c r="B1285" s="32">
        <v>0.18252172008469</v>
      </c>
      <c r="C1285" s="32">
        <v>0.18256503879507099</v>
      </c>
      <c r="D1285" s="32">
        <v>0.18254338000000001</v>
      </c>
      <c r="E1285" s="33">
        <v>1.73934E-3</v>
      </c>
      <c r="F1285" s="33">
        <v>0.96200284020202498</v>
      </c>
      <c r="G1285" s="33">
        <v>-0.548536525861958</v>
      </c>
      <c r="H1285" s="32">
        <v>0.18254338000000001</v>
      </c>
      <c r="I1285" s="32">
        <v>0.18254338000000001</v>
      </c>
      <c r="K1285">
        <f t="shared" ref="K1285:K1307" si="40">D1285/D1286-1</f>
        <v>9.6200284020202531E-3</v>
      </c>
      <c r="L1285">
        <f t="shared" ref="L1285:L1307" si="41">(C1285-B1285)/D1285</f>
        <v>2.3730638920453135E-4</v>
      </c>
    </row>
    <row r="1286" spans="1:12" x14ac:dyDescent="0.3">
      <c r="A1286" s="28">
        <v>44277</v>
      </c>
      <c r="B1286" s="29">
        <v>0.180776253231376</v>
      </c>
      <c r="C1286" s="29">
        <v>0.18083182640144699</v>
      </c>
      <c r="D1286" s="29">
        <v>0.18080404</v>
      </c>
      <c r="E1286" s="30">
        <v>-1.8994299999999999E-3</v>
      </c>
      <c r="F1286" s="30">
        <v>-1.0396244800386101</v>
      </c>
      <c r="G1286" s="30">
        <v>-1.49614639524811</v>
      </c>
      <c r="H1286" s="29">
        <v>0.18080404</v>
      </c>
      <c r="I1286" s="29">
        <v>0.18080404</v>
      </c>
      <c r="K1286">
        <f t="shared" si="40"/>
        <v>-1.0396244800386145E-2</v>
      </c>
      <c r="L1286">
        <f t="shared" si="41"/>
        <v>3.0736686011545027E-4</v>
      </c>
    </row>
    <row r="1287" spans="1:12" x14ac:dyDescent="0.3">
      <c r="A1287" s="31">
        <v>44274</v>
      </c>
      <c r="B1287" s="32">
        <v>0.18269178069678599</v>
      </c>
      <c r="C1287" s="32">
        <v>0.182715147085693</v>
      </c>
      <c r="D1287" s="32">
        <v>0.18270347000000001</v>
      </c>
      <c r="E1287" s="33">
        <v>2.1670999999999999E-3</v>
      </c>
      <c r="F1287" s="33">
        <v>1.20036754920906</v>
      </c>
      <c r="G1287" s="33">
        <v>-0.461317888913442</v>
      </c>
      <c r="H1287" s="32">
        <v>0.18270347000000001</v>
      </c>
      <c r="I1287" s="32">
        <v>0.18270347000000001</v>
      </c>
      <c r="K1287">
        <f t="shared" si="40"/>
        <v>1.2003675492090693E-2</v>
      </c>
      <c r="L1287">
        <f t="shared" si="41"/>
        <v>1.278924199251092E-4</v>
      </c>
    </row>
    <row r="1288" spans="1:12" x14ac:dyDescent="0.3">
      <c r="A1288" s="28">
        <v>44273</v>
      </c>
      <c r="B1288" s="29">
        <v>0.18049564103026899</v>
      </c>
      <c r="C1288" s="29">
        <v>0.18057712448987001</v>
      </c>
      <c r="D1288" s="29">
        <v>0.18053637</v>
      </c>
      <c r="E1288" s="30">
        <v>3.7173400000000099E-3</v>
      </c>
      <c r="F1288" s="30">
        <v>2.1023415861969301</v>
      </c>
      <c r="G1288" s="30">
        <v>-1.6419756947172099</v>
      </c>
      <c r="H1288" s="29">
        <v>0.18053637</v>
      </c>
      <c r="I1288" s="29">
        <v>0.18053637</v>
      </c>
      <c r="K1288">
        <f t="shared" si="40"/>
        <v>2.1023415861969319E-2</v>
      </c>
      <c r="L1288">
        <f t="shared" si="41"/>
        <v>4.5134096581767551E-4</v>
      </c>
    </row>
    <row r="1289" spans="1:12" x14ac:dyDescent="0.3">
      <c r="A1289" s="31">
        <v>44272</v>
      </c>
      <c r="B1289" s="32">
        <v>0.176803394625177</v>
      </c>
      <c r="C1289" s="32">
        <v>0.17683465959328001</v>
      </c>
      <c r="D1289" s="32">
        <v>0.17681902999999999</v>
      </c>
      <c r="E1289" s="33">
        <v>-2.4326E-3</v>
      </c>
      <c r="F1289" s="33">
        <v>-1.3570866831169099</v>
      </c>
      <c r="G1289" s="33">
        <v>-3.6672197941250002</v>
      </c>
      <c r="H1289" s="32">
        <v>0.17681902999999999</v>
      </c>
      <c r="I1289" s="32">
        <v>0.17681902999999999</v>
      </c>
      <c r="K1289">
        <f t="shared" si="40"/>
        <v>-1.3570866831169148E-2</v>
      </c>
      <c r="L1289">
        <f t="shared" si="41"/>
        <v>1.7681902283378373E-4</v>
      </c>
    </row>
    <row r="1290" spans="1:12" x14ac:dyDescent="0.3">
      <c r="A1290" s="28">
        <v>44271</v>
      </c>
      <c r="B1290" s="29">
        <v>0.17922110507733399</v>
      </c>
      <c r="C1290" s="29">
        <v>0.179282154254366</v>
      </c>
      <c r="D1290" s="29">
        <v>0.17925163</v>
      </c>
      <c r="E1290" s="30">
        <v>2.2949300000000001E-3</v>
      </c>
      <c r="F1290" s="30">
        <v>1.2968878827419299</v>
      </c>
      <c r="G1290" s="30">
        <v>-2.3419149266070001</v>
      </c>
      <c r="H1290" s="29">
        <v>0.17925163</v>
      </c>
      <c r="I1290" s="29">
        <v>0.17925163</v>
      </c>
      <c r="K1290">
        <f t="shared" si="40"/>
        <v>1.2968878827419372E-2</v>
      </c>
      <c r="L1290">
        <f t="shared" si="41"/>
        <v>3.405780858562214E-4</v>
      </c>
    </row>
    <row r="1291" spans="1:12" x14ac:dyDescent="0.3">
      <c r="A1291" s="31">
        <v>44270</v>
      </c>
      <c r="B1291" s="32">
        <v>0.176941043244391</v>
      </c>
      <c r="C1291" s="32">
        <v>0.17697235691784899</v>
      </c>
      <c r="D1291" s="32">
        <v>0.17695669999999999</v>
      </c>
      <c r="E1291" s="33">
        <v>-2.5201099999999899E-3</v>
      </c>
      <c r="F1291" s="33">
        <v>-1.40414240703297</v>
      </c>
      <c r="G1291" s="33">
        <v>-3.5922157979434601</v>
      </c>
      <c r="H1291" s="32">
        <v>0.17695669999999999</v>
      </c>
      <c r="I1291" s="32">
        <v>0.17695669999999999</v>
      </c>
      <c r="K1291">
        <f t="shared" si="40"/>
        <v>-1.4041424070329711E-2</v>
      </c>
      <c r="L1291">
        <f t="shared" si="41"/>
        <v>1.7695669877426995E-4</v>
      </c>
    </row>
    <row r="1292" spans="1:12" x14ac:dyDescent="0.3">
      <c r="A1292" s="28">
        <v>44267</v>
      </c>
      <c r="B1292" s="29">
        <v>0.17945588974230101</v>
      </c>
      <c r="C1292" s="29">
        <v>0.17949776525282299</v>
      </c>
      <c r="D1292" s="29">
        <v>0.17947680999999999</v>
      </c>
      <c r="E1292" s="30">
        <v>-2.11260000000018E-4</v>
      </c>
      <c r="F1292" s="30">
        <v>-0.11757040965492099</v>
      </c>
      <c r="G1292" s="30">
        <v>-2.2192346051124301</v>
      </c>
      <c r="H1292" s="29">
        <v>0.17947680999999999</v>
      </c>
      <c r="I1292" s="29">
        <v>0.17947680999999999</v>
      </c>
      <c r="K1292">
        <f t="shared" si="40"/>
        <v>-1.1757040965492127E-3</v>
      </c>
      <c r="L1292">
        <f t="shared" si="41"/>
        <v>2.3331989532231252E-4</v>
      </c>
    </row>
    <row r="1293" spans="1:12" x14ac:dyDescent="0.3">
      <c r="A1293" s="31">
        <v>44266</v>
      </c>
      <c r="B1293" s="32">
        <v>0.179662234998203</v>
      </c>
      <c r="C1293" s="32">
        <v>0.179713895478398</v>
      </c>
      <c r="D1293" s="32">
        <v>0.17968807000000001</v>
      </c>
      <c r="E1293" s="33">
        <v>5.9729099999999901E-3</v>
      </c>
      <c r="F1293" s="33">
        <v>3.4383354912720301</v>
      </c>
      <c r="G1293" s="33">
        <v>-2.1041380391698601</v>
      </c>
      <c r="H1293" s="32">
        <v>0.17968807000000001</v>
      </c>
      <c r="I1293" s="32">
        <v>0.17968807000000001</v>
      </c>
      <c r="K1293">
        <f t="shared" si="40"/>
        <v>3.4383354912720376E-2</v>
      </c>
      <c r="L1293">
        <f t="shared" si="41"/>
        <v>2.875008908215431E-4</v>
      </c>
    </row>
    <row r="1294" spans="1:12" x14ac:dyDescent="0.3">
      <c r="A1294" s="28">
        <v>44265</v>
      </c>
      <c r="B1294" s="29">
        <v>0.17369856351287999</v>
      </c>
      <c r="C1294" s="29">
        <v>0.17373175816539299</v>
      </c>
      <c r="D1294" s="29">
        <v>0.17371516000000001</v>
      </c>
      <c r="E1294" s="30">
        <v>1.5936800000000101E-3</v>
      </c>
      <c r="F1294" s="30">
        <v>0.92590419278291103</v>
      </c>
      <c r="G1294" s="30">
        <v>-5.3582392873187397</v>
      </c>
      <c r="H1294" s="29">
        <v>0.17371516000000001</v>
      </c>
      <c r="I1294" s="29">
        <v>0.17371516000000001</v>
      </c>
      <c r="K1294">
        <f t="shared" si="40"/>
        <v>9.2590419278291147E-3</v>
      </c>
      <c r="L1294">
        <f t="shared" si="41"/>
        <v>1.9108667610243251E-4</v>
      </c>
    </row>
    <row r="1295" spans="1:12" x14ac:dyDescent="0.3">
      <c r="A1295" s="31">
        <v>44264</v>
      </c>
      <c r="B1295" s="32">
        <v>0.17209926685712301</v>
      </c>
      <c r="C1295" s="32">
        <v>0.17214370556540601</v>
      </c>
      <c r="D1295" s="32">
        <v>0.17212147999999999</v>
      </c>
      <c r="E1295" s="33">
        <v>-2.7969600000000098E-3</v>
      </c>
      <c r="F1295" s="33">
        <v>-1.5990080862829601</v>
      </c>
      <c r="G1295" s="33">
        <v>-6.2264921284212997</v>
      </c>
      <c r="H1295" s="32">
        <v>0.17212147999999999</v>
      </c>
      <c r="I1295" s="32">
        <v>0.17212147999999999</v>
      </c>
      <c r="K1295">
        <f t="shared" si="40"/>
        <v>-1.5990080862829603E-2</v>
      </c>
      <c r="L1295">
        <f t="shared" si="41"/>
        <v>2.5818223433237715E-4</v>
      </c>
    </row>
    <row r="1296" spans="1:12" x14ac:dyDescent="0.3">
      <c r="A1296" s="28">
        <v>44263</v>
      </c>
      <c r="B1296" s="29">
        <v>0.17489244114869401</v>
      </c>
      <c r="C1296" s="29">
        <v>0.174944455135494</v>
      </c>
      <c r="D1296" s="29">
        <v>0.17491844000000001</v>
      </c>
      <c r="E1296" s="30">
        <v>-1.11465999999998E-3</v>
      </c>
      <c r="F1296" s="30">
        <v>-0.63321045871486104</v>
      </c>
      <c r="G1296" s="30">
        <v>-4.702680280089</v>
      </c>
      <c r="H1296" s="29">
        <v>0.17491844000000001</v>
      </c>
      <c r="I1296" s="29">
        <v>0.17491844000000001</v>
      </c>
      <c r="K1296">
        <f t="shared" si="40"/>
        <v>-6.3321045871486126E-3</v>
      </c>
      <c r="L1296">
        <f t="shared" si="41"/>
        <v>2.9736136910432355E-4</v>
      </c>
    </row>
    <row r="1297" spans="1:12" x14ac:dyDescent="0.3">
      <c r="A1297" s="31">
        <v>44260</v>
      </c>
      <c r="B1297" s="32">
        <v>0.17600985655196699</v>
      </c>
      <c r="C1297" s="32">
        <v>0.176056338028169</v>
      </c>
      <c r="D1297" s="32">
        <v>0.1760331</v>
      </c>
      <c r="E1297" s="33">
        <v>-3.4211699999999999E-3</v>
      </c>
      <c r="F1297" s="33">
        <v>-1.9064299779548199</v>
      </c>
      <c r="G1297" s="33">
        <v>-4.0954023373003796</v>
      </c>
      <c r="H1297" s="32">
        <v>0.1760331</v>
      </c>
      <c r="I1297" s="32">
        <v>0.1760331</v>
      </c>
      <c r="K1297">
        <f t="shared" si="40"/>
        <v>-1.9064299779548266E-2</v>
      </c>
      <c r="L1297">
        <f t="shared" si="41"/>
        <v>2.6404963726713542E-4</v>
      </c>
    </row>
    <row r="1298" spans="1:12" x14ac:dyDescent="0.3">
      <c r="A1298" s="28">
        <v>44259</v>
      </c>
      <c r="B1298" s="29">
        <v>0.179426910448029</v>
      </c>
      <c r="C1298" s="29">
        <v>0.17948165697465701</v>
      </c>
      <c r="D1298" s="29">
        <v>0.17945427</v>
      </c>
      <c r="E1298" s="30">
        <v>5.68024999999999E-3</v>
      </c>
      <c r="F1298" s="30">
        <v>3.2687567451106898</v>
      </c>
      <c r="G1298" s="30">
        <v>-2.2315146230824299</v>
      </c>
      <c r="H1298" s="29">
        <v>0.17945427</v>
      </c>
      <c r="I1298" s="29">
        <v>0.17945427</v>
      </c>
      <c r="K1298">
        <f t="shared" si="40"/>
        <v>3.2687567451106903E-2</v>
      </c>
      <c r="L1298">
        <f t="shared" si="41"/>
        <v>3.0507229851935749E-4</v>
      </c>
    </row>
    <row r="1299" spans="1:12" x14ac:dyDescent="0.3">
      <c r="A1299" s="31">
        <v>44258</v>
      </c>
      <c r="B1299" s="32">
        <v>0.17375590770086199</v>
      </c>
      <c r="C1299" s="32">
        <v>0.17379214459506401</v>
      </c>
      <c r="D1299" s="32">
        <v>0.17377402</v>
      </c>
      <c r="E1299" s="33">
        <v>-1.74617999999998E-3</v>
      </c>
      <c r="F1299" s="33">
        <v>-0.99485985088895101</v>
      </c>
      <c r="G1299" s="33">
        <v>-5.3261717692302302</v>
      </c>
      <c r="H1299" s="32">
        <v>0.17377402</v>
      </c>
      <c r="I1299" s="32">
        <v>0.17377402</v>
      </c>
      <c r="K1299">
        <f t="shared" si="40"/>
        <v>-9.9485985088895168E-3</v>
      </c>
      <c r="L1299">
        <f t="shared" si="41"/>
        <v>2.0852883648552893E-4</v>
      </c>
    </row>
    <row r="1300" spans="1:12" x14ac:dyDescent="0.3">
      <c r="A1300" s="28">
        <v>44257</v>
      </c>
      <c r="B1300" s="29">
        <v>0.175494015654066</v>
      </c>
      <c r="C1300" s="29">
        <v>0.175546388133064</v>
      </c>
      <c r="D1300" s="29">
        <v>0.17552019999999999</v>
      </c>
      <c r="E1300" s="30">
        <v>-3.9711300000000102E-3</v>
      </c>
      <c r="F1300" s="30">
        <v>-2.2124355532938602</v>
      </c>
      <c r="G1300" s="30">
        <v>-4.3748353992710998</v>
      </c>
      <c r="H1300" s="29">
        <v>0.17552019999999999</v>
      </c>
      <c r="I1300" s="29">
        <v>0.17552019999999999</v>
      </c>
      <c r="K1300">
        <f t="shared" si="40"/>
        <v>-2.2124355532938678E-2</v>
      </c>
      <c r="L1300">
        <f t="shared" si="41"/>
        <v>2.983843397968035E-4</v>
      </c>
    </row>
    <row r="1301" spans="1:12" x14ac:dyDescent="0.3">
      <c r="A1301" s="31">
        <v>44256</v>
      </c>
      <c r="B1301" s="32">
        <v>0.179459110241731</v>
      </c>
      <c r="C1301" s="32">
        <v>0.17952354451286301</v>
      </c>
      <c r="D1301" s="32">
        <v>0.17949133</v>
      </c>
      <c r="E1301" s="33">
        <v>5.6369999999999997E-5</v>
      </c>
      <c r="F1301" s="33">
        <v>3.1415282729740902E-2</v>
      </c>
      <c r="G1301" s="33">
        <v>-2.2113239635452202</v>
      </c>
      <c r="H1301" s="32">
        <v>0.17949133</v>
      </c>
      <c r="I1301" s="32">
        <v>0.17949133</v>
      </c>
      <c r="K1301">
        <f t="shared" si="40"/>
        <v>3.1415282729740923E-4</v>
      </c>
      <c r="L1301">
        <f t="shared" si="41"/>
        <v>3.5898263794695729E-4</v>
      </c>
    </row>
    <row r="1302" spans="1:12" x14ac:dyDescent="0.3">
      <c r="A1302" s="28">
        <v>44253</v>
      </c>
      <c r="B1302" s="29">
        <v>0.17942047187584101</v>
      </c>
      <c r="C1302" s="29">
        <v>0.179449449090191</v>
      </c>
      <c r="D1302" s="29">
        <v>0.17943496</v>
      </c>
      <c r="E1302" s="30">
        <v>-2.14386999999999E-3</v>
      </c>
      <c r="F1302" s="30">
        <v>-1.18068279215147</v>
      </c>
      <c r="G1302" s="30">
        <v>-2.2420349046707599</v>
      </c>
      <c r="H1302" s="29">
        <v>0.17943496</v>
      </c>
      <c r="I1302" s="29">
        <v>0.17943496</v>
      </c>
      <c r="K1302">
        <f t="shared" si="40"/>
        <v>-1.1806827921514773E-2</v>
      </c>
      <c r="L1302">
        <f t="shared" si="41"/>
        <v>1.6149146381505344E-4</v>
      </c>
    </row>
    <row r="1303" spans="1:12" x14ac:dyDescent="0.3">
      <c r="A1303" s="31">
        <v>44252</v>
      </c>
      <c r="B1303" s="32">
        <v>0.18155410312273099</v>
      </c>
      <c r="C1303" s="32">
        <v>0.181603559429765</v>
      </c>
      <c r="D1303" s="32">
        <v>0.18157883</v>
      </c>
      <c r="E1303" s="33">
        <v>-2.72069999999999E-3</v>
      </c>
      <c r="F1303" s="33">
        <v>-1.47623816512174</v>
      </c>
      <c r="G1303" s="33">
        <v>-1.0740330357544501</v>
      </c>
      <c r="H1303" s="32">
        <v>0.18157883</v>
      </c>
      <c r="I1303" s="32">
        <v>0.18157883</v>
      </c>
      <c r="K1303">
        <f t="shared" si="40"/>
        <v>-1.476238165121746E-2</v>
      </c>
      <c r="L1303">
        <f t="shared" si="41"/>
        <v>2.7236824377606465E-4</v>
      </c>
    </row>
    <row r="1304" spans="1:12" x14ac:dyDescent="0.3">
      <c r="A1304" s="28">
        <v>44251</v>
      </c>
      <c r="B1304" s="29">
        <v>0.18428084400626599</v>
      </c>
      <c r="C1304" s="29">
        <v>0.18431820695248299</v>
      </c>
      <c r="D1304" s="29">
        <v>0.18429952999999999</v>
      </c>
      <c r="E1304" s="30">
        <v>-1.6999000000000801E-4</v>
      </c>
      <c r="F1304" s="30">
        <v>-9.2150724954453894E-2</v>
      </c>
      <c r="G1304" s="30">
        <v>0.40823160004929598</v>
      </c>
      <c r="H1304" s="29">
        <v>0.18429952999999999</v>
      </c>
      <c r="I1304" s="29">
        <v>0.18429952999999999</v>
      </c>
      <c r="K1304">
        <f t="shared" si="40"/>
        <v>-9.2150724954453977E-4</v>
      </c>
      <c r="L1304">
        <f t="shared" si="41"/>
        <v>2.0272947097047206E-4</v>
      </c>
    </row>
    <row r="1305" spans="1:12" x14ac:dyDescent="0.3">
      <c r="A1305" s="31">
        <v>44250</v>
      </c>
      <c r="B1305" s="32">
        <v>0.184443993581349</v>
      </c>
      <c r="C1305" s="32">
        <v>0.18449503708350201</v>
      </c>
      <c r="D1305" s="32">
        <v>0.18446952</v>
      </c>
      <c r="E1305" s="33">
        <v>2.5289499999999999E-3</v>
      </c>
      <c r="F1305" s="33">
        <v>1.3899868512008999</v>
      </c>
      <c r="G1305" s="33">
        <v>0.50084385624817596</v>
      </c>
      <c r="H1305" s="32">
        <v>0.18446952</v>
      </c>
      <c r="I1305" s="32">
        <v>0.18446952</v>
      </c>
      <c r="K1305">
        <f t="shared" si="40"/>
        <v>1.3899868512009084E-2</v>
      </c>
      <c r="L1305">
        <f t="shared" si="41"/>
        <v>2.7670426069853834E-4</v>
      </c>
    </row>
    <row r="1306" spans="1:12" x14ac:dyDescent="0.3">
      <c r="A1306" s="28">
        <v>44249</v>
      </c>
      <c r="B1306" s="29">
        <v>0.18191740949608901</v>
      </c>
      <c r="C1306" s="29">
        <v>0.181963752820438</v>
      </c>
      <c r="D1306" s="29">
        <v>0.18194057</v>
      </c>
      <c r="E1306" s="30">
        <v>-4.0142700000000099E-3</v>
      </c>
      <c r="F1306" s="30">
        <v>-2.15873380870323</v>
      </c>
      <c r="G1306" s="30">
        <v>-0.87695345720642004</v>
      </c>
      <c r="H1306" s="29">
        <v>0.18194057</v>
      </c>
      <c r="I1306" s="29">
        <v>0.18194057</v>
      </c>
      <c r="K1306">
        <f t="shared" si="40"/>
        <v>-2.1587338087032393E-2</v>
      </c>
      <c r="L1306">
        <f t="shared" si="41"/>
        <v>2.5471682510940993E-4</v>
      </c>
    </row>
    <row r="1307" spans="1:12" x14ac:dyDescent="0.3">
      <c r="A1307" s="31">
        <v>44246</v>
      </c>
      <c r="B1307" s="32">
        <v>0.185932357808229</v>
      </c>
      <c r="C1307" s="32">
        <v>0.18597731076808599</v>
      </c>
      <c r="D1307" s="32">
        <v>0.18595484000000001</v>
      </c>
      <c r="E1307" s="33">
        <v>2.4046200000000201E-3</v>
      </c>
      <c r="F1307" s="33">
        <v>1.31006108301043</v>
      </c>
      <c r="G1307" s="33">
        <v>1.31006108301042</v>
      </c>
      <c r="H1307" s="32">
        <v>0.18595484000000001</v>
      </c>
      <c r="I1307" s="32">
        <v>0.18595484000000001</v>
      </c>
      <c r="K1307">
        <f t="shared" si="40"/>
        <v>1.3100610830104387E-2</v>
      </c>
      <c r="L1307">
        <f t="shared" si="41"/>
        <v>2.4174127361775816E-4</v>
      </c>
    </row>
    <row r="1308" spans="1:12" x14ac:dyDescent="0.3">
      <c r="A1308" s="28">
        <v>44245</v>
      </c>
      <c r="B1308" s="29">
        <v>0.18351991191044201</v>
      </c>
      <c r="C1308" s="29">
        <v>0.18358055514759899</v>
      </c>
      <c r="D1308" s="29">
        <v>0.18355021999999999</v>
      </c>
      <c r="E1308" s="30"/>
      <c r="F1308" s="30"/>
      <c r="G1308" s="30"/>
      <c r="H1308" s="29">
        <v>0.18355021999999999</v>
      </c>
      <c r="I1308" s="29">
        <v>0.18355021999999999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3 a 5</vt:lpstr>
      <vt:lpstr>10 a 20</vt:lpstr>
      <vt:lpstr>datos</vt:lpstr>
      <vt:lpstr>Tasas</vt:lpstr>
      <vt:lpstr>FX</vt:lpstr>
      <vt:lpstr>MXNUSD</vt:lpstr>
      <vt:lpstr>BRLUSD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Samuel Gómez Jiménez</cp:lastModifiedBy>
  <dcterms:created xsi:type="dcterms:W3CDTF">2026-02-18T16:31:47Z</dcterms:created>
  <dcterms:modified xsi:type="dcterms:W3CDTF">2026-02-19T01:16:20Z</dcterms:modified>
</cp:coreProperties>
</file>