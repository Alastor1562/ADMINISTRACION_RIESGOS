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\OneDrive\Desktop\TRABAJO\UNI\8VO SEMESTRE\ADMINISTRACION_RIESGOS\"/>
    </mc:Choice>
  </mc:AlternateContent>
  <xr:revisionPtr revIDLastSave="0" documentId="13_ncr:1_{80BF464F-B7A5-4228-95D2-9F532DB51A9C}" xr6:coauthVersionLast="47" xr6:coauthVersionMax="47" xr10:uidLastSave="{00000000-0000-0000-0000-000000000000}"/>
  <bookViews>
    <workbookView xWindow="-120" yWindow="-120" windowWidth="29040" windowHeight="15720" xr2:uid="{18416E51-0E84-41AD-A4BD-93EEE06D55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  <c r="C20" i="1"/>
  <c r="F40" i="1"/>
  <c r="I34" i="1"/>
  <c r="D26" i="1"/>
  <c r="C13" i="1" l="1"/>
  <c r="C8" i="1"/>
</calcChain>
</file>

<file path=xl/sharedStrings.xml><?xml version="1.0" encoding="utf-8"?>
<sst xmlns="http://schemas.openxmlformats.org/spreadsheetml/2006/main" count="39" uniqueCount="38">
  <si>
    <t>Efectivo</t>
  </si>
  <si>
    <t xml:space="preserve">Cartera de crédito a empresas </t>
  </si>
  <si>
    <t>Bonos gubernamentales</t>
  </si>
  <si>
    <t>Total activos</t>
  </si>
  <si>
    <t>Importe</t>
  </si>
  <si>
    <t>Tasa</t>
  </si>
  <si>
    <t>TIIEF + 4%</t>
  </si>
  <si>
    <t xml:space="preserve">Duración </t>
  </si>
  <si>
    <t>Depósitos a la vista</t>
  </si>
  <si>
    <t>Depósito a plazo</t>
  </si>
  <si>
    <t>Capital TIER 1</t>
  </si>
  <si>
    <t>Total pasivo y capital</t>
  </si>
  <si>
    <t>NA</t>
  </si>
  <si>
    <r>
      <t xml:space="preserve">Eres el equipo de </t>
    </r>
    <r>
      <rPr>
        <b/>
        <sz val="11"/>
        <color theme="1"/>
        <rFont val="Aptos Narrow"/>
        <family val="2"/>
        <scheme val="minor"/>
      </rPr>
      <t>Asset &amp; Liability Management (ALM)</t>
    </r>
    <r>
      <rPr>
        <sz val="11"/>
        <color theme="1"/>
        <rFont val="Aptos Narrow"/>
        <family val="2"/>
        <scheme val="minor"/>
      </rPr>
      <t xml:space="preserve"> de Banco XYZ. El Comité de Riesgos está preocupado porque el Banco Central ha anunciado </t>
    </r>
  </si>
  <si>
    <t>que subirá la tasa de referencia (TIIE) de 10% a 12% (+200 bps) de forma inmediata.</t>
  </si>
  <si>
    <t>Calculen el impacto en el Margen Financiero (NII) para los próximos 12 meses tras la subida de +200 bps (del 10% al 12%).</t>
  </si>
  <si>
    <r>
      <t>1. Identificar Activos Sensibles:</t>
    </r>
    <r>
      <rPr>
        <sz val="11"/>
        <color theme="1"/>
        <rFont val="Aptos Narrow"/>
        <family val="2"/>
        <scheme val="minor"/>
      </rPr>
      <t xml:space="preserve"> ¿Qué activos cambian su tasa en el próximo año? Calculen el nuevo ingreso anual.</t>
    </r>
  </si>
  <si>
    <r>
      <t>2. Identificar Pasivos Sensibles:</t>
    </r>
    <r>
      <rPr>
        <sz val="11"/>
        <color theme="1"/>
        <rFont val="Aptos Narrow"/>
        <family val="2"/>
        <scheme val="minor"/>
      </rPr>
      <t xml:space="preserve"> ¿Qué pasivos cambian su costo? Calculen el nuevo gasto anual (Asuman que los Depósitos a la Vista suben 100 bps por política comercial, aunque la TIIE suba 200).</t>
    </r>
  </si>
  <si>
    <r>
      <t>3. Resultado:</t>
    </r>
    <r>
      <rPr>
        <sz val="11"/>
        <color theme="1"/>
        <rFont val="Aptos Narrow"/>
        <family val="2"/>
        <scheme val="minor"/>
      </rPr>
      <t xml:space="preserve"> ¿El banco es </t>
    </r>
    <r>
      <rPr>
        <b/>
        <sz val="11"/>
        <color theme="1"/>
        <rFont val="Aptos Narrow"/>
        <family val="2"/>
        <scheme val="minor"/>
      </rPr>
      <t>Asset Sensitive</t>
    </r>
    <r>
      <rPr>
        <sz val="11"/>
        <color theme="1"/>
        <rFont val="Aptos Narrow"/>
        <family val="2"/>
        <scheme val="minor"/>
      </rPr>
      <t xml:space="preserve"> o </t>
    </r>
    <r>
      <rPr>
        <b/>
        <sz val="11"/>
        <color theme="1"/>
        <rFont val="Aptos Narrow"/>
        <family val="2"/>
        <scheme val="minor"/>
      </rPr>
      <t>Liability Sensitive</t>
    </r>
    <r>
      <rPr>
        <sz val="11"/>
        <color theme="1"/>
        <rFont val="Aptos Narrow"/>
        <family val="2"/>
        <scheme val="minor"/>
      </rPr>
      <t>? ¿El NII sube o baja?</t>
    </r>
  </si>
  <si>
    <t>Calculen el impacto en el valor económico ante el choque de +200 bps utilizando la aproximación de la duración.</t>
  </si>
  <si>
    <t>Fórmula de ayuda:</t>
  </si>
  <si>
    <r>
      <t>1. Impacto en Bonos:</t>
    </r>
    <r>
      <rPr>
        <sz val="11"/>
        <color theme="1"/>
        <rFont val="Arial"/>
        <family val="2"/>
      </rPr>
      <t xml:space="preserve"> Calculen cuánto valor pierden los Bonos Gubernamentales ($300M).</t>
    </r>
  </si>
  <si>
    <r>
      <t>2. Impacto en el Capital:</t>
    </r>
    <r>
      <rPr>
        <sz val="11"/>
        <color theme="1"/>
        <rFont val="Arial"/>
        <family val="2"/>
      </rPr>
      <t xml:space="preserve"> Asuman que el impacto en el valor de los pasivos y la cartera empresarial es mínima por su baja duración. ¿De cuánto es la caída total del EVE?</t>
    </r>
  </si>
  <si>
    <t xml:space="preserve">Calculen el ratio: </t>
  </si>
  <si>
    <r>
      <t>Diagnóstico:</t>
    </r>
    <r>
      <rPr>
        <sz val="11"/>
        <color theme="1"/>
        <rFont val="Arial"/>
        <family val="2"/>
      </rPr>
      <t xml:space="preserve"> ¿Banco XYZ supera el límite del 15% de Basilea III?</t>
    </r>
  </si>
  <si>
    <r>
      <t>Decisión:</t>
    </r>
    <r>
      <rPr>
        <sz val="11"/>
        <color theme="1"/>
        <rFont val="Arial"/>
        <family val="2"/>
      </rPr>
      <t xml:space="preserve"> Si eres el Tesorero, ¿qué harías para corregir la posición? (Menciona un uso de derivados o cambio en tu estructura de activos-pasivos).</t>
    </r>
  </si>
  <si>
    <t>CARTERA DE CRÉDITO A EMPRESAS</t>
  </si>
  <si>
    <t>Millones extra o adicionales de ingreso por intereses</t>
  </si>
  <si>
    <t>Millones adicionales de egreso o gasto por intereses (pago más)</t>
  </si>
  <si>
    <t>LIABILITY SENSITIVE, El NII baja</t>
  </si>
  <si>
    <t>Delta NII</t>
  </si>
  <si>
    <t>DEPÓSITOS</t>
  </si>
  <si>
    <t>Traemos más pasivos a tasa variable, Más pasivos a revisión constante</t>
  </si>
  <si>
    <t>Minusvalía de 39 millones de pesos</t>
  </si>
  <si>
    <t>SI, El capital TIER 1 puede disminuir en un 26%</t>
  </si>
  <si>
    <t>1. Emitir CoCo (Contegent Convertibles) --&gt; TIER 2 a 1</t>
  </si>
  <si>
    <t>2. Sustituyo los depósitos a plazo fijo con un bono emitido (tu lo debes) a 3 o 5 años a tasa fija</t>
  </si>
  <si>
    <t xml:space="preserve">3. SWAP (IRS) payer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</si>
</sst>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0" fillId="2" borderId="0" xfId="0" applyFill="1"/>
    <xf numFmtId="0" fontId="0" fillId="2" borderId="0" xfId="0" applyFill="1" applyAlignment="1">
      <alignment horizontal="center"/>
    </xf>
    <xf numFmtId="9" fontId="0" fillId="2" borderId="0" xfId="0" applyNumberFormat="1" applyFill="1" applyAlignment="1">
      <alignment horizontal="center"/>
    </xf>
    <xf numFmtId="9" fontId="0" fillId="0" borderId="0" xfId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1631950</xdr:colOff>
      <xdr:row>29</xdr:row>
      <xdr:rowOff>88902</xdr:rowOff>
    </xdr:from>
    <xdr:to>
      <xdr:col>6</xdr:col>
      <xdr:colOff>97300</xdr:colOff>
      <xdr:row>31</xdr:row>
      <xdr:rowOff>134998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F3C56DC-3B63-1EF3-D63B-86A8F80DC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93950" y="4692652"/>
          <a:ext cx="3310400" cy="414396"/>
        </a:xfrm>
        <a:prstGeom prst="rect">
          <a:avLst/>
        </a:prstGeom>
      </xdr:spPr>
    </xdr:pic>
    <xdr:clientData/>
  </xdr:twoCellAnchor>
  <xdr:twoCellAnchor editAs="oneCell">
    <xdr:from>
      <xdr:col>1</xdr:col>
      <xdr:colOff>1790704</xdr:colOff>
      <xdr:row>38</xdr:row>
      <xdr:rowOff>158761</xdr:rowOff>
    </xdr:from>
    <xdr:to>
      <xdr:col>4</xdr:col>
      <xdr:colOff>293946</xdr:colOff>
      <xdr:row>40</xdr:row>
      <xdr:rowOff>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D74FBFE-70CE-ACDB-DB4F-B2B55F3C4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52704" y="6419861"/>
          <a:ext cx="1824292" cy="2095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C9248-0FF7-4BED-A5D3-5C97C39BEEF6}">
  <dimension ref="B1:O47"/>
  <sheetViews>
    <sheetView tabSelected="1" topLeftCell="A19" workbookViewId="0">
      <selection activeCell="E29" sqref="E29"/>
    </sheetView>
  </sheetViews>
  <sheetFormatPr baseColWidth="10" defaultRowHeight="15" x14ac:dyDescent="0.25"/>
  <cols>
    <col min="2" max="2" width="25.7109375" bestFit="1" customWidth="1"/>
  </cols>
  <sheetData>
    <row r="1" spans="2:9" x14ac:dyDescent="0.25">
      <c r="B1" t="s">
        <v>13</v>
      </c>
    </row>
    <row r="2" spans="2:9" x14ac:dyDescent="0.25">
      <c r="B2" t="s">
        <v>14</v>
      </c>
    </row>
    <row r="4" spans="2:9" x14ac:dyDescent="0.25">
      <c r="C4" s="1" t="s">
        <v>4</v>
      </c>
      <c r="D4" s="1" t="s">
        <v>5</v>
      </c>
      <c r="E4" s="1" t="s">
        <v>7</v>
      </c>
      <c r="G4" s="1"/>
      <c r="I4" s="1"/>
    </row>
    <row r="5" spans="2:9" x14ac:dyDescent="0.25">
      <c r="B5" t="s">
        <v>0</v>
      </c>
      <c r="C5" s="1">
        <v>100</v>
      </c>
      <c r="D5" s="2">
        <v>0</v>
      </c>
      <c r="E5" s="1">
        <v>0</v>
      </c>
    </row>
    <row r="6" spans="2:9" x14ac:dyDescent="0.25">
      <c r="B6" t="s">
        <v>2</v>
      </c>
      <c r="C6" s="1">
        <v>300</v>
      </c>
      <c r="D6" s="3">
        <v>8.5000000000000006E-2</v>
      </c>
      <c r="E6" s="1">
        <v>6.5</v>
      </c>
    </row>
    <row r="7" spans="2:9" x14ac:dyDescent="0.25">
      <c r="B7" s="12" t="s">
        <v>1</v>
      </c>
      <c r="C7" s="13">
        <v>600</v>
      </c>
      <c r="D7" s="13" t="s">
        <v>6</v>
      </c>
      <c r="E7" s="13">
        <v>0.25</v>
      </c>
    </row>
    <row r="8" spans="2:9" x14ac:dyDescent="0.25">
      <c r="B8" s="4" t="s">
        <v>3</v>
      </c>
      <c r="C8" s="5">
        <f>SUM(C5:C7)</f>
        <v>1000</v>
      </c>
      <c r="D8" s="1"/>
      <c r="G8" s="4"/>
      <c r="I8" s="4"/>
    </row>
    <row r="10" spans="2:9" x14ac:dyDescent="0.25">
      <c r="B10" t="s">
        <v>8</v>
      </c>
      <c r="C10" s="1">
        <v>400</v>
      </c>
      <c r="D10" s="2">
        <v>0.03</v>
      </c>
      <c r="E10" s="1">
        <v>0</v>
      </c>
    </row>
    <row r="11" spans="2:9" x14ac:dyDescent="0.25">
      <c r="B11" s="12" t="s">
        <v>9</v>
      </c>
      <c r="C11" s="13">
        <v>450</v>
      </c>
      <c r="D11" s="14">
        <v>0.09</v>
      </c>
      <c r="E11" s="13">
        <v>0.5</v>
      </c>
    </row>
    <row r="12" spans="2:9" x14ac:dyDescent="0.25">
      <c r="B12" t="s">
        <v>10</v>
      </c>
      <c r="C12" s="1">
        <v>150</v>
      </c>
      <c r="D12" s="1" t="s">
        <v>12</v>
      </c>
      <c r="E12" s="1" t="s">
        <v>12</v>
      </c>
    </row>
    <row r="13" spans="2:9" x14ac:dyDescent="0.25">
      <c r="B13" s="4" t="s">
        <v>11</v>
      </c>
      <c r="C13" s="5">
        <f>SUM(C10:C12)</f>
        <v>1000</v>
      </c>
      <c r="G13" s="4"/>
      <c r="I13" s="4"/>
    </row>
    <row r="17" spans="2:15" x14ac:dyDescent="0.25">
      <c r="B17" t="s">
        <v>15</v>
      </c>
    </row>
    <row r="18" spans="2:15" x14ac:dyDescent="0.25">
      <c r="B18" s="6"/>
    </row>
    <row r="19" spans="2:15" x14ac:dyDescent="0.25">
      <c r="B19" s="7" t="s">
        <v>16</v>
      </c>
      <c r="I19" t="s">
        <v>26</v>
      </c>
    </row>
    <row r="20" spans="2:15" x14ac:dyDescent="0.25">
      <c r="B20" s="6"/>
      <c r="C20">
        <f>C7*0.02</f>
        <v>12</v>
      </c>
      <c r="D20" t="s">
        <v>27</v>
      </c>
    </row>
    <row r="21" spans="2:15" x14ac:dyDescent="0.25">
      <c r="B21" s="6"/>
    </row>
    <row r="22" spans="2:15" x14ac:dyDescent="0.25">
      <c r="B22" s="7" t="s">
        <v>17</v>
      </c>
      <c r="O22" t="s">
        <v>31</v>
      </c>
    </row>
    <row r="23" spans="2:15" x14ac:dyDescent="0.25">
      <c r="B23" s="6"/>
      <c r="C23">
        <f>C10*0.01+C11*0.02</f>
        <v>13</v>
      </c>
      <c r="D23" t="s">
        <v>28</v>
      </c>
    </row>
    <row r="24" spans="2:15" x14ac:dyDescent="0.25">
      <c r="B24" s="6"/>
    </row>
    <row r="25" spans="2:15" x14ac:dyDescent="0.25">
      <c r="B25" s="7" t="s">
        <v>18</v>
      </c>
      <c r="G25" t="s">
        <v>29</v>
      </c>
    </row>
    <row r="26" spans="2:15" x14ac:dyDescent="0.25">
      <c r="C26" t="s">
        <v>30</v>
      </c>
      <c r="D26">
        <f>C20-C23</f>
        <v>-1</v>
      </c>
      <c r="G26" t="s">
        <v>32</v>
      </c>
    </row>
    <row r="29" spans="2:15" x14ac:dyDescent="0.25">
      <c r="B29" s="9" t="s">
        <v>19</v>
      </c>
    </row>
    <row r="31" spans="2:15" x14ac:dyDescent="0.25">
      <c r="B31" s="10" t="s">
        <v>20</v>
      </c>
    </row>
    <row r="32" spans="2:15" x14ac:dyDescent="0.25">
      <c r="B32" s="8"/>
    </row>
    <row r="33" spans="2:10" x14ac:dyDescent="0.25">
      <c r="B33" s="9"/>
    </row>
    <row r="34" spans="2:10" x14ac:dyDescent="0.25">
      <c r="B34" s="11" t="s">
        <v>21</v>
      </c>
      <c r="I34">
        <f>-300*E6*0.02</f>
        <v>-39</v>
      </c>
      <c r="J34" t="s">
        <v>33</v>
      </c>
    </row>
    <row r="35" spans="2:10" x14ac:dyDescent="0.25">
      <c r="B35" s="6"/>
    </row>
    <row r="36" spans="2:10" x14ac:dyDescent="0.25">
      <c r="B36" s="11" t="s">
        <v>22</v>
      </c>
    </row>
    <row r="40" spans="2:10" x14ac:dyDescent="0.25">
      <c r="B40" s="9" t="s">
        <v>23</v>
      </c>
      <c r="F40" s="15">
        <f>I34/C12</f>
        <v>-0.26</v>
      </c>
    </row>
    <row r="41" spans="2:10" x14ac:dyDescent="0.25">
      <c r="B41" s="8"/>
    </row>
    <row r="42" spans="2:10" x14ac:dyDescent="0.25">
      <c r="B42" s="10" t="s">
        <v>24</v>
      </c>
      <c r="F42" t="s">
        <v>34</v>
      </c>
    </row>
    <row r="43" spans="2:10" x14ac:dyDescent="0.25">
      <c r="B43" s="8"/>
    </row>
    <row r="44" spans="2:10" x14ac:dyDescent="0.25">
      <c r="B44" s="10" t="s">
        <v>25</v>
      </c>
    </row>
    <row r="45" spans="2:10" x14ac:dyDescent="0.25">
      <c r="C45" t="s">
        <v>35</v>
      </c>
    </row>
    <row r="46" spans="2:10" x14ac:dyDescent="0.25">
      <c r="C46" t="s">
        <v>36</v>
      </c>
    </row>
    <row r="47" spans="2:10" x14ac:dyDescent="0.25">
      <c r="C47" t="s">
        <v>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OCEGUERA GOMEZ, ABRAHAM</dc:creator>
  <cp:lastModifiedBy>GOMEZ JIMENEZ, SAMUEL</cp:lastModifiedBy>
  <dcterms:created xsi:type="dcterms:W3CDTF">2026-03-25T16:06:01Z</dcterms:created>
  <dcterms:modified xsi:type="dcterms:W3CDTF">2026-05-15T20:17:28Z</dcterms:modified>
</cp:coreProperties>
</file>