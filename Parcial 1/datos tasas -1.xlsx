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13_ncr:1_{7A678F69-59C0-4DAC-B536-1E6AEB314D08}" xr6:coauthVersionLast="47" xr6:coauthVersionMax="47" xr10:uidLastSave="{00000000-0000-0000-0000-000000000000}"/>
  <bookViews>
    <workbookView xWindow="-120" yWindow="-120" windowWidth="29040" windowHeight="15720" activeTab="2" xr2:uid="{303077ED-3F2A-47F8-9B97-4627E0A1DED7}"/>
  </bookViews>
  <sheets>
    <sheet name="2 años" sheetId="1" r:id="rId1"/>
    <sheet name="10 años" sheetId="2" r:id="rId2"/>
    <sheet name="soluc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4" l="1"/>
  <c r="H2" i="4"/>
  <c r="G2" i="4"/>
  <c r="F2" i="4"/>
  <c r="R3" i="4"/>
  <c r="R4" i="4"/>
  <c r="Q3" i="4"/>
  <c r="Q4" i="4"/>
  <c r="G8" i="4" l="1"/>
  <c r="G9" i="4"/>
  <c r="G10" i="4"/>
  <c r="G16" i="4"/>
  <c r="G17" i="4"/>
  <c r="G18" i="4"/>
  <c r="G24" i="4"/>
  <c r="G25" i="4"/>
  <c r="G26" i="4"/>
  <c r="G32" i="4"/>
  <c r="G33" i="4"/>
  <c r="G34" i="4"/>
  <c r="G40" i="4"/>
  <c r="G41" i="4"/>
  <c r="G42" i="4"/>
  <c r="G48" i="4"/>
  <c r="G49" i="4"/>
  <c r="G50" i="4"/>
  <c r="G56" i="4"/>
  <c r="G57" i="4"/>
  <c r="G58" i="4"/>
  <c r="G64" i="4"/>
  <c r="G65" i="4"/>
  <c r="G66" i="4"/>
  <c r="G72" i="4"/>
  <c r="G73" i="4"/>
  <c r="G74" i="4"/>
  <c r="G80" i="4"/>
  <c r="G81" i="4"/>
  <c r="G82" i="4"/>
  <c r="G88" i="4"/>
  <c r="G89" i="4"/>
  <c r="G90" i="4"/>
  <c r="G96" i="4"/>
  <c r="G97" i="4"/>
  <c r="G98" i="4"/>
  <c r="G104" i="4"/>
  <c r="G105" i="4"/>
  <c r="G106" i="4"/>
  <c r="G112" i="4"/>
  <c r="G113" i="4"/>
  <c r="G114" i="4"/>
  <c r="G120" i="4"/>
  <c r="G121" i="4"/>
  <c r="G122" i="4"/>
  <c r="G128" i="4"/>
  <c r="G129" i="4"/>
  <c r="G130" i="4"/>
  <c r="G136" i="4"/>
  <c r="G137" i="4"/>
  <c r="G138" i="4"/>
  <c r="G144" i="4"/>
  <c r="G145" i="4"/>
  <c r="G146" i="4"/>
  <c r="G152" i="4"/>
  <c r="G153" i="4"/>
  <c r="G154" i="4"/>
  <c r="G160" i="4"/>
  <c r="G161" i="4"/>
  <c r="G162" i="4"/>
  <c r="G168" i="4"/>
  <c r="G169" i="4"/>
  <c r="G170" i="4"/>
  <c r="G176" i="4"/>
  <c r="G177" i="4"/>
  <c r="G178" i="4"/>
  <c r="G184" i="4"/>
  <c r="G185" i="4"/>
  <c r="G186" i="4"/>
  <c r="G192" i="4"/>
  <c r="G193" i="4"/>
  <c r="G194" i="4"/>
  <c r="G200" i="4"/>
  <c r="G201" i="4"/>
  <c r="G202" i="4"/>
  <c r="G208" i="4"/>
  <c r="G209" i="4"/>
  <c r="G210" i="4"/>
  <c r="G216" i="4"/>
  <c r="G217" i="4"/>
  <c r="G218" i="4"/>
  <c r="G224" i="4"/>
  <c r="G225" i="4"/>
  <c r="G226" i="4"/>
  <c r="G232" i="4"/>
  <c r="G233" i="4"/>
  <c r="G234" i="4"/>
  <c r="G240" i="4"/>
  <c r="G241" i="4"/>
  <c r="G242" i="4"/>
  <c r="G248" i="4"/>
  <c r="G249" i="4"/>
  <c r="G250" i="4"/>
  <c r="G256" i="4"/>
  <c r="G257" i="4"/>
  <c r="G258" i="4"/>
  <c r="G264" i="4"/>
  <c r="G265" i="4"/>
  <c r="G266" i="4"/>
  <c r="G272" i="4"/>
  <c r="G273" i="4"/>
  <c r="G274" i="4"/>
  <c r="G280" i="4"/>
  <c r="G281" i="4"/>
  <c r="G282" i="4"/>
  <c r="G288" i="4"/>
  <c r="G289" i="4"/>
  <c r="G290" i="4"/>
  <c r="G296" i="4"/>
  <c r="G297" i="4"/>
  <c r="G298" i="4"/>
  <c r="G304" i="4"/>
  <c r="G305" i="4"/>
  <c r="G306" i="4"/>
  <c r="G312" i="4"/>
  <c r="G313" i="4"/>
  <c r="G314" i="4"/>
  <c r="G320" i="4"/>
  <c r="G321" i="4"/>
  <c r="G322" i="4"/>
  <c r="G328" i="4"/>
  <c r="G329" i="4"/>
  <c r="G330" i="4"/>
  <c r="G336" i="4"/>
  <c r="G337" i="4"/>
  <c r="G338" i="4"/>
  <c r="G344" i="4"/>
  <c r="G345" i="4"/>
  <c r="G346" i="4"/>
  <c r="G352" i="4"/>
  <c r="G353" i="4"/>
  <c r="G354" i="4"/>
  <c r="G360" i="4"/>
  <c r="G361" i="4"/>
  <c r="G362" i="4"/>
  <c r="G368" i="4"/>
  <c r="G369" i="4"/>
  <c r="G370" i="4"/>
  <c r="G376" i="4"/>
  <c r="G377" i="4"/>
  <c r="G378" i="4"/>
  <c r="G384" i="4"/>
  <c r="G385" i="4"/>
  <c r="G386" i="4"/>
  <c r="G392" i="4"/>
  <c r="G393" i="4"/>
  <c r="G394" i="4"/>
  <c r="G400" i="4"/>
  <c r="G401" i="4"/>
  <c r="G402" i="4"/>
  <c r="G408" i="4"/>
  <c r="G409" i="4"/>
  <c r="G410" i="4"/>
  <c r="G416" i="4"/>
  <c r="G417" i="4"/>
  <c r="G418" i="4"/>
  <c r="G424" i="4"/>
  <c r="G425" i="4"/>
  <c r="G426" i="4"/>
  <c r="G432" i="4"/>
  <c r="G433" i="4"/>
  <c r="G434" i="4"/>
  <c r="G440" i="4"/>
  <c r="G441" i="4"/>
  <c r="G442" i="4"/>
  <c r="G448" i="4"/>
  <c r="G449" i="4"/>
  <c r="G450" i="4"/>
  <c r="G456" i="4"/>
  <c r="G457" i="4"/>
  <c r="G458" i="4"/>
  <c r="G464" i="4"/>
  <c r="G465" i="4"/>
  <c r="G466" i="4"/>
  <c r="G472" i="4"/>
  <c r="G473" i="4"/>
  <c r="G474" i="4"/>
  <c r="G480" i="4"/>
  <c r="G481" i="4"/>
  <c r="G482" i="4"/>
  <c r="G488" i="4"/>
  <c r="G489" i="4"/>
  <c r="G490" i="4"/>
  <c r="G496" i="4"/>
  <c r="G497" i="4"/>
  <c r="G498" i="4"/>
  <c r="G504" i="4"/>
  <c r="G505" i="4"/>
  <c r="G506" i="4"/>
  <c r="G512" i="4"/>
  <c r="G513" i="4"/>
  <c r="G514" i="4"/>
  <c r="G520" i="4"/>
  <c r="G521" i="4"/>
  <c r="G522" i="4"/>
  <c r="G3" i="4"/>
  <c r="P4" i="4"/>
  <c r="L5" i="4"/>
  <c r="G519" i="4" l="1"/>
  <c r="G511" i="4"/>
  <c r="G503" i="4"/>
  <c r="G495" i="4"/>
  <c r="G487" i="4"/>
  <c r="G479" i="4"/>
  <c r="G471" i="4"/>
  <c r="G463" i="4"/>
  <c r="G455" i="4"/>
  <c r="G447" i="4"/>
  <c r="G439" i="4"/>
  <c r="G431" i="4"/>
  <c r="G423" i="4"/>
  <c r="G415" i="4"/>
  <c r="G407" i="4"/>
  <c r="G399" i="4"/>
  <c r="G391" i="4"/>
  <c r="G383" i="4"/>
  <c r="G375" i="4"/>
  <c r="G367" i="4"/>
  <c r="G359" i="4"/>
  <c r="G351" i="4"/>
  <c r="G343" i="4"/>
  <c r="G335" i="4"/>
  <c r="G327" i="4"/>
  <c r="G319" i="4"/>
  <c r="G311" i="4"/>
  <c r="G303" i="4"/>
  <c r="G295" i="4"/>
  <c r="G287" i="4"/>
  <c r="G279" i="4"/>
  <c r="G271" i="4"/>
  <c r="G263" i="4"/>
  <c r="G255" i="4"/>
  <c r="G247" i="4"/>
  <c r="G239" i="4"/>
  <c r="G231" i="4"/>
  <c r="G223" i="4"/>
  <c r="G215" i="4"/>
  <c r="G207" i="4"/>
  <c r="G199" i="4"/>
  <c r="G191" i="4"/>
  <c r="G183" i="4"/>
  <c r="G175" i="4"/>
  <c r="G167" i="4"/>
  <c r="G159" i="4"/>
  <c r="G151" i="4"/>
  <c r="G143" i="4"/>
  <c r="G135" i="4"/>
  <c r="G127" i="4"/>
  <c r="G119" i="4"/>
  <c r="G111" i="4"/>
  <c r="G103" i="4"/>
  <c r="G95" i="4"/>
  <c r="G87" i="4"/>
  <c r="G79" i="4"/>
  <c r="G71" i="4"/>
  <c r="G63" i="4"/>
  <c r="G55" i="4"/>
  <c r="G47" i="4"/>
  <c r="G39" i="4"/>
  <c r="G31" i="4"/>
  <c r="G23" i="4"/>
  <c r="G15" i="4"/>
  <c r="G7" i="4"/>
  <c r="G518" i="4"/>
  <c r="G510" i="4"/>
  <c r="G502" i="4"/>
  <c r="G494" i="4"/>
  <c r="G486" i="4"/>
  <c r="G478" i="4"/>
  <c r="G470" i="4"/>
  <c r="G462" i="4"/>
  <c r="G454" i="4"/>
  <c r="G446" i="4"/>
  <c r="G438" i="4"/>
  <c r="G430" i="4"/>
  <c r="G422" i="4"/>
  <c r="G414" i="4"/>
  <c r="G406" i="4"/>
  <c r="G398" i="4"/>
  <c r="G390" i="4"/>
  <c r="G382" i="4"/>
  <c r="G374" i="4"/>
  <c r="G366" i="4"/>
  <c r="G358" i="4"/>
  <c r="G350" i="4"/>
  <c r="G342" i="4"/>
  <c r="G334" i="4"/>
  <c r="G326" i="4"/>
  <c r="G318" i="4"/>
  <c r="G310" i="4"/>
  <c r="G302" i="4"/>
  <c r="G294" i="4"/>
  <c r="G286" i="4"/>
  <c r="G278" i="4"/>
  <c r="G270" i="4"/>
  <c r="G262" i="4"/>
  <c r="G254" i="4"/>
  <c r="G246" i="4"/>
  <c r="G238" i="4"/>
  <c r="G230" i="4"/>
  <c r="G222" i="4"/>
  <c r="G214" i="4"/>
  <c r="G206" i="4"/>
  <c r="G198" i="4"/>
  <c r="G190" i="4"/>
  <c r="G182" i="4"/>
  <c r="G174" i="4"/>
  <c r="G166" i="4"/>
  <c r="G158" i="4"/>
  <c r="G150" i="4"/>
  <c r="G142" i="4"/>
  <c r="G134" i="4"/>
  <c r="G126" i="4"/>
  <c r="G118" i="4"/>
  <c r="G110" i="4"/>
  <c r="G102" i="4"/>
  <c r="G94" i="4"/>
  <c r="G86" i="4"/>
  <c r="G78" i="4"/>
  <c r="G70" i="4"/>
  <c r="G62" i="4"/>
  <c r="G54" i="4"/>
  <c r="G46" i="4"/>
  <c r="G38" i="4"/>
  <c r="G30" i="4"/>
  <c r="G22" i="4"/>
  <c r="G14" i="4"/>
  <c r="G6" i="4"/>
  <c r="G517" i="4"/>
  <c r="G509" i="4"/>
  <c r="G501" i="4"/>
  <c r="G493" i="4"/>
  <c r="G485" i="4"/>
  <c r="G477" i="4"/>
  <c r="G469" i="4"/>
  <c r="G461" i="4"/>
  <c r="G453" i="4"/>
  <c r="G445" i="4"/>
  <c r="G437" i="4"/>
  <c r="G429" i="4"/>
  <c r="G421" i="4"/>
  <c r="G413" i="4"/>
  <c r="G405" i="4"/>
  <c r="G397" i="4"/>
  <c r="G389" i="4"/>
  <c r="G381" i="4"/>
  <c r="G373" i="4"/>
  <c r="G365" i="4"/>
  <c r="G357" i="4"/>
  <c r="G349" i="4"/>
  <c r="G341" i="4"/>
  <c r="G333" i="4"/>
  <c r="G325" i="4"/>
  <c r="G317" i="4"/>
  <c r="G309" i="4"/>
  <c r="G301" i="4"/>
  <c r="G293" i="4"/>
  <c r="G285" i="4"/>
  <c r="G277" i="4"/>
  <c r="G269" i="4"/>
  <c r="G261" i="4"/>
  <c r="G253" i="4"/>
  <c r="G245" i="4"/>
  <c r="G237" i="4"/>
  <c r="G229" i="4"/>
  <c r="G221" i="4"/>
  <c r="G213" i="4"/>
  <c r="G205" i="4"/>
  <c r="G197" i="4"/>
  <c r="G189" i="4"/>
  <c r="G181" i="4"/>
  <c r="G173" i="4"/>
  <c r="G165" i="4"/>
  <c r="G157" i="4"/>
  <c r="G149" i="4"/>
  <c r="G141" i="4"/>
  <c r="G133" i="4"/>
  <c r="G125" i="4"/>
  <c r="G117" i="4"/>
  <c r="G109" i="4"/>
  <c r="G101" i="4"/>
  <c r="G93" i="4"/>
  <c r="G85" i="4"/>
  <c r="G77" i="4"/>
  <c r="G69" i="4"/>
  <c r="G61" i="4"/>
  <c r="G53" i="4"/>
  <c r="G45" i="4"/>
  <c r="G37" i="4"/>
  <c r="G29" i="4"/>
  <c r="G21" i="4"/>
  <c r="G13" i="4"/>
  <c r="G5" i="4"/>
  <c r="G524" i="4"/>
  <c r="G516" i="4"/>
  <c r="G508" i="4"/>
  <c r="G500" i="4"/>
  <c r="G492" i="4"/>
  <c r="G484" i="4"/>
  <c r="G476" i="4"/>
  <c r="G468" i="4"/>
  <c r="G460" i="4"/>
  <c r="G452" i="4"/>
  <c r="G444" i="4"/>
  <c r="G436" i="4"/>
  <c r="G428" i="4"/>
  <c r="G420" i="4"/>
  <c r="G412" i="4"/>
  <c r="G404" i="4"/>
  <c r="G396" i="4"/>
  <c r="G388" i="4"/>
  <c r="G380" i="4"/>
  <c r="G372" i="4"/>
  <c r="G364" i="4"/>
  <c r="G356" i="4"/>
  <c r="G348" i="4"/>
  <c r="G340" i="4"/>
  <c r="G332" i="4"/>
  <c r="G324" i="4"/>
  <c r="G316" i="4"/>
  <c r="G308" i="4"/>
  <c r="G300" i="4"/>
  <c r="G292" i="4"/>
  <c r="G284" i="4"/>
  <c r="G276" i="4"/>
  <c r="G268" i="4"/>
  <c r="G260" i="4"/>
  <c r="G252" i="4"/>
  <c r="G244" i="4"/>
  <c r="G236" i="4"/>
  <c r="G228" i="4"/>
  <c r="G220" i="4"/>
  <c r="G212" i="4"/>
  <c r="G204" i="4"/>
  <c r="G196" i="4"/>
  <c r="G188" i="4"/>
  <c r="G180" i="4"/>
  <c r="G172" i="4"/>
  <c r="G164" i="4"/>
  <c r="G156" i="4"/>
  <c r="G148" i="4"/>
  <c r="G140" i="4"/>
  <c r="G132" i="4"/>
  <c r="G124" i="4"/>
  <c r="G116" i="4"/>
  <c r="G108" i="4"/>
  <c r="G100" i="4"/>
  <c r="G92" i="4"/>
  <c r="G84" i="4"/>
  <c r="G76" i="4"/>
  <c r="G68" i="4"/>
  <c r="G60" i="4"/>
  <c r="G52" i="4"/>
  <c r="G44" i="4"/>
  <c r="G36" i="4"/>
  <c r="G28" i="4"/>
  <c r="G20" i="4"/>
  <c r="G12" i="4"/>
  <c r="G4" i="4"/>
  <c r="G523" i="4"/>
  <c r="G515" i="4"/>
  <c r="G507" i="4"/>
  <c r="G499" i="4"/>
  <c r="G491" i="4"/>
  <c r="G483" i="4"/>
  <c r="G475" i="4"/>
  <c r="G467" i="4"/>
  <c r="G459" i="4"/>
  <c r="G451" i="4"/>
  <c r="G443" i="4"/>
  <c r="G435" i="4"/>
  <c r="G427" i="4"/>
  <c r="G419" i="4"/>
  <c r="G411" i="4"/>
  <c r="G403" i="4"/>
  <c r="G395" i="4"/>
  <c r="G387" i="4"/>
  <c r="G379" i="4"/>
  <c r="G371" i="4"/>
  <c r="G363" i="4"/>
  <c r="G355" i="4"/>
  <c r="G347" i="4"/>
  <c r="G339" i="4"/>
  <c r="G331" i="4"/>
  <c r="G323" i="4"/>
  <c r="G315" i="4"/>
  <c r="G307" i="4"/>
  <c r="G299" i="4"/>
  <c r="G291" i="4"/>
  <c r="G283" i="4"/>
  <c r="G275" i="4"/>
  <c r="G267" i="4"/>
  <c r="G259" i="4"/>
  <c r="G251" i="4"/>
  <c r="G243" i="4"/>
  <c r="G235" i="4"/>
  <c r="G227" i="4"/>
  <c r="G219" i="4"/>
  <c r="G211" i="4"/>
  <c r="G203" i="4"/>
  <c r="G195" i="4"/>
  <c r="G187" i="4"/>
  <c r="G179" i="4"/>
  <c r="G171" i="4"/>
  <c r="G163" i="4"/>
  <c r="G155" i="4"/>
  <c r="G147" i="4"/>
  <c r="G139" i="4"/>
  <c r="G131" i="4"/>
  <c r="G123" i="4"/>
  <c r="G115" i="4"/>
  <c r="G107" i="4"/>
  <c r="G99" i="4"/>
  <c r="G91" i="4"/>
  <c r="G83" i="4"/>
  <c r="G75" i="4"/>
  <c r="G67" i="4"/>
  <c r="G59" i="4"/>
  <c r="G51" i="4"/>
  <c r="G43" i="4"/>
  <c r="G35" i="4"/>
  <c r="G27" i="4"/>
  <c r="G19" i="4"/>
  <c r="G11" i="4"/>
  <c r="P3" i="4"/>
  <c r="F3" i="4" l="1"/>
  <c r="H3" i="4" s="1"/>
  <c r="F13" i="4"/>
  <c r="H13" i="4" s="1"/>
  <c r="F17" i="4"/>
  <c r="H17" i="4" s="1"/>
  <c r="F20" i="4"/>
  <c r="H20" i="4" s="1"/>
  <c r="F24" i="4"/>
  <c r="H24" i="4" s="1"/>
  <c r="F27" i="4"/>
  <c r="H27" i="4" s="1"/>
  <c r="F31" i="4"/>
  <c r="H31" i="4" s="1"/>
  <c r="F38" i="4"/>
  <c r="H38" i="4" s="1"/>
  <c r="F45" i="4"/>
  <c r="H45" i="4" s="1"/>
  <c r="F49" i="4"/>
  <c r="H49" i="4" s="1"/>
  <c r="F52" i="4"/>
  <c r="H52" i="4" s="1"/>
  <c r="F56" i="4"/>
  <c r="H56" i="4" s="1"/>
  <c r="F59" i="4"/>
  <c r="H59" i="4" s="1"/>
  <c r="F63" i="4"/>
  <c r="H63" i="4" s="1"/>
  <c r="F70" i="4"/>
  <c r="H70" i="4" s="1"/>
  <c r="F77" i="4"/>
  <c r="H77" i="4" s="1"/>
  <c r="F81" i="4"/>
  <c r="H81" i="4" s="1"/>
  <c r="F84" i="4"/>
  <c r="H84" i="4" s="1"/>
  <c r="F88" i="4"/>
  <c r="H88" i="4" s="1"/>
  <c r="F91" i="4"/>
  <c r="H91" i="4" s="1"/>
  <c r="F95" i="4"/>
  <c r="H95" i="4" s="1"/>
  <c r="F102" i="4"/>
  <c r="H102" i="4" s="1"/>
  <c r="F109" i="4"/>
  <c r="H109" i="4" s="1"/>
  <c r="F113" i="4"/>
  <c r="H113" i="4" s="1"/>
  <c r="F116" i="4"/>
  <c r="H116" i="4" s="1"/>
  <c r="F120" i="4"/>
  <c r="H120" i="4" s="1"/>
  <c r="F123" i="4"/>
  <c r="H123" i="4" s="1"/>
  <c r="F127" i="4"/>
  <c r="H127" i="4" s="1"/>
  <c r="F134" i="4"/>
  <c r="H134" i="4" s="1"/>
  <c r="F141" i="4"/>
  <c r="H141" i="4" s="1"/>
  <c r="F145" i="4"/>
  <c r="H145" i="4" s="1"/>
  <c r="F148" i="4"/>
  <c r="H148" i="4" s="1"/>
  <c r="F152" i="4"/>
  <c r="H152" i="4" s="1"/>
  <c r="F155" i="4"/>
  <c r="H155" i="4" s="1"/>
  <c r="F159" i="4"/>
  <c r="H159" i="4" s="1"/>
  <c r="F166" i="4"/>
  <c r="H166" i="4" s="1"/>
  <c r="F173" i="4"/>
  <c r="H173" i="4" s="1"/>
  <c r="F177" i="4"/>
  <c r="H177" i="4" s="1"/>
  <c r="F180" i="4"/>
  <c r="H180" i="4" s="1"/>
  <c r="F184" i="4"/>
  <c r="H184" i="4" s="1"/>
  <c r="F187" i="4"/>
  <c r="H187" i="4" s="1"/>
  <c r="F191" i="4"/>
  <c r="H191" i="4" s="1"/>
  <c r="F198" i="4"/>
  <c r="H198" i="4" s="1"/>
  <c r="F205" i="4"/>
  <c r="H205" i="4" s="1"/>
  <c r="F209" i="4"/>
  <c r="H209" i="4" s="1"/>
  <c r="F212" i="4"/>
  <c r="H212" i="4" s="1"/>
  <c r="F216" i="4"/>
  <c r="H216" i="4" s="1"/>
  <c r="F219" i="4"/>
  <c r="H219" i="4" s="1"/>
  <c r="F223" i="4"/>
  <c r="H223" i="4" s="1"/>
  <c r="F230" i="4"/>
  <c r="H230" i="4" s="1"/>
  <c r="F237" i="4"/>
  <c r="H237" i="4" s="1"/>
  <c r="F241" i="4"/>
  <c r="H241" i="4" s="1"/>
  <c r="F244" i="4"/>
  <c r="H244" i="4" s="1"/>
  <c r="F248" i="4"/>
  <c r="H248" i="4" s="1"/>
  <c r="F251" i="4"/>
  <c r="H251" i="4" s="1"/>
  <c r="F255" i="4"/>
  <c r="H255" i="4" s="1"/>
  <c r="F262" i="4"/>
  <c r="H262" i="4" s="1"/>
  <c r="F269" i="4"/>
  <c r="H269" i="4" s="1"/>
  <c r="F273" i="4"/>
  <c r="H273" i="4" s="1"/>
  <c r="F276" i="4"/>
  <c r="H276" i="4" s="1"/>
  <c r="F280" i="4"/>
  <c r="H280" i="4" s="1"/>
  <c r="F283" i="4"/>
  <c r="H283" i="4" s="1"/>
  <c r="F287" i="4"/>
  <c r="H287" i="4" s="1"/>
  <c r="F294" i="4"/>
  <c r="H294" i="4" s="1"/>
  <c r="F301" i="4"/>
  <c r="H301" i="4" s="1"/>
  <c r="F305" i="4"/>
  <c r="H305" i="4" s="1"/>
  <c r="F308" i="4"/>
  <c r="H308" i="4" s="1"/>
  <c r="F312" i="4"/>
  <c r="H312" i="4" s="1"/>
  <c r="F315" i="4"/>
  <c r="H315" i="4" s="1"/>
  <c r="F319" i="4"/>
  <c r="H319" i="4" s="1"/>
  <c r="F326" i="4"/>
  <c r="H326" i="4" s="1"/>
  <c r="F333" i="4"/>
  <c r="H333" i="4" s="1"/>
  <c r="F337" i="4"/>
  <c r="H337" i="4" s="1"/>
  <c r="F340" i="4"/>
  <c r="H340" i="4" s="1"/>
  <c r="F7" i="4"/>
  <c r="H7" i="4" s="1"/>
  <c r="F10" i="4"/>
  <c r="H10" i="4" s="1"/>
  <c r="F42" i="4"/>
  <c r="H42" i="4" s="1"/>
  <c r="F74" i="4"/>
  <c r="H74" i="4" s="1"/>
  <c r="F106" i="4"/>
  <c r="H106" i="4" s="1"/>
  <c r="F138" i="4"/>
  <c r="H138" i="4" s="1"/>
  <c r="F170" i="4"/>
  <c r="H170" i="4" s="1"/>
  <c r="F4" i="4"/>
  <c r="H4" i="4" s="1"/>
  <c r="F14" i="4"/>
  <c r="H14" i="4" s="1"/>
  <c r="F21" i="4"/>
  <c r="H21" i="4" s="1"/>
  <c r="F25" i="4"/>
  <c r="H25" i="4" s="1"/>
  <c r="F28" i="4"/>
  <c r="H28" i="4" s="1"/>
  <c r="F32" i="4"/>
  <c r="H32" i="4" s="1"/>
  <c r="F35" i="4"/>
  <c r="H35" i="4" s="1"/>
  <c r="F39" i="4"/>
  <c r="H39" i="4" s="1"/>
  <c r="F46" i="4"/>
  <c r="H46" i="4" s="1"/>
  <c r="F53" i="4"/>
  <c r="H53" i="4" s="1"/>
  <c r="F57" i="4"/>
  <c r="H57" i="4" s="1"/>
  <c r="F60" i="4"/>
  <c r="H60" i="4" s="1"/>
  <c r="F64" i="4"/>
  <c r="H64" i="4" s="1"/>
  <c r="F67" i="4"/>
  <c r="H67" i="4" s="1"/>
  <c r="F71" i="4"/>
  <c r="H71" i="4" s="1"/>
  <c r="F78" i="4"/>
  <c r="H78" i="4" s="1"/>
  <c r="F85" i="4"/>
  <c r="H85" i="4" s="1"/>
  <c r="F89" i="4"/>
  <c r="H89" i="4" s="1"/>
  <c r="F92" i="4"/>
  <c r="H92" i="4" s="1"/>
  <c r="F96" i="4"/>
  <c r="H96" i="4" s="1"/>
  <c r="F99" i="4"/>
  <c r="H99" i="4" s="1"/>
  <c r="F103" i="4"/>
  <c r="H103" i="4" s="1"/>
  <c r="F110" i="4"/>
  <c r="H110" i="4" s="1"/>
  <c r="F117" i="4"/>
  <c r="H117" i="4" s="1"/>
  <c r="F121" i="4"/>
  <c r="H121" i="4" s="1"/>
  <c r="F124" i="4"/>
  <c r="H124" i="4" s="1"/>
  <c r="F128" i="4"/>
  <c r="H128" i="4" s="1"/>
  <c r="F131" i="4"/>
  <c r="H131" i="4" s="1"/>
  <c r="F135" i="4"/>
  <c r="H135" i="4" s="1"/>
  <c r="F142" i="4"/>
  <c r="H142" i="4" s="1"/>
  <c r="F149" i="4"/>
  <c r="H149" i="4" s="1"/>
  <c r="F153" i="4"/>
  <c r="H153" i="4" s="1"/>
  <c r="F156" i="4"/>
  <c r="H156" i="4" s="1"/>
  <c r="F160" i="4"/>
  <c r="H160" i="4" s="1"/>
  <c r="F163" i="4"/>
  <c r="H163" i="4" s="1"/>
  <c r="F167" i="4"/>
  <c r="H167" i="4" s="1"/>
  <c r="F174" i="4"/>
  <c r="H174" i="4" s="1"/>
  <c r="F181" i="4"/>
  <c r="H181" i="4" s="1"/>
  <c r="F185" i="4"/>
  <c r="H185" i="4" s="1"/>
  <c r="F188" i="4"/>
  <c r="H188" i="4" s="1"/>
  <c r="F192" i="4"/>
  <c r="H192" i="4" s="1"/>
  <c r="F195" i="4"/>
  <c r="H195" i="4" s="1"/>
  <c r="F199" i="4"/>
  <c r="H199" i="4" s="1"/>
  <c r="F206" i="4"/>
  <c r="H206" i="4" s="1"/>
  <c r="F213" i="4"/>
  <c r="H213" i="4" s="1"/>
  <c r="F217" i="4"/>
  <c r="H217" i="4" s="1"/>
  <c r="F220" i="4"/>
  <c r="H220" i="4" s="1"/>
  <c r="F224" i="4"/>
  <c r="H224" i="4" s="1"/>
  <c r="F227" i="4"/>
  <c r="H227" i="4" s="1"/>
  <c r="F231" i="4"/>
  <c r="H231" i="4" s="1"/>
  <c r="F238" i="4"/>
  <c r="H238" i="4" s="1"/>
  <c r="F245" i="4"/>
  <c r="H245" i="4" s="1"/>
  <c r="F249" i="4"/>
  <c r="H249" i="4" s="1"/>
  <c r="F252" i="4"/>
  <c r="H252" i="4" s="1"/>
  <c r="F256" i="4"/>
  <c r="H256" i="4" s="1"/>
  <c r="F259" i="4"/>
  <c r="H259" i="4" s="1"/>
  <c r="F263" i="4"/>
  <c r="H263" i="4" s="1"/>
  <c r="F270" i="4"/>
  <c r="H270" i="4" s="1"/>
  <c r="F277" i="4"/>
  <c r="H277" i="4" s="1"/>
  <c r="F281" i="4"/>
  <c r="H281" i="4" s="1"/>
  <c r="F284" i="4"/>
  <c r="H284" i="4" s="1"/>
  <c r="F288" i="4"/>
  <c r="H288" i="4" s="1"/>
  <c r="F291" i="4"/>
  <c r="H291" i="4" s="1"/>
  <c r="F295" i="4"/>
  <c r="H295" i="4" s="1"/>
  <c r="F302" i="4"/>
  <c r="H302" i="4" s="1"/>
  <c r="F309" i="4"/>
  <c r="H309" i="4" s="1"/>
  <c r="F313" i="4"/>
  <c r="H313" i="4" s="1"/>
  <c r="F316" i="4"/>
  <c r="H316" i="4" s="1"/>
  <c r="F320" i="4"/>
  <c r="H320" i="4" s="1"/>
  <c r="F323" i="4"/>
  <c r="H323" i="4" s="1"/>
  <c r="F327" i="4"/>
  <c r="H327" i="4" s="1"/>
  <c r="F8" i="4"/>
  <c r="H8" i="4" s="1"/>
  <c r="F18" i="4"/>
  <c r="H18" i="4" s="1"/>
  <c r="F50" i="4"/>
  <c r="H50" i="4" s="1"/>
  <c r="F82" i="4"/>
  <c r="H82" i="4" s="1"/>
  <c r="F114" i="4"/>
  <c r="H114" i="4" s="1"/>
  <c r="F146" i="4"/>
  <c r="H146" i="4" s="1"/>
  <c r="F178" i="4"/>
  <c r="H178" i="4" s="1"/>
  <c r="F5" i="4"/>
  <c r="H5" i="4" s="1"/>
  <c r="F11" i="4"/>
  <c r="H11" i="4" s="1"/>
  <c r="F15" i="4"/>
  <c r="H15" i="4" s="1"/>
  <c r="F22" i="4"/>
  <c r="H22" i="4" s="1"/>
  <c r="F29" i="4"/>
  <c r="H29" i="4" s="1"/>
  <c r="F33" i="4"/>
  <c r="H33" i="4" s="1"/>
  <c r="F36" i="4"/>
  <c r="H36" i="4" s="1"/>
  <c r="F40" i="4"/>
  <c r="H40" i="4" s="1"/>
  <c r="F43" i="4"/>
  <c r="H43" i="4" s="1"/>
  <c r="F47" i="4"/>
  <c r="H47" i="4" s="1"/>
  <c r="F54" i="4"/>
  <c r="H54" i="4" s="1"/>
  <c r="F61" i="4"/>
  <c r="H61" i="4" s="1"/>
  <c r="F65" i="4"/>
  <c r="H65" i="4" s="1"/>
  <c r="F68" i="4"/>
  <c r="H68" i="4" s="1"/>
  <c r="F72" i="4"/>
  <c r="H72" i="4" s="1"/>
  <c r="F75" i="4"/>
  <c r="H75" i="4" s="1"/>
  <c r="F79" i="4"/>
  <c r="H79" i="4" s="1"/>
  <c r="F86" i="4"/>
  <c r="H86" i="4" s="1"/>
  <c r="F93" i="4"/>
  <c r="H93" i="4" s="1"/>
  <c r="F97" i="4"/>
  <c r="H97" i="4" s="1"/>
  <c r="F100" i="4"/>
  <c r="H100" i="4" s="1"/>
  <c r="F104" i="4"/>
  <c r="H104" i="4" s="1"/>
  <c r="F107" i="4"/>
  <c r="H107" i="4" s="1"/>
  <c r="F111" i="4"/>
  <c r="H111" i="4" s="1"/>
  <c r="F118" i="4"/>
  <c r="H118" i="4" s="1"/>
  <c r="F125" i="4"/>
  <c r="H125" i="4" s="1"/>
  <c r="F129" i="4"/>
  <c r="H129" i="4" s="1"/>
  <c r="F132" i="4"/>
  <c r="H132" i="4" s="1"/>
  <c r="F136" i="4"/>
  <c r="H136" i="4" s="1"/>
  <c r="F139" i="4"/>
  <c r="H139" i="4" s="1"/>
  <c r="F143" i="4"/>
  <c r="H143" i="4" s="1"/>
  <c r="F150" i="4"/>
  <c r="H150" i="4" s="1"/>
  <c r="F157" i="4"/>
  <c r="H157" i="4" s="1"/>
  <c r="F161" i="4"/>
  <c r="H161" i="4" s="1"/>
  <c r="F164" i="4"/>
  <c r="H164" i="4" s="1"/>
  <c r="F168" i="4"/>
  <c r="H168" i="4" s="1"/>
  <c r="F171" i="4"/>
  <c r="H171" i="4" s="1"/>
  <c r="F175" i="4"/>
  <c r="H175" i="4" s="1"/>
  <c r="F182" i="4"/>
  <c r="H182" i="4" s="1"/>
  <c r="F189" i="4"/>
  <c r="H189" i="4" s="1"/>
  <c r="F193" i="4"/>
  <c r="H193" i="4" s="1"/>
  <c r="F196" i="4"/>
  <c r="H196" i="4" s="1"/>
  <c r="F200" i="4"/>
  <c r="H200" i="4" s="1"/>
  <c r="F203" i="4"/>
  <c r="H203" i="4" s="1"/>
  <c r="F207" i="4"/>
  <c r="H207" i="4" s="1"/>
  <c r="F214" i="4"/>
  <c r="H214" i="4" s="1"/>
  <c r="F221" i="4"/>
  <c r="H221" i="4" s="1"/>
  <c r="F225" i="4"/>
  <c r="H225" i="4" s="1"/>
  <c r="F228" i="4"/>
  <c r="H228" i="4" s="1"/>
  <c r="F232" i="4"/>
  <c r="H232" i="4" s="1"/>
  <c r="F235" i="4"/>
  <c r="H235" i="4" s="1"/>
  <c r="F239" i="4"/>
  <c r="H239" i="4" s="1"/>
  <c r="F246" i="4"/>
  <c r="H246" i="4" s="1"/>
  <c r="F253" i="4"/>
  <c r="H253" i="4" s="1"/>
  <c r="F257" i="4"/>
  <c r="H257" i="4" s="1"/>
  <c r="F260" i="4"/>
  <c r="H260" i="4" s="1"/>
  <c r="F264" i="4"/>
  <c r="H264" i="4" s="1"/>
  <c r="F267" i="4"/>
  <c r="H267" i="4" s="1"/>
  <c r="F271" i="4"/>
  <c r="H271" i="4" s="1"/>
  <c r="F278" i="4"/>
  <c r="H278" i="4" s="1"/>
  <c r="F285" i="4"/>
  <c r="H285" i="4" s="1"/>
  <c r="F289" i="4"/>
  <c r="H289" i="4" s="1"/>
  <c r="F292" i="4"/>
  <c r="H292" i="4" s="1"/>
  <c r="F296" i="4"/>
  <c r="H296" i="4" s="1"/>
  <c r="F299" i="4"/>
  <c r="H299" i="4" s="1"/>
  <c r="F303" i="4"/>
  <c r="H303" i="4" s="1"/>
  <c r="F310" i="4"/>
  <c r="H310" i="4" s="1"/>
  <c r="F317" i="4"/>
  <c r="H317" i="4" s="1"/>
  <c r="F321" i="4"/>
  <c r="H321" i="4" s="1"/>
  <c r="F324" i="4"/>
  <c r="H324" i="4" s="1"/>
  <c r="F328" i="4"/>
  <c r="H328" i="4" s="1"/>
  <c r="F331" i="4"/>
  <c r="H331" i="4" s="1"/>
  <c r="F335" i="4"/>
  <c r="H335" i="4" s="1"/>
  <c r="F342" i="4"/>
  <c r="H342" i="4" s="1"/>
  <c r="F26" i="4"/>
  <c r="H26" i="4" s="1"/>
  <c r="F58" i="4"/>
  <c r="H58" i="4" s="1"/>
  <c r="F90" i="4"/>
  <c r="H90" i="4" s="1"/>
  <c r="F122" i="4"/>
  <c r="H122" i="4" s="1"/>
  <c r="F154" i="4"/>
  <c r="H154" i="4" s="1"/>
  <c r="F186" i="4"/>
  <c r="H186" i="4" s="1"/>
  <c r="F218" i="4"/>
  <c r="H218" i="4" s="1"/>
  <c r="F250" i="4"/>
  <c r="H250" i="4" s="1"/>
  <c r="F282" i="4"/>
  <c r="H282" i="4" s="1"/>
  <c r="F314" i="4"/>
  <c r="H314" i="4" s="1"/>
  <c r="F346" i="4"/>
  <c r="H346" i="4" s="1"/>
  <c r="F9" i="4"/>
  <c r="H9" i="4" s="1"/>
  <c r="F12" i="4"/>
  <c r="H12" i="4" s="1"/>
  <c r="F16" i="4"/>
  <c r="H16" i="4" s="1"/>
  <c r="F19" i="4"/>
  <c r="H19" i="4" s="1"/>
  <c r="F23" i="4"/>
  <c r="H23" i="4" s="1"/>
  <c r="F30" i="4"/>
  <c r="H30" i="4" s="1"/>
  <c r="F37" i="4"/>
  <c r="H37" i="4" s="1"/>
  <c r="F41" i="4"/>
  <c r="H41" i="4" s="1"/>
  <c r="F44" i="4"/>
  <c r="H44" i="4" s="1"/>
  <c r="F48" i="4"/>
  <c r="H48" i="4" s="1"/>
  <c r="F51" i="4"/>
  <c r="H51" i="4" s="1"/>
  <c r="F55" i="4"/>
  <c r="H55" i="4" s="1"/>
  <c r="F62" i="4"/>
  <c r="H62" i="4" s="1"/>
  <c r="F69" i="4"/>
  <c r="H69" i="4" s="1"/>
  <c r="F73" i="4"/>
  <c r="H73" i="4" s="1"/>
  <c r="F76" i="4"/>
  <c r="H76" i="4" s="1"/>
  <c r="F80" i="4"/>
  <c r="H80" i="4" s="1"/>
  <c r="F83" i="4"/>
  <c r="H83" i="4" s="1"/>
  <c r="F87" i="4"/>
  <c r="H87" i="4" s="1"/>
  <c r="F94" i="4"/>
  <c r="H94" i="4" s="1"/>
  <c r="F101" i="4"/>
  <c r="H101" i="4" s="1"/>
  <c r="F105" i="4"/>
  <c r="H105" i="4" s="1"/>
  <c r="F108" i="4"/>
  <c r="H108" i="4" s="1"/>
  <c r="F112" i="4"/>
  <c r="H112" i="4" s="1"/>
  <c r="F115" i="4"/>
  <c r="H115" i="4" s="1"/>
  <c r="F119" i="4"/>
  <c r="H119" i="4" s="1"/>
  <c r="F126" i="4"/>
  <c r="H126" i="4" s="1"/>
  <c r="F133" i="4"/>
  <c r="H133" i="4" s="1"/>
  <c r="F137" i="4"/>
  <c r="H137" i="4" s="1"/>
  <c r="F140" i="4"/>
  <c r="H140" i="4" s="1"/>
  <c r="F144" i="4"/>
  <c r="H144" i="4" s="1"/>
  <c r="F147" i="4"/>
  <c r="H147" i="4" s="1"/>
  <c r="F151" i="4"/>
  <c r="H151" i="4" s="1"/>
  <c r="F158" i="4"/>
  <c r="H158" i="4" s="1"/>
  <c r="F165" i="4"/>
  <c r="H165" i="4" s="1"/>
  <c r="F169" i="4"/>
  <c r="H169" i="4" s="1"/>
  <c r="F172" i="4"/>
  <c r="H172" i="4" s="1"/>
  <c r="F176" i="4"/>
  <c r="H176" i="4" s="1"/>
  <c r="F179" i="4"/>
  <c r="H179" i="4" s="1"/>
  <c r="F183" i="4"/>
  <c r="H183" i="4" s="1"/>
  <c r="F190" i="4"/>
  <c r="H190" i="4" s="1"/>
  <c r="F197" i="4"/>
  <c r="H197" i="4" s="1"/>
  <c r="F201" i="4"/>
  <c r="H201" i="4" s="1"/>
  <c r="F204" i="4"/>
  <c r="H204" i="4" s="1"/>
  <c r="F208" i="4"/>
  <c r="H208" i="4" s="1"/>
  <c r="F211" i="4"/>
  <c r="H211" i="4" s="1"/>
  <c r="F215" i="4"/>
  <c r="H215" i="4" s="1"/>
  <c r="F222" i="4"/>
  <c r="H222" i="4" s="1"/>
  <c r="F229" i="4"/>
  <c r="H229" i="4" s="1"/>
  <c r="F233" i="4"/>
  <c r="H233" i="4" s="1"/>
  <c r="F236" i="4"/>
  <c r="H236" i="4" s="1"/>
  <c r="F240" i="4"/>
  <c r="H240" i="4" s="1"/>
  <c r="F243" i="4"/>
  <c r="H243" i="4" s="1"/>
  <c r="F247" i="4"/>
  <c r="H247" i="4" s="1"/>
  <c r="F254" i="4"/>
  <c r="H254" i="4" s="1"/>
  <c r="F261" i="4"/>
  <c r="H261" i="4" s="1"/>
  <c r="F265" i="4"/>
  <c r="H265" i="4" s="1"/>
  <c r="F268" i="4"/>
  <c r="H268" i="4" s="1"/>
  <c r="F272" i="4"/>
  <c r="H272" i="4" s="1"/>
  <c r="F275" i="4"/>
  <c r="H275" i="4" s="1"/>
  <c r="F279" i="4"/>
  <c r="H279" i="4" s="1"/>
  <c r="F286" i="4"/>
  <c r="H286" i="4" s="1"/>
  <c r="F293" i="4"/>
  <c r="H293" i="4" s="1"/>
  <c r="F297" i="4"/>
  <c r="H297" i="4" s="1"/>
  <c r="F300" i="4"/>
  <c r="H300" i="4" s="1"/>
  <c r="F304" i="4"/>
  <c r="H304" i="4" s="1"/>
  <c r="F307" i="4"/>
  <c r="H307" i="4" s="1"/>
  <c r="F311" i="4"/>
  <c r="H311" i="4" s="1"/>
  <c r="F318" i="4"/>
  <c r="H318" i="4" s="1"/>
  <c r="F325" i="4"/>
  <c r="H325" i="4" s="1"/>
  <c r="F329" i="4"/>
  <c r="H329" i="4" s="1"/>
  <c r="F34" i="4"/>
  <c r="H34" i="4" s="1"/>
  <c r="F162" i="4"/>
  <c r="H162" i="4" s="1"/>
  <c r="F226" i="4"/>
  <c r="H226" i="4" s="1"/>
  <c r="F266" i="4"/>
  <c r="H266" i="4" s="1"/>
  <c r="F306" i="4"/>
  <c r="H306" i="4" s="1"/>
  <c r="F332" i="4"/>
  <c r="H332" i="4" s="1"/>
  <c r="F350" i="4"/>
  <c r="H350" i="4" s="1"/>
  <c r="F357" i="4"/>
  <c r="H357" i="4" s="1"/>
  <c r="F361" i="4"/>
  <c r="H361" i="4" s="1"/>
  <c r="F364" i="4"/>
  <c r="H364" i="4" s="1"/>
  <c r="F368" i="4"/>
  <c r="H368" i="4" s="1"/>
  <c r="F371" i="4"/>
  <c r="H371" i="4" s="1"/>
  <c r="F375" i="4"/>
  <c r="H375" i="4" s="1"/>
  <c r="F378" i="4"/>
  <c r="H378" i="4" s="1"/>
  <c r="F385" i="4"/>
  <c r="H385" i="4" s="1"/>
  <c r="F388" i="4"/>
  <c r="H388" i="4" s="1"/>
  <c r="F392" i="4"/>
  <c r="H392" i="4" s="1"/>
  <c r="F405" i="4"/>
  <c r="H405" i="4" s="1"/>
  <c r="F422" i="4"/>
  <c r="H422" i="4" s="1"/>
  <c r="F435" i="4"/>
  <c r="H435" i="4" s="1"/>
  <c r="F439" i="4"/>
  <c r="H439" i="4" s="1"/>
  <c r="F442" i="4"/>
  <c r="H442" i="4" s="1"/>
  <c r="F449" i="4"/>
  <c r="H449" i="4" s="1"/>
  <c r="F452" i="4"/>
  <c r="H452" i="4" s="1"/>
  <c r="F456" i="4"/>
  <c r="H456" i="4" s="1"/>
  <c r="F469" i="4"/>
  <c r="H469" i="4" s="1"/>
  <c r="F486" i="4"/>
  <c r="H486" i="4" s="1"/>
  <c r="F499" i="4"/>
  <c r="H499" i="4" s="1"/>
  <c r="F503" i="4"/>
  <c r="H503" i="4" s="1"/>
  <c r="F506" i="4"/>
  <c r="H506" i="4" s="1"/>
  <c r="F513" i="4"/>
  <c r="H513" i="4" s="1"/>
  <c r="F516" i="4"/>
  <c r="H516" i="4" s="1"/>
  <c r="F520" i="4"/>
  <c r="H520" i="4" s="1"/>
  <c r="F66" i="4"/>
  <c r="H66" i="4" s="1"/>
  <c r="F194" i="4"/>
  <c r="H194" i="4" s="1"/>
  <c r="F274" i="4"/>
  <c r="H274" i="4" s="1"/>
  <c r="F322" i="4"/>
  <c r="H322" i="4" s="1"/>
  <c r="F338" i="4"/>
  <c r="H338" i="4" s="1"/>
  <c r="F347" i="4"/>
  <c r="H347" i="4" s="1"/>
  <c r="F358" i="4"/>
  <c r="H358" i="4" s="1"/>
  <c r="F369" i="4"/>
  <c r="H369" i="4" s="1"/>
  <c r="F376" i="4"/>
  <c r="H376" i="4" s="1"/>
  <c r="F423" i="4"/>
  <c r="H423" i="4" s="1"/>
  <c r="F436" i="4"/>
  <c r="H436" i="4" s="1"/>
  <c r="F453" i="4"/>
  <c r="H453" i="4" s="1"/>
  <c r="F470" i="4"/>
  <c r="H470" i="4" s="1"/>
  <c r="F483" i="4"/>
  <c r="H483" i="4" s="1"/>
  <c r="F490" i="4"/>
  <c r="H490" i="4" s="1"/>
  <c r="F497" i="4"/>
  <c r="H497" i="4" s="1"/>
  <c r="F504" i="4"/>
  <c r="H504" i="4" s="1"/>
  <c r="F411" i="4"/>
  <c r="H411" i="4" s="1"/>
  <c r="F479" i="4"/>
  <c r="H479" i="4" s="1"/>
  <c r="F354" i="4"/>
  <c r="H354" i="4" s="1"/>
  <c r="F382" i="4"/>
  <c r="H382" i="4" s="1"/>
  <c r="F395" i="4"/>
  <c r="H395" i="4" s="1"/>
  <c r="F399" i="4"/>
  <c r="H399" i="4" s="1"/>
  <c r="F402" i="4"/>
  <c r="H402" i="4" s="1"/>
  <c r="F409" i="4"/>
  <c r="H409" i="4" s="1"/>
  <c r="F412" i="4"/>
  <c r="H412" i="4" s="1"/>
  <c r="F416" i="4"/>
  <c r="H416" i="4" s="1"/>
  <c r="F429" i="4"/>
  <c r="H429" i="4" s="1"/>
  <c r="F446" i="4"/>
  <c r="H446" i="4" s="1"/>
  <c r="F459" i="4"/>
  <c r="H459" i="4" s="1"/>
  <c r="F463" i="4"/>
  <c r="H463" i="4" s="1"/>
  <c r="F466" i="4"/>
  <c r="H466" i="4" s="1"/>
  <c r="F473" i="4"/>
  <c r="H473" i="4" s="1"/>
  <c r="F476" i="4"/>
  <c r="H476" i="4" s="1"/>
  <c r="F480" i="4"/>
  <c r="H480" i="4" s="1"/>
  <c r="F493" i="4"/>
  <c r="H493" i="4" s="1"/>
  <c r="F510" i="4"/>
  <c r="H510" i="4" s="1"/>
  <c r="F523" i="4"/>
  <c r="H523" i="4" s="1"/>
  <c r="F6" i="4"/>
  <c r="H6" i="4" s="1"/>
  <c r="F234" i="4"/>
  <c r="H234" i="4" s="1"/>
  <c r="F343" i="4"/>
  <c r="H343" i="4" s="1"/>
  <c r="F351" i="4"/>
  <c r="H351" i="4" s="1"/>
  <c r="F365" i="4"/>
  <c r="H365" i="4" s="1"/>
  <c r="F372" i="4"/>
  <c r="H372" i="4" s="1"/>
  <c r="F389" i="4"/>
  <c r="H389" i="4" s="1"/>
  <c r="F406" i="4"/>
  <c r="H406" i="4" s="1"/>
  <c r="F419" i="4"/>
  <c r="H419" i="4" s="1"/>
  <c r="F426" i="4"/>
  <c r="H426" i="4" s="1"/>
  <c r="F433" i="4"/>
  <c r="H433" i="4" s="1"/>
  <c r="F440" i="4"/>
  <c r="H440" i="4" s="1"/>
  <c r="F487" i="4"/>
  <c r="H487" i="4" s="1"/>
  <c r="F500" i="4"/>
  <c r="H500" i="4" s="1"/>
  <c r="F517" i="4"/>
  <c r="H517" i="4" s="1"/>
  <c r="F398" i="4"/>
  <c r="H398" i="4" s="1"/>
  <c r="F428" i="4"/>
  <c r="H428" i="4" s="1"/>
  <c r="F445" i="4"/>
  <c r="H445" i="4" s="1"/>
  <c r="F496" i="4"/>
  <c r="H496" i="4" s="1"/>
  <c r="F334" i="4"/>
  <c r="H334" i="4" s="1"/>
  <c r="F362" i="4"/>
  <c r="H362" i="4" s="1"/>
  <c r="F379" i="4"/>
  <c r="H379" i="4" s="1"/>
  <c r="F383" i="4"/>
  <c r="H383" i="4" s="1"/>
  <c r="F386" i="4"/>
  <c r="H386" i="4" s="1"/>
  <c r="F393" i="4"/>
  <c r="H393" i="4" s="1"/>
  <c r="F396" i="4"/>
  <c r="H396" i="4" s="1"/>
  <c r="F400" i="4"/>
  <c r="H400" i="4" s="1"/>
  <c r="F413" i="4"/>
  <c r="H413" i="4" s="1"/>
  <c r="F430" i="4"/>
  <c r="H430" i="4" s="1"/>
  <c r="F443" i="4"/>
  <c r="H443" i="4" s="1"/>
  <c r="F447" i="4"/>
  <c r="H447" i="4" s="1"/>
  <c r="F450" i="4"/>
  <c r="H450" i="4" s="1"/>
  <c r="F457" i="4"/>
  <c r="H457" i="4" s="1"/>
  <c r="F460" i="4"/>
  <c r="H460" i="4" s="1"/>
  <c r="F464" i="4"/>
  <c r="H464" i="4" s="1"/>
  <c r="F477" i="4"/>
  <c r="H477" i="4" s="1"/>
  <c r="F494" i="4"/>
  <c r="H494" i="4" s="1"/>
  <c r="F507" i="4"/>
  <c r="H507" i="4" s="1"/>
  <c r="F511" i="4"/>
  <c r="H511" i="4" s="1"/>
  <c r="F514" i="4"/>
  <c r="H514" i="4" s="1"/>
  <c r="F521" i="4"/>
  <c r="H521" i="4" s="1"/>
  <c r="F524" i="4"/>
  <c r="H524" i="4" s="1"/>
  <c r="F482" i="4"/>
  <c r="H482" i="4" s="1"/>
  <c r="F98" i="4"/>
  <c r="H98" i="4" s="1"/>
  <c r="F202" i="4"/>
  <c r="H202" i="4" s="1"/>
  <c r="F242" i="4"/>
  <c r="H242" i="4" s="1"/>
  <c r="F290" i="4"/>
  <c r="H290" i="4" s="1"/>
  <c r="F330" i="4"/>
  <c r="H330" i="4" s="1"/>
  <c r="F339" i="4"/>
  <c r="H339" i="4" s="1"/>
  <c r="F344" i="4"/>
  <c r="H344" i="4" s="1"/>
  <c r="F348" i="4"/>
  <c r="H348" i="4" s="1"/>
  <c r="F352" i="4"/>
  <c r="H352" i="4" s="1"/>
  <c r="F355" i="4"/>
  <c r="H355" i="4" s="1"/>
  <c r="F359" i="4"/>
  <c r="H359" i="4" s="1"/>
  <c r="F366" i="4"/>
  <c r="H366" i="4" s="1"/>
  <c r="F373" i="4"/>
  <c r="H373" i="4" s="1"/>
  <c r="F390" i="4"/>
  <c r="H390" i="4" s="1"/>
  <c r="F403" i="4"/>
  <c r="H403" i="4" s="1"/>
  <c r="F407" i="4"/>
  <c r="H407" i="4" s="1"/>
  <c r="F410" i="4"/>
  <c r="H410" i="4" s="1"/>
  <c r="F417" i="4"/>
  <c r="H417" i="4" s="1"/>
  <c r="F420" i="4"/>
  <c r="H420" i="4" s="1"/>
  <c r="F424" i="4"/>
  <c r="H424" i="4" s="1"/>
  <c r="F437" i="4"/>
  <c r="H437" i="4" s="1"/>
  <c r="F454" i="4"/>
  <c r="H454" i="4" s="1"/>
  <c r="F467" i="4"/>
  <c r="H467" i="4" s="1"/>
  <c r="F471" i="4"/>
  <c r="H471" i="4" s="1"/>
  <c r="F474" i="4"/>
  <c r="H474" i="4" s="1"/>
  <c r="F481" i="4"/>
  <c r="H481" i="4" s="1"/>
  <c r="F484" i="4"/>
  <c r="H484" i="4" s="1"/>
  <c r="F488" i="4"/>
  <c r="H488" i="4" s="1"/>
  <c r="F501" i="4"/>
  <c r="H501" i="4" s="1"/>
  <c r="F518" i="4"/>
  <c r="H518" i="4" s="1"/>
  <c r="F210" i="4"/>
  <c r="H210" i="4" s="1"/>
  <c r="F298" i="4"/>
  <c r="H298" i="4" s="1"/>
  <c r="F336" i="4"/>
  <c r="H336" i="4" s="1"/>
  <c r="F345" i="4"/>
  <c r="H345" i="4" s="1"/>
  <c r="F353" i="4"/>
  <c r="H353" i="4" s="1"/>
  <c r="F360" i="4"/>
  <c r="H360" i="4" s="1"/>
  <c r="F367" i="4"/>
  <c r="H367" i="4" s="1"/>
  <c r="F374" i="4"/>
  <c r="H374" i="4" s="1"/>
  <c r="F387" i="4"/>
  <c r="H387" i="4" s="1"/>
  <c r="F394" i="4"/>
  <c r="H394" i="4" s="1"/>
  <c r="F401" i="4"/>
  <c r="H401" i="4" s="1"/>
  <c r="F408" i="4"/>
  <c r="H408" i="4" s="1"/>
  <c r="F455" i="4"/>
  <c r="H455" i="4" s="1"/>
  <c r="F468" i="4"/>
  <c r="H468" i="4" s="1"/>
  <c r="F485" i="4"/>
  <c r="H485" i="4" s="1"/>
  <c r="F502" i="4"/>
  <c r="H502" i="4" s="1"/>
  <c r="F519" i="4"/>
  <c r="H519" i="4" s="1"/>
  <c r="F418" i="4"/>
  <c r="H418" i="4" s="1"/>
  <c r="F432" i="4"/>
  <c r="H432" i="4" s="1"/>
  <c r="F475" i="4"/>
  <c r="H475" i="4" s="1"/>
  <c r="F492" i="4"/>
  <c r="H492" i="4" s="1"/>
  <c r="F509" i="4"/>
  <c r="H509" i="4" s="1"/>
  <c r="F370" i="4"/>
  <c r="H370" i="4" s="1"/>
  <c r="F377" i="4"/>
  <c r="H377" i="4" s="1"/>
  <c r="F380" i="4"/>
  <c r="H380" i="4" s="1"/>
  <c r="F384" i="4"/>
  <c r="H384" i="4" s="1"/>
  <c r="F397" i="4"/>
  <c r="H397" i="4" s="1"/>
  <c r="F414" i="4"/>
  <c r="H414" i="4" s="1"/>
  <c r="F427" i="4"/>
  <c r="H427" i="4" s="1"/>
  <c r="F431" i="4"/>
  <c r="H431" i="4" s="1"/>
  <c r="F434" i="4"/>
  <c r="H434" i="4" s="1"/>
  <c r="F441" i="4"/>
  <c r="H441" i="4" s="1"/>
  <c r="F444" i="4"/>
  <c r="H444" i="4" s="1"/>
  <c r="F448" i="4"/>
  <c r="H448" i="4" s="1"/>
  <c r="F461" i="4"/>
  <c r="H461" i="4" s="1"/>
  <c r="F478" i="4"/>
  <c r="H478" i="4" s="1"/>
  <c r="F491" i="4"/>
  <c r="H491" i="4" s="1"/>
  <c r="F495" i="4"/>
  <c r="H495" i="4" s="1"/>
  <c r="F498" i="4"/>
  <c r="H498" i="4" s="1"/>
  <c r="F505" i="4"/>
  <c r="H505" i="4" s="1"/>
  <c r="F508" i="4"/>
  <c r="H508" i="4" s="1"/>
  <c r="F512" i="4"/>
  <c r="H512" i="4" s="1"/>
  <c r="F130" i="4"/>
  <c r="H130" i="4" s="1"/>
  <c r="F258" i="4"/>
  <c r="H258" i="4" s="1"/>
  <c r="F349" i="4"/>
  <c r="H349" i="4" s="1"/>
  <c r="F356" i="4"/>
  <c r="H356" i="4" s="1"/>
  <c r="F363" i="4"/>
  <c r="H363" i="4" s="1"/>
  <c r="F391" i="4"/>
  <c r="H391" i="4" s="1"/>
  <c r="F404" i="4"/>
  <c r="H404" i="4" s="1"/>
  <c r="F421" i="4"/>
  <c r="H421" i="4" s="1"/>
  <c r="F438" i="4"/>
  <c r="H438" i="4" s="1"/>
  <c r="F451" i="4"/>
  <c r="H451" i="4" s="1"/>
  <c r="F458" i="4"/>
  <c r="H458" i="4" s="1"/>
  <c r="F465" i="4"/>
  <c r="H465" i="4" s="1"/>
  <c r="F472" i="4"/>
  <c r="H472" i="4" s="1"/>
  <c r="F515" i="4"/>
  <c r="H515" i="4" s="1"/>
  <c r="F522" i="4"/>
  <c r="H522" i="4" s="1"/>
  <c r="F341" i="4"/>
  <c r="H341" i="4" s="1"/>
  <c r="F381" i="4"/>
  <c r="H381" i="4" s="1"/>
  <c r="F415" i="4"/>
  <c r="H415" i="4" s="1"/>
  <c r="F425" i="4"/>
  <c r="H425" i="4" s="1"/>
  <c r="F462" i="4"/>
  <c r="H462" i="4" s="1"/>
  <c r="F489" i="4"/>
  <c r="H489" i="4" s="1"/>
  <c r="D3" i="4"/>
  <c r="E3" i="4"/>
  <c r="D4" i="4"/>
  <c r="E4" i="4"/>
  <c r="D5" i="4"/>
  <c r="E5" i="4"/>
  <c r="D6" i="4"/>
  <c r="E6" i="4"/>
  <c r="D7" i="4"/>
  <c r="E7" i="4"/>
  <c r="D8" i="4"/>
  <c r="E8" i="4"/>
  <c r="D9" i="4"/>
  <c r="E9" i="4"/>
  <c r="D10" i="4"/>
  <c r="E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E27" i="4"/>
  <c r="D28" i="4"/>
  <c r="E2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2" i="4"/>
  <c r="E42" i="4"/>
  <c r="D43" i="4"/>
  <c r="E43" i="4"/>
  <c r="D44" i="4"/>
  <c r="E44" i="4"/>
  <c r="D45" i="4"/>
  <c r="E45" i="4"/>
  <c r="D46" i="4"/>
  <c r="E46" i="4"/>
  <c r="D47" i="4"/>
  <c r="E47" i="4"/>
  <c r="D48" i="4"/>
  <c r="E48" i="4"/>
  <c r="D49" i="4"/>
  <c r="E49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D61" i="4"/>
  <c r="E61" i="4"/>
  <c r="D62" i="4"/>
  <c r="E62" i="4"/>
  <c r="D63" i="4"/>
  <c r="E63" i="4"/>
  <c r="D64" i="4"/>
  <c r="E64" i="4"/>
  <c r="D65" i="4"/>
  <c r="E65" i="4"/>
  <c r="D66" i="4"/>
  <c r="E66" i="4"/>
  <c r="D67" i="4"/>
  <c r="E67" i="4"/>
  <c r="D68" i="4"/>
  <c r="E68" i="4"/>
  <c r="D69" i="4"/>
  <c r="E69" i="4"/>
  <c r="D70" i="4"/>
  <c r="E70" i="4"/>
  <c r="D71" i="4"/>
  <c r="E71" i="4"/>
  <c r="D72" i="4"/>
  <c r="E72" i="4"/>
  <c r="D73" i="4"/>
  <c r="E73" i="4"/>
  <c r="D74" i="4"/>
  <c r="E74" i="4"/>
  <c r="D75" i="4"/>
  <c r="E75" i="4"/>
  <c r="D76" i="4"/>
  <c r="E76" i="4"/>
  <c r="D77" i="4"/>
  <c r="E77" i="4"/>
  <c r="D78" i="4"/>
  <c r="E78" i="4"/>
  <c r="D79" i="4"/>
  <c r="E79" i="4"/>
  <c r="D80" i="4"/>
  <c r="E80" i="4"/>
  <c r="D81" i="4"/>
  <c r="E81" i="4"/>
  <c r="D82" i="4"/>
  <c r="E82" i="4"/>
  <c r="D83" i="4"/>
  <c r="E83" i="4"/>
  <c r="D84" i="4"/>
  <c r="E84" i="4"/>
  <c r="D85" i="4"/>
  <c r="E85" i="4"/>
  <c r="D86" i="4"/>
  <c r="E86" i="4"/>
  <c r="D87" i="4"/>
  <c r="E87" i="4"/>
  <c r="D88" i="4"/>
  <c r="E88" i="4"/>
  <c r="D89" i="4"/>
  <c r="E89" i="4"/>
  <c r="D90" i="4"/>
  <c r="E90" i="4"/>
  <c r="D91" i="4"/>
  <c r="E91" i="4"/>
  <c r="D92" i="4"/>
  <c r="E92" i="4"/>
  <c r="D93" i="4"/>
  <c r="E93" i="4"/>
  <c r="D94" i="4"/>
  <c r="E94" i="4"/>
  <c r="D95" i="4"/>
  <c r="E95" i="4"/>
  <c r="D96" i="4"/>
  <c r="E96" i="4"/>
  <c r="D97" i="4"/>
  <c r="E97" i="4"/>
  <c r="D98" i="4"/>
  <c r="E98" i="4"/>
  <c r="D99" i="4"/>
  <c r="E99" i="4"/>
  <c r="D100" i="4"/>
  <c r="E100" i="4"/>
  <c r="D101" i="4"/>
  <c r="E101" i="4"/>
  <c r="D102" i="4"/>
  <c r="E102" i="4"/>
  <c r="D103" i="4"/>
  <c r="E103" i="4"/>
  <c r="D104" i="4"/>
  <c r="E104" i="4"/>
  <c r="D105" i="4"/>
  <c r="E105" i="4"/>
  <c r="D106" i="4"/>
  <c r="E106" i="4"/>
  <c r="D107" i="4"/>
  <c r="E107" i="4"/>
  <c r="D108" i="4"/>
  <c r="E108" i="4"/>
  <c r="D109" i="4"/>
  <c r="E109" i="4"/>
  <c r="D110" i="4"/>
  <c r="E110" i="4"/>
  <c r="D111" i="4"/>
  <c r="E111" i="4"/>
  <c r="D112" i="4"/>
  <c r="E112" i="4"/>
  <c r="D113" i="4"/>
  <c r="E113" i="4"/>
  <c r="D114" i="4"/>
  <c r="E114" i="4"/>
  <c r="D115" i="4"/>
  <c r="E115" i="4"/>
  <c r="D116" i="4"/>
  <c r="E116" i="4"/>
  <c r="D117" i="4"/>
  <c r="E117" i="4"/>
  <c r="D118" i="4"/>
  <c r="E118" i="4"/>
  <c r="D119" i="4"/>
  <c r="E119" i="4"/>
  <c r="D120" i="4"/>
  <c r="E120" i="4"/>
  <c r="D121" i="4"/>
  <c r="E121" i="4"/>
  <c r="D122" i="4"/>
  <c r="E122" i="4"/>
  <c r="D123" i="4"/>
  <c r="E123" i="4"/>
  <c r="D124" i="4"/>
  <c r="E124" i="4"/>
  <c r="D125" i="4"/>
  <c r="E125" i="4"/>
  <c r="D126" i="4"/>
  <c r="E126" i="4"/>
  <c r="D127" i="4"/>
  <c r="E127" i="4"/>
  <c r="D128" i="4"/>
  <c r="E128" i="4"/>
  <c r="D129" i="4"/>
  <c r="E129" i="4"/>
  <c r="D130" i="4"/>
  <c r="E130" i="4"/>
  <c r="D131" i="4"/>
  <c r="E131" i="4"/>
  <c r="D132" i="4"/>
  <c r="E132" i="4"/>
  <c r="D133" i="4"/>
  <c r="E133" i="4"/>
  <c r="D134" i="4"/>
  <c r="E134" i="4"/>
  <c r="D135" i="4"/>
  <c r="E135" i="4"/>
  <c r="D136" i="4"/>
  <c r="E136" i="4"/>
  <c r="D137" i="4"/>
  <c r="E137" i="4"/>
  <c r="D138" i="4"/>
  <c r="E138" i="4"/>
  <c r="D139" i="4"/>
  <c r="E139" i="4"/>
  <c r="D140" i="4"/>
  <c r="E140" i="4"/>
  <c r="D141" i="4"/>
  <c r="E141" i="4"/>
  <c r="D142" i="4"/>
  <c r="E142" i="4"/>
  <c r="D143" i="4"/>
  <c r="E143" i="4"/>
  <c r="D144" i="4"/>
  <c r="E144" i="4"/>
  <c r="D145" i="4"/>
  <c r="E145" i="4"/>
  <c r="D146" i="4"/>
  <c r="E146" i="4"/>
  <c r="D147" i="4"/>
  <c r="E147" i="4"/>
  <c r="D148" i="4"/>
  <c r="E148" i="4"/>
  <c r="D149" i="4"/>
  <c r="E149" i="4"/>
  <c r="D150" i="4"/>
  <c r="E150" i="4"/>
  <c r="D151" i="4"/>
  <c r="E151" i="4"/>
  <c r="D152" i="4"/>
  <c r="E152" i="4"/>
  <c r="D153" i="4"/>
  <c r="E153" i="4"/>
  <c r="D154" i="4"/>
  <c r="E154" i="4"/>
  <c r="D155" i="4"/>
  <c r="E155" i="4"/>
  <c r="D156" i="4"/>
  <c r="E156" i="4"/>
  <c r="D157" i="4"/>
  <c r="E157" i="4"/>
  <c r="D158" i="4"/>
  <c r="E158" i="4"/>
  <c r="D159" i="4"/>
  <c r="E159" i="4"/>
  <c r="D160" i="4"/>
  <c r="E160" i="4"/>
  <c r="D161" i="4"/>
  <c r="E161" i="4"/>
  <c r="D162" i="4"/>
  <c r="E162" i="4"/>
  <c r="D163" i="4"/>
  <c r="E163" i="4"/>
  <c r="D164" i="4"/>
  <c r="E164" i="4"/>
  <c r="D165" i="4"/>
  <c r="E165" i="4"/>
  <c r="D166" i="4"/>
  <c r="E166" i="4"/>
  <c r="D167" i="4"/>
  <c r="E167" i="4"/>
  <c r="D168" i="4"/>
  <c r="E168" i="4"/>
  <c r="D169" i="4"/>
  <c r="E169" i="4"/>
  <c r="D170" i="4"/>
  <c r="E170" i="4"/>
  <c r="D171" i="4"/>
  <c r="E171" i="4"/>
  <c r="D172" i="4"/>
  <c r="E172" i="4"/>
  <c r="D173" i="4"/>
  <c r="E173" i="4"/>
  <c r="D174" i="4"/>
  <c r="E174" i="4"/>
  <c r="D175" i="4"/>
  <c r="E175" i="4"/>
  <c r="D176" i="4"/>
  <c r="E176" i="4"/>
  <c r="D177" i="4"/>
  <c r="E177" i="4"/>
  <c r="D178" i="4"/>
  <c r="E178" i="4"/>
  <c r="D179" i="4"/>
  <c r="E179" i="4"/>
  <c r="D180" i="4"/>
  <c r="E180" i="4"/>
  <c r="D181" i="4"/>
  <c r="E181" i="4"/>
  <c r="D182" i="4"/>
  <c r="E182" i="4"/>
  <c r="D183" i="4"/>
  <c r="E183" i="4"/>
  <c r="D184" i="4"/>
  <c r="E184" i="4"/>
  <c r="D185" i="4"/>
  <c r="E185" i="4"/>
  <c r="D186" i="4"/>
  <c r="E186" i="4"/>
  <c r="D187" i="4"/>
  <c r="E187" i="4"/>
  <c r="D188" i="4"/>
  <c r="E188" i="4"/>
  <c r="D189" i="4"/>
  <c r="E189" i="4"/>
  <c r="D190" i="4"/>
  <c r="E190" i="4"/>
  <c r="D191" i="4"/>
  <c r="E191" i="4"/>
  <c r="D192" i="4"/>
  <c r="E192" i="4"/>
  <c r="D193" i="4"/>
  <c r="E193" i="4"/>
  <c r="D194" i="4"/>
  <c r="E194" i="4"/>
  <c r="D195" i="4"/>
  <c r="E195" i="4"/>
  <c r="D196" i="4"/>
  <c r="E196" i="4"/>
  <c r="D197" i="4"/>
  <c r="E197" i="4"/>
  <c r="D198" i="4"/>
  <c r="E198" i="4"/>
  <c r="D199" i="4"/>
  <c r="E199" i="4"/>
  <c r="D200" i="4"/>
  <c r="E200" i="4"/>
  <c r="D201" i="4"/>
  <c r="E201" i="4"/>
  <c r="D202" i="4"/>
  <c r="E202" i="4"/>
  <c r="D203" i="4"/>
  <c r="E203" i="4"/>
  <c r="D204" i="4"/>
  <c r="E204" i="4"/>
  <c r="D205" i="4"/>
  <c r="E205" i="4"/>
  <c r="D206" i="4"/>
  <c r="E206" i="4"/>
  <c r="D207" i="4"/>
  <c r="E207" i="4"/>
  <c r="D208" i="4"/>
  <c r="E208" i="4"/>
  <c r="D209" i="4"/>
  <c r="E209" i="4"/>
  <c r="D210" i="4"/>
  <c r="E210" i="4"/>
  <c r="D211" i="4"/>
  <c r="E211" i="4"/>
  <c r="D212" i="4"/>
  <c r="E212" i="4"/>
  <c r="D213" i="4"/>
  <c r="E213" i="4"/>
  <c r="D214" i="4"/>
  <c r="E214" i="4"/>
  <c r="D215" i="4"/>
  <c r="E215" i="4"/>
  <c r="D216" i="4"/>
  <c r="E216" i="4"/>
  <c r="D217" i="4"/>
  <c r="E217" i="4"/>
  <c r="D218" i="4"/>
  <c r="E218" i="4"/>
  <c r="D219" i="4"/>
  <c r="E219" i="4"/>
  <c r="D220" i="4"/>
  <c r="E220" i="4"/>
  <c r="D221" i="4"/>
  <c r="E221" i="4"/>
  <c r="D222" i="4"/>
  <c r="E222" i="4"/>
  <c r="D223" i="4"/>
  <c r="E223" i="4"/>
  <c r="D224" i="4"/>
  <c r="E224" i="4"/>
  <c r="D225" i="4"/>
  <c r="E225" i="4"/>
  <c r="D226" i="4"/>
  <c r="E226" i="4"/>
  <c r="D227" i="4"/>
  <c r="E227" i="4"/>
  <c r="D228" i="4"/>
  <c r="E228" i="4"/>
  <c r="D229" i="4"/>
  <c r="E229" i="4"/>
  <c r="D230" i="4"/>
  <c r="E230" i="4"/>
  <c r="D231" i="4"/>
  <c r="E231" i="4"/>
  <c r="D232" i="4"/>
  <c r="E232" i="4"/>
  <c r="D233" i="4"/>
  <c r="E233" i="4"/>
  <c r="D234" i="4"/>
  <c r="E234" i="4"/>
  <c r="D235" i="4"/>
  <c r="E235" i="4"/>
  <c r="D236" i="4"/>
  <c r="E236" i="4"/>
  <c r="D237" i="4"/>
  <c r="E237" i="4"/>
  <c r="D238" i="4"/>
  <c r="E238" i="4"/>
  <c r="D239" i="4"/>
  <c r="E239" i="4"/>
  <c r="D240" i="4"/>
  <c r="E240" i="4"/>
  <c r="D241" i="4"/>
  <c r="E241" i="4"/>
  <c r="D242" i="4"/>
  <c r="E242" i="4"/>
  <c r="D243" i="4"/>
  <c r="E243" i="4"/>
  <c r="D244" i="4"/>
  <c r="E244" i="4"/>
  <c r="D245" i="4"/>
  <c r="E245" i="4"/>
  <c r="D246" i="4"/>
  <c r="E246" i="4"/>
  <c r="D247" i="4"/>
  <c r="E247" i="4"/>
  <c r="D248" i="4"/>
  <c r="E248" i="4"/>
  <c r="D249" i="4"/>
  <c r="E249" i="4"/>
  <c r="D250" i="4"/>
  <c r="E250" i="4"/>
  <c r="D251" i="4"/>
  <c r="E251" i="4"/>
  <c r="D252" i="4"/>
  <c r="E252" i="4"/>
  <c r="D253" i="4"/>
  <c r="E253" i="4"/>
  <c r="D254" i="4"/>
  <c r="E254" i="4"/>
  <c r="D255" i="4"/>
  <c r="E255" i="4"/>
  <c r="D256" i="4"/>
  <c r="E256" i="4"/>
  <c r="D257" i="4"/>
  <c r="E257" i="4"/>
  <c r="D258" i="4"/>
  <c r="E258" i="4"/>
  <c r="D259" i="4"/>
  <c r="E259" i="4"/>
  <c r="D260" i="4"/>
  <c r="E260" i="4"/>
  <c r="D261" i="4"/>
  <c r="E261" i="4"/>
  <c r="D262" i="4"/>
  <c r="E262" i="4"/>
  <c r="D263" i="4"/>
  <c r="E263" i="4"/>
  <c r="D264" i="4"/>
  <c r="E264" i="4"/>
  <c r="D265" i="4"/>
  <c r="E265" i="4"/>
  <c r="D266" i="4"/>
  <c r="E266" i="4"/>
  <c r="D267" i="4"/>
  <c r="E267" i="4"/>
  <c r="D268" i="4"/>
  <c r="E268" i="4"/>
  <c r="D269" i="4"/>
  <c r="E269" i="4"/>
  <c r="D270" i="4"/>
  <c r="E270" i="4"/>
  <c r="D271" i="4"/>
  <c r="E271" i="4"/>
  <c r="D272" i="4"/>
  <c r="E272" i="4"/>
  <c r="D273" i="4"/>
  <c r="E273" i="4"/>
  <c r="D274" i="4"/>
  <c r="E274" i="4"/>
  <c r="D275" i="4"/>
  <c r="E275" i="4"/>
  <c r="D276" i="4"/>
  <c r="E276" i="4"/>
  <c r="D277" i="4"/>
  <c r="E277" i="4"/>
  <c r="D278" i="4"/>
  <c r="E278" i="4"/>
  <c r="D279" i="4"/>
  <c r="E279" i="4"/>
  <c r="D280" i="4"/>
  <c r="E280" i="4"/>
  <c r="D281" i="4"/>
  <c r="E281" i="4"/>
  <c r="D282" i="4"/>
  <c r="E282" i="4"/>
  <c r="D283" i="4"/>
  <c r="E283" i="4"/>
  <c r="D284" i="4"/>
  <c r="E284" i="4"/>
  <c r="D285" i="4"/>
  <c r="E285" i="4"/>
  <c r="D286" i="4"/>
  <c r="E286" i="4"/>
  <c r="D287" i="4"/>
  <c r="E287" i="4"/>
  <c r="D288" i="4"/>
  <c r="E288" i="4"/>
  <c r="D289" i="4"/>
  <c r="E289" i="4"/>
  <c r="D290" i="4"/>
  <c r="E290" i="4"/>
  <c r="D291" i="4"/>
  <c r="E291" i="4"/>
  <c r="D292" i="4"/>
  <c r="E292" i="4"/>
  <c r="D293" i="4"/>
  <c r="E293" i="4"/>
  <c r="D294" i="4"/>
  <c r="E294" i="4"/>
  <c r="D295" i="4"/>
  <c r="E295" i="4"/>
  <c r="D296" i="4"/>
  <c r="E296" i="4"/>
  <c r="D297" i="4"/>
  <c r="E297" i="4"/>
  <c r="D298" i="4"/>
  <c r="E298" i="4"/>
  <c r="D299" i="4"/>
  <c r="E299" i="4"/>
  <c r="D300" i="4"/>
  <c r="E300" i="4"/>
  <c r="D301" i="4"/>
  <c r="E301" i="4"/>
  <c r="D302" i="4"/>
  <c r="E302" i="4"/>
  <c r="D303" i="4"/>
  <c r="E303" i="4"/>
  <c r="D304" i="4"/>
  <c r="E304" i="4"/>
  <c r="D305" i="4"/>
  <c r="E305" i="4"/>
  <c r="D306" i="4"/>
  <c r="E306" i="4"/>
  <c r="D307" i="4"/>
  <c r="E307" i="4"/>
  <c r="D308" i="4"/>
  <c r="E308" i="4"/>
  <c r="D309" i="4"/>
  <c r="E309" i="4"/>
  <c r="D310" i="4"/>
  <c r="E310" i="4"/>
  <c r="D311" i="4"/>
  <c r="E311" i="4"/>
  <c r="D312" i="4"/>
  <c r="E312" i="4"/>
  <c r="D313" i="4"/>
  <c r="E313" i="4"/>
  <c r="D314" i="4"/>
  <c r="E314" i="4"/>
  <c r="D315" i="4"/>
  <c r="E315" i="4"/>
  <c r="D316" i="4"/>
  <c r="E316" i="4"/>
  <c r="D317" i="4"/>
  <c r="E317" i="4"/>
  <c r="D318" i="4"/>
  <c r="E318" i="4"/>
  <c r="D319" i="4"/>
  <c r="E319" i="4"/>
  <c r="D320" i="4"/>
  <c r="E320" i="4"/>
  <c r="D321" i="4"/>
  <c r="E321" i="4"/>
  <c r="D322" i="4"/>
  <c r="E322" i="4"/>
  <c r="D323" i="4"/>
  <c r="E323" i="4"/>
  <c r="D324" i="4"/>
  <c r="E324" i="4"/>
  <c r="D325" i="4"/>
  <c r="E325" i="4"/>
  <c r="D326" i="4"/>
  <c r="E326" i="4"/>
  <c r="D327" i="4"/>
  <c r="E327" i="4"/>
  <c r="D328" i="4"/>
  <c r="E328" i="4"/>
  <c r="D329" i="4"/>
  <c r="E329" i="4"/>
  <c r="D330" i="4"/>
  <c r="E330" i="4"/>
  <c r="D331" i="4"/>
  <c r="E331" i="4"/>
  <c r="D332" i="4"/>
  <c r="E332" i="4"/>
  <c r="D333" i="4"/>
  <c r="E333" i="4"/>
  <c r="D334" i="4"/>
  <c r="E334" i="4"/>
  <c r="D335" i="4"/>
  <c r="E335" i="4"/>
  <c r="D336" i="4"/>
  <c r="E336" i="4"/>
  <c r="D337" i="4"/>
  <c r="E337" i="4"/>
  <c r="D338" i="4"/>
  <c r="E338" i="4"/>
  <c r="D339" i="4"/>
  <c r="E339" i="4"/>
  <c r="D340" i="4"/>
  <c r="E340" i="4"/>
  <c r="D341" i="4"/>
  <c r="E341" i="4"/>
  <c r="D342" i="4"/>
  <c r="E342" i="4"/>
  <c r="D343" i="4"/>
  <c r="E343" i="4"/>
  <c r="D344" i="4"/>
  <c r="E344" i="4"/>
  <c r="D345" i="4"/>
  <c r="E345" i="4"/>
  <c r="D346" i="4"/>
  <c r="E346" i="4"/>
  <c r="D347" i="4"/>
  <c r="E347" i="4"/>
  <c r="D348" i="4"/>
  <c r="E348" i="4"/>
  <c r="D349" i="4"/>
  <c r="E349" i="4"/>
  <c r="D350" i="4"/>
  <c r="E350" i="4"/>
  <c r="D351" i="4"/>
  <c r="E351" i="4"/>
  <c r="D352" i="4"/>
  <c r="E352" i="4"/>
  <c r="D353" i="4"/>
  <c r="E353" i="4"/>
  <c r="D354" i="4"/>
  <c r="E354" i="4"/>
  <c r="D355" i="4"/>
  <c r="E355" i="4"/>
  <c r="D356" i="4"/>
  <c r="E356" i="4"/>
  <c r="D357" i="4"/>
  <c r="E357" i="4"/>
  <c r="D358" i="4"/>
  <c r="E358" i="4"/>
  <c r="D359" i="4"/>
  <c r="E359" i="4"/>
  <c r="D360" i="4"/>
  <c r="E360" i="4"/>
  <c r="D361" i="4"/>
  <c r="E361" i="4"/>
  <c r="D362" i="4"/>
  <c r="E362" i="4"/>
  <c r="D363" i="4"/>
  <c r="E363" i="4"/>
  <c r="D364" i="4"/>
  <c r="E364" i="4"/>
  <c r="D365" i="4"/>
  <c r="E365" i="4"/>
  <c r="D366" i="4"/>
  <c r="E366" i="4"/>
  <c r="D367" i="4"/>
  <c r="E367" i="4"/>
  <c r="D368" i="4"/>
  <c r="E368" i="4"/>
  <c r="D369" i="4"/>
  <c r="E369" i="4"/>
  <c r="D370" i="4"/>
  <c r="E370" i="4"/>
  <c r="D371" i="4"/>
  <c r="E371" i="4"/>
  <c r="D372" i="4"/>
  <c r="E372" i="4"/>
  <c r="D373" i="4"/>
  <c r="E373" i="4"/>
  <c r="D374" i="4"/>
  <c r="E374" i="4"/>
  <c r="D375" i="4"/>
  <c r="E375" i="4"/>
  <c r="D376" i="4"/>
  <c r="E376" i="4"/>
  <c r="D377" i="4"/>
  <c r="E377" i="4"/>
  <c r="D378" i="4"/>
  <c r="E378" i="4"/>
  <c r="D379" i="4"/>
  <c r="E379" i="4"/>
  <c r="D380" i="4"/>
  <c r="E380" i="4"/>
  <c r="D381" i="4"/>
  <c r="E381" i="4"/>
  <c r="D382" i="4"/>
  <c r="E382" i="4"/>
  <c r="D383" i="4"/>
  <c r="E383" i="4"/>
  <c r="D384" i="4"/>
  <c r="E384" i="4"/>
  <c r="D385" i="4"/>
  <c r="E385" i="4"/>
  <c r="D386" i="4"/>
  <c r="E386" i="4"/>
  <c r="D387" i="4"/>
  <c r="E387" i="4"/>
  <c r="D388" i="4"/>
  <c r="E388" i="4"/>
  <c r="D389" i="4"/>
  <c r="E389" i="4"/>
  <c r="D390" i="4"/>
  <c r="E390" i="4"/>
  <c r="D391" i="4"/>
  <c r="E391" i="4"/>
  <c r="D392" i="4"/>
  <c r="E392" i="4"/>
  <c r="D393" i="4"/>
  <c r="E393" i="4"/>
  <c r="D394" i="4"/>
  <c r="E394" i="4"/>
  <c r="D395" i="4"/>
  <c r="E395" i="4"/>
  <c r="D396" i="4"/>
  <c r="E396" i="4"/>
  <c r="D397" i="4"/>
  <c r="E397" i="4"/>
  <c r="D398" i="4"/>
  <c r="E398" i="4"/>
  <c r="D399" i="4"/>
  <c r="E399" i="4"/>
  <c r="D400" i="4"/>
  <c r="E400" i="4"/>
  <c r="D401" i="4"/>
  <c r="E401" i="4"/>
  <c r="D402" i="4"/>
  <c r="E402" i="4"/>
  <c r="D403" i="4"/>
  <c r="E403" i="4"/>
  <c r="D404" i="4"/>
  <c r="E404" i="4"/>
  <c r="D405" i="4"/>
  <c r="E405" i="4"/>
  <c r="D406" i="4"/>
  <c r="E406" i="4"/>
  <c r="D407" i="4"/>
  <c r="E407" i="4"/>
  <c r="D408" i="4"/>
  <c r="E408" i="4"/>
  <c r="D409" i="4"/>
  <c r="E409" i="4"/>
  <c r="D410" i="4"/>
  <c r="E410" i="4"/>
  <c r="D411" i="4"/>
  <c r="E411" i="4"/>
  <c r="D412" i="4"/>
  <c r="E412" i="4"/>
  <c r="D413" i="4"/>
  <c r="E413" i="4"/>
  <c r="D414" i="4"/>
  <c r="E414" i="4"/>
  <c r="D415" i="4"/>
  <c r="E415" i="4"/>
  <c r="D416" i="4"/>
  <c r="E416" i="4"/>
  <c r="D417" i="4"/>
  <c r="E417" i="4"/>
  <c r="D418" i="4"/>
  <c r="E418" i="4"/>
  <c r="D419" i="4"/>
  <c r="E419" i="4"/>
  <c r="D420" i="4"/>
  <c r="E420" i="4"/>
  <c r="D421" i="4"/>
  <c r="E421" i="4"/>
  <c r="D422" i="4"/>
  <c r="E422" i="4"/>
  <c r="D423" i="4"/>
  <c r="E423" i="4"/>
  <c r="D424" i="4"/>
  <c r="E424" i="4"/>
  <c r="D425" i="4"/>
  <c r="E425" i="4"/>
  <c r="D426" i="4"/>
  <c r="E426" i="4"/>
  <c r="D427" i="4"/>
  <c r="E427" i="4"/>
  <c r="D428" i="4"/>
  <c r="E428" i="4"/>
  <c r="D429" i="4"/>
  <c r="E429" i="4"/>
  <c r="D430" i="4"/>
  <c r="E430" i="4"/>
  <c r="D431" i="4"/>
  <c r="E431" i="4"/>
  <c r="D432" i="4"/>
  <c r="E432" i="4"/>
  <c r="D433" i="4"/>
  <c r="E433" i="4"/>
  <c r="D434" i="4"/>
  <c r="E434" i="4"/>
  <c r="D435" i="4"/>
  <c r="E435" i="4"/>
  <c r="D436" i="4"/>
  <c r="E436" i="4"/>
  <c r="D437" i="4"/>
  <c r="E437" i="4"/>
  <c r="D438" i="4"/>
  <c r="E438" i="4"/>
  <c r="D439" i="4"/>
  <c r="E439" i="4"/>
  <c r="D440" i="4"/>
  <c r="E440" i="4"/>
  <c r="D441" i="4"/>
  <c r="E441" i="4"/>
  <c r="D442" i="4"/>
  <c r="E442" i="4"/>
  <c r="D443" i="4"/>
  <c r="E443" i="4"/>
  <c r="D444" i="4"/>
  <c r="E444" i="4"/>
  <c r="D445" i="4"/>
  <c r="E445" i="4"/>
  <c r="D446" i="4"/>
  <c r="E446" i="4"/>
  <c r="D447" i="4"/>
  <c r="E447" i="4"/>
  <c r="D448" i="4"/>
  <c r="E448" i="4"/>
  <c r="D449" i="4"/>
  <c r="E449" i="4"/>
  <c r="D450" i="4"/>
  <c r="E450" i="4"/>
  <c r="D451" i="4"/>
  <c r="E451" i="4"/>
  <c r="D452" i="4"/>
  <c r="E452" i="4"/>
  <c r="D453" i="4"/>
  <c r="E453" i="4"/>
  <c r="D454" i="4"/>
  <c r="E454" i="4"/>
  <c r="D455" i="4"/>
  <c r="E455" i="4"/>
  <c r="D456" i="4"/>
  <c r="E456" i="4"/>
  <c r="D457" i="4"/>
  <c r="E457" i="4"/>
  <c r="D458" i="4"/>
  <c r="E458" i="4"/>
  <c r="D459" i="4"/>
  <c r="E459" i="4"/>
  <c r="D460" i="4"/>
  <c r="E460" i="4"/>
  <c r="D461" i="4"/>
  <c r="E461" i="4"/>
  <c r="D462" i="4"/>
  <c r="E462" i="4"/>
  <c r="D463" i="4"/>
  <c r="E463" i="4"/>
  <c r="D464" i="4"/>
  <c r="E464" i="4"/>
  <c r="D465" i="4"/>
  <c r="E465" i="4"/>
  <c r="D466" i="4"/>
  <c r="E466" i="4"/>
  <c r="D467" i="4"/>
  <c r="E467" i="4"/>
  <c r="D468" i="4"/>
  <c r="E468" i="4"/>
  <c r="D469" i="4"/>
  <c r="E469" i="4"/>
  <c r="D470" i="4"/>
  <c r="E470" i="4"/>
  <c r="D471" i="4"/>
  <c r="E471" i="4"/>
  <c r="D472" i="4"/>
  <c r="E472" i="4"/>
  <c r="D473" i="4"/>
  <c r="E473" i="4"/>
  <c r="D474" i="4"/>
  <c r="E474" i="4"/>
  <c r="D475" i="4"/>
  <c r="E475" i="4"/>
  <c r="D476" i="4"/>
  <c r="E476" i="4"/>
  <c r="D477" i="4"/>
  <c r="E477" i="4"/>
  <c r="D478" i="4"/>
  <c r="E478" i="4"/>
  <c r="D479" i="4"/>
  <c r="E479" i="4"/>
  <c r="D480" i="4"/>
  <c r="E480" i="4"/>
  <c r="D481" i="4"/>
  <c r="E481" i="4"/>
  <c r="D482" i="4"/>
  <c r="E482" i="4"/>
  <c r="D483" i="4"/>
  <c r="E483" i="4"/>
  <c r="D484" i="4"/>
  <c r="E484" i="4"/>
  <c r="D485" i="4"/>
  <c r="E485" i="4"/>
  <c r="D486" i="4"/>
  <c r="E486" i="4"/>
  <c r="D487" i="4"/>
  <c r="E487" i="4"/>
  <c r="D488" i="4"/>
  <c r="E488" i="4"/>
  <c r="D489" i="4"/>
  <c r="E489" i="4"/>
  <c r="D490" i="4"/>
  <c r="E490" i="4"/>
  <c r="D491" i="4"/>
  <c r="E491" i="4"/>
  <c r="D492" i="4"/>
  <c r="E492" i="4"/>
  <c r="D493" i="4"/>
  <c r="E493" i="4"/>
  <c r="D494" i="4"/>
  <c r="E494" i="4"/>
  <c r="D495" i="4"/>
  <c r="E495" i="4"/>
  <c r="D496" i="4"/>
  <c r="E496" i="4"/>
  <c r="D497" i="4"/>
  <c r="E497" i="4"/>
  <c r="D498" i="4"/>
  <c r="E498" i="4"/>
  <c r="D499" i="4"/>
  <c r="E499" i="4"/>
  <c r="D500" i="4"/>
  <c r="E500" i="4"/>
  <c r="D501" i="4"/>
  <c r="E501" i="4"/>
  <c r="D502" i="4"/>
  <c r="E502" i="4"/>
  <c r="D503" i="4"/>
  <c r="E503" i="4"/>
  <c r="D504" i="4"/>
  <c r="E504" i="4"/>
  <c r="D505" i="4"/>
  <c r="E505" i="4"/>
  <c r="D506" i="4"/>
  <c r="E506" i="4"/>
  <c r="D507" i="4"/>
  <c r="E507" i="4"/>
  <c r="D508" i="4"/>
  <c r="E508" i="4"/>
  <c r="D509" i="4"/>
  <c r="E509" i="4"/>
  <c r="D510" i="4"/>
  <c r="E510" i="4"/>
  <c r="D511" i="4"/>
  <c r="E511" i="4"/>
  <c r="D512" i="4"/>
  <c r="E512" i="4"/>
  <c r="D513" i="4"/>
  <c r="E513" i="4"/>
  <c r="D514" i="4"/>
  <c r="E514" i="4"/>
  <c r="D515" i="4"/>
  <c r="E515" i="4"/>
  <c r="D516" i="4"/>
  <c r="E516" i="4"/>
  <c r="D517" i="4"/>
  <c r="E517" i="4"/>
  <c r="D518" i="4"/>
  <c r="E518" i="4"/>
  <c r="D519" i="4"/>
  <c r="E519" i="4"/>
  <c r="D520" i="4"/>
  <c r="E520" i="4"/>
  <c r="D521" i="4"/>
  <c r="E521" i="4"/>
  <c r="D522" i="4"/>
  <c r="E522" i="4"/>
  <c r="D523" i="4"/>
  <c r="E523" i="4"/>
  <c r="D524" i="4"/>
  <c r="E524" i="4"/>
  <c r="E2" i="4"/>
  <c r="D2" i="4"/>
</calcChain>
</file>

<file path=xl/sharedStrings.xml><?xml version="1.0" encoding="utf-8"?>
<sst xmlns="http://schemas.openxmlformats.org/spreadsheetml/2006/main" count="16" uniqueCount="16">
  <si>
    <t>2 años</t>
  </si>
  <si>
    <t>10 años</t>
  </si>
  <si>
    <t>pl 2 años</t>
  </si>
  <si>
    <t>pl 10 años</t>
  </si>
  <si>
    <t>pl portafolio</t>
  </si>
  <si>
    <t>Largo</t>
  </si>
  <si>
    <t>Corto</t>
  </si>
  <si>
    <t>Valor</t>
  </si>
  <si>
    <t>Precio Bono</t>
  </si>
  <si>
    <t>pv01</t>
  </si>
  <si>
    <t>Títulos</t>
  </si>
  <si>
    <t>Yields spc</t>
  </si>
  <si>
    <t>tasa cupon</t>
  </si>
  <si>
    <t>delta</t>
  </si>
  <si>
    <t>delta titulos</t>
  </si>
  <si>
    <t>VaR a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</si>
</sst>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44" fontId="0" fillId="0" borderId="0" xfId="1" applyFont="1"/>
    <xf numFmtId="44" fontId="0" fillId="0" borderId="0" xfId="0" applyNumberFormat="1"/>
    <xf numFmtId="15" fontId="0" fillId="0" borderId="0" xfId="0" applyNumberFormat="1"/>
    <xf numFmtId="10" fontId="0" fillId="0" borderId="0" xfId="2" applyNumberFormat="1" applyFont="1"/>
    <xf numFmtId="0" fontId="2" fillId="0" borderId="0" xfId="0" applyFont="1" applyAlignment="1">
      <alignment horizontal="left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87F8B-6DD6-4666-A91C-074145A7C342}">
  <dimension ref="A1:B524"/>
  <sheetViews>
    <sheetView workbookViewId="0">
      <selection activeCell="D17" sqref="D17"/>
    </sheetView>
  </sheetViews>
  <sheetFormatPr baseColWidth="10" defaultRowHeight="15" x14ac:dyDescent="0.25"/>
  <sheetData>
    <row r="1" spans="1:2" x14ac:dyDescent="0.25">
      <c r="A1" s="1">
        <v>46080</v>
      </c>
      <c r="B1" s="2">
        <v>7.15</v>
      </c>
    </row>
    <row r="2" spans="1:2" x14ac:dyDescent="0.25">
      <c r="A2" s="1">
        <v>46079</v>
      </c>
      <c r="B2" s="2">
        <v>7.14</v>
      </c>
    </row>
    <row r="3" spans="1:2" x14ac:dyDescent="0.25">
      <c r="A3" s="1">
        <v>46078</v>
      </c>
      <c r="B3" s="2">
        <v>7.19</v>
      </c>
    </row>
    <row r="4" spans="1:2" x14ac:dyDescent="0.25">
      <c r="A4" s="1">
        <v>46077</v>
      </c>
      <c r="B4" s="2">
        <v>7.18</v>
      </c>
    </row>
    <row r="5" spans="1:2" x14ac:dyDescent="0.25">
      <c r="A5" s="1">
        <v>46076</v>
      </c>
      <c r="B5" s="2">
        <v>7.2</v>
      </c>
    </row>
    <row r="6" spans="1:2" x14ac:dyDescent="0.25">
      <c r="A6" s="1">
        <v>46073</v>
      </c>
      <c r="B6" s="2">
        <v>7.23</v>
      </c>
    </row>
    <row r="7" spans="1:2" x14ac:dyDescent="0.25">
      <c r="A7" s="1">
        <v>46072</v>
      </c>
      <c r="B7" s="2">
        <v>7.26</v>
      </c>
    </row>
    <row r="8" spans="1:2" x14ac:dyDescent="0.25">
      <c r="A8" s="1">
        <v>46071</v>
      </c>
      <c r="B8" s="2">
        <v>7.23</v>
      </c>
    </row>
    <row r="9" spans="1:2" x14ac:dyDescent="0.25">
      <c r="A9" s="1">
        <v>46070</v>
      </c>
      <c r="B9" s="2">
        <v>7.27</v>
      </c>
    </row>
    <row r="10" spans="1:2" x14ac:dyDescent="0.25">
      <c r="A10" s="1">
        <v>46069</v>
      </c>
      <c r="B10" s="2">
        <v>7.33</v>
      </c>
    </row>
    <row r="11" spans="1:2" x14ac:dyDescent="0.25">
      <c r="A11" s="1">
        <v>46066</v>
      </c>
      <c r="B11" s="2">
        <v>7.28</v>
      </c>
    </row>
    <row r="12" spans="1:2" x14ac:dyDescent="0.25">
      <c r="A12" s="1">
        <v>46065</v>
      </c>
      <c r="B12" s="2">
        <v>7.27</v>
      </c>
    </row>
    <row r="13" spans="1:2" x14ac:dyDescent="0.25">
      <c r="A13" s="1">
        <v>46064</v>
      </c>
      <c r="B13" s="2">
        <v>7.28</v>
      </c>
    </row>
    <row r="14" spans="1:2" x14ac:dyDescent="0.25">
      <c r="A14" s="1">
        <v>46063</v>
      </c>
      <c r="B14" s="2">
        <v>7.32</v>
      </c>
    </row>
    <row r="15" spans="1:2" x14ac:dyDescent="0.25">
      <c r="A15" s="1">
        <v>46062</v>
      </c>
      <c r="B15" s="2">
        <v>7.38</v>
      </c>
    </row>
    <row r="16" spans="1:2" x14ac:dyDescent="0.25">
      <c r="A16" s="1">
        <v>46059</v>
      </c>
      <c r="B16" s="2">
        <v>7.36</v>
      </c>
    </row>
    <row r="17" spans="1:2" x14ac:dyDescent="0.25">
      <c r="A17" s="1">
        <v>46058</v>
      </c>
      <c r="B17" s="2">
        <v>7.46</v>
      </c>
    </row>
    <row r="18" spans="1:2" x14ac:dyDescent="0.25">
      <c r="A18" s="1">
        <v>46057</v>
      </c>
      <c r="B18" s="2">
        <v>7.51</v>
      </c>
    </row>
    <row r="19" spans="1:2" x14ac:dyDescent="0.25">
      <c r="A19" s="1">
        <v>46056</v>
      </c>
      <c r="B19" s="2">
        <v>7.53</v>
      </c>
    </row>
    <row r="20" spans="1:2" x14ac:dyDescent="0.25">
      <c r="A20" s="1">
        <v>46055</v>
      </c>
      <c r="B20" s="2">
        <v>7.52</v>
      </c>
    </row>
    <row r="21" spans="1:2" x14ac:dyDescent="0.25">
      <c r="A21" s="1">
        <v>46052</v>
      </c>
      <c r="B21" s="2">
        <v>7.52</v>
      </c>
    </row>
    <row r="22" spans="1:2" x14ac:dyDescent="0.25">
      <c r="A22" s="1">
        <v>46051</v>
      </c>
      <c r="B22" s="2">
        <v>7.53</v>
      </c>
    </row>
    <row r="23" spans="1:2" x14ac:dyDescent="0.25">
      <c r="A23" s="1">
        <v>46050</v>
      </c>
      <c r="B23" s="2">
        <v>7.53</v>
      </c>
    </row>
    <row r="24" spans="1:2" x14ac:dyDescent="0.25">
      <c r="A24" s="1">
        <v>46049</v>
      </c>
      <c r="B24" s="2">
        <v>7.58</v>
      </c>
    </row>
    <row r="25" spans="1:2" x14ac:dyDescent="0.25">
      <c r="A25" s="1">
        <v>46048</v>
      </c>
      <c r="B25" s="2">
        <v>7.63</v>
      </c>
    </row>
    <row r="26" spans="1:2" x14ac:dyDescent="0.25">
      <c r="A26" s="1">
        <v>46045</v>
      </c>
      <c r="B26" s="2">
        <v>7.62</v>
      </c>
    </row>
    <row r="27" spans="1:2" x14ac:dyDescent="0.25">
      <c r="A27" s="1">
        <v>46044</v>
      </c>
      <c r="B27" s="2">
        <v>7.68</v>
      </c>
    </row>
    <row r="28" spans="1:2" x14ac:dyDescent="0.25">
      <c r="A28" s="1">
        <v>46043</v>
      </c>
      <c r="B28" s="2">
        <v>7.75</v>
      </c>
    </row>
    <row r="29" spans="1:2" x14ac:dyDescent="0.25">
      <c r="A29" s="1">
        <v>46042</v>
      </c>
      <c r="B29" s="2">
        <v>7.83</v>
      </c>
    </row>
    <row r="30" spans="1:2" x14ac:dyDescent="0.25">
      <c r="A30" s="1">
        <v>46041</v>
      </c>
      <c r="B30" s="2">
        <v>7.75</v>
      </c>
    </row>
    <row r="31" spans="1:2" x14ac:dyDescent="0.25">
      <c r="A31" s="1">
        <v>46038</v>
      </c>
      <c r="B31" s="2">
        <v>7.75</v>
      </c>
    </row>
    <row r="32" spans="1:2" x14ac:dyDescent="0.25">
      <c r="A32" s="1">
        <v>46037</v>
      </c>
      <c r="B32" s="2">
        <v>7.67</v>
      </c>
    </row>
    <row r="33" spans="1:2" x14ac:dyDescent="0.25">
      <c r="A33" s="1">
        <v>46036</v>
      </c>
      <c r="B33" s="2">
        <v>7.66</v>
      </c>
    </row>
    <row r="34" spans="1:2" x14ac:dyDescent="0.25">
      <c r="A34" s="1">
        <v>46035</v>
      </c>
      <c r="B34" s="2">
        <v>7.69</v>
      </c>
    </row>
    <row r="35" spans="1:2" x14ac:dyDescent="0.25">
      <c r="A35" s="1">
        <v>46034</v>
      </c>
      <c r="B35" s="2">
        <v>7.71</v>
      </c>
    </row>
    <row r="36" spans="1:2" x14ac:dyDescent="0.25">
      <c r="A36" s="1">
        <v>46031</v>
      </c>
      <c r="B36" s="2">
        <v>7.73</v>
      </c>
    </row>
    <row r="37" spans="1:2" x14ac:dyDescent="0.25">
      <c r="A37" s="1">
        <v>46030</v>
      </c>
      <c r="B37" s="2">
        <v>7.73</v>
      </c>
    </row>
    <row r="38" spans="1:2" x14ac:dyDescent="0.25">
      <c r="A38" s="1">
        <v>46029</v>
      </c>
      <c r="B38" s="2">
        <v>7.7</v>
      </c>
    </row>
    <row r="39" spans="1:2" x14ac:dyDescent="0.25">
      <c r="A39" s="1">
        <v>46028</v>
      </c>
      <c r="B39" s="2">
        <v>7.68</v>
      </c>
    </row>
    <row r="40" spans="1:2" x14ac:dyDescent="0.25">
      <c r="A40" s="1">
        <v>46027</v>
      </c>
      <c r="B40" s="2">
        <v>7.76</v>
      </c>
    </row>
    <row r="41" spans="1:2" x14ac:dyDescent="0.25">
      <c r="A41" s="1">
        <v>46024</v>
      </c>
      <c r="B41" s="2">
        <v>7.83</v>
      </c>
    </row>
    <row r="42" spans="1:2" x14ac:dyDescent="0.25">
      <c r="A42" s="1">
        <v>46023</v>
      </c>
      <c r="B42" s="2">
        <v>7.87</v>
      </c>
    </row>
    <row r="43" spans="1:2" x14ac:dyDescent="0.25">
      <c r="A43" s="1">
        <v>46022</v>
      </c>
      <c r="B43" s="2">
        <v>7.89</v>
      </c>
    </row>
    <row r="44" spans="1:2" x14ac:dyDescent="0.25">
      <c r="A44" s="1">
        <v>46021</v>
      </c>
      <c r="B44" s="2">
        <v>7.89</v>
      </c>
    </row>
    <row r="45" spans="1:2" x14ac:dyDescent="0.25">
      <c r="A45" s="1">
        <v>46020</v>
      </c>
      <c r="B45" s="2">
        <v>7.91</v>
      </c>
    </row>
    <row r="46" spans="1:2" x14ac:dyDescent="0.25">
      <c r="A46" s="1">
        <v>46017</v>
      </c>
      <c r="B46" s="2">
        <v>7.92</v>
      </c>
    </row>
    <row r="47" spans="1:2" x14ac:dyDescent="0.25">
      <c r="A47" s="1">
        <v>46016</v>
      </c>
      <c r="B47" s="2">
        <v>7.91</v>
      </c>
    </row>
    <row r="48" spans="1:2" x14ac:dyDescent="0.25">
      <c r="A48" s="1">
        <v>46015</v>
      </c>
      <c r="B48" s="2">
        <v>7.91</v>
      </c>
    </row>
    <row r="49" spans="1:2" x14ac:dyDescent="0.25">
      <c r="A49" s="1">
        <v>46014</v>
      </c>
      <c r="B49" s="2">
        <v>7.86</v>
      </c>
    </row>
    <row r="50" spans="1:2" x14ac:dyDescent="0.25">
      <c r="A50" s="1">
        <v>46013</v>
      </c>
      <c r="B50" s="2">
        <v>7.85</v>
      </c>
    </row>
    <row r="51" spans="1:2" x14ac:dyDescent="0.25">
      <c r="A51" s="1">
        <v>46010</v>
      </c>
      <c r="B51" s="2">
        <v>7.8</v>
      </c>
    </row>
    <row r="52" spans="1:2" x14ac:dyDescent="0.25">
      <c r="A52" s="1">
        <v>46009</v>
      </c>
      <c r="B52" s="2">
        <v>7.8</v>
      </c>
    </row>
    <row r="53" spans="1:2" x14ac:dyDescent="0.25">
      <c r="A53" s="1">
        <v>46008</v>
      </c>
      <c r="B53" s="2">
        <v>7.85</v>
      </c>
    </row>
    <row r="54" spans="1:2" x14ac:dyDescent="0.25">
      <c r="A54" s="1">
        <v>46007</v>
      </c>
      <c r="B54" s="2">
        <v>7.93</v>
      </c>
    </row>
    <row r="55" spans="1:2" x14ac:dyDescent="0.25">
      <c r="A55" s="1">
        <v>46006</v>
      </c>
      <c r="B55" s="2">
        <v>8.02</v>
      </c>
    </row>
    <row r="56" spans="1:2" x14ac:dyDescent="0.25">
      <c r="A56" s="1">
        <v>46003</v>
      </c>
      <c r="B56" s="2">
        <v>8.02</v>
      </c>
    </row>
    <row r="57" spans="1:2" x14ac:dyDescent="0.25">
      <c r="A57" s="1">
        <v>46002</v>
      </c>
      <c r="B57" s="2">
        <v>8.02</v>
      </c>
    </row>
    <row r="58" spans="1:2" x14ac:dyDescent="0.25">
      <c r="A58" s="1">
        <v>46001</v>
      </c>
      <c r="B58" s="2">
        <v>7.99</v>
      </c>
    </row>
    <row r="59" spans="1:2" x14ac:dyDescent="0.25">
      <c r="A59" s="1">
        <v>46000</v>
      </c>
      <c r="B59" s="2">
        <v>7.97</v>
      </c>
    </row>
    <row r="60" spans="1:2" x14ac:dyDescent="0.25">
      <c r="A60" s="1">
        <v>45999</v>
      </c>
      <c r="B60" s="2">
        <v>7.8</v>
      </c>
    </row>
    <row r="61" spans="1:2" x14ac:dyDescent="0.25">
      <c r="A61" s="1">
        <v>45996</v>
      </c>
      <c r="B61" s="2">
        <v>7.72</v>
      </c>
    </row>
    <row r="62" spans="1:2" x14ac:dyDescent="0.25">
      <c r="A62" s="1">
        <v>45995</v>
      </c>
      <c r="B62" s="2">
        <v>7.69</v>
      </c>
    </row>
    <row r="63" spans="1:2" x14ac:dyDescent="0.25">
      <c r="A63" s="1">
        <v>45994</v>
      </c>
      <c r="B63" s="2">
        <v>7.67</v>
      </c>
    </row>
    <row r="64" spans="1:2" x14ac:dyDescent="0.25">
      <c r="A64" s="1">
        <v>45993</v>
      </c>
      <c r="B64" s="2">
        <v>7.37</v>
      </c>
    </row>
    <row r="65" spans="1:2" x14ac:dyDescent="0.25">
      <c r="A65" s="1">
        <v>45992</v>
      </c>
      <c r="B65" s="2">
        <v>7.41</v>
      </c>
    </row>
    <row r="66" spans="1:2" x14ac:dyDescent="0.25">
      <c r="A66" s="1">
        <v>45989</v>
      </c>
      <c r="B66" s="2">
        <v>7.39</v>
      </c>
    </row>
    <row r="67" spans="1:2" x14ac:dyDescent="0.25">
      <c r="A67" s="1">
        <v>45988</v>
      </c>
      <c r="B67" s="2">
        <v>7.39</v>
      </c>
    </row>
    <row r="68" spans="1:2" x14ac:dyDescent="0.25">
      <c r="A68" s="1">
        <v>45987</v>
      </c>
      <c r="B68" s="2">
        <v>7.41</v>
      </c>
    </row>
    <row r="69" spans="1:2" x14ac:dyDescent="0.25">
      <c r="A69" s="1">
        <v>45986</v>
      </c>
      <c r="B69" s="2">
        <v>7.48</v>
      </c>
    </row>
    <row r="70" spans="1:2" x14ac:dyDescent="0.25">
      <c r="A70" s="1">
        <v>45985</v>
      </c>
      <c r="B70" s="2">
        <v>7.5</v>
      </c>
    </row>
    <row r="71" spans="1:2" x14ac:dyDescent="0.25">
      <c r="A71" s="1">
        <v>45982</v>
      </c>
      <c r="B71" s="2">
        <v>7.5</v>
      </c>
    </row>
    <row r="72" spans="1:2" x14ac:dyDescent="0.25">
      <c r="A72" s="1">
        <v>45981</v>
      </c>
      <c r="B72" s="2">
        <v>7.47</v>
      </c>
    </row>
    <row r="73" spans="1:2" x14ac:dyDescent="0.25">
      <c r="A73" s="1">
        <v>45980</v>
      </c>
      <c r="B73" s="2">
        <v>7.47</v>
      </c>
    </row>
    <row r="74" spans="1:2" x14ac:dyDescent="0.25">
      <c r="A74" s="1">
        <v>45979</v>
      </c>
      <c r="B74" s="2">
        <v>7.47</v>
      </c>
    </row>
    <row r="75" spans="1:2" x14ac:dyDescent="0.25">
      <c r="A75" s="1">
        <v>45978</v>
      </c>
      <c r="B75" s="2">
        <v>7.47</v>
      </c>
    </row>
    <row r="76" spans="1:2" x14ac:dyDescent="0.25">
      <c r="A76" s="1">
        <v>45975</v>
      </c>
      <c r="B76" s="2">
        <v>7.47</v>
      </c>
    </row>
    <row r="77" spans="1:2" x14ac:dyDescent="0.25">
      <c r="A77" s="1">
        <v>45974</v>
      </c>
      <c r="B77" s="2">
        <v>7.47</v>
      </c>
    </row>
    <row r="78" spans="1:2" x14ac:dyDescent="0.25">
      <c r="A78" s="1">
        <v>45973</v>
      </c>
      <c r="B78" s="2">
        <v>7.47</v>
      </c>
    </row>
    <row r="79" spans="1:2" x14ac:dyDescent="0.25">
      <c r="A79" s="1">
        <v>45972</v>
      </c>
      <c r="B79" s="2">
        <v>7.49</v>
      </c>
    </row>
    <row r="80" spans="1:2" x14ac:dyDescent="0.25">
      <c r="A80" s="1">
        <v>45971</v>
      </c>
      <c r="B80" s="2">
        <v>7.47</v>
      </c>
    </row>
    <row r="81" spans="1:2" x14ac:dyDescent="0.25">
      <c r="A81" s="1">
        <v>45968</v>
      </c>
      <c r="B81" s="2">
        <v>7.45</v>
      </c>
    </row>
    <row r="82" spans="1:2" x14ac:dyDescent="0.25">
      <c r="A82" s="1">
        <v>45967</v>
      </c>
      <c r="B82" s="2">
        <v>7.39</v>
      </c>
    </row>
    <row r="83" spans="1:2" x14ac:dyDescent="0.25">
      <c r="A83" s="1">
        <v>45966</v>
      </c>
      <c r="B83" s="2">
        <v>7.35</v>
      </c>
    </row>
    <row r="84" spans="1:2" x14ac:dyDescent="0.25">
      <c r="A84" s="1">
        <v>45965</v>
      </c>
      <c r="B84" s="2">
        <v>7.33</v>
      </c>
    </row>
    <row r="85" spans="1:2" x14ac:dyDescent="0.25">
      <c r="A85" s="1">
        <v>45964</v>
      </c>
      <c r="B85" s="2">
        <v>7.3</v>
      </c>
    </row>
    <row r="86" spans="1:2" x14ac:dyDescent="0.25">
      <c r="A86" s="1">
        <v>45961</v>
      </c>
      <c r="B86" s="2">
        <v>7.28</v>
      </c>
    </row>
    <row r="87" spans="1:2" x14ac:dyDescent="0.25">
      <c r="A87" s="1">
        <v>45960</v>
      </c>
      <c r="B87" s="2">
        <v>7.28</v>
      </c>
    </row>
    <row r="88" spans="1:2" x14ac:dyDescent="0.25">
      <c r="A88" s="1">
        <v>45959</v>
      </c>
      <c r="B88" s="2">
        <v>7.33</v>
      </c>
    </row>
    <row r="89" spans="1:2" x14ac:dyDescent="0.25">
      <c r="A89" s="1">
        <v>45958</v>
      </c>
      <c r="B89" s="2">
        <v>7.26</v>
      </c>
    </row>
    <row r="90" spans="1:2" x14ac:dyDescent="0.25">
      <c r="A90" s="1">
        <v>45957</v>
      </c>
      <c r="B90" s="2">
        <v>7.24</v>
      </c>
    </row>
    <row r="91" spans="1:2" x14ac:dyDescent="0.25">
      <c r="A91" s="1">
        <v>45954</v>
      </c>
      <c r="B91" s="2">
        <v>7.26</v>
      </c>
    </row>
    <row r="92" spans="1:2" x14ac:dyDescent="0.25">
      <c r="A92" s="1">
        <v>45953</v>
      </c>
      <c r="B92" s="2">
        <v>7.25</v>
      </c>
    </row>
    <row r="93" spans="1:2" x14ac:dyDescent="0.25">
      <c r="A93" s="1">
        <v>45952</v>
      </c>
      <c r="B93" s="2">
        <v>7.24</v>
      </c>
    </row>
    <row r="94" spans="1:2" x14ac:dyDescent="0.25">
      <c r="A94" s="1">
        <v>45951</v>
      </c>
      <c r="B94" s="2">
        <v>7.29</v>
      </c>
    </row>
    <row r="95" spans="1:2" x14ac:dyDescent="0.25">
      <c r="A95" s="1">
        <v>45950</v>
      </c>
      <c r="B95" s="2">
        <v>7.24</v>
      </c>
    </row>
    <row r="96" spans="1:2" x14ac:dyDescent="0.25">
      <c r="A96" s="1">
        <v>45947</v>
      </c>
      <c r="B96" s="2">
        <v>7.29</v>
      </c>
    </row>
    <row r="97" spans="1:2" x14ac:dyDescent="0.25">
      <c r="A97" s="1">
        <v>45946</v>
      </c>
      <c r="B97" s="2">
        <v>7.29</v>
      </c>
    </row>
    <row r="98" spans="1:2" x14ac:dyDescent="0.25">
      <c r="A98" s="1">
        <v>45945</v>
      </c>
      <c r="B98" s="2">
        <v>7.33</v>
      </c>
    </row>
    <row r="99" spans="1:2" x14ac:dyDescent="0.25">
      <c r="A99" s="1">
        <v>45944</v>
      </c>
      <c r="B99" s="2">
        <v>7.35</v>
      </c>
    </row>
    <row r="100" spans="1:2" x14ac:dyDescent="0.25">
      <c r="A100" s="1">
        <v>45943</v>
      </c>
      <c r="B100" s="2">
        <v>7.31</v>
      </c>
    </row>
    <row r="101" spans="1:2" x14ac:dyDescent="0.25">
      <c r="A101" s="1">
        <v>45940</v>
      </c>
      <c r="B101" s="2">
        <v>7.33</v>
      </c>
    </row>
    <row r="102" spans="1:2" x14ac:dyDescent="0.25">
      <c r="A102" s="1">
        <v>45939</v>
      </c>
      <c r="B102" s="2">
        <v>7.41</v>
      </c>
    </row>
    <row r="103" spans="1:2" x14ac:dyDescent="0.25">
      <c r="A103" s="1">
        <v>45938</v>
      </c>
      <c r="B103" s="2">
        <v>7.41</v>
      </c>
    </row>
    <row r="104" spans="1:2" x14ac:dyDescent="0.25">
      <c r="A104" s="1">
        <v>45937</v>
      </c>
      <c r="B104" s="2">
        <v>7.45</v>
      </c>
    </row>
    <row r="105" spans="1:2" x14ac:dyDescent="0.25">
      <c r="A105" s="1">
        <v>45936</v>
      </c>
      <c r="B105" s="2">
        <v>7.45</v>
      </c>
    </row>
    <row r="106" spans="1:2" x14ac:dyDescent="0.25">
      <c r="A106" s="1">
        <v>45933</v>
      </c>
      <c r="B106" s="2">
        <v>7.43</v>
      </c>
    </row>
    <row r="107" spans="1:2" x14ac:dyDescent="0.25">
      <c r="A107" s="1">
        <v>45932</v>
      </c>
      <c r="B107" s="2">
        <v>7.43</v>
      </c>
    </row>
    <row r="108" spans="1:2" x14ac:dyDescent="0.25">
      <c r="A108" s="1">
        <v>45931</v>
      </c>
      <c r="B108" s="2">
        <v>7.41</v>
      </c>
    </row>
    <row r="109" spans="1:2" x14ac:dyDescent="0.25">
      <c r="A109" s="1">
        <v>45930</v>
      </c>
      <c r="B109" s="2">
        <v>7.49</v>
      </c>
    </row>
    <row r="110" spans="1:2" x14ac:dyDescent="0.25">
      <c r="A110" s="1">
        <v>45929</v>
      </c>
      <c r="B110" s="2">
        <v>7.51</v>
      </c>
    </row>
    <row r="111" spans="1:2" x14ac:dyDescent="0.25">
      <c r="A111" s="1">
        <v>45926</v>
      </c>
      <c r="B111" s="2">
        <v>7.49</v>
      </c>
    </row>
    <row r="112" spans="1:2" x14ac:dyDescent="0.25">
      <c r="A112" s="1">
        <v>45925</v>
      </c>
      <c r="B112" s="2">
        <v>7.46</v>
      </c>
    </row>
    <row r="113" spans="1:2" x14ac:dyDescent="0.25">
      <c r="A113" s="1">
        <v>45924</v>
      </c>
      <c r="B113" s="2">
        <v>7.45</v>
      </c>
    </row>
    <row r="114" spans="1:2" x14ac:dyDescent="0.25">
      <c r="A114" s="1">
        <v>45923</v>
      </c>
      <c r="B114" s="2">
        <v>7.46</v>
      </c>
    </row>
    <row r="115" spans="1:2" x14ac:dyDescent="0.25">
      <c r="A115" s="1">
        <v>45922</v>
      </c>
      <c r="B115" s="2">
        <v>7.45</v>
      </c>
    </row>
    <row r="116" spans="1:2" x14ac:dyDescent="0.25">
      <c r="A116" s="1">
        <v>45919</v>
      </c>
      <c r="B116" s="2">
        <v>7.47</v>
      </c>
    </row>
    <row r="117" spans="1:2" x14ac:dyDescent="0.25">
      <c r="A117" s="1">
        <v>45918</v>
      </c>
      <c r="B117" s="2">
        <v>7.46</v>
      </c>
    </row>
    <row r="118" spans="1:2" x14ac:dyDescent="0.25">
      <c r="A118" s="1">
        <v>45917</v>
      </c>
      <c r="B118" s="2">
        <v>7.52</v>
      </c>
    </row>
    <row r="119" spans="1:2" x14ac:dyDescent="0.25">
      <c r="A119" s="1">
        <v>45916</v>
      </c>
      <c r="B119" s="2">
        <v>7.51</v>
      </c>
    </row>
    <row r="120" spans="1:2" x14ac:dyDescent="0.25">
      <c r="A120" s="1">
        <v>45915</v>
      </c>
      <c r="B120" s="2">
        <v>7.51</v>
      </c>
    </row>
    <row r="121" spans="1:2" x14ac:dyDescent="0.25">
      <c r="A121" s="1">
        <v>45912</v>
      </c>
      <c r="B121" s="2">
        <v>7.55</v>
      </c>
    </row>
    <row r="122" spans="1:2" x14ac:dyDescent="0.25">
      <c r="A122" s="1">
        <v>45911</v>
      </c>
      <c r="B122" s="2">
        <v>7.56</v>
      </c>
    </row>
    <row r="123" spans="1:2" x14ac:dyDescent="0.25">
      <c r="A123" s="1">
        <v>45910</v>
      </c>
      <c r="B123" s="2">
        <v>7.59</v>
      </c>
    </row>
    <row r="124" spans="1:2" x14ac:dyDescent="0.25">
      <c r="A124" s="1">
        <v>45909</v>
      </c>
      <c r="B124" s="2">
        <v>7.62</v>
      </c>
    </row>
    <row r="125" spans="1:2" x14ac:dyDescent="0.25">
      <c r="A125" s="1">
        <v>45908</v>
      </c>
      <c r="B125" s="2">
        <v>7.62</v>
      </c>
    </row>
    <row r="126" spans="1:2" x14ac:dyDescent="0.25">
      <c r="A126" s="1">
        <v>45905</v>
      </c>
      <c r="B126" s="2">
        <v>7.66</v>
      </c>
    </row>
    <row r="127" spans="1:2" x14ac:dyDescent="0.25">
      <c r="A127" s="1">
        <v>45904</v>
      </c>
      <c r="B127" s="2">
        <v>7.74</v>
      </c>
    </row>
    <row r="128" spans="1:2" x14ac:dyDescent="0.25">
      <c r="A128" s="1">
        <v>45903</v>
      </c>
      <c r="B128" s="2">
        <v>7.77</v>
      </c>
    </row>
    <row r="129" spans="1:2" x14ac:dyDescent="0.25">
      <c r="A129" s="1">
        <v>45902</v>
      </c>
      <c r="B129" s="2">
        <v>7.72</v>
      </c>
    </row>
    <row r="130" spans="1:2" x14ac:dyDescent="0.25">
      <c r="A130" s="1">
        <v>45901</v>
      </c>
      <c r="B130" s="2">
        <v>7.77</v>
      </c>
    </row>
    <row r="131" spans="1:2" x14ac:dyDescent="0.25">
      <c r="A131" s="1">
        <v>45898</v>
      </c>
      <c r="B131" s="2">
        <v>7.77</v>
      </c>
    </row>
    <row r="132" spans="1:2" x14ac:dyDescent="0.25">
      <c r="A132" s="1">
        <v>45897</v>
      </c>
      <c r="B132" s="2">
        <v>7.77</v>
      </c>
    </row>
    <row r="133" spans="1:2" x14ac:dyDescent="0.25">
      <c r="A133" s="1">
        <v>45896</v>
      </c>
      <c r="B133" s="2">
        <v>7.79</v>
      </c>
    </row>
    <row r="134" spans="1:2" x14ac:dyDescent="0.25">
      <c r="A134" s="1">
        <v>45895</v>
      </c>
      <c r="B134" s="2">
        <v>7.77</v>
      </c>
    </row>
    <row r="135" spans="1:2" x14ac:dyDescent="0.25">
      <c r="A135" s="1">
        <v>45894</v>
      </c>
      <c r="B135" s="2">
        <v>7.77</v>
      </c>
    </row>
    <row r="136" spans="1:2" x14ac:dyDescent="0.25">
      <c r="A136" s="1">
        <v>45891</v>
      </c>
      <c r="B136" s="2">
        <v>7.79</v>
      </c>
    </row>
    <row r="137" spans="1:2" x14ac:dyDescent="0.25">
      <c r="A137" s="1">
        <v>45890</v>
      </c>
      <c r="B137" s="2">
        <v>7.89</v>
      </c>
    </row>
    <row r="138" spans="1:2" x14ac:dyDescent="0.25">
      <c r="A138" s="1">
        <v>45889</v>
      </c>
      <c r="B138" s="2">
        <v>7.82</v>
      </c>
    </row>
    <row r="139" spans="1:2" x14ac:dyDescent="0.25">
      <c r="A139" s="1">
        <v>45888</v>
      </c>
      <c r="B139" s="2">
        <v>7.86</v>
      </c>
    </row>
    <row r="140" spans="1:2" x14ac:dyDescent="0.25">
      <c r="A140" s="1">
        <v>45887</v>
      </c>
      <c r="B140" s="2">
        <v>7.87</v>
      </c>
    </row>
    <row r="141" spans="1:2" x14ac:dyDescent="0.25">
      <c r="A141" s="1">
        <v>45884</v>
      </c>
      <c r="B141" s="2">
        <v>7.87</v>
      </c>
    </row>
    <row r="142" spans="1:2" x14ac:dyDescent="0.25">
      <c r="A142" s="1">
        <v>45883</v>
      </c>
      <c r="B142" s="2">
        <v>7.84</v>
      </c>
    </row>
    <row r="143" spans="1:2" x14ac:dyDescent="0.25">
      <c r="A143" s="1">
        <v>45882</v>
      </c>
      <c r="B143" s="2">
        <v>7.83</v>
      </c>
    </row>
    <row r="144" spans="1:2" x14ac:dyDescent="0.25">
      <c r="A144" s="1">
        <v>45881</v>
      </c>
      <c r="B144" s="2">
        <v>7.83</v>
      </c>
    </row>
    <row r="145" spans="1:2" x14ac:dyDescent="0.25">
      <c r="A145" s="1">
        <v>45880</v>
      </c>
      <c r="B145" s="2">
        <v>7.86</v>
      </c>
    </row>
    <row r="146" spans="1:2" x14ac:dyDescent="0.25">
      <c r="A146" s="1">
        <v>45877</v>
      </c>
      <c r="B146" s="2">
        <v>7.9</v>
      </c>
    </row>
    <row r="147" spans="1:2" x14ac:dyDescent="0.25">
      <c r="A147" s="1">
        <v>45876</v>
      </c>
      <c r="B147" s="2">
        <v>7.86</v>
      </c>
    </row>
    <row r="148" spans="1:2" x14ac:dyDescent="0.25">
      <c r="A148" s="1">
        <v>45875</v>
      </c>
      <c r="B148" s="2">
        <v>7.93</v>
      </c>
    </row>
    <row r="149" spans="1:2" x14ac:dyDescent="0.25">
      <c r="A149" s="1">
        <v>45874</v>
      </c>
      <c r="B149" s="2">
        <v>7.99</v>
      </c>
    </row>
    <row r="150" spans="1:2" x14ac:dyDescent="0.25">
      <c r="A150" s="1">
        <v>45873</v>
      </c>
      <c r="B150" s="2">
        <v>8.02</v>
      </c>
    </row>
    <row r="151" spans="1:2" x14ac:dyDescent="0.25">
      <c r="A151" s="1">
        <v>45870</v>
      </c>
      <c r="B151" s="2">
        <v>8.01</v>
      </c>
    </row>
    <row r="152" spans="1:2" x14ac:dyDescent="0.25">
      <c r="A152" s="1">
        <v>45869</v>
      </c>
      <c r="B152" s="2">
        <v>8.08</v>
      </c>
    </row>
    <row r="153" spans="1:2" x14ac:dyDescent="0.25">
      <c r="A153" s="1">
        <v>45868</v>
      </c>
      <c r="B153" s="2">
        <v>8.09</v>
      </c>
    </row>
    <row r="154" spans="1:2" x14ac:dyDescent="0.25">
      <c r="A154" s="1">
        <v>45867</v>
      </c>
      <c r="B154" s="2">
        <v>8.1</v>
      </c>
    </row>
    <row r="155" spans="1:2" x14ac:dyDescent="0.25">
      <c r="A155" s="1">
        <v>45866</v>
      </c>
      <c r="B155" s="2">
        <v>8.1300000000000008</v>
      </c>
    </row>
    <row r="156" spans="1:2" x14ac:dyDescent="0.25">
      <c r="A156" s="1">
        <v>45863</v>
      </c>
      <c r="B156" s="2">
        <v>8.06</v>
      </c>
    </row>
    <row r="157" spans="1:2" x14ac:dyDescent="0.25">
      <c r="A157" s="1">
        <v>45862</v>
      </c>
      <c r="B157" s="2">
        <v>8.09</v>
      </c>
    </row>
    <row r="158" spans="1:2" x14ac:dyDescent="0.25">
      <c r="A158" s="1">
        <v>45861</v>
      </c>
      <c r="B158" s="2">
        <v>8.1300000000000008</v>
      </c>
    </row>
    <row r="159" spans="1:2" x14ac:dyDescent="0.25">
      <c r="A159" s="1">
        <v>45860</v>
      </c>
      <c r="B159" s="2">
        <v>8.15</v>
      </c>
    </row>
    <row r="160" spans="1:2" x14ac:dyDescent="0.25">
      <c r="A160" s="1">
        <v>45859</v>
      </c>
      <c r="B160" s="2">
        <v>8.16</v>
      </c>
    </row>
    <row r="161" spans="1:2" x14ac:dyDescent="0.25">
      <c r="A161" s="1">
        <v>45856</v>
      </c>
      <c r="B161" s="2">
        <v>8.14</v>
      </c>
    </row>
    <row r="162" spans="1:2" x14ac:dyDescent="0.25">
      <c r="A162" s="1">
        <v>45855</v>
      </c>
      <c r="B162" s="2">
        <v>8.1199999999999992</v>
      </c>
    </row>
    <row r="163" spans="1:2" x14ac:dyDescent="0.25">
      <c r="A163" s="1">
        <v>45854</v>
      </c>
      <c r="B163" s="2">
        <v>8.1300000000000008</v>
      </c>
    </row>
    <row r="164" spans="1:2" x14ac:dyDescent="0.25">
      <c r="A164" s="1">
        <v>45853</v>
      </c>
      <c r="B164" s="2">
        <v>8.14</v>
      </c>
    </row>
    <row r="165" spans="1:2" x14ac:dyDescent="0.25">
      <c r="A165" s="1">
        <v>45852</v>
      </c>
      <c r="B165" s="2">
        <v>8.14</v>
      </c>
    </row>
    <row r="166" spans="1:2" x14ac:dyDescent="0.25">
      <c r="A166" s="1">
        <v>45849</v>
      </c>
      <c r="B166" s="2">
        <v>8.1</v>
      </c>
    </row>
    <row r="167" spans="1:2" x14ac:dyDescent="0.25">
      <c r="A167" s="1">
        <v>45848</v>
      </c>
      <c r="B167" s="2">
        <v>8.08</v>
      </c>
    </row>
    <row r="168" spans="1:2" x14ac:dyDescent="0.25">
      <c r="A168" s="1">
        <v>45847</v>
      </c>
      <c r="B168" s="2">
        <v>8.14</v>
      </c>
    </row>
    <row r="169" spans="1:2" x14ac:dyDescent="0.25">
      <c r="A169" s="1">
        <v>45846</v>
      </c>
      <c r="B169" s="2">
        <v>8.14</v>
      </c>
    </row>
    <row r="170" spans="1:2" x14ac:dyDescent="0.25">
      <c r="A170" s="1">
        <v>45845</v>
      </c>
      <c r="B170" s="2">
        <v>8.15</v>
      </c>
    </row>
    <row r="171" spans="1:2" x14ac:dyDescent="0.25">
      <c r="A171" s="1">
        <v>45842</v>
      </c>
      <c r="B171" s="2">
        <v>8.17</v>
      </c>
    </row>
    <row r="172" spans="1:2" x14ac:dyDescent="0.25">
      <c r="A172" s="1">
        <v>45841</v>
      </c>
      <c r="B172" s="2">
        <v>8.1300000000000008</v>
      </c>
    </row>
    <row r="173" spans="1:2" x14ac:dyDescent="0.25">
      <c r="A173" s="1">
        <v>45840</v>
      </c>
      <c r="B173" s="2">
        <v>8.11</v>
      </c>
    </row>
    <row r="174" spans="1:2" x14ac:dyDescent="0.25">
      <c r="A174" s="1">
        <v>45839</v>
      </c>
      <c r="B174" s="2">
        <v>8.15</v>
      </c>
    </row>
    <row r="175" spans="1:2" x14ac:dyDescent="0.25">
      <c r="A175" s="1">
        <v>45838</v>
      </c>
      <c r="B175" s="2">
        <v>8.1300000000000008</v>
      </c>
    </row>
    <row r="176" spans="1:2" x14ac:dyDescent="0.25">
      <c r="A176" s="1">
        <v>45835</v>
      </c>
      <c r="B176" s="2">
        <v>8.15</v>
      </c>
    </row>
    <row r="177" spans="1:2" x14ac:dyDescent="0.25">
      <c r="A177" s="1">
        <v>45834</v>
      </c>
      <c r="B177" s="2">
        <v>8.09</v>
      </c>
    </row>
    <row r="178" spans="1:2" x14ac:dyDescent="0.25">
      <c r="A178" s="1">
        <v>45833</v>
      </c>
      <c r="B178" s="2">
        <v>8.11</v>
      </c>
    </row>
    <row r="179" spans="1:2" x14ac:dyDescent="0.25">
      <c r="A179" s="1">
        <v>45832</v>
      </c>
      <c r="B179" s="2">
        <v>8.14</v>
      </c>
    </row>
    <row r="180" spans="1:2" x14ac:dyDescent="0.25">
      <c r="A180" s="1">
        <v>45831</v>
      </c>
      <c r="B180" s="2">
        <v>8.18</v>
      </c>
    </row>
    <row r="181" spans="1:2" x14ac:dyDescent="0.25">
      <c r="A181" s="1">
        <v>45828</v>
      </c>
      <c r="B181" s="2">
        <v>8.19</v>
      </c>
    </row>
    <row r="182" spans="1:2" x14ac:dyDescent="0.25">
      <c r="A182" s="1">
        <v>45827</v>
      </c>
      <c r="B182" s="2">
        <v>8.1300000000000008</v>
      </c>
    </row>
    <row r="183" spans="1:2" x14ac:dyDescent="0.25">
      <c r="A183" s="1">
        <v>45826</v>
      </c>
      <c r="B183" s="2">
        <v>8.14</v>
      </c>
    </row>
    <row r="184" spans="1:2" x14ac:dyDescent="0.25">
      <c r="A184" s="1">
        <v>45825</v>
      </c>
      <c r="B184" s="2">
        <v>8.16</v>
      </c>
    </row>
    <row r="185" spans="1:2" x14ac:dyDescent="0.25">
      <c r="A185" s="1">
        <v>45824</v>
      </c>
      <c r="B185" s="2">
        <v>8.14</v>
      </c>
    </row>
    <row r="186" spans="1:2" x14ac:dyDescent="0.25">
      <c r="A186" s="1">
        <v>45821</v>
      </c>
      <c r="B186" s="2">
        <v>8.08</v>
      </c>
    </row>
    <row r="187" spans="1:2" x14ac:dyDescent="0.25">
      <c r="A187" s="1">
        <v>45820</v>
      </c>
      <c r="B187" s="2">
        <v>8.08</v>
      </c>
    </row>
    <row r="188" spans="1:2" x14ac:dyDescent="0.25">
      <c r="A188" s="1">
        <v>45819</v>
      </c>
      <c r="B188" s="2">
        <v>8.15</v>
      </c>
    </row>
    <row r="189" spans="1:2" x14ac:dyDescent="0.25">
      <c r="A189" s="1">
        <v>45818</v>
      </c>
      <c r="B189" s="2">
        <v>8.15</v>
      </c>
    </row>
    <row r="190" spans="1:2" x14ac:dyDescent="0.25">
      <c r="A190" s="1">
        <v>45817</v>
      </c>
      <c r="B190" s="2">
        <v>8.14</v>
      </c>
    </row>
    <row r="191" spans="1:2" x14ac:dyDescent="0.25">
      <c r="A191" s="1">
        <v>45814</v>
      </c>
      <c r="B191" s="2">
        <v>8.08</v>
      </c>
    </row>
    <row r="192" spans="1:2" x14ac:dyDescent="0.25">
      <c r="A192" s="1">
        <v>45813</v>
      </c>
      <c r="B192" s="2">
        <v>8.0500000000000007</v>
      </c>
    </row>
    <row r="193" spans="1:2" x14ac:dyDescent="0.25">
      <c r="A193" s="1">
        <v>45812</v>
      </c>
      <c r="B193" s="2">
        <v>8.06</v>
      </c>
    </row>
    <row r="194" spans="1:2" x14ac:dyDescent="0.25">
      <c r="A194" s="1">
        <v>45811</v>
      </c>
      <c r="B194" s="2">
        <v>8.11</v>
      </c>
    </row>
    <row r="195" spans="1:2" x14ac:dyDescent="0.25">
      <c r="A195" s="1">
        <v>45810</v>
      </c>
      <c r="B195" s="2">
        <v>8.15</v>
      </c>
    </row>
    <row r="196" spans="1:2" x14ac:dyDescent="0.25">
      <c r="A196" s="1">
        <v>45807</v>
      </c>
      <c r="B196" s="2">
        <v>8.1300000000000008</v>
      </c>
    </row>
    <row r="197" spans="1:2" x14ac:dyDescent="0.25">
      <c r="A197" s="1">
        <v>45806</v>
      </c>
      <c r="B197" s="2">
        <v>8.1199999999999992</v>
      </c>
    </row>
    <row r="198" spans="1:2" x14ac:dyDescent="0.25">
      <c r="A198" s="1">
        <v>45805</v>
      </c>
      <c r="B198" s="2">
        <v>8.19</v>
      </c>
    </row>
    <row r="199" spans="1:2" x14ac:dyDescent="0.25">
      <c r="A199" s="1">
        <v>45804</v>
      </c>
      <c r="B199" s="2">
        <v>8.2200000000000006</v>
      </c>
    </row>
    <row r="200" spans="1:2" x14ac:dyDescent="0.25">
      <c r="A200" s="1">
        <v>45803</v>
      </c>
      <c r="B200" s="2">
        <v>8.24</v>
      </c>
    </row>
    <row r="201" spans="1:2" x14ac:dyDescent="0.25">
      <c r="A201" s="1">
        <v>45800</v>
      </c>
      <c r="B201" s="2">
        <v>8.2100000000000009</v>
      </c>
    </row>
    <row r="202" spans="1:2" x14ac:dyDescent="0.25">
      <c r="A202" s="1">
        <v>45799</v>
      </c>
      <c r="B202" s="2">
        <v>8.2100000000000009</v>
      </c>
    </row>
    <row r="203" spans="1:2" x14ac:dyDescent="0.25">
      <c r="A203" s="1">
        <v>45798</v>
      </c>
      <c r="B203" s="2">
        <v>8.25</v>
      </c>
    </row>
    <row r="204" spans="1:2" x14ac:dyDescent="0.25">
      <c r="A204" s="1">
        <v>45797</v>
      </c>
      <c r="B204" s="2">
        <v>8.27</v>
      </c>
    </row>
    <row r="205" spans="1:2" x14ac:dyDescent="0.25">
      <c r="A205" s="1">
        <v>45796</v>
      </c>
      <c r="B205" s="2">
        <v>8.24</v>
      </c>
    </row>
    <row r="206" spans="1:2" x14ac:dyDescent="0.25">
      <c r="A206" s="1">
        <v>45793</v>
      </c>
      <c r="B206" s="2">
        <v>8.2799999999999994</v>
      </c>
    </row>
    <row r="207" spans="1:2" x14ac:dyDescent="0.25">
      <c r="A207" s="1">
        <v>45792</v>
      </c>
      <c r="B207" s="2">
        <v>8.3000000000000007</v>
      </c>
    </row>
    <row r="208" spans="1:2" x14ac:dyDescent="0.25">
      <c r="A208" s="1">
        <v>45791</v>
      </c>
      <c r="B208" s="2">
        <v>8.42</v>
      </c>
    </row>
    <row r="209" spans="1:2" x14ac:dyDescent="0.25">
      <c r="A209" s="1">
        <v>45790</v>
      </c>
      <c r="B209" s="2">
        <v>8.33</v>
      </c>
    </row>
    <row r="210" spans="1:2" x14ac:dyDescent="0.25">
      <c r="A210" s="1">
        <v>45789</v>
      </c>
      <c r="B210" s="2">
        <v>8.2799999999999994</v>
      </c>
    </row>
    <row r="211" spans="1:2" x14ac:dyDescent="0.25">
      <c r="A211" s="1">
        <v>45786</v>
      </c>
      <c r="B211" s="2">
        <v>8.2200000000000006</v>
      </c>
    </row>
    <row r="212" spans="1:2" x14ac:dyDescent="0.25">
      <c r="A212" s="1">
        <v>45785</v>
      </c>
      <c r="B212" s="2">
        <v>8.26</v>
      </c>
    </row>
    <row r="213" spans="1:2" x14ac:dyDescent="0.25">
      <c r="A213" s="1">
        <v>45784</v>
      </c>
      <c r="B213" s="2">
        <v>8.17</v>
      </c>
    </row>
    <row r="214" spans="1:2" x14ac:dyDescent="0.25">
      <c r="A214" s="1">
        <v>45783</v>
      </c>
      <c r="B214" s="2">
        <v>8.2200000000000006</v>
      </c>
    </row>
    <row r="215" spans="1:2" x14ac:dyDescent="0.25">
      <c r="A215" s="1">
        <v>45782</v>
      </c>
      <c r="B215" s="2">
        <v>8.25</v>
      </c>
    </row>
    <row r="216" spans="1:2" x14ac:dyDescent="0.25">
      <c r="A216" s="1">
        <v>45779</v>
      </c>
      <c r="B216" s="2">
        <v>8.25</v>
      </c>
    </row>
    <row r="217" spans="1:2" x14ac:dyDescent="0.25">
      <c r="A217" s="1">
        <v>45778</v>
      </c>
      <c r="B217" s="2">
        <v>8.2100000000000009</v>
      </c>
    </row>
    <row r="218" spans="1:2" x14ac:dyDescent="0.25">
      <c r="A218" s="1">
        <v>45777</v>
      </c>
      <c r="B218" s="2">
        <v>8.2100000000000009</v>
      </c>
    </row>
    <row r="219" spans="1:2" x14ac:dyDescent="0.25">
      <c r="A219" s="1">
        <v>45776</v>
      </c>
      <c r="B219" s="2">
        <v>8.2200000000000006</v>
      </c>
    </row>
    <row r="220" spans="1:2" x14ac:dyDescent="0.25">
      <c r="A220" s="1">
        <v>45775</v>
      </c>
      <c r="B220" s="2">
        <v>8.2200000000000006</v>
      </c>
    </row>
    <row r="221" spans="1:2" x14ac:dyDescent="0.25">
      <c r="A221" s="1">
        <v>45772</v>
      </c>
      <c r="B221" s="2">
        <v>8.16</v>
      </c>
    </row>
    <row r="222" spans="1:2" x14ac:dyDescent="0.25">
      <c r="A222" s="1">
        <v>45771</v>
      </c>
      <c r="B222" s="2">
        <v>8.18</v>
      </c>
    </row>
    <row r="223" spans="1:2" x14ac:dyDescent="0.25">
      <c r="A223" s="1">
        <v>45770</v>
      </c>
      <c r="B223" s="2">
        <v>8.2200000000000006</v>
      </c>
    </row>
    <row r="224" spans="1:2" x14ac:dyDescent="0.25">
      <c r="A224" s="1">
        <v>45769</v>
      </c>
      <c r="B224" s="2">
        <v>8.23</v>
      </c>
    </row>
    <row r="225" spans="1:2" x14ac:dyDescent="0.25">
      <c r="A225" s="1">
        <v>45768</v>
      </c>
      <c r="B225" s="2">
        <v>8.23</v>
      </c>
    </row>
    <row r="226" spans="1:2" x14ac:dyDescent="0.25">
      <c r="A226" s="1">
        <v>45765</v>
      </c>
      <c r="B226" s="2">
        <v>8.25</v>
      </c>
    </row>
    <row r="227" spans="1:2" x14ac:dyDescent="0.25">
      <c r="A227" s="1">
        <v>45764</v>
      </c>
      <c r="B227" s="2">
        <v>8.25</v>
      </c>
    </row>
    <row r="228" spans="1:2" x14ac:dyDescent="0.25">
      <c r="A228" s="1">
        <v>45763</v>
      </c>
      <c r="B228" s="2">
        <v>8.25</v>
      </c>
    </row>
    <row r="229" spans="1:2" x14ac:dyDescent="0.25">
      <c r="A229" s="1">
        <v>45762</v>
      </c>
      <c r="B229" s="2">
        <v>8.2799999999999994</v>
      </c>
    </row>
    <row r="230" spans="1:2" x14ac:dyDescent="0.25">
      <c r="A230" s="1">
        <v>45761</v>
      </c>
      <c r="B230" s="2">
        <v>8.36</v>
      </c>
    </row>
    <row r="231" spans="1:2" x14ac:dyDescent="0.25">
      <c r="A231" s="1">
        <v>45758</v>
      </c>
      <c r="B231" s="2">
        <v>8.4</v>
      </c>
    </row>
    <row r="232" spans="1:2" x14ac:dyDescent="0.25">
      <c r="A232" s="1">
        <v>45757</v>
      </c>
      <c r="B232" s="2">
        <v>8.39</v>
      </c>
    </row>
    <row r="233" spans="1:2" x14ac:dyDescent="0.25">
      <c r="A233" s="1">
        <v>45756</v>
      </c>
      <c r="B233" s="2">
        <v>8.3699999999999992</v>
      </c>
    </row>
    <row r="234" spans="1:2" x14ac:dyDescent="0.25">
      <c r="A234" s="1">
        <v>45755</v>
      </c>
      <c r="B234" s="2">
        <v>8.35</v>
      </c>
    </row>
    <row r="235" spans="1:2" x14ac:dyDescent="0.25">
      <c r="A235" s="1">
        <v>45754</v>
      </c>
      <c r="B235" s="2">
        <v>8.35</v>
      </c>
    </row>
    <row r="236" spans="1:2" x14ac:dyDescent="0.25">
      <c r="A236" s="1">
        <v>45751</v>
      </c>
      <c r="B236" s="2">
        <v>8.27</v>
      </c>
    </row>
    <row r="237" spans="1:2" x14ac:dyDescent="0.25">
      <c r="A237" s="1">
        <v>45750</v>
      </c>
      <c r="B237" s="2">
        <v>8.25</v>
      </c>
    </row>
    <row r="238" spans="1:2" x14ac:dyDescent="0.25">
      <c r="A238" s="1">
        <v>45749</v>
      </c>
      <c r="B238" s="2">
        <v>8.49</v>
      </c>
    </row>
    <row r="239" spans="1:2" x14ac:dyDescent="0.25">
      <c r="A239" s="1">
        <v>45748</v>
      </c>
      <c r="B239" s="2">
        <v>8.49</v>
      </c>
    </row>
    <row r="240" spans="1:2" x14ac:dyDescent="0.25">
      <c r="A240" s="1">
        <v>45747</v>
      </c>
      <c r="B240" s="2">
        <v>8.57</v>
      </c>
    </row>
    <row r="241" spans="1:2" x14ac:dyDescent="0.25">
      <c r="A241" s="1">
        <v>45744</v>
      </c>
      <c r="B241" s="2">
        <v>8.5500000000000007</v>
      </c>
    </row>
    <row r="242" spans="1:2" x14ac:dyDescent="0.25">
      <c r="A242" s="1">
        <v>45743</v>
      </c>
      <c r="B242" s="2">
        <v>8.6300000000000008</v>
      </c>
    </row>
    <row r="243" spans="1:2" x14ac:dyDescent="0.25">
      <c r="A243" s="1">
        <v>45742</v>
      </c>
      <c r="B243" s="2">
        <v>8.7200000000000006</v>
      </c>
    </row>
    <row r="244" spans="1:2" x14ac:dyDescent="0.25">
      <c r="A244" s="1">
        <v>45741</v>
      </c>
      <c r="B244" s="2">
        <v>8.69</v>
      </c>
    </row>
    <row r="245" spans="1:2" x14ac:dyDescent="0.25">
      <c r="A245" s="1">
        <v>45740</v>
      </c>
      <c r="B245" s="2">
        <v>8.67</v>
      </c>
    </row>
    <row r="246" spans="1:2" x14ac:dyDescent="0.25">
      <c r="A246" s="1">
        <v>45737</v>
      </c>
      <c r="B246" s="2">
        <v>8.64</v>
      </c>
    </row>
    <row r="247" spans="1:2" x14ac:dyDescent="0.25">
      <c r="A247" s="1">
        <v>45736</v>
      </c>
      <c r="B247" s="2">
        <v>8.6300000000000008</v>
      </c>
    </row>
    <row r="248" spans="1:2" x14ac:dyDescent="0.25">
      <c r="A248" s="1">
        <v>45735</v>
      </c>
      <c r="B248" s="2">
        <v>8.6199999999999992</v>
      </c>
    </row>
    <row r="249" spans="1:2" x14ac:dyDescent="0.25">
      <c r="A249" s="1">
        <v>45734</v>
      </c>
      <c r="B249" s="2">
        <v>8.69</v>
      </c>
    </row>
    <row r="250" spans="1:2" x14ac:dyDescent="0.25">
      <c r="A250" s="1">
        <v>45733</v>
      </c>
      <c r="B250" s="2">
        <v>8.7200000000000006</v>
      </c>
    </row>
    <row r="251" spans="1:2" x14ac:dyDescent="0.25">
      <c r="A251" s="1">
        <v>45730</v>
      </c>
      <c r="B251" s="2">
        <v>8.7200000000000006</v>
      </c>
    </row>
    <row r="252" spans="1:2" x14ac:dyDescent="0.25">
      <c r="A252" s="1">
        <v>45729</v>
      </c>
      <c r="B252" s="2">
        <v>8.74</v>
      </c>
    </row>
    <row r="253" spans="1:2" x14ac:dyDescent="0.25">
      <c r="A253" s="1">
        <v>45728</v>
      </c>
      <c r="B253" s="2">
        <v>8.7799999999999994</v>
      </c>
    </row>
    <row r="254" spans="1:2" x14ac:dyDescent="0.25">
      <c r="A254" s="1">
        <v>45727</v>
      </c>
      <c r="B254" s="2">
        <v>8.81</v>
      </c>
    </row>
    <row r="255" spans="1:2" x14ac:dyDescent="0.25">
      <c r="A255" s="1">
        <v>45726</v>
      </c>
      <c r="B255" s="2">
        <v>8.84</v>
      </c>
    </row>
    <row r="256" spans="1:2" x14ac:dyDescent="0.25">
      <c r="A256" s="1">
        <v>45723</v>
      </c>
      <c r="B256" s="2">
        <v>8.84</v>
      </c>
    </row>
    <row r="257" spans="1:2" x14ac:dyDescent="0.25">
      <c r="A257" s="1">
        <v>45722</v>
      </c>
      <c r="B257" s="2">
        <v>8.85</v>
      </c>
    </row>
    <row r="258" spans="1:2" x14ac:dyDescent="0.25">
      <c r="A258" s="1">
        <v>45721</v>
      </c>
      <c r="B258" s="2">
        <v>8.85</v>
      </c>
    </row>
    <row r="259" spans="1:2" x14ac:dyDescent="0.25">
      <c r="A259" s="1">
        <v>45720</v>
      </c>
      <c r="B259" s="2">
        <v>8.93</v>
      </c>
    </row>
    <row r="260" spans="1:2" x14ac:dyDescent="0.25">
      <c r="A260" s="1">
        <v>45719</v>
      </c>
      <c r="B260" s="2">
        <v>8.8800000000000008</v>
      </c>
    </row>
    <row r="261" spans="1:2" x14ac:dyDescent="0.25">
      <c r="A261" s="1">
        <v>45716</v>
      </c>
      <c r="B261" s="2">
        <v>8.8699999999999992</v>
      </c>
    </row>
    <row r="262" spans="1:2" x14ac:dyDescent="0.25">
      <c r="A262" s="1">
        <v>45715</v>
      </c>
      <c r="B262" s="2">
        <v>8.89</v>
      </c>
    </row>
    <row r="263" spans="1:2" x14ac:dyDescent="0.25">
      <c r="A263" s="1">
        <v>45714</v>
      </c>
      <c r="B263" s="2">
        <v>8.8699999999999992</v>
      </c>
    </row>
    <row r="264" spans="1:2" x14ac:dyDescent="0.25">
      <c r="A264" s="1">
        <v>45713</v>
      </c>
      <c r="B264" s="2">
        <v>8.8800000000000008</v>
      </c>
    </row>
    <row r="265" spans="1:2" x14ac:dyDescent="0.25">
      <c r="A265" s="1">
        <v>45712</v>
      </c>
      <c r="B265" s="2">
        <v>8.98</v>
      </c>
    </row>
    <row r="266" spans="1:2" x14ac:dyDescent="0.25">
      <c r="A266" s="1">
        <v>45709</v>
      </c>
      <c r="B266" s="2">
        <v>9</v>
      </c>
    </row>
    <row r="267" spans="1:2" x14ac:dyDescent="0.25">
      <c r="A267" s="1">
        <v>45708</v>
      </c>
      <c r="B267" s="2">
        <v>9.0299999999999994</v>
      </c>
    </row>
    <row r="268" spans="1:2" x14ac:dyDescent="0.25">
      <c r="A268" s="1">
        <v>45707</v>
      </c>
      <c r="B268" s="2">
        <v>9.06</v>
      </c>
    </row>
    <row r="269" spans="1:2" x14ac:dyDescent="0.25">
      <c r="A269" s="1">
        <v>45706</v>
      </c>
      <c r="B269" s="2">
        <v>9.1199999999999992</v>
      </c>
    </row>
    <row r="270" spans="1:2" x14ac:dyDescent="0.25">
      <c r="A270" s="1">
        <v>45705</v>
      </c>
      <c r="B270" s="2">
        <v>9.15</v>
      </c>
    </row>
    <row r="271" spans="1:2" x14ac:dyDescent="0.25">
      <c r="A271" s="1">
        <v>45702</v>
      </c>
      <c r="B271" s="2">
        <v>9.16</v>
      </c>
    </row>
    <row r="272" spans="1:2" x14ac:dyDescent="0.25">
      <c r="A272" s="1">
        <v>45701</v>
      </c>
      <c r="B272" s="2">
        <v>9.2100000000000009</v>
      </c>
    </row>
    <row r="273" spans="1:2" x14ac:dyDescent="0.25">
      <c r="A273" s="1">
        <v>45700</v>
      </c>
      <c r="B273" s="2">
        <v>9.2799999999999994</v>
      </c>
    </row>
    <row r="274" spans="1:2" x14ac:dyDescent="0.25">
      <c r="A274" s="1">
        <v>45699</v>
      </c>
      <c r="B274" s="2">
        <v>9.2200000000000006</v>
      </c>
    </row>
    <row r="275" spans="1:2" x14ac:dyDescent="0.25">
      <c r="A275" s="1">
        <v>45698</v>
      </c>
      <c r="B275" s="2">
        <v>9.19</v>
      </c>
    </row>
    <row r="276" spans="1:2" x14ac:dyDescent="0.25">
      <c r="A276" s="1">
        <v>45695</v>
      </c>
      <c r="B276" s="2">
        <v>9.2100000000000009</v>
      </c>
    </row>
    <row r="277" spans="1:2" x14ac:dyDescent="0.25">
      <c r="A277" s="1">
        <v>45694</v>
      </c>
      <c r="B277" s="2">
        <v>9.18</v>
      </c>
    </row>
    <row r="278" spans="1:2" x14ac:dyDescent="0.25">
      <c r="A278" s="1">
        <v>45693</v>
      </c>
      <c r="B278" s="2">
        <v>9.27</v>
      </c>
    </row>
    <row r="279" spans="1:2" x14ac:dyDescent="0.25">
      <c r="A279" s="1">
        <v>45692</v>
      </c>
      <c r="B279" s="2">
        <v>9.34</v>
      </c>
    </row>
    <row r="280" spans="1:2" x14ac:dyDescent="0.25">
      <c r="A280" s="1">
        <v>45691</v>
      </c>
      <c r="B280" s="2">
        <v>9.43</v>
      </c>
    </row>
    <row r="281" spans="1:2" x14ac:dyDescent="0.25">
      <c r="A281" s="1">
        <v>45688</v>
      </c>
      <c r="B281" s="2">
        <v>9.43</v>
      </c>
    </row>
    <row r="282" spans="1:2" x14ac:dyDescent="0.25">
      <c r="A282" s="1">
        <v>45687</v>
      </c>
      <c r="B282" s="2">
        <v>9.41</v>
      </c>
    </row>
    <row r="283" spans="1:2" x14ac:dyDescent="0.25">
      <c r="A283" s="1">
        <v>45686</v>
      </c>
      <c r="B283" s="2">
        <v>9.5</v>
      </c>
    </row>
    <row r="284" spans="1:2" x14ac:dyDescent="0.25">
      <c r="A284" s="1">
        <v>45685</v>
      </c>
      <c r="B284" s="2">
        <v>9.4499999999999993</v>
      </c>
    </row>
    <row r="285" spans="1:2" x14ac:dyDescent="0.25">
      <c r="A285" s="1">
        <v>45684</v>
      </c>
      <c r="B285" s="2">
        <v>9.4700000000000006</v>
      </c>
    </row>
    <row r="286" spans="1:2" x14ac:dyDescent="0.25">
      <c r="A286" s="1">
        <v>45681</v>
      </c>
      <c r="B286" s="2">
        <v>9.48</v>
      </c>
    </row>
    <row r="287" spans="1:2" x14ac:dyDescent="0.25">
      <c r="A287" s="1">
        <v>45680</v>
      </c>
      <c r="B287" s="2">
        <v>9.44</v>
      </c>
    </row>
    <row r="288" spans="1:2" x14ac:dyDescent="0.25">
      <c r="A288" s="1">
        <v>45679</v>
      </c>
      <c r="B288" s="2">
        <v>9.4700000000000006</v>
      </c>
    </row>
    <row r="289" spans="1:2" x14ac:dyDescent="0.25">
      <c r="A289" s="1">
        <v>45678</v>
      </c>
      <c r="B289" s="2">
        <v>9.58</v>
      </c>
    </row>
    <row r="290" spans="1:2" x14ac:dyDescent="0.25">
      <c r="A290" s="1">
        <v>45677</v>
      </c>
      <c r="B290" s="2">
        <v>9.67</v>
      </c>
    </row>
    <row r="291" spans="1:2" x14ac:dyDescent="0.25">
      <c r="A291" s="1">
        <v>45674</v>
      </c>
      <c r="B291" s="2">
        <v>9.75</v>
      </c>
    </row>
    <row r="292" spans="1:2" x14ac:dyDescent="0.25">
      <c r="A292" s="1">
        <v>45673</v>
      </c>
      <c r="B292" s="2">
        <v>9.7200000000000006</v>
      </c>
    </row>
    <row r="293" spans="1:2" x14ac:dyDescent="0.25">
      <c r="A293" s="1">
        <v>45672</v>
      </c>
      <c r="B293" s="2">
        <v>9.69</v>
      </c>
    </row>
    <row r="294" spans="1:2" x14ac:dyDescent="0.25">
      <c r="A294" s="1">
        <v>45671</v>
      </c>
      <c r="B294" s="2">
        <v>9.75</v>
      </c>
    </row>
    <row r="295" spans="1:2" x14ac:dyDescent="0.25">
      <c r="A295" s="1">
        <v>45670</v>
      </c>
      <c r="B295" s="2">
        <v>9.74</v>
      </c>
    </row>
    <row r="296" spans="1:2" x14ac:dyDescent="0.25">
      <c r="A296" s="1">
        <v>45667</v>
      </c>
      <c r="B296" s="2">
        <v>9.7100000000000009</v>
      </c>
    </row>
    <row r="297" spans="1:2" x14ac:dyDescent="0.25">
      <c r="A297" s="1">
        <v>45666</v>
      </c>
      <c r="B297" s="2">
        <v>9.6300000000000008</v>
      </c>
    </row>
    <row r="298" spans="1:2" x14ac:dyDescent="0.25">
      <c r="A298" s="1">
        <v>45665</v>
      </c>
      <c r="B298" s="2">
        <v>9.67</v>
      </c>
    </row>
    <row r="299" spans="1:2" x14ac:dyDescent="0.25">
      <c r="A299" s="1">
        <v>45664</v>
      </c>
      <c r="B299" s="2">
        <v>9.73</v>
      </c>
    </row>
    <row r="300" spans="1:2" x14ac:dyDescent="0.25">
      <c r="A300" s="1">
        <v>45663</v>
      </c>
      <c r="B300" s="2">
        <v>9.8000000000000007</v>
      </c>
    </row>
    <row r="301" spans="1:2" x14ac:dyDescent="0.25">
      <c r="A301" s="1">
        <v>45660</v>
      </c>
      <c r="B301" s="2">
        <v>9.86</v>
      </c>
    </row>
    <row r="302" spans="1:2" x14ac:dyDescent="0.25">
      <c r="A302" s="1">
        <v>45659</v>
      </c>
      <c r="B302" s="2">
        <v>9.7799999999999994</v>
      </c>
    </row>
    <row r="303" spans="1:2" x14ac:dyDescent="0.25">
      <c r="A303" s="1">
        <v>45658</v>
      </c>
      <c r="B303" s="2">
        <v>9.81</v>
      </c>
    </row>
    <row r="304" spans="1:2" x14ac:dyDescent="0.25">
      <c r="A304" s="1">
        <v>45657</v>
      </c>
      <c r="B304" s="2">
        <v>9.81</v>
      </c>
    </row>
    <row r="305" spans="1:2" x14ac:dyDescent="0.25">
      <c r="A305" s="1">
        <v>45656</v>
      </c>
      <c r="B305" s="2">
        <v>9.83</v>
      </c>
    </row>
    <row r="306" spans="1:2" x14ac:dyDescent="0.25">
      <c r="A306" s="1">
        <v>45653</v>
      </c>
      <c r="B306" s="2">
        <v>9.84</v>
      </c>
    </row>
    <row r="307" spans="1:2" x14ac:dyDescent="0.25">
      <c r="A307" s="1">
        <v>45652</v>
      </c>
      <c r="B307" s="2">
        <v>9.84</v>
      </c>
    </row>
    <row r="308" spans="1:2" x14ac:dyDescent="0.25">
      <c r="A308" s="1">
        <v>45651</v>
      </c>
      <c r="B308" s="2">
        <v>9.82</v>
      </c>
    </row>
    <row r="309" spans="1:2" x14ac:dyDescent="0.25">
      <c r="A309" s="1">
        <v>45650</v>
      </c>
      <c r="B309" s="2">
        <v>9.82</v>
      </c>
    </row>
    <row r="310" spans="1:2" x14ac:dyDescent="0.25">
      <c r="A310" s="1">
        <v>45649</v>
      </c>
      <c r="B310" s="2">
        <v>9.89</v>
      </c>
    </row>
    <row r="311" spans="1:2" x14ac:dyDescent="0.25">
      <c r="A311" s="1">
        <v>45646</v>
      </c>
      <c r="B311" s="2">
        <v>9.84</v>
      </c>
    </row>
    <row r="312" spans="1:2" x14ac:dyDescent="0.25">
      <c r="A312" s="1">
        <v>45645</v>
      </c>
      <c r="B312" s="2">
        <v>9.74</v>
      </c>
    </row>
    <row r="313" spans="1:2" x14ac:dyDescent="0.25">
      <c r="A313" s="1">
        <v>45644</v>
      </c>
      <c r="B313" s="2">
        <v>9.61</v>
      </c>
    </row>
    <row r="314" spans="1:2" x14ac:dyDescent="0.25">
      <c r="A314" s="1">
        <v>45643</v>
      </c>
      <c r="B314" s="2">
        <v>9.6</v>
      </c>
    </row>
    <row r="315" spans="1:2" x14ac:dyDescent="0.25">
      <c r="A315" s="1">
        <v>45642</v>
      </c>
      <c r="B315" s="2">
        <v>9.58</v>
      </c>
    </row>
    <row r="316" spans="1:2" x14ac:dyDescent="0.25">
      <c r="A316" s="1">
        <v>45639</v>
      </c>
      <c r="B316" s="2">
        <v>9.56</v>
      </c>
    </row>
    <row r="317" spans="1:2" x14ac:dyDescent="0.25">
      <c r="A317" s="1">
        <v>45638</v>
      </c>
      <c r="B317" s="2">
        <v>9.4499999999999993</v>
      </c>
    </row>
    <row r="318" spans="1:2" x14ac:dyDescent="0.25">
      <c r="A318" s="1">
        <v>45637</v>
      </c>
      <c r="B318" s="2">
        <v>9.4499999999999993</v>
      </c>
    </row>
    <row r="319" spans="1:2" x14ac:dyDescent="0.25">
      <c r="A319" s="1">
        <v>45636</v>
      </c>
      <c r="B319" s="2">
        <v>9.44</v>
      </c>
    </row>
    <row r="320" spans="1:2" x14ac:dyDescent="0.25">
      <c r="A320" s="1">
        <v>45635</v>
      </c>
      <c r="B320" s="2">
        <v>9.48</v>
      </c>
    </row>
    <row r="321" spans="1:2" x14ac:dyDescent="0.25">
      <c r="A321" s="1">
        <v>45632</v>
      </c>
      <c r="B321" s="2">
        <v>9.6199999999999992</v>
      </c>
    </row>
    <row r="322" spans="1:2" x14ac:dyDescent="0.25">
      <c r="A322" s="1">
        <v>45631</v>
      </c>
      <c r="B322" s="2">
        <v>9.6199999999999992</v>
      </c>
    </row>
    <row r="323" spans="1:2" x14ac:dyDescent="0.25">
      <c r="A323" s="1">
        <v>45630</v>
      </c>
      <c r="B323" s="2">
        <v>9.59</v>
      </c>
    </row>
    <row r="324" spans="1:2" x14ac:dyDescent="0.25">
      <c r="A324" s="1">
        <v>45629</v>
      </c>
      <c r="B324" s="2">
        <v>9.5</v>
      </c>
    </row>
    <row r="325" spans="1:2" x14ac:dyDescent="0.25">
      <c r="A325" s="1">
        <v>45628</v>
      </c>
      <c r="B325" s="2">
        <v>9.6300000000000008</v>
      </c>
    </row>
    <row r="326" spans="1:2" x14ac:dyDescent="0.25">
      <c r="A326" s="1">
        <v>45625</v>
      </c>
      <c r="B326" s="2">
        <v>9.61</v>
      </c>
    </row>
    <row r="327" spans="1:2" x14ac:dyDescent="0.25">
      <c r="A327" s="1">
        <v>45624</v>
      </c>
      <c r="B327" s="2">
        <v>9.67</v>
      </c>
    </row>
    <row r="328" spans="1:2" x14ac:dyDescent="0.25">
      <c r="A328" s="1">
        <v>45623</v>
      </c>
      <c r="B328" s="2">
        <v>9.75</v>
      </c>
    </row>
    <row r="329" spans="1:2" x14ac:dyDescent="0.25">
      <c r="A329" s="1">
        <v>45622</v>
      </c>
      <c r="B329" s="2">
        <v>9.82</v>
      </c>
    </row>
    <row r="330" spans="1:2" x14ac:dyDescent="0.25">
      <c r="A330" s="1">
        <v>45621</v>
      </c>
      <c r="B330" s="2">
        <v>9.7799999999999994</v>
      </c>
    </row>
    <row r="331" spans="1:2" x14ac:dyDescent="0.25">
      <c r="A331" s="1">
        <v>45618</v>
      </c>
      <c r="B331" s="2">
        <v>9.83</v>
      </c>
    </row>
    <row r="332" spans="1:2" x14ac:dyDescent="0.25">
      <c r="A332" s="1">
        <v>45617</v>
      </c>
      <c r="B332" s="2">
        <v>9.84</v>
      </c>
    </row>
    <row r="333" spans="1:2" x14ac:dyDescent="0.25">
      <c r="A333" s="1">
        <v>45616</v>
      </c>
      <c r="B333" s="2">
        <v>9.82</v>
      </c>
    </row>
    <row r="334" spans="1:2" x14ac:dyDescent="0.25">
      <c r="A334" s="1">
        <v>45615</v>
      </c>
      <c r="B334" s="2">
        <v>9.7899999999999991</v>
      </c>
    </row>
    <row r="335" spans="1:2" x14ac:dyDescent="0.25">
      <c r="A335" s="1">
        <v>45614</v>
      </c>
      <c r="B335" s="2">
        <v>9.9</v>
      </c>
    </row>
    <row r="336" spans="1:2" x14ac:dyDescent="0.25">
      <c r="A336" s="1">
        <v>45611</v>
      </c>
      <c r="B336" s="2">
        <v>9.9</v>
      </c>
    </row>
    <row r="337" spans="1:2" x14ac:dyDescent="0.25">
      <c r="A337" s="1">
        <v>45610</v>
      </c>
      <c r="B337" s="2">
        <v>9.89</v>
      </c>
    </row>
    <row r="338" spans="1:2" x14ac:dyDescent="0.25">
      <c r="A338" s="1">
        <v>45609</v>
      </c>
      <c r="B338" s="2">
        <v>9.99</v>
      </c>
    </row>
    <row r="339" spans="1:2" x14ac:dyDescent="0.25">
      <c r="A339" s="1">
        <v>45608</v>
      </c>
      <c r="B339" s="2">
        <v>10.039999999999999</v>
      </c>
    </row>
    <row r="340" spans="1:2" x14ac:dyDescent="0.25">
      <c r="A340" s="1">
        <v>45607</v>
      </c>
      <c r="B340" s="2">
        <v>9.98</v>
      </c>
    </row>
    <row r="341" spans="1:2" x14ac:dyDescent="0.25">
      <c r="A341" s="1">
        <v>45604</v>
      </c>
      <c r="B341" s="2">
        <v>9.9700000000000006</v>
      </c>
    </row>
    <row r="342" spans="1:2" x14ac:dyDescent="0.25">
      <c r="A342" s="1">
        <v>45603</v>
      </c>
      <c r="B342" s="2">
        <v>9.9</v>
      </c>
    </row>
    <row r="343" spans="1:2" x14ac:dyDescent="0.25">
      <c r="A343" s="1">
        <v>45602</v>
      </c>
      <c r="B343" s="2">
        <v>10.06</v>
      </c>
    </row>
    <row r="344" spans="1:2" x14ac:dyDescent="0.25">
      <c r="A344" s="1">
        <v>45601</v>
      </c>
      <c r="B344" s="2">
        <v>10.15</v>
      </c>
    </row>
    <row r="345" spans="1:2" x14ac:dyDescent="0.25">
      <c r="A345" s="1">
        <v>45600</v>
      </c>
      <c r="B345" s="2">
        <v>10.220000000000001</v>
      </c>
    </row>
    <row r="346" spans="1:2" x14ac:dyDescent="0.25">
      <c r="A346" s="1">
        <v>45597</v>
      </c>
      <c r="B346" s="2">
        <v>10.27</v>
      </c>
    </row>
    <row r="347" spans="1:2" x14ac:dyDescent="0.25">
      <c r="A347" s="1">
        <v>45596</v>
      </c>
      <c r="B347" s="2">
        <v>10.210000000000001</v>
      </c>
    </row>
    <row r="348" spans="1:2" x14ac:dyDescent="0.25">
      <c r="A348" s="1">
        <v>45595</v>
      </c>
      <c r="B348" s="2">
        <v>10.18</v>
      </c>
    </row>
    <row r="349" spans="1:2" x14ac:dyDescent="0.25">
      <c r="A349" s="1">
        <v>45594</v>
      </c>
      <c r="B349" s="2">
        <v>10.119999999999999</v>
      </c>
    </row>
    <row r="350" spans="1:2" x14ac:dyDescent="0.25">
      <c r="A350" s="1">
        <v>45593</v>
      </c>
      <c r="B350" s="2">
        <v>10.19</v>
      </c>
    </row>
    <row r="351" spans="1:2" x14ac:dyDescent="0.25">
      <c r="A351" s="1">
        <v>45590</v>
      </c>
      <c r="B351" s="2">
        <v>10.18</v>
      </c>
    </row>
    <row r="352" spans="1:2" x14ac:dyDescent="0.25">
      <c r="A352" s="1">
        <v>45589</v>
      </c>
      <c r="B352" s="2">
        <v>10.130000000000001</v>
      </c>
    </row>
    <row r="353" spans="1:2" x14ac:dyDescent="0.25">
      <c r="A353" s="1">
        <v>45588</v>
      </c>
      <c r="B353" s="2">
        <v>10.19</v>
      </c>
    </row>
    <row r="354" spans="1:2" x14ac:dyDescent="0.25">
      <c r="A354" s="1">
        <v>45587</v>
      </c>
      <c r="B354" s="2">
        <v>10.19</v>
      </c>
    </row>
    <row r="355" spans="1:2" x14ac:dyDescent="0.25">
      <c r="A355" s="1">
        <v>45586</v>
      </c>
      <c r="B355" s="2">
        <v>10.18</v>
      </c>
    </row>
    <row r="356" spans="1:2" x14ac:dyDescent="0.25">
      <c r="A356" s="1">
        <v>45583</v>
      </c>
      <c r="B356" s="2">
        <v>10.039999999999999</v>
      </c>
    </row>
    <row r="357" spans="1:2" x14ac:dyDescent="0.25">
      <c r="A357" s="1">
        <v>45582</v>
      </c>
      <c r="B357" s="2">
        <v>9.9700000000000006</v>
      </c>
    </row>
    <row r="358" spans="1:2" x14ac:dyDescent="0.25">
      <c r="A358" s="1">
        <v>45581</v>
      </c>
      <c r="B358" s="2">
        <v>10.01</v>
      </c>
    </row>
    <row r="359" spans="1:2" x14ac:dyDescent="0.25">
      <c r="A359" s="1">
        <v>45580</v>
      </c>
      <c r="B359" s="2">
        <v>9.81</v>
      </c>
    </row>
    <row r="360" spans="1:2" x14ac:dyDescent="0.25">
      <c r="A360" s="1">
        <v>45579</v>
      </c>
      <c r="B360" s="2">
        <v>9.77</v>
      </c>
    </row>
    <row r="361" spans="1:2" x14ac:dyDescent="0.25">
      <c r="A361" s="1">
        <v>45576</v>
      </c>
      <c r="B361" s="2">
        <v>9.76</v>
      </c>
    </row>
    <row r="362" spans="1:2" x14ac:dyDescent="0.25">
      <c r="A362" s="1">
        <v>45575</v>
      </c>
      <c r="B362" s="2">
        <v>9.8699999999999992</v>
      </c>
    </row>
    <row r="363" spans="1:2" x14ac:dyDescent="0.25">
      <c r="A363" s="1">
        <v>45574</v>
      </c>
      <c r="B363" s="2">
        <v>9.77</v>
      </c>
    </row>
    <row r="364" spans="1:2" x14ac:dyDescent="0.25">
      <c r="A364" s="1">
        <v>45573</v>
      </c>
      <c r="B364" s="2">
        <v>9.73</v>
      </c>
    </row>
    <row r="365" spans="1:2" x14ac:dyDescent="0.25">
      <c r="A365" s="1">
        <v>45572</v>
      </c>
      <c r="B365" s="2">
        <v>9.82</v>
      </c>
    </row>
    <row r="366" spans="1:2" x14ac:dyDescent="0.25">
      <c r="A366" s="1">
        <v>45569</v>
      </c>
      <c r="B366" s="2">
        <v>9.7200000000000006</v>
      </c>
    </row>
    <row r="367" spans="1:2" x14ac:dyDescent="0.25">
      <c r="A367" s="1">
        <v>45568</v>
      </c>
      <c r="B367" s="2">
        <v>9.59</v>
      </c>
    </row>
    <row r="368" spans="1:2" x14ac:dyDescent="0.25">
      <c r="A368" s="1">
        <v>45567</v>
      </c>
      <c r="B368" s="2">
        <v>9.51</v>
      </c>
    </row>
    <row r="369" spans="1:2" x14ac:dyDescent="0.25">
      <c r="A369" s="1">
        <v>45566</v>
      </c>
      <c r="B369" s="2">
        <v>9.4499999999999993</v>
      </c>
    </row>
    <row r="370" spans="1:2" x14ac:dyDescent="0.25">
      <c r="A370" s="1">
        <v>45565</v>
      </c>
      <c r="B370" s="2">
        <v>9.4499999999999993</v>
      </c>
    </row>
    <row r="371" spans="1:2" x14ac:dyDescent="0.25">
      <c r="A371" s="1">
        <v>45562</v>
      </c>
      <c r="B371" s="2">
        <v>9.42</v>
      </c>
    </row>
    <row r="372" spans="1:2" x14ac:dyDescent="0.25">
      <c r="A372" s="1">
        <v>45561</v>
      </c>
      <c r="B372" s="2">
        <v>9.3800000000000008</v>
      </c>
    </row>
    <row r="373" spans="1:2" x14ac:dyDescent="0.25">
      <c r="A373" s="1">
        <v>45560</v>
      </c>
      <c r="B373" s="2">
        <v>9.3000000000000007</v>
      </c>
    </row>
    <row r="374" spans="1:2" x14ac:dyDescent="0.25">
      <c r="A374" s="1">
        <v>45559</v>
      </c>
      <c r="B374" s="2">
        <v>9.34</v>
      </c>
    </row>
    <row r="375" spans="1:2" x14ac:dyDescent="0.25">
      <c r="A375" s="1">
        <v>45558</v>
      </c>
      <c r="B375" s="2">
        <v>9.41</v>
      </c>
    </row>
    <row r="376" spans="1:2" x14ac:dyDescent="0.25">
      <c r="A376" s="1">
        <v>45555</v>
      </c>
      <c r="B376" s="2">
        <v>9.4499999999999993</v>
      </c>
    </row>
    <row r="377" spans="1:2" x14ac:dyDescent="0.25">
      <c r="A377" s="1">
        <v>45554</v>
      </c>
      <c r="B377" s="2">
        <v>9.43</v>
      </c>
    </row>
    <row r="378" spans="1:2" x14ac:dyDescent="0.25">
      <c r="A378" s="1">
        <v>45553</v>
      </c>
      <c r="B378" s="2">
        <v>9.5</v>
      </c>
    </row>
    <row r="379" spans="1:2" x14ac:dyDescent="0.25">
      <c r="A379" s="1">
        <v>45552</v>
      </c>
      <c r="B379" s="2">
        <v>9.5399999999999991</v>
      </c>
    </row>
    <row r="380" spans="1:2" x14ac:dyDescent="0.25">
      <c r="A380" s="1">
        <v>45551</v>
      </c>
      <c r="B380" s="2">
        <v>9.58</v>
      </c>
    </row>
    <row r="381" spans="1:2" x14ac:dyDescent="0.25">
      <c r="A381" s="1">
        <v>45548</v>
      </c>
      <c r="B381" s="2">
        <v>9.58</v>
      </c>
    </row>
    <row r="382" spans="1:2" x14ac:dyDescent="0.25">
      <c r="A382" s="1">
        <v>45547</v>
      </c>
      <c r="B382" s="2">
        <v>9.68</v>
      </c>
    </row>
    <row r="383" spans="1:2" x14ac:dyDescent="0.25">
      <c r="A383" s="1">
        <v>45546</v>
      </c>
      <c r="B383" s="2">
        <v>9.6999999999999993</v>
      </c>
    </row>
    <row r="384" spans="1:2" x14ac:dyDescent="0.25">
      <c r="A384" s="1">
        <v>45545</v>
      </c>
      <c r="B384" s="2">
        <v>9.77</v>
      </c>
    </row>
    <row r="385" spans="1:2" x14ac:dyDescent="0.25">
      <c r="A385" s="1">
        <v>45544</v>
      </c>
      <c r="B385" s="2">
        <v>9.69</v>
      </c>
    </row>
    <row r="386" spans="1:2" x14ac:dyDescent="0.25">
      <c r="A386" s="1">
        <v>45541</v>
      </c>
      <c r="B386" s="2">
        <v>9.74</v>
      </c>
    </row>
    <row r="387" spans="1:2" x14ac:dyDescent="0.25">
      <c r="A387" s="1">
        <v>45540</v>
      </c>
      <c r="B387" s="2">
        <v>9.84</v>
      </c>
    </row>
    <row r="388" spans="1:2" x14ac:dyDescent="0.25">
      <c r="A388" s="1">
        <v>45539</v>
      </c>
      <c r="B388" s="2">
        <v>10.039999999999999</v>
      </c>
    </row>
    <row r="389" spans="1:2" x14ac:dyDescent="0.25">
      <c r="A389" s="1">
        <v>45538</v>
      </c>
      <c r="B389" s="2">
        <v>10.130000000000001</v>
      </c>
    </row>
    <row r="390" spans="1:2" x14ac:dyDescent="0.25">
      <c r="A390" s="1">
        <v>45537</v>
      </c>
      <c r="B390" s="2">
        <v>10.130000000000001</v>
      </c>
    </row>
    <row r="391" spans="1:2" x14ac:dyDescent="0.25">
      <c r="A391" s="1">
        <v>45534</v>
      </c>
      <c r="B391" s="2">
        <v>10.09</v>
      </c>
    </row>
    <row r="392" spans="1:2" x14ac:dyDescent="0.25">
      <c r="A392" s="1">
        <v>45533</v>
      </c>
      <c r="B392" s="2">
        <v>10.16</v>
      </c>
    </row>
    <row r="393" spans="1:2" x14ac:dyDescent="0.25">
      <c r="A393" s="1">
        <v>45532</v>
      </c>
      <c r="B393" s="2">
        <v>10.15</v>
      </c>
    </row>
    <row r="394" spans="1:2" x14ac:dyDescent="0.25">
      <c r="A394" s="1">
        <v>45531</v>
      </c>
      <c r="B394" s="2">
        <v>10.14</v>
      </c>
    </row>
    <row r="395" spans="1:2" x14ac:dyDescent="0.25">
      <c r="A395" s="1">
        <v>45530</v>
      </c>
      <c r="B395" s="2">
        <v>10.09</v>
      </c>
    </row>
    <row r="396" spans="1:2" x14ac:dyDescent="0.25">
      <c r="A396" s="1">
        <v>45527</v>
      </c>
      <c r="B396" s="2">
        <v>10.06</v>
      </c>
    </row>
    <row r="397" spans="1:2" x14ac:dyDescent="0.25">
      <c r="A397" s="1">
        <v>45526</v>
      </c>
      <c r="B397" s="2">
        <v>10.15</v>
      </c>
    </row>
    <row r="398" spans="1:2" x14ac:dyDescent="0.25">
      <c r="A398" s="1">
        <v>45525</v>
      </c>
      <c r="B398" s="2">
        <v>10.119999999999999</v>
      </c>
    </row>
    <row r="399" spans="1:2" x14ac:dyDescent="0.25">
      <c r="A399" s="1">
        <v>45524</v>
      </c>
      <c r="B399" s="2">
        <v>10.15</v>
      </c>
    </row>
    <row r="400" spans="1:2" x14ac:dyDescent="0.25">
      <c r="A400" s="1">
        <v>45523</v>
      </c>
      <c r="B400" s="2">
        <v>10.15</v>
      </c>
    </row>
    <row r="401" spans="1:2" x14ac:dyDescent="0.25">
      <c r="A401" s="1">
        <v>45520</v>
      </c>
      <c r="B401" s="2">
        <v>10.119999999999999</v>
      </c>
    </row>
    <row r="402" spans="1:2" x14ac:dyDescent="0.25">
      <c r="A402" s="1">
        <v>45519</v>
      </c>
      <c r="B402" s="2">
        <v>10.210000000000001</v>
      </c>
    </row>
    <row r="403" spans="1:2" x14ac:dyDescent="0.25">
      <c r="A403" s="1">
        <v>45518</v>
      </c>
      <c r="B403" s="2">
        <v>10.18</v>
      </c>
    </row>
    <row r="404" spans="1:2" x14ac:dyDescent="0.25">
      <c r="A404" s="1">
        <v>45517</v>
      </c>
      <c r="B404" s="2">
        <v>10.119999999999999</v>
      </c>
    </row>
    <row r="405" spans="1:2" x14ac:dyDescent="0.25">
      <c r="A405" s="1">
        <v>45516</v>
      </c>
      <c r="B405" s="2">
        <v>10.119999999999999</v>
      </c>
    </row>
    <row r="406" spans="1:2" x14ac:dyDescent="0.25">
      <c r="A406" s="1">
        <v>45513</v>
      </c>
      <c r="B406" s="2">
        <v>10.050000000000001</v>
      </c>
    </row>
    <row r="407" spans="1:2" x14ac:dyDescent="0.25">
      <c r="A407" s="1">
        <v>45512</v>
      </c>
      <c r="B407" s="2">
        <v>10.15</v>
      </c>
    </row>
    <row r="408" spans="1:2" x14ac:dyDescent="0.25">
      <c r="A408" s="1">
        <v>45511</v>
      </c>
      <c r="B408" s="2">
        <v>10.33</v>
      </c>
    </row>
    <row r="409" spans="1:2" x14ac:dyDescent="0.25">
      <c r="A409" s="1">
        <v>45510</v>
      </c>
      <c r="B409" s="2">
        <v>10.41</v>
      </c>
    </row>
    <row r="410" spans="1:2" x14ac:dyDescent="0.25">
      <c r="A410" s="1">
        <v>45509</v>
      </c>
      <c r="B410" s="2">
        <v>10.33</v>
      </c>
    </row>
    <row r="411" spans="1:2" x14ac:dyDescent="0.25">
      <c r="A411" s="1">
        <v>45506</v>
      </c>
      <c r="B411" s="2">
        <v>10.27</v>
      </c>
    </row>
    <row r="412" spans="1:2" x14ac:dyDescent="0.25">
      <c r="A412" s="1">
        <v>45505</v>
      </c>
      <c r="B412" s="2">
        <v>10.48</v>
      </c>
    </row>
    <row r="413" spans="1:2" x14ac:dyDescent="0.25">
      <c r="A413" s="1">
        <v>45504</v>
      </c>
      <c r="B413" s="2">
        <v>10.52</v>
      </c>
    </row>
    <row r="414" spans="1:2" x14ac:dyDescent="0.25">
      <c r="A414" s="1">
        <v>45503</v>
      </c>
      <c r="B414" s="2">
        <v>10.58</v>
      </c>
    </row>
    <row r="415" spans="1:2" x14ac:dyDescent="0.25">
      <c r="A415" s="1">
        <v>45502</v>
      </c>
      <c r="B415" s="2">
        <v>10.62</v>
      </c>
    </row>
    <row r="416" spans="1:2" x14ac:dyDescent="0.25">
      <c r="A416" s="1">
        <v>45499</v>
      </c>
      <c r="B416" s="2">
        <v>10.62</v>
      </c>
    </row>
    <row r="417" spans="1:2" x14ac:dyDescent="0.25">
      <c r="A417" s="1">
        <v>45498</v>
      </c>
      <c r="B417" s="2">
        <v>10.67</v>
      </c>
    </row>
    <row r="418" spans="1:2" x14ac:dyDescent="0.25">
      <c r="A418" s="1">
        <v>45497</v>
      </c>
      <c r="B418" s="2">
        <v>10.71</v>
      </c>
    </row>
    <row r="419" spans="1:2" x14ac:dyDescent="0.25">
      <c r="A419" s="1">
        <v>45496</v>
      </c>
      <c r="B419" s="2">
        <v>10.77</v>
      </c>
    </row>
    <row r="420" spans="1:2" x14ac:dyDescent="0.25">
      <c r="A420" s="1">
        <v>45495</v>
      </c>
      <c r="B420" s="2">
        <v>10.72</v>
      </c>
    </row>
    <row r="421" spans="1:2" x14ac:dyDescent="0.25">
      <c r="A421" s="1">
        <v>45492</v>
      </c>
      <c r="B421" s="2">
        <v>10.66</v>
      </c>
    </row>
    <row r="422" spans="1:2" x14ac:dyDescent="0.25">
      <c r="A422" s="1">
        <v>45491</v>
      </c>
      <c r="B422" s="2">
        <v>10.71</v>
      </c>
    </row>
    <row r="423" spans="1:2" x14ac:dyDescent="0.25">
      <c r="A423" s="1">
        <v>45490</v>
      </c>
      <c r="B423" s="2">
        <v>10.59</v>
      </c>
    </row>
    <row r="424" spans="1:2" x14ac:dyDescent="0.25">
      <c r="A424" s="1">
        <v>45489</v>
      </c>
      <c r="B424" s="2">
        <v>10.51</v>
      </c>
    </row>
    <row r="425" spans="1:2" x14ac:dyDescent="0.25">
      <c r="A425" s="1">
        <v>45488</v>
      </c>
      <c r="B425" s="2">
        <v>10.51</v>
      </c>
    </row>
    <row r="426" spans="1:2" x14ac:dyDescent="0.25">
      <c r="A426" s="1">
        <v>45485</v>
      </c>
      <c r="B426" s="2">
        <v>10.51</v>
      </c>
    </row>
    <row r="427" spans="1:2" x14ac:dyDescent="0.25">
      <c r="A427" s="1">
        <v>45484</v>
      </c>
      <c r="B427" s="2">
        <v>10.56</v>
      </c>
    </row>
    <row r="428" spans="1:2" x14ac:dyDescent="0.25">
      <c r="A428" s="1">
        <v>45483</v>
      </c>
      <c r="B428" s="2">
        <v>10.71</v>
      </c>
    </row>
    <row r="429" spans="1:2" x14ac:dyDescent="0.25">
      <c r="A429" s="1">
        <v>45482</v>
      </c>
      <c r="B429" s="2">
        <v>10.83</v>
      </c>
    </row>
    <row r="430" spans="1:2" x14ac:dyDescent="0.25">
      <c r="A430" s="1">
        <v>45481</v>
      </c>
      <c r="B430" s="2">
        <v>10.78</v>
      </c>
    </row>
    <row r="431" spans="1:2" x14ac:dyDescent="0.25">
      <c r="A431" s="1">
        <v>45478</v>
      </c>
      <c r="B431" s="2">
        <v>10.73</v>
      </c>
    </row>
    <row r="432" spans="1:2" x14ac:dyDescent="0.25">
      <c r="A432" s="1">
        <v>45477</v>
      </c>
      <c r="B432" s="2">
        <v>10.7</v>
      </c>
    </row>
    <row r="433" spans="1:2" x14ac:dyDescent="0.25">
      <c r="A433" s="1">
        <v>45476</v>
      </c>
      <c r="B433" s="2">
        <v>10.74</v>
      </c>
    </row>
    <row r="434" spans="1:2" x14ac:dyDescent="0.25">
      <c r="A434" s="1">
        <v>45475</v>
      </c>
      <c r="B434" s="2">
        <v>10.8</v>
      </c>
    </row>
    <row r="435" spans="1:2" x14ac:dyDescent="0.25">
      <c r="A435" s="1">
        <v>45474</v>
      </c>
      <c r="B435" s="2">
        <v>10.7</v>
      </c>
    </row>
    <row r="436" spans="1:2" x14ac:dyDescent="0.25">
      <c r="A436" s="1">
        <v>45471</v>
      </c>
      <c r="B436" s="2">
        <v>10.61</v>
      </c>
    </row>
    <row r="437" spans="1:2" x14ac:dyDescent="0.25">
      <c r="A437" s="1">
        <v>45470</v>
      </c>
      <c r="B437" s="2">
        <v>10.65</v>
      </c>
    </row>
    <row r="438" spans="1:2" x14ac:dyDescent="0.25">
      <c r="A438" s="1">
        <v>45469</v>
      </c>
      <c r="B438" s="2">
        <v>10.73</v>
      </c>
    </row>
    <row r="439" spans="1:2" x14ac:dyDescent="0.25">
      <c r="A439" s="1">
        <v>45468</v>
      </c>
      <c r="B439" s="2">
        <v>10.74</v>
      </c>
    </row>
    <row r="440" spans="1:2" x14ac:dyDescent="0.25">
      <c r="A440" s="1">
        <v>45467</v>
      </c>
      <c r="B440" s="2">
        <v>10.82</v>
      </c>
    </row>
    <row r="441" spans="1:2" x14ac:dyDescent="0.25">
      <c r="A441" s="1">
        <v>45464</v>
      </c>
      <c r="B441" s="2">
        <v>10.84</v>
      </c>
    </row>
    <row r="442" spans="1:2" x14ac:dyDescent="0.25">
      <c r="A442" s="1">
        <v>45463</v>
      </c>
      <c r="B442" s="2">
        <v>10.92</v>
      </c>
    </row>
    <row r="443" spans="1:2" x14ac:dyDescent="0.25">
      <c r="A443" s="1">
        <v>45462</v>
      </c>
      <c r="B443" s="2">
        <v>10.93</v>
      </c>
    </row>
    <row r="444" spans="1:2" x14ac:dyDescent="0.25">
      <c r="A444" s="1">
        <v>45461</v>
      </c>
      <c r="B444" s="2">
        <v>10.92</v>
      </c>
    </row>
    <row r="445" spans="1:2" x14ac:dyDescent="0.25">
      <c r="A445" s="1">
        <v>45460</v>
      </c>
      <c r="B445" s="2">
        <v>11</v>
      </c>
    </row>
    <row r="446" spans="1:2" x14ac:dyDescent="0.25">
      <c r="A446" s="1">
        <v>45457</v>
      </c>
      <c r="B446" s="2">
        <v>10.87</v>
      </c>
    </row>
    <row r="447" spans="1:2" x14ac:dyDescent="0.25">
      <c r="A447" s="1">
        <v>45456</v>
      </c>
      <c r="B447" s="2">
        <v>10.88</v>
      </c>
    </row>
    <row r="448" spans="1:2" x14ac:dyDescent="0.25">
      <c r="A448" s="1">
        <v>45455</v>
      </c>
      <c r="B448" s="2">
        <v>10.94</v>
      </c>
    </row>
    <row r="449" spans="1:2" x14ac:dyDescent="0.25">
      <c r="A449" s="1">
        <v>45454</v>
      </c>
      <c r="B449" s="2">
        <v>10.99</v>
      </c>
    </row>
    <row r="450" spans="1:2" x14ac:dyDescent="0.25">
      <c r="A450" s="1">
        <v>45453</v>
      </c>
      <c r="B450" s="2">
        <v>10.84</v>
      </c>
    </row>
    <row r="451" spans="1:2" x14ac:dyDescent="0.25">
      <c r="A451" s="1">
        <v>45450</v>
      </c>
      <c r="B451" s="2">
        <v>10.79</v>
      </c>
    </row>
    <row r="452" spans="1:2" x14ac:dyDescent="0.25">
      <c r="A452" s="1">
        <v>45449</v>
      </c>
      <c r="B452" s="2">
        <v>10.6</v>
      </c>
    </row>
    <row r="453" spans="1:2" x14ac:dyDescent="0.25">
      <c r="A453" s="1">
        <v>45448</v>
      </c>
      <c r="B453" s="2">
        <v>10.59</v>
      </c>
    </row>
    <row r="454" spans="1:2" x14ac:dyDescent="0.25">
      <c r="A454" s="1">
        <v>45447</v>
      </c>
      <c r="B454" s="2">
        <v>10.69</v>
      </c>
    </row>
    <row r="455" spans="1:2" x14ac:dyDescent="0.25">
      <c r="A455" s="1">
        <v>45446</v>
      </c>
      <c r="B455" s="2">
        <v>10.72</v>
      </c>
    </row>
    <row r="456" spans="1:2" x14ac:dyDescent="0.25">
      <c r="A456" s="1">
        <v>45443</v>
      </c>
      <c r="B456" s="2">
        <v>10.62</v>
      </c>
    </row>
    <row r="457" spans="1:2" x14ac:dyDescent="0.25">
      <c r="A457" s="1">
        <v>45442</v>
      </c>
      <c r="B457" s="2">
        <v>10.63</v>
      </c>
    </row>
    <row r="458" spans="1:2" x14ac:dyDescent="0.25">
      <c r="A458" s="1">
        <v>45441</v>
      </c>
      <c r="B458" s="2">
        <v>10.62</v>
      </c>
    </row>
    <row r="459" spans="1:2" x14ac:dyDescent="0.25">
      <c r="A459" s="1">
        <v>45440</v>
      </c>
      <c r="B459" s="2">
        <v>10.62</v>
      </c>
    </row>
    <row r="460" spans="1:2" x14ac:dyDescent="0.25">
      <c r="A460" s="1">
        <v>45439</v>
      </c>
      <c r="B460" s="2">
        <v>10.61</v>
      </c>
    </row>
    <row r="461" spans="1:2" x14ac:dyDescent="0.25">
      <c r="A461" s="1">
        <v>45436</v>
      </c>
      <c r="B461" s="2">
        <v>10.61</v>
      </c>
    </row>
    <row r="462" spans="1:2" x14ac:dyDescent="0.25">
      <c r="A462" s="1">
        <v>45435</v>
      </c>
      <c r="B462" s="2">
        <v>10.64</v>
      </c>
    </row>
    <row r="463" spans="1:2" x14ac:dyDescent="0.25">
      <c r="A463" s="1">
        <v>45434</v>
      </c>
      <c r="B463" s="2">
        <v>10.61</v>
      </c>
    </row>
    <row r="464" spans="1:2" x14ac:dyDescent="0.25">
      <c r="A464" s="1">
        <v>45433</v>
      </c>
      <c r="B464" s="2">
        <v>10.55</v>
      </c>
    </row>
    <row r="465" spans="1:2" x14ac:dyDescent="0.25">
      <c r="A465" s="1">
        <v>45432</v>
      </c>
      <c r="B465" s="2">
        <v>10.58</v>
      </c>
    </row>
    <row r="466" spans="1:2" x14ac:dyDescent="0.25">
      <c r="A466" s="1">
        <v>45429</v>
      </c>
      <c r="B466" s="2">
        <v>10.56</v>
      </c>
    </row>
    <row r="467" spans="1:2" x14ac:dyDescent="0.25">
      <c r="A467" s="1">
        <v>45428</v>
      </c>
      <c r="B467" s="2">
        <v>10.55</v>
      </c>
    </row>
    <row r="468" spans="1:2" x14ac:dyDescent="0.25">
      <c r="A468" s="1">
        <v>45427</v>
      </c>
      <c r="B468" s="2">
        <v>10.48</v>
      </c>
    </row>
    <row r="469" spans="1:2" x14ac:dyDescent="0.25">
      <c r="A469" s="1">
        <v>45426</v>
      </c>
      <c r="B469" s="2">
        <v>10.56</v>
      </c>
    </row>
    <row r="470" spans="1:2" x14ac:dyDescent="0.25">
      <c r="A470" s="1">
        <v>45425</v>
      </c>
      <c r="B470" s="2">
        <v>10.59</v>
      </c>
    </row>
    <row r="471" spans="1:2" x14ac:dyDescent="0.25">
      <c r="A471" s="1">
        <v>45422</v>
      </c>
      <c r="B471" s="2">
        <v>10.56</v>
      </c>
    </row>
    <row r="472" spans="1:2" x14ac:dyDescent="0.25">
      <c r="A472" s="1">
        <v>45421</v>
      </c>
      <c r="B472" s="2">
        <v>10.48</v>
      </c>
    </row>
    <row r="473" spans="1:2" x14ac:dyDescent="0.25">
      <c r="A473" s="1">
        <v>45420</v>
      </c>
      <c r="B473" s="2">
        <v>10.5</v>
      </c>
    </row>
    <row r="474" spans="1:2" x14ac:dyDescent="0.25">
      <c r="A474" s="1">
        <v>45419</v>
      </c>
      <c r="B474" s="2">
        <v>10.49</v>
      </c>
    </row>
    <row r="475" spans="1:2" x14ac:dyDescent="0.25">
      <c r="A475" s="1">
        <v>45418</v>
      </c>
      <c r="B475" s="2">
        <v>10.46</v>
      </c>
    </row>
    <row r="476" spans="1:2" x14ac:dyDescent="0.25">
      <c r="A476" s="1">
        <v>45415</v>
      </c>
      <c r="B476" s="2">
        <v>10.46</v>
      </c>
    </row>
    <row r="477" spans="1:2" x14ac:dyDescent="0.25">
      <c r="A477" s="1">
        <v>45414</v>
      </c>
      <c r="B477" s="2">
        <v>10.62</v>
      </c>
    </row>
    <row r="478" spans="1:2" x14ac:dyDescent="0.25">
      <c r="A478" s="1">
        <v>45413</v>
      </c>
      <c r="B478" s="2">
        <v>10.76</v>
      </c>
    </row>
    <row r="479" spans="1:2" x14ac:dyDescent="0.25">
      <c r="A479" s="1">
        <v>45412</v>
      </c>
      <c r="B479" s="2">
        <v>10.76</v>
      </c>
    </row>
    <row r="480" spans="1:2" x14ac:dyDescent="0.25">
      <c r="A480" s="1">
        <v>45411</v>
      </c>
      <c r="B480" s="2">
        <v>10.73</v>
      </c>
    </row>
    <row r="481" spans="1:2" x14ac:dyDescent="0.25">
      <c r="A481" s="1">
        <v>45408</v>
      </c>
      <c r="B481" s="2">
        <v>10.74</v>
      </c>
    </row>
    <row r="482" spans="1:2" x14ac:dyDescent="0.25">
      <c r="A482" s="1">
        <v>45407</v>
      </c>
      <c r="B482" s="2">
        <v>10.75</v>
      </c>
    </row>
    <row r="483" spans="1:2" x14ac:dyDescent="0.25">
      <c r="A483" s="1">
        <v>45406</v>
      </c>
      <c r="B483" s="2">
        <v>10.7</v>
      </c>
    </row>
    <row r="484" spans="1:2" x14ac:dyDescent="0.25">
      <c r="A484" s="1">
        <v>45405</v>
      </c>
      <c r="B484" s="2">
        <v>10.63</v>
      </c>
    </row>
    <row r="485" spans="1:2" x14ac:dyDescent="0.25">
      <c r="A485" s="1">
        <v>45404</v>
      </c>
      <c r="B485" s="2">
        <v>10.6</v>
      </c>
    </row>
    <row r="486" spans="1:2" x14ac:dyDescent="0.25">
      <c r="A486" s="1">
        <v>45401</v>
      </c>
      <c r="B486" s="2">
        <v>10.57</v>
      </c>
    </row>
    <row r="487" spans="1:2" x14ac:dyDescent="0.25">
      <c r="A487" s="1">
        <v>45400</v>
      </c>
      <c r="B487" s="2">
        <v>10.63</v>
      </c>
    </row>
    <row r="488" spans="1:2" x14ac:dyDescent="0.25">
      <c r="A488" s="1">
        <v>45399</v>
      </c>
      <c r="B488" s="2">
        <v>10.63</v>
      </c>
    </row>
    <row r="489" spans="1:2" x14ac:dyDescent="0.25">
      <c r="A489" s="1">
        <v>45398</v>
      </c>
      <c r="B489" s="2">
        <v>10.69</v>
      </c>
    </row>
    <row r="490" spans="1:2" x14ac:dyDescent="0.25">
      <c r="A490" s="1">
        <v>45397</v>
      </c>
      <c r="B490" s="2">
        <v>10.6</v>
      </c>
    </row>
    <row r="491" spans="1:2" x14ac:dyDescent="0.25">
      <c r="A491" s="1">
        <v>45394</v>
      </c>
      <c r="B491" s="2">
        <v>10.45</v>
      </c>
    </row>
    <row r="492" spans="1:2" x14ac:dyDescent="0.25">
      <c r="A492" s="1">
        <v>45393</v>
      </c>
      <c r="B492" s="2">
        <v>10.45</v>
      </c>
    </row>
    <row r="493" spans="1:2" x14ac:dyDescent="0.25">
      <c r="A493" s="1">
        <v>45392</v>
      </c>
      <c r="B493" s="2">
        <v>10.47</v>
      </c>
    </row>
    <row r="494" spans="1:2" x14ac:dyDescent="0.25">
      <c r="A494" s="1">
        <v>45391</v>
      </c>
      <c r="B494" s="2">
        <v>10.29</v>
      </c>
    </row>
    <row r="495" spans="1:2" x14ac:dyDescent="0.25">
      <c r="A495" s="1">
        <v>45390</v>
      </c>
      <c r="B495" s="2">
        <v>10.38</v>
      </c>
    </row>
    <row r="496" spans="1:2" x14ac:dyDescent="0.25">
      <c r="A496" s="1">
        <v>45387</v>
      </c>
      <c r="B496" s="2">
        <v>10.31</v>
      </c>
    </row>
    <row r="497" spans="1:2" x14ac:dyDescent="0.25">
      <c r="A497" s="1">
        <v>45386</v>
      </c>
      <c r="B497" s="2">
        <v>10.199999999999999</v>
      </c>
    </row>
    <row r="498" spans="1:2" x14ac:dyDescent="0.25">
      <c r="A498" s="1">
        <v>45385</v>
      </c>
      <c r="B498" s="2">
        <v>10.18</v>
      </c>
    </row>
    <row r="499" spans="1:2" x14ac:dyDescent="0.25">
      <c r="A499" s="1">
        <v>45384</v>
      </c>
      <c r="B499" s="2">
        <v>10.17</v>
      </c>
    </row>
    <row r="500" spans="1:2" x14ac:dyDescent="0.25">
      <c r="A500" s="1">
        <v>45383</v>
      </c>
      <c r="B500" s="2">
        <v>10.130000000000001</v>
      </c>
    </row>
    <row r="501" spans="1:2" x14ac:dyDescent="0.25">
      <c r="A501" s="1">
        <v>45380</v>
      </c>
      <c r="B501" s="2">
        <v>10.01</v>
      </c>
    </row>
    <row r="502" spans="1:2" x14ac:dyDescent="0.25">
      <c r="A502" s="1">
        <v>45379</v>
      </c>
      <c r="B502" s="2">
        <v>10.01</v>
      </c>
    </row>
    <row r="503" spans="1:2" x14ac:dyDescent="0.25">
      <c r="A503" s="1">
        <v>45378</v>
      </c>
      <c r="B503" s="2">
        <v>10.01</v>
      </c>
    </row>
    <row r="504" spans="1:2" x14ac:dyDescent="0.25">
      <c r="A504" s="1">
        <v>45377</v>
      </c>
      <c r="B504" s="2">
        <v>10.02</v>
      </c>
    </row>
    <row r="505" spans="1:2" x14ac:dyDescent="0.25">
      <c r="A505" s="1">
        <v>45376</v>
      </c>
      <c r="B505" s="2">
        <v>10.01</v>
      </c>
    </row>
    <row r="506" spans="1:2" x14ac:dyDescent="0.25">
      <c r="A506" s="1">
        <v>45373</v>
      </c>
      <c r="B506" s="2">
        <v>9.92</v>
      </c>
    </row>
    <row r="507" spans="1:2" x14ac:dyDescent="0.25">
      <c r="A507" s="1">
        <v>45372</v>
      </c>
      <c r="B507" s="2">
        <v>9.94</v>
      </c>
    </row>
    <row r="508" spans="1:2" x14ac:dyDescent="0.25">
      <c r="A508" s="1">
        <v>45371</v>
      </c>
      <c r="B508" s="2">
        <v>10.02</v>
      </c>
    </row>
    <row r="509" spans="1:2" x14ac:dyDescent="0.25">
      <c r="A509" s="1">
        <v>45370</v>
      </c>
      <c r="B509" s="2">
        <v>10.09</v>
      </c>
    </row>
    <row r="510" spans="1:2" x14ac:dyDescent="0.25">
      <c r="A510" s="1">
        <v>45369</v>
      </c>
      <c r="B510" s="2">
        <v>10.050000000000001</v>
      </c>
    </row>
    <row r="511" spans="1:2" x14ac:dyDescent="0.25">
      <c r="A511" s="1">
        <v>45366</v>
      </c>
      <c r="B511" s="2">
        <v>10.050000000000001</v>
      </c>
    </row>
    <row r="512" spans="1:2" x14ac:dyDescent="0.25">
      <c r="A512" s="1">
        <v>45365</v>
      </c>
      <c r="B512" s="2">
        <v>9.99</v>
      </c>
    </row>
    <row r="513" spans="1:2" x14ac:dyDescent="0.25">
      <c r="A513" s="1">
        <v>45364</v>
      </c>
      <c r="B513" s="2">
        <v>9.92</v>
      </c>
    </row>
    <row r="514" spans="1:2" x14ac:dyDescent="0.25">
      <c r="A514" s="1">
        <v>45363</v>
      </c>
      <c r="B514" s="2">
        <v>9.9600000000000009</v>
      </c>
    </row>
    <row r="515" spans="1:2" x14ac:dyDescent="0.25">
      <c r="A515" s="1">
        <v>45362</v>
      </c>
      <c r="B515" s="2">
        <v>9.94</v>
      </c>
    </row>
    <row r="516" spans="1:2" x14ac:dyDescent="0.25">
      <c r="A516" s="1">
        <v>45359</v>
      </c>
      <c r="B516" s="2">
        <v>9.9</v>
      </c>
    </row>
    <row r="517" spans="1:2" x14ac:dyDescent="0.25">
      <c r="A517" s="1">
        <v>45358</v>
      </c>
      <c r="B517" s="2">
        <v>9.92</v>
      </c>
    </row>
    <row r="518" spans="1:2" x14ac:dyDescent="0.25">
      <c r="A518" s="1">
        <v>45357</v>
      </c>
      <c r="B518" s="2">
        <v>9.86</v>
      </c>
    </row>
    <row r="519" spans="1:2" x14ac:dyDescent="0.25">
      <c r="A519" s="1">
        <v>45356</v>
      </c>
      <c r="B519" s="2">
        <v>9.8699999999999992</v>
      </c>
    </row>
    <row r="520" spans="1:2" x14ac:dyDescent="0.25">
      <c r="A520" s="1">
        <v>45355</v>
      </c>
      <c r="B520" s="2">
        <v>9.92</v>
      </c>
    </row>
    <row r="521" spans="1:2" x14ac:dyDescent="0.25">
      <c r="A521" s="1">
        <v>45352</v>
      </c>
      <c r="B521" s="2">
        <v>9.89</v>
      </c>
    </row>
    <row r="522" spans="1:2" x14ac:dyDescent="0.25">
      <c r="A522" s="1">
        <v>45351</v>
      </c>
      <c r="B522" s="2">
        <v>9.93</v>
      </c>
    </row>
    <row r="523" spans="1:2" x14ac:dyDescent="0.25">
      <c r="A523" s="1">
        <v>45350</v>
      </c>
      <c r="B523" s="2">
        <v>10</v>
      </c>
    </row>
    <row r="524" spans="1:2" x14ac:dyDescent="0.25">
      <c r="A524" s="1">
        <v>45349</v>
      </c>
      <c r="B524" s="2">
        <v>10.050000000000001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BF07E-976B-4A66-AF6B-5AE699D05C94}">
  <dimension ref="A1:B524"/>
  <sheetViews>
    <sheetView workbookViewId="0">
      <selection activeCell="B1" sqref="B1:B1048576"/>
    </sheetView>
  </sheetViews>
  <sheetFormatPr baseColWidth="10" defaultRowHeight="15" x14ac:dyDescent="0.25"/>
  <sheetData>
    <row r="1" spans="1:2" x14ac:dyDescent="0.25">
      <c r="A1" s="1">
        <v>46080</v>
      </c>
      <c r="B1" s="2">
        <v>8.66</v>
      </c>
    </row>
    <row r="2" spans="1:2" x14ac:dyDescent="0.25">
      <c r="A2" s="1">
        <v>46079</v>
      </c>
      <c r="B2" s="2">
        <v>8.64</v>
      </c>
    </row>
    <row r="3" spans="1:2" x14ac:dyDescent="0.25">
      <c r="A3" s="1">
        <v>46078</v>
      </c>
      <c r="B3" s="2">
        <v>8.65</v>
      </c>
    </row>
    <row r="4" spans="1:2" x14ac:dyDescent="0.25">
      <c r="A4" s="1">
        <v>46077</v>
      </c>
      <c r="B4" s="2">
        <v>8.73</v>
      </c>
    </row>
    <row r="5" spans="1:2" x14ac:dyDescent="0.25">
      <c r="A5" s="1">
        <v>46076</v>
      </c>
      <c r="B5" s="2">
        <v>8.7799999999999994</v>
      </c>
    </row>
    <row r="6" spans="1:2" x14ac:dyDescent="0.25">
      <c r="A6" s="1">
        <v>46073</v>
      </c>
      <c r="B6" s="2">
        <v>8.84</v>
      </c>
    </row>
    <row r="7" spans="1:2" x14ac:dyDescent="0.25">
      <c r="A7" s="1">
        <v>46072</v>
      </c>
      <c r="B7" s="2">
        <v>8.74</v>
      </c>
    </row>
    <row r="8" spans="1:2" x14ac:dyDescent="0.25">
      <c r="A8" s="1">
        <v>46071</v>
      </c>
      <c r="B8" s="2">
        <v>8.73</v>
      </c>
    </row>
    <row r="9" spans="1:2" x14ac:dyDescent="0.25">
      <c r="A9" s="1">
        <v>46070</v>
      </c>
      <c r="B9" s="2">
        <v>8.73</v>
      </c>
    </row>
    <row r="10" spans="1:2" x14ac:dyDescent="0.25">
      <c r="A10" s="1">
        <v>46069</v>
      </c>
      <c r="B10" s="2">
        <v>8.75</v>
      </c>
    </row>
    <row r="11" spans="1:2" x14ac:dyDescent="0.25">
      <c r="A11" s="1">
        <v>46066</v>
      </c>
      <c r="B11" s="2">
        <v>8.69</v>
      </c>
    </row>
    <row r="12" spans="1:2" x14ac:dyDescent="0.25">
      <c r="A12" s="1">
        <v>46065</v>
      </c>
      <c r="B12" s="2">
        <v>8.68</v>
      </c>
    </row>
    <row r="13" spans="1:2" x14ac:dyDescent="0.25">
      <c r="A13" s="1">
        <v>46064</v>
      </c>
      <c r="B13" s="2">
        <v>8.7200000000000006</v>
      </c>
    </row>
    <row r="14" spans="1:2" x14ac:dyDescent="0.25">
      <c r="A14" s="1">
        <v>46063</v>
      </c>
      <c r="B14" s="2">
        <v>8.7100000000000009</v>
      </c>
    </row>
    <row r="15" spans="1:2" x14ac:dyDescent="0.25">
      <c r="A15" s="1">
        <v>46062</v>
      </c>
      <c r="B15" s="2">
        <v>8.7899999999999991</v>
      </c>
    </row>
    <row r="16" spans="1:2" x14ac:dyDescent="0.25">
      <c r="A16" s="1">
        <v>46059</v>
      </c>
      <c r="B16" s="2">
        <v>8.7799999999999994</v>
      </c>
    </row>
    <row r="17" spans="1:2" x14ac:dyDescent="0.25">
      <c r="A17" s="1">
        <v>46058</v>
      </c>
      <c r="B17" s="2">
        <v>8.82</v>
      </c>
    </row>
    <row r="18" spans="1:2" x14ac:dyDescent="0.25">
      <c r="A18" s="1">
        <v>46057</v>
      </c>
      <c r="B18" s="2">
        <v>8.91</v>
      </c>
    </row>
    <row r="19" spans="1:2" x14ac:dyDescent="0.25">
      <c r="A19" s="1">
        <v>46056</v>
      </c>
      <c r="B19" s="2">
        <v>8.8699999999999992</v>
      </c>
    </row>
    <row r="20" spans="1:2" x14ac:dyDescent="0.25">
      <c r="A20" s="1">
        <v>46055</v>
      </c>
      <c r="B20" s="2">
        <v>8.86</v>
      </c>
    </row>
    <row r="21" spans="1:2" x14ac:dyDescent="0.25">
      <c r="A21" s="1">
        <v>46052</v>
      </c>
      <c r="B21" s="2">
        <v>8.86</v>
      </c>
    </row>
    <row r="22" spans="1:2" x14ac:dyDescent="0.25">
      <c r="A22" s="1">
        <v>46051</v>
      </c>
      <c r="B22" s="2">
        <v>8.82</v>
      </c>
    </row>
    <row r="23" spans="1:2" x14ac:dyDescent="0.25">
      <c r="A23" s="1">
        <v>46050</v>
      </c>
      <c r="B23" s="2">
        <v>8.9</v>
      </c>
    </row>
    <row r="24" spans="1:2" x14ac:dyDescent="0.25">
      <c r="A24" s="1">
        <v>46049</v>
      </c>
      <c r="B24" s="2">
        <v>8.92</v>
      </c>
    </row>
    <row r="25" spans="1:2" x14ac:dyDescent="0.25">
      <c r="A25" s="1">
        <v>46048</v>
      </c>
      <c r="B25" s="2">
        <v>8.9700000000000006</v>
      </c>
    </row>
    <row r="26" spans="1:2" x14ac:dyDescent="0.25">
      <c r="A26" s="1">
        <v>46045</v>
      </c>
      <c r="B26" s="2">
        <v>8.94</v>
      </c>
    </row>
    <row r="27" spans="1:2" x14ac:dyDescent="0.25">
      <c r="A27" s="1">
        <v>46044</v>
      </c>
      <c r="B27" s="2">
        <v>8.9700000000000006</v>
      </c>
    </row>
    <row r="28" spans="1:2" x14ac:dyDescent="0.25">
      <c r="A28" s="1">
        <v>46043</v>
      </c>
      <c r="B28" s="2">
        <v>9.08</v>
      </c>
    </row>
    <row r="29" spans="1:2" x14ac:dyDescent="0.25">
      <c r="A29" s="1">
        <v>46042</v>
      </c>
      <c r="B29" s="2">
        <v>9.2100000000000009</v>
      </c>
    </row>
    <row r="30" spans="1:2" x14ac:dyDescent="0.25">
      <c r="A30" s="1">
        <v>46041</v>
      </c>
      <c r="B30" s="2">
        <v>9.09</v>
      </c>
    </row>
    <row r="31" spans="1:2" x14ac:dyDescent="0.25">
      <c r="A31" s="1">
        <v>46038</v>
      </c>
      <c r="B31" s="2">
        <v>9.1</v>
      </c>
    </row>
    <row r="32" spans="1:2" x14ac:dyDescent="0.25">
      <c r="A32" s="1">
        <v>46037</v>
      </c>
      <c r="B32" s="2">
        <v>9.01</v>
      </c>
    </row>
    <row r="33" spans="1:2" x14ac:dyDescent="0.25">
      <c r="A33" s="1">
        <v>46036</v>
      </c>
      <c r="B33" s="2">
        <v>8.9700000000000006</v>
      </c>
    </row>
    <row r="34" spans="1:2" x14ac:dyDescent="0.25">
      <c r="A34" s="1">
        <v>46035</v>
      </c>
      <c r="B34" s="2">
        <v>8.98</v>
      </c>
    </row>
    <row r="35" spans="1:2" x14ac:dyDescent="0.25">
      <c r="A35" s="1">
        <v>46034</v>
      </c>
      <c r="B35" s="2">
        <v>8.9700000000000006</v>
      </c>
    </row>
    <row r="36" spans="1:2" x14ac:dyDescent="0.25">
      <c r="A36" s="1">
        <v>46031</v>
      </c>
      <c r="B36" s="2">
        <v>8.9700000000000006</v>
      </c>
    </row>
    <row r="37" spans="1:2" x14ac:dyDescent="0.25">
      <c r="A37" s="1">
        <v>46030</v>
      </c>
      <c r="B37" s="2">
        <v>8.91</v>
      </c>
    </row>
    <row r="38" spans="1:2" x14ac:dyDescent="0.25">
      <c r="A38" s="1">
        <v>46029</v>
      </c>
      <c r="B38" s="2">
        <v>8.8699999999999992</v>
      </c>
    </row>
    <row r="39" spans="1:2" x14ac:dyDescent="0.25">
      <c r="A39" s="1">
        <v>46028</v>
      </c>
      <c r="B39" s="2">
        <v>8.92</v>
      </c>
    </row>
    <row r="40" spans="1:2" x14ac:dyDescent="0.25">
      <c r="A40" s="1">
        <v>46027</v>
      </c>
      <c r="B40" s="2">
        <v>9</v>
      </c>
    </row>
    <row r="41" spans="1:2" x14ac:dyDescent="0.25">
      <c r="A41" s="1">
        <v>46024</v>
      </c>
      <c r="B41" s="2">
        <v>9.07</v>
      </c>
    </row>
    <row r="42" spans="1:2" x14ac:dyDescent="0.25">
      <c r="A42" s="1">
        <v>46023</v>
      </c>
      <c r="B42" s="2">
        <v>9.09</v>
      </c>
    </row>
    <row r="43" spans="1:2" x14ac:dyDescent="0.25">
      <c r="A43" s="1">
        <v>46022</v>
      </c>
      <c r="B43" s="2">
        <v>9.15</v>
      </c>
    </row>
    <row r="44" spans="1:2" x14ac:dyDescent="0.25">
      <c r="A44" s="1">
        <v>46021</v>
      </c>
      <c r="B44" s="2">
        <v>9.15</v>
      </c>
    </row>
    <row r="45" spans="1:2" x14ac:dyDescent="0.25">
      <c r="A45" s="1">
        <v>46020</v>
      </c>
      <c r="B45" s="2">
        <v>9.19</v>
      </c>
    </row>
    <row r="46" spans="1:2" x14ac:dyDescent="0.25">
      <c r="A46" s="1">
        <v>46017</v>
      </c>
      <c r="B46" s="2">
        <v>9.19</v>
      </c>
    </row>
    <row r="47" spans="1:2" x14ac:dyDescent="0.25">
      <c r="A47" s="1">
        <v>46016</v>
      </c>
      <c r="B47" s="2">
        <v>9.16</v>
      </c>
    </row>
    <row r="48" spans="1:2" x14ac:dyDescent="0.25">
      <c r="A48" s="1">
        <v>46015</v>
      </c>
      <c r="B48" s="2">
        <v>9.16</v>
      </c>
    </row>
    <row r="49" spans="1:2" x14ac:dyDescent="0.25">
      <c r="A49" s="1">
        <v>46014</v>
      </c>
      <c r="B49" s="2">
        <v>9.14</v>
      </c>
    </row>
    <row r="50" spans="1:2" x14ac:dyDescent="0.25">
      <c r="A50" s="1">
        <v>46013</v>
      </c>
      <c r="B50" s="2">
        <v>9.17</v>
      </c>
    </row>
    <row r="51" spans="1:2" x14ac:dyDescent="0.25">
      <c r="A51" s="1">
        <v>46010</v>
      </c>
      <c r="B51" s="2">
        <v>9.06</v>
      </c>
    </row>
    <row r="52" spans="1:2" x14ac:dyDescent="0.25">
      <c r="A52" s="1">
        <v>46009</v>
      </c>
      <c r="B52" s="2">
        <v>9.06</v>
      </c>
    </row>
    <row r="53" spans="1:2" x14ac:dyDescent="0.25">
      <c r="A53" s="1">
        <v>46008</v>
      </c>
      <c r="B53" s="2">
        <v>9.08</v>
      </c>
    </row>
    <row r="54" spans="1:2" x14ac:dyDescent="0.25">
      <c r="A54" s="1">
        <v>46007</v>
      </c>
      <c r="B54" s="2">
        <v>9.1199999999999992</v>
      </c>
    </row>
    <row r="55" spans="1:2" x14ac:dyDescent="0.25">
      <c r="A55" s="1">
        <v>46006</v>
      </c>
      <c r="B55" s="2">
        <v>9.15</v>
      </c>
    </row>
    <row r="56" spans="1:2" x14ac:dyDescent="0.25">
      <c r="A56" s="1">
        <v>46003</v>
      </c>
      <c r="B56" s="2">
        <v>9.1</v>
      </c>
    </row>
    <row r="57" spans="1:2" x14ac:dyDescent="0.25">
      <c r="A57" s="1">
        <v>46002</v>
      </c>
      <c r="B57" s="2">
        <v>9.1</v>
      </c>
    </row>
    <row r="58" spans="1:2" x14ac:dyDescent="0.25">
      <c r="A58" s="1">
        <v>46001</v>
      </c>
      <c r="B58" s="2">
        <v>9.11</v>
      </c>
    </row>
    <row r="59" spans="1:2" x14ac:dyDescent="0.25">
      <c r="A59" s="1">
        <v>46000</v>
      </c>
      <c r="B59" s="2">
        <v>9.1199999999999992</v>
      </c>
    </row>
    <row r="60" spans="1:2" x14ac:dyDescent="0.25">
      <c r="A60" s="1">
        <v>45999</v>
      </c>
      <c r="B60" s="2">
        <v>8.9600000000000009</v>
      </c>
    </row>
    <row r="61" spans="1:2" x14ac:dyDescent="0.25">
      <c r="A61" s="1">
        <v>45996</v>
      </c>
      <c r="B61" s="2">
        <v>8.89</v>
      </c>
    </row>
    <row r="62" spans="1:2" x14ac:dyDescent="0.25">
      <c r="A62" s="1">
        <v>45995</v>
      </c>
      <c r="B62" s="2">
        <v>8.86</v>
      </c>
    </row>
    <row r="63" spans="1:2" x14ac:dyDescent="0.25">
      <c r="A63" s="1">
        <v>45994</v>
      </c>
      <c r="B63" s="2">
        <v>8.85</v>
      </c>
    </row>
    <row r="64" spans="1:2" x14ac:dyDescent="0.25">
      <c r="A64" s="1">
        <v>45993</v>
      </c>
      <c r="B64" s="2">
        <v>8.89</v>
      </c>
    </row>
    <row r="65" spans="1:2" x14ac:dyDescent="0.25">
      <c r="A65" s="1">
        <v>45992</v>
      </c>
      <c r="B65" s="2">
        <v>8.94</v>
      </c>
    </row>
    <row r="66" spans="1:2" x14ac:dyDescent="0.25">
      <c r="A66" s="1">
        <v>45989</v>
      </c>
      <c r="B66" s="2">
        <v>8.9</v>
      </c>
    </row>
    <row r="67" spans="1:2" x14ac:dyDescent="0.25">
      <c r="A67" s="1">
        <v>45988</v>
      </c>
      <c r="B67" s="2">
        <v>8.8699999999999992</v>
      </c>
    </row>
    <row r="68" spans="1:2" x14ac:dyDescent="0.25">
      <c r="A68" s="1">
        <v>45987</v>
      </c>
      <c r="B68" s="2">
        <v>8.9</v>
      </c>
    </row>
    <row r="69" spans="1:2" x14ac:dyDescent="0.25">
      <c r="A69" s="1">
        <v>45986</v>
      </c>
      <c r="B69" s="2">
        <v>8.98</v>
      </c>
    </row>
    <row r="70" spans="1:2" x14ac:dyDescent="0.25">
      <c r="A70" s="1">
        <v>45985</v>
      </c>
      <c r="B70" s="2">
        <v>8.99</v>
      </c>
    </row>
    <row r="71" spans="1:2" x14ac:dyDescent="0.25">
      <c r="A71" s="1">
        <v>45982</v>
      </c>
      <c r="B71" s="2">
        <v>8.99</v>
      </c>
    </row>
    <row r="72" spans="1:2" x14ac:dyDescent="0.25">
      <c r="A72" s="1">
        <v>45981</v>
      </c>
      <c r="B72" s="2">
        <v>8.94</v>
      </c>
    </row>
    <row r="73" spans="1:2" x14ac:dyDescent="0.25">
      <c r="A73" s="1">
        <v>45980</v>
      </c>
      <c r="B73" s="2">
        <v>8.92</v>
      </c>
    </row>
    <row r="74" spans="1:2" x14ac:dyDescent="0.25">
      <c r="A74" s="1">
        <v>45979</v>
      </c>
      <c r="B74" s="2">
        <v>8.9</v>
      </c>
    </row>
    <row r="75" spans="1:2" x14ac:dyDescent="0.25">
      <c r="A75" s="1">
        <v>45978</v>
      </c>
      <c r="B75" s="2">
        <v>8.92</v>
      </c>
    </row>
    <row r="76" spans="1:2" x14ac:dyDescent="0.25">
      <c r="A76" s="1">
        <v>45975</v>
      </c>
      <c r="B76" s="2">
        <v>8.92</v>
      </c>
    </row>
    <row r="77" spans="1:2" x14ac:dyDescent="0.25">
      <c r="A77" s="1">
        <v>45974</v>
      </c>
      <c r="B77" s="2">
        <v>8.91</v>
      </c>
    </row>
    <row r="78" spans="1:2" x14ac:dyDescent="0.25">
      <c r="A78" s="1">
        <v>45973</v>
      </c>
      <c r="B78" s="2">
        <v>8.92</v>
      </c>
    </row>
    <row r="79" spans="1:2" x14ac:dyDescent="0.25">
      <c r="A79" s="1">
        <v>45972</v>
      </c>
      <c r="B79" s="2">
        <v>8.9700000000000006</v>
      </c>
    </row>
    <row r="80" spans="1:2" x14ac:dyDescent="0.25">
      <c r="A80" s="1">
        <v>45971</v>
      </c>
      <c r="B80" s="2">
        <v>8.9499999999999993</v>
      </c>
    </row>
    <row r="81" spans="1:2" x14ac:dyDescent="0.25">
      <c r="A81" s="1">
        <v>45968</v>
      </c>
      <c r="B81" s="2">
        <v>8.93</v>
      </c>
    </row>
    <row r="82" spans="1:2" x14ac:dyDescent="0.25">
      <c r="A82" s="1">
        <v>45967</v>
      </c>
      <c r="B82" s="2">
        <v>8.8800000000000008</v>
      </c>
    </row>
    <row r="83" spans="1:2" x14ac:dyDescent="0.25">
      <c r="A83" s="1">
        <v>45966</v>
      </c>
      <c r="B83" s="2">
        <v>8.8800000000000008</v>
      </c>
    </row>
    <row r="84" spans="1:2" x14ac:dyDescent="0.25">
      <c r="A84" s="1">
        <v>45965</v>
      </c>
      <c r="B84" s="2">
        <v>8.86</v>
      </c>
    </row>
    <row r="85" spans="1:2" x14ac:dyDescent="0.25">
      <c r="A85" s="1">
        <v>45964</v>
      </c>
      <c r="B85" s="2">
        <v>8.85</v>
      </c>
    </row>
    <row r="86" spans="1:2" x14ac:dyDescent="0.25">
      <c r="A86" s="1">
        <v>45961</v>
      </c>
      <c r="B86" s="2">
        <v>8.84</v>
      </c>
    </row>
    <row r="87" spans="1:2" x14ac:dyDescent="0.25">
      <c r="A87" s="1">
        <v>45960</v>
      </c>
      <c r="B87" s="2">
        <v>8.86</v>
      </c>
    </row>
    <row r="88" spans="1:2" x14ac:dyDescent="0.25">
      <c r="A88" s="1">
        <v>45959</v>
      </c>
      <c r="B88" s="2">
        <v>8.83</v>
      </c>
    </row>
    <row r="89" spans="1:2" x14ac:dyDescent="0.25">
      <c r="A89" s="1">
        <v>45958</v>
      </c>
      <c r="B89" s="2">
        <v>8.73</v>
      </c>
    </row>
    <row r="90" spans="1:2" x14ac:dyDescent="0.25">
      <c r="A90" s="1">
        <v>45957</v>
      </c>
      <c r="B90" s="2">
        <v>8.7899999999999991</v>
      </c>
    </row>
    <row r="91" spans="1:2" x14ac:dyDescent="0.25">
      <c r="A91" s="1">
        <v>45954</v>
      </c>
      <c r="B91" s="2">
        <v>8.7899999999999991</v>
      </c>
    </row>
    <row r="92" spans="1:2" x14ac:dyDescent="0.25">
      <c r="A92" s="1">
        <v>45953</v>
      </c>
      <c r="B92" s="2">
        <v>8.75</v>
      </c>
    </row>
    <row r="93" spans="1:2" x14ac:dyDescent="0.25">
      <c r="A93" s="1">
        <v>45952</v>
      </c>
      <c r="B93" s="2">
        <v>8.6999999999999993</v>
      </c>
    </row>
    <row r="94" spans="1:2" x14ac:dyDescent="0.25">
      <c r="A94" s="1">
        <v>45951</v>
      </c>
      <c r="B94" s="2">
        <v>8.7100000000000009</v>
      </c>
    </row>
    <row r="95" spans="1:2" x14ac:dyDescent="0.25">
      <c r="A95" s="1">
        <v>45950</v>
      </c>
      <c r="B95" s="2">
        <v>8.77</v>
      </c>
    </row>
    <row r="96" spans="1:2" x14ac:dyDescent="0.25">
      <c r="A96" s="1">
        <v>45947</v>
      </c>
      <c r="B96" s="2">
        <v>8.74</v>
      </c>
    </row>
    <row r="97" spans="1:2" x14ac:dyDescent="0.25">
      <c r="A97" s="1">
        <v>45946</v>
      </c>
      <c r="B97" s="2">
        <v>8.68</v>
      </c>
    </row>
    <row r="98" spans="1:2" x14ac:dyDescent="0.25">
      <c r="A98" s="1">
        <v>45945</v>
      </c>
      <c r="B98" s="2">
        <v>8.6999999999999993</v>
      </c>
    </row>
    <row r="99" spans="1:2" x14ac:dyDescent="0.25">
      <c r="A99" s="1">
        <v>45944</v>
      </c>
      <c r="B99" s="2">
        <v>8.75</v>
      </c>
    </row>
    <row r="100" spans="1:2" x14ac:dyDescent="0.25">
      <c r="A100" s="1">
        <v>45943</v>
      </c>
      <c r="B100" s="2">
        <v>8.75</v>
      </c>
    </row>
    <row r="101" spans="1:2" x14ac:dyDescent="0.25">
      <c r="A101" s="1">
        <v>45940</v>
      </c>
      <c r="B101" s="2">
        <v>8.75</v>
      </c>
    </row>
    <row r="102" spans="1:2" x14ac:dyDescent="0.25">
      <c r="A102" s="1">
        <v>45939</v>
      </c>
      <c r="B102" s="2">
        <v>8.77</v>
      </c>
    </row>
    <row r="103" spans="1:2" x14ac:dyDescent="0.25">
      <c r="A103" s="1">
        <v>45938</v>
      </c>
      <c r="B103" s="2">
        <v>8.85</v>
      </c>
    </row>
    <row r="104" spans="1:2" x14ac:dyDescent="0.25">
      <c r="A104" s="1">
        <v>45937</v>
      </c>
      <c r="B104" s="2">
        <v>8.7899999999999991</v>
      </c>
    </row>
    <row r="105" spans="1:2" x14ac:dyDescent="0.25">
      <c r="A105" s="1">
        <v>45936</v>
      </c>
      <c r="B105" s="2">
        <v>8.76</v>
      </c>
    </row>
    <row r="106" spans="1:2" x14ac:dyDescent="0.25">
      <c r="A106" s="1">
        <v>45933</v>
      </c>
      <c r="B106" s="2">
        <v>8.77</v>
      </c>
    </row>
    <row r="107" spans="1:2" x14ac:dyDescent="0.25">
      <c r="A107" s="1">
        <v>45932</v>
      </c>
      <c r="B107" s="2">
        <v>8.74</v>
      </c>
    </row>
    <row r="108" spans="1:2" x14ac:dyDescent="0.25">
      <c r="A108" s="1">
        <v>45931</v>
      </c>
      <c r="B108" s="2">
        <v>8.74</v>
      </c>
    </row>
    <row r="109" spans="1:2" x14ac:dyDescent="0.25">
      <c r="A109" s="1">
        <v>45930</v>
      </c>
      <c r="B109" s="2">
        <v>8.7200000000000006</v>
      </c>
    </row>
    <row r="110" spans="1:2" x14ac:dyDescent="0.25">
      <c r="A110" s="1">
        <v>45929</v>
      </c>
      <c r="B110" s="2">
        <v>8.76</v>
      </c>
    </row>
    <row r="111" spans="1:2" x14ac:dyDescent="0.25">
      <c r="A111" s="1">
        <v>45926</v>
      </c>
      <c r="B111" s="2">
        <v>8.74</v>
      </c>
    </row>
    <row r="112" spans="1:2" x14ac:dyDescent="0.25">
      <c r="A112" s="1">
        <v>45925</v>
      </c>
      <c r="B112" s="2">
        <v>8.7200000000000006</v>
      </c>
    </row>
    <row r="113" spans="1:2" x14ac:dyDescent="0.25">
      <c r="A113" s="1">
        <v>45924</v>
      </c>
      <c r="B113" s="2">
        <v>8.6999999999999993</v>
      </c>
    </row>
    <row r="114" spans="1:2" x14ac:dyDescent="0.25">
      <c r="A114" s="1">
        <v>45923</v>
      </c>
      <c r="B114" s="2">
        <v>8.67</v>
      </c>
    </row>
    <row r="115" spans="1:2" x14ac:dyDescent="0.25">
      <c r="A115" s="1">
        <v>45922</v>
      </c>
      <c r="B115" s="2">
        <v>8.6999999999999993</v>
      </c>
    </row>
    <row r="116" spans="1:2" x14ac:dyDescent="0.25">
      <c r="A116" s="1">
        <v>45919</v>
      </c>
      <c r="B116" s="2">
        <v>8.69</v>
      </c>
    </row>
    <row r="117" spans="1:2" x14ac:dyDescent="0.25">
      <c r="A117" s="1">
        <v>45918</v>
      </c>
      <c r="B117" s="2">
        <v>8.64</v>
      </c>
    </row>
    <row r="118" spans="1:2" x14ac:dyDescent="0.25">
      <c r="A118" s="1">
        <v>45917</v>
      </c>
      <c r="B118" s="2">
        <v>8.6999999999999993</v>
      </c>
    </row>
    <row r="119" spans="1:2" x14ac:dyDescent="0.25">
      <c r="A119" s="1">
        <v>45916</v>
      </c>
      <c r="B119" s="2">
        <v>8.73</v>
      </c>
    </row>
    <row r="120" spans="1:2" x14ac:dyDescent="0.25">
      <c r="A120" s="1">
        <v>45915</v>
      </c>
      <c r="B120" s="2">
        <v>8.73</v>
      </c>
    </row>
    <row r="121" spans="1:2" x14ac:dyDescent="0.25">
      <c r="A121" s="1">
        <v>45912</v>
      </c>
      <c r="B121" s="2">
        <v>8.69</v>
      </c>
    </row>
    <row r="122" spans="1:2" x14ac:dyDescent="0.25">
      <c r="A122" s="1">
        <v>45911</v>
      </c>
      <c r="B122" s="2">
        <v>8.65</v>
      </c>
    </row>
    <row r="123" spans="1:2" x14ac:dyDescent="0.25">
      <c r="A123" s="1">
        <v>45910</v>
      </c>
      <c r="B123" s="2">
        <v>8.74</v>
      </c>
    </row>
    <row r="124" spans="1:2" x14ac:dyDescent="0.25">
      <c r="A124" s="1">
        <v>45909</v>
      </c>
      <c r="B124" s="2">
        <v>8.8000000000000007</v>
      </c>
    </row>
    <row r="125" spans="1:2" x14ac:dyDescent="0.25">
      <c r="A125" s="1">
        <v>45908</v>
      </c>
      <c r="B125" s="2">
        <v>8.7799999999999994</v>
      </c>
    </row>
    <row r="126" spans="1:2" x14ac:dyDescent="0.25">
      <c r="A126" s="1">
        <v>45905</v>
      </c>
      <c r="B126" s="2">
        <v>8.82</v>
      </c>
    </row>
    <row r="127" spans="1:2" x14ac:dyDescent="0.25">
      <c r="A127" s="1">
        <v>45904</v>
      </c>
      <c r="B127" s="2">
        <v>8.8800000000000008</v>
      </c>
    </row>
    <row r="128" spans="1:2" x14ac:dyDescent="0.25">
      <c r="A128" s="1">
        <v>45903</v>
      </c>
      <c r="B128" s="2">
        <v>8.93</v>
      </c>
    </row>
    <row r="129" spans="1:2" x14ac:dyDescent="0.25">
      <c r="A129" s="1">
        <v>45902</v>
      </c>
      <c r="B129" s="2">
        <v>8.92</v>
      </c>
    </row>
    <row r="130" spans="1:2" x14ac:dyDescent="0.25">
      <c r="A130" s="1">
        <v>45901</v>
      </c>
      <c r="B130" s="2">
        <v>8.92</v>
      </c>
    </row>
    <row r="131" spans="1:2" x14ac:dyDescent="0.25">
      <c r="A131" s="1">
        <v>45898</v>
      </c>
      <c r="B131" s="2">
        <v>8.92</v>
      </c>
    </row>
    <row r="132" spans="1:2" x14ac:dyDescent="0.25">
      <c r="A132" s="1">
        <v>45897</v>
      </c>
      <c r="B132" s="2">
        <v>8.9</v>
      </c>
    </row>
    <row r="133" spans="1:2" x14ac:dyDescent="0.25">
      <c r="A133" s="1">
        <v>45896</v>
      </c>
      <c r="B133" s="2">
        <v>8.92</v>
      </c>
    </row>
    <row r="134" spans="1:2" x14ac:dyDescent="0.25">
      <c r="A134" s="1">
        <v>45895</v>
      </c>
      <c r="B134" s="2">
        <v>8.94</v>
      </c>
    </row>
    <row r="135" spans="1:2" x14ac:dyDescent="0.25">
      <c r="A135" s="1">
        <v>45894</v>
      </c>
      <c r="B135" s="2">
        <v>8.9499999999999993</v>
      </c>
    </row>
    <row r="136" spans="1:2" x14ac:dyDescent="0.25">
      <c r="A136" s="1">
        <v>45891</v>
      </c>
      <c r="B136" s="2">
        <v>8.93</v>
      </c>
    </row>
    <row r="137" spans="1:2" x14ac:dyDescent="0.25">
      <c r="A137" s="1">
        <v>45890</v>
      </c>
      <c r="B137" s="2">
        <v>9.09</v>
      </c>
    </row>
    <row r="138" spans="1:2" x14ac:dyDescent="0.25">
      <c r="A138" s="1">
        <v>45889</v>
      </c>
      <c r="B138" s="2">
        <v>9.06</v>
      </c>
    </row>
    <row r="139" spans="1:2" x14ac:dyDescent="0.25">
      <c r="A139" s="1">
        <v>45888</v>
      </c>
      <c r="B139" s="2">
        <v>9.0500000000000007</v>
      </c>
    </row>
    <row r="140" spans="1:2" x14ac:dyDescent="0.25">
      <c r="A140" s="1">
        <v>45887</v>
      </c>
      <c r="B140" s="2">
        <v>9.09</v>
      </c>
    </row>
    <row r="141" spans="1:2" x14ac:dyDescent="0.25">
      <c r="A141" s="1">
        <v>45884</v>
      </c>
      <c r="B141" s="2">
        <v>9.06</v>
      </c>
    </row>
    <row r="142" spans="1:2" x14ac:dyDescent="0.25">
      <c r="A142" s="1">
        <v>45883</v>
      </c>
      <c r="B142" s="2">
        <v>9.0299999999999994</v>
      </c>
    </row>
    <row r="143" spans="1:2" x14ac:dyDescent="0.25">
      <c r="A143" s="1">
        <v>45882</v>
      </c>
      <c r="B143" s="2">
        <v>8.99</v>
      </c>
    </row>
    <row r="144" spans="1:2" x14ac:dyDescent="0.25">
      <c r="A144" s="1">
        <v>45881</v>
      </c>
      <c r="B144" s="2">
        <v>9.0500000000000007</v>
      </c>
    </row>
    <row r="145" spans="1:2" x14ac:dyDescent="0.25">
      <c r="A145" s="1">
        <v>45880</v>
      </c>
      <c r="B145" s="2">
        <v>9.08</v>
      </c>
    </row>
    <row r="146" spans="1:2" x14ac:dyDescent="0.25">
      <c r="A146" s="1">
        <v>45877</v>
      </c>
      <c r="B146" s="2">
        <v>9.1</v>
      </c>
    </row>
    <row r="147" spans="1:2" x14ac:dyDescent="0.25">
      <c r="A147" s="1">
        <v>45876</v>
      </c>
      <c r="B147" s="2">
        <v>9.0500000000000007</v>
      </c>
    </row>
    <row r="148" spans="1:2" x14ac:dyDescent="0.25">
      <c r="A148" s="1">
        <v>45875</v>
      </c>
      <c r="B148" s="2">
        <v>9.1</v>
      </c>
    </row>
    <row r="149" spans="1:2" x14ac:dyDescent="0.25">
      <c r="A149" s="1">
        <v>45874</v>
      </c>
      <c r="B149" s="2">
        <v>9.15</v>
      </c>
    </row>
    <row r="150" spans="1:2" x14ac:dyDescent="0.25">
      <c r="A150" s="1">
        <v>45873</v>
      </c>
      <c r="B150" s="2">
        <v>9.1</v>
      </c>
    </row>
    <row r="151" spans="1:2" x14ac:dyDescent="0.25">
      <c r="A151" s="1">
        <v>45870</v>
      </c>
      <c r="B151" s="2">
        <v>9.1300000000000008</v>
      </c>
    </row>
    <row r="152" spans="1:2" x14ac:dyDescent="0.25">
      <c r="A152" s="1">
        <v>45869</v>
      </c>
      <c r="B152" s="2">
        <v>9.3000000000000007</v>
      </c>
    </row>
    <row r="153" spans="1:2" x14ac:dyDescent="0.25">
      <c r="A153" s="1">
        <v>45868</v>
      </c>
      <c r="B153" s="2">
        <v>9.31</v>
      </c>
    </row>
    <row r="154" spans="1:2" x14ac:dyDescent="0.25">
      <c r="A154" s="1">
        <v>45867</v>
      </c>
      <c r="B154" s="2">
        <v>9.32</v>
      </c>
    </row>
    <row r="155" spans="1:2" x14ac:dyDescent="0.25">
      <c r="A155" s="1">
        <v>45866</v>
      </c>
      <c r="B155" s="2">
        <v>9.4</v>
      </c>
    </row>
    <row r="156" spans="1:2" x14ac:dyDescent="0.25">
      <c r="A156" s="1">
        <v>45863</v>
      </c>
      <c r="B156" s="2">
        <v>9.3000000000000007</v>
      </c>
    </row>
    <row r="157" spans="1:2" x14ac:dyDescent="0.25">
      <c r="A157" s="1">
        <v>45862</v>
      </c>
      <c r="B157" s="2">
        <v>9.2899999999999991</v>
      </c>
    </row>
    <row r="158" spans="1:2" x14ac:dyDescent="0.25">
      <c r="A158" s="1">
        <v>45861</v>
      </c>
      <c r="B158" s="2">
        <v>9.26</v>
      </c>
    </row>
    <row r="159" spans="1:2" x14ac:dyDescent="0.25">
      <c r="A159" s="1">
        <v>45860</v>
      </c>
      <c r="B159" s="2">
        <v>9.2799999999999994</v>
      </c>
    </row>
    <row r="160" spans="1:2" x14ac:dyDescent="0.25">
      <c r="A160" s="1">
        <v>45859</v>
      </c>
      <c r="B160" s="2">
        <v>9.07</v>
      </c>
    </row>
    <row r="161" spans="1:2" x14ac:dyDescent="0.25">
      <c r="A161" s="1">
        <v>45856</v>
      </c>
      <c r="B161" s="2">
        <v>9.09</v>
      </c>
    </row>
    <row r="162" spans="1:2" x14ac:dyDescent="0.25">
      <c r="A162" s="1">
        <v>45855</v>
      </c>
      <c r="B162" s="2">
        <v>9.01</v>
      </c>
    </row>
    <row r="163" spans="1:2" x14ac:dyDescent="0.25">
      <c r="A163" s="1">
        <v>45854</v>
      </c>
      <c r="B163" s="2">
        <v>8.98</v>
      </c>
    </row>
    <row r="164" spans="1:2" x14ac:dyDescent="0.25">
      <c r="A164" s="1">
        <v>45853</v>
      </c>
      <c r="B164" s="2">
        <v>8.99</v>
      </c>
    </row>
    <row r="165" spans="1:2" x14ac:dyDescent="0.25">
      <c r="A165" s="1">
        <v>45852</v>
      </c>
      <c r="B165" s="2">
        <v>8.9600000000000009</v>
      </c>
    </row>
    <row r="166" spans="1:2" x14ac:dyDescent="0.25">
      <c r="A166" s="1">
        <v>45849</v>
      </c>
      <c r="B166" s="2">
        <v>8.9700000000000006</v>
      </c>
    </row>
    <row r="167" spans="1:2" x14ac:dyDescent="0.25">
      <c r="A167" s="1">
        <v>45848</v>
      </c>
      <c r="B167" s="2">
        <v>8.93</v>
      </c>
    </row>
    <row r="168" spans="1:2" x14ac:dyDescent="0.25">
      <c r="A168" s="1">
        <v>45847</v>
      </c>
      <c r="B168" s="2">
        <v>8.9</v>
      </c>
    </row>
    <row r="169" spans="1:2" x14ac:dyDescent="0.25">
      <c r="A169" s="1">
        <v>45846</v>
      </c>
      <c r="B169" s="2">
        <v>8.9499999999999993</v>
      </c>
    </row>
    <row r="170" spans="1:2" x14ac:dyDescent="0.25">
      <c r="A170" s="1">
        <v>45845</v>
      </c>
      <c r="B170" s="2">
        <v>8.91</v>
      </c>
    </row>
    <row r="171" spans="1:2" x14ac:dyDescent="0.25">
      <c r="A171" s="1">
        <v>45842</v>
      </c>
      <c r="B171" s="2">
        <v>8.8699999999999992</v>
      </c>
    </row>
    <row r="172" spans="1:2" x14ac:dyDescent="0.25">
      <c r="A172" s="1">
        <v>45841</v>
      </c>
      <c r="B172" s="2">
        <v>8.81</v>
      </c>
    </row>
    <row r="173" spans="1:2" x14ac:dyDescent="0.25">
      <c r="A173" s="1">
        <v>45840</v>
      </c>
      <c r="B173" s="2">
        <v>8.75</v>
      </c>
    </row>
    <row r="174" spans="1:2" x14ac:dyDescent="0.25">
      <c r="A174" s="1">
        <v>45839</v>
      </c>
      <c r="B174" s="2">
        <v>8.7799999999999994</v>
      </c>
    </row>
    <row r="175" spans="1:2" x14ac:dyDescent="0.25">
      <c r="A175" s="1">
        <v>45838</v>
      </c>
      <c r="B175" s="2">
        <v>8.7799999999999994</v>
      </c>
    </row>
    <row r="176" spans="1:2" x14ac:dyDescent="0.25">
      <c r="A176" s="1">
        <v>45835</v>
      </c>
      <c r="B176" s="2">
        <v>8.8800000000000008</v>
      </c>
    </row>
    <row r="177" spans="1:2" x14ac:dyDescent="0.25">
      <c r="A177" s="1">
        <v>45834</v>
      </c>
      <c r="B177" s="2">
        <v>8.82</v>
      </c>
    </row>
    <row r="178" spans="1:2" x14ac:dyDescent="0.25">
      <c r="A178" s="1">
        <v>45833</v>
      </c>
      <c r="B178" s="2">
        <v>8.82</v>
      </c>
    </row>
    <row r="179" spans="1:2" x14ac:dyDescent="0.25">
      <c r="A179" s="1">
        <v>45832</v>
      </c>
      <c r="B179" s="2">
        <v>8.85</v>
      </c>
    </row>
    <row r="180" spans="1:2" x14ac:dyDescent="0.25">
      <c r="A180" s="1">
        <v>45831</v>
      </c>
      <c r="B180" s="2">
        <v>9</v>
      </c>
    </row>
    <row r="181" spans="1:2" x14ac:dyDescent="0.25">
      <c r="A181" s="1">
        <v>45828</v>
      </c>
      <c r="B181" s="2">
        <v>9.09</v>
      </c>
    </row>
    <row r="182" spans="1:2" x14ac:dyDescent="0.25">
      <c r="A182" s="1">
        <v>45827</v>
      </c>
      <c r="B182" s="2">
        <v>9.01</v>
      </c>
    </row>
    <row r="183" spans="1:2" x14ac:dyDescent="0.25">
      <c r="A183" s="1">
        <v>45826</v>
      </c>
      <c r="B183" s="2">
        <v>9</v>
      </c>
    </row>
    <row r="184" spans="1:2" x14ac:dyDescent="0.25">
      <c r="A184" s="1">
        <v>45825</v>
      </c>
      <c r="B184" s="2">
        <v>9</v>
      </c>
    </row>
    <row r="185" spans="1:2" x14ac:dyDescent="0.25">
      <c r="A185" s="1">
        <v>45824</v>
      </c>
      <c r="B185" s="2">
        <v>8.9499999999999993</v>
      </c>
    </row>
    <row r="186" spans="1:2" x14ac:dyDescent="0.25">
      <c r="A186" s="1">
        <v>45821</v>
      </c>
      <c r="B186" s="2">
        <v>9</v>
      </c>
    </row>
    <row r="187" spans="1:2" x14ac:dyDescent="0.25">
      <c r="A187" s="1">
        <v>45820</v>
      </c>
      <c r="B187" s="2">
        <v>9.01</v>
      </c>
    </row>
    <row r="188" spans="1:2" x14ac:dyDescent="0.25">
      <c r="A188" s="1">
        <v>45819</v>
      </c>
      <c r="B188" s="2">
        <v>9.01</v>
      </c>
    </row>
    <row r="189" spans="1:2" x14ac:dyDescent="0.25">
      <c r="A189" s="1">
        <v>45818</v>
      </c>
      <c r="B189" s="2">
        <v>9</v>
      </c>
    </row>
    <row r="190" spans="1:2" x14ac:dyDescent="0.25">
      <c r="A190" s="1">
        <v>45817</v>
      </c>
      <c r="B190" s="2">
        <v>9</v>
      </c>
    </row>
    <row r="191" spans="1:2" x14ac:dyDescent="0.25">
      <c r="A191" s="1">
        <v>45814</v>
      </c>
      <c r="B191" s="2">
        <v>9.01</v>
      </c>
    </row>
    <row r="192" spans="1:2" x14ac:dyDescent="0.25">
      <c r="A192" s="1">
        <v>45813</v>
      </c>
      <c r="B192" s="2">
        <v>9.0500000000000007</v>
      </c>
    </row>
    <row r="193" spans="1:2" x14ac:dyDescent="0.25">
      <c r="A193" s="1">
        <v>45812</v>
      </c>
      <c r="B193" s="2">
        <v>9.06</v>
      </c>
    </row>
    <row r="194" spans="1:2" x14ac:dyDescent="0.25">
      <c r="A194" s="1">
        <v>45811</v>
      </c>
      <c r="B194" s="2">
        <v>9.18</v>
      </c>
    </row>
    <row r="195" spans="1:2" x14ac:dyDescent="0.25">
      <c r="A195" s="1">
        <v>45810</v>
      </c>
      <c r="B195" s="2">
        <v>9.2100000000000009</v>
      </c>
    </row>
    <row r="196" spans="1:2" x14ac:dyDescent="0.25">
      <c r="A196" s="1">
        <v>45807</v>
      </c>
      <c r="B196" s="2">
        <v>9.2100000000000009</v>
      </c>
    </row>
    <row r="197" spans="1:2" x14ac:dyDescent="0.25">
      <c r="A197" s="1">
        <v>45806</v>
      </c>
      <c r="B197" s="2">
        <v>9.1999999999999993</v>
      </c>
    </row>
    <row r="198" spans="1:2" x14ac:dyDescent="0.25">
      <c r="A198" s="1">
        <v>45805</v>
      </c>
      <c r="B198" s="2">
        <v>9.27</v>
      </c>
    </row>
    <row r="199" spans="1:2" x14ac:dyDescent="0.25">
      <c r="A199" s="1">
        <v>45804</v>
      </c>
      <c r="B199" s="2">
        <v>9.26</v>
      </c>
    </row>
    <row r="200" spans="1:2" x14ac:dyDescent="0.25">
      <c r="A200" s="1">
        <v>45803</v>
      </c>
      <c r="B200" s="2">
        <v>9.35</v>
      </c>
    </row>
    <row r="201" spans="1:2" x14ac:dyDescent="0.25">
      <c r="A201" s="1">
        <v>45800</v>
      </c>
      <c r="B201" s="2">
        <v>9.35</v>
      </c>
    </row>
    <row r="202" spans="1:2" x14ac:dyDescent="0.25">
      <c r="A202" s="1">
        <v>45799</v>
      </c>
      <c r="B202" s="2">
        <v>9.34</v>
      </c>
    </row>
    <row r="203" spans="1:2" x14ac:dyDescent="0.25">
      <c r="A203" s="1">
        <v>45798</v>
      </c>
      <c r="B203" s="2">
        <v>9.3699999999999992</v>
      </c>
    </row>
    <row r="204" spans="1:2" x14ac:dyDescent="0.25">
      <c r="A204" s="1">
        <v>45797</v>
      </c>
      <c r="B204" s="2">
        <v>9.33</v>
      </c>
    </row>
    <row r="205" spans="1:2" x14ac:dyDescent="0.25">
      <c r="A205" s="1">
        <v>45796</v>
      </c>
      <c r="B205" s="2">
        <v>9.33</v>
      </c>
    </row>
    <row r="206" spans="1:2" x14ac:dyDescent="0.25">
      <c r="A206" s="1">
        <v>45793</v>
      </c>
      <c r="B206" s="2">
        <v>9.35</v>
      </c>
    </row>
    <row r="207" spans="1:2" x14ac:dyDescent="0.25">
      <c r="A207" s="1">
        <v>45792</v>
      </c>
      <c r="B207" s="2">
        <v>9.36</v>
      </c>
    </row>
    <row r="208" spans="1:2" x14ac:dyDescent="0.25">
      <c r="A208" s="1">
        <v>45791</v>
      </c>
      <c r="B208" s="2">
        <v>9.42</v>
      </c>
    </row>
    <row r="209" spans="1:2" x14ac:dyDescent="0.25">
      <c r="A209" s="1">
        <v>45790</v>
      </c>
      <c r="B209" s="2">
        <v>9.32</v>
      </c>
    </row>
    <row r="210" spans="1:2" x14ac:dyDescent="0.25">
      <c r="A210" s="1">
        <v>45789</v>
      </c>
      <c r="B210" s="2">
        <v>9.3000000000000007</v>
      </c>
    </row>
    <row r="211" spans="1:2" x14ac:dyDescent="0.25">
      <c r="A211" s="1">
        <v>45786</v>
      </c>
      <c r="B211" s="2">
        <v>9.3000000000000007</v>
      </c>
    </row>
    <row r="212" spans="1:2" x14ac:dyDescent="0.25">
      <c r="A212" s="1">
        <v>45785</v>
      </c>
      <c r="B212" s="2">
        <v>9.23</v>
      </c>
    </row>
    <row r="213" spans="1:2" x14ac:dyDescent="0.25">
      <c r="A213" s="1">
        <v>45784</v>
      </c>
      <c r="B213" s="2">
        <v>9.1999999999999993</v>
      </c>
    </row>
    <row r="214" spans="1:2" x14ac:dyDescent="0.25">
      <c r="A214" s="1">
        <v>45783</v>
      </c>
      <c r="B214" s="2">
        <v>9.19</v>
      </c>
    </row>
    <row r="215" spans="1:2" x14ac:dyDescent="0.25">
      <c r="A215" s="1">
        <v>45782</v>
      </c>
      <c r="B215" s="2">
        <v>9.26</v>
      </c>
    </row>
    <row r="216" spans="1:2" x14ac:dyDescent="0.25">
      <c r="A216" s="1">
        <v>45779</v>
      </c>
      <c r="B216" s="2">
        <v>9.24</v>
      </c>
    </row>
    <row r="217" spans="1:2" x14ac:dyDescent="0.25">
      <c r="A217" s="1">
        <v>45778</v>
      </c>
      <c r="B217" s="2">
        <v>9.1999999999999993</v>
      </c>
    </row>
    <row r="218" spans="1:2" x14ac:dyDescent="0.25">
      <c r="A218" s="1">
        <v>45777</v>
      </c>
      <c r="B218" s="2">
        <v>9.1999999999999993</v>
      </c>
    </row>
    <row r="219" spans="1:2" x14ac:dyDescent="0.25">
      <c r="A219" s="1">
        <v>45776</v>
      </c>
      <c r="B219" s="2">
        <v>9.25</v>
      </c>
    </row>
    <row r="220" spans="1:2" x14ac:dyDescent="0.25">
      <c r="A220" s="1">
        <v>45775</v>
      </c>
      <c r="B220" s="2">
        <v>9.25</v>
      </c>
    </row>
    <row r="221" spans="1:2" x14ac:dyDescent="0.25">
      <c r="A221" s="1">
        <v>45772</v>
      </c>
      <c r="B221" s="2">
        <v>9.1999999999999993</v>
      </c>
    </row>
    <row r="222" spans="1:2" x14ac:dyDescent="0.25">
      <c r="A222" s="1">
        <v>45771</v>
      </c>
      <c r="B222" s="2">
        <v>9.25</v>
      </c>
    </row>
    <row r="223" spans="1:2" x14ac:dyDescent="0.25">
      <c r="A223" s="1">
        <v>45770</v>
      </c>
      <c r="B223" s="2">
        <v>9.3800000000000008</v>
      </c>
    </row>
    <row r="224" spans="1:2" x14ac:dyDescent="0.25">
      <c r="A224" s="1">
        <v>45769</v>
      </c>
      <c r="B224" s="2">
        <v>9.43</v>
      </c>
    </row>
    <row r="225" spans="1:2" x14ac:dyDescent="0.25">
      <c r="A225" s="1">
        <v>45768</v>
      </c>
      <c r="B225" s="2">
        <v>9.5</v>
      </c>
    </row>
    <row r="226" spans="1:2" x14ac:dyDescent="0.25">
      <c r="A226" s="1">
        <v>45765</v>
      </c>
      <c r="B226" s="2">
        <v>9.3800000000000008</v>
      </c>
    </row>
    <row r="227" spans="1:2" x14ac:dyDescent="0.25">
      <c r="A227" s="1">
        <v>45764</v>
      </c>
      <c r="B227" s="2">
        <v>9.3800000000000008</v>
      </c>
    </row>
    <row r="228" spans="1:2" x14ac:dyDescent="0.25">
      <c r="A228" s="1">
        <v>45763</v>
      </c>
      <c r="B228" s="2">
        <v>9.3800000000000008</v>
      </c>
    </row>
    <row r="229" spans="1:2" x14ac:dyDescent="0.25">
      <c r="A229" s="1">
        <v>45762</v>
      </c>
      <c r="B229" s="2">
        <v>9.39</v>
      </c>
    </row>
    <row r="230" spans="1:2" x14ac:dyDescent="0.25">
      <c r="A230" s="1">
        <v>45761</v>
      </c>
      <c r="B230" s="2">
        <v>9.42</v>
      </c>
    </row>
    <row r="231" spans="1:2" x14ac:dyDescent="0.25">
      <c r="A231" s="1">
        <v>45758</v>
      </c>
      <c r="B231" s="2">
        <v>9.68</v>
      </c>
    </row>
    <row r="232" spans="1:2" x14ac:dyDescent="0.25">
      <c r="A232" s="1">
        <v>45757</v>
      </c>
      <c r="B232" s="2">
        <v>9.58</v>
      </c>
    </row>
    <row r="233" spans="1:2" x14ac:dyDescent="0.25">
      <c r="A233" s="1">
        <v>45756</v>
      </c>
      <c r="B233" s="2">
        <v>9.4600000000000009</v>
      </c>
    </row>
    <row r="234" spans="1:2" x14ac:dyDescent="0.25">
      <c r="A234" s="1">
        <v>45755</v>
      </c>
      <c r="B234" s="2">
        <v>9.5</v>
      </c>
    </row>
    <row r="235" spans="1:2" x14ac:dyDescent="0.25">
      <c r="A235" s="1">
        <v>45754</v>
      </c>
      <c r="B235" s="2">
        <v>9.42</v>
      </c>
    </row>
    <row r="236" spans="1:2" x14ac:dyDescent="0.25">
      <c r="A236" s="1">
        <v>45751</v>
      </c>
      <c r="B236" s="2">
        <v>9.08</v>
      </c>
    </row>
    <row r="237" spans="1:2" x14ac:dyDescent="0.25">
      <c r="A237" s="1">
        <v>45750</v>
      </c>
      <c r="B237" s="2">
        <v>8.9</v>
      </c>
    </row>
    <row r="238" spans="1:2" x14ac:dyDescent="0.25">
      <c r="A238" s="1">
        <v>45749</v>
      </c>
      <c r="B238" s="2">
        <v>9.1300000000000008</v>
      </c>
    </row>
    <row r="239" spans="1:2" x14ac:dyDescent="0.25">
      <c r="A239" s="1">
        <v>45748</v>
      </c>
      <c r="B239" s="2">
        <v>9.16</v>
      </c>
    </row>
    <row r="240" spans="1:2" x14ac:dyDescent="0.25">
      <c r="A240" s="1">
        <v>45747</v>
      </c>
      <c r="B240" s="2">
        <v>9.25</v>
      </c>
    </row>
    <row r="241" spans="1:2" x14ac:dyDescent="0.25">
      <c r="A241" s="1">
        <v>45744</v>
      </c>
      <c r="B241" s="2">
        <v>9.25</v>
      </c>
    </row>
    <row r="242" spans="1:2" x14ac:dyDescent="0.25">
      <c r="A242" s="1">
        <v>45743</v>
      </c>
      <c r="B242" s="2">
        <v>9.41</v>
      </c>
    </row>
    <row r="243" spans="1:2" x14ac:dyDescent="0.25">
      <c r="A243" s="1">
        <v>45742</v>
      </c>
      <c r="B243" s="2">
        <v>9.4499999999999993</v>
      </c>
    </row>
    <row r="244" spans="1:2" x14ac:dyDescent="0.25">
      <c r="A244" s="1">
        <v>45741</v>
      </c>
      <c r="B244" s="2">
        <v>9.4499999999999993</v>
      </c>
    </row>
    <row r="245" spans="1:2" x14ac:dyDescent="0.25">
      <c r="A245" s="1">
        <v>45740</v>
      </c>
      <c r="B245" s="2">
        <v>9.48</v>
      </c>
    </row>
    <row r="246" spans="1:2" x14ac:dyDescent="0.25">
      <c r="A246" s="1">
        <v>45737</v>
      </c>
      <c r="B246" s="2">
        <v>9.4700000000000006</v>
      </c>
    </row>
    <row r="247" spans="1:2" x14ac:dyDescent="0.25">
      <c r="A247" s="1">
        <v>45736</v>
      </c>
      <c r="B247" s="2">
        <v>9.3699999999999992</v>
      </c>
    </row>
    <row r="248" spans="1:2" x14ac:dyDescent="0.25">
      <c r="A248" s="1">
        <v>45735</v>
      </c>
      <c r="B248" s="2">
        <v>9.34</v>
      </c>
    </row>
    <row r="249" spans="1:2" x14ac:dyDescent="0.25">
      <c r="A249" s="1">
        <v>45734</v>
      </c>
      <c r="B249" s="2">
        <v>9.41</v>
      </c>
    </row>
    <row r="250" spans="1:2" x14ac:dyDescent="0.25">
      <c r="A250" s="1">
        <v>45733</v>
      </c>
      <c r="B250" s="2">
        <v>9.44</v>
      </c>
    </row>
    <row r="251" spans="1:2" x14ac:dyDescent="0.25">
      <c r="A251" s="1">
        <v>45730</v>
      </c>
      <c r="B251" s="2">
        <v>9.44</v>
      </c>
    </row>
    <row r="252" spans="1:2" x14ac:dyDescent="0.25">
      <c r="A252" s="1">
        <v>45729</v>
      </c>
      <c r="B252" s="2">
        <v>9.4600000000000009</v>
      </c>
    </row>
    <row r="253" spans="1:2" x14ac:dyDescent="0.25">
      <c r="A253" s="1">
        <v>45728</v>
      </c>
      <c r="B253" s="2">
        <v>9.56</v>
      </c>
    </row>
    <row r="254" spans="1:2" x14ac:dyDescent="0.25">
      <c r="A254" s="1">
        <v>45727</v>
      </c>
      <c r="B254" s="2">
        <v>9.56</v>
      </c>
    </row>
    <row r="255" spans="1:2" x14ac:dyDescent="0.25">
      <c r="A255" s="1">
        <v>45726</v>
      </c>
      <c r="B255" s="2">
        <v>9.5</v>
      </c>
    </row>
    <row r="256" spans="1:2" x14ac:dyDescent="0.25">
      <c r="A256" s="1">
        <v>45723</v>
      </c>
      <c r="B256" s="2">
        <v>9.43</v>
      </c>
    </row>
    <row r="257" spans="1:2" x14ac:dyDescent="0.25">
      <c r="A257" s="1">
        <v>45722</v>
      </c>
      <c r="B257" s="2">
        <v>9.43</v>
      </c>
    </row>
    <row r="258" spans="1:2" x14ac:dyDescent="0.25">
      <c r="A258" s="1">
        <v>45721</v>
      </c>
      <c r="B258" s="2">
        <v>9.4600000000000009</v>
      </c>
    </row>
    <row r="259" spans="1:2" x14ac:dyDescent="0.25">
      <c r="A259" s="1">
        <v>45720</v>
      </c>
      <c r="B259" s="2">
        <v>9.57</v>
      </c>
    </row>
    <row r="260" spans="1:2" x14ac:dyDescent="0.25">
      <c r="A260" s="1">
        <v>45719</v>
      </c>
      <c r="B260" s="2">
        <v>9.44</v>
      </c>
    </row>
    <row r="261" spans="1:2" x14ac:dyDescent="0.25">
      <c r="A261" s="1">
        <v>45716</v>
      </c>
      <c r="B261" s="2">
        <v>9.4600000000000009</v>
      </c>
    </row>
    <row r="262" spans="1:2" x14ac:dyDescent="0.25">
      <c r="A262" s="1">
        <v>45715</v>
      </c>
      <c r="B262" s="2">
        <v>9.5</v>
      </c>
    </row>
    <row r="263" spans="1:2" x14ac:dyDescent="0.25">
      <c r="A263" s="1">
        <v>45714</v>
      </c>
      <c r="B263" s="2">
        <v>9.52</v>
      </c>
    </row>
    <row r="264" spans="1:2" x14ac:dyDescent="0.25">
      <c r="A264" s="1">
        <v>45713</v>
      </c>
      <c r="B264" s="2">
        <v>9.61</v>
      </c>
    </row>
    <row r="265" spans="1:2" x14ac:dyDescent="0.25">
      <c r="A265" s="1">
        <v>45712</v>
      </c>
      <c r="B265" s="2">
        <v>9.7100000000000009</v>
      </c>
    </row>
    <row r="266" spans="1:2" x14ac:dyDescent="0.25">
      <c r="A266" s="1">
        <v>45709</v>
      </c>
      <c r="B266" s="2">
        <v>9.77</v>
      </c>
    </row>
    <row r="267" spans="1:2" x14ac:dyDescent="0.25">
      <c r="A267" s="1">
        <v>45708</v>
      </c>
      <c r="B267" s="2">
        <v>9.8800000000000008</v>
      </c>
    </row>
    <row r="268" spans="1:2" x14ac:dyDescent="0.25">
      <c r="A268" s="1">
        <v>45707</v>
      </c>
      <c r="B268" s="2">
        <v>9.91</v>
      </c>
    </row>
    <row r="269" spans="1:2" x14ac:dyDescent="0.25">
      <c r="A269" s="1">
        <v>45706</v>
      </c>
      <c r="B269" s="2">
        <v>9.85</v>
      </c>
    </row>
    <row r="270" spans="1:2" x14ac:dyDescent="0.25">
      <c r="A270" s="1">
        <v>45705</v>
      </c>
      <c r="B270" s="2">
        <v>9.8800000000000008</v>
      </c>
    </row>
    <row r="271" spans="1:2" x14ac:dyDescent="0.25">
      <c r="A271" s="1">
        <v>45702</v>
      </c>
      <c r="B271" s="2">
        <v>9.85</v>
      </c>
    </row>
    <row r="272" spans="1:2" x14ac:dyDescent="0.25">
      <c r="A272" s="1">
        <v>45701</v>
      </c>
      <c r="B272" s="2">
        <v>9.86</v>
      </c>
    </row>
    <row r="273" spans="1:2" x14ac:dyDescent="0.25">
      <c r="A273" s="1">
        <v>45700</v>
      </c>
      <c r="B273" s="2">
        <v>9.9</v>
      </c>
    </row>
    <row r="274" spans="1:2" x14ac:dyDescent="0.25">
      <c r="A274" s="1">
        <v>45699</v>
      </c>
      <c r="B274" s="2">
        <v>9.84</v>
      </c>
    </row>
    <row r="275" spans="1:2" x14ac:dyDescent="0.25">
      <c r="A275" s="1">
        <v>45698</v>
      </c>
      <c r="B275" s="2">
        <v>9.75</v>
      </c>
    </row>
    <row r="276" spans="1:2" x14ac:dyDescent="0.25">
      <c r="A276" s="1">
        <v>45695</v>
      </c>
      <c r="B276" s="2">
        <v>9.76</v>
      </c>
    </row>
    <row r="277" spans="1:2" x14ac:dyDescent="0.25">
      <c r="A277" s="1">
        <v>45694</v>
      </c>
      <c r="B277" s="2">
        <v>9.75</v>
      </c>
    </row>
    <row r="278" spans="1:2" x14ac:dyDescent="0.25">
      <c r="A278" s="1">
        <v>45693</v>
      </c>
      <c r="B278" s="2">
        <v>9.85</v>
      </c>
    </row>
    <row r="279" spans="1:2" x14ac:dyDescent="0.25">
      <c r="A279" s="1">
        <v>45692</v>
      </c>
      <c r="B279" s="2">
        <v>9.9600000000000009</v>
      </c>
    </row>
    <row r="280" spans="1:2" x14ac:dyDescent="0.25">
      <c r="A280" s="1">
        <v>45691</v>
      </c>
      <c r="B280" s="2">
        <v>10.07</v>
      </c>
    </row>
    <row r="281" spans="1:2" x14ac:dyDescent="0.25">
      <c r="A281" s="1">
        <v>45688</v>
      </c>
      <c r="B281" s="2">
        <v>10.07</v>
      </c>
    </row>
    <row r="282" spans="1:2" x14ac:dyDescent="0.25">
      <c r="A282" s="1">
        <v>45687</v>
      </c>
      <c r="B282" s="2">
        <v>9.9600000000000009</v>
      </c>
    </row>
    <row r="283" spans="1:2" x14ac:dyDescent="0.25">
      <c r="A283" s="1">
        <v>45686</v>
      </c>
      <c r="B283" s="2">
        <v>10.02</v>
      </c>
    </row>
    <row r="284" spans="1:2" x14ac:dyDescent="0.25">
      <c r="A284" s="1">
        <v>45685</v>
      </c>
      <c r="B284" s="2">
        <v>9.99</v>
      </c>
    </row>
    <row r="285" spans="1:2" x14ac:dyDescent="0.25">
      <c r="A285" s="1">
        <v>45684</v>
      </c>
      <c r="B285" s="2">
        <v>10.029999999999999</v>
      </c>
    </row>
    <row r="286" spans="1:2" x14ac:dyDescent="0.25">
      <c r="A286" s="1">
        <v>45681</v>
      </c>
      <c r="B286" s="2">
        <v>10.01</v>
      </c>
    </row>
    <row r="287" spans="1:2" x14ac:dyDescent="0.25">
      <c r="A287" s="1">
        <v>45680</v>
      </c>
      <c r="B287" s="2">
        <v>9.98</v>
      </c>
    </row>
    <row r="288" spans="1:2" x14ac:dyDescent="0.25">
      <c r="A288" s="1">
        <v>45679</v>
      </c>
      <c r="B288" s="2">
        <v>10.01</v>
      </c>
    </row>
    <row r="289" spans="1:2" x14ac:dyDescent="0.25">
      <c r="A289" s="1">
        <v>45678</v>
      </c>
      <c r="B289" s="2">
        <v>10.15</v>
      </c>
    </row>
    <row r="290" spans="1:2" x14ac:dyDescent="0.25">
      <c r="A290" s="1">
        <v>45677</v>
      </c>
      <c r="B290" s="2">
        <v>10.25</v>
      </c>
    </row>
    <row r="291" spans="1:2" x14ac:dyDescent="0.25">
      <c r="A291" s="1">
        <v>45674</v>
      </c>
      <c r="B291" s="2">
        <v>10.34</v>
      </c>
    </row>
    <row r="292" spans="1:2" x14ac:dyDescent="0.25">
      <c r="A292" s="1">
        <v>45673</v>
      </c>
      <c r="B292" s="2">
        <v>10.28</v>
      </c>
    </row>
    <row r="293" spans="1:2" x14ac:dyDescent="0.25">
      <c r="A293" s="1">
        <v>45672</v>
      </c>
      <c r="B293" s="2">
        <v>10.3</v>
      </c>
    </row>
    <row r="294" spans="1:2" x14ac:dyDescent="0.25">
      <c r="A294" s="1">
        <v>45671</v>
      </c>
      <c r="B294" s="2">
        <v>10.39</v>
      </c>
    </row>
    <row r="295" spans="1:2" x14ac:dyDescent="0.25">
      <c r="A295" s="1">
        <v>45670</v>
      </c>
      <c r="B295" s="2">
        <v>10.37</v>
      </c>
    </row>
    <row r="296" spans="1:2" x14ac:dyDescent="0.25">
      <c r="A296" s="1">
        <v>45667</v>
      </c>
      <c r="B296" s="2">
        <v>10.27</v>
      </c>
    </row>
    <row r="297" spans="1:2" x14ac:dyDescent="0.25">
      <c r="A297" s="1">
        <v>45666</v>
      </c>
      <c r="B297" s="2">
        <v>10.220000000000001</v>
      </c>
    </row>
    <row r="298" spans="1:2" x14ac:dyDescent="0.25">
      <c r="A298" s="1">
        <v>45665</v>
      </c>
      <c r="B298" s="2">
        <v>10.28</v>
      </c>
    </row>
    <row r="299" spans="1:2" x14ac:dyDescent="0.25">
      <c r="A299" s="1">
        <v>45664</v>
      </c>
      <c r="B299" s="2">
        <v>10.29</v>
      </c>
    </row>
    <row r="300" spans="1:2" x14ac:dyDescent="0.25">
      <c r="A300" s="1">
        <v>45663</v>
      </c>
      <c r="B300" s="2">
        <v>10.37</v>
      </c>
    </row>
    <row r="301" spans="1:2" x14ac:dyDescent="0.25">
      <c r="A301" s="1">
        <v>45660</v>
      </c>
      <c r="B301" s="2">
        <v>10.37</v>
      </c>
    </row>
    <row r="302" spans="1:2" x14ac:dyDescent="0.25">
      <c r="A302" s="1">
        <v>45659</v>
      </c>
      <c r="B302" s="2">
        <v>10.3</v>
      </c>
    </row>
    <row r="303" spans="1:2" x14ac:dyDescent="0.25">
      <c r="A303" s="1">
        <v>45658</v>
      </c>
      <c r="B303" s="2">
        <v>10.41</v>
      </c>
    </row>
    <row r="304" spans="1:2" x14ac:dyDescent="0.25">
      <c r="A304" s="1">
        <v>45657</v>
      </c>
      <c r="B304" s="2">
        <v>10.41</v>
      </c>
    </row>
    <row r="305" spans="1:2" x14ac:dyDescent="0.25">
      <c r="A305" s="1">
        <v>45656</v>
      </c>
      <c r="B305" s="2">
        <v>10.45</v>
      </c>
    </row>
    <row r="306" spans="1:2" x14ac:dyDescent="0.25">
      <c r="A306" s="1">
        <v>45653</v>
      </c>
      <c r="B306" s="2">
        <v>10.44</v>
      </c>
    </row>
    <row r="307" spans="1:2" x14ac:dyDescent="0.25">
      <c r="A307" s="1">
        <v>45652</v>
      </c>
      <c r="B307" s="2">
        <v>10.4</v>
      </c>
    </row>
    <row r="308" spans="1:2" x14ac:dyDescent="0.25">
      <c r="A308" s="1">
        <v>45651</v>
      </c>
      <c r="B308" s="2">
        <v>10.37</v>
      </c>
    </row>
    <row r="309" spans="1:2" x14ac:dyDescent="0.25">
      <c r="A309" s="1">
        <v>45650</v>
      </c>
      <c r="B309" s="2">
        <v>10.37</v>
      </c>
    </row>
    <row r="310" spans="1:2" x14ac:dyDescent="0.25">
      <c r="A310" s="1">
        <v>45649</v>
      </c>
      <c r="B310" s="2">
        <v>10.43</v>
      </c>
    </row>
    <row r="311" spans="1:2" x14ac:dyDescent="0.25">
      <c r="A311" s="1">
        <v>45646</v>
      </c>
      <c r="B311" s="2">
        <v>10.36</v>
      </c>
    </row>
    <row r="312" spans="1:2" x14ac:dyDescent="0.25">
      <c r="A312" s="1">
        <v>45645</v>
      </c>
      <c r="B312" s="2">
        <v>10.28</v>
      </c>
    </row>
    <row r="313" spans="1:2" x14ac:dyDescent="0.25">
      <c r="A313" s="1">
        <v>45644</v>
      </c>
      <c r="B313" s="2">
        <v>10.19</v>
      </c>
    </row>
    <row r="314" spans="1:2" x14ac:dyDescent="0.25">
      <c r="A314" s="1">
        <v>45643</v>
      </c>
      <c r="B314" s="2">
        <v>10.15</v>
      </c>
    </row>
    <row r="315" spans="1:2" x14ac:dyDescent="0.25">
      <c r="A315" s="1">
        <v>45642</v>
      </c>
      <c r="B315" s="2">
        <v>10.119999999999999</v>
      </c>
    </row>
    <row r="316" spans="1:2" x14ac:dyDescent="0.25">
      <c r="A316" s="1">
        <v>45639</v>
      </c>
      <c r="B316" s="2">
        <v>10.09</v>
      </c>
    </row>
    <row r="317" spans="1:2" x14ac:dyDescent="0.25">
      <c r="A317" s="1">
        <v>45638</v>
      </c>
      <c r="B317" s="2">
        <v>9.99</v>
      </c>
    </row>
    <row r="318" spans="1:2" x14ac:dyDescent="0.25">
      <c r="A318" s="1">
        <v>45637</v>
      </c>
      <c r="B318" s="2">
        <v>9.99</v>
      </c>
    </row>
    <row r="319" spans="1:2" x14ac:dyDescent="0.25">
      <c r="A319" s="1">
        <v>45636</v>
      </c>
      <c r="B319" s="2">
        <v>9.9600000000000009</v>
      </c>
    </row>
    <row r="320" spans="1:2" x14ac:dyDescent="0.25">
      <c r="A320" s="1">
        <v>45635</v>
      </c>
      <c r="B320" s="2">
        <v>9.98</v>
      </c>
    </row>
    <row r="321" spans="1:2" x14ac:dyDescent="0.25">
      <c r="A321" s="1">
        <v>45632</v>
      </c>
      <c r="B321" s="2">
        <v>10.039999999999999</v>
      </c>
    </row>
    <row r="322" spans="1:2" x14ac:dyDescent="0.25">
      <c r="A322" s="1">
        <v>45631</v>
      </c>
      <c r="B322" s="2">
        <v>10.01</v>
      </c>
    </row>
    <row r="323" spans="1:2" x14ac:dyDescent="0.25">
      <c r="A323" s="1">
        <v>45630</v>
      </c>
      <c r="B323" s="2">
        <v>9.9700000000000006</v>
      </c>
    </row>
    <row r="324" spans="1:2" x14ac:dyDescent="0.25">
      <c r="A324" s="1">
        <v>45629</v>
      </c>
      <c r="B324" s="2">
        <v>9.92</v>
      </c>
    </row>
    <row r="325" spans="1:2" x14ac:dyDescent="0.25">
      <c r="A325" s="1">
        <v>45628</v>
      </c>
      <c r="B325" s="2">
        <v>9.9499999999999993</v>
      </c>
    </row>
    <row r="326" spans="1:2" x14ac:dyDescent="0.25">
      <c r="A326" s="1">
        <v>45625</v>
      </c>
      <c r="B326" s="2">
        <v>9.9</v>
      </c>
    </row>
    <row r="327" spans="1:2" x14ac:dyDescent="0.25">
      <c r="A327" s="1">
        <v>45624</v>
      </c>
      <c r="B327" s="2">
        <v>9.92</v>
      </c>
    </row>
    <row r="328" spans="1:2" x14ac:dyDescent="0.25">
      <c r="A328" s="1">
        <v>45623</v>
      </c>
      <c r="B328" s="2">
        <v>9.9499999999999993</v>
      </c>
    </row>
    <row r="329" spans="1:2" x14ac:dyDescent="0.25">
      <c r="A329" s="1">
        <v>45622</v>
      </c>
      <c r="B329" s="2">
        <v>10.02</v>
      </c>
    </row>
    <row r="330" spans="1:2" x14ac:dyDescent="0.25">
      <c r="A330" s="1">
        <v>45621</v>
      </c>
      <c r="B330" s="2">
        <v>9.93</v>
      </c>
    </row>
    <row r="331" spans="1:2" x14ac:dyDescent="0.25">
      <c r="A331" s="1">
        <v>45618</v>
      </c>
      <c r="B331" s="2">
        <v>9.99</v>
      </c>
    </row>
    <row r="332" spans="1:2" x14ac:dyDescent="0.25">
      <c r="A332" s="1">
        <v>45617</v>
      </c>
      <c r="B332" s="2">
        <v>9.94</v>
      </c>
    </row>
    <row r="333" spans="1:2" x14ac:dyDescent="0.25">
      <c r="A333" s="1">
        <v>45616</v>
      </c>
      <c r="B333" s="2">
        <v>9.85</v>
      </c>
    </row>
    <row r="334" spans="1:2" x14ac:dyDescent="0.25">
      <c r="A334" s="1">
        <v>45615</v>
      </c>
      <c r="B334" s="2">
        <v>9.84</v>
      </c>
    </row>
    <row r="335" spans="1:2" x14ac:dyDescent="0.25">
      <c r="A335" s="1">
        <v>45614</v>
      </c>
      <c r="B335" s="2">
        <v>9.93</v>
      </c>
    </row>
    <row r="336" spans="1:2" x14ac:dyDescent="0.25">
      <c r="A336" s="1">
        <v>45611</v>
      </c>
      <c r="B336" s="2">
        <v>9.93</v>
      </c>
    </row>
    <row r="337" spans="1:2" x14ac:dyDescent="0.25">
      <c r="A337" s="1">
        <v>45610</v>
      </c>
      <c r="B337" s="2">
        <v>9.94</v>
      </c>
    </row>
    <row r="338" spans="1:2" x14ac:dyDescent="0.25">
      <c r="A338" s="1">
        <v>45609</v>
      </c>
      <c r="B338" s="2">
        <v>10</v>
      </c>
    </row>
    <row r="339" spans="1:2" x14ac:dyDescent="0.25">
      <c r="A339" s="1">
        <v>45608</v>
      </c>
      <c r="B339" s="2">
        <v>10.050000000000001</v>
      </c>
    </row>
    <row r="340" spans="1:2" x14ac:dyDescent="0.25">
      <c r="A340" s="1">
        <v>45607</v>
      </c>
      <c r="B340" s="2">
        <v>10.029999999999999</v>
      </c>
    </row>
    <row r="341" spans="1:2" x14ac:dyDescent="0.25">
      <c r="A341" s="1">
        <v>45604</v>
      </c>
      <c r="B341" s="2">
        <v>9.9700000000000006</v>
      </c>
    </row>
    <row r="342" spans="1:2" x14ac:dyDescent="0.25">
      <c r="A342" s="1">
        <v>45603</v>
      </c>
      <c r="B342" s="2">
        <v>9.86</v>
      </c>
    </row>
    <row r="343" spans="1:2" x14ac:dyDescent="0.25">
      <c r="A343" s="1">
        <v>45602</v>
      </c>
      <c r="B343" s="2">
        <v>9.94</v>
      </c>
    </row>
    <row r="344" spans="1:2" x14ac:dyDescent="0.25">
      <c r="A344" s="1">
        <v>45601</v>
      </c>
      <c r="B344" s="2">
        <v>9.9700000000000006</v>
      </c>
    </row>
    <row r="345" spans="1:2" x14ac:dyDescent="0.25">
      <c r="A345" s="1">
        <v>45600</v>
      </c>
      <c r="B345" s="2">
        <v>10.09</v>
      </c>
    </row>
    <row r="346" spans="1:2" x14ac:dyDescent="0.25">
      <c r="A346" s="1">
        <v>45597</v>
      </c>
      <c r="B346" s="2">
        <v>10.19</v>
      </c>
    </row>
    <row r="347" spans="1:2" x14ac:dyDescent="0.25">
      <c r="A347" s="1">
        <v>45596</v>
      </c>
      <c r="B347" s="2">
        <v>10.06</v>
      </c>
    </row>
    <row r="348" spans="1:2" x14ac:dyDescent="0.25">
      <c r="A348" s="1">
        <v>45595</v>
      </c>
      <c r="B348" s="2">
        <v>10.01</v>
      </c>
    </row>
    <row r="349" spans="1:2" x14ac:dyDescent="0.25">
      <c r="A349" s="1">
        <v>45594</v>
      </c>
      <c r="B349" s="2">
        <v>10.039999999999999</v>
      </c>
    </row>
    <row r="350" spans="1:2" x14ac:dyDescent="0.25">
      <c r="A350" s="1">
        <v>45593</v>
      </c>
      <c r="B350" s="2">
        <v>10.11</v>
      </c>
    </row>
    <row r="351" spans="1:2" x14ac:dyDescent="0.25">
      <c r="A351" s="1">
        <v>45590</v>
      </c>
      <c r="B351" s="2">
        <v>10.08</v>
      </c>
    </row>
    <row r="352" spans="1:2" x14ac:dyDescent="0.25">
      <c r="A352" s="1">
        <v>45589</v>
      </c>
      <c r="B352" s="2">
        <v>10.050000000000001</v>
      </c>
    </row>
    <row r="353" spans="1:2" x14ac:dyDescent="0.25">
      <c r="A353" s="1">
        <v>45588</v>
      </c>
      <c r="B353" s="2">
        <v>10.09</v>
      </c>
    </row>
    <row r="354" spans="1:2" x14ac:dyDescent="0.25">
      <c r="A354" s="1">
        <v>45587</v>
      </c>
      <c r="B354" s="2">
        <v>10.039999999999999</v>
      </c>
    </row>
    <row r="355" spans="1:2" x14ac:dyDescent="0.25">
      <c r="A355" s="1">
        <v>45586</v>
      </c>
      <c r="B355" s="2">
        <v>10.06</v>
      </c>
    </row>
    <row r="356" spans="1:2" x14ac:dyDescent="0.25">
      <c r="A356" s="1">
        <v>45583</v>
      </c>
      <c r="B356" s="2">
        <v>9.8699999999999992</v>
      </c>
    </row>
    <row r="357" spans="1:2" x14ac:dyDescent="0.25">
      <c r="A357" s="1">
        <v>45582</v>
      </c>
      <c r="B357" s="2">
        <v>9.8000000000000007</v>
      </c>
    </row>
    <row r="358" spans="1:2" x14ac:dyDescent="0.25">
      <c r="A358" s="1">
        <v>45581</v>
      </c>
      <c r="B358" s="2">
        <v>9.83</v>
      </c>
    </row>
    <row r="359" spans="1:2" x14ac:dyDescent="0.25">
      <c r="A359" s="1">
        <v>45580</v>
      </c>
      <c r="B359" s="2">
        <v>9.68</v>
      </c>
    </row>
    <row r="360" spans="1:2" x14ac:dyDescent="0.25">
      <c r="A360" s="1">
        <v>45579</v>
      </c>
      <c r="B360" s="2">
        <v>9.65</v>
      </c>
    </row>
    <row r="361" spans="1:2" x14ac:dyDescent="0.25">
      <c r="A361" s="1">
        <v>45576</v>
      </c>
      <c r="B361" s="2">
        <v>9.6300000000000008</v>
      </c>
    </row>
    <row r="362" spans="1:2" x14ac:dyDescent="0.25">
      <c r="A362" s="1">
        <v>45575</v>
      </c>
      <c r="B362" s="2">
        <v>9.69</v>
      </c>
    </row>
    <row r="363" spans="1:2" x14ac:dyDescent="0.25">
      <c r="A363" s="1">
        <v>45574</v>
      </c>
      <c r="B363" s="2">
        <v>9.59</v>
      </c>
    </row>
    <row r="364" spans="1:2" x14ac:dyDescent="0.25">
      <c r="A364" s="1">
        <v>45573</v>
      </c>
      <c r="B364" s="2">
        <v>9.5299999999999994</v>
      </c>
    </row>
    <row r="365" spans="1:2" x14ac:dyDescent="0.25">
      <c r="A365" s="1">
        <v>45572</v>
      </c>
      <c r="B365" s="2">
        <v>9.5500000000000007</v>
      </c>
    </row>
    <row r="366" spans="1:2" x14ac:dyDescent="0.25">
      <c r="A366" s="1">
        <v>45569</v>
      </c>
      <c r="B366" s="2">
        <v>9.4700000000000006</v>
      </c>
    </row>
    <row r="367" spans="1:2" x14ac:dyDescent="0.25">
      <c r="A367" s="1">
        <v>45568</v>
      </c>
      <c r="B367" s="2">
        <v>9.4</v>
      </c>
    </row>
    <row r="368" spans="1:2" x14ac:dyDescent="0.25">
      <c r="A368" s="1">
        <v>45567</v>
      </c>
      <c r="B368" s="2">
        <v>9.3699999999999992</v>
      </c>
    </row>
    <row r="369" spans="1:2" x14ac:dyDescent="0.25">
      <c r="A369" s="1">
        <v>45566</v>
      </c>
      <c r="B369" s="2">
        <v>9.33</v>
      </c>
    </row>
    <row r="370" spans="1:2" x14ac:dyDescent="0.25">
      <c r="A370" s="1">
        <v>45565</v>
      </c>
      <c r="B370" s="2">
        <v>9.33</v>
      </c>
    </row>
    <row r="371" spans="1:2" x14ac:dyDescent="0.25">
      <c r="A371" s="1">
        <v>45562</v>
      </c>
      <c r="B371" s="2">
        <v>9.32</v>
      </c>
    </row>
    <row r="372" spans="1:2" x14ac:dyDescent="0.25">
      <c r="A372" s="1">
        <v>45561</v>
      </c>
      <c r="B372" s="2">
        <v>9.2799999999999994</v>
      </c>
    </row>
    <row r="373" spans="1:2" x14ac:dyDescent="0.25">
      <c r="A373" s="1">
        <v>45560</v>
      </c>
      <c r="B373" s="2">
        <v>9.24</v>
      </c>
    </row>
    <row r="374" spans="1:2" x14ac:dyDescent="0.25">
      <c r="A374" s="1">
        <v>45559</v>
      </c>
      <c r="B374" s="2">
        <v>9.1999999999999993</v>
      </c>
    </row>
    <row r="375" spans="1:2" x14ac:dyDescent="0.25">
      <c r="A375" s="1">
        <v>45558</v>
      </c>
      <c r="B375" s="2">
        <v>9.19</v>
      </c>
    </row>
    <row r="376" spans="1:2" x14ac:dyDescent="0.25">
      <c r="A376" s="1">
        <v>45555</v>
      </c>
      <c r="B376" s="2">
        <v>9.19</v>
      </c>
    </row>
    <row r="377" spans="1:2" x14ac:dyDescent="0.25">
      <c r="A377" s="1">
        <v>45554</v>
      </c>
      <c r="B377" s="2">
        <v>9.1</v>
      </c>
    </row>
    <row r="378" spans="1:2" x14ac:dyDescent="0.25">
      <c r="A378" s="1">
        <v>45553</v>
      </c>
      <c r="B378" s="2">
        <v>9.14</v>
      </c>
    </row>
    <row r="379" spans="1:2" x14ac:dyDescent="0.25">
      <c r="A379" s="1">
        <v>45552</v>
      </c>
      <c r="B379" s="2">
        <v>9.16</v>
      </c>
    </row>
    <row r="380" spans="1:2" x14ac:dyDescent="0.25">
      <c r="A380" s="1">
        <v>45551</v>
      </c>
      <c r="B380" s="2">
        <v>9.25</v>
      </c>
    </row>
    <row r="381" spans="1:2" x14ac:dyDescent="0.25">
      <c r="A381" s="1">
        <v>45548</v>
      </c>
      <c r="B381" s="2">
        <v>9.25</v>
      </c>
    </row>
    <row r="382" spans="1:2" x14ac:dyDescent="0.25">
      <c r="A382" s="1">
        <v>45547</v>
      </c>
      <c r="B382" s="2">
        <v>9.3699999999999992</v>
      </c>
    </row>
    <row r="383" spans="1:2" x14ac:dyDescent="0.25">
      <c r="A383" s="1">
        <v>45546</v>
      </c>
      <c r="B383" s="2">
        <v>9.41</v>
      </c>
    </row>
    <row r="384" spans="1:2" x14ac:dyDescent="0.25">
      <c r="A384" s="1">
        <v>45545</v>
      </c>
      <c r="B384" s="2">
        <v>9.5</v>
      </c>
    </row>
    <row r="385" spans="1:2" x14ac:dyDescent="0.25">
      <c r="A385" s="1">
        <v>45544</v>
      </c>
      <c r="B385" s="2">
        <v>9.41</v>
      </c>
    </row>
    <row r="386" spans="1:2" x14ac:dyDescent="0.25">
      <c r="A386" s="1">
        <v>45541</v>
      </c>
      <c r="B386" s="2">
        <v>9.4700000000000006</v>
      </c>
    </row>
    <row r="387" spans="1:2" x14ac:dyDescent="0.25">
      <c r="A387" s="1">
        <v>45540</v>
      </c>
      <c r="B387" s="2">
        <v>9.5399999999999991</v>
      </c>
    </row>
    <row r="388" spans="1:2" x14ac:dyDescent="0.25">
      <c r="A388" s="1">
        <v>45539</v>
      </c>
      <c r="B388" s="2">
        <v>9.57</v>
      </c>
    </row>
    <row r="389" spans="1:2" x14ac:dyDescent="0.25">
      <c r="A389" s="1">
        <v>45538</v>
      </c>
      <c r="B389" s="2">
        <v>9.69</v>
      </c>
    </row>
    <row r="390" spans="1:2" x14ac:dyDescent="0.25">
      <c r="A390" s="1">
        <v>45537</v>
      </c>
      <c r="B390" s="2">
        <v>9.66</v>
      </c>
    </row>
    <row r="391" spans="1:2" x14ac:dyDescent="0.25">
      <c r="A391" s="1">
        <v>45534</v>
      </c>
      <c r="B391" s="2">
        <v>9.6300000000000008</v>
      </c>
    </row>
    <row r="392" spans="1:2" x14ac:dyDescent="0.25">
      <c r="A392" s="1">
        <v>45533</v>
      </c>
      <c r="B392" s="2">
        <v>9.7200000000000006</v>
      </c>
    </row>
    <row r="393" spans="1:2" x14ac:dyDescent="0.25">
      <c r="A393" s="1">
        <v>45532</v>
      </c>
      <c r="B393" s="2">
        <v>9.67</v>
      </c>
    </row>
    <row r="394" spans="1:2" x14ac:dyDescent="0.25">
      <c r="A394" s="1">
        <v>45531</v>
      </c>
      <c r="B394" s="2">
        <v>9.66</v>
      </c>
    </row>
    <row r="395" spans="1:2" x14ac:dyDescent="0.25">
      <c r="A395" s="1">
        <v>45530</v>
      </c>
      <c r="B395" s="2">
        <v>9.56</v>
      </c>
    </row>
    <row r="396" spans="1:2" x14ac:dyDescent="0.25">
      <c r="A396" s="1">
        <v>45527</v>
      </c>
      <c r="B396" s="2">
        <v>9.5299999999999994</v>
      </c>
    </row>
    <row r="397" spans="1:2" x14ac:dyDescent="0.25">
      <c r="A397" s="1">
        <v>45526</v>
      </c>
      <c r="B397" s="2">
        <v>9.7200000000000006</v>
      </c>
    </row>
    <row r="398" spans="1:2" x14ac:dyDescent="0.25">
      <c r="A398" s="1">
        <v>45525</v>
      </c>
      <c r="B398" s="2">
        <v>9.5299999999999994</v>
      </c>
    </row>
    <row r="399" spans="1:2" x14ac:dyDescent="0.25">
      <c r="A399" s="1">
        <v>45524</v>
      </c>
      <c r="B399" s="2">
        <v>9.49</v>
      </c>
    </row>
    <row r="400" spans="1:2" x14ac:dyDescent="0.25">
      <c r="A400" s="1">
        <v>45523</v>
      </c>
      <c r="B400" s="2">
        <v>9.43</v>
      </c>
    </row>
    <row r="401" spans="1:2" x14ac:dyDescent="0.25">
      <c r="A401" s="1">
        <v>45520</v>
      </c>
      <c r="B401" s="2">
        <v>9.42</v>
      </c>
    </row>
    <row r="402" spans="1:2" x14ac:dyDescent="0.25">
      <c r="A402" s="1">
        <v>45519</v>
      </c>
      <c r="B402" s="2">
        <v>9.49</v>
      </c>
    </row>
    <row r="403" spans="1:2" x14ac:dyDescent="0.25">
      <c r="A403" s="1">
        <v>45518</v>
      </c>
      <c r="B403" s="2">
        <v>9.4499999999999993</v>
      </c>
    </row>
    <row r="404" spans="1:2" x14ac:dyDescent="0.25">
      <c r="A404" s="1">
        <v>45517</v>
      </c>
      <c r="B404" s="2">
        <v>9.43</v>
      </c>
    </row>
    <row r="405" spans="1:2" x14ac:dyDescent="0.25">
      <c r="A405" s="1">
        <v>45516</v>
      </c>
      <c r="B405" s="2">
        <v>9.43</v>
      </c>
    </row>
    <row r="406" spans="1:2" x14ac:dyDescent="0.25">
      <c r="A406" s="1">
        <v>45513</v>
      </c>
      <c r="B406" s="2">
        <v>9.39</v>
      </c>
    </row>
    <row r="407" spans="1:2" x14ac:dyDescent="0.25">
      <c r="A407" s="1">
        <v>45512</v>
      </c>
      <c r="B407" s="2">
        <v>9.56</v>
      </c>
    </row>
    <row r="408" spans="1:2" x14ac:dyDescent="0.25">
      <c r="A408" s="1">
        <v>45511</v>
      </c>
      <c r="B408" s="2">
        <v>9.64</v>
      </c>
    </row>
    <row r="409" spans="1:2" x14ac:dyDescent="0.25">
      <c r="A409" s="1">
        <v>45510</v>
      </c>
      <c r="B409" s="2">
        <v>9.75</v>
      </c>
    </row>
    <row r="410" spans="1:2" x14ac:dyDescent="0.25">
      <c r="A410" s="1">
        <v>45509</v>
      </c>
      <c r="B410" s="2">
        <v>9.6999999999999993</v>
      </c>
    </row>
    <row r="411" spans="1:2" x14ac:dyDescent="0.25">
      <c r="A411" s="1">
        <v>45506</v>
      </c>
      <c r="B411" s="2">
        <v>9.65</v>
      </c>
    </row>
    <row r="412" spans="1:2" x14ac:dyDescent="0.25">
      <c r="A412" s="1">
        <v>45505</v>
      </c>
      <c r="B412" s="2">
        <v>9.82</v>
      </c>
    </row>
    <row r="413" spans="1:2" x14ac:dyDescent="0.25">
      <c r="A413" s="1">
        <v>45504</v>
      </c>
      <c r="B413" s="2">
        <v>9.76</v>
      </c>
    </row>
    <row r="414" spans="1:2" x14ac:dyDescent="0.25">
      <c r="A414" s="1">
        <v>45503</v>
      </c>
      <c r="B414" s="2">
        <v>9.83</v>
      </c>
    </row>
    <row r="415" spans="1:2" x14ac:dyDescent="0.25">
      <c r="A415" s="1">
        <v>45502</v>
      </c>
      <c r="B415" s="2">
        <v>9.85</v>
      </c>
    </row>
    <row r="416" spans="1:2" x14ac:dyDescent="0.25">
      <c r="A416" s="1">
        <v>45499</v>
      </c>
      <c r="B416" s="2">
        <v>9.85</v>
      </c>
    </row>
    <row r="417" spans="1:2" x14ac:dyDescent="0.25">
      <c r="A417" s="1">
        <v>45498</v>
      </c>
      <c r="B417" s="2">
        <v>9.9499999999999993</v>
      </c>
    </row>
    <row r="418" spans="1:2" x14ac:dyDescent="0.25">
      <c r="A418" s="1">
        <v>45497</v>
      </c>
      <c r="B418" s="2">
        <v>10</v>
      </c>
    </row>
    <row r="419" spans="1:2" x14ac:dyDescent="0.25">
      <c r="A419" s="1">
        <v>45496</v>
      </c>
      <c r="B419" s="2">
        <v>10.01</v>
      </c>
    </row>
    <row r="420" spans="1:2" x14ac:dyDescent="0.25">
      <c r="A420" s="1">
        <v>45495</v>
      </c>
      <c r="B420" s="2">
        <v>9.94</v>
      </c>
    </row>
    <row r="421" spans="1:2" x14ac:dyDescent="0.25">
      <c r="A421" s="1">
        <v>45492</v>
      </c>
      <c r="B421" s="2">
        <v>9.9700000000000006</v>
      </c>
    </row>
    <row r="422" spans="1:2" x14ac:dyDescent="0.25">
      <c r="A422" s="1">
        <v>45491</v>
      </c>
      <c r="B422" s="2">
        <v>9.9</v>
      </c>
    </row>
    <row r="423" spans="1:2" x14ac:dyDescent="0.25">
      <c r="A423" s="1">
        <v>45490</v>
      </c>
      <c r="B423" s="2">
        <v>9.75</v>
      </c>
    </row>
    <row r="424" spans="1:2" x14ac:dyDescent="0.25">
      <c r="A424" s="1">
        <v>45489</v>
      </c>
      <c r="B424" s="2">
        <v>9.6999999999999993</v>
      </c>
    </row>
    <row r="425" spans="1:2" x14ac:dyDescent="0.25">
      <c r="A425" s="1">
        <v>45488</v>
      </c>
      <c r="B425" s="2">
        <v>9.77</v>
      </c>
    </row>
    <row r="426" spans="1:2" x14ac:dyDescent="0.25">
      <c r="A426" s="1">
        <v>45485</v>
      </c>
      <c r="B426" s="2">
        <v>9.74</v>
      </c>
    </row>
    <row r="427" spans="1:2" x14ac:dyDescent="0.25">
      <c r="A427" s="1">
        <v>45484</v>
      </c>
      <c r="B427" s="2">
        <v>9.76</v>
      </c>
    </row>
    <row r="428" spans="1:2" x14ac:dyDescent="0.25">
      <c r="A428" s="1">
        <v>45483</v>
      </c>
      <c r="B428" s="2">
        <v>9.8800000000000008</v>
      </c>
    </row>
    <row r="429" spans="1:2" x14ac:dyDescent="0.25">
      <c r="A429" s="1">
        <v>45482</v>
      </c>
      <c r="B429" s="2">
        <v>9.98</v>
      </c>
    </row>
    <row r="430" spans="1:2" x14ac:dyDescent="0.25">
      <c r="A430" s="1">
        <v>45481</v>
      </c>
      <c r="B430" s="2">
        <v>9.9499999999999993</v>
      </c>
    </row>
    <row r="431" spans="1:2" x14ac:dyDescent="0.25">
      <c r="A431" s="1">
        <v>45478</v>
      </c>
      <c r="B431" s="2">
        <v>9.9600000000000009</v>
      </c>
    </row>
    <row r="432" spans="1:2" x14ac:dyDescent="0.25">
      <c r="A432" s="1">
        <v>45477</v>
      </c>
      <c r="B432" s="2">
        <v>9.98</v>
      </c>
    </row>
    <row r="433" spans="1:2" x14ac:dyDescent="0.25">
      <c r="A433" s="1">
        <v>45476</v>
      </c>
      <c r="B433" s="2">
        <v>9.94</v>
      </c>
    </row>
    <row r="434" spans="1:2" x14ac:dyDescent="0.25">
      <c r="A434" s="1">
        <v>45475</v>
      </c>
      <c r="B434" s="2">
        <v>9.99</v>
      </c>
    </row>
    <row r="435" spans="1:2" x14ac:dyDescent="0.25">
      <c r="A435" s="1">
        <v>45474</v>
      </c>
      <c r="B435" s="2">
        <v>9.9600000000000009</v>
      </c>
    </row>
    <row r="436" spans="1:2" x14ac:dyDescent="0.25">
      <c r="A436" s="1">
        <v>45471</v>
      </c>
      <c r="B436" s="2">
        <v>9.89</v>
      </c>
    </row>
    <row r="437" spans="1:2" x14ac:dyDescent="0.25">
      <c r="A437" s="1">
        <v>45470</v>
      </c>
      <c r="B437" s="2">
        <v>9.89</v>
      </c>
    </row>
    <row r="438" spans="1:2" x14ac:dyDescent="0.25">
      <c r="A438" s="1">
        <v>45469</v>
      </c>
      <c r="B438" s="2">
        <v>9.94</v>
      </c>
    </row>
    <row r="439" spans="1:2" x14ac:dyDescent="0.25">
      <c r="A439" s="1">
        <v>45468</v>
      </c>
      <c r="B439" s="2">
        <v>9.91</v>
      </c>
    </row>
    <row r="440" spans="1:2" x14ac:dyDescent="0.25">
      <c r="A440" s="1">
        <v>45467</v>
      </c>
      <c r="B440" s="2">
        <v>9.9</v>
      </c>
    </row>
    <row r="441" spans="1:2" x14ac:dyDescent="0.25">
      <c r="A441" s="1">
        <v>45464</v>
      </c>
      <c r="B441" s="2">
        <v>9.9499999999999993</v>
      </c>
    </row>
    <row r="442" spans="1:2" x14ac:dyDescent="0.25">
      <c r="A442" s="1">
        <v>45463</v>
      </c>
      <c r="B442" s="2">
        <v>9.94</v>
      </c>
    </row>
    <row r="443" spans="1:2" x14ac:dyDescent="0.25">
      <c r="A443" s="1">
        <v>45462</v>
      </c>
      <c r="B443" s="2">
        <v>10.01</v>
      </c>
    </row>
    <row r="444" spans="1:2" x14ac:dyDescent="0.25">
      <c r="A444" s="1">
        <v>45461</v>
      </c>
      <c r="B444" s="2">
        <v>10.01</v>
      </c>
    </row>
    <row r="445" spans="1:2" x14ac:dyDescent="0.25">
      <c r="A445" s="1">
        <v>45460</v>
      </c>
      <c r="B445" s="2">
        <v>10.19</v>
      </c>
    </row>
    <row r="446" spans="1:2" x14ac:dyDescent="0.25">
      <c r="A446" s="1">
        <v>45457</v>
      </c>
      <c r="B446" s="2">
        <v>10.11</v>
      </c>
    </row>
    <row r="447" spans="1:2" x14ac:dyDescent="0.25">
      <c r="A447" s="1">
        <v>45456</v>
      </c>
      <c r="B447" s="2">
        <v>10.15</v>
      </c>
    </row>
    <row r="448" spans="1:2" x14ac:dyDescent="0.25">
      <c r="A448" s="1">
        <v>45455</v>
      </c>
      <c r="B448" s="2">
        <v>10.34</v>
      </c>
    </row>
    <row r="449" spans="1:2" x14ac:dyDescent="0.25">
      <c r="A449" s="1">
        <v>45454</v>
      </c>
      <c r="B449" s="2">
        <v>10.43</v>
      </c>
    </row>
    <row r="450" spans="1:2" x14ac:dyDescent="0.25">
      <c r="A450" s="1">
        <v>45453</v>
      </c>
      <c r="B450" s="2">
        <v>10.210000000000001</v>
      </c>
    </row>
    <row r="451" spans="1:2" x14ac:dyDescent="0.25">
      <c r="A451" s="1">
        <v>45450</v>
      </c>
      <c r="B451" s="2">
        <v>10.17</v>
      </c>
    </row>
    <row r="452" spans="1:2" x14ac:dyDescent="0.25">
      <c r="A452" s="1">
        <v>45449</v>
      </c>
      <c r="B452" s="2">
        <v>9.74</v>
      </c>
    </row>
    <row r="453" spans="1:2" x14ac:dyDescent="0.25">
      <c r="A453" s="1">
        <v>45448</v>
      </c>
      <c r="B453" s="2">
        <v>9.7899999999999991</v>
      </c>
    </row>
    <row r="454" spans="1:2" x14ac:dyDescent="0.25">
      <c r="A454" s="1">
        <v>45447</v>
      </c>
      <c r="B454" s="2">
        <v>9.91</v>
      </c>
    </row>
    <row r="455" spans="1:2" x14ac:dyDescent="0.25">
      <c r="A455" s="1">
        <v>45446</v>
      </c>
      <c r="B455" s="2">
        <v>9.89</v>
      </c>
    </row>
    <row r="456" spans="1:2" x14ac:dyDescent="0.25">
      <c r="A456" s="1">
        <v>45443</v>
      </c>
      <c r="B456" s="2">
        <v>9.75</v>
      </c>
    </row>
    <row r="457" spans="1:2" x14ac:dyDescent="0.25">
      <c r="A457" s="1">
        <v>45442</v>
      </c>
      <c r="B457" s="2">
        <v>9.8000000000000007</v>
      </c>
    </row>
    <row r="458" spans="1:2" x14ac:dyDescent="0.25">
      <c r="A458" s="1">
        <v>45441</v>
      </c>
      <c r="B458" s="2">
        <v>9.81</v>
      </c>
    </row>
    <row r="459" spans="1:2" x14ac:dyDescent="0.25">
      <c r="A459" s="1">
        <v>45440</v>
      </c>
      <c r="B459" s="2">
        <v>9.77</v>
      </c>
    </row>
    <row r="460" spans="1:2" x14ac:dyDescent="0.25">
      <c r="A460" s="1">
        <v>45439</v>
      </c>
      <c r="B460" s="2">
        <v>9.7200000000000006</v>
      </c>
    </row>
    <row r="461" spans="1:2" x14ac:dyDescent="0.25">
      <c r="A461" s="1">
        <v>45436</v>
      </c>
      <c r="B461" s="2">
        <v>9.73</v>
      </c>
    </row>
    <row r="462" spans="1:2" x14ac:dyDescent="0.25">
      <c r="A462" s="1">
        <v>45435</v>
      </c>
      <c r="B462" s="2">
        <v>9.74</v>
      </c>
    </row>
    <row r="463" spans="1:2" x14ac:dyDescent="0.25">
      <c r="A463" s="1">
        <v>45434</v>
      </c>
      <c r="B463" s="2">
        <v>9.6999999999999993</v>
      </c>
    </row>
    <row r="464" spans="1:2" x14ac:dyDescent="0.25">
      <c r="A464" s="1">
        <v>45433</v>
      </c>
      <c r="B464" s="2">
        <v>9.67</v>
      </c>
    </row>
    <row r="465" spans="1:2" x14ac:dyDescent="0.25">
      <c r="A465" s="1">
        <v>45432</v>
      </c>
      <c r="B465" s="2">
        <v>9.69</v>
      </c>
    </row>
    <row r="466" spans="1:2" x14ac:dyDescent="0.25">
      <c r="A466" s="1">
        <v>45429</v>
      </c>
      <c r="B466" s="2">
        <v>9.66</v>
      </c>
    </row>
    <row r="467" spans="1:2" x14ac:dyDescent="0.25">
      <c r="A467" s="1">
        <v>45428</v>
      </c>
      <c r="B467" s="2">
        <v>9.64</v>
      </c>
    </row>
    <row r="468" spans="1:2" x14ac:dyDescent="0.25">
      <c r="A468" s="1">
        <v>45427</v>
      </c>
      <c r="B468" s="2">
        <v>9.6199999999999992</v>
      </c>
    </row>
    <row r="469" spans="1:2" x14ac:dyDescent="0.25">
      <c r="A469" s="1">
        <v>45426</v>
      </c>
      <c r="B469" s="2">
        <v>9.6999999999999993</v>
      </c>
    </row>
    <row r="470" spans="1:2" x14ac:dyDescent="0.25">
      <c r="A470" s="1">
        <v>45425</v>
      </c>
      <c r="B470" s="2">
        <v>9.73</v>
      </c>
    </row>
    <row r="471" spans="1:2" x14ac:dyDescent="0.25">
      <c r="A471" s="1">
        <v>45422</v>
      </c>
      <c r="B471" s="2">
        <v>9.7100000000000009</v>
      </c>
    </row>
    <row r="472" spans="1:2" x14ac:dyDescent="0.25">
      <c r="A472" s="1">
        <v>45421</v>
      </c>
      <c r="B472" s="2">
        <v>9.6199999999999992</v>
      </c>
    </row>
    <row r="473" spans="1:2" x14ac:dyDescent="0.25">
      <c r="A473" s="1">
        <v>45420</v>
      </c>
      <c r="B473" s="2">
        <v>9.6199999999999992</v>
      </c>
    </row>
    <row r="474" spans="1:2" x14ac:dyDescent="0.25">
      <c r="A474" s="1">
        <v>45419</v>
      </c>
      <c r="B474" s="2">
        <v>9.6</v>
      </c>
    </row>
    <row r="475" spans="1:2" x14ac:dyDescent="0.25">
      <c r="A475" s="1">
        <v>45418</v>
      </c>
      <c r="B475" s="2">
        <v>9.57</v>
      </c>
    </row>
    <row r="476" spans="1:2" x14ac:dyDescent="0.25">
      <c r="A476" s="1">
        <v>45415</v>
      </c>
      <c r="B476" s="2">
        <v>9.59</v>
      </c>
    </row>
    <row r="477" spans="1:2" x14ac:dyDescent="0.25">
      <c r="A477" s="1">
        <v>45414</v>
      </c>
      <c r="B477" s="2">
        <v>9.7799999999999994</v>
      </c>
    </row>
    <row r="478" spans="1:2" x14ac:dyDescent="0.25">
      <c r="A478" s="1">
        <v>45413</v>
      </c>
      <c r="B478" s="2">
        <v>9.9499999999999993</v>
      </c>
    </row>
    <row r="479" spans="1:2" x14ac:dyDescent="0.25">
      <c r="A479" s="1">
        <v>45412</v>
      </c>
      <c r="B479" s="2">
        <v>9.9499999999999993</v>
      </c>
    </row>
    <row r="480" spans="1:2" x14ac:dyDescent="0.25">
      <c r="A480" s="1">
        <v>45411</v>
      </c>
      <c r="B480" s="2">
        <v>9.9600000000000009</v>
      </c>
    </row>
    <row r="481" spans="1:2" x14ac:dyDescent="0.25">
      <c r="A481" s="1">
        <v>45408</v>
      </c>
      <c r="B481" s="2">
        <v>9.99</v>
      </c>
    </row>
    <row r="482" spans="1:2" x14ac:dyDescent="0.25">
      <c r="A482" s="1">
        <v>45407</v>
      </c>
      <c r="B482" s="2">
        <v>9.9600000000000009</v>
      </c>
    </row>
    <row r="483" spans="1:2" x14ac:dyDescent="0.25">
      <c r="A483" s="1">
        <v>45406</v>
      </c>
      <c r="B483" s="2">
        <v>9.93</v>
      </c>
    </row>
    <row r="484" spans="1:2" x14ac:dyDescent="0.25">
      <c r="A484" s="1">
        <v>45405</v>
      </c>
      <c r="B484" s="2">
        <v>9.8800000000000008</v>
      </c>
    </row>
    <row r="485" spans="1:2" x14ac:dyDescent="0.25">
      <c r="A485" s="1">
        <v>45404</v>
      </c>
      <c r="B485" s="2">
        <v>9.8800000000000008</v>
      </c>
    </row>
    <row r="486" spans="1:2" x14ac:dyDescent="0.25">
      <c r="A486" s="1">
        <v>45401</v>
      </c>
      <c r="B486" s="2">
        <v>9.85</v>
      </c>
    </row>
    <row r="487" spans="1:2" x14ac:dyDescent="0.25">
      <c r="A487" s="1">
        <v>45400</v>
      </c>
      <c r="B487" s="2">
        <v>9.94</v>
      </c>
    </row>
    <row r="488" spans="1:2" x14ac:dyDescent="0.25">
      <c r="A488" s="1">
        <v>45399</v>
      </c>
      <c r="B488" s="2">
        <v>9.9499999999999993</v>
      </c>
    </row>
    <row r="489" spans="1:2" x14ac:dyDescent="0.25">
      <c r="A489" s="1">
        <v>45398</v>
      </c>
      <c r="B489" s="2">
        <v>10.07</v>
      </c>
    </row>
    <row r="490" spans="1:2" x14ac:dyDescent="0.25">
      <c r="A490" s="1">
        <v>45397</v>
      </c>
      <c r="B490" s="2">
        <v>9.94</v>
      </c>
    </row>
    <row r="491" spans="1:2" x14ac:dyDescent="0.25">
      <c r="A491" s="1">
        <v>45394</v>
      </c>
      <c r="B491" s="2">
        <v>9.8000000000000007</v>
      </c>
    </row>
    <row r="492" spans="1:2" x14ac:dyDescent="0.25">
      <c r="A492" s="1">
        <v>45393</v>
      </c>
      <c r="B492" s="2">
        <v>9.82</v>
      </c>
    </row>
    <row r="493" spans="1:2" x14ac:dyDescent="0.25">
      <c r="A493" s="1">
        <v>45392</v>
      </c>
      <c r="B493" s="2">
        <v>9.82</v>
      </c>
    </row>
    <row r="494" spans="1:2" x14ac:dyDescent="0.25">
      <c r="A494" s="1">
        <v>45391</v>
      </c>
      <c r="B494" s="2">
        <v>9.59</v>
      </c>
    </row>
    <row r="495" spans="1:2" x14ac:dyDescent="0.25">
      <c r="A495" s="1">
        <v>45390</v>
      </c>
      <c r="B495" s="2">
        <v>9.6199999999999992</v>
      </c>
    </row>
    <row r="496" spans="1:2" x14ac:dyDescent="0.25">
      <c r="A496" s="1">
        <v>45387</v>
      </c>
      <c r="B496" s="2">
        <v>9.5399999999999991</v>
      </c>
    </row>
    <row r="497" spans="1:2" x14ac:dyDescent="0.25">
      <c r="A497" s="1">
        <v>45386</v>
      </c>
      <c r="B497" s="2">
        <v>9.4600000000000009</v>
      </c>
    </row>
    <row r="498" spans="1:2" x14ac:dyDescent="0.25">
      <c r="A498" s="1">
        <v>45385</v>
      </c>
      <c r="B498" s="2">
        <v>9.4700000000000006</v>
      </c>
    </row>
    <row r="499" spans="1:2" x14ac:dyDescent="0.25">
      <c r="A499" s="1">
        <v>45384</v>
      </c>
      <c r="B499" s="2">
        <v>9.4499999999999993</v>
      </c>
    </row>
    <row r="500" spans="1:2" x14ac:dyDescent="0.25">
      <c r="A500" s="1">
        <v>45383</v>
      </c>
      <c r="B500" s="2">
        <v>9.3699999999999992</v>
      </c>
    </row>
    <row r="501" spans="1:2" x14ac:dyDescent="0.25">
      <c r="A501" s="1">
        <v>45380</v>
      </c>
      <c r="B501" s="2">
        <v>9.27</v>
      </c>
    </row>
    <row r="502" spans="1:2" x14ac:dyDescent="0.25">
      <c r="A502" s="1">
        <v>45379</v>
      </c>
      <c r="B502" s="2">
        <v>9.27</v>
      </c>
    </row>
    <row r="503" spans="1:2" x14ac:dyDescent="0.25">
      <c r="A503" s="1">
        <v>45378</v>
      </c>
      <c r="B503" s="2">
        <v>9.27</v>
      </c>
    </row>
    <row r="504" spans="1:2" x14ac:dyDescent="0.25">
      <c r="A504" s="1">
        <v>45377</v>
      </c>
      <c r="B504" s="2">
        <v>9.32</v>
      </c>
    </row>
    <row r="505" spans="1:2" x14ac:dyDescent="0.25">
      <c r="A505" s="1">
        <v>45376</v>
      </c>
      <c r="B505" s="2">
        <v>9.33</v>
      </c>
    </row>
    <row r="506" spans="1:2" x14ac:dyDescent="0.25">
      <c r="A506" s="1">
        <v>45373</v>
      </c>
      <c r="B506" s="2">
        <v>9.25</v>
      </c>
    </row>
    <row r="507" spans="1:2" x14ac:dyDescent="0.25">
      <c r="A507" s="1">
        <v>45372</v>
      </c>
      <c r="B507" s="2">
        <v>9.2200000000000006</v>
      </c>
    </row>
    <row r="508" spans="1:2" x14ac:dyDescent="0.25">
      <c r="A508" s="1">
        <v>45371</v>
      </c>
      <c r="B508" s="2">
        <v>9.27</v>
      </c>
    </row>
    <row r="509" spans="1:2" x14ac:dyDescent="0.25">
      <c r="A509" s="1">
        <v>45370</v>
      </c>
      <c r="B509" s="2">
        <v>9.32</v>
      </c>
    </row>
    <row r="510" spans="1:2" x14ac:dyDescent="0.25">
      <c r="A510" s="1">
        <v>45369</v>
      </c>
      <c r="B510" s="2">
        <v>9.32</v>
      </c>
    </row>
    <row r="511" spans="1:2" x14ac:dyDescent="0.25">
      <c r="A511" s="1">
        <v>45366</v>
      </c>
      <c r="B511" s="2">
        <v>9.32</v>
      </c>
    </row>
    <row r="512" spans="1:2" x14ac:dyDescent="0.25">
      <c r="A512" s="1">
        <v>45365</v>
      </c>
      <c r="B512" s="2">
        <v>9.26</v>
      </c>
    </row>
    <row r="513" spans="1:2" x14ac:dyDescent="0.25">
      <c r="A513" s="1">
        <v>45364</v>
      </c>
      <c r="B513" s="2">
        <v>9.19</v>
      </c>
    </row>
    <row r="514" spans="1:2" x14ac:dyDescent="0.25">
      <c r="A514" s="1">
        <v>45363</v>
      </c>
      <c r="B514" s="2">
        <v>9.1999999999999993</v>
      </c>
    </row>
    <row r="515" spans="1:2" x14ac:dyDescent="0.25">
      <c r="A515" s="1">
        <v>45362</v>
      </c>
      <c r="B515" s="2">
        <v>9.1999999999999993</v>
      </c>
    </row>
    <row r="516" spans="1:2" x14ac:dyDescent="0.25">
      <c r="A516" s="1">
        <v>45359</v>
      </c>
      <c r="B516" s="2">
        <v>9.17</v>
      </c>
    </row>
    <row r="517" spans="1:2" x14ac:dyDescent="0.25">
      <c r="A517" s="1">
        <v>45358</v>
      </c>
      <c r="B517" s="2">
        <v>9.15</v>
      </c>
    </row>
    <row r="518" spans="1:2" x14ac:dyDescent="0.25">
      <c r="A518" s="1">
        <v>45357</v>
      </c>
      <c r="B518" s="2">
        <v>9.14</v>
      </c>
    </row>
    <row r="519" spans="1:2" x14ac:dyDescent="0.25">
      <c r="A519" s="1">
        <v>45356</v>
      </c>
      <c r="B519" s="2">
        <v>9.18</v>
      </c>
    </row>
    <row r="520" spans="1:2" x14ac:dyDescent="0.25">
      <c r="A520" s="1">
        <v>45355</v>
      </c>
      <c r="B520" s="2">
        <v>9.2100000000000009</v>
      </c>
    </row>
    <row r="521" spans="1:2" x14ac:dyDescent="0.25">
      <c r="A521" s="1">
        <v>45352</v>
      </c>
      <c r="B521" s="2">
        <v>9.17</v>
      </c>
    </row>
    <row r="522" spans="1:2" x14ac:dyDescent="0.25">
      <c r="A522" s="1">
        <v>45351</v>
      </c>
      <c r="B522" s="2">
        <v>9.15</v>
      </c>
    </row>
    <row r="523" spans="1:2" x14ac:dyDescent="0.25">
      <c r="A523" s="1">
        <v>45350</v>
      </c>
      <c r="B523" s="2">
        <v>9.2100000000000009</v>
      </c>
    </row>
    <row r="524" spans="1:2" x14ac:dyDescent="0.25">
      <c r="A524" s="1">
        <v>45349</v>
      </c>
      <c r="B524" s="2">
        <v>9.26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DE4AB-5DF3-427C-B31B-915EEF380461}">
  <dimension ref="A1:S525"/>
  <sheetViews>
    <sheetView tabSelected="1" topLeftCell="B1" workbookViewId="0">
      <selection activeCell="P10" sqref="P10"/>
    </sheetView>
  </sheetViews>
  <sheetFormatPr baseColWidth="10" defaultRowHeight="15" x14ac:dyDescent="0.25"/>
  <cols>
    <col min="12" max="12" width="16.28515625" bestFit="1" customWidth="1"/>
    <col min="13" max="13" width="12.5703125" bestFit="1" customWidth="1"/>
    <col min="17" max="17" width="14.140625" bestFit="1" customWidth="1"/>
  </cols>
  <sheetData>
    <row r="1" spans="1:19" x14ac:dyDescent="0.25">
      <c r="B1" t="s">
        <v>0</v>
      </c>
      <c r="C1" t="s">
        <v>1</v>
      </c>
      <c r="F1" t="s">
        <v>2</v>
      </c>
      <c r="G1" t="s">
        <v>3</v>
      </c>
      <c r="H1" t="s">
        <v>4</v>
      </c>
    </row>
    <row r="2" spans="1:19" x14ac:dyDescent="0.25">
      <c r="A2" s="1">
        <v>46080</v>
      </c>
      <c r="B2" s="2">
        <v>7.15</v>
      </c>
      <c r="C2" s="2">
        <v>8.66</v>
      </c>
      <c r="D2">
        <f>(B2-B3)*100</f>
        <v>1.0000000000000675</v>
      </c>
      <c r="E2">
        <f>(C2-C3)*100</f>
        <v>1.9999999999999574</v>
      </c>
      <c r="F2">
        <f>-D2*$R$3</f>
        <v>-62429.893899989183</v>
      </c>
      <c r="G2">
        <f>-E2*$R$4</f>
        <v>134067.19079999629</v>
      </c>
      <c r="H2">
        <f>F2+G2</f>
        <v>71637.296900007103</v>
      </c>
      <c r="L2" t="s">
        <v>7</v>
      </c>
      <c r="M2" t="s">
        <v>11</v>
      </c>
      <c r="N2" t="s">
        <v>8</v>
      </c>
      <c r="O2" t="s">
        <v>9</v>
      </c>
      <c r="P2" t="s">
        <v>13</v>
      </c>
      <c r="Q2" t="s">
        <v>10</v>
      </c>
      <c r="R2" t="s">
        <v>14</v>
      </c>
      <c r="S2" t="s">
        <v>12</v>
      </c>
    </row>
    <row r="3" spans="1:19" x14ac:dyDescent="0.25">
      <c r="A3" s="1">
        <v>46079</v>
      </c>
      <c r="B3" s="2">
        <v>7.14</v>
      </c>
      <c r="C3" s="2">
        <v>8.64</v>
      </c>
      <c r="D3">
        <f t="shared" ref="D3:D66" si="0">(B3-B4)*100</f>
        <v>-5.0000000000000711</v>
      </c>
      <c r="E3">
        <f t="shared" ref="E3:E66" si="1">(C3-C4)*100</f>
        <v>-0.99999999999997868</v>
      </c>
      <c r="F3">
        <f t="shared" ref="F3:F66" si="2">-D3*$R$3</f>
        <v>312149.46949992928</v>
      </c>
      <c r="G3">
        <f t="shared" ref="G3:G66" si="3">-E3*$R$4</f>
        <v>-67033.595399998143</v>
      </c>
      <c r="H3">
        <f t="shared" ref="H3:H66" si="4">F3+G3</f>
        <v>245115.87409993116</v>
      </c>
      <c r="J3" s="5">
        <v>46814</v>
      </c>
      <c r="K3" t="s">
        <v>5</v>
      </c>
      <c r="L3" s="3">
        <v>342000000</v>
      </c>
      <c r="M3" s="6">
        <v>7.1599999999999997E-2</v>
      </c>
      <c r="N3" s="7">
        <v>102.4413</v>
      </c>
      <c r="O3" s="7">
        <v>102.46</v>
      </c>
      <c r="P3">
        <f>O3-N3</f>
        <v>1.8699999999995498E-2</v>
      </c>
      <c r="Q3">
        <f>ROUNDDOWN(L3/N3,0)</f>
        <v>3338497</v>
      </c>
      <c r="R3">
        <f>Q3*P3</f>
        <v>62429.893899984971</v>
      </c>
      <c r="S3" s="6">
        <v>8.5000000000000006E-2</v>
      </c>
    </row>
    <row r="4" spans="1:19" x14ac:dyDescent="0.25">
      <c r="A4" s="1">
        <v>46078</v>
      </c>
      <c r="B4" s="2">
        <v>7.19</v>
      </c>
      <c r="C4" s="2">
        <v>8.65</v>
      </c>
      <c r="D4">
        <f t="shared" si="0"/>
        <v>1.0000000000000675</v>
      </c>
      <c r="E4">
        <f t="shared" si="1"/>
        <v>-8.0000000000000071</v>
      </c>
      <c r="F4">
        <f t="shared" si="2"/>
        <v>-62429.893899989183</v>
      </c>
      <c r="G4">
        <f t="shared" si="3"/>
        <v>-536268.76319999702</v>
      </c>
      <c r="H4">
        <f t="shared" si="4"/>
        <v>-598698.65709998622</v>
      </c>
      <c r="J4" s="5">
        <v>49726</v>
      </c>
      <c r="K4" t="s">
        <v>6</v>
      </c>
      <c r="L4" s="3">
        <v>-100000000</v>
      </c>
      <c r="M4" s="6">
        <v>8.6400000000000005E-2</v>
      </c>
      <c r="N4" s="7">
        <v>95.772800000000004</v>
      </c>
      <c r="O4" s="7">
        <v>95.837000000000003</v>
      </c>
      <c r="P4">
        <f>O4-N4</f>
        <v>6.4199999999999591E-2</v>
      </c>
      <c r="Q4">
        <f>ROUNDDOWN(L4/N4,0)</f>
        <v>-1044137</v>
      </c>
      <c r="R4">
        <f>Q4*P4</f>
        <v>-67033.595399999569</v>
      </c>
      <c r="S4" s="6">
        <v>0.08</v>
      </c>
    </row>
    <row r="5" spans="1:19" x14ac:dyDescent="0.25">
      <c r="A5" s="1">
        <v>46077</v>
      </c>
      <c r="B5" s="2">
        <v>7.18</v>
      </c>
      <c r="C5" s="2">
        <v>8.73</v>
      </c>
      <c r="D5">
        <f t="shared" si="0"/>
        <v>-2.0000000000000462</v>
      </c>
      <c r="E5">
        <f t="shared" si="1"/>
        <v>-4.9999999999998934</v>
      </c>
      <c r="F5">
        <f t="shared" si="2"/>
        <v>124859.78779997282</v>
      </c>
      <c r="G5">
        <f t="shared" si="3"/>
        <v>-335167.9769999907</v>
      </c>
      <c r="H5">
        <f t="shared" si="4"/>
        <v>-210308.18920001789</v>
      </c>
      <c r="L5" s="4">
        <f>L3-L4</f>
        <v>442000000</v>
      </c>
    </row>
    <row r="6" spans="1:19" x14ac:dyDescent="0.25">
      <c r="A6" s="1">
        <v>46076</v>
      </c>
      <c r="B6" s="2">
        <v>7.2</v>
      </c>
      <c r="C6" s="2">
        <v>8.7799999999999994</v>
      </c>
      <c r="D6">
        <f t="shared" si="0"/>
        <v>-3.0000000000000249</v>
      </c>
      <c r="E6">
        <f t="shared" si="1"/>
        <v>-6.0000000000000497</v>
      </c>
      <c r="F6">
        <f t="shared" si="2"/>
        <v>187289.68169995648</v>
      </c>
      <c r="G6">
        <f t="shared" si="3"/>
        <v>-402201.57240000076</v>
      </c>
      <c r="H6">
        <f t="shared" si="4"/>
        <v>-214911.89070004429</v>
      </c>
    </row>
    <row r="7" spans="1:19" x14ac:dyDescent="0.25">
      <c r="A7" s="1">
        <v>46073</v>
      </c>
      <c r="B7" s="2">
        <v>7.23</v>
      </c>
      <c r="C7" s="2">
        <v>8.84</v>
      </c>
      <c r="D7">
        <f t="shared" si="0"/>
        <v>-2.9999999999999361</v>
      </c>
      <c r="E7">
        <f t="shared" si="1"/>
        <v>9.9999999999999645</v>
      </c>
      <c r="F7">
        <f t="shared" si="2"/>
        <v>187289.68169995092</v>
      </c>
      <c r="G7">
        <f t="shared" si="3"/>
        <v>670335.95399999327</v>
      </c>
      <c r="H7">
        <f t="shared" si="4"/>
        <v>857625.63569994422</v>
      </c>
      <c r="L7" t="s">
        <v>15</v>
      </c>
      <c r="M7" s="3">
        <f>PERCENTILE(H2:H524,0.05)</f>
        <v>-468314.42749999656</v>
      </c>
    </row>
    <row r="8" spans="1:19" x14ac:dyDescent="0.25">
      <c r="A8" s="1">
        <v>46072</v>
      </c>
      <c r="B8" s="2">
        <v>7.26</v>
      </c>
      <c r="C8" s="2">
        <v>8.74</v>
      </c>
      <c r="D8">
        <f t="shared" si="0"/>
        <v>2.9999999999999361</v>
      </c>
      <c r="E8">
        <f t="shared" si="1"/>
        <v>0.99999999999997868</v>
      </c>
      <c r="F8">
        <f t="shared" si="2"/>
        <v>-187289.68169995092</v>
      </c>
      <c r="G8">
        <f t="shared" si="3"/>
        <v>67033.595399998143</v>
      </c>
      <c r="H8">
        <f t="shared" si="4"/>
        <v>-120256.08629995277</v>
      </c>
    </row>
    <row r="9" spans="1:19" x14ac:dyDescent="0.25">
      <c r="A9" s="1">
        <v>46071</v>
      </c>
      <c r="B9" s="2">
        <v>7.23</v>
      </c>
      <c r="C9" s="2">
        <v>8.73</v>
      </c>
      <c r="D9">
        <f t="shared" si="0"/>
        <v>-3.9999999999999147</v>
      </c>
      <c r="E9">
        <f t="shared" si="1"/>
        <v>0</v>
      </c>
      <c r="F9">
        <f t="shared" si="2"/>
        <v>249719.57559993456</v>
      </c>
      <c r="G9">
        <f t="shared" si="3"/>
        <v>0</v>
      </c>
      <c r="H9">
        <f t="shared" si="4"/>
        <v>249719.57559993456</v>
      </c>
    </row>
    <row r="10" spans="1:19" x14ac:dyDescent="0.25">
      <c r="A10" s="1">
        <v>46070</v>
      </c>
      <c r="B10" s="2">
        <v>7.27</v>
      </c>
      <c r="C10" s="2">
        <v>8.73</v>
      </c>
      <c r="D10">
        <f t="shared" si="0"/>
        <v>-6.0000000000000497</v>
      </c>
      <c r="E10">
        <f t="shared" si="1"/>
        <v>-1.9999999999999574</v>
      </c>
      <c r="F10">
        <f t="shared" si="2"/>
        <v>374579.36339991295</v>
      </c>
      <c r="G10">
        <f t="shared" si="3"/>
        <v>-134067.19079999629</v>
      </c>
      <c r="H10">
        <f t="shared" si="4"/>
        <v>240512.17259991667</v>
      </c>
    </row>
    <row r="11" spans="1:19" x14ac:dyDescent="0.25">
      <c r="A11" s="1">
        <v>46069</v>
      </c>
      <c r="B11" s="2">
        <v>7.33</v>
      </c>
      <c r="C11" s="2">
        <v>8.75</v>
      </c>
      <c r="D11">
        <f t="shared" si="0"/>
        <v>4.9999999999999822</v>
      </c>
      <c r="E11">
        <f t="shared" si="1"/>
        <v>6.0000000000000497</v>
      </c>
      <c r="F11">
        <f t="shared" si="2"/>
        <v>-312149.46949992375</v>
      </c>
      <c r="G11">
        <f t="shared" si="3"/>
        <v>402201.57240000076</v>
      </c>
      <c r="H11">
        <f t="shared" si="4"/>
        <v>90052.102900077007</v>
      </c>
    </row>
    <row r="12" spans="1:19" x14ac:dyDescent="0.25">
      <c r="A12" s="1">
        <v>46066</v>
      </c>
      <c r="B12" s="2">
        <v>7.28</v>
      </c>
      <c r="C12" s="2">
        <v>8.69</v>
      </c>
      <c r="D12">
        <f t="shared" si="0"/>
        <v>1.0000000000000675</v>
      </c>
      <c r="E12">
        <f t="shared" si="1"/>
        <v>0.99999999999997868</v>
      </c>
      <c r="F12">
        <f t="shared" si="2"/>
        <v>-62429.893899989183</v>
      </c>
      <c r="G12">
        <f t="shared" si="3"/>
        <v>67033.595399998143</v>
      </c>
      <c r="H12">
        <f t="shared" si="4"/>
        <v>4603.7015000089596</v>
      </c>
    </row>
    <row r="13" spans="1:19" x14ac:dyDescent="0.25">
      <c r="A13" s="1">
        <v>46065</v>
      </c>
      <c r="B13" s="2">
        <v>7.27</v>
      </c>
      <c r="C13" s="2">
        <v>8.68</v>
      </c>
      <c r="D13">
        <f t="shared" si="0"/>
        <v>-1.0000000000000675</v>
      </c>
      <c r="E13">
        <f t="shared" si="1"/>
        <v>-4.0000000000000924</v>
      </c>
      <c r="F13">
        <f t="shared" si="2"/>
        <v>62429.893899989183</v>
      </c>
      <c r="G13">
        <f t="shared" si="3"/>
        <v>-268134.38160000445</v>
      </c>
      <c r="H13">
        <f t="shared" si="4"/>
        <v>-205704.48770001525</v>
      </c>
    </row>
    <row r="14" spans="1:19" x14ac:dyDescent="0.25">
      <c r="A14" s="1">
        <v>46064</v>
      </c>
      <c r="B14" s="2">
        <v>7.28</v>
      </c>
      <c r="C14" s="2">
        <v>8.7200000000000006</v>
      </c>
      <c r="D14">
        <f t="shared" si="0"/>
        <v>-4.0000000000000036</v>
      </c>
      <c r="E14">
        <f t="shared" si="1"/>
        <v>0.99999999999997868</v>
      </c>
      <c r="F14">
        <f t="shared" si="2"/>
        <v>249719.57559994012</v>
      </c>
      <c r="G14">
        <f t="shared" si="3"/>
        <v>67033.595399998143</v>
      </c>
      <c r="H14">
        <f t="shared" si="4"/>
        <v>316753.17099993827</v>
      </c>
    </row>
    <row r="15" spans="1:19" x14ac:dyDescent="0.25">
      <c r="A15" s="1">
        <v>46063</v>
      </c>
      <c r="B15" s="2">
        <v>7.32</v>
      </c>
      <c r="C15" s="2">
        <v>8.7100000000000009</v>
      </c>
      <c r="D15">
        <f t="shared" si="0"/>
        <v>-5.9999999999999609</v>
      </c>
      <c r="E15">
        <f t="shared" si="1"/>
        <v>-7.9999999999998295</v>
      </c>
      <c r="F15">
        <f t="shared" si="2"/>
        <v>374579.36339990736</v>
      </c>
      <c r="G15">
        <f t="shared" si="3"/>
        <v>-536268.76319998514</v>
      </c>
      <c r="H15">
        <f t="shared" si="4"/>
        <v>-161689.39980007778</v>
      </c>
    </row>
    <row r="16" spans="1:19" x14ac:dyDescent="0.25">
      <c r="A16" s="1">
        <v>46062</v>
      </c>
      <c r="B16" s="2">
        <v>7.38</v>
      </c>
      <c r="C16" s="2">
        <v>8.7899999999999991</v>
      </c>
      <c r="D16">
        <f t="shared" si="0"/>
        <v>1.9999999999999574</v>
      </c>
      <c r="E16">
        <f t="shared" si="1"/>
        <v>0.99999999999997868</v>
      </c>
      <c r="F16">
        <f t="shared" si="2"/>
        <v>-124859.78779996728</v>
      </c>
      <c r="G16">
        <f t="shared" si="3"/>
        <v>67033.595399998143</v>
      </c>
      <c r="H16">
        <f t="shared" si="4"/>
        <v>-57826.192399969135</v>
      </c>
    </row>
    <row r="17" spans="1:8" x14ac:dyDescent="0.25">
      <c r="A17" s="1">
        <v>46059</v>
      </c>
      <c r="B17" s="2">
        <v>7.36</v>
      </c>
      <c r="C17" s="2">
        <v>8.7799999999999994</v>
      </c>
      <c r="D17">
        <f t="shared" si="0"/>
        <v>-9.9999999999999645</v>
      </c>
      <c r="E17">
        <f t="shared" si="1"/>
        <v>-4.0000000000000924</v>
      </c>
      <c r="F17">
        <f t="shared" si="2"/>
        <v>624298.93899984751</v>
      </c>
      <c r="G17">
        <f t="shared" si="3"/>
        <v>-268134.38160000445</v>
      </c>
      <c r="H17">
        <f t="shared" si="4"/>
        <v>356164.55739984306</v>
      </c>
    </row>
    <row r="18" spans="1:8" x14ac:dyDescent="0.25">
      <c r="A18" s="1">
        <v>46058</v>
      </c>
      <c r="B18" s="2">
        <v>7.46</v>
      </c>
      <c r="C18" s="2">
        <v>8.82</v>
      </c>
      <c r="D18">
        <f t="shared" si="0"/>
        <v>-4.9999999999999822</v>
      </c>
      <c r="E18">
        <f t="shared" si="1"/>
        <v>-8.9999999999999858</v>
      </c>
      <c r="F18">
        <f t="shared" si="2"/>
        <v>312149.46949992375</v>
      </c>
      <c r="G18">
        <f t="shared" si="3"/>
        <v>-603302.35859999515</v>
      </c>
      <c r="H18">
        <f t="shared" si="4"/>
        <v>-291152.88910007139</v>
      </c>
    </row>
    <row r="19" spans="1:8" x14ac:dyDescent="0.25">
      <c r="A19" s="1">
        <v>46057</v>
      </c>
      <c r="B19" s="2">
        <v>7.51</v>
      </c>
      <c r="C19" s="2">
        <v>8.91</v>
      </c>
      <c r="D19">
        <f t="shared" si="0"/>
        <v>-2.0000000000000462</v>
      </c>
      <c r="E19">
        <f t="shared" si="1"/>
        <v>4.0000000000000924</v>
      </c>
      <c r="F19">
        <f t="shared" si="2"/>
        <v>124859.78779997282</v>
      </c>
      <c r="G19">
        <f t="shared" si="3"/>
        <v>268134.38160000445</v>
      </c>
      <c r="H19">
        <f t="shared" si="4"/>
        <v>392994.16939997725</v>
      </c>
    </row>
    <row r="20" spans="1:8" x14ac:dyDescent="0.25">
      <c r="A20" s="1">
        <v>46056</v>
      </c>
      <c r="B20" s="2">
        <v>7.53</v>
      </c>
      <c r="C20" s="2">
        <v>8.8699999999999992</v>
      </c>
      <c r="D20">
        <f t="shared" si="0"/>
        <v>1.0000000000000675</v>
      </c>
      <c r="E20">
        <f t="shared" si="1"/>
        <v>0.99999999999997868</v>
      </c>
      <c r="F20">
        <f t="shared" si="2"/>
        <v>-62429.893899989183</v>
      </c>
      <c r="G20">
        <f t="shared" si="3"/>
        <v>67033.595399998143</v>
      </c>
      <c r="H20">
        <f t="shared" si="4"/>
        <v>4603.7015000089596</v>
      </c>
    </row>
    <row r="21" spans="1:8" x14ac:dyDescent="0.25">
      <c r="A21" s="1">
        <v>46055</v>
      </c>
      <c r="B21" s="2">
        <v>7.52</v>
      </c>
      <c r="C21" s="2">
        <v>8.86</v>
      </c>
      <c r="D21">
        <f t="shared" si="0"/>
        <v>0</v>
      </c>
      <c r="E21">
        <f t="shared" si="1"/>
        <v>0</v>
      </c>
      <c r="F21">
        <f t="shared" si="2"/>
        <v>0</v>
      </c>
      <c r="G21">
        <f t="shared" si="3"/>
        <v>0</v>
      </c>
      <c r="H21">
        <f t="shared" si="4"/>
        <v>0</v>
      </c>
    </row>
    <row r="22" spans="1:8" x14ac:dyDescent="0.25">
      <c r="A22" s="1">
        <v>46052</v>
      </c>
      <c r="B22" s="2">
        <v>7.52</v>
      </c>
      <c r="C22" s="2">
        <v>8.86</v>
      </c>
      <c r="D22">
        <f t="shared" si="0"/>
        <v>-1.0000000000000675</v>
      </c>
      <c r="E22">
        <f t="shared" si="1"/>
        <v>3.9999999999999147</v>
      </c>
      <c r="F22">
        <f t="shared" si="2"/>
        <v>62429.893899989183</v>
      </c>
      <c r="G22">
        <f t="shared" si="3"/>
        <v>268134.38159999257</v>
      </c>
      <c r="H22">
        <f t="shared" si="4"/>
        <v>330564.27549998177</v>
      </c>
    </row>
    <row r="23" spans="1:8" x14ac:dyDescent="0.25">
      <c r="A23" s="1">
        <v>46051</v>
      </c>
      <c r="B23" s="2">
        <v>7.53</v>
      </c>
      <c r="C23" s="2">
        <v>8.82</v>
      </c>
      <c r="D23">
        <f t="shared" si="0"/>
        <v>0</v>
      </c>
      <c r="E23">
        <f t="shared" si="1"/>
        <v>-8.0000000000000071</v>
      </c>
      <c r="F23">
        <f t="shared" si="2"/>
        <v>0</v>
      </c>
      <c r="G23">
        <f t="shared" si="3"/>
        <v>-536268.76319999702</v>
      </c>
      <c r="H23">
        <f t="shared" si="4"/>
        <v>-536268.76319999702</v>
      </c>
    </row>
    <row r="24" spans="1:8" x14ac:dyDescent="0.25">
      <c r="A24" s="1">
        <v>46050</v>
      </c>
      <c r="B24" s="2">
        <v>7.53</v>
      </c>
      <c r="C24" s="2">
        <v>8.9</v>
      </c>
      <c r="D24">
        <f t="shared" si="0"/>
        <v>-4.9999999999999822</v>
      </c>
      <c r="E24">
        <f t="shared" si="1"/>
        <v>-1.9999999999999574</v>
      </c>
      <c r="F24">
        <f t="shared" si="2"/>
        <v>312149.46949992375</v>
      </c>
      <c r="G24">
        <f t="shared" si="3"/>
        <v>-134067.19079999629</v>
      </c>
      <c r="H24">
        <f t="shared" si="4"/>
        <v>178082.27869992747</v>
      </c>
    </row>
    <row r="25" spans="1:8" x14ac:dyDescent="0.25">
      <c r="A25" s="1">
        <v>46049</v>
      </c>
      <c r="B25" s="2">
        <v>7.58</v>
      </c>
      <c r="C25" s="2">
        <v>8.92</v>
      </c>
      <c r="D25">
        <f t="shared" si="0"/>
        <v>-4.9999999999999822</v>
      </c>
      <c r="E25">
        <f t="shared" si="1"/>
        <v>-5.0000000000000711</v>
      </c>
      <c r="F25">
        <f t="shared" si="2"/>
        <v>312149.46949992375</v>
      </c>
      <c r="G25">
        <f t="shared" si="3"/>
        <v>-335167.97700000263</v>
      </c>
      <c r="H25">
        <f t="shared" si="4"/>
        <v>-23018.507500078878</v>
      </c>
    </row>
    <row r="26" spans="1:8" x14ac:dyDescent="0.25">
      <c r="A26" s="1">
        <v>46048</v>
      </c>
      <c r="B26" s="2">
        <v>7.63</v>
      </c>
      <c r="C26" s="2">
        <v>8.9700000000000006</v>
      </c>
      <c r="D26">
        <f t="shared" si="0"/>
        <v>0.99999999999997868</v>
      </c>
      <c r="E26">
        <f t="shared" si="1"/>
        <v>3.0000000000001137</v>
      </c>
      <c r="F26">
        <f t="shared" si="2"/>
        <v>-62429.893899983639</v>
      </c>
      <c r="G26">
        <f t="shared" si="3"/>
        <v>201100.78620000632</v>
      </c>
      <c r="H26">
        <f t="shared" si="4"/>
        <v>138670.89230002268</v>
      </c>
    </row>
    <row r="27" spans="1:8" x14ac:dyDescent="0.25">
      <c r="A27" s="1">
        <v>46045</v>
      </c>
      <c r="B27" s="2">
        <v>7.62</v>
      </c>
      <c r="C27" s="2">
        <v>8.94</v>
      </c>
      <c r="D27">
        <f t="shared" si="0"/>
        <v>-5.9999999999999609</v>
      </c>
      <c r="E27">
        <f t="shared" si="1"/>
        <v>-3.0000000000001137</v>
      </c>
      <c r="F27">
        <f t="shared" si="2"/>
        <v>374579.36339990736</v>
      </c>
      <c r="G27">
        <f t="shared" si="3"/>
        <v>-201100.78620000632</v>
      </c>
      <c r="H27">
        <f t="shared" si="4"/>
        <v>173478.57719990105</v>
      </c>
    </row>
    <row r="28" spans="1:8" x14ac:dyDescent="0.25">
      <c r="A28" s="1">
        <v>46044</v>
      </c>
      <c r="B28" s="2">
        <v>7.68</v>
      </c>
      <c r="C28" s="2">
        <v>8.9700000000000006</v>
      </c>
      <c r="D28">
        <f t="shared" si="0"/>
        <v>-7.0000000000000284</v>
      </c>
      <c r="E28">
        <f t="shared" si="1"/>
        <v>-10.999999999999943</v>
      </c>
      <c r="F28">
        <f t="shared" si="2"/>
        <v>437009.25729989656</v>
      </c>
      <c r="G28">
        <f t="shared" si="3"/>
        <v>-737369.5493999914</v>
      </c>
      <c r="H28">
        <f t="shared" si="4"/>
        <v>-300360.29210009484</v>
      </c>
    </row>
    <row r="29" spans="1:8" x14ac:dyDescent="0.25">
      <c r="A29" s="1">
        <v>46043</v>
      </c>
      <c r="B29" s="2">
        <v>7.75</v>
      </c>
      <c r="C29" s="2">
        <v>9.08</v>
      </c>
      <c r="D29">
        <f t="shared" si="0"/>
        <v>-8.0000000000000071</v>
      </c>
      <c r="E29">
        <f t="shared" si="1"/>
        <v>-13.000000000000078</v>
      </c>
      <c r="F29">
        <f t="shared" si="2"/>
        <v>499439.15119988023</v>
      </c>
      <c r="G29">
        <f t="shared" si="3"/>
        <v>-871436.74019999965</v>
      </c>
      <c r="H29">
        <f t="shared" si="4"/>
        <v>-371997.58900011942</v>
      </c>
    </row>
    <row r="30" spans="1:8" x14ac:dyDescent="0.25">
      <c r="A30" s="1">
        <v>46042</v>
      </c>
      <c r="B30" s="2">
        <v>7.83</v>
      </c>
      <c r="C30" s="2">
        <v>9.2100000000000009</v>
      </c>
      <c r="D30">
        <f t="shared" si="0"/>
        <v>8.0000000000000071</v>
      </c>
      <c r="E30">
        <f t="shared" si="1"/>
        <v>12.000000000000099</v>
      </c>
      <c r="F30">
        <f t="shared" si="2"/>
        <v>-499439.15119988023</v>
      </c>
      <c r="G30">
        <f t="shared" si="3"/>
        <v>804403.14480000152</v>
      </c>
      <c r="H30">
        <f t="shared" si="4"/>
        <v>304963.99360012129</v>
      </c>
    </row>
    <row r="31" spans="1:8" x14ac:dyDescent="0.25">
      <c r="A31" s="1">
        <v>46041</v>
      </c>
      <c r="B31" s="2">
        <v>7.75</v>
      </c>
      <c r="C31" s="2">
        <v>9.09</v>
      </c>
      <c r="D31">
        <f t="shared" si="0"/>
        <v>0</v>
      </c>
      <c r="E31">
        <f t="shared" si="1"/>
        <v>-0.99999999999997868</v>
      </c>
      <c r="F31">
        <f t="shared" si="2"/>
        <v>0</v>
      </c>
      <c r="G31">
        <f t="shared" si="3"/>
        <v>-67033.595399998143</v>
      </c>
      <c r="H31">
        <f t="shared" si="4"/>
        <v>-67033.595399998143</v>
      </c>
    </row>
    <row r="32" spans="1:8" x14ac:dyDescent="0.25">
      <c r="A32" s="1">
        <v>46038</v>
      </c>
      <c r="B32" s="2">
        <v>7.75</v>
      </c>
      <c r="C32" s="2">
        <v>9.1</v>
      </c>
      <c r="D32">
        <f t="shared" si="0"/>
        <v>8.0000000000000071</v>
      </c>
      <c r="E32">
        <f t="shared" si="1"/>
        <v>8.9999999999999858</v>
      </c>
      <c r="F32">
        <f t="shared" si="2"/>
        <v>-499439.15119988023</v>
      </c>
      <c r="G32">
        <f t="shared" si="3"/>
        <v>603302.35859999515</v>
      </c>
      <c r="H32">
        <f t="shared" si="4"/>
        <v>103863.20740011492</v>
      </c>
    </row>
    <row r="33" spans="1:8" x14ac:dyDescent="0.25">
      <c r="A33" s="1">
        <v>46037</v>
      </c>
      <c r="B33" s="2">
        <v>7.67</v>
      </c>
      <c r="C33" s="2">
        <v>9.01</v>
      </c>
      <c r="D33">
        <f t="shared" si="0"/>
        <v>0.99999999999997868</v>
      </c>
      <c r="E33">
        <f t="shared" si="1"/>
        <v>3.9999999999999147</v>
      </c>
      <c r="F33">
        <f t="shared" si="2"/>
        <v>-62429.893899983639</v>
      </c>
      <c r="G33">
        <f t="shared" si="3"/>
        <v>268134.38159999257</v>
      </c>
      <c r="H33">
        <f t="shared" si="4"/>
        <v>205704.48770000893</v>
      </c>
    </row>
    <row r="34" spans="1:8" x14ac:dyDescent="0.25">
      <c r="A34" s="1">
        <v>46036</v>
      </c>
      <c r="B34" s="2">
        <v>7.66</v>
      </c>
      <c r="C34" s="2">
        <v>8.9700000000000006</v>
      </c>
      <c r="D34">
        <f t="shared" si="0"/>
        <v>-3.0000000000000249</v>
      </c>
      <c r="E34">
        <f t="shared" si="1"/>
        <v>-0.99999999999997868</v>
      </c>
      <c r="F34">
        <f t="shared" si="2"/>
        <v>187289.68169995648</v>
      </c>
      <c r="G34">
        <f t="shared" si="3"/>
        <v>-67033.595399998143</v>
      </c>
      <c r="H34">
        <f t="shared" si="4"/>
        <v>120256.08629995833</v>
      </c>
    </row>
    <row r="35" spans="1:8" x14ac:dyDescent="0.25">
      <c r="A35" s="1">
        <v>46035</v>
      </c>
      <c r="B35" s="2">
        <v>7.69</v>
      </c>
      <c r="C35" s="2">
        <v>8.98</v>
      </c>
      <c r="D35">
        <f t="shared" si="0"/>
        <v>-1.9999999999999574</v>
      </c>
      <c r="E35">
        <f t="shared" si="1"/>
        <v>0.99999999999997868</v>
      </c>
      <c r="F35">
        <f t="shared" si="2"/>
        <v>124859.78779996728</v>
      </c>
      <c r="G35">
        <f t="shared" si="3"/>
        <v>67033.595399998143</v>
      </c>
      <c r="H35">
        <f t="shared" si="4"/>
        <v>191893.38319996541</v>
      </c>
    </row>
    <row r="36" spans="1:8" x14ac:dyDescent="0.25">
      <c r="A36" s="1">
        <v>46034</v>
      </c>
      <c r="B36" s="2">
        <v>7.71</v>
      </c>
      <c r="C36" s="2">
        <v>8.9700000000000006</v>
      </c>
      <c r="D36">
        <f t="shared" si="0"/>
        <v>-2.0000000000000462</v>
      </c>
      <c r="E36">
        <f t="shared" si="1"/>
        <v>0</v>
      </c>
      <c r="F36">
        <f t="shared" si="2"/>
        <v>124859.78779997282</v>
      </c>
      <c r="G36">
        <f t="shared" si="3"/>
        <v>0</v>
      </c>
      <c r="H36">
        <f t="shared" si="4"/>
        <v>124859.78779997282</v>
      </c>
    </row>
    <row r="37" spans="1:8" x14ac:dyDescent="0.25">
      <c r="A37" s="1">
        <v>46031</v>
      </c>
      <c r="B37" s="2">
        <v>7.73</v>
      </c>
      <c r="C37" s="2">
        <v>8.9700000000000006</v>
      </c>
      <c r="D37">
        <f t="shared" si="0"/>
        <v>0</v>
      </c>
      <c r="E37">
        <f t="shared" si="1"/>
        <v>6.0000000000000497</v>
      </c>
      <c r="F37">
        <f t="shared" si="2"/>
        <v>0</v>
      </c>
      <c r="G37">
        <f t="shared" si="3"/>
        <v>402201.57240000076</v>
      </c>
      <c r="H37">
        <f t="shared" si="4"/>
        <v>402201.57240000076</v>
      </c>
    </row>
    <row r="38" spans="1:8" x14ac:dyDescent="0.25">
      <c r="A38" s="1">
        <v>46030</v>
      </c>
      <c r="B38" s="2">
        <v>7.73</v>
      </c>
      <c r="C38" s="2">
        <v>8.91</v>
      </c>
      <c r="D38">
        <f t="shared" si="0"/>
        <v>3.0000000000000249</v>
      </c>
      <c r="E38">
        <f t="shared" si="1"/>
        <v>4.0000000000000924</v>
      </c>
      <c r="F38">
        <f t="shared" si="2"/>
        <v>-187289.68169995648</v>
      </c>
      <c r="G38">
        <f t="shared" si="3"/>
        <v>268134.38160000445</v>
      </c>
      <c r="H38">
        <f t="shared" si="4"/>
        <v>80844.69990004797</v>
      </c>
    </row>
    <row r="39" spans="1:8" x14ac:dyDescent="0.25">
      <c r="A39" s="1">
        <v>46029</v>
      </c>
      <c r="B39" s="2">
        <v>7.7</v>
      </c>
      <c r="C39" s="2">
        <v>8.8699999999999992</v>
      </c>
      <c r="D39">
        <f t="shared" si="0"/>
        <v>2.0000000000000462</v>
      </c>
      <c r="E39">
        <f t="shared" si="1"/>
        <v>-5.0000000000000711</v>
      </c>
      <c r="F39">
        <f t="shared" si="2"/>
        <v>-124859.78779997282</v>
      </c>
      <c r="G39">
        <f t="shared" si="3"/>
        <v>-335167.97700000263</v>
      </c>
      <c r="H39">
        <f t="shared" si="4"/>
        <v>-460027.76479997544</v>
      </c>
    </row>
    <row r="40" spans="1:8" x14ac:dyDescent="0.25">
      <c r="A40" s="1">
        <v>46028</v>
      </c>
      <c r="B40" s="2">
        <v>7.68</v>
      </c>
      <c r="C40" s="2">
        <v>8.92</v>
      </c>
      <c r="D40">
        <f t="shared" si="0"/>
        <v>-8.0000000000000071</v>
      </c>
      <c r="E40">
        <f t="shared" si="1"/>
        <v>-8.0000000000000071</v>
      </c>
      <c r="F40">
        <f t="shared" si="2"/>
        <v>499439.15119988023</v>
      </c>
      <c r="G40">
        <f t="shared" si="3"/>
        <v>-536268.76319999702</v>
      </c>
      <c r="H40">
        <f t="shared" si="4"/>
        <v>-36829.612000116787</v>
      </c>
    </row>
    <row r="41" spans="1:8" x14ac:dyDescent="0.25">
      <c r="A41" s="1">
        <v>46027</v>
      </c>
      <c r="B41" s="2">
        <v>7.76</v>
      </c>
      <c r="C41" s="2">
        <v>9</v>
      </c>
      <c r="D41">
        <f t="shared" si="0"/>
        <v>-7.0000000000000284</v>
      </c>
      <c r="E41">
        <f t="shared" si="1"/>
        <v>-7.0000000000000284</v>
      </c>
      <c r="F41">
        <f t="shared" si="2"/>
        <v>437009.25729989656</v>
      </c>
      <c r="G41">
        <f t="shared" si="3"/>
        <v>-469235.16779999889</v>
      </c>
      <c r="H41">
        <f t="shared" si="4"/>
        <v>-32225.910500102327</v>
      </c>
    </row>
    <row r="42" spans="1:8" x14ac:dyDescent="0.25">
      <c r="A42" s="1">
        <v>46024</v>
      </c>
      <c r="B42" s="2">
        <v>7.83</v>
      </c>
      <c r="C42" s="2">
        <v>9.07</v>
      </c>
      <c r="D42">
        <f t="shared" si="0"/>
        <v>-4.0000000000000036</v>
      </c>
      <c r="E42">
        <f t="shared" si="1"/>
        <v>-1.9999999999999574</v>
      </c>
      <c r="F42">
        <f t="shared" si="2"/>
        <v>249719.57559994012</v>
      </c>
      <c r="G42">
        <f t="shared" si="3"/>
        <v>-134067.19079999629</v>
      </c>
      <c r="H42">
        <f t="shared" si="4"/>
        <v>115652.38479994383</v>
      </c>
    </row>
    <row r="43" spans="1:8" x14ac:dyDescent="0.25">
      <c r="A43" s="1">
        <v>46023</v>
      </c>
      <c r="B43" s="2">
        <v>7.87</v>
      </c>
      <c r="C43" s="2">
        <v>9.09</v>
      </c>
      <c r="D43">
        <f t="shared" si="0"/>
        <v>-1.9999999999999574</v>
      </c>
      <c r="E43">
        <f t="shared" si="1"/>
        <v>-6.0000000000000497</v>
      </c>
      <c r="F43">
        <f t="shared" si="2"/>
        <v>124859.78779996728</v>
      </c>
      <c r="G43">
        <f t="shared" si="3"/>
        <v>-402201.57240000076</v>
      </c>
      <c r="H43">
        <f t="shared" si="4"/>
        <v>-277341.78460003348</v>
      </c>
    </row>
    <row r="44" spans="1:8" x14ac:dyDescent="0.25">
      <c r="A44" s="1">
        <v>46022</v>
      </c>
      <c r="B44" s="2">
        <v>7.89</v>
      </c>
      <c r="C44" s="2">
        <v>9.15</v>
      </c>
      <c r="D44">
        <f t="shared" si="0"/>
        <v>0</v>
      </c>
      <c r="E44">
        <f t="shared" si="1"/>
        <v>0</v>
      </c>
      <c r="F44">
        <f t="shared" si="2"/>
        <v>0</v>
      </c>
      <c r="G44">
        <f t="shared" si="3"/>
        <v>0</v>
      </c>
      <c r="H44">
        <f t="shared" si="4"/>
        <v>0</v>
      </c>
    </row>
    <row r="45" spans="1:8" x14ac:dyDescent="0.25">
      <c r="A45" s="1">
        <v>46021</v>
      </c>
      <c r="B45" s="2">
        <v>7.89</v>
      </c>
      <c r="C45" s="2">
        <v>9.15</v>
      </c>
      <c r="D45">
        <f t="shared" si="0"/>
        <v>-2.0000000000000462</v>
      </c>
      <c r="E45">
        <f t="shared" si="1"/>
        <v>-3.9999999999999147</v>
      </c>
      <c r="F45">
        <f t="shared" si="2"/>
        <v>124859.78779997282</v>
      </c>
      <c r="G45">
        <f t="shared" si="3"/>
        <v>-268134.38159999257</v>
      </c>
      <c r="H45">
        <f t="shared" si="4"/>
        <v>-143274.59380001976</v>
      </c>
    </row>
    <row r="46" spans="1:8" x14ac:dyDescent="0.25">
      <c r="A46" s="1">
        <v>46020</v>
      </c>
      <c r="B46" s="2">
        <v>7.91</v>
      </c>
      <c r="C46" s="2">
        <v>9.19</v>
      </c>
      <c r="D46">
        <f t="shared" si="0"/>
        <v>-0.99999999999997868</v>
      </c>
      <c r="E46">
        <f t="shared" si="1"/>
        <v>0</v>
      </c>
      <c r="F46">
        <f t="shared" si="2"/>
        <v>62429.893899983639</v>
      </c>
      <c r="G46">
        <f t="shared" si="3"/>
        <v>0</v>
      </c>
      <c r="H46">
        <f t="shared" si="4"/>
        <v>62429.893899983639</v>
      </c>
    </row>
    <row r="47" spans="1:8" x14ac:dyDescent="0.25">
      <c r="A47" s="1">
        <v>46017</v>
      </c>
      <c r="B47" s="2">
        <v>7.92</v>
      </c>
      <c r="C47" s="2">
        <v>9.19</v>
      </c>
      <c r="D47">
        <f t="shared" si="0"/>
        <v>0.99999999999997868</v>
      </c>
      <c r="E47">
        <f t="shared" si="1"/>
        <v>2.9999999999999361</v>
      </c>
      <c r="F47">
        <f t="shared" si="2"/>
        <v>-62429.893899983639</v>
      </c>
      <c r="G47">
        <f t="shared" si="3"/>
        <v>201100.78619999441</v>
      </c>
      <c r="H47">
        <f t="shared" si="4"/>
        <v>138670.89230001078</v>
      </c>
    </row>
    <row r="48" spans="1:8" x14ac:dyDescent="0.25">
      <c r="A48" s="1">
        <v>46016</v>
      </c>
      <c r="B48" s="2">
        <v>7.91</v>
      </c>
      <c r="C48" s="2">
        <v>9.16</v>
      </c>
      <c r="D48">
        <f t="shared" si="0"/>
        <v>0</v>
      </c>
      <c r="E48">
        <f t="shared" si="1"/>
        <v>0</v>
      </c>
      <c r="F48">
        <f t="shared" si="2"/>
        <v>0</v>
      </c>
      <c r="G48">
        <f t="shared" si="3"/>
        <v>0</v>
      </c>
      <c r="H48">
        <f t="shared" si="4"/>
        <v>0</v>
      </c>
    </row>
    <row r="49" spans="1:8" x14ac:dyDescent="0.25">
      <c r="A49" s="1">
        <v>46015</v>
      </c>
      <c r="B49" s="2">
        <v>7.91</v>
      </c>
      <c r="C49" s="2">
        <v>9.16</v>
      </c>
      <c r="D49">
        <f t="shared" si="0"/>
        <v>4.9999999999999822</v>
      </c>
      <c r="E49">
        <f t="shared" si="1"/>
        <v>1.9999999999999574</v>
      </c>
      <c r="F49">
        <f t="shared" si="2"/>
        <v>-312149.46949992375</v>
      </c>
      <c r="G49">
        <f t="shared" si="3"/>
        <v>134067.19079999629</v>
      </c>
      <c r="H49">
        <f t="shared" si="4"/>
        <v>-178082.27869992747</v>
      </c>
    </row>
    <row r="50" spans="1:8" x14ac:dyDescent="0.25">
      <c r="A50" s="1">
        <v>46014</v>
      </c>
      <c r="B50" s="2">
        <v>7.86</v>
      </c>
      <c r="C50" s="2">
        <v>9.14</v>
      </c>
      <c r="D50">
        <f t="shared" si="0"/>
        <v>1.0000000000000675</v>
      </c>
      <c r="E50">
        <f t="shared" si="1"/>
        <v>-2.9999999999999361</v>
      </c>
      <c r="F50">
        <f t="shared" si="2"/>
        <v>-62429.893899989183</v>
      </c>
      <c r="G50">
        <f t="shared" si="3"/>
        <v>-201100.78619999441</v>
      </c>
      <c r="H50">
        <f t="shared" si="4"/>
        <v>-263530.68009998358</v>
      </c>
    </row>
    <row r="51" spans="1:8" x14ac:dyDescent="0.25">
      <c r="A51" s="1">
        <v>46013</v>
      </c>
      <c r="B51" s="2">
        <v>7.85</v>
      </c>
      <c r="C51" s="2">
        <v>9.17</v>
      </c>
      <c r="D51">
        <f t="shared" si="0"/>
        <v>4.9999999999999822</v>
      </c>
      <c r="E51">
        <f t="shared" si="1"/>
        <v>10.999999999999943</v>
      </c>
      <c r="F51">
        <f t="shared" si="2"/>
        <v>-312149.46949992375</v>
      </c>
      <c r="G51">
        <f t="shared" si="3"/>
        <v>737369.5493999914</v>
      </c>
      <c r="H51">
        <f t="shared" si="4"/>
        <v>425220.07990006765</v>
      </c>
    </row>
    <row r="52" spans="1:8" x14ac:dyDescent="0.25">
      <c r="A52" s="1">
        <v>46010</v>
      </c>
      <c r="B52" s="2">
        <v>7.8</v>
      </c>
      <c r="C52" s="2">
        <v>9.06</v>
      </c>
      <c r="D52">
        <f t="shared" si="0"/>
        <v>0</v>
      </c>
      <c r="E52">
        <f t="shared" si="1"/>
        <v>0</v>
      </c>
      <c r="F52">
        <f t="shared" si="2"/>
        <v>0</v>
      </c>
      <c r="G52">
        <f t="shared" si="3"/>
        <v>0</v>
      </c>
      <c r="H52">
        <f t="shared" si="4"/>
        <v>0</v>
      </c>
    </row>
    <row r="53" spans="1:8" x14ac:dyDescent="0.25">
      <c r="A53" s="1">
        <v>46009</v>
      </c>
      <c r="B53" s="2">
        <v>7.8</v>
      </c>
      <c r="C53" s="2">
        <v>9.06</v>
      </c>
      <c r="D53">
        <f t="shared" si="0"/>
        <v>-4.9999999999999822</v>
      </c>
      <c r="E53">
        <f t="shared" si="1"/>
        <v>-1.9999999999999574</v>
      </c>
      <c r="F53">
        <f t="shared" si="2"/>
        <v>312149.46949992375</v>
      </c>
      <c r="G53">
        <f t="shared" si="3"/>
        <v>-134067.19079999629</v>
      </c>
      <c r="H53">
        <f t="shared" si="4"/>
        <v>178082.27869992747</v>
      </c>
    </row>
    <row r="54" spans="1:8" x14ac:dyDescent="0.25">
      <c r="A54" s="1">
        <v>46008</v>
      </c>
      <c r="B54" s="2">
        <v>7.85</v>
      </c>
      <c r="C54" s="2">
        <v>9.08</v>
      </c>
      <c r="D54">
        <f t="shared" si="0"/>
        <v>-8.0000000000000071</v>
      </c>
      <c r="E54">
        <f t="shared" si="1"/>
        <v>-3.9999999999999147</v>
      </c>
      <c r="F54">
        <f t="shared" si="2"/>
        <v>499439.15119988023</v>
      </c>
      <c r="G54">
        <f t="shared" si="3"/>
        <v>-268134.38159999257</v>
      </c>
      <c r="H54">
        <f t="shared" si="4"/>
        <v>231304.76959988766</v>
      </c>
    </row>
    <row r="55" spans="1:8" x14ac:dyDescent="0.25">
      <c r="A55" s="1">
        <v>46007</v>
      </c>
      <c r="B55" s="2">
        <v>7.93</v>
      </c>
      <c r="C55" s="2">
        <v>9.1199999999999992</v>
      </c>
      <c r="D55">
        <f t="shared" si="0"/>
        <v>-8.9999999999999858</v>
      </c>
      <c r="E55">
        <f t="shared" si="1"/>
        <v>-3.0000000000001137</v>
      </c>
      <c r="F55">
        <f t="shared" si="2"/>
        <v>561869.0450998639</v>
      </c>
      <c r="G55">
        <f t="shared" si="3"/>
        <v>-201100.78620000632</v>
      </c>
      <c r="H55">
        <f t="shared" si="4"/>
        <v>360768.25889985758</v>
      </c>
    </row>
    <row r="56" spans="1:8" x14ac:dyDescent="0.25">
      <c r="A56" s="1">
        <v>46006</v>
      </c>
      <c r="B56" s="2">
        <v>8.02</v>
      </c>
      <c r="C56" s="2">
        <v>9.15</v>
      </c>
      <c r="D56">
        <f t="shared" si="0"/>
        <v>0</v>
      </c>
      <c r="E56">
        <f t="shared" si="1"/>
        <v>5.0000000000000711</v>
      </c>
      <c r="F56">
        <f t="shared" si="2"/>
        <v>0</v>
      </c>
      <c r="G56">
        <f t="shared" si="3"/>
        <v>335167.97700000263</v>
      </c>
      <c r="H56">
        <f t="shared" si="4"/>
        <v>335167.97700000263</v>
      </c>
    </row>
    <row r="57" spans="1:8" x14ac:dyDescent="0.25">
      <c r="A57" s="1">
        <v>46003</v>
      </c>
      <c r="B57" s="2">
        <v>8.02</v>
      </c>
      <c r="C57" s="2">
        <v>9.1</v>
      </c>
      <c r="D57">
        <f t="shared" si="0"/>
        <v>0</v>
      </c>
      <c r="E57">
        <f t="shared" si="1"/>
        <v>0</v>
      </c>
      <c r="F57">
        <f t="shared" si="2"/>
        <v>0</v>
      </c>
      <c r="G57">
        <f t="shared" si="3"/>
        <v>0</v>
      </c>
      <c r="H57">
        <f t="shared" si="4"/>
        <v>0</v>
      </c>
    </row>
    <row r="58" spans="1:8" x14ac:dyDescent="0.25">
      <c r="A58" s="1">
        <v>46002</v>
      </c>
      <c r="B58" s="2">
        <v>8.02</v>
      </c>
      <c r="C58" s="2">
        <v>9.1</v>
      </c>
      <c r="D58">
        <f t="shared" si="0"/>
        <v>2.9999999999999361</v>
      </c>
      <c r="E58">
        <f t="shared" si="1"/>
        <v>-0.99999999999997868</v>
      </c>
      <c r="F58">
        <f t="shared" si="2"/>
        <v>-187289.68169995092</v>
      </c>
      <c r="G58">
        <f t="shared" si="3"/>
        <v>-67033.595399998143</v>
      </c>
      <c r="H58">
        <f t="shared" si="4"/>
        <v>-254323.27709994907</v>
      </c>
    </row>
    <row r="59" spans="1:8" x14ac:dyDescent="0.25">
      <c r="A59" s="1">
        <v>46001</v>
      </c>
      <c r="B59" s="2">
        <v>7.99</v>
      </c>
      <c r="C59" s="2">
        <v>9.11</v>
      </c>
      <c r="D59">
        <f t="shared" si="0"/>
        <v>2.0000000000000462</v>
      </c>
      <c r="E59">
        <f t="shared" si="1"/>
        <v>-0.99999999999997868</v>
      </c>
      <c r="F59">
        <f t="shared" si="2"/>
        <v>-124859.78779997282</v>
      </c>
      <c r="G59">
        <f t="shared" si="3"/>
        <v>-67033.595399998143</v>
      </c>
      <c r="H59">
        <f t="shared" si="4"/>
        <v>-191893.38319997097</v>
      </c>
    </row>
    <row r="60" spans="1:8" x14ac:dyDescent="0.25">
      <c r="A60" s="1">
        <v>46000</v>
      </c>
      <c r="B60" s="2">
        <v>7.97</v>
      </c>
      <c r="C60" s="2">
        <v>9.1199999999999992</v>
      </c>
      <c r="D60">
        <f t="shared" si="0"/>
        <v>16.999999999999993</v>
      </c>
      <c r="E60">
        <f t="shared" si="1"/>
        <v>15.999999999999837</v>
      </c>
      <c r="F60">
        <f t="shared" si="2"/>
        <v>-1061308.1962997441</v>
      </c>
      <c r="G60">
        <f t="shared" si="3"/>
        <v>1072537.5263999822</v>
      </c>
      <c r="H60">
        <f t="shared" si="4"/>
        <v>11229.33010023809</v>
      </c>
    </row>
    <row r="61" spans="1:8" x14ac:dyDescent="0.25">
      <c r="A61" s="1">
        <v>45999</v>
      </c>
      <c r="B61" s="2">
        <v>7.8</v>
      </c>
      <c r="C61" s="2">
        <v>8.9600000000000009</v>
      </c>
      <c r="D61">
        <f t="shared" si="0"/>
        <v>8.0000000000000071</v>
      </c>
      <c r="E61">
        <f t="shared" si="1"/>
        <v>7.0000000000000284</v>
      </c>
      <c r="F61">
        <f t="shared" si="2"/>
        <v>-499439.15119988023</v>
      </c>
      <c r="G61">
        <f t="shared" si="3"/>
        <v>469235.16779999889</v>
      </c>
      <c r="H61">
        <f t="shared" si="4"/>
        <v>-30203.983399881341</v>
      </c>
    </row>
    <row r="62" spans="1:8" x14ac:dyDescent="0.25">
      <c r="A62" s="1">
        <v>45996</v>
      </c>
      <c r="B62" s="2">
        <v>7.72</v>
      </c>
      <c r="C62" s="2">
        <v>8.89</v>
      </c>
      <c r="D62">
        <f t="shared" si="0"/>
        <v>2.9999999999999361</v>
      </c>
      <c r="E62">
        <f t="shared" si="1"/>
        <v>3.0000000000001137</v>
      </c>
      <c r="F62">
        <f t="shared" si="2"/>
        <v>-187289.68169995092</v>
      </c>
      <c r="G62">
        <f t="shared" si="3"/>
        <v>201100.78620000632</v>
      </c>
      <c r="H62">
        <f t="shared" si="4"/>
        <v>13811.1045000554</v>
      </c>
    </row>
    <row r="63" spans="1:8" x14ac:dyDescent="0.25">
      <c r="A63" s="1">
        <v>45995</v>
      </c>
      <c r="B63" s="2">
        <v>7.69</v>
      </c>
      <c r="C63" s="2">
        <v>8.86</v>
      </c>
      <c r="D63">
        <f t="shared" si="0"/>
        <v>2.0000000000000462</v>
      </c>
      <c r="E63">
        <f t="shared" si="1"/>
        <v>0.99999999999997868</v>
      </c>
      <c r="F63">
        <f t="shared" si="2"/>
        <v>-124859.78779997282</v>
      </c>
      <c r="G63">
        <f t="shared" si="3"/>
        <v>67033.595399998143</v>
      </c>
      <c r="H63">
        <f t="shared" si="4"/>
        <v>-57826.19239997468</v>
      </c>
    </row>
    <row r="64" spans="1:8" x14ac:dyDescent="0.25">
      <c r="A64" s="1">
        <v>45994</v>
      </c>
      <c r="B64" s="2">
        <v>7.67</v>
      </c>
      <c r="C64" s="2">
        <v>8.85</v>
      </c>
      <c r="D64">
        <f t="shared" si="0"/>
        <v>29.999999999999982</v>
      </c>
      <c r="E64">
        <f t="shared" si="1"/>
        <v>-4.0000000000000924</v>
      </c>
      <c r="F64">
        <f t="shared" si="2"/>
        <v>-1872896.8169995481</v>
      </c>
      <c r="G64">
        <f t="shared" si="3"/>
        <v>-268134.38160000445</v>
      </c>
      <c r="H64">
        <f t="shared" si="4"/>
        <v>-2141031.1985995527</v>
      </c>
    </row>
    <row r="65" spans="1:8" x14ac:dyDescent="0.25">
      <c r="A65" s="1">
        <v>45993</v>
      </c>
      <c r="B65" s="2">
        <v>7.37</v>
      </c>
      <c r="C65" s="2">
        <v>8.89</v>
      </c>
      <c r="D65">
        <f t="shared" si="0"/>
        <v>-4.0000000000000036</v>
      </c>
      <c r="E65">
        <f t="shared" si="1"/>
        <v>-4.9999999999998934</v>
      </c>
      <c r="F65">
        <f t="shared" si="2"/>
        <v>249719.57559994012</v>
      </c>
      <c r="G65">
        <f t="shared" si="3"/>
        <v>-335167.9769999907</v>
      </c>
      <c r="H65">
        <f t="shared" si="4"/>
        <v>-85448.401400050585</v>
      </c>
    </row>
    <row r="66" spans="1:8" x14ac:dyDescent="0.25">
      <c r="A66" s="1">
        <v>45992</v>
      </c>
      <c r="B66" s="2">
        <v>7.41</v>
      </c>
      <c r="C66" s="2">
        <v>8.94</v>
      </c>
      <c r="D66">
        <f t="shared" si="0"/>
        <v>2.0000000000000462</v>
      </c>
      <c r="E66">
        <f t="shared" si="1"/>
        <v>3.9999999999999147</v>
      </c>
      <c r="F66">
        <f t="shared" si="2"/>
        <v>-124859.78779997282</v>
      </c>
      <c r="G66">
        <f t="shared" si="3"/>
        <v>268134.38159999257</v>
      </c>
      <c r="H66">
        <f t="shared" si="4"/>
        <v>143274.59380001976</v>
      </c>
    </row>
    <row r="67" spans="1:8" x14ac:dyDescent="0.25">
      <c r="A67" s="1">
        <v>45989</v>
      </c>
      <c r="B67" s="2">
        <v>7.39</v>
      </c>
      <c r="C67" s="2">
        <v>8.9</v>
      </c>
      <c r="D67">
        <f t="shared" ref="D67:D130" si="5">(B67-B68)*100</f>
        <v>0</v>
      </c>
      <c r="E67">
        <f t="shared" ref="E67:E130" si="6">(C67-C68)*100</f>
        <v>3.0000000000001137</v>
      </c>
      <c r="F67">
        <f t="shared" ref="F67:F130" si="7">-D67*$R$3</f>
        <v>0</v>
      </c>
      <c r="G67">
        <f t="shared" ref="G67:G130" si="8">-E67*$R$4</f>
        <v>201100.78620000632</v>
      </c>
      <c r="H67">
        <f t="shared" ref="H67:H130" si="9">F67+G67</f>
        <v>201100.78620000632</v>
      </c>
    </row>
    <row r="68" spans="1:8" x14ac:dyDescent="0.25">
      <c r="A68" s="1">
        <v>45988</v>
      </c>
      <c r="B68" s="2">
        <v>7.39</v>
      </c>
      <c r="C68" s="2">
        <v>8.8699999999999992</v>
      </c>
      <c r="D68">
        <f t="shared" si="5"/>
        <v>-2.0000000000000462</v>
      </c>
      <c r="E68">
        <f t="shared" si="6"/>
        <v>-3.0000000000001137</v>
      </c>
      <c r="F68">
        <f t="shared" si="7"/>
        <v>124859.78779997282</v>
      </c>
      <c r="G68">
        <f t="shared" si="8"/>
        <v>-201100.78620000632</v>
      </c>
      <c r="H68">
        <f t="shared" si="9"/>
        <v>-76240.998400033495</v>
      </c>
    </row>
    <row r="69" spans="1:8" x14ac:dyDescent="0.25">
      <c r="A69" s="1">
        <v>45987</v>
      </c>
      <c r="B69" s="2">
        <v>7.41</v>
      </c>
      <c r="C69" s="2">
        <v>8.9</v>
      </c>
      <c r="D69">
        <f t="shared" si="5"/>
        <v>-7.0000000000000284</v>
      </c>
      <c r="E69">
        <f t="shared" si="6"/>
        <v>-8.0000000000000071</v>
      </c>
      <c r="F69">
        <f t="shared" si="7"/>
        <v>437009.25729989656</v>
      </c>
      <c r="G69">
        <f t="shared" si="8"/>
        <v>-536268.76319999702</v>
      </c>
      <c r="H69">
        <f t="shared" si="9"/>
        <v>-99259.505900100456</v>
      </c>
    </row>
    <row r="70" spans="1:8" x14ac:dyDescent="0.25">
      <c r="A70" s="1">
        <v>45986</v>
      </c>
      <c r="B70" s="2">
        <v>7.48</v>
      </c>
      <c r="C70" s="2">
        <v>8.98</v>
      </c>
      <c r="D70">
        <f t="shared" si="5"/>
        <v>-1.9999999999999574</v>
      </c>
      <c r="E70">
        <f t="shared" si="6"/>
        <v>-0.99999999999997868</v>
      </c>
      <c r="F70">
        <f t="shared" si="7"/>
        <v>124859.78779996728</v>
      </c>
      <c r="G70">
        <f t="shared" si="8"/>
        <v>-67033.595399998143</v>
      </c>
      <c r="H70">
        <f t="shared" si="9"/>
        <v>57826.192399969135</v>
      </c>
    </row>
    <row r="71" spans="1:8" x14ac:dyDescent="0.25">
      <c r="A71" s="1">
        <v>45985</v>
      </c>
      <c r="B71" s="2">
        <v>7.5</v>
      </c>
      <c r="C71" s="2">
        <v>8.99</v>
      </c>
      <c r="D71">
        <f t="shared" si="5"/>
        <v>0</v>
      </c>
      <c r="E71">
        <f t="shared" si="6"/>
        <v>0</v>
      </c>
      <c r="F71">
        <f t="shared" si="7"/>
        <v>0</v>
      </c>
      <c r="G71">
        <f t="shared" si="8"/>
        <v>0</v>
      </c>
      <c r="H71">
        <f t="shared" si="9"/>
        <v>0</v>
      </c>
    </row>
    <row r="72" spans="1:8" x14ac:dyDescent="0.25">
      <c r="A72" s="1">
        <v>45982</v>
      </c>
      <c r="B72" s="2">
        <v>7.5</v>
      </c>
      <c r="C72" s="2">
        <v>8.99</v>
      </c>
      <c r="D72">
        <f t="shared" si="5"/>
        <v>3.0000000000000249</v>
      </c>
      <c r="E72">
        <f t="shared" si="6"/>
        <v>5.0000000000000711</v>
      </c>
      <c r="F72">
        <f t="shared" si="7"/>
        <v>-187289.68169995648</v>
      </c>
      <c r="G72">
        <f t="shared" si="8"/>
        <v>335167.97700000263</v>
      </c>
      <c r="H72">
        <f t="shared" si="9"/>
        <v>147878.29530004616</v>
      </c>
    </row>
    <row r="73" spans="1:8" x14ac:dyDescent="0.25">
      <c r="A73" s="1">
        <v>45981</v>
      </c>
      <c r="B73" s="2">
        <v>7.47</v>
      </c>
      <c r="C73" s="2">
        <v>8.94</v>
      </c>
      <c r="D73">
        <f t="shared" si="5"/>
        <v>0</v>
      </c>
      <c r="E73">
        <f t="shared" si="6"/>
        <v>1.9999999999999574</v>
      </c>
      <c r="F73">
        <f t="shared" si="7"/>
        <v>0</v>
      </c>
      <c r="G73">
        <f t="shared" si="8"/>
        <v>134067.19079999629</v>
      </c>
      <c r="H73">
        <f t="shared" si="9"/>
        <v>134067.19079999629</v>
      </c>
    </row>
    <row r="74" spans="1:8" x14ac:dyDescent="0.25">
      <c r="A74" s="1">
        <v>45980</v>
      </c>
      <c r="B74" s="2">
        <v>7.47</v>
      </c>
      <c r="C74" s="2">
        <v>8.92</v>
      </c>
      <c r="D74">
        <f t="shared" si="5"/>
        <v>0</v>
      </c>
      <c r="E74">
        <f t="shared" si="6"/>
        <v>1.9999999999999574</v>
      </c>
      <c r="F74">
        <f t="shared" si="7"/>
        <v>0</v>
      </c>
      <c r="G74">
        <f t="shared" si="8"/>
        <v>134067.19079999629</v>
      </c>
      <c r="H74">
        <f t="shared" si="9"/>
        <v>134067.19079999629</v>
      </c>
    </row>
    <row r="75" spans="1:8" x14ac:dyDescent="0.25">
      <c r="A75" s="1">
        <v>45979</v>
      </c>
      <c r="B75" s="2">
        <v>7.47</v>
      </c>
      <c r="C75" s="2">
        <v>8.9</v>
      </c>
      <c r="D75">
        <f t="shared" si="5"/>
        <v>0</v>
      </c>
      <c r="E75">
        <f t="shared" si="6"/>
        <v>-1.9999999999999574</v>
      </c>
      <c r="F75">
        <f t="shared" si="7"/>
        <v>0</v>
      </c>
      <c r="G75">
        <f t="shared" si="8"/>
        <v>-134067.19079999629</v>
      </c>
      <c r="H75">
        <f t="shared" si="9"/>
        <v>-134067.19079999629</v>
      </c>
    </row>
    <row r="76" spans="1:8" x14ac:dyDescent="0.25">
      <c r="A76" s="1">
        <v>45978</v>
      </c>
      <c r="B76" s="2">
        <v>7.47</v>
      </c>
      <c r="C76" s="2">
        <v>8.92</v>
      </c>
      <c r="D76">
        <f t="shared" si="5"/>
        <v>0</v>
      </c>
      <c r="E76">
        <f t="shared" si="6"/>
        <v>0</v>
      </c>
      <c r="F76">
        <f t="shared" si="7"/>
        <v>0</v>
      </c>
      <c r="G76">
        <f t="shared" si="8"/>
        <v>0</v>
      </c>
      <c r="H76">
        <f t="shared" si="9"/>
        <v>0</v>
      </c>
    </row>
    <row r="77" spans="1:8" x14ac:dyDescent="0.25">
      <c r="A77" s="1">
        <v>45975</v>
      </c>
      <c r="B77" s="2">
        <v>7.47</v>
      </c>
      <c r="C77" s="2">
        <v>8.92</v>
      </c>
      <c r="D77">
        <f t="shared" si="5"/>
        <v>0</v>
      </c>
      <c r="E77">
        <f t="shared" si="6"/>
        <v>0.99999999999997868</v>
      </c>
      <c r="F77">
        <f t="shared" si="7"/>
        <v>0</v>
      </c>
      <c r="G77">
        <f t="shared" si="8"/>
        <v>67033.595399998143</v>
      </c>
      <c r="H77">
        <f t="shared" si="9"/>
        <v>67033.595399998143</v>
      </c>
    </row>
    <row r="78" spans="1:8" x14ac:dyDescent="0.25">
      <c r="A78" s="1">
        <v>45974</v>
      </c>
      <c r="B78" s="2">
        <v>7.47</v>
      </c>
      <c r="C78" s="2">
        <v>8.91</v>
      </c>
      <c r="D78">
        <f t="shared" si="5"/>
        <v>0</v>
      </c>
      <c r="E78">
        <f t="shared" si="6"/>
        <v>-0.99999999999997868</v>
      </c>
      <c r="F78">
        <f t="shared" si="7"/>
        <v>0</v>
      </c>
      <c r="G78">
        <f t="shared" si="8"/>
        <v>-67033.595399998143</v>
      </c>
      <c r="H78">
        <f t="shared" si="9"/>
        <v>-67033.595399998143</v>
      </c>
    </row>
    <row r="79" spans="1:8" x14ac:dyDescent="0.25">
      <c r="A79" s="1">
        <v>45973</v>
      </c>
      <c r="B79" s="2">
        <v>7.47</v>
      </c>
      <c r="C79" s="2">
        <v>8.92</v>
      </c>
      <c r="D79">
        <f t="shared" si="5"/>
        <v>-2.0000000000000462</v>
      </c>
      <c r="E79">
        <f t="shared" si="6"/>
        <v>-5.0000000000000711</v>
      </c>
      <c r="F79">
        <f t="shared" si="7"/>
        <v>124859.78779997282</v>
      </c>
      <c r="G79">
        <f t="shared" si="8"/>
        <v>-335167.97700000263</v>
      </c>
      <c r="H79">
        <f t="shared" si="9"/>
        <v>-210308.18920002982</v>
      </c>
    </row>
    <row r="80" spans="1:8" x14ac:dyDescent="0.25">
      <c r="A80" s="1">
        <v>45972</v>
      </c>
      <c r="B80" s="2">
        <v>7.49</v>
      </c>
      <c r="C80" s="2">
        <v>8.9700000000000006</v>
      </c>
      <c r="D80">
        <f t="shared" si="5"/>
        <v>2.0000000000000462</v>
      </c>
      <c r="E80">
        <f t="shared" si="6"/>
        <v>2.000000000000135</v>
      </c>
      <c r="F80">
        <f t="shared" si="7"/>
        <v>-124859.78779997282</v>
      </c>
      <c r="G80">
        <f t="shared" si="8"/>
        <v>134067.19080000819</v>
      </c>
      <c r="H80">
        <f t="shared" si="9"/>
        <v>9207.4030000353669</v>
      </c>
    </row>
    <row r="81" spans="1:8" x14ac:dyDescent="0.25">
      <c r="A81" s="1">
        <v>45971</v>
      </c>
      <c r="B81" s="2">
        <v>7.47</v>
      </c>
      <c r="C81" s="2">
        <v>8.9499999999999993</v>
      </c>
      <c r="D81">
        <f t="shared" si="5"/>
        <v>1.9999999999999574</v>
      </c>
      <c r="E81">
        <f t="shared" si="6"/>
        <v>1.9999999999999574</v>
      </c>
      <c r="F81">
        <f t="shared" si="7"/>
        <v>-124859.78779996728</v>
      </c>
      <c r="G81">
        <f t="shared" si="8"/>
        <v>134067.19079999629</v>
      </c>
      <c r="H81">
        <f t="shared" si="9"/>
        <v>9207.4030000290077</v>
      </c>
    </row>
    <row r="82" spans="1:8" x14ac:dyDescent="0.25">
      <c r="A82" s="1">
        <v>45968</v>
      </c>
      <c r="B82" s="2">
        <v>7.45</v>
      </c>
      <c r="C82" s="2">
        <v>8.93</v>
      </c>
      <c r="D82">
        <f t="shared" si="5"/>
        <v>6.0000000000000497</v>
      </c>
      <c r="E82">
        <f t="shared" si="6"/>
        <v>4.9999999999998934</v>
      </c>
      <c r="F82">
        <f t="shared" si="7"/>
        <v>-374579.36339991295</v>
      </c>
      <c r="G82">
        <f t="shared" si="8"/>
        <v>335167.9769999907</v>
      </c>
      <c r="H82">
        <f t="shared" si="9"/>
        <v>-39411.386399922252</v>
      </c>
    </row>
    <row r="83" spans="1:8" x14ac:dyDescent="0.25">
      <c r="A83" s="1">
        <v>45967</v>
      </c>
      <c r="B83" s="2">
        <v>7.39</v>
      </c>
      <c r="C83" s="2">
        <v>8.8800000000000008</v>
      </c>
      <c r="D83">
        <f t="shared" si="5"/>
        <v>4.0000000000000036</v>
      </c>
      <c r="E83">
        <f t="shared" si="6"/>
        <v>0</v>
      </c>
      <c r="F83">
        <f t="shared" si="7"/>
        <v>-249719.57559994012</v>
      </c>
      <c r="G83">
        <f t="shared" si="8"/>
        <v>0</v>
      </c>
      <c r="H83">
        <f t="shared" si="9"/>
        <v>-249719.57559994012</v>
      </c>
    </row>
    <row r="84" spans="1:8" x14ac:dyDescent="0.25">
      <c r="A84" s="1">
        <v>45966</v>
      </c>
      <c r="B84" s="2">
        <v>7.35</v>
      </c>
      <c r="C84" s="2">
        <v>8.8800000000000008</v>
      </c>
      <c r="D84">
        <f t="shared" si="5"/>
        <v>1.9999999999999574</v>
      </c>
      <c r="E84">
        <f t="shared" si="6"/>
        <v>2.000000000000135</v>
      </c>
      <c r="F84">
        <f t="shared" si="7"/>
        <v>-124859.78779996728</v>
      </c>
      <c r="G84">
        <f t="shared" si="8"/>
        <v>134067.19080000819</v>
      </c>
      <c r="H84">
        <f t="shared" si="9"/>
        <v>9207.4030000409111</v>
      </c>
    </row>
    <row r="85" spans="1:8" x14ac:dyDescent="0.25">
      <c r="A85" s="1">
        <v>45965</v>
      </c>
      <c r="B85" s="2">
        <v>7.33</v>
      </c>
      <c r="C85" s="2">
        <v>8.86</v>
      </c>
      <c r="D85">
        <f t="shared" si="5"/>
        <v>3.0000000000000249</v>
      </c>
      <c r="E85">
        <f t="shared" si="6"/>
        <v>0.99999999999997868</v>
      </c>
      <c r="F85">
        <f t="shared" si="7"/>
        <v>-187289.68169995648</v>
      </c>
      <c r="G85">
        <f t="shared" si="8"/>
        <v>67033.595399998143</v>
      </c>
      <c r="H85">
        <f t="shared" si="9"/>
        <v>-120256.08629995833</v>
      </c>
    </row>
    <row r="86" spans="1:8" x14ac:dyDescent="0.25">
      <c r="A86" s="1">
        <v>45964</v>
      </c>
      <c r="B86" s="2">
        <v>7.3</v>
      </c>
      <c r="C86" s="2">
        <v>8.85</v>
      </c>
      <c r="D86">
        <f t="shared" si="5"/>
        <v>1.9999999999999574</v>
      </c>
      <c r="E86">
        <f t="shared" si="6"/>
        <v>0.99999999999997868</v>
      </c>
      <c r="F86">
        <f t="shared" si="7"/>
        <v>-124859.78779996728</v>
      </c>
      <c r="G86">
        <f t="shared" si="8"/>
        <v>67033.595399998143</v>
      </c>
      <c r="H86">
        <f t="shared" si="9"/>
        <v>-57826.192399969135</v>
      </c>
    </row>
    <row r="87" spans="1:8" x14ac:dyDescent="0.25">
      <c r="A87" s="1">
        <v>45961</v>
      </c>
      <c r="B87" s="2">
        <v>7.28</v>
      </c>
      <c r="C87" s="2">
        <v>8.84</v>
      </c>
      <c r="D87">
        <f t="shared" si="5"/>
        <v>0</v>
      </c>
      <c r="E87">
        <f t="shared" si="6"/>
        <v>-1.9999999999999574</v>
      </c>
      <c r="F87">
        <f t="shared" si="7"/>
        <v>0</v>
      </c>
      <c r="G87">
        <f t="shared" si="8"/>
        <v>-134067.19079999629</v>
      </c>
      <c r="H87">
        <f t="shared" si="9"/>
        <v>-134067.19079999629</v>
      </c>
    </row>
    <row r="88" spans="1:8" x14ac:dyDescent="0.25">
      <c r="A88" s="1">
        <v>45960</v>
      </c>
      <c r="B88" s="2">
        <v>7.28</v>
      </c>
      <c r="C88" s="2">
        <v>8.86</v>
      </c>
      <c r="D88">
        <f t="shared" si="5"/>
        <v>-4.9999999999999822</v>
      </c>
      <c r="E88">
        <f t="shared" si="6"/>
        <v>2.9999999999999361</v>
      </c>
      <c r="F88">
        <f t="shared" si="7"/>
        <v>312149.46949992375</v>
      </c>
      <c r="G88">
        <f t="shared" si="8"/>
        <v>201100.78619999441</v>
      </c>
      <c r="H88">
        <f t="shared" si="9"/>
        <v>513250.25569991814</v>
      </c>
    </row>
    <row r="89" spans="1:8" x14ac:dyDescent="0.25">
      <c r="A89" s="1">
        <v>45959</v>
      </c>
      <c r="B89" s="2">
        <v>7.33</v>
      </c>
      <c r="C89" s="2">
        <v>8.83</v>
      </c>
      <c r="D89">
        <f t="shared" si="5"/>
        <v>7.0000000000000284</v>
      </c>
      <c r="E89">
        <f t="shared" si="6"/>
        <v>9.9999999999999645</v>
      </c>
      <c r="F89">
        <f t="shared" si="7"/>
        <v>-437009.25729989656</v>
      </c>
      <c r="G89">
        <f t="shared" si="8"/>
        <v>670335.95399999327</v>
      </c>
      <c r="H89">
        <f t="shared" si="9"/>
        <v>233326.69670009671</v>
      </c>
    </row>
    <row r="90" spans="1:8" x14ac:dyDescent="0.25">
      <c r="A90" s="1">
        <v>45958</v>
      </c>
      <c r="B90" s="2">
        <v>7.26</v>
      </c>
      <c r="C90" s="2">
        <v>8.73</v>
      </c>
      <c r="D90">
        <f t="shared" si="5"/>
        <v>1.9999999999999574</v>
      </c>
      <c r="E90">
        <f t="shared" si="6"/>
        <v>-5.9999999999998721</v>
      </c>
      <c r="F90">
        <f t="shared" si="7"/>
        <v>-124859.78779996728</v>
      </c>
      <c r="G90">
        <f t="shared" si="8"/>
        <v>-402201.57239998883</v>
      </c>
      <c r="H90">
        <f t="shared" si="9"/>
        <v>-527061.36019995611</v>
      </c>
    </row>
    <row r="91" spans="1:8" x14ac:dyDescent="0.25">
      <c r="A91" s="1">
        <v>45957</v>
      </c>
      <c r="B91" s="2">
        <v>7.24</v>
      </c>
      <c r="C91" s="2">
        <v>8.7899999999999991</v>
      </c>
      <c r="D91">
        <f t="shared" si="5"/>
        <v>-1.9999999999999574</v>
      </c>
      <c r="E91">
        <f t="shared" si="6"/>
        <v>0</v>
      </c>
      <c r="F91">
        <f t="shared" si="7"/>
        <v>124859.78779996728</v>
      </c>
      <c r="G91">
        <f t="shared" si="8"/>
        <v>0</v>
      </c>
      <c r="H91">
        <f t="shared" si="9"/>
        <v>124859.78779996728</v>
      </c>
    </row>
    <row r="92" spans="1:8" x14ac:dyDescent="0.25">
      <c r="A92" s="1">
        <v>45954</v>
      </c>
      <c r="B92" s="2">
        <v>7.26</v>
      </c>
      <c r="C92" s="2">
        <v>8.7899999999999991</v>
      </c>
      <c r="D92">
        <f t="shared" si="5"/>
        <v>0.99999999999997868</v>
      </c>
      <c r="E92">
        <f t="shared" si="6"/>
        <v>3.9999999999999147</v>
      </c>
      <c r="F92">
        <f t="shared" si="7"/>
        <v>-62429.893899983639</v>
      </c>
      <c r="G92">
        <f t="shared" si="8"/>
        <v>268134.38159999257</v>
      </c>
      <c r="H92">
        <f t="shared" si="9"/>
        <v>205704.48770000893</v>
      </c>
    </row>
    <row r="93" spans="1:8" x14ac:dyDescent="0.25">
      <c r="A93" s="1">
        <v>45953</v>
      </c>
      <c r="B93" s="2">
        <v>7.25</v>
      </c>
      <c r="C93" s="2">
        <v>8.75</v>
      </c>
      <c r="D93">
        <f t="shared" si="5"/>
        <v>0.99999999999997868</v>
      </c>
      <c r="E93">
        <f t="shared" si="6"/>
        <v>5.0000000000000711</v>
      </c>
      <c r="F93">
        <f t="shared" si="7"/>
        <v>-62429.893899983639</v>
      </c>
      <c r="G93">
        <f t="shared" si="8"/>
        <v>335167.97700000263</v>
      </c>
      <c r="H93">
        <f t="shared" si="9"/>
        <v>272738.08310001902</v>
      </c>
    </row>
    <row r="94" spans="1:8" x14ac:dyDescent="0.25">
      <c r="A94" s="1">
        <v>45952</v>
      </c>
      <c r="B94" s="2">
        <v>7.24</v>
      </c>
      <c r="C94" s="2">
        <v>8.6999999999999993</v>
      </c>
      <c r="D94">
        <f t="shared" si="5"/>
        <v>-4.9999999999999822</v>
      </c>
      <c r="E94">
        <f t="shared" si="6"/>
        <v>-1.0000000000001563</v>
      </c>
      <c r="F94">
        <f t="shared" si="7"/>
        <v>312149.46949992375</v>
      </c>
      <c r="G94">
        <f t="shared" si="8"/>
        <v>-67033.595400010046</v>
      </c>
      <c r="H94">
        <f t="shared" si="9"/>
        <v>245115.87409991369</v>
      </c>
    </row>
    <row r="95" spans="1:8" x14ac:dyDescent="0.25">
      <c r="A95" s="1">
        <v>45951</v>
      </c>
      <c r="B95" s="2">
        <v>7.29</v>
      </c>
      <c r="C95" s="2">
        <v>8.7100000000000009</v>
      </c>
      <c r="D95">
        <f t="shared" si="5"/>
        <v>4.9999999999999822</v>
      </c>
      <c r="E95">
        <f t="shared" si="6"/>
        <v>-5.9999999999998721</v>
      </c>
      <c r="F95">
        <f t="shared" si="7"/>
        <v>-312149.46949992375</v>
      </c>
      <c r="G95">
        <f t="shared" si="8"/>
        <v>-402201.57239998883</v>
      </c>
      <c r="H95">
        <f t="shared" si="9"/>
        <v>-714351.04189991252</v>
      </c>
    </row>
    <row r="96" spans="1:8" x14ac:dyDescent="0.25">
      <c r="A96" s="1">
        <v>45950</v>
      </c>
      <c r="B96" s="2">
        <v>7.24</v>
      </c>
      <c r="C96" s="2">
        <v>8.77</v>
      </c>
      <c r="D96">
        <f t="shared" si="5"/>
        <v>-4.9999999999999822</v>
      </c>
      <c r="E96">
        <f t="shared" si="6"/>
        <v>2.9999999999999361</v>
      </c>
      <c r="F96">
        <f t="shared" si="7"/>
        <v>312149.46949992375</v>
      </c>
      <c r="G96">
        <f t="shared" si="8"/>
        <v>201100.78619999441</v>
      </c>
      <c r="H96">
        <f t="shared" si="9"/>
        <v>513250.25569991814</v>
      </c>
    </row>
    <row r="97" spans="1:8" x14ac:dyDescent="0.25">
      <c r="A97" s="1">
        <v>45947</v>
      </c>
      <c r="B97" s="2">
        <v>7.29</v>
      </c>
      <c r="C97" s="2">
        <v>8.74</v>
      </c>
      <c r="D97">
        <f t="shared" si="5"/>
        <v>0</v>
      </c>
      <c r="E97">
        <f t="shared" si="6"/>
        <v>6.0000000000000497</v>
      </c>
      <c r="F97">
        <f t="shared" si="7"/>
        <v>0</v>
      </c>
      <c r="G97">
        <f t="shared" si="8"/>
        <v>402201.57240000076</v>
      </c>
      <c r="H97">
        <f t="shared" si="9"/>
        <v>402201.57240000076</v>
      </c>
    </row>
    <row r="98" spans="1:8" x14ac:dyDescent="0.25">
      <c r="A98" s="1">
        <v>45946</v>
      </c>
      <c r="B98" s="2">
        <v>7.29</v>
      </c>
      <c r="C98" s="2">
        <v>8.68</v>
      </c>
      <c r="D98">
        <f t="shared" si="5"/>
        <v>-4.0000000000000036</v>
      </c>
      <c r="E98">
        <f t="shared" si="6"/>
        <v>-1.9999999999999574</v>
      </c>
      <c r="F98">
        <f t="shared" si="7"/>
        <v>249719.57559994012</v>
      </c>
      <c r="G98">
        <f t="shared" si="8"/>
        <v>-134067.19079999629</v>
      </c>
      <c r="H98">
        <f t="shared" si="9"/>
        <v>115652.38479994383</v>
      </c>
    </row>
    <row r="99" spans="1:8" x14ac:dyDescent="0.25">
      <c r="A99" s="1">
        <v>45945</v>
      </c>
      <c r="B99" s="2">
        <v>7.33</v>
      </c>
      <c r="C99" s="2">
        <v>8.6999999999999993</v>
      </c>
      <c r="D99">
        <f t="shared" si="5"/>
        <v>-1.9999999999999574</v>
      </c>
      <c r="E99">
        <f t="shared" si="6"/>
        <v>-5.0000000000000711</v>
      </c>
      <c r="F99">
        <f t="shared" si="7"/>
        <v>124859.78779996728</v>
      </c>
      <c r="G99">
        <f t="shared" si="8"/>
        <v>-335167.97700000263</v>
      </c>
      <c r="H99">
        <f t="shared" si="9"/>
        <v>-210308.18920003535</v>
      </c>
    </row>
    <row r="100" spans="1:8" x14ac:dyDescent="0.25">
      <c r="A100" s="1">
        <v>45944</v>
      </c>
      <c r="B100" s="2">
        <v>7.35</v>
      </c>
      <c r="C100" s="2">
        <v>8.75</v>
      </c>
      <c r="D100">
        <f t="shared" si="5"/>
        <v>4.0000000000000036</v>
      </c>
      <c r="E100">
        <f t="shared" si="6"/>
        <v>0</v>
      </c>
      <c r="F100">
        <f t="shared" si="7"/>
        <v>-249719.57559994012</v>
      </c>
      <c r="G100">
        <f t="shared" si="8"/>
        <v>0</v>
      </c>
      <c r="H100">
        <f t="shared" si="9"/>
        <v>-249719.57559994012</v>
      </c>
    </row>
    <row r="101" spans="1:8" x14ac:dyDescent="0.25">
      <c r="A101" s="1">
        <v>45943</v>
      </c>
      <c r="B101" s="2">
        <v>7.31</v>
      </c>
      <c r="C101" s="2">
        <v>8.75</v>
      </c>
      <c r="D101">
        <f t="shared" si="5"/>
        <v>-2.0000000000000462</v>
      </c>
      <c r="E101">
        <f t="shared" si="6"/>
        <v>0</v>
      </c>
      <c r="F101">
        <f t="shared" si="7"/>
        <v>124859.78779997282</v>
      </c>
      <c r="G101">
        <f t="shared" si="8"/>
        <v>0</v>
      </c>
      <c r="H101">
        <f t="shared" si="9"/>
        <v>124859.78779997282</v>
      </c>
    </row>
    <row r="102" spans="1:8" x14ac:dyDescent="0.25">
      <c r="A102" s="1">
        <v>45940</v>
      </c>
      <c r="B102" s="2">
        <v>7.33</v>
      </c>
      <c r="C102" s="2">
        <v>8.75</v>
      </c>
      <c r="D102">
        <f t="shared" si="5"/>
        <v>-8.0000000000000071</v>
      </c>
      <c r="E102">
        <f t="shared" si="6"/>
        <v>-1.9999999999999574</v>
      </c>
      <c r="F102">
        <f t="shared" si="7"/>
        <v>499439.15119988023</v>
      </c>
      <c r="G102">
        <f t="shared" si="8"/>
        <v>-134067.19079999629</v>
      </c>
      <c r="H102">
        <f t="shared" si="9"/>
        <v>365371.96039988392</v>
      </c>
    </row>
    <row r="103" spans="1:8" x14ac:dyDescent="0.25">
      <c r="A103" s="1">
        <v>45939</v>
      </c>
      <c r="B103" s="2">
        <v>7.41</v>
      </c>
      <c r="C103" s="2">
        <v>8.77</v>
      </c>
      <c r="D103">
        <f t="shared" si="5"/>
        <v>0</v>
      </c>
      <c r="E103">
        <f t="shared" si="6"/>
        <v>-8.0000000000000071</v>
      </c>
      <c r="F103">
        <f t="shared" si="7"/>
        <v>0</v>
      </c>
      <c r="G103">
        <f t="shared" si="8"/>
        <v>-536268.76319999702</v>
      </c>
      <c r="H103">
        <f t="shared" si="9"/>
        <v>-536268.76319999702</v>
      </c>
    </row>
    <row r="104" spans="1:8" x14ac:dyDescent="0.25">
      <c r="A104" s="1">
        <v>45938</v>
      </c>
      <c r="B104" s="2">
        <v>7.41</v>
      </c>
      <c r="C104" s="2">
        <v>8.85</v>
      </c>
      <c r="D104">
        <f t="shared" si="5"/>
        <v>-4.0000000000000036</v>
      </c>
      <c r="E104">
        <f t="shared" si="6"/>
        <v>6.0000000000000497</v>
      </c>
      <c r="F104">
        <f t="shared" si="7"/>
        <v>249719.57559994012</v>
      </c>
      <c r="G104">
        <f t="shared" si="8"/>
        <v>402201.57240000076</v>
      </c>
      <c r="H104">
        <f t="shared" si="9"/>
        <v>651921.14799994091</v>
      </c>
    </row>
    <row r="105" spans="1:8" x14ac:dyDescent="0.25">
      <c r="A105" s="1">
        <v>45937</v>
      </c>
      <c r="B105" s="2">
        <v>7.45</v>
      </c>
      <c r="C105" s="2">
        <v>8.7899999999999991</v>
      </c>
      <c r="D105">
        <f t="shared" si="5"/>
        <v>0</v>
      </c>
      <c r="E105">
        <f t="shared" si="6"/>
        <v>2.9999999999999361</v>
      </c>
      <c r="F105">
        <f t="shared" si="7"/>
        <v>0</v>
      </c>
      <c r="G105">
        <f t="shared" si="8"/>
        <v>201100.78619999441</v>
      </c>
      <c r="H105">
        <f t="shared" si="9"/>
        <v>201100.78619999441</v>
      </c>
    </row>
    <row r="106" spans="1:8" x14ac:dyDescent="0.25">
      <c r="A106" s="1">
        <v>45936</v>
      </c>
      <c r="B106" s="2">
        <v>7.45</v>
      </c>
      <c r="C106" s="2">
        <v>8.76</v>
      </c>
      <c r="D106">
        <f t="shared" si="5"/>
        <v>2.0000000000000462</v>
      </c>
      <c r="E106">
        <f t="shared" si="6"/>
        <v>-0.99999999999997868</v>
      </c>
      <c r="F106">
        <f t="shared" si="7"/>
        <v>-124859.78779997282</v>
      </c>
      <c r="G106">
        <f t="shared" si="8"/>
        <v>-67033.595399998143</v>
      </c>
      <c r="H106">
        <f t="shared" si="9"/>
        <v>-191893.38319997097</v>
      </c>
    </row>
    <row r="107" spans="1:8" x14ac:dyDescent="0.25">
      <c r="A107" s="1">
        <v>45933</v>
      </c>
      <c r="B107" s="2">
        <v>7.43</v>
      </c>
      <c r="C107" s="2">
        <v>8.77</v>
      </c>
      <c r="D107">
        <f t="shared" si="5"/>
        <v>0</v>
      </c>
      <c r="E107">
        <f t="shared" si="6"/>
        <v>2.9999999999999361</v>
      </c>
      <c r="F107">
        <f t="shared" si="7"/>
        <v>0</v>
      </c>
      <c r="G107">
        <f t="shared" si="8"/>
        <v>201100.78619999441</v>
      </c>
      <c r="H107">
        <f t="shared" si="9"/>
        <v>201100.78619999441</v>
      </c>
    </row>
    <row r="108" spans="1:8" x14ac:dyDescent="0.25">
      <c r="A108" s="1">
        <v>45932</v>
      </c>
      <c r="B108" s="2">
        <v>7.43</v>
      </c>
      <c r="C108" s="2">
        <v>8.74</v>
      </c>
      <c r="D108">
        <f t="shared" si="5"/>
        <v>1.9999999999999574</v>
      </c>
      <c r="E108">
        <f t="shared" si="6"/>
        <v>0</v>
      </c>
      <c r="F108">
        <f t="shared" si="7"/>
        <v>-124859.78779996728</v>
      </c>
      <c r="G108">
        <f t="shared" si="8"/>
        <v>0</v>
      </c>
      <c r="H108">
        <f t="shared" si="9"/>
        <v>-124859.78779996728</v>
      </c>
    </row>
    <row r="109" spans="1:8" x14ac:dyDescent="0.25">
      <c r="A109" s="1">
        <v>45931</v>
      </c>
      <c r="B109" s="2">
        <v>7.41</v>
      </c>
      <c r="C109" s="2">
        <v>8.74</v>
      </c>
      <c r="D109">
        <f t="shared" si="5"/>
        <v>-8.0000000000000071</v>
      </c>
      <c r="E109">
        <f t="shared" si="6"/>
        <v>1.9999999999999574</v>
      </c>
      <c r="F109">
        <f t="shared" si="7"/>
        <v>499439.15119988023</v>
      </c>
      <c r="G109">
        <f t="shared" si="8"/>
        <v>134067.19079999629</v>
      </c>
      <c r="H109">
        <f t="shared" si="9"/>
        <v>633506.34199987655</v>
      </c>
    </row>
    <row r="110" spans="1:8" x14ac:dyDescent="0.25">
      <c r="A110" s="1">
        <v>45930</v>
      </c>
      <c r="B110" s="2">
        <v>7.49</v>
      </c>
      <c r="C110" s="2">
        <v>8.7200000000000006</v>
      </c>
      <c r="D110">
        <f t="shared" si="5"/>
        <v>-1.9999999999999574</v>
      </c>
      <c r="E110">
        <f t="shared" si="6"/>
        <v>-3.9999999999999147</v>
      </c>
      <c r="F110">
        <f t="shared" si="7"/>
        <v>124859.78779996728</v>
      </c>
      <c r="G110">
        <f t="shared" si="8"/>
        <v>-268134.38159999257</v>
      </c>
      <c r="H110">
        <f t="shared" si="9"/>
        <v>-143274.59380002529</v>
      </c>
    </row>
    <row r="111" spans="1:8" x14ac:dyDescent="0.25">
      <c r="A111" s="1">
        <v>45929</v>
      </c>
      <c r="B111" s="2">
        <v>7.51</v>
      </c>
      <c r="C111" s="2">
        <v>8.76</v>
      </c>
      <c r="D111">
        <f t="shared" si="5"/>
        <v>1.9999999999999574</v>
      </c>
      <c r="E111">
        <f t="shared" si="6"/>
        <v>1.9999999999999574</v>
      </c>
      <c r="F111">
        <f t="shared" si="7"/>
        <v>-124859.78779996728</v>
      </c>
      <c r="G111">
        <f t="shared" si="8"/>
        <v>134067.19079999629</v>
      </c>
      <c r="H111">
        <f t="shared" si="9"/>
        <v>9207.4030000290077</v>
      </c>
    </row>
    <row r="112" spans="1:8" x14ac:dyDescent="0.25">
      <c r="A112" s="1">
        <v>45926</v>
      </c>
      <c r="B112" s="2">
        <v>7.49</v>
      </c>
      <c r="C112" s="2">
        <v>8.74</v>
      </c>
      <c r="D112">
        <f t="shared" si="5"/>
        <v>3.0000000000000249</v>
      </c>
      <c r="E112">
        <f t="shared" si="6"/>
        <v>1.9999999999999574</v>
      </c>
      <c r="F112">
        <f t="shared" si="7"/>
        <v>-187289.68169995648</v>
      </c>
      <c r="G112">
        <f t="shared" si="8"/>
        <v>134067.19079999629</v>
      </c>
      <c r="H112">
        <f t="shared" si="9"/>
        <v>-53222.49089996019</v>
      </c>
    </row>
    <row r="113" spans="1:8" x14ac:dyDescent="0.25">
      <c r="A113" s="1">
        <v>45925</v>
      </c>
      <c r="B113" s="2">
        <v>7.46</v>
      </c>
      <c r="C113" s="2">
        <v>8.7200000000000006</v>
      </c>
      <c r="D113">
        <f t="shared" si="5"/>
        <v>0.99999999999997868</v>
      </c>
      <c r="E113">
        <f t="shared" si="6"/>
        <v>2.000000000000135</v>
      </c>
      <c r="F113">
        <f t="shared" si="7"/>
        <v>-62429.893899983639</v>
      </c>
      <c r="G113">
        <f t="shared" si="8"/>
        <v>134067.19080000819</v>
      </c>
      <c r="H113">
        <f t="shared" si="9"/>
        <v>71637.29690002455</v>
      </c>
    </row>
    <row r="114" spans="1:8" x14ac:dyDescent="0.25">
      <c r="A114" s="1">
        <v>45924</v>
      </c>
      <c r="B114" s="2">
        <v>7.45</v>
      </c>
      <c r="C114" s="2">
        <v>8.6999999999999993</v>
      </c>
      <c r="D114">
        <f t="shared" si="5"/>
        <v>-0.99999999999997868</v>
      </c>
      <c r="E114">
        <f t="shared" si="6"/>
        <v>2.9999999999999361</v>
      </c>
      <c r="F114">
        <f t="shared" si="7"/>
        <v>62429.893899983639</v>
      </c>
      <c r="G114">
        <f t="shared" si="8"/>
        <v>201100.78619999441</v>
      </c>
      <c r="H114">
        <f t="shared" si="9"/>
        <v>263530.68009997805</v>
      </c>
    </row>
    <row r="115" spans="1:8" x14ac:dyDescent="0.25">
      <c r="A115" s="1">
        <v>45923</v>
      </c>
      <c r="B115" s="2">
        <v>7.46</v>
      </c>
      <c r="C115" s="2">
        <v>8.67</v>
      </c>
      <c r="D115">
        <f t="shared" si="5"/>
        <v>0.99999999999997868</v>
      </c>
      <c r="E115">
        <f t="shared" si="6"/>
        <v>-2.9999999999999361</v>
      </c>
      <c r="F115">
        <f t="shared" si="7"/>
        <v>-62429.893899983639</v>
      </c>
      <c r="G115">
        <f t="shared" si="8"/>
        <v>-201100.78619999441</v>
      </c>
      <c r="H115">
        <f t="shared" si="9"/>
        <v>-263530.68009997805</v>
      </c>
    </row>
    <row r="116" spans="1:8" x14ac:dyDescent="0.25">
      <c r="A116" s="1">
        <v>45922</v>
      </c>
      <c r="B116" s="2">
        <v>7.45</v>
      </c>
      <c r="C116" s="2">
        <v>8.6999999999999993</v>
      </c>
      <c r="D116">
        <f t="shared" si="5"/>
        <v>-1.9999999999999574</v>
      </c>
      <c r="E116">
        <f t="shared" si="6"/>
        <v>0.99999999999997868</v>
      </c>
      <c r="F116">
        <f t="shared" si="7"/>
        <v>124859.78779996728</v>
      </c>
      <c r="G116">
        <f t="shared" si="8"/>
        <v>67033.595399998143</v>
      </c>
      <c r="H116">
        <f t="shared" si="9"/>
        <v>191893.38319996541</v>
      </c>
    </row>
    <row r="117" spans="1:8" x14ac:dyDescent="0.25">
      <c r="A117" s="1">
        <v>45919</v>
      </c>
      <c r="B117" s="2">
        <v>7.47</v>
      </c>
      <c r="C117" s="2">
        <v>8.69</v>
      </c>
      <c r="D117">
        <f t="shared" si="5"/>
        <v>0.99999999999997868</v>
      </c>
      <c r="E117">
        <f t="shared" si="6"/>
        <v>4.9999999999998934</v>
      </c>
      <c r="F117">
        <f t="shared" si="7"/>
        <v>-62429.893899983639</v>
      </c>
      <c r="G117">
        <f t="shared" si="8"/>
        <v>335167.9769999907</v>
      </c>
      <c r="H117">
        <f t="shared" si="9"/>
        <v>272738.08310000703</v>
      </c>
    </row>
    <row r="118" spans="1:8" x14ac:dyDescent="0.25">
      <c r="A118" s="1">
        <v>45918</v>
      </c>
      <c r="B118" s="2">
        <v>7.46</v>
      </c>
      <c r="C118" s="2">
        <v>8.64</v>
      </c>
      <c r="D118">
        <f t="shared" si="5"/>
        <v>-5.9999999999999609</v>
      </c>
      <c r="E118">
        <f t="shared" si="6"/>
        <v>-5.9999999999998721</v>
      </c>
      <c r="F118">
        <f t="shared" si="7"/>
        <v>374579.36339990736</v>
      </c>
      <c r="G118">
        <f t="shared" si="8"/>
        <v>-402201.57239998883</v>
      </c>
      <c r="H118">
        <f t="shared" si="9"/>
        <v>-27622.209000081464</v>
      </c>
    </row>
    <row r="119" spans="1:8" x14ac:dyDescent="0.25">
      <c r="A119" s="1">
        <v>45917</v>
      </c>
      <c r="B119" s="2">
        <v>7.52</v>
      </c>
      <c r="C119" s="2">
        <v>8.6999999999999993</v>
      </c>
      <c r="D119">
        <f t="shared" si="5"/>
        <v>0.99999999999997868</v>
      </c>
      <c r="E119">
        <f t="shared" si="6"/>
        <v>-3.0000000000001137</v>
      </c>
      <c r="F119">
        <f t="shared" si="7"/>
        <v>-62429.893899983639</v>
      </c>
      <c r="G119">
        <f t="shared" si="8"/>
        <v>-201100.78620000632</v>
      </c>
      <c r="H119">
        <f t="shared" si="9"/>
        <v>-263530.68009998999</v>
      </c>
    </row>
    <row r="120" spans="1:8" x14ac:dyDescent="0.25">
      <c r="A120" s="1">
        <v>45916</v>
      </c>
      <c r="B120" s="2">
        <v>7.51</v>
      </c>
      <c r="C120" s="2">
        <v>8.73</v>
      </c>
      <c r="D120">
        <f t="shared" si="5"/>
        <v>0</v>
      </c>
      <c r="E120">
        <f t="shared" si="6"/>
        <v>0</v>
      </c>
      <c r="F120">
        <f t="shared" si="7"/>
        <v>0</v>
      </c>
      <c r="G120">
        <f t="shared" si="8"/>
        <v>0</v>
      </c>
      <c r="H120">
        <f t="shared" si="9"/>
        <v>0</v>
      </c>
    </row>
    <row r="121" spans="1:8" x14ac:dyDescent="0.25">
      <c r="A121" s="1">
        <v>45915</v>
      </c>
      <c r="B121" s="2">
        <v>7.51</v>
      </c>
      <c r="C121" s="2">
        <v>8.73</v>
      </c>
      <c r="D121">
        <f t="shared" si="5"/>
        <v>-4.0000000000000036</v>
      </c>
      <c r="E121">
        <f t="shared" si="6"/>
        <v>4.0000000000000924</v>
      </c>
      <c r="F121">
        <f t="shared" si="7"/>
        <v>249719.57559994012</v>
      </c>
      <c r="G121">
        <f t="shared" si="8"/>
        <v>268134.38160000445</v>
      </c>
      <c r="H121">
        <f t="shared" si="9"/>
        <v>517853.95719994453</v>
      </c>
    </row>
    <row r="122" spans="1:8" x14ac:dyDescent="0.25">
      <c r="A122" s="1">
        <v>45912</v>
      </c>
      <c r="B122" s="2">
        <v>7.55</v>
      </c>
      <c r="C122" s="2">
        <v>8.69</v>
      </c>
      <c r="D122">
        <f t="shared" si="5"/>
        <v>-0.99999999999997868</v>
      </c>
      <c r="E122">
        <f t="shared" si="6"/>
        <v>3.9999999999999147</v>
      </c>
      <c r="F122">
        <f t="shared" si="7"/>
        <v>62429.893899983639</v>
      </c>
      <c r="G122">
        <f t="shared" si="8"/>
        <v>268134.38159999257</v>
      </c>
      <c r="H122">
        <f t="shared" si="9"/>
        <v>330564.27549997624</v>
      </c>
    </row>
    <row r="123" spans="1:8" x14ac:dyDescent="0.25">
      <c r="A123" s="1">
        <v>45911</v>
      </c>
      <c r="B123" s="2">
        <v>7.56</v>
      </c>
      <c r="C123" s="2">
        <v>8.65</v>
      </c>
      <c r="D123">
        <f t="shared" si="5"/>
        <v>-3.0000000000000249</v>
      </c>
      <c r="E123">
        <f t="shared" si="6"/>
        <v>-8.9999999999999858</v>
      </c>
      <c r="F123">
        <f t="shared" si="7"/>
        <v>187289.68169995648</v>
      </c>
      <c r="G123">
        <f t="shared" si="8"/>
        <v>-603302.35859999515</v>
      </c>
      <c r="H123">
        <f t="shared" si="9"/>
        <v>-416012.67690003867</v>
      </c>
    </row>
    <row r="124" spans="1:8" x14ac:dyDescent="0.25">
      <c r="A124" s="1">
        <v>45910</v>
      </c>
      <c r="B124" s="2">
        <v>7.59</v>
      </c>
      <c r="C124" s="2">
        <v>8.74</v>
      </c>
      <c r="D124">
        <f t="shared" si="5"/>
        <v>-3.0000000000000249</v>
      </c>
      <c r="E124">
        <f t="shared" si="6"/>
        <v>-6.0000000000000497</v>
      </c>
      <c r="F124">
        <f t="shared" si="7"/>
        <v>187289.68169995648</v>
      </c>
      <c r="G124">
        <f t="shared" si="8"/>
        <v>-402201.57240000076</v>
      </c>
      <c r="H124">
        <f t="shared" si="9"/>
        <v>-214911.89070004429</v>
      </c>
    </row>
    <row r="125" spans="1:8" x14ac:dyDescent="0.25">
      <c r="A125" s="1">
        <v>45909</v>
      </c>
      <c r="B125" s="2">
        <v>7.62</v>
      </c>
      <c r="C125" s="2">
        <v>8.8000000000000007</v>
      </c>
      <c r="D125">
        <f t="shared" si="5"/>
        <v>0</v>
      </c>
      <c r="E125">
        <f t="shared" si="6"/>
        <v>2.000000000000135</v>
      </c>
      <c r="F125">
        <f t="shared" si="7"/>
        <v>0</v>
      </c>
      <c r="G125">
        <f t="shared" si="8"/>
        <v>134067.19080000819</v>
      </c>
      <c r="H125">
        <f t="shared" si="9"/>
        <v>134067.19080000819</v>
      </c>
    </row>
    <row r="126" spans="1:8" x14ac:dyDescent="0.25">
      <c r="A126" s="1">
        <v>45908</v>
      </c>
      <c r="B126" s="2">
        <v>7.62</v>
      </c>
      <c r="C126" s="2">
        <v>8.7799999999999994</v>
      </c>
      <c r="D126">
        <f t="shared" si="5"/>
        <v>-4.0000000000000036</v>
      </c>
      <c r="E126">
        <f t="shared" si="6"/>
        <v>-4.0000000000000924</v>
      </c>
      <c r="F126">
        <f t="shared" si="7"/>
        <v>249719.57559994012</v>
      </c>
      <c r="G126">
        <f t="shared" si="8"/>
        <v>-268134.38160000445</v>
      </c>
      <c r="H126">
        <f t="shared" si="9"/>
        <v>-18414.806000064331</v>
      </c>
    </row>
    <row r="127" spans="1:8" x14ac:dyDescent="0.25">
      <c r="A127" s="1">
        <v>45905</v>
      </c>
      <c r="B127" s="2">
        <v>7.66</v>
      </c>
      <c r="C127" s="2">
        <v>8.82</v>
      </c>
      <c r="D127">
        <f t="shared" si="5"/>
        <v>-8.0000000000000071</v>
      </c>
      <c r="E127">
        <f t="shared" si="6"/>
        <v>-6.0000000000000497</v>
      </c>
      <c r="F127">
        <f t="shared" si="7"/>
        <v>499439.15119988023</v>
      </c>
      <c r="G127">
        <f t="shared" si="8"/>
        <v>-402201.57240000076</v>
      </c>
      <c r="H127">
        <f t="shared" si="9"/>
        <v>97237.578799879469</v>
      </c>
    </row>
    <row r="128" spans="1:8" x14ac:dyDescent="0.25">
      <c r="A128" s="1">
        <v>45904</v>
      </c>
      <c r="B128" s="2">
        <v>7.74</v>
      </c>
      <c r="C128" s="2">
        <v>8.8800000000000008</v>
      </c>
      <c r="D128">
        <f t="shared" si="5"/>
        <v>-2.9999999999999361</v>
      </c>
      <c r="E128">
        <f t="shared" si="6"/>
        <v>-4.9999999999998934</v>
      </c>
      <c r="F128">
        <f t="shared" si="7"/>
        <v>187289.68169995092</v>
      </c>
      <c r="G128">
        <f t="shared" si="8"/>
        <v>-335167.9769999907</v>
      </c>
      <c r="H128">
        <f t="shared" si="9"/>
        <v>-147878.29530003978</v>
      </c>
    </row>
    <row r="129" spans="1:8" x14ac:dyDescent="0.25">
      <c r="A129" s="1">
        <v>45903</v>
      </c>
      <c r="B129" s="2">
        <v>7.77</v>
      </c>
      <c r="C129" s="2">
        <v>8.93</v>
      </c>
      <c r="D129">
        <f t="shared" si="5"/>
        <v>4.9999999999999822</v>
      </c>
      <c r="E129">
        <f t="shared" si="6"/>
        <v>0.99999999999997868</v>
      </c>
      <c r="F129">
        <f t="shared" si="7"/>
        <v>-312149.46949992375</v>
      </c>
      <c r="G129">
        <f t="shared" si="8"/>
        <v>67033.595399998143</v>
      </c>
      <c r="H129">
        <f t="shared" si="9"/>
        <v>-245115.87409992563</v>
      </c>
    </row>
    <row r="130" spans="1:8" x14ac:dyDescent="0.25">
      <c r="A130" s="1">
        <v>45902</v>
      </c>
      <c r="B130" s="2">
        <v>7.72</v>
      </c>
      <c r="C130" s="2">
        <v>8.92</v>
      </c>
      <c r="D130">
        <f t="shared" si="5"/>
        <v>-4.9999999999999822</v>
      </c>
      <c r="E130">
        <f t="shared" si="6"/>
        <v>0</v>
      </c>
      <c r="F130">
        <f t="shared" si="7"/>
        <v>312149.46949992375</v>
      </c>
      <c r="G130">
        <f t="shared" si="8"/>
        <v>0</v>
      </c>
      <c r="H130">
        <f t="shared" si="9"/>
        <v>312149.46949992375</v>
      </c>
    </row>
    <row r="131" spans="1:8" x14ac:dyDescent="0.25">
      <c r="A131" s="1">
        <v>45901</v>
      </c>
      <c r="B131" s="2">
        <v>7.77</v>
      </c>
      <c r="C131" s="2">
        <v>8.92</v>
      </c>
      <c r="D131">
        <f t="shared" ref="D131:D194" si="10">(B131-B132)*100</f>
        <v>0</v>
      </c>
      <c r="E131">
        <f t="shared" ref="E131:E194" si="11">(C131-C132)*100</f>
        <v>0</v>
      </c>
      <c r="F131">
        <f t="shared" ref="F131:F194" si="12">-D131*$R$3</f>
        <v>0</v>
      </c>
      <c r="G131">
        <f t="shared" ref="G131:G194" si="13">-E131*$R$4</f>
        <v>0</v>
      </c>
      <c r="H131">
        <f t="shared" ref="H131:H194" si="14">F131+G131</f>
        <v>0</v>
      </c>
    </row>
    <row r="132" spans="1:8" x14ac:dyDescent="0.25">
      <c r="A132" s="1">
        <v>45898</v>
      </c>
      <c r="B132" s="2">
        <v>7.77</v>
      </c>
      <c r="C132" s="2">
        <v>8.92</v>
      </c>
      <c r="D132">
        <f t="shared" si="10"/>
        <v>0</v>
      </c>
      <c r="E132">
        <f t="shared" si="11"/>
        <v>1.9999999999999574</v>
      </c>
      <c r="F132">
        <f t="shared" si="12"/>
        <v>0</v>
      </c>
      <c r="G132">
        <f t="shared" si="13"/>
        <v>134067.19079999629</v>
      </c>
      <c r="H132">
        <f t="shared" si="14"/>
        <v>134067.19079999629</v>
      </c>
    </row>
    <row r="133" spans="1:8" x14ac:dyDescent="0.25">
      <c r="A133" s="1">
        <v>45897</v>
      </c>
      <c r="B133" s="2">
        <v>7.77</v>
      </c>
      <c r="C133" s="2">
        <v>8.9</v>
      </c>
      <c r="D133">
        <f t="shared" si="10"/>
        <v>-2.0000000000000462</v>
      </c>
      <c r="E133">
        <f t="shared" si="11"/>
        <v>-1.9999999999999574</v>
      </c>
      <c r="F133">
        <f t="shared" si="12"/>
        <v>124859.78779997282</v>
      </c>
      <c r="G133">
        <f t="shared" si="13"/>
        <v>-134067.19079999629</v>
      </c>
      <c r="H133">
        <f t="shared" si="14"/>
        <v>-9207.4030000234634</v>
      </c>
    </row>
    <row r="134" spans="1:8" x14ac:dyDescent="0.25">
      <c r="A134" s="1">
        <v>45896</v>
      </c>
      <c r="B134" s="2">
        <v>7.79</v>
      </c>
      <c r="C134" s="2">
        <v>8.92</v>
      </c>
      <c r="D134">
        <f t="shared" si="10"/>
        <v>2.0000000000000462</v>
      </c>
      <c r="E134">
        <f t="shared" si="11"/>
        <v>-1.9999999999999574</v>
      </c>
      <c r="F134">
        <f t="shared" si="12"/>
        <v>-124859.78779997282</v>
      </c>
      <c r="G134">
        <f t="shared" si="13"/>
        <v>-134067.19079999629</v>
      </c>
      <c r="H134">
        <f t="shared" si="14"/>
        <v>-258926.97859996912</v>
      </c>
    </row>
    <row r="135" spans="1:8" x14ac:dyDescent="0.25">
      <c r="A135" s="1">
        <v>45895</v>
      </c>
      <c r="B135" s="2">
        <v>7.77</v>
      </c>
      <c r="C135" s="2">
        <v>8.94</v>
      </c>
      <c r="D135">
        <f t="shared" si="10"/>
        <v>0</v>
      </c>
      <c r="E135">
        <f t="shared" si="11"/>
        <v>-0.99999999999997868</v>
      </c>
      <c r="F135">
        <f t="shared" si="12"/>
        <v>0</v>
      </c>
      <c r="G135">
        <f t="shared" si="13"/>
        <v>-67033.595399998143</v>
      </c>
      <c r="H135">
        <f t="shared" si="14"/>
        <v>-67033.595399998143</v>
      </c>
    </row>
    <row r="136" spans="1:8" x14ac:dyDescent="0.25">
      <c r="A136" s="1">
        <v>45894</v>
      </c>
      <c r="B136" s="2">
        <v>7.77</v>
      </c>
      <c r="C136" s="2">
        <v>8.9499999999999993</v>
      </c>
      <c r="D136">
        <f t="shared" si="10"/>
        <v>-2.0000000000000462</v>
      </c>
      <c r="E136">
        <f t="shared" si="11"/>
        <v>1.9999999999999574</v>
      </c>
      <c r="F136">
        <f t="shared" si="12"/>
        <v>124859.78779997282</v>
      </c>
      <c r="G136">
        <f t="shared" si="13"/>
        <v>134067.19079999629</v>
      </c>
      <c r="H136">
        <f t="shared" si="14"/>
        <v>258926.97859996912</v>
      </c>
    </row>
    <row r="137" spans="1:8" x14ac:dyDescent="0.25">
      <c r="A137" s="1">
        <v>45891</v>
      </c>
      <c r="B137" s="2">
        <v>7.79</v>
      </c>
      <c r="C137" s="2">
        <v>8.93</v>
      </c>
      <c r="D137">
        <f t="shared" si="10"/>
        <v>-9.9999999999999645</v>
      </c>
      <c r="E137">
        <f t="shared" si="11"/>
        <v>-16.000000000000014</v>
      </c>
      <c r="F137">
        <f t="shared" si="12"/>
        <v>624298.93899984751</v>
      </c>
      <c r="G137">
        <f t="shared" si="13"/>
        <v>-1072537.526399994</v>
      </c>
      <c r="H137">
        <f t="shared" si="14"/>
        <v>-448238.58740014653</v>
      </c>
    </row>
    <row r="138" spans="1:8" x14ac:dyDescent="0.25">
      <c r="A138" s="1">
        <v>45890</v>
      </c>
      <c r="B138" s="2">
        <v>7.89</v>
      </c>
      <c r="C138" s="2">
        <v>9.09</v>
      </c>
      <c r="D138">
        <f t="shared" si="10"/>
        <v>6.9999999999999396</v>
      </c>
      <c r="E138">
        <f t="shared" si="11"/>
        <v>2.9999999999999361</v>
      </c>
      <c r="F138">
        <f t="shared" si="12"/>
        <v>-437009.25729989103</v>
      </c>
      <c r="G138">
        <f t="shared" si="13"/>
        <v>201100.78619999441</v>
      </c>
      <c r="H138">
        <f t="shared" si="14"/>
        <v>-235908.47109989662</v>
      </c>
    </row>
    <row r="139" spans="1:8" x14ac:dyDescent="0.25">
      <c r="A139" s="1">
        <v>45889</v>
      </c>
      <c r="B139" s="2">
        <v>7.82</v>
      </c>
      <c r="C139" s="2">
        <v>9.06</v>
      </c>
      <c r="D139">
        <f t="shared" si="10"/>
        <v>-4.0000000000000036</v>
      </c>
      <c r="E139">
        <f t="shared" si="11"/>
        <v>0.99999999999997868</v>
      </c>
      <c r="F139">
        <f t="shared" si="12"/>
        <v>249719.57559994012</v>
      </c>
      <c r="G139">
        <f t="shared" si="13"/>
        <v>67033.595399998143</v>
      </c>
      <c r="H139">
        <f t="shared" si="14"/>
        <v>316753.17099993827</v>
      </c>
    </row>
    <row r="140" spans="1:8" x14ac:dyDescent="0.25">
      <c r="A140" s="1">
        <v>45888</v>
      </c>
      <c r="B140" s="2">
        <v>7.86</v>
      </c>
      <c r="C140" s="2">
        <v>9.0500000000000007</v>
      </c>
      <c r="D140">
        <f t="shared" si="10"/>
        <v>-0.99999999999997868</v>
      </c>
      <c r="E140">
        <f t="shared" si="11"/>
        <v>-3.9999999999999147</v>
      </c>
      <c r="F140">
        <f t="shared" si="12"/>
        <v>62429.893899983639</v>
      </c>
      <c r="G140">
        <f t="shared" si="13"/>
        <v>-268134.38159999257</v>
      </c>
      <c r="H140">
        <f t="shared" si="14"/>
        <v>-205704.48770000893</v>
      </c>
    </row>
    <row r="141" spans="1:8" x14ac:dyDescent="0.25">
      <c r="A141" s="1">
        <v>45887</v>
      </c>
      <c r="B141" s="2">
        <v>7.87</v>
      </c>
      <c r="C141" s="2">
        <v>9.09</v>
      </c>
      <c r="D141">
        <f t="shared" si="10"/>
        <v>0</v>
      </c>
      <c r="E141">
        <f t="shared" si="11"/>
        <v>2.9999999999999361</v>
      </c>
      <c r="F141">
        <f t="shared" si="12"/>
        <v>0</v>
      </c>
      <c r="G141">
        <f t="shared" si="13"/>
        <v>201100.78619999441</v>
      </c>
      <c r="H141">
        <f t="shared" si="14"/>
        <v>201100.78619999441</v>
      </c>
    </row>
    <row r="142" spans="1:8" x14ac:dyDescent="0.25">
      <c r="A142" s="1">
        <v>45884</v>
      </c>
      <c r="B142" s="2">
        <v>7.87</v>
      </c>
      <c r="C142" s="2">
        <v>9.06</v>
      </c>
      <c r="D142">
        <f t="shared" si="10"/>
        <v>3.0000000000000249</v>
      </c>
      <c r="E142">
        <f t="shared" si="11"/>
        <v>3.0000000000001137</v>
      </c>
      <c r="F142">
        <f t="shared" si="12"/>
        <v>-187289.68169995648</v>
      </c>
      <c r="G142">
        <f t="shared" si="13"/>
        <v>201100.78620000632</v>
      </c>
      <c r="H142">
        <f t="shared" si="14"/>
        <v>13811.104500049842</v>
      </c>
    </row>
    <row r="143" spans="1:8" x14ac:dyDescent="0.25">
      <c r="A143" s="1">
        <v>45883</v>
      </c>
      <c r="B143" s="2">
        <v>7.84</v>
      </c>
      <c r="C143" s="2">
        <v>9.0299999999999994</v>
      </c>
      <c r="D143">
        <f t="shared" si="10"/>
        <v>0.99999999999997868</v>
      </c>
      <c r="E143">
        <f t="shared" si="11"/>
        <v>3.9999999999999147</v>
      </c>
      <c r="F143">
        <f t="shared" si="12"/>
        <v>-62429.893899983639</v>
      </c>
      <c r="G143">
        <f t="shared" si="13"/>
        <v>268134.38159999257</v>
      </c>
      <c r="H143">
        <f t="shared" si="14"/>
        <v>205704.48770000893</v>
      </c>
    </row>
    <row r="144" spans="1:8" x14ac:dyDescent="0.25">
      <c r="A144" s="1">
        <v>45882</v>
      </c>
      <c r="B144" s="2">
        <v>7.83</v>
      </c>
      <c r="C144" s="2">
        <v>8.99</v>
      </c>
      <c r="D144">
        <f t="shared" si="10"/>
        <v>0</v>
      </c>
      <c r="E144">
        <f t="shared" si="11"/>
        <v>-6.0000000000000497</v>
      </c>
      <c r="F144">
        <f t="shared" si="12"/>
        <v>0</v>
      </c>
      <c r="G144">
        <f t="shared" si="13"/>
        <v>-402201.57240000076</v>
      </c>
      <c r="H144">
        <f t="shared" si="14"/>
        <v>-402201.57240000076</v>
      </c>
    </row>
    <row r="145" spans="1:8" x14ac:dyDescent="0.25">
      <c r="A145" s="1">
        <v>45881</v>
      </c>
      <c r="B145" s="2">
        <v>7.83</v>
      </c>
      <c r="C145" s="2">
        <v>9.0500000000000007</v>
      </c>
      <c r="D145">
        <f t="shared" si="10"/>
        <v>-3.0000000000000249</v>
      </c>
      <c r="E145">
        <f t="shared" si="11"/>
        <v>-2.9999999999999361</v>
      </c>
      <c r="F145">
        <f t="shared" si="12"/>
        <v>187289.68169995648</v>
      </c>
      <c r="G145">
        <f t="shared" si="13"/>
        <v>-201100.78619999441</v>
      </c>
      <c r="H145">
        <f t="shared" si="14"/>
        <v>-13811.104500037938</v>
      </c>
    </row>
    <row r="146" spans="1:8" x14ac:dyDescent="0.25">
      <c r="A146" s="1">
        <v>45880</v>
      </c>
      <c r="B146" s="2">
        <v>7.86</v>
      </c>
      <c r="C146" s="2">
        <v>9.08</v>
      </c>
      <c r="D146">
        <f t="shared" si="10"/>
        <v>-4.0000000000000036</v>
      </c>
      <c r="E146">
        <f t="shared" si="11"/>
        <v>-1.9999999999999574</v>
      </c>
      <c r="F146">
        <f t="shared" si="12"/>
        <v>249719.57559994012</v>
      </c>
      <c r="G146">
        <f t="shared" si="13"/>
        <v>-134067.19079999629</v>
      </c>
      <c r="H146">
        <f t="shared" si="14"/>
        <v>115652.38479994383</v>
      </c>
    </row>
    <row r="147" spans="1:8" x14ac:dyDescent="0.25">
      <c r="A147" s="1">
        <v>45877</v>
      </c>
      <c r="B147" s="2">
        <v>7.9</v>
      </c>
      <c r="C147" s="2">
        <v>9.1</v>
      </c>
      <c r="D147">
        <f t="shared" si="10"/>
        <v>4.0000000000000036</v>
      </c>
      <c r="E147">
        <f t="shared" si="11"/>
        <v>4.9999999999998934</v>
      </c>
      <c r="F147">
        <f t="shared" si="12"/>
        <v>-249719.57559994012</v>
      </c>
      <c r="G147">
        <f t="shared" si="13"/>
        <v>335167.9769999907</v>
      </c>
      <c r="H147">
        <f t="shared" si="14"/>
        <v>85448.401400050585</v>
      </c>
    </row>
    <row r="148" spans="1:8" x14ac:dyDescent="0.25">
      <c r="A148" s="1">
        <v>45876</v>
      </c>
      <c r="B148" s="2">
        <v>7.86</v>
      </c>
      <c r="C148" s="2">
        <v>9.0500000000000007</v>
      </c>
      <c r="D148">
        <f t="shared" si="10"/>
        <v>-6.9999999999999396</v>
      </c>
      <c r="E148">
        <f t="shared" si="11"/>
        <v>-4.9999999999998934</v>
      </c>
      <c r="F148">
        <f t="shared" si="12"/>
        <v>437009.25729989103</v>
      </c>
      <c r="G148">
        <f t="shared" si="13"/>
        <v>-335167.9769999907</v>
      </c>
      <c r="H148">
        <f t="shared" si="14"/>
        <v>101841.28029990033</v>
      </c>
    </row>
    <row r="149" spans="1:8" x14ac:dyDescent="0.25">
      <c r="A149" s="1">
        <v>45875</v>
      </c>
      <c r="B149" s="2">
        <v>7.93</v>
      </c>
      <c r="C149" s="2">
        <v>9.1</v>
      </c>
      <c r="D149">
        <f t="shared" si="10"/>
        <v>-6.0000000000000497</v>
      </c>
      <c r="E149">
        <f t="shared" si="11"/>
        <v>-5.0000000000000711</v>
      </c>
      <c r="F149">
        <f t="shared" si="12"/>
        <v>374579.36339991295</v>
      </c>
      <c r="G149">
        <f t="shared" si="13"/>
        <v>-335167.97700000263</v>
      </c>
      <c r="H149">
        <f t="shared" si="14"/>
        <v>39411.38639991032</v>
      </c>
    </row>
    <row r="150" spans="1:8" x14ac:dyDescent="0.25">
      <c r="A150" s="1">
        <v>45874</v>
      </c>
      <c r="B150" s="2">
        <v>7.99</v>
      </c>
      <c r="C150" s="2">
        <v>9.15</v>
      </c>
      <c r="D150">
        <f t="shared" si="10"/>
        <v>-2.9999999999999361</v>
      </c>
      <c r="E150">
        <f t="shared" si="11"/>
        <v>5.0000000000000711</v>
      </c>
      <c r="F150">
        <f t="shared" si="12"/>
        <v>187289.68169995092</v>
      </c>
      <c r="G150">
        <f t="shared" si="13"/>
        <v>335167.97700000263</v>
      </c>
      <c r="H150">
        <f t="shared" si="14"/>
        <v>522457.65869995358</v>
      </c>
    </row>
    <row r="151" spans="1:8" x14ac:dyDescent="0.25">
      <c r="A151" s="1">
        <v>45873</v>
      </c>
      <c r="B151" s="2">
        <v>8.02</v>
      </c>
      <c r="C151" s="2">
        <v>9.1</v>
      </c>
      <c r="D151">
        <f t="shared" si="10"/>
        <v>0.99999999999997868</v>
      </c>
      <c r="E151">
        <f t="shared" si="11"/>
        <v>-3.0000000000001137</v>
      </c>
      <c r="F151">
        <f t="shared" si="12"/>
        <v>-62429.893899983639</v>
      </c>
      <c r="G151">
        <f t="shared" si="13"/>
        <v>-201100.78620000632</v>
      </c>
      <c r="H151">
        <f t="shared" si="14"/>
        <v>-263530.68009998999</v>
      </c>
    </row>
    <row r="152" spans="1:8" x14ac:dyDescent="0.25">
      <c r="A152" s="1">
        <v>45870</v>
      </c>
      <c r="B152" s="2">
        <v>8.01</v>
      </c>
      <c r="C152" s="2">
        <v>9.1300000000000008</v>
      </c>
      <c r="D152">
        <f t="shared" si="10"/>
        <v>-7.0000000000000284</v>
      </c>
      <c r="E152">
        <f t="shared" si="11"/>
        <v>-16.999999999999993</v>
      </c>
      <c r="F152">
        <f t="shared" si="12"/>
        <v>437009.25729989656</v>
      </c>
      <c r="G152">
        <f t="shared" si="13"/>
        <v>-1139571.1217999922</v>
      </c>
      <c r="H152">
        <f t="shared" si="14"/>
        <v>-702561.8645000956</v>
      </c>
    </row>
    <row r="153" spans="1:8" x14ac:dyDescent="0.25">
      <c r="A153" s="1">
        <v>45869</v>
      </c>
      <c r="B153" s="2">
        <v>8.08</v>
      </c>
      <c r="C153" s="2">
        <v>9.3000000000000007</v>
      </c>
      <c r="D153">
        <f t="shared" si="10"/>
        <v>-0.99999999999997868</v>
      </c>
      <c r="E153">
        <f t="shared" si="11"/>
        <v>-0.99999999999997868</v>
      </c>
      <c r="F153">
        <f t="shared" si="12"/>
        <v>62429.893899983639</v>
      </c>
      <c r="G153">
        <f t="shared" si="13"/>
        <v>-67033.595399998143</v>
      </c>
      <c r="H153">
        <f t="shared" si="14"/>
        <v>-4603.7015000145038</v>
      </c>
    </row>
    <row r="154" spans="1:8" x14ac:dyDescent="0.25">
      <c r="A154" s="1">
        <v>45868</v>
      </c>
      <c r="B154" s="2">
        <v>8.09</v>
      </c>
      <c r="C154" s="2">
        <v>9.31</v>
      </c>
      <c r="D154">
        <f t="shared" si="10"/>
        <v>-0.99999999999997868</v>
      </c>
      <c r="E154">
        <f t="shared" si="11"/>
        <v>-0.99999999999997868</v>
      </c>
      <c r="F154">
        <f t="shared" si="12"/>
        <v>62429.893899983639</v>
      </c>
      <c r="G154">
        <f t="shared" si="13"/>
        <v>-67033.595399998143</v>
      </c>
      <c r="H154">
        <f t="shared" si="14"/>
        <v>-4603.7015000145038</v>
      </c>
    </row>
    <row r="155" spans="1:8" x14ac:dyDescent="0.25">
      <c r="A155" s="1">
        <v>45867</v>
      </c>
      <c r="B155" s="2">
        <v>8.1</v>
      </c>
      <c r="C155" s="2">
        <v>9.32</v>
      </c>
      <c r="D155">
        <f t="shared" si="10"/>
        <v>-3.0000000000001137</v>
      </c>
      <c r="E155">
        <f t="shared" si="11"/>
        <v>-8.0000000000000071</v>
      </c>
      <c r="F155">
        <f t="shared" si="12"/>
        <v>187289.68169996201</v>
      </c>
      <c r="G155">
        <f t="shared" si="13"/>
        <v>-536268.76319999702</v>
      </c>
      <c r="H155">
        <f t="shared" si="14"/>
        <v>-348979.08150003501</v>
      </c>
    </row>
    <row r="156" spans="1:8" x14ac:dyDescent="0.25">
      <c r="A156" s="1">
        <v>45866</v>
      </c>
      <c r="B156" s="2">
        <v>8.1300000000000008</v>
      </c>
      <c r="C156" s="2">
        <v>9.4</v>
      </c>
      <c r="D156">
        <f t="shared" si="10"/>
        <v>7.0000000000000284</v>
      </c>
      <c r="E156">
        <f t="shared" si="11"/>
        <v>9.9999999999999645</v>
      </c>
      <c r="F156">
        <f t="shared" si="12"/>
        <v>-437009.25729989656</v>
      </c>
      <c r="G156">
        <f t="shared" si="13"/>
        <v>670335.95399999327</v>
      </c>
      <c r="H156">
        <f t="shared" si="14"/>
        <v>233326.69670009671</v>
      </c>
    </row>
    <row r="157" spans="1:8" x14ac:dyDescent="0.25">
      <c r="A157" s="1">
        <v>45863</v>
      </c>
      <c r="B157" s="2">
        <v>8.06</v>
      </c>
      <c r="C157" s="2">
        <v>9.3000000000000007</v>
      </c>
      <c r="D157">
        <f t="shared" si="10"/>
        <v>-2.9999999999999361</v>
      </c>
      <c r="E157">
        <f t="shared" si="11"/>
        <v>1.0000000000001563</v>
      </c>
      <c r="F157">
        <f t="shared" si="12"/>
        <v>187289.68169995092</v>
      </c>
      <c r="G157">
        <f t="shared" si="13"/>
        <v>67033.595400010046</v>
      </c>
      <c r="H157">
        <f t="shared" si="14"/>
        <v>254323.27709996095</v>
      </c>
    </row>
    <row r="158" spans="1:8" x14ac:dyDescent="0.25">
      <c r="A158" s="1">
        <v>45862</v>
      </c>
      <c r="B158" s="2">
        <v>8.09</v>
      </c>
      <c r="C158" s="2">
        <v>9.2899999999999991</v>
      </c>
      <c r="D158">
        <f t="shared" si="10"/>
        <v>-4.0000000000000924</v>
      </c>
      <c r="E158">
        <f t="shared" si="11"/>
        <v>2.9999999999999361</v>
      </c>
      <c r="F158">
        <f t="shared" si="12"/>
        <v>249719.57559994565</v>
      </c>
      <c r="G158">
        <f t="shared" si="13"/>
        <v>201100.78619999441</v>
      </c>
      <c r="H158">
        <f t="shared" si="14"/>
        <v>450820.36179994006</v>
      </c>
    </row>
    <row r="159" spans="1:8" x14ac:dyDescent="0.25">
      <c r="A159" s="1">
        <v>45861</v>
      </c>
      <c r="B159" s="2">
        <v>8.1300000000000008</v>
      </c>
      <c r="C159" s="2">
        <v>9.26</v>
      </c>
      <c r="D159">
        <f t="shared" si="10"/>
        <v>-1.9999999999999574</v>
      </c>
      <c r="E159">
        <f t="shared" si="11"/>
        <v>-1.9999999999999574</v>
      </c>
      <c r="F159">
        <f t="shared" si="12"/>
        <v>124859.78779996728</v>
      </c>
      <c r="G159">
        <f t="shared" si="13"/>
        <v>-134067.19079999629</v>
      </c>
      <c r="H159">
        <f t="shared" si="14"/>
        <v>-9207.4030000290077</v>
      </c>
    </row>
    <row r="160" spans="1:8" x14ac:dyDescent="0.25">
      <c r="A160" s="1">
        <v>45860</v>
      </c>
      <c r="B160" s="2">
        <v>8.15</v>
      </c>
      <c r="C160" s="2">
        <v>9.2799999999999994</v>
      </c>
      <c r="D160">
        <f t="shared" si="10"/>
        <v>-0.99999999999997868</v>
      </c>
      <c r="E160">
        <f t="shared" si="11"/>
        <v>20.999999999999908</v>
      </c>
      <c r="F160">
        <f t="shared" si="12"/>
        <v>62429.893899983639</v>
      </c>
      <c r="G160">
        <f t="shared" si="13"/>
        <v>1407705.5033999847</v>
      </c>
      <c r="H160">
        <f t="shared" si="14"/>
        <v>1470135.3972999684</v>
      </c>
    </row>
    <row r="161" spans="1:8" x14ac:dyDescent="0.25">
      <c r="A161" s="1">
        <v>45859</v>
      </c>
      <c r="B161" s="2">
        <v>8.16</v>
      </c>
      <c r="C161" s="2">
        <v>9.07</v>
      </c>
      <c r="D161">
        <f t="shared" si="10"/>
        <v>1.9999999999999574</v>
      </c>
      <c r="E161">
        <f t="shared" si="11"/>
        <v>-1.9999999999999574</v>
      </c>
      <c r="F161">
        <f t="shared" si="12"/>
        <v>-124859.78779996728</v>
      </c>
      <c r="G161">
        <f t="shared" si="13"/>
        <v>-134067.19079999629</v>
      </c>
      <c r="H161">
        <f t="shared" si="14"/>
        <v>-258926.97859996356</v>
      </c>
    </row>
    <row r="162" spans="1:8" x14ac:dyDescent="0.25">
      <c r="A162" s="1">
        <v>45856</v>
      </c>
      <c r="B162" s="2">
        <v>8.14</v>
      </c>
      <c r="C162" s="2">
        <v>9.09</v>
      </c>
      <c r="D162">
        <f t="shared" si="10"/>
        <v>2.000000000000135</v>
      </c>
      <c r="E162">
        <f t="shared" si="11"/>
        <v>8.0000000000000071</v>
      </c>
      <c r="F162">
        <f t="shared" si="12"/>
        <v>-124859.78779997837</v>
      </c>
      <c r="G162">
        <f t="shared" si="13"/>
        <v>536268.76319999702</v>
      </c>
      <c r="H162">
        <f t="shared" si="14"/>
        <v>411408.97540001862</v>
      </c>
    </row>
    <row r="163" spans="1:8" x14ac:dyDescent="0.25">
      <c r="A163" s="1">
        <v>45855</v>
      </c>
      <c r="B163" s="2">
        <v>8.1199999999999992</v>
      </c>
      <c r="C163" s="2">
        <v>9.01</v>
      </c>
      <c r="D163">
        <f t="shared" si="10"/>
        <v>-1.0000000000001563</v>
      </c>
      <c r="E163">
        <f t="shared" si="11"/>
        <v>2.9999999999999361</v>
      </c>
      <c r="F163">
        <f t="shared" si="12"/>
        <v>62429.893899994728</v>
      </c>
      <c r="G163">
        <f t="shared" si="13"/>
        <v>201100.78619999441</v>
      </c>
      <c r="H163">
        <f t="shared" si="14"/>
        <v>263530.68009998917</v>
      </c>
    </row>
    <row r="164" spans="1:8" x14ac:dyDescent="0.25">
      <c r="A164" s="1">
        <v>45854</v>
      </c>
      <c r="B164" s="2">
        <v>8.1300000000000008</v>
      </c>
      <c r="C164" s="2">
        <v>8.98</v>
      </c>
      <c r="D164">
        <f t="shared" si="10"/>
        <v>-0.99999999999997868</v>
      </c>
      <c r="E164">
        <f t="shared" si="11"/>
        <v>-0.99999999999997868</v>
      </c>
      <c r="F164">
        <f t="shared" si="12"/>
        <v>62429.893899983639</v>
      </c>
      <c r="G164">
        <f t="shared" si="13"/>
        <v>-67033.595399998143</v>
      </c>
      <c r="H164">
        <f t="shared" si="14"/>
        <v>-4603.7015000145038</v>
      </c>
    </row>
    <row r="165" spans="1:8" x14ac:dyDescent="0.25">
      <c r="A165" s="1">
        <v>45853</v>
      </c>
      <c r="B165" s="2">
        <v>8.14</v>
      </c>
      <c r="C165" s="2">
        <v>8.99</v>
      </c>
      <c r="D165">
        <f t="shared" si="10"/>
        <v>0</v>
      </c>
      <c r="E165">
        <f t="shared" si="11"/>
        <v>2.9999999999999361</v>
      </c>
      <c r="F165">
        <f t="shared" si="12"/>
        <v>0</v>
      </c>
      <c r="G165">
        <f t="shared" si="13"/>
        <v>201100.78619999441</v>
      </c>
      <c r="H165">
        <f t="shared" si="14"/>
        <v>201100.78619999441</v>
      </c>
    </row>
    <row r="166" spans="1:8" x14ac:dyDescent="0.25">
      <c r="A166" s="1">
        <v>45852</v>
      </c>
      <c r="B166" s="2">
        <v>8.14</v>
      </c>
      <c r="C166" s="2">
        <v>8.9600000000000009</v>
      </c>
      <c r="D166">
        <f t="shared" si="10"/>
        <v>4.0000000000000924</v>
      </c>
      <c r="E166">
        <f t="shared" si="11"/>
        <v>-0.99999999999997868</v>
      </c>
      <c r="F166">
        <f t="shared" si="12"/>
        <v>-249719.57559994565</v>
      </c>
      <c r="G166">
        <f t="shared" si="13"/>
        <v>-67033.595399998143</v>
      </c>
      <c r="H166">
        <f t="shared" si="14"/>
        <v>-316753.1709999438</v>
      </c>
    </row>
    <row r="167" spans="1:8" x14ac:dyDescent="0.25">
      <c r="A167" s="1">
        <v>45849</v>
      </c>
      <c r="B167" s="2">
        <v>8.1</v>
      </c>
      <c r="C167" s="2">
        <v>8.9700000000000006</v>
      </c>
      <c r="D167">
        <f t="shared" si="10"/>
        <v>1.9999999999999574</v>
      </c>
      <c r="E167">
        <f t="shared" si="11"/>
        <v>4.0000000000000924</v>
      </c>
      <c r="F167">
        <f t="shared" si="12"/>
        <v>-124859.78779996728</v>
      </c>
      <c r="G167">
        <f t="shared" si="13"/>
        <v>268134.38160000445</v>
      </c>
      <c r="H167">
        <f t="shared" si="14"/>
        <v>143274.59380003717</v>
      </c>
    </row>
    <row r="168" spans="1:8" x14ac:dyDescent="0.25">
      <c r="A168" s="1">
        <v>45848</v>
      </c>
      <c r="B168" s="2">
        <v>8.08</v>
      </c>
      <c r="C168" s="2">
        <v>8.93</v>
      </c>
      <c r="D168">
        <f t="shared" si="10"/>
        <v>-6.0000000000000497</v>
      </c>
      <c r="E168">
        <f t="shared" si="11"/>
        <v>2.9999999999999361</v>
      </c>
      <c r="F168">
        <f t="shared" si="12"/>
        <v>374579.36339991295</v>
      </c>
      <c r="G168">
        <f t="shared" si="13"/>
        <v>201100.78619999441</v>
      </c>
      <c r="H168">
        <f t="shared" si="14"/>
        <v>575680.14959990734</v>
      </c>
    </row>
    <row r="169" spans="1:8" x14ac:dyDescent="0.25">
      <c r="A169" s="1">
        <v>45847</v>
      </c>
      <c r="B169" s="2">
        <v>8.14</v>
      </c>
      <c r="C169" s="2">
        <v>8.9</v>
      </c>
      <c r="D169">
        <f t="shared" si="10"/>
        <v>0</v>
      </c>
      <c r="E169">
        <f t="shared" si="11"/>
        <v>-4.9999999999998934</v>
      </c>
      <c r="F169">
        <f t="shared" si="12"/>
        <v>0</v>
      </c>
      <c r="G169">
        <f t="shared" si="13"/>
        <v>-335167.9769999907</v>
      </c>
      <c r="H169">
        <f t="shared" si="14"/>
        <v>-335167.9769999907</v>
      </c>
    </row>
    <row r="170" spans="1:8" x14ac:dyDescent="0.25">
      <c r="A170" s="1">
        <v>45846</v>
      </c>
      <c r="B170" s="2">
        <v>8.14</v>
      </c>
      <c r="C170" s="2">
        <v>8.9499999999999993</v>
      </c>
      <c r="D170">
        <f t="shared" si="10"/>
        <v>-0.99999999999997868</v>
      </c>
      <c r="E170">
        <f t="shared" si="11"/>
        <v>3.9999999999999147</v>
      </c>
      <c r="F170">
        <f t="shared" si="12"/>
        <v>62429.893899983639</v>
      </c>
      <c r="G170">
        <f t="shared" si="13"/>
        <v>268134.38159999257</v>
      </c>
      <c r="H170">
        <f t="shared" si="14"/>
        <v>330564.27549997624</v>
      </c>
    </row>
    <row r="171" spans="1:8" x14ac:dyDescent="0.25">
      <c r="A171" s="1">
        <v>45845</v>
      </c>
      <c r="B171" s="2">
        <v>8.15</v>
      </c>
      <c r="C171" s="2">
        <v>8.91</v>
      </c>
      <c r="D171">
        <f t="shared" si="10"/>
        <v>-1.9999999999999574</v>
      </c>
      <c r="E171">
        <f t="shared" si="11"/>
        <v>4.0000000000000924</v>
      </c>
      <c r="F171">
        <f t="shared" si="12"/>
        <v>124859.78779996728</v>
      </c>
      <c r="G171">
        <f t="shared" si="13"/>
        <v>268134.38160000445</v>
      </c>
      <c r="H171">
        <f t="shared" si="14"/>
        <v>392994.16939997172</v>
      </c>
    </row>
    <row r="172" spans="1:8" x14ac:dyDescent="0.25">
      <c r="A172" s="1">
        <v>45842</v>
      </c>
      <c r="B172" s="2">
        <v>8.17</v>
      </c>
      <c r="C172" s="2">
        <v>8.8699999999999992</v>
      </c>
      <c r="D172">
        <f t="shared" si="10"/>
        <v>3.9999999999999147</v>
      </c>
      <c r="E172">
        <f t="shared" si="11"/>
        <v>5.9999999999998721</v>
      </c>
      <c r="F172">
        <f t="shared" si="12"/>
        <v>-249719.57559993456</v>
      </c>
      <c r="G172">
        <f t="shared" si="13"/>
        <v>402201.57239998883</v>
      </c>
      <c r="H172">
        <f t="shared" si="14"/>
        <v>152481.99680005427</v>
      </c>
    </row>
    <row r="173" spans="1:8" x14ac:dyDescent="0.25">
      <c r="A173" s="1">
        <v>45841</v>
      </c>
      <c r="B173" s="2">
        <v>8.1300000000000008</v>
      </c>
      <c r="C173" s="2">
        <v>8.81</v>
      </c>
      <c r="D173">
        <f t="shared" si="10"/>
        <v>2.000000000000135</v>
      </c>
      <c r="E173">
        <f t="shared" si="11"/>
        <v>6.0000000000000497</v>
      </c>
      <c r="F173">
        <f t="shared" si="12"/>
        <v>-124859.78779997837</v>
      </c>
      <c r="G173">
        <f t="shared" si="13"/>
        <v>402201.57240000076</v>
      </c>
      <c r="H173">
        <f t="shared" si="14"/>
        <v>277341.78460002237</v>
      </c>
    </row>
    <row r="174" spans="1:8" x14ac:dyDescent="0.25">
      <c r="A174" s="1">
        <v>45840</v>
      </c>
      <c r="B174" s="2">
        <v>8.11</v>
      </c>
      <c r="C174" s="2">
        <v>8.75</v>
      </c>
      <c r="D174">
        <f t="shared" si="10"/>
        <v>-4.0000000000000924</v>
      </c>
      <c r="E174">
        <f t="shared" si="11"/>
        <v>-2.9999999999999361</v>
      </c>
      <c r="F174">
        <f t="shared" si="12"/>
        <v>249719.57559994565</v>
      </c>
      <c r="G174">
        <f t="shared" si="13"/>
        <v>-201100.78619999441</v>
      </c>
      <c r="H174">
        <f t="shared" si="14"/>
        <v>48618.789399951231</v>
      </c>
    </row>
    <row r="175" spans="1:8" x14ac:dyDescent="0.25">
      <c r="A175" s="1">
        <v>45839</v>
      </c>
      <c r="B175" s="2">
        <v>8.15</v>
      </c>
      <c r="C175" s="2">
        <v>8.7799999999999994</v>
      </c>
      <c r="D175">
        <f t="shared" si="10"/>
        <v>1.9999999999999574</v>
      </c>
      <c r="E175">
        <f t="shared" si="11"/>
        <v>0</v>
      </c>
      <c r="F175">
        <f t="shared" si="12"/>
        <v>-124859.78779996728</v>
      </c>
      <c r="G175">
        <f t="shared" si="13"/>
        <v>0</v>
      </c>
      <c r="H175">
        <f t="shared" si="14"/>
        <v>-124859.78779996728</v>
      </c>
    </row>
    <row r="176" spans="1:8" x14ac:dyDescent="0.25">
      <c r="A176" s="1">
        <v>45838</v>
      </c>
      <c r="B176" s="2">
        <v>8.1300000000000008</v>
      </c>
      <c r="C176" s="2">
        <v>8.7799999999999994</v>
      </c>
      <c r="D176">
        <f t="shared" si="10"/>
        <v>-1.9999999999999574</v>
      </c>
      <c r="E176">
        <f t="shared" si="11"/>
        <v>-10.000000000000142</v>
      </c>
      <c r="F176">
        <f t="shared" si="12"/>
        <v>124859.78779996728</v>
      </c>
      <c r="G176">
        <f t="shared" si="13"/>
        <v>-670335.95400000527</v>
      </c>
      <c r="H176">
        <f t="shared" si="14"/>
        <v>-545476.16620003805</v>
      </c>
    </row>
    <row r="177" spans="1:8" x14ac:dyDescent="0.25">
      <c r="A177" s="1">
        <v>45835</v>
      </c>
      <c r="B177" s="2">
        <v>8.15</v>
      </c>
      <c r="C177" s="2">
        <v>8.8800000000000008</v>
      </c>
      <c r="D177">
        <f t="shared" si="10"/>
        <v>6.0000000000000497</v>
      </c>
      <c r="E177">
        <f t="shared" si="11"/>
        <v>6.0000000000000497</v>
      </c>
      <c r="F177">
        <f t="shared" si="12"/>
        <v>-374579.36339991295</v>
      </c>
      <c r="G177">
        <f t="shared" si="13"/>
        <v>402201.57240000076</v>
      </c>
      <c r="H177">
        <f t="shared" si="14"/>
        <v>27622.209000087809</v>
      </c>
    </row>
    <row r="178" spans="1:8" x14ac:dyDescent="0.25">
      <c r="A178" s="1">
        <v>45834</v>
      </c>
      <c r="B178" s="2">
        <v>8.09</v>
      </c>
      <c r="C178" s="2">
        <v>8.82</v>
      </c>
      <c r="D178">
        <f t="shared" si="10"/>
        <v>-1.9999999999999574</v>
      </c>
      <c r="E178">
        <f t="shared" si="11"/>
        <v>0</v>
      </c>
      <c r="F178">
        <f t="shared" si="12"/>
        <v>124859.78779996728</v>
      </c>
      <c r="G178">
        <f t="shared" si="13"/>
        <v>0</v>
      </c>
      <c r="H178">
        <f t="shared" si="14"/>
        <v>124859.78779996728</v>
      </c>
    </row>
    <row r="179" spans="1:8" x14ac:dyDescent="0.25">
      <c r="A179" s="1">
        <v>45833</v>
      </c>
      <c r="B179" s="2">
        <v>8.11</v>
      </c>
      <c r="C179" s="2">
        <v>8.82</v>
      </c>
      <c r="D179">
        <f t="shared" si="10"/>
        <v>-3.0000000000001137</v>
      </c>
      <c r="E179">
        <f t="shared" si="11"/>
        <v>-2.9999999999999361</v>
      </c>
      <c r="F179">
        <f t="shared" si="12"/>
        <v>187289.68169996201</v>
      </c>
      <c r="G179">
        <f t="shared" si="13"/>
        <v>-201100.78619999441</v>
      </c>
      <c r="H179">
        <f t="shared" si="14"/>
        <v>-13811.104500032408</v>
      </c>
    </row>
    <row r="180" spans="1:8" x14ac:dyDescent="0.25">
      <c r="A180" s="1">
        <v>45832</v>
      </c>
      <c r="B180" s="2">
        <v>8.14</v>
      </c>
      <c r="C180" s="2">
        <v>8.85</v>
      </c>
      <c r="D180">
        <f t="shared" si="10"/>
        <v>-3.9999999999999147</v>
      </c>
      <c r="E180">
        <f t="shared" si="11"/>
        <v>-15.000000000000036</v>
      </c>
      <c r="F180">
        <f t="shared" si="12"/>
        <v>249719.57559993456</v>
      </c>
      <c r="G180">
        <f t="shared" si="13"/>
        <v>-1005503.9309999959</v>
      </c>
      <c r="H180">
        <f t="shared" si="14"/>
        <v>-755784.35540006135</v>
      </c>
    </row>
    <row r="181" spans="1:8" x14ac:dyDescent="0.25">
      <c r="A181" s="1">
        <v>45831</v>
      </c>
      <c r="B181" s="2">
        <v>8.18</v>
      </c>
      <c r="C181" s="2">
        <v>9</v>
      </c>
      <c r="D181">
        <f t="shared" si="10"/>
        <v>-0.99999999999997868</v>
      </c>
      <c r="E181">
        <f t="shared" si="11"/>
        <v>-8.9999999999999858</v>
      </c>
      <c r="F181">
        <f t="shared" si="12"/>
        <v>62429.893899983639</v>
      </c>
      <c r="G181">
        <f t="shared" si="13"/>
        <v>-603302.35859999515</v>
      </c>
      <c r="H181">
        <f t="shared" si="14"/>
        <v>-540872.46470001154</v>
      </c>
    </row>
    <row r="182" spans="1:8" x14ac:dyDescent="0.25">
      <c r="A182" s="1">
        <v>45828</v>
      </c>
      <c r="B182" s="2">
        <v>8.19</v>
      </c>
      <c r="C182" s="2">
        <v>9.09</v>
      </c>
      <c r="D182">
        <f t="shared" si="10"/>
        <v>5.9999999999998721</v>
      </c>
      <c r="E182">
        <f t="shared" si="11"/>
        <v>8.0000000000000071</v>
      </c>
      <c r="F182">
        <f t="shared" si="12"/>
        <v>-374579.36339990183</v>
      </c>
      <c r="G182">
        <f t="shared" si="13"/>
        <v>536268.76319999702</v>
      </c>
      <c r="H182">
        <f t="shared" si="14"/>
        <v>161689.39980009518</v>
      </c>
    </row>
    <row r="183" spans="1:8" x14ac:dyDescent="0.25">
      <c r="A183" s="1">
        <v>45827</v>
      </c>
      <c r="B183" s="2">
        <v>8.1300000000000008</v>
      </c>
      <c r="C183" s="2">
        <v>9.01</v>
      </c>
      <c r="D183">
        <f t="shared" si="10"/>
        <v>-0.99999999999997868</v>
      </c>
      <c r="E183">
        <f t="shared" si="11"/>
        <v>0.99999999999997868</v>
      </c>
      <c r="F183">
        <f t="shared" si="12"/>
        <v>62429.893899983639</v>
      </c>
      <c r="G183">
        <f t="shared" si="13"/>
        <v>67033.595399998143</v>
      </c>
      <c r="H183">
        <f t="shared" si="14"/>
        <v>129463.48929998178</v>
      </c>
    </row>
    <row r="184" spans="1:8" x14ac:dyDescent="0.25">
      <c r="A184" s="1">
        <v>45826</v>
      </c>
      <c r="B184" s="2">
        <v>8.14</v>
      </c>
      <c r="C184" s="2">
        <v>9</v>
      </c>
      <c r="D184">
        <f t="shared" si="10"/>
        <v>-1.9999999999999574</v>
      </c>
      <c r="E184">
        <f t="shared" si="11"/>
        <v>0</v>
      </c>
      <c r="F184">
        <f t="shared" si="12"/>
        <v>124859.78779996728</v>
      </c>
      <c r="G184">
        <f t="shared" si="13"/>
        <v>0</v>
      </c>
      <c r="H184">
        <f t="shared" si="14"/>
        <v>124859.78779996728</v>
      </c>
    </row>
    <row r="185" spans="1:8" x14ac:dyDescent="0.25">
      <c r="A185" s="1">
        <v>45825</v>
      </c>
      <c r="B185" s="2">
        <v>8.16</v>
      </c>
      <c r="C185" s="2">
        <v>9</v>
      </c>
      <c r="D185">
        <f t="shared" si="10"/>
        <v>1.9999999999999574</v>
      </c>
      <c r="E185">
        <f t="shared" si="11"/>
        <v>5.0000000000000711</v>
      </c>
      <c r="F185">
        <f t="shared" si="12"/>
        <v>-124859.78779996728</v>
      </c>
      <c r="G185">
        <f t="shared" si="13"/>
        <v>335167.97700000263</v>
      </c>
      <c r="H185">
        <f t="shared" si="14"/>
        <v>210308.18920003535</v>
      </c>
    </row>
    <row r="186" spans="1:8" x14ac:dyDescent="0.25">
      <c r="A186" s="1">
        <v>45824</v>
      </c>
      <c r="B186" s="2">
        <v>8.14</v>
      </c>
      <c r="C186" s="2">
        <v>8.9499999999999993</v>
      </c>
      <c r="D186">
        <f t="shared" si="10"/>
        <v>6.0000000000000497</v>
      </c>
      <c r="E186">
        <f t="shared" si="11"/>
        <v>-5.0000000000000711</v>
      </c>
      <c r="F186">
        <f t="shared" si="12"/>
        <v>-374579.36339991295</v>
      </c>
      <c r="G186">
        <f t="shared" si="13"/>
        <v>-335167.97700000263</v>
      </c>
      <c r="H186">
        <f t="shared" si="14"/>
        <v>-709747.34039991559</v>
      </c>
    </row>
    <row r="187" spans="1:8" x14ac:dyDescent="0.25">
      <c r="A187" s="1">
        <v>45821</v>
      </c>
      <c r="B187" s="2">
        <v>8.08</v>
      </c>
      <c r="C187" s="2">
        <v>9</v>
      </c>
      <c r="D187">
        <f t="shared" si="10"/>
        <v>0</v>
      </c>
      <c r="E187">
        <f t="shared" si="11"/>
        <v>-0.99999999999997868</v>
      </c>
      <c r="F187">
        <f t="shared" si="12"/>
        <v>0</v>
      </c>
      <c r="G187">
        <f t="shared" si="13"/>
        <v>-67033.595399998143</v>
      </c>
      <c r="H187">
        <f t="shared" si="14"/>
        <v>-67033.595399998143</v>
      </c>
    </row>
    <row r="188" spans="1:8" x14ac:dyDescent="0.25">
      <c r="A188" s="1">
        <v>45820</v>
      </c>
      <c r="B188" s="2">
        <v>8.08</v>
      </c>
      <c r="C188" s="2">
        <v>9.01</v>
      </c>
      <c r="D188">
        <f t="shared" si="10"/>
        <v>-7.0000000000000284</v>
      </c>
      <c r="E188">
        <f t="shared" si="11"/>
        <v>0</v>
      </c>
      <c r="F188">
        <f t="shared" si="12"/>
        <v>437009.25729989656</v>
      </c>
      <c r="G188">
        <f t="shared" si="13"/>
        <v>0</v>
      </c>
      <c r="H188">
        <f t="shared" si="14"/>
        <v>437009.25729989656</v>
      </c>
    </row>
    <row r="189" spans="1:8" x14ac:dyDescent="0.25">
      <c r="A189" s="1">
        <v>45819</v>
      </c>
      <c r="B189" s="2">
        <v>8.15</v>
      </c>
      <c r="C189" s="2">
        <v>9.01</v>
      </c>
      <c r="D189">
        <f t="shared" si="10"/>
        <v>0</v>
      </c>
      <c r="E189">
        <f t="shared" si="11"/>
        <v>0.99999999999997868</v>
      </c>
      <c r="F189">
        <f t="shared" si="12"/>
        <v>0</v>
      </c>
      <c r="G189">
        <f t="shared" si="13"/>
        <v>67033.595399998143</v>
      </c>
      <c r="H189">
        <f t="shared" si="14"/>
        <v>67033.595399998143</v>
      </c>
    </row>
    <row r="190" spans="1:8" x14ac:dyDescent="0.25">
      <c r="A190" s="1">
        <v>45818</v>
      </c>
      <c r="B190" s="2">
        <v>8.15</v>
      </c>
      <c r="C190" s="2">
        <v>9</v>
      </c>
      <c r="D190">
        <f t="shared" si="10"/>
        <v>0.99999999999997868</v>
      </c>
      <c r="E190">
        <f t="shared" si="11"/>
        <v>0</v>
      </c>
      <c r="F190">
        <f t="shared" si="12"/>
        <v>-62429.893899983639</v>
      </c>
      <c r="G190">
        <f t="shared" si="13"/>
        <v>0</v>
      </c>
      <c r="H190">
        <f t="shared" si="14"/>
        <v>-62429.893899983639</v>
      </c>
    </row>
    <row r="191" spans="1:8" x14ac:dyDescent="0.25">
      <c r="A191" s="1">
        <v>45817</v>
      </c>
      <c r="B191" s="2">
        <v>8.14</v>
      </c>
      <c r="C191" s="2">
        <v>9</v>
      </c>
      <c r="D191">
        <f t="shared" si="10"/>
        <v>6.0000000000000497</v>
      </c>
      <c r="E191">
        <f t="shared" si="11"/>
        <v>-0.99999999999997868</v>
      </c>
      <c r="F191">
        <f t="shared" si="12"/>
        <v>-374579.36339991295</v>
      </c>
      <c r="G191">
        <f t="shared" si="13"/>
        <v>-67033.595399998143</v>
      </c>
      <c r="H191">
        <f t="shared" si="14"/>
        <v>-441612.95879991108</v>
      </c>
    </row>
    <row r="192" spans="1:8" x14ac:dyDescent="0.25">
      <c r="A192" s="1">
        <v>45814</v>
      </c>
      <c r="B192" s="2">
        <v>8.08</v>
      </c>
      <c r="C192" s="2">
        <v>9.01</v>
      </c>
      <c r="D192">
        <f t="shared" si="10"/>
        <v>2.9999999999999361</v>
      </c>
      <c r="E192">
        <f t="shared" si="11"/>
        <v>-4.0000000000000924</v>
      </c>
      <c r="F192">
        <f t="shared" si="12"/>
        <v>-187289.68169995092</v>
      </c>
      <c r="G192">
        <f t="shared" si="13"/>
        <v>-268134.38160000445</v>
      </c>
      <c r="H192">
        <f t="shared" si="14"/>
        <v>-455424.06329995533</v>
      </c>
    </row>
    <row r="193" spans="1:8" x14ac:dyDescent="0.25">
      <c r="A193" s="1">
        <v>45813</v>
      </c>
      <c r="B193" s="2">
        <v>8.0500000000000007</v>
      </c>
      <c r="C193" s="2">
        <v>9.0500000000000007</v>
      </c>
      <c r="D193">
        <f t="shared" si="10"/>
        <v>-0.99999999999997868</v>
      </c>
      <c r="E193">
        <f t="shared" si="11"/>
        <v>-0.99999999999997868</v>
      </c>
      <c r="F193">
        <f t="shared" si="12"/>
        <v>62429.893899983639</v>
      </c>
      <c r="G193">
        <f t="shared" si="13"/>
        <v>-67033.595399998143</v>
      </c>
      <c r="H193">
        <f t="shared" si="14"/>
        <v>-4603.7015000145038</v>
      </c>
    </row>
    <row r="194" spans="1:8" x14ac:dyDescent="0.25">
      <c r="A194" s="1">
        <v>45812</v>
      </c>
      <c r="B194" s="2">
        <v>8.06</v>
      </c>
      <c r="C194" s="2">
        <v>9.06</v>
      </c>
      <c r="D194">
        <f t="shared" si="10"/>
        <v>-4.9999999999998934</v>
      </c>
      <c r="E194">
        <f t="shared" si="11"/>
        <v>-11.999999999999922</v>
      </c>
      <c r="F194">
        <f t="shared" si="12"/>
        <v>312149.46949991822</v>
      </c>
      <c r="G194">
        <f t="shared" si="13"/>
        <v>-804403.14479998953</v>
      </c>
      <c r="H194">
        <f t="shared" si="14"/>
        <v>-492253.67530007131</v>
      </c>
    </row>
    <row r="195" spans="1:8" x14ac:dyDescent="0.25">
      <c r="A195" s="1">
        <v>45811</v>
      </c>
      <c r="B195" s="2">
        <v>8.11</v>
      </c>
      <c r="C195" s="2">
        <v>9.18</v>
      </c>
      <c r="D195">
        <f t="shared" ref="D195:D258" si="15">(B195-B196)*100</f>
        <v>-4.0000000000000924</v>
      </c>
      <c r="E195">
        <f t="shared" ref="E195:E258" si="16">(C195-C196)*100</f>
        <v>-3.0000000000001137</v>
      </c>
      <c r="F195">
        <f t="shared" ref="F195:F258" si="17">-D195*$R$3</f>
        <v>249719.57559994565</v>
      </c>
      <c r="G195">
        <f t="shared" ref="G195:G258" si="18">-E195*$R$4</f>
        <v>-201100.78620000632</v>
      </c>
      <c r="H195">
        <f t="shared" ref="H195:H258" si="19">F195+G195</f>
        <v>48618.789399939327</v>
      </c>
    </row>
    <row r="196" spans="1:8" x14ac:dyDescent="0.25">
      <c r="A196" s="1">
        <v>45810</v>
      </c>
      <c r="B196" s="2">
        <v>8.15</v>
      </c>
      <c r="C196" s="2">
        <v>9.2100000000000009</v>
      </c>
      <c r="D196">
        <f t="shared" si="15"/>
        <v>1.9999999999999574</v>
      </c>
      <c r="E196">
        <f t="shared" si="16"/>
        <v>0</v>
      </c>
      <c r="F196">
        <f t="shared" si="17"/>
        <v>-124859.78779996728</v>
      </c>
      <c r="G196">
        <f t="shared" si="18"/>
        <v>0</v>
      </c>
      <c r="H196">
        <f t="shared" si="19"/>
        <v>-124859.78779996728</v>
      </c>
    </row>
    <row r="197" spans="1:8" x14ac:dyDescent="0.25">
      <c r="A197" s="1">
        <v>45807</v>
      </c>
      <c r="B197" s="2">
        <v>8.1300000000000008</v>
      </c>
      <c r="C197" s="2">
        <v>9.2100000000000009</v>
      </c>
      <c r="D197">
        <f t="shared" si="15"/>
        <v>1.0000000000001563</v>
      </c>
      <c r="E197">
        <f t="shared" si="16"/>
        <v>1.0000000000001563</v>
      </c>
      <c r="F197">
        <f t="shared" si="17"/>
        <v>-62429.893899994728</v>
      </c>
      <c r="G197">
        <f t="shared" si="18"/>
        <v>67033.595400010046</v>
      </c>
      <c r="H197">
        <f t="shared" si="19"/>
        <v>4603.7015000153187</v>
      </c>
    </row>
    <row r="198" spans="1:8" x14ac:dyDescent="0.25">
      <c r="A198" s="1">
        <v>45806</v>
      </c>
      <c r="B198" s="2">
        <v>8.1199999999999992</v>
      </c>
      <c r="C198" s="2">
        <v>9.1999999999999993</v>
      </c>
      <c r="D198">
        <f t="shared" si="15"/>
        <v>-7.0000000000000284</v>
      </c>
      <c r="E198">
        <f t="shared" si="16"/>
        <v>-7.0000000000000284</v>
      </c>
      <c r="F198">
        <f t="shared" si="17"/>
        <v>437009.25729989656</v>
      </c>
      <c r="G198">
        <f t="shared" si="18"/>
        <v>-469235.16779999889</v>
      </c>
      <c r="H198">
        <f t="shared" si="19"/>
        <v>-32225.910500102327</v>
      </c>
    </row>
    <row r="199" spans="1:8" x14ac:dyDescent="0.25">
      <c r="A199" s="1">
        <v>45805</v>
      </c>
      <c r="B199" s="2">
        <v>8.19</v>
      </c>
      <c r="C199" s="2">
        <v>9.27</v>
      </c>
      <c r="D199">
        <f t="shared" si="15"/>
        <v>-3.0000000000001137</v>
      </c>
      <c r="E199">
        <f t="shared" si="16"/>
        <v>0.99999999999997868</v>
      </c>
      <c r="F199">
        <f t="shared" si="17"/>
        <v>187289.68169996201</v>
      </c>
      <c r="G199">
        <f t="shared" si="18"/>
        <v>67033.595399998143</v>
      </c>
      <c r="H199">
        <f t="shared" si="19"/>
        <v>254323.27709996013</v>
      </c>
    </row>
    <row r="200" spans="1:8" x14ac:dyDescent="0.25">
      <c r="A200" s="1">
        <v>45804</v>
      </c>
      <c r="B200" s="2">
        <v>8.2200000000000006</v>
      </c>
      <c r="C200" s="2">
        <v>9.26</v>
      </c>
      <c r="D200">
        <f t="shared" si="15"/>
        <v>-1.9999999999999574</v>
      </c>
      <c r="E200">
        <f t="shared" si="16"/>
        <v>-8.9999999999999858</v>
      </c>
      <c r="F200">
        <f t="shared" si="17"/>
        <v>124859.78779996728</v>
      </c>
      <c r="G200">
        <f t="shared" si="18"/>
        <v>-603302.35859999515</v>
      </c>
      <c r="H200">
        <f t="shared" si="19"/>
        <v>-478442.57080002787</v>
      </c>
    </row>
    <row r="201" spans="1:8" x14ac:dyDescent="0.25">
      <c r="A201" s="1">
        <v>45803</v>
      </c>
      <c r="B201" s="2">
        <v>8.24</v>
      </c>
      <c r="C201" s="2">
        <v>9.35</v>
      </c>
      <c r="D201">
        <f t="shared" si="15"/>
        <v>2.9999999999999361</v>
      </c>
      <c r="E201">
        <f t="shared" si="16"/>
        <v>0</v>
      </c>
      <c r="F201">
        <f t="shared" si="17"/>
        <v>-187289.68169995092</v>
      </c>
      <c r="G201">
        <f t="shared" si="18"/>
        <v>0</v>
      </c>
      <c r="H201">
        <f t="shared" si="19"/>
        <v>-187289.68169995092</v>
      </c>
    </row>
    <row r="202" spans="1:8" x14ac:dyDescent="0.25">
      <c r="A202" s="1">
        <v>45800</v>
      </c>
      <c r="B202" s="2">
        <v>8.2100000000000009</v>
      </c>
      <c r="C202" s="2">
        <v>9.35</v>
      </c>
      <c r="D202">
        <f t="shared" si="15"/>
        <v>0</v>
      </c>
      <c r="E202">
        <f t="shared" si="16"/>
        <v>0.99999999999997868</v>
      </c>
      <c r="F202">
        <f t="shared" si="17"/>
        <v>0</v>
      </c>
      <c r="G202">
        <f t="shared" si="18"/>
        <v>67033.595399998143</v>
      </c>
      <c r="H202">
        <f t="shared" si="19"/>
        <v>67033.595399998143</v>
      </c>
    </row>
    <row r="203" spans="1:8" x14ac:dyDescent="0.25">
      <c r="A203" s="1">
        <v>45799</v>
      </c>
      <c r="B203" s="2">
        <v>8.2100000000000009</v>
      </c>
      <c r="C203" s="2">
        <v>9.34</v>
      </c>
      <c r="D203">
        <f t="shared" si="15"/>
        <v>-3.9999999999999147</v>
      </c>
      <c r="E203">
        <f t="shared" si="16"/>
        <v>-2.9999999999999361</v>
      </c>
      <c r="F203">
        <f t="shared" si="17"/>
        <v>249719.57559993456</v>
      </c>
      <c r="G203">
        <f t="shared" si="18"/>
        <v>-201100.78619999441</v>
      </c>
      <c r="H203">
        <f t="shared" si="19"/>
        <v>48618.789399940142</v>
      </c>
    </row>
    <row r="204" spans="1:8" x14ac:dyDescent="0.25">
      <c r="A204" s="1">
        <v>45798</v>
      </c>
      <c r="B204" s="2">
        <v>8.25</v>
      </c>
      <c r="C204" s="2">
        <v>9.3699999999999992</v>
      </c>
      <c r="D204">
        <f t="shared" si="15"/>
        <v>-1.9999999999999574</v>
      </c>
      <c r="E204">
        <f t="shared" si="16"/>
        <v>3.9999999999999147</v>
      </c>
      <c r="F204">
        <f t="shared" si="17"/>
        <v>124859.78779996728</v>
      </c>
      <c r="G204">
        <f t="shared" si="18"/>
        <v>268134.38159999257</v>
      </c>
      <c r="H204">
        <f t="shared" si="19"/>
        <v>392994.16939995985</v>
      </c>
    </row>
    <row r="205" spans="1:8" x14ac:dyDescent="0.25">
      <c r="A205" s="1">
        <v>45797</v>
      </c>
      <c r="B205" s="2">
        <v>8.27</v>
      </c>
      <c r="C205" s="2">
        <v>9.33</v>
      </c>
      <c r="D205">
        <f t="shared" si="15"/>
        <v>2.9999999999999361</v>
      </c>
      <c r="E205">
        <f t="shared" si="16"/>
        <v>0</v>
      </c>
      <c r="F205">
        <f t="shared" si="17"/>
        <v>-187289.68169995092</v>
      </c>
      <c r="G205">
        <f t="shared" si="18"/>
        <v>0</v>
      </c>
      <c r="H205">
        <f t="shared" si="19"/>
        <v>-187289.68169995092</v>
      </c>
    </row>
    <row r="206" spans="1:8" x14ac:dyDescent="0.25">
      <c r="A206" s="1">
        <v>45796</v>
      </c>
      <c r="B206" s="2">
        <v>8.24</v>
      </c>
      <c r="C206" s="2">
        <v>9.33</v>
      </c>
      <c r="D206">
        <f t="shared" si="15"/>
        <v>-3.9999999999999147</v>
      </c>
      <c r="E206">
        <f t="shared" si="16"/>
        <v>-1.9999999999999574</v>
      </c>
      <c r="F206">
        <f t="shared" si="17"/>
        <v>249719.57559993456</v>
      </c>
      <c r="G206">
        <f t="shared" si="18"/>
        <v>-134067.19079999629</v>
      </c>
      <c r="H206">
        <f t="shared" si="19"/>
        <v>115652.38479993827</v>
      </c>
    </row>
    <row r="207" spans="1:8" x14ac:dyDescent="0.25">
      <c r="A207" s="1">
        <v>45793</v>
      </c>
      <c r="B207" s="2">
        <v>8.2799999999999994</v>
      </c>
      <c r="C207" s="2">
        <v>9.35</v>
      </c>
      <c r="D207">
        <f t="shared" si="15"/>
        <v>-2.000000000000135</v>
      </c>
      <c r="E207">
        <f t="shared" si="16"/>
        <v>-0.99999999999997868</v>
      </c>
      <c r="F207">
        <f t="shared" si="17"/>
        <v>124859.78779997837</v>
      </c>
      <c r="G207">
        <f t="shared" si="18"/>
        <v>-67033.595399998143</v>
      </c>
      <c r="H207">
        <f t="shared" si="19"/>
        <v>57826.192399980224</v>
      </c>
    </row>
    <row r="208" spans="1:8" x14ac:dyDescent="0.25">
      <c r="A208" s="1">
        <v>45792</v>
      </c>
      <c r="B208" s="2">
        <v>8.3000000000000007</v>
      </c>
      <c r="C208" s="2">
        <v>9.36</v>
      </c>
      <c r="D208">
        <f t="shared" si="15"/>
        <v>-11.999999999999922</v>
      </c>
      <c r="E208">
        <f t="shared" si="16"/>
        <v>-6.0000000000000497</v>
      </c>
      <c r="F208">
        <f t="shared" si="17"/>
        <v>749158.72679981473</v>
      </c>
      <c r="G208">
        <f t="shared" si="18"/>
        <v>-402201.57240000076</v>
      </c>
      <c r="H208">
        <f t="shared" si="19"/>
        <v>346957.15439981397</v>
      </c>
    </row>
    <row r="209" spans="1:8" x14ac:dyDescent="0.25">
      <c r="A209" s="1">
        <v>45791</v>
      </c>
      <c r="B209" s="2">
        <v>8.42</v>
      </c>
      <c r="C209" s="2">
        <v>9.42</v>
      </c>
      <c r="D209">
        <f t="shared" si="15"/>
        <v>8.9999999999999858</v>
      </c>
      <c r="E209">
        <f t="shared" si="16"/>
        <v>9.9999999999999645</v>
      </c>
      <c r="F209">
        <f t="shared" si="17"/>
        <v>-561869.0450998639</v>
      </c>
      <c r="G209">
        <f t="shared" si="18"/>
        <v>670335.95399999327</v>
      </c>
      <c r="H209">
        <f t="shared" si="19"/>
        <v>108466.90890012938</v>
      </c>
    </row>
    <row r="210" spans="1:8" x14ac:dyDescent="0.25">
      <c r="A210" s="1">
        <v>45790</v>
      </c>
      <c r="B210" s="2">
        <v>8.33</v>
      </c>
      <c r="C210" s="2">
        <v>9.32</v>
      </c>
      <c r="D210">
        <f t="shared" si="15"/>
        <v>5.0000000000000711</v>
      </c>
      <c r="E210">
        <f t="shared" si="16"/>
        <v>1.9999999999999574</v>
      </c>
      <c r="F210">
        <f t="shared" si="17"/>
        <v>-312149.46949992928</v>
      </c>
      <c r="G210">
        <f t="shared" si="18"/>
        <v>134067.19079999629</v>
      </c>
      <c r="H210">
        <f t="shared" si="19"/>
        <v>-178082.278699933</v>
      </c>
    </row>
    <row r="211" spans="1:8" x14ac:dyDescent="0.25">
      <c r="A211" s="1">
        <v>45789</v>
      </c>
      <c r="B211" s="2">
        <v>8.2799999999999994</v>
      </c>
      <c r="C211" s="2">
        <v>9.3000000000000007</v>
      </c>
      <c r="D211">
        <f t="shared" si="15"/>
        <v>5.9999999999998721</v>
      </c>
      <c r="E211">
        <f t="shared" si="16"/>
        <v>0</v>
      </c>
      <c r="F211">
        <f t="shared" si="17"/>
        <v>-374579.36339990183</v>
      </c>
      <c r="G211">
        <f t="shared" si="18"/>
        <v>0</v>
      </c>
      <c r="H211">
        <f t="shared" si="19"/>
        <v>-374579.36339990183</v>
      </c>
    </row>
    <row r="212" spans="1:8" x14ac:dyDescent="0.25">
      <c r="A212" s="1">
        <v>45786</v>
      </c>
      <c r="B212" s="2">
        <v>8.2200000000000006</v>
      </c>
      <c r="C212" s="2">
        <v>9.3000000000000007</v>
      </c>
      <c r="D212">
        <f t="shared" si="15"/>
        <v>-3.9999999999999147</v>
      </c>
      <c r="E212">
        <f t="shared" si="16"/>
        <v>7.0000000000000284</v>
      </c>
      <c r="F212">
        <f t="shared" si="17"/>
        <v>249719.57559993456</v>
      </c>
      <c r="G212">
        <f t="shared" si="18"/>
        <v>469235.16779999889</v>
      </c>
      <c r="H212">
        <f t="shared" si="19"/>
        <v>718954.74339993345</v>
      </c>
    </row>
    <row r="213" spans="1:8" x14ac:dyDescent="0.25">
      <c r="A213" s="1">
        <v>45785</v>
      </c>
      <c r="B213" s="2">
        <v>8.26</v>
      </c>
      <c r="C213" s="2">
        <v>9.23</v>
      </c>
      <c r="D213">
        <f t="shared" si="15"/>
        <v>8.9999999999999858</v>
      </c>
      <c r="E213">
        <f t="shared" si="16"/>
        <v>3.0000000000001137</v>
      </c>
      <c r="F213">
        <f t="shared" si="17"/>
        <v>-561869.0450998639</v>
      </c>
      <c r="G213">
        <f t="shared" si="18"/>
        <v>201100.78620000632</v>
      </c>
      <c r="H213">
        <f t="shared" si="19"/>
        <v>-360768.25889985758</v>
      </c>
    </row>
    <row r="214" spans="1:8" x14ac:dyDescent="0.25">
      <c r="A214" s="1">
        <v>45784</v>
      </c>
      <c r="B214" s="2">
        <v>8.17</v>
      </c>
      <c r="C214" s="2">
        <v>9.1999999999999993</v>
      </c>
      <c r="D214">
        <f t="shared" si="15"/>
        <v>-5.0000000000000711</v>
      </c>
      <c r="E214">
        <f t="shared" si="16"/>
        <v>0.99999999999997868</v>
      </c>
      <c r="F214">
        <f t="shared" si="17"/>
        <v>312149.46949992928</v>
      </c>
      <c r="G214">
        <f t="shared" si="18"/>
        <v>67033.595399998143</v>
      </c>
      <c r="H214">
        <f t="shared" si="19"/>
        <v>379183.06489992741</v>
      </c>
    </row>
    <row r="215" spans="1:8" x14ac:dyDescent="0.25">
      <c r="A215" s="1">
        <v>45783</v>
      </c>
      <c r="B215" s="2">
        <v>8.2200000000000006</v>
      </c>
      <c r="C215" s="2">
        <v>9.19</v>
      </c>
      <c r="D215">
        <f t="shared" si="15"/>
        <v>-2.9999999999999361</v>
      </c>
      <c r="E215">
        <f t="shared" si="16"/>
        <v>-7.0000000000000284</v>
      </c>
      <c r="F215">
        <f t="shared" si="17"/>
        <v>187289.68169995092</v>
      </c>
      <c r="G215">
        <f t="shared" si="18"/>
        <v>-469235.16779999889</v>
      </c>
      <c r="H215">
        <f t="shared" si="19"/>
        <v>-281945.48610004794</v>
      </c>
    </row>
    <row r="216" spans="1:8" x14ac:dyDescent="0.25">
      <c r="A216" s="1">
        <v>45782</v>
      </c>
      <c r="B216" s="2">
        <v>8.25</v>
      </c>
      <c r="C216" s="2">
        <v>9.26</v>
      </c>
      <c r="D216">
        <f t="shared" si="15"/>
        <v>0</v>
      </c>
      <c r="E216">
        <f t="shared" si="16"/>
        <v>1.9999999999999574</v>
      </c>
      <c r="F216">
        <f t="shared" si="17"/>
        <v>0</v>
      </c>
      <c r="G216">
        <f t="shared" si="18"/>
        <v>134067.19079999629</v>
      </c>
      <c r="H216">
        <f t="shared" si="19"/>
        <v>134067.19079999629</v>
      </c>
    </row>
    <row r="217" spans="1:8" x14ac:dyDescent="0.25">
      <c r="A217" s="1">
        <v>45779</v>
      </c>
      <c r="B217" s="2">
        <v>8.25</v>
      </c>
      <c r="C217" s="2">
        <v>9.24</v>
      </c>
      <c r="D217">
        <f t="shared" si="15"/>
        <v>3.9999999999999147</v>
      </c>
      <c r="E217">
        <f t="shared" si="16"/>
        <v>4.0000000000000924</v>
      </c>
      <c r="F217">
        <f t="shared" si="17"/>
        <v>-249719.57559993456</v>
      </c>
      <c r="G217">
        <f t="shared" si="18"/>
        <v>268134.38160000445</v>
      </c>
      <c r="H217">
        <f t="shared" si="19"/>
        <v>18414.80600006989</v>
      </c>
    </row>
    <row r="218" spans="1:8" x14ac:dyDescent="0.25">
      <c r="A218" s="1">
        <v>45778</v>
      </c>
      <c r="B218" s="2">
        <v>8.2100000000000009</v>
      </c>
      <c r="C218" s="2">
        <v>9.1999999999999993</v>
      </c>
      <c r="D218">
        <f t="shared" si="15"/>
        <v>0</v>
      </c>
      <c r="E218">
        <f t="shared" si="16"/>
        <v>0</v>
      </c>
      <c r="F218">
        <f t="shared" si="17"/>
        <v>0</v>
      </c>
      <c r="G218">
        <f t="shared" si="18"/>
        <v>0</v>
      </c>
      <c r="H218">
        <f t="shared" si="19"/>
        <v>0</v>
      </c>
    </row>
    <row r="219" spans="1:8" x14ac:dyDescent="0.25">
      <c r="A219" s="1">
        <v>45777</v>
      </c>
      <c r="B219" s="2">
        <v>8.2100000000000009</v>
      </c>
      <c r="C219" s="2">
        <v>9.1999999999999993</v>
      </c>
      <c r="D219">
        <f t="shared" si="15"/>
        <v>-0.99999999999997868</v>
      </c>
      <c r="E219">
        <f t="shared" si="16"/>
        <v>-5.0000000000000711</v>
      </c>
      <c r="F219">
        <f t="shared" si="17"/>
        <v>62429.893899983639</v>
      </c>
      <c r="G219">
        <f t="shared" si="18"/>
        <v>-335167.97700000263</v>
      </c>
      <c r="H219">
        <f t="shared" si="19"/>
        <v>-272738.08310001902</v>
      </c>
    </row>
    <row r="220" spans="1:8" x14ac:dyDescent="0.25">
      <c r="A220" s="1">
        <v>45776</v>
      </c>
      <c r="B220" s="2">
        <v>8.2200000000000006</v>
      </c>
      <c r="C220" s="2">
        <v>9.25</v>
      </c>
      <c r="D220">
        <f t="shared" si="15"/>
        <v>0</v>
      </c>
      <c r="E220">
        <f t="shared" si="16"/>
        <v>0</v>
      </c>
      <c r="F220">
        <f t="shared" si="17"/>
        <v>0</v>
      </c>
      <c r="G220">
        <f t="shared" si="18"/>
        <v>0</v>
      </c>
      <c r="H220">
        <f t="shared" si="19"/>
        <v>0</v>
      </c>
    </row>
    <row r="221" spans="1:8" x14ac:dyDescent="0.25">
      <c r="A221" s="1">
        <v>45775</v>
      </c>
      <c r="B221" s="2">
        <v>8.2200000000000006</v>
      </c>
      <c r="C221" s="2">
        <v>9.25</v>
      </c>
      <c r="D221">
        <f t="shared" si="15"/>
        <v>6.0000000000000497</v>
      </c>
      <c r="E221">
        <f t="shared" si="16"/>
        <v>5.0000000000000711</v>
      </c>
      <c r="F221">
        <f t="shared" si="17"/>
        <v>-374579.36339991295</v>
      </c>
      <c r="G221">
        <f t="shared" si="18"/>
        <v>335167.97700000263</v>
      </c>
      <c r="H221">
        <f t="shared" si="19"/>
        <v>-39411.38639991032</v>
      </c>
    </row>
    <row r="222" spans="1:8" x14ac:dyDescent="0.25">
      <c r="A222" s="1">
        <v>45772</v>
      </c>
      <c r="B222" s="2">
        <v>8.16</v>
      </c>
      <c r="C222" s="2">
        <v>9.1999999999999993</v>
      </c>
      <c r="D222">
        <f t="shared" si="15"/>
        <v>-1.9999999999999574</v>
      </c>
      <c r="E222">
        <f t="shared" si="16"/>
        <v>-5.0000000000000711</v>
      </c>
      <c r="F222">
        <f t="shared" si="17"/>
        <v>124859.78779996728</v>
      </c>
      <c r="G222">
        <f t="shared" si="18"/>
        <v>-335167.97700000263</v>
      </c>
      <c r="H222">
        <f t="shared" si="19"/>
        <v>-210308.18920003535</v>
      </c>
    </row>
    <row r="223" spans="1:8" x14ac:dyDescent="0.25">
      <c r="A223" s="1">
        <v>45771</v>
      </c>
      <c r="B223" s="2">
        <v>8.18</v>
      </c>
      <c r="C223" s="2">
        <v>9.25</v>
      </c>
      <c r="D223">
        <f t="shared" si="15"/>
        <v>-4.0000000000000924</v>
      </c>
      <c r="E223">
        <f t="shared" si="16"/>
        <v>-13.000000000000078</v>
      </c>
      <c r="F223">
        <f t="shared" si="17"/>
        <v>249719.57559994565</v>
      </c>
      <c r="G223">
        <f t="shared" si="18"/>
        <v>-871436.74019999965</v>
      </c>
      <c r="H223">
        <f t="shared" si="19"/>
        <v>-621717.16460005403</v>
      </c>
    </row>
    <row r="224" spans="1:8" x14ac:dyDescent="0.25">
      <c r="A224" s="1">
        <v>45770</v>
      </c>
      <c r="B224" s="2">
        <v>8.2200000000000006</v>
      </c>
      <c r="C224" s="2">
        <v>9.3800000000000008</v>
      </c>
      <c r="D224">
        <f t="shared" si="15"/>
        <v>-0.99999999999997868</v>
      </c>
      <c r="E224">
        <f t="shared" si="16"/>
        <v>-4.9999999999998934</v>
      </c>
      <c r="F224">
        <f t="shared" si="17"/>
        <v>62429.893899983639</v>
      </c>
      <c r="G224">
        <f t="shared" si="18"/>
        <v>-335167.9769999907</v>
      </c>
      <c r="H224">
        <f t="shared" si="19"/>
        <v>-272738.08310000703</v>
      </c>
    </row>
    <row r="225" spans="1:8" x14ac:dyDescent="0.25">
      <c r="A225" s="1">
        <v>45769</v>
      </c>
      <c r="B225" s="2">
        <v>8.23</v>
      </c>
      <c r="C225" s="2">
        <v>9.43</v>
      </c>
      <c r="D225">
        <f t="shared" si="15"/>
        <v>0</v>
      </c>
      <c r="E225">
        <f t="shared" si="16"/>
        <v>-7.0000000000000284</v>
      </c>
      <c r="F225">
        <f t="shared" si="17"/>
        <v>0</v>
      </c>
      <c r="G225">
        <f t="shared" si="18"/>
        <v>-469235.16779999889</v>
      </c>
      <c r="H225">
        <f t="shared" si="19"/>
        <v>-469235.16779999889</v>
      </c>
    </row>
    <row r="226" spans="1:8" x14ac:dyDescent="0.25">
      <c r="A226" s="1">
        <v>45768</v>
      </c>
      <c r="B226" s="2">
        <v>8.23</v>
      </c>
      <c r="C226" s="2">
        <v>9.5</v>
      </c>
      <c r="D226">
        <f t="shared" si="15"/>
        <v>-1.9999999999999574</v>
      </c>
      <c r="E226">
        <f t="shared" si="16"/>
        <v>11.999999999999922</v>
      </c>
      <c r="F226">
        <f t="shared" si="17"/>
        <v>124859.78779996728</v>
      </c>
      <c r="G226">
        <f t="shared" si="18"/>
        <v>804403.14479998953</v>
      </c>
      <c r="H226">
        <f t="shared" si="19"/>
        <v>929262.93259995687</v>
      </c>
    </row>
    <row r="227" spans="1:8" x14ac:dyDescent="0.25">
      <c r="A227" s="1">
        <v>45765</v>
      </c>
      <c r="B227" s="2">
        <v>8.25</v>
      </c>
      <c r="C227" s="2">
        <v>9.3800000000000008</v>
      </c>
      <c r="D227">
        <f t="shared" si="15"/>
        <v>0</v>
      </c>
      <c r="E227">
        <f t="shared" si="16"/>
        <v>0</v>
      </c>
      <c r="F227">
        <f t="shared" si="17"/>
        <v>0</v>
      </c>
      <c r="G227">
        <f t="shared" si="18"/>
        <v>0</v>
      </c>
      <c r="H227">
        <f t="shared" si="19"/>
        <v>0</v>
      </c>
    </row>
    <row r="228" spans="1:8" x14ac:dyDescent="0.25">
      <c r="A228" s="1">
        <v>45764</v>
      </c>
      <c r="B228" s="2">
        <v>8.25</v>
      </c>
      <c r="C228" s="2">
        <v>9.3800000000000008</v>
      </c>
      <c r="D228">
        <f t="shared" si="15"/>
        <v>0</v>
      </c>
      <c r="E228">
        <f t="shared" si="16"/>
        <v>0</v>
      </c>
      <c r="F228">
        <f t="shared" si="17"/>
        <v>0</v>
      </c>
      <c r="G228">
        <f t="shared" si="18"/>
        <v>0</v>
      </c>
      <c r="H228">
        <f t="shared" si="19"/>
        <v>0</v>
      </c>
    </row>
    <row r="229" spans="1:8" x14ac:dyDescent="0.25">
      <c r="A229" s="1">
        <v>45763</v>
      </c>
      <c r="B229" s="2">
        <v>8.25</v>
      </c>
      <c r="C229" s="2">
        <v>9.3800000000000008</v>
      </c>
      <c r="D229">
        <f t="shared" si="15"/>
        <v>-2.9999999999999361</v>
      </c>
      <c r="E229">
        <f t="shared" si="16"/>
        <v>-0.99999999999997868</v>
      </c>
      <c r="F229">
        <f t="shared" si="17"/>
        <v>187289.68169995092</v>
      </c>
      <c r="G229">
        <f t="shared" si="18"/>
        <v>-67033.595399998143</v>
      </c>
      <c r="H229">
        <f t="shared" si="19"/>
        <v>120256.08629995277</v>
      </c>
    </row>
    <row r="230" spans="1:8" x14ac:dyDescent="0.25">
      <c r="A230" s="1">
        <v>45762</v>
      </c>
      <c r="B230" s="2">
        <v>8.2799999999999994</v>
      </c>
      <c r="C230" s="2">
        <v>9.39</v>
      </c>
      <c r="D230">
        <f t="shared" si="15"/>
        <v>-8.0000000000000071</v>
      </c>
      <c r="E230">
        <f t="shared" si="16"/>
        <v>-2.9999999999999361</v>
      </c>
      <c r="F230">
        <f t="shared" si="17"/>
        <v>499439.15119988023</v>
      </c>
      <c r="G230">
        <f t="shared" si="18"/>
        <v>-201100.78619999441</v>
      </c>
      <c r="H230">
        <f t="shared" si="19"/>
        <v>298338.36499988579</v>
      </c>
    </row>
    <row r="231" spans="1:8" x14ac:dyDescent="0.25">
      <c r="A231" s="1">
        <v>45761</v>
      </c>
      <c r="B231" s="2">
        <v>8.36</v>
      </c>
      <c r="C231" s="2">
        <v>9.42</v>
      </c>
      <c r="D231">
        <f t="shared" si="15"/>
        <v>-4.0000000000000924</v>
      </c>
      <c r="E231">
        <f t="shared" si="16"/>
        <v>-25.999999999999979</v>
      </c>
      <c r="F231">
        <f t="shared" si="17"/>
        <v>249719.57559994565</v>
      </c>
      <c r="G231">
        <f t="shared" si="18"/>
        <v>-1742873.4803999874</v>
      </c>
      <c r="H231">
        <f t="shared" si="19"/>
        <v>-1493153.9048000418</v>
      </c>
    </row>
    <row r="232" spans="1:8" x14ac:dyDescent="0.25">
      <c r="A232" s="1">
        <v>45758</v>
      </c>
      <c r="B232" s="2">
        <v>8.4</v>
      </c>
      <c r="C232" s="2">
        <v>9.68</v>
      </c>
      <c r="D232">
        <f t="shared" si="15"/>
        <v>0.99999999999997868</v>
      </c>
      <c r="E232">
        <f t="shared" si="16"/>
        <v>9.9999999999999645</v>
      </c>
      <c r="F232">
        <f t="shared" si="17"/>
        <v>-62429.893899983639</v>
      </c>
      <c r="G232">
        <f t="shared" si="18"/>
        <v>670335.95399999327</v>
      </c>
      <c r="H232">
        <f t="shared" si="19"/>
        <v>607906.06010000966</v>
      </c>
    </row>
    <row r="233" spans="1:8" x14ac:dyDescent="0.25">
      <c r="A233" s="1">
        <v>45757</v>
      </c>
      <c r="B233" s="2">
        <v>8.39</v>
      </c>
      <c r="C233" s="2">
        <v>9.58</v>
      </c>
      <c r="D233">
        <f t="shared" si="15"/>
        <v>2.000000000000135</v>
      </c>
      <c r="E233">
        <f t="shared" si="16"/>
        <v>11.999999999999922</v>
      </c>
      <c r="F233">
        <f t="shared" si="17"/>
        <v>-124859.78779997837</v>
      </c>
      <c r="G233">
        <f t="shared" si="18"/>
        <v>804403.14479998953</v>
      </c>
      <c r="H233">
        <f t="shared" si="19"/>
        <v>679543.35700001114</v>
      </c>
    </row>
    <row r="234" spans="1:8" x14ac:dyDescent="0.25">
      <c r="A234" s="1">
        <v>45756</v>
      </c>
      <c r="B234" s="2">
        <v>8.3699999999999992</v>
      </c>
      <c r="C234" s="2">
        <v>9.4600000000000009</v>
      </c>
      <c r="D234">
        <f t="shared" si="15"/>
        <v>1.9999999999999574</v>
      </c>
      <c r="E234">
        <f t="shared" si="16"/>
        <v>-3.9999999999999147</v>
      </c>
      <c r="F234">
        <f t="shared" si="17"/>
        <v>-124859.78779996728</v>
      </c>
      <c r="G234">
        <f t="shared" si="18"/>
        <v>-268134.38159999257</v>
      </c>
      <c r="H234">
        <f t="shared" si="19"/>
        <v>-392994.16939995985</v>
      </c>
    </row>
    <row r="235" spans="1:8" x14ac:dyDescent="0.25">
      <c r="A235" s="1">
        <v>45755</v>
      </c>
      <c r="B235" s="2">
        <v>8.35</v>
      </c>
      <c r="C235" s="2">
        <v>9.5</v>
      </c>
      <c r="D235">
        <f t="shared" si="15"/>
        <v>0</v>
      </c>
      <c r="E235">
        <f t="shared" si="16"/>
        <v>8.0000000000000071</v>
      </c>
      <c r="F235">
        <f t="shared" si="17"/>
        <v>0</v>
      </c>
      <c r="G235">
        <f t="shared" si="18"/>
        <v>536268.76319999702</v>
      </c>
      <c r="H235">
        <f t="shared" si="19"/>
        <v>536268.76319999702</v>
      </c>
    </row>
    <row r="236" spans="1:8" x14ac:dyDescent="0.25">
      <c r="A236" s="1">
        <v>45754</v>
      </c>
      <c r="B236" s="2">
        <v>8.35</v>
      </c>
      <c r="C236" s="2">
        <v>9.42</v>
      </c>
      <c r="D236">
        <f t="shared" si="15"/>
        <v>8.0000000000000071</v>
      </c>
      <c r="E236">
        <f t="shared" si="16"/>
        <v>33.999999999999986</v>
      </c>
      <c r="F236">
        <f t="shared" si="17"/>
        <v>-499439.15119988023</v>
      </c>
      <c r="G236">
        <f t="shared" si="18"/>
        <v>2279142.2435999843</v>
      </c>
      <c r="H236">
        <f t="shared" si="19"/>
        <v>1779703.092400104</v>
      </c>
    </row>
    <row r="237" spans="1:8" x14ac:dyDescent="0.25">
      <c r="A237" s="1">
        <v>45751</v>
      </c>
      <c r="B237" s="2">
        <v>8.27</v>
      </c>
      <c r="C237" s="2">
        <v>9.08</v>
      </c>
      <c r="D237">
        <f t="shared" si="15"/>
        <v>1.9999999999999574</v>
      </c>
      <c r="E237">
        <f t="shared" si="16"/>
        <v>17.999999999999972</v>
      </c>
      <c r="F237">
        <f t="shared" si="17"/>
        <v>-124859.78779996728</v>
      </c>
      <c r="G237">
        <f t="shared" si="18"/>
        <v>1206604.7171999903</v>
      </c>
      <c r="H237">
        <f t="shared" si="19"/>
        <v>1081744.9294000231</v>
      </c>
    </row>
    <row r="238" spans="1:8" x14ac:dyDescent="0.25">
      <c r="A238" s="1">
        <v>45750</v>
      </c>
      <c r="B238" s="2">
        <v>8.25</v>
      </c>
      <c r="C238" s="2">
        <v>8.9</v>
      </c>
      <c r="D238">
        <f t="shared" si="15"/>
        <v>-24.000000000000021</v>
      </c>
      <c r="E238">
        <f t="shared" si="16"/>
        <v>-23.000000000000043</v>
      </c>
      <c r="F238">
        <f t="shared" si="17"/>
        <v>1498317.4535996406</v>
      </c>
      <c r="G238">
        <f t="shared" si="18"/>
        <v>-1541772.694199993</v>
      </c>
      <c r="H238">
        <f t="shared" si="19"/>
        <v>-43455.240600352408</v>
      </c>
    </row>
    <row r="239" spans="1:8" x14ac:dyDescent="0.25">
      <c r="A239" s="1">
        <v>45749</v>
      </c>
      <c r="B239" s="2">
        <v>8.49</v>
      </c>
      <c r="C239" s="2">
        <v>9.1300000000000008</v>
      </c>
      <c r="D239">
        <f t="shared" si="15"/>
        <v>0</v>
      </c>
      <c r="E239">
        <f t="shared" si="16"/>
        <v>-2.9999999999999361</v>
      </c>
      <c r="F239">
        <f t="shared" si="17"/>
        <v>0</v>
      </c>
      <c r="G239">
        <f t="shared" si="18"/>
        <v>-201100.78619999441</v>
      </c>
      <c r="H239">
        <f t="shared" si="19"/>
        <v>-201100.78619999441</v>
      </c>
    </row>
    <row r="240" spans="1:8" x14ac:dyDescent="0.25">
      <c r="A240" s="1">
        <v>45748</v>
      </c>
      <c r="B240" s="2">
        <v>8.49</v>
      </c>
      <c r="C240" s="2">
        <v>9.16</v>
      </c>
      <c r="D240">
        <f t="shared" si="15"/>
        <v>-8.0000000000000071</v>
      </c>
      <c r="E240">
        <f t="shared" si="16"/>
        <v>-8.9999999999999858</v>
      </c>
      <c r="F240">
        <f t="shared" si="17"/>
        <v>499439.15119988023</v>
      </c>
      <c r="G240">
        <f t="shared" si="18"/>
        <v>-603302.35859999515</v>
      </c>
      <c r="H240">
        <f t="shared" si="19"/>
        <v>-103863.20740011492</v>
      </c>
    </row>
    <row r="241" spans="1:8" x14ac:dyDescent="0.25">
      <c r="A241" s="1">
        <v>45747</v>
      </c>
      <c r="B241" s="2">
        <v>8.57</v>
      </c>
      <c r="C241" s="2">
        <v>9.25</v>
      </c>
      <c r="D241">
        <f t="shared" si="15"/>
        <v>1.9999999999999574</v>
      </c>
      <c r="E241">
        <f t="shared" si="16"/>
        <v>0</v>
      </c>
      <c r="F241">
        <f t="shared" si="17"/>
        <v>-124859.78779996728</v>
      </c>
      <c r="G241">
        <f t="shared" si="18"/>
        <v>0</v>
      </c>
      <c r="H241">
        <f t="shared" si="19"/>
        <v>-124859.78779996728</v>
      </c>
    </row>
    <row r="242" spans="1:8" x14ac:dyDescent="0.25">
      <c r="A242" s="1">
        <v>45744</v>
      </c>
      <c r="B242" s="2">
        <v>8.5500000000000007</v>
      </c>
      <c r="C242" s="2">
        <v>9.25</v>
      </c>
      <c r="D242">
        <f t="shared" si="15"/>
        <v>-8.0000000000000071</v>
      </c>
      <c r="E242">
        <f t="shared" si="16"/>
        <v>-16.000000000000014</v>
      </c>
      <c r="F242">
        <f t="shared" si="17"/>
        <v>499439.15119988023</v>
      </c>
      <c r="G242">
        <f t="shared" si="18"/>
        <v>-1072537.526399994</v>
      </c>
      <c r="H242">
        <f t="shared" si="19"/>
        <v>-573098.37520011375</v>
      </c>
    </row>
    <row r="243" spans="1:8" x14ac:dyDescent="0.25">
      <c r="A243" s="1">
        <v>45743</v>
      </c>
      <c r="B243" s="2">
        <v>8.6300000000000008</v>
      </c>
      <c r="C243" s="2">
        <v>9.41</v>
      </c>
      <c r="D243">
        <f t="shared" si="15"/>
        <v>-8.9999999999999858</v>
      </c>
      <c r="E243">
        <f t="shared" si="16"/>
        <v>-3.9999999999999147</v>
      </c>
      <c r="F243">
        <f t="shared" si="17"/>
        <v>561869.0450998639</v>
      </c>
      <c r="G243">
        <f t="shared" si="18"/>
        <v>-268134.38159999257</v>
      </c>
      <c r="H243">
        <f t="shared" si="19"/>
        <v>293734.66349987133</v>
      </c>
    </row>
    <row r="244" spans="1:8" x14ac:dyDescent="0.25">
      <c r="A244" s="1">
        <v>45742</v>
      </c>
      <c r="B244" s="2">
        <v>8.7200000000000006</v>
      </c>
      <c r="C244" s="2">
        <v>9.4499999999999993</v>
      </c>
      <c r="D244">
        <f t="shared" si="15"/>
        <v>3.0000000000001137</v>
      </c>
      <c r="E244">
        <f t="shared" si="16"/>
        <v>0</v>
      </c>
      <c r="F244">
        <f t="shared" si="17"/>
        <v>-187289.68169996201</v>
      </c>
      <c r="G244">
        <f t="shared" si="18"/>
        <v>0</v>
      </c>
      <c r="H244">
        <f t="shared" si="19"/>
        <v>-187289.68169996201</v>
      </c>
    </row>
    <row r="245" spans="1:8" x14ac:dyDescent="0.25">
      <c r="A245" s="1">
        <v>45741</v>
      </c>
      <c r="B245" s="2">
        <v>8.69</v>
      </c>
      <c r="C245" s="2">
        <v>9.4499999999999993</v>
      </c>
      <c r="D245">
        <f t="shared" si="15"/>
        <v>1.9999999999999574</v>
      </c>
      <c r="E245">
        <f t="shared" si="16"/>
        <v>-3.0000000000001137</v>
      </c>
      <c r="F245">
        <f t="shared" si="17"/>
        <v>-124859.78779996728</v>
      </c>
      <c r="G245">
        <f t="shared" si="18"/>
        <v>-201100.78620000632</v>
      </c>
      <c r="H245">
        <f t="shared" si="19"/>
        <v>-325960.5739999736</v>
      </c>
    </row>
    <row r="246" spans="1:8" x14ac:dyDescent="0.25">
      <c r="A246" s="1">
        <v>45740</v>
      </c>
      <c r="B246" s="2">
        <v>8.67</v>
      </c>
      <c r="C246" s="2">
        <v>9.48</v>
      </c>
      <c r="D246">
        <f t="shared" si="15"/>
        <v>2.9999999999999361</v>
      </c>
      <c r="E246">
        <f t="shared" si="16"/>
        <v>0.99999999999997868</v>
      </c>
      <c r="F246">
        <f t="shared" si="17"/>
        <v>-187289.68169995092</v>
      </c>
      <c r="G246">
        <f t="shared" si="18"/>
        <v>67033.595399998143</v>
      </c>
      <c r="H246">
        <f t="shared" si="19"/>
        <v>-120256.08629995277</v>
      </c>
    </row>
    <row r="247" spans="1:8" x14ac:dyDescent="0.25">
      <c r="A247" s="1">
        <v>45737</v>
      </c>
      <c r="B247" s="2">
        <v>8.64</v>
      </c>
      <c r="C247" s="2">
        <v>9.4700000000000006</v>
      </c>
      <c r="D247">
        <f t="shared" si="15"/>
        <v>0.99999999999997868</v>
      </c>
      <c r="E247">
        <f t="shared" si="16"/>
        <v>10.000000000000142</v>
      </c>
      <c r="F247">
        <f t="shared" si="17"/>
        <v>-62429.893899983639</v>
      </c>
      <c r="G247">
        <f t="shared" si="18"/>
        <v>670335.95400000527</v>
      </c>
      <c r="H247">
        <f t="shared" si="19"/>
        <v>607906.06010002166</v>
      </c>
    </row>
    <row r="248" spans="1:8" x14ac:dyDescent="0.25">
      <c r="A248" s="1">
        <v>45736</v>
      </c>
      <c r="B248" s="2">
        <v>8.6300000000000008</v>
      </c>
      <c r="C248" s="2">
        <v>9.3699999999999992</v>
      </c>
      <c r="D248">
        <f t="shared" si="15"/>
        <v>1.0000000000001563</v>
      </c>
      <c r="E248">
        <f t="shared" si="16"/>
        <v>2.9999999999999361</v>
      </c>
      <c r="F248">
        <f t="shared" si="17"/>
        <v>-62429.893899994728</v>
      </c>
      <c r="G248">
        <f t="shared" si="18"/>
        <v>201100.78619999441</v>
      </c>
      <c r="H248">
        <f t="shared" si="19"/>
        <v>138670.89229999969</v>
      </c>
    </row>
    <row r="249" spans="1:8" x14ac:dyDescent="0.25">
      <c r="A249" s="1">
        <v>45735</v>
      </c>
      <c r="B249" s="2">
        <v>8.6199999999999992</v>
      </c>
      <c r="C249" s="2">
        <v>9.34</v>
      </c>
      <c r="D249">
        <f t="shared" si="15"/>
        <v>-7.0000000000000284</v>
      </c>
      <c r="E249">
        <f t="shared" si="16"/>
        <v>-7.0000000000000284</v>
      </c>
      <c r="F249">
        <f t="shared" si="17"/>
        <v>437009.25729989656</v>
      </c>
      <c r="G249">
        <f t="shared" si="18"/>
        <v>-469235.16779999889</v>
      </c>
      <c r="H249">
        <f t="shared" si="19"/>
        <v>-32225.910500102327</v>
      </c>
    </row>
    <row r="250" spans="1:8" x14ac:dyDescent="0.25">
      <c r="A250" s="1">
        <v>45734</v>
      </c>
      <c r="B250" s="2">
        <v>8.69</v>
      </c>
      <c r="C250" s="2">
        <v>9.41</v>
      </c>
      <c r="D250">
        <f t="shared" si="15"/>
        <v>-3.0000000000001137</v>
      </c>
      <c r="E250">
        <f t="shared" si="16"/>
        <v>-2.9999999999999361</v>
      </c>
      <c r="F250">
        <f t="shared" si="17"/>
        <v>187289.68169996201</v>
      </c>
      <c r="G250">
        <f t="shared" si="18"/>
        <v>-201100.78619999441</v>
      </c>
      <c r="H250">
        <f t="shared" si="19"/>
        <v>-13811.104500032408</v>
      </c>
    </row>
    <row r="251" spans="1:8" x14ac:dyDescent="0.25">
      <c r="A251" s="1">
        <v>45733</v>
      </c>
      <c r="B251" s="2">
        <v>8.7200000000000006</v>
      </c>
      <c r="C251" s="2">
        <v>9.44</v>
      </c>
      <c r="D251">
        <f t="shared" si="15"/>
        <v>0</v>
      </c>
      <c r="E251">
        <f t="shared" si="16"/>
        <v>0</v>
      </c>
      <c r="F251">
        <f t="shared" si="17"/>
        <v>0</v>
      </c>
      <c r="G251">
        <f t="shared" si="18"/>
        <v>0</v>
      </c>
      <c r="H251">
        <f t="shared" si="19"/>
        <v>0</v>
      </c>
    </row>
    <row r="252" spans="1:8" x14ac:dyDescent="0.25">
      <c r="A252" s="1">
        <v>45730</v>
      </c>
      <c r="B252" s="2">
        <v>8.7200000000000006</v>
      </c>
      <c r="C252" s="2">
        <v>9.44</v>
      </c>
      <c r="D252">
        <f t="shared" si="15"/>
        <v>-1.9999999999999574</v>
      </c>
      <c r="E252">
        <f t="shared" si="16"/>
        <v>-2.000000000000135</v>
      </c>
      <c r="F252">
        <f t="shared" si="17"/>
        <v>124859.78779996728</v>
      </c>
      <c r="G252">
        <f t="shared" si="18"/>
        <v>-134067.19080000819</v>
      </c>
      <c r="H252">
        <f t="shared" si="19"/>
        <v>-9207.4030000409111</v>
      </c>
    </row>
    <row r="253" spans="1:8" x14ac:dyDescent="0.25">
      <c r="A253" s="1">
        <v>45729</v>
      </c>
      <c r="B253" s="2">
        <v>8.74</v>
      </c>
      <c r="C253" s="2">
        <v>9.4600000000000009</v>
      </c>
      <c r="D253">
        <f t="shared" si="15"/>
        <v>-3.9999999999999147</v>
      </c>
      <c r="E253">
        <f t="shared" si="16"/>
        <v>-9.9999999999999645</v>
      </c>
      <c r="F253">
        <f t="shared" si="17"/>
        <v>249719.57559993456</v>
      </c>
      <c r="G253">
        <f t="shared" si="18"/>
        <v>-670335.95399999327</v>
      </c>
      <c r="H253">
        <f t="shared" si="19"/>
        <v>-420616.37840005872</v>
      </c>
    </row>
    <row r="254" spans="1:8" x14ac:dyDescent="0.25">
      <c r="A254" s="1">
        <v>45728</v>
      </c>
      <c r="B254" s="2">
        <v>8.7799999999999994</v>
      </c>
      <c r="C254" s="2">
        <v>9.56</v>
      </c>
      <c r="D254">
        <f t="shared" si="15"/>
        <v>-3.0000000000001137</v>
      </c>
      <c r="E254">
        <f t="shared" si="16"/>
        <v>0</v>
      </c>
      <c r="F254">
        <f t="shared" si="17"/>
        <v>187289.68169996201</v>
      </c>
      <c r="G254">
        <f t="shared" si="18"/>
        <v>0</v>
      </c>
      <c r="H254">
        <f t="shared" si="19"/>
        <v>187289.68169996201</v>
      </c>
    </row>
    <row r="255" spans="1:8" x14ac:dyDescent="0.25">
      <c r="A255" s="1">
        <v>45727</v>
      </c>
      <c r="B255" s="2">
        <v>8.81</v>
      </c>
      <c r="C255" s="2">
        <v>9.56</v>
      </c>
      <c r="D255">
        <f t="shared" si="15"/>
        <v>-2.9999999999999361</v>
      </c>
      <c r="E255">
        <f t="shared" si="16"/>
        <v>6.0000000000000497</v>
      </c>
      <c r="F255">
        <f t="shared" si="17"/>
        <v>187289.68169995092</v>
      </c>
      <c r="G255">
        <f t="shared" si="18"/>
        <v>402201.57240000076</v>
      </c>
      <c r="H255">
        <f t="shared" si="19"/>
        <v>589491.25409995171</v>
      </c>
    </row>
    <row r="256" spans="1:8" x14ac:dyDescent="0.25">
      <c r="A256" s="1">
        <v>45726</v>
      </c>
      <c r="B256" s="2">
        <v>8.84</v>
      </c>
      <c r="C256" s="2">
        <v>9.5</v>
      </c>
      <c r="D256">
        <f t="shared" si="15"/>
        <v>0</v>
      </c>
      <c r="E256">
        <f t="shared" si="16"/>
        <v>7.0000000000000284</v>
      </c>
      <c r="F256">
        <f t="shared" si="17"/>
        <v>0</v>
      </c>
      <c r="G256">
        <f t="shared" si="18"/>
        <v>469235.16779999889</v>
      </c>
      <c r="H256">
        <f t="shared" si="19"/>
        <v>469235.16779999889</v>
      </c>
    </row>
    <row r="257" spans="1:8" x14ac:dyDescent="0.25">
      <c r="A257" s="1">
        <v>45723</v>
      </c>
      <c r="B257" s="2">
        <v>8.84</v>
      </c>
      <c r="C257" s="2">
        <v>9.43</v>
      </c>
      <c r="D257">
        <f t="shared" si="15"/>
        <v>-0.99999999999997868</v>
      </c>
      <c r="E257">
        <f t="shared" si="16"/>
        <v>0</v>
      </c>
      <c r="F257">
        <f t="shared" si="17"/>
        <v>62429.893899983639</v>
      </c>
      <c r="G257">
        <f t="shared" si="18"/>
        <v>0</v>
      </c>
      <c r="H257">
        <f t="shared" si="19"/>
        <v>62429.893899983639</v>
      </c>
    </row>
    <row r="258" spans="1:8" x14ac:dyDescent="0.25">
      <c r="A258" s="1">
        <v>45722</v>
      </c>
      <c r="B258" s="2">
        <v>8.85</v>
      </c>
      <c r="C258" s="2">
        <v>9.43</v>
      </c>
      <c r="D258">
        <f t="shared" si="15"/>
        <v>0</v>
      </c>
      <c r="E258">
        <f t="shared" si="16"/>
        <v>-3.0000000000001137</v>
      </c>
      <c r="F258">
        <f t="shared" si="17"/>
        <v>0</v>
      </c>
      <c r="G258">
        <f t="shared" si="18"/>
        <v>-201100.78620000632</v>
      </c>
      <c r="H258">
        <f t="shared" si="19"/>
        <v>-201100.78620000632</v>
      </c>
    </row>
    <row r="259" spans="1:8" x14ac:dyDescent="0.25">
      <c r="A259" s="1">
        <v>45721</v>
      </c>
      <c r="B259" s="2">
        <v>8.85</v>
      </c>
      <c r="C259" s="2">
        <v>9.4600000000000009</v>
      </c>
      <c r="D259">
        <f t="shared" ref="D259:D322" si="20">(B259-B260)*100</f>
        <v>-8.0000000000000071</v>
      </c>
      <c r="E259">
        <f t="shared" ref="E259:E322" si="21">(C259-C260)*100</f>
        <v>-10.999999999999943</v>
      </c>
      <c r="F259">
        <f t="shared" ref="F259:F322" si="22">-D259*$R$3</f>
        <v>499439.15119988023</v>
      </c>
      <c r="G259">
        <f t="shared" ref="G259:G322" si="23">-E259*$R$4</f>
        <v>-737369.5493999914</v>
      </c>
      <c r="H259">
        <f t="shared" ref="H259:H322" si="24">F259+G259</f>
        <v>-237930.39820011117</v>
      </c>
    </row>
    <row r="260" spans="1:8" x14ac:dyDescent="0.25">
      <c r="A260" s="1">
        <v>45720</v>
      </c>
      <c r="B260" s="2">
        <v>8.93</v>
      </c>
      <c r="C260" s="2">
        <v>9.57</v>
      </c>
      <c r="D260">
        <f t="shared" si="20"/>
        <v>4.9999999999998934</v>
      </c>
      <c r="E260">
        <f t="shared" si="21"/>
        <v>13.000000000000078</v>
      </c>
      <c r="F260">
        <f t="shared" si="22"/>
        <v>-312149.46949991822</v>
      </c>
      <c r="G260">
        <f t="shared" si="23"/>
        <v>871436.74019999965</v>
      </c>
      <c r="H260">
        <f t="shared" si="24"/>
        <v>559287.27070008148</v>
      </c>
    </row>
    <row r="261" spans="1:8" x14ac:dyDescent="0.25">
      <c r="A261" s="1">
        <v>45719</v>
      </c>
      <c r="B261" s="2">
        <v>8.8800000000000008</v>
      </c>
      <c r="C261" s="2">
        <v>9.44</v>
      </c>
      <c r="D261">
        <f t="shared" si="20"/>
        <v>1.0000000000001563</v>
      </c>
      <c r="E261">
        <f t="shared" si="21"/>
        <v>-2.000000000000135</v>
      </c>
      <c r="F261">
        <f t="shared" si="22"/>
        <v>-62429.893899994728</v>
      </c>
      <c r="G261">
        <f t="shared" si="23"/>
        <v>-134067.19080000819</v>
      </c>
      <c r="H261">
        <f t="shared" si="24"/>
        <v>-196497.08470000292</v>
      </c>
    </row>
    <row r="262" spans="1:8" x14ac:dyDescent="0.25">
      <c r="A262" s="1">
        <v>45716</v>
      </c>
      <c r="B262" s="2">
        <v>8.8699999999999992</v>
      </c>
      <c r="C262" s="2">
        <v>9.4600000000000009</v>
      </c>
      <c r="D262">
        <f t="shared" si="20"/>
        <v>-2.000000000000135</v>
      </c>
      <c r="E262">
        <f t="shared" si="21"/>
        <v>-3.9999999999999147</v>
      </c>
      <c r="F262">
        <f t="shared" si="22"/>
        <v>124859.78779997837</v>
      </c>
      <c r="G262">
        <f t="shared" si="23"/>
        <v>-268134.38159999257</v>
      </c>
      <c r="H262">
        <f t="shared" si="24"/>
        <v>-143274.59380001421</v>
      </c>
    </row>
    <row r="263" spans="1:8" x14ac:dyDescent="0.25">
      <c r="A263" s="1">
        <v>45715</v>
      </c>
      <c r="B263" s="2">
        <v>8.89</v>
      </c>
      <c r="C263" s="2">
        <v>9.5</v>
      </c>
      <c r="D263">
        <f t="shared" si="20"/>
        <v>2.000000000000135</v>
      </c>
      <c r="E263">
        <f t="shared" si="21"/>
        <v>-1.9999999999999574</v>
      </c>
      <c r="F263">
        <f t="shared" si="22"/>
        <v>-124859.78779997837</v>
      </c>
      <c r="G263">
        <f t="shared" si="23"/>
        <v>-134067.19079999629</v>
      </c>
      <c r="H263">
        <f t="shared" si="24"/>
        <v>-258926.97859997465</v>
      </c>
    </row>
    <row r="264" spans="1:8" x14ac:dyDescent="0.25">
      <c r="A264" s="1">
        <v>45714</v>
      </c>
      <c r="B264" s="2">
        <v>8.8699999999999992</v>
      </c>
      <c r="C264" s="2">
        <v>9.52</v>
      </c>
      <c r="D264">
        <f t="shared" si="20"/>
        <v>-1.0000000000001563</v>
      </c>
      <c r="E264">
        <f t="shared" si="21"/>
        <v>-8.9999999999999858</v>
      </c>
      <c r="F264">
        <f t="shared" si="22"/>
        <v>62429.893899994728</v>
      </c>
      <c r="G264">
        <f t="shared" si="23"/>
        <v>-603302.35859999515</v>
      </c>
      <c r="H264">
        <f t="shared" si="24"/>
        <v>-540872.46470000036</v>
      </c>
    </row>
    <row r="265" spans="1:8" x14ac:dyDescent="0.25">
      <c r="A265" s="1">
        <v>45713</v>
      </c>
      <c r="B265" s="2">
        <v>8.8800000000000008</v>
      </c>
      <c r="C265" s="2">
        <v>9.61</v>
      </c>
      <c r="D265">
        <f t="shared" si="20"/>
        <v>-9.9999999999999645</v>
      </c>
      <c r="E265">
        <f t="shared" si="21"/>
        <v>-10.000000000000142</v>
      </c>
      <c r="F265">
        <f t="shared" si="22"/>
        <v>624298.93899984751</v>
      </c>
      <c r="G265">
        <f t="shared" si="23"/>
        <v>-670335.95400000527</v>
      </c>
      <c r="H265">
        <f t="shared" si="24"/>
        <v>-46037.015000157757</v>
      </c>
    </row>
    <row r="266" spans="1:8" x14ac:dyDescent="0.25">
      <c r="A266" s="1">
        <v>45712</v>
      </c>
      <c r="B266" s="2">
        <v>8.98</v>
      </c>
      <c r="C266" s="2">
        <v>9.7100000000000009</v>
      </c>
      <c r="D266">
        <f t="shared" si="20"/>
        <v>-1.9999999999999574</v>
      </c>
      <c r="E266">
        <f t="shared" si="21"/>
        <v>-5.9999999999998721</v>
      </c>
      <c r="F266">
        <f t="shared" si="22"/>
        <v>124859.78779996728</v>
      </c>
      <c r="G266">
        <f t="shared" si="23"/>
        <v>-402201.57239998883</v>
      </c>
      <c r="H266">
        <f t="shared" si="24"/>
        <v>-277341.78460002155</v>
      </c>
    </row>
    <row r="267" spans="1:8" x14ac:dyDescent="0.25">
      <c r="A267" s="1">
        <v>45709</v>
      </c>
      <c r="B267" s="2">
        <v>9</v>
      </c>
      <c r="C267" s="2">
        <v>9.77</v>
      </c>
      <c r="D267">
        <f t="shared" si="20"/>
        <v>-2.9999999999999361</v>
      </c>
      <c r="E267">
        <f t="shared" si="21"/>
        <v>-11.000000000000121</v>
      </c>
      <c r="F267">
        <f t="shared" si="22"/>
        <v>187289.68169995092</v>
      </c>
      <c r="G267">
        <f t="shared" si="23"/>
        <v>-737369.54940000339</v>
      </c>
      <c r="H267">
        <f t="shared" si="24"/>
        <v>-550079.86770005245</v>
      </c>
    </row>
    <row r="268" spans="1:8" x14ac:dyDescent="0.25">
      <c r="A268" s="1">
        <v>45708</v>
      </c>
      <c r="B268" s="2">
        <v>9.0299999999999994</v>
      </c>
      <c r="C268" s="2">
        <v>9.8800000000000008</v>
      </c>
      <c r="D268">
        <f t="shared" si="20"/>
        <v>-3.0000000000001137</v>
      </c>
      <c r="E268">
        <f t="shared" si="21"/>
        <v>-2.9999999999999361</v>
      </c>
      <c r="F268">
        <f t="shared" si="22"/>
        <v>187289.68169996201</v>
      </c>
      <c r="G268">
        <f t="shared" si="23"/>
        <v>-201100.78619999441</v>
      </c>
      <c r="H268">
        <f t="shared" si="24"/>
        <v>-13811.104500032408</v>
      </c>
    </row>
    <row r="269" spans="1:8" x14ac:dyDescent="0.25">
      <c r="A269" s="1">
        <v>45707</v>
      </c>
      <c r="B269" s="2">
        <v>9.06</v>
      </c>
      <c r="C269" s="2">
        <v>9.91</v>
      </c>
      <c r="D269">
        <f t="shared" si="20"/>
        <v>-5.9999999999998721</v>
      </c>
      <c r="E269">
        <f t="shared" si="21"/>
        <v>6.0000000000000497</v>
      </c>
      <c r="F269">
        <f t="shared" si="22"/>
        <v>374579.36339990183</v>
      </c>
      <c r="G269">
        <f t="shared" si="23"/>
        <v>402201.57240000076</v>
      </c>
      <c r="H269">
        <f t="shared" si="24"/>
        <v>776780.93579990254</v>
      </c>
    </row>
    <row r="270" spans="1:8" x14ac:dyDescent="0.25">
      <c r="A270" s="1">
        <v>45706</v>
      </c>
      <c r="B270" s="2">
        <v>9.1199999999999992</v>
      </c>
      <c r="C270" s="2">
        <v>9.85</v>
      </c>
      <c r="D270">
        <f t="shared" si="20"/>
        <v>-3.0000000000001137</v>
      </c>
      <c r="E270">
        <f t="shared" si="21"/>
        <v>-3.0000000000001137</v>
      </c>
      <c r="F270">
        <f t="shared" si="22"/>
        <v>187289.68169996201</v>
      </c>
      <c r="G270">
        <f t="shared" si="23"/>
        <v>-201100.78620000632</v>
      </c>
      <c r="H270">
        <f t="shared" si="24"/>
        <v>-13811.104500044312</v>
      </c>
    </row>
    <row r="271" spans="1:8" x14ac:dyDescent="0.25">
      <c r="A271" s="1">
        <v>45705</v>
      </c>
      <c r="B271" s="2">
        <v>9.15</v>
      </c>
      <c r="C271" s="2">
        <v>9.8800000000000008</v>
      </c>
      <c r="D271">
        <f t="shared" si="20"/>
        <v>-0.99999999999997868</v>
      </c>
      <c r="E271">
        <f t="shared" si="21"/>
        <v>3.0000000000001137</v>
      </c>
      <c r="F271">
        <f t="shared" si="22"/>
        <v>62429.893899983639</v>
      </c>
      <c r="G271">
        <f t="shared" si="23"/>
        <v>201100.78620000632</v>
      </c>
      <c r="H271">
        <f t="shared" si="24"/>
        <v>263530.68009998999</v>
      </c>
    </row>
    <row r="272" spans="1:8" x14ac:dyDescent="0.25">
      <c r="A272" s="1">
        <v>45702</v>
      </c>
      <c r="B272" s="2">
        <v>9.16</v>
      </c>
      <c r="C272" s="2">
        <v>9.85</v>
      </c>
      <c r="D272">
        <f t="shared" si="20"/>
        <v>-5.0000000000000711</v>
      </c>
      <c r="E272">
        <f t="shared" si="21"/>
        <v>-0.99999999999997868</v>
      </c>
      <c r="F272">
        <f t="shared" si="22"/>
        <v>312149.46949992928</v>
      </c>
      <c r="G272">
        <f t="shared" si="23"/>
        <v>-67033.595399998143</v>
      </c>
      <c r="H272">
        <f t="shared" si="24"/>
        <v>245115.87409993116</v>
      </c>
    </row>
    <row r="273" spans="1:8" x14ac:dyDescent="0.25">
      <c r="A273" s="1">
        <v>45701</v>
      </c>
      <c r="B273" s="2">
        <v>9.2100000000000009</v>
      </c>
      <c r="C273" s="2">
        <v>9.86</v>
      </c>
      <c r="D273">
        <f t="shared" si="20"/>
        <v>-6.9999999999998508</v>
      </c>
      <c r="E273">
        <f t="shared" si="21"/>
        <v>-4.0000000000000924</v>
      </c>
      <c r="F273">
        <f t="shared" si="22"/>
        <v>437009.2572998855</v>
      </c>
      <c r="G273">
        <f t="shared" si="23"/>
        <v>-268134.38160000445</v>
      </c>
      <c r="H273">
        <f t="shared" si="24"/>
        <v>168874.87569988106</v>
      </c>
    </row>
    <row r="274" spans="1:8" x14ac:dyDescent="0.25">
      <c r="A274" s="1">
        <v>45700</v>
      </c>
      <c r="B274" s="2">
        <v>9.2799999999999994</v>
      </c>
      <c r="C274" s="2">
        <v>9.9</v>
      </c>
      <c r="D274">
        <f t="shared" si="20"/>
        <v>5.9999999999998721</v>
      </c>
      <c r="E274">
        <f t="shared" si="21"/>
        <v>6.0000000000000497</v>
      </c>
      <c r="F274">
        <f t="shared" si="22"/>
        <v>-374579.36339990183</v>
      </c>
      <c r="G274">
        <f t="shared" si="23"/>
        <v>402201.57240000076</v>
      </c>
      <c r="H274">
        <f t="shared" si="24"/>
        <v>27622.209000098926</v>
      </c>
    </row>
    <row r="275" spans="1:8" x14ac:dyDescent="0.25">
      <c r="A275" s="1">
        <v>45699</v>
      </c>
      <c r="B275" s="2">
        <v>9.2200000000000006</v>
      </c>
      <c r="C275" s="2">
        <v>9.84</v>
      </c>
      <c r="D275">
        <f t="shared" si="20"/>
        <v>3.0000000000001137</v>
      </c>
      <c r="E275">
        <f t="shared" si="21"/>
        <v>8.9999999999999858</v>
      </c>
      <c r="F275">
        <f t="shared" si="22"/>
        <v>-187289.68169996201</v>
      </c>
      <c r="G275">
        <f t="shared" si="23"/>
        <v>603302.35859999515</v>
      </c>
      <c r="H275">
        <f t="shared" si="24"/>
        <v>416012.67690003314</v>
      </c>
    </row>
    <row r="276" spans="1:8" x14ac:dyDescent="0.25">
      <c r="A276" s="1">
        <v>45698</v>
      </c>
      <c r="B276" s="2">
        <v>9.19</v>
      </c>
      <c r="C276" s="2">
        <v>9.75</v>
      </c>
      <c r="D276">
        <f t="shared" si="20"/>
        <v>-2.000000000000135</v>
      </c>
      <c r="E276">
        <f t="shared" si="21"/>
        <v>-0.99999999999997868</v>
      </c>
      <c r="F276">
        <f t="shared" si="22"/>
        <v>124859.78779997837</v>
      </c>
      <c r="G276">
        <f t="shared" si="23"/>
        <v>-67033.595399998143</v>
      </c>
      <c r="H276">
        <f t="shared" si="24"/>
        <v>57826.192399980224</v>
      </c>
    </row>
    <row r="277" spans="1:8" x14ac:dyDescent="0.25">
      <c r="A277" s="1">
        <v>45695</v>
      </c>
      <c r="B277" s="2">
        <v>9.2100000000000009</v>
      </c>
      <c r="C277" s="2">
        <v>9.76</v>
      </c>
      <c r="D277">
        <f t="shared" si="20"/>
        <v>3.0000000000001137</v>
      </c>
      <c r="E277">
        <f t="shared" si="21"/>
        <v>0.99999999999997868</v>
      </c>
      <c r="F277">
        <f t="shared" si="22"/>
        <v>-187289.68169996201</v>
      </c>
      <c r="G277">
        <f t="shared" si="23"/>
        <v>67033.595399998143</v>
      </c>
      <c r="H277">
        <f t="shared" si="24"/>
        <v>-120256.08629996386</v>
      </c>
    </row>
    <row r="278" spans="1:8" x14ac:dyDescent="0.25">
      <c r="A278" s="1">
        <v>45694</v>
      </c>
      <c r="B278" s="2">
        <v>9.18</v>
      </c>
      <c r="C278" s="2">
        <v>9.75</v>
      </c>
      <c r="D278">
        <f t="shared" si="20"/>
        <v>-8.9999999999999858</v>
      </c>
      <c r="E278">
        <f t="shared" si="21"/>
        <v>-9.9999999999999645</v>
      </c>
      <c r="F278">
        <f t="shared" si="22"/>
        <v>561869.0450998639</v>
      </c>
      <c r="G278">
        <f t="shared" si="23"/>
        <v>-670335.95399999327</v>
      </c>
      <c r="H278">
        <f t="shared" si="24"/>
        <v>-108466.90890012938</v>
      </c>
    </row>
    <row r="279" spans="1:8" x14ac:dyDescent="0.25">
      <c r="A279" s="1">
        <v>45693</v>
      </c>
      <c r="B279" s="2">
        <v>9.27</v>
      </c>
      <c r="C279" s="2">
        <v>9.85</v>
      </c>
      <c r="D279">
        <f t="shared" si="20"/>
        <v>-7.0000000000000284</v>
      </c>
      <c r="E279">
        <f t="shared" si="21"/>
        <v>-11.000000000000121</v>
      </c>
      <c r="F279">
        <f t="shared" si="22"/>
        <v>437009.25729989656</v>
      </c>
      <c r="G279">
        <f t="shared" si="23"/>
        <v>-737369.54940000339</v>
      </c>
      <c r="H279">
        <f t="shared" si="24"/>
        <v>-300360.29210010683</v>
      </c>
    </row>
    <row r="280" spans="1:8" x14ac:dyDescent="0.25">
      <c r="A280" s="1">
        <v>45692</v>
      </c>
      <c r="B280" s="2">
        <v>9.34</v>
      </c>
      <c r="C280" s="2">
        <v>9.9600000000000009</v>
      </c>
      <c r="D280">
        <f t="shared" si="20"/>
        <v>-8.9999999999999858</v>
      </c>
      <c r="E280">
        <f t="shared" si="21"/>
        <v>-10.999999999999943</v>
      </c>
      <c r="F280">
        <f t="shared" si="22"/>
        <v>561869.0450998639</v>
      </c>
      <c r="G280">
        <f t="shared" si="23"/>
        <v>-737369.5493999914</v>
      </c>
      <c r="H280">
        <f t="shared" si="24"/>
        <v>-175500.5043001275</v>
      </c>
    </row>
    <row r="281" spans="1:8" x14ac:dyDescent="0.25">
      <c r="A281" s="1">
        <v>45691</v>
      </c>
      <c r="B281" s="2">
        <v>9.43</v>
      </c>
      <c r="C281" s="2">
        <v>10.07</v>
      </c>
      <c r="D281">
        <f t="shared" si="20"/>
        <v>0</v>
      </c>
      <c r="E281">
        <f t="shared" si="21"/>
        <v>0</v>
      </c>
      <c r="F281">
        <f t="shared" si="22"/>
        <v>0</v>
      </c>
      <c r="G281">
        <f t="shared" si="23"/>
        <v>0</v>
      </c>
      <c r="H281">
        <f t="shared" si="24"/>
        <v>0</v>
      </c>
    </row>
    <row r="282" spans="1:8" x14ac:dyDescent="0.25">
      <c r="A282" s="1">
        <v>45688</v>
      </c>
      <c r="B282" s="2">
        <v>9.43</v>
      </c>
      <c r="C282" s="2">
        <v>10.07</v>
      </c>
      <c r="D282">
        <f t="shared" si="20"/>
        <v>1.9999999999999574</v>
      </c>
      <c r="E282">
        <f t="shared" si="21"/>
        <v>10.999999999999943</v>
      </c>
      <c r="F282">
        <f t="shared" si="22"/>
        <v>-124859.78779996728</v>
      </c>
      <c r="G282">
        <f t="shared" si="23"/>
        <v>737369.5493999914</v>
      </c>
      <c r="H282">
        <f t="shared" si="24"/>
        <v>612509.76160002407</v>
      </c>
    </row>
    <row r="283" spans="1:8" x14ac:dyDescent="0.25">
      <c r="A283" s="1">
        <v>45687</v>
      </c>
      <c r="B283" s="2">
        <v>9.41</v>
      </c>
      <c r="C283" s="2">
        <v>9.9600000000000009</v>
      </c>
      <c r="D283">
        <f t="shared" si="20"/>
        <v>-8.9999999999999858</v>
      </c>
      <c r="E283">
        <f t="shared" si="21"/>
        <v>-5.9999999999998721</v>
      </c>
      <c r="F283">
        <f t="shared" si="22"/>
        <v>561869.0450998639</v>
      </c>
      <c r="G283">
        <f t="shared" si="23"/>
        <v>-402201.57239998883</v>
      </c>
      <c r="H283">
        <f t="shared" si="24"/>
        <v>159667.47269987507</v>
      </c>
    </row>
    <row r="284" spans="1:8" x14ac:dyDescent="0.25">
      <c r="A284" s="1">
        <v>45686</v>
      </c>
      <c r="B284" s="2">
        <v>9.5</v>
      </c>
      <c r="C284" s="2">
        <v>10.02</v>
      </c>
      <c r="D284">
        <f t="shared" si="20"/>
        <v>5.0000000000000711</v>
      </c>
      <c r="E284">
        <f t="shared" si="21"/>
        <v>2.9999999999999361</v>
      </c>
      <c r="F284">
        <f t="shared" si="22"/>
        <v>-312149.46949992928</v>
      </c>
      <c r="G284">
        <f t="shared" si="23"/>
        <v>201100.78619999441</v>
      </c>
      <c r="H284">
        <f t="shared" si="24"/>
        <v>-111048.68329993487</v>
      </c>
    </row>
    <row r="285" spans="1:8" x14ac:dyDescent="0.25">
      <c r="A285" s="1">
        <v>45685</v>
      </c>
      <c r="B285" s="2">
        <v>9.4499999999999993</v>
      </c>
      <c r="C285" s="2">
        <v>9.99</v>
      </c>
      <c r="D285">
        <f t="shared" si="20"/>
        <v>-2.000000000000135</v>
      </c>
      <c r="E285">
        <f t="shared" si="21"/>
        <v>-3.9999999999999147</v>
      </c>
      <c r="F285">
        <f t="shared" si="22"/>
        <v>124859.78779997837</v>
      </c>
      <c r="G285">
        <f t="shared" si="23"/>
        <v>-268134.38159999257</v>
      </c>
      <c r="H285">
        <f t="shared" si="24"/>
        <v>-143274.59380001421</v>
      </c>
    </row>
    <row r="286" spans="1:8" x14ac:dyDescent="0.25">
      <c r="A286" s="1">
        <v>45684</v>
      </c>
      <c r="B286" s="2">
        <v>9.4700000000000006</v>
      </c>
      <c r="C286" s="2">
        <v>10.029999999999999</v>
      </c>
      <c r="D286">
        <f t="shared" si="20"/>
        <v>-0.99999999999997868</v>
      </c>
      <c r="E286">
        <f t="shared" si="21"/>
        <v>1.9999999999999574</v>
      </c>
      <c r="F286">
        <f t="shared" si="22"/>
        <v>62429.893899983639</v>
      </c>
      <c r="G286">
        <f t="shared" si="23"/>
        <v>134067.19079999629</v>
      </c>
      <c r="H286">
        <f t="shared" si="24"/>
        <v>196497.08469997993</v>
      </c>
    </row>
    <row r="287" spans="1:8" x14ac:dyDescent="0.25">
      <c r="A287" s="1">
        <v>45681</v>
      </c>
      <c r="B287" s="2">
        <v>9.48</v>
      </c>
      <c r="C287" s="2">
        <v>10.01</v>
      </c>
      <c r="D287">
        <f t="shared" si="20"/>
        <v>4.0000000000000924</v>
      </c>
      <c r="E287">
        <f t="shared" si="21"/>
        <v>2.9999999999999361</v>
      </c>
      <c r="F287">
        <f t="shared" si="22"/>
        <v>-249719.57559994565</v>
      </c>
      <c r="G287">
        <f t="shared" si="23"/>
        <v>201100.78619999441</v>
      </c>
      <c r="H287">
        <f t="shared" si="24"/>
        <v>-48618.789399951231</v>
      </c>
    </row>
    <row r="288" spans="1:8" x14ac:dyDescent="0.25">
      <c r="A288" s="1">
        <v>45680</v>
      </c>
      <c r="B288" s="2">
        <v>9.44</v>
      </c>
      <c r="C288" s="2">
        <v>9.98</v>
      </c>
      <c r="D288">
        <f t="shared" si="20"/>
        <v>-3.0000000000001137</v>
      </c>
      <c r="E288">
        <f t="shared" si="21"/>
        <v>-2.9999999999999361</v>
      </c>
      <c r="F288">
        <f t="shared" si="22"/>
        <v>187289.68169996201</v>
      </c>
      <c r="G288">
        <f t="shared" si="23"/>
        <v>-201100.78619999441</v>
      </c>
      <c r="H288">
        <f t="shared" si="24"/>
        <v>-13811.104500032408</v>
      </c>
    </row>
    <row r="289" spans="1:8" x14ac:dyDescent="0.25">
      <c r="A289" s="1">
        <v>45679</v>
      </c>
      <c r="B289" s="2">
        <v>9.4700000000000006</v>
      </c>
      <c r="C289" s="2">
        <v>10.01</v>
      </c>
      <c r="D289">
        <f t="shared" si="20"/>
        <v>-10.999999999999943</v>
      </c>
      <c r="E289">
        <f t="shared" si="21"/>
        <v>-14.000000000000057</v>
      </c>
      <c r="F289">
        <f t="shared" si="22"/>
        <v>686728.83289983112</v>
      </c>
      <c r="G289">
        <f t="shared" si="23"/>
        <v>-938470.33559999778</v>
      </c>
      <c r="H289">
        <f t="shared" si="24"/>
        <v>-251741.50270016666</v>
      </c>
    </row>
    <row r="290" spans="1:8" x14ac:dyDescent="0.25">
      <c r="A290" s="1">
        <v>45678</v>
      </c>
      <c r="B290" s="2">
        <v>9.58</v>
      </c>
      <c r="C290" s="2">
        <v>10.15</v>
      </c>
      <c r="D290">
        <f t="shared" si="20"/>
        <v>-8.9999999999999858</v>
      </c>
      <c r="E290">
        <f t="shared" si="21"/>
        <v>-9.9999999999999645</v>
      </c>
      <c r="F290">
        <f t="shared" si="22"/>
        <v>561869.0450998639</v>
      </c>
      <c r="G290">
        <f t="shared" si="23"/>
        <v>-670335.95399999327</v>
      </c>
      <c r="H290">
        <f t="shared" si="24"/>
        <v>-108466.90890012938</v>
      </c>
    </row>
    <row r="291" spans="1:8" x14ac:dyDescent="0.25">
      <c r="A291" s="1">
        <v>45677</v>
      </c>
      <c r="B291" s="2">
        <v>9.67</v>
      </c>
      <c r="C291" s="2">
        <v>10.25</v>
      </c>
      <c r="D291">
        <f t="shared" si="20"/>
        <v>-8.0000000000000071</v>
      </c>
      <c r="E291">
        <f t="shared" si="21"/>
        <v>-8.9999999999999858</v>
      </c>
      <c r="F291">
        <f t="shared" si="22"/>
        <v>499439.15119988023</v>
      </c>
      <c r="G291">
        <f t="shared" si="23"/>
        <v>-603302.35859999515</v>
      </c>
      <c r="H291">
        <f t="shared" si="24"/>
        <v>-103863.20740011492</v>
      </c>
    </row>
    <row r="292" spans="1:8" x14ac:dyDescent="0.25">
      <c r="A292" s="1">
        <v>45674</v>
      </c>
      <c r="B292" s="2">
        <v>9.75</v>
      </c>
      <c r="C292" s="2">
        <v>10.34</v>
      </c>
      <c r="D292">
        <f t="shared" si="20"/>
        <v>2.9999999999999361</v>
      </c>
      <c r="E292">
        <f t="shared" si="21"/>
        <v>6.0000000000000497</v>
      </c>
      <c r="F292">
        <f t="shared" si="22"/>
        <v>-187289.68169995092</v>
      </c>
      <c r="G292">
        <f t="shared" si="23"/>
        <v>402201.57240000076</v>
      </c>
      <c r="H292">
        <f t="shared" si="24"/>
        <v>214911.89070004984</v>
      </c>
    </row>
    <row r="293" spans="1:8" x14ac:dyDescent="0.25">
      <c r="A293" s="1">
        <v>45673</v>
      </c>
      <c r="B293" s="2">
        <v>9.7200000000000006</v>
      </c>
      <c r="C293" s="2">
        <v>10.28</v>
      </c>
      <c r="D293">
        <f t="shared" si="20"/>
        <v>3.0000000000001137</v>
      </c>
      <c r="E293">
        <f t="shared" si="21"/>
        <v>-2.000000000000135</v>
      </c>
      <c r="F293">
        <f t="shared" si="22"/>
        <v>-187289.68169996201</v>
      </c>
      <c r="G293">
        <f t="shared" si="23"/>
        <v>-134067.19080000819</v>
      </c>
      <c r="H293">
        <f t="shared" si="24"/>
        <v>-321356.8724999702</v>
      </c>
    </row>
    <row r="294" spans="1:8" x14ac:dyDescent="0.25">
      <c r="A294" s="1">
        <v>45672</v>
      </c>
      <c r="B294" s="2">
        <v>9.69</v>
      </c>
      <c r="C294" s="2">
        <v>10.3</v>
      </c>
      <c r="D294">
        <f t="shared" si="20"/>
        <v>-6.0000000000000497</v>
      </c>
      <c r="E294">
        <f t="shared" si="21"/>
        <v>-8.9999999999999858</v>
      </c>
      <c r="F294">
        <f t="shared" si="22"/>
        <v>374579.36339991295</v>
      </c>
      <c r="G294">
        <f t="shared" si="23"/>
        <v>-603302.35859999515</v>
      </c>
      <c r="H294">
        <f t="shared" si="24"/>
        <v>-228722.99520008219</v>
      </c>
    </row>
    <row r="295" spans="1:8" x14ac:dyDescent="0.25">
      <c r="A295" s="1">
        <v>45671</v>
      </c>
      <c r="B295" s="2">
        <v>9.75</v>
      </c>
      <c r="C295" s="2">
        <v>10.39</v>
      </c>
      <c r="D295">
        <f t="shared" si="20"/>
        <v>0.99999999999997868</v>
      </c>
      <c r="E295">
        <f t="shared" si="21"/>
        <v>2.000000000000135</v>
      </c>
      <c r="F295">
        <f t="shared" si="22"/>
        <v>-62429.893899983639</v>
      </c>
      <c r="G295">
        <f t="shared" si="23"/>
        <v>134067.19080000819</v>
      </c>
      <c r="H295">
        <f t="shared" si="24"/>
        <v>71637.29690002455</v>
      </c>
    </row>
    <row r="296" spans="1:8" x14ac:dyDescent="0.25">
      <c r="A296" s="1">
        <v>45670</v>
      </c>
      <c r="B296" s="2">
        <v>9.74</v>
      </c>
      <c r="C296" s="2">
        <v>10.37</v>
      </c>
      <c r="D296">
        <f t="shared" si="20"/>
        <v>2.9999999999999361</v>
      </c>
      <c r="E296">
        <f t="shared" si="21"/>
        <v>9.9999999999999645</v>
      </c>
      <c r="F296">
        <f t="shared" si="22"/>
        <v>-187289.68169995092</v>
      </c>
      <c r="G296">
        <f t="shared" si="23"/>
        <v>670335.95399999327</v>
      </c>
      <c r="H296">
        <f t="shared" si="24"/>
        <v>483046.27230004233</v>
      </c>
    </row>
    <row r="297" spans="1:8" x14ac:dyDescent="0.25">
      <c r="A297" s="1">
        <v>45667</v>
      </c>
      <c r="B297" s="2">
        <v>9.7100000000000009</v>
      </c>
      <c r="C297" s="2">
        <v>10.27</v>
      </c>
      <c r="D297">
        <f t="shared" si="20"/>
        <v>8.0000000000000071</v>
      </c>
      <c r="E297">
        <f t="shared" si="21"/>
        <v>4.9999999999998934</v>
      </c>
      <c r="F297">
        <f t="shared" si="22"/>
        <v>-499439.15119988023</v>
      </c>
      <c r="G297">
        <f t="shared" si="23"/>
        <v>335167.9769999907</v>
      </c>
      <c r="H297">
        <f t="shared" si="24"/>
        <v>-164271.17419988953</v>
      </c>
    </row>
    <row r="298" spans="1:8" x14ac:dyDescent="0.25">
      <c r="A298" s="1">
        <v>45666</v>
      </c>
      <c r="B298" s="2">
        <v>9.6300000000000008</v>
      </c>
      <c r="C298" s="2">
        <v>10.220000000000001</v>
      </c>
      <c r="D298">
        <f t="shared" si="20"/>
        <v>-3.9999999999999147</v>
      </c>
      <c r="E298">
        <f t="shared" si="21"/>
        <v>-5.9999999999998721</v>
      </c>
      <c r="F298">
        <f t="shared" si="22"/>
        <v>249719.57559993456</v>
      </c>
      <c r="G298">
        <f t="shared" si="23"/>
        <v>-402201.57239998883</v>
      </c>
      <c r="H298">
        <f t="shared" si="24"/>
        <v>-152481.99680005427</v>
      </c>
    </row>
    <row r="299" spans="1:8" x14ac:dyDescent="0.25">
      <c r="A299" s="1">
        <v>45665</v>
      </c>
      <c r="B299" s="2">
        <v>9.67</v>
      </c>
      <c r="C299" s="2">
        <v>10.28</v>
      </c>
      <c r="D299">
        <f t="shared" si="20"/>
        <v>-6.0000000000000497</v>
      </c>
      <c r="E299">
        <f t="shared" si="21"/>
        <v>-0.99999999999997868</v>
      </c>
      <c r="F299">
        <f t="shared" si="22"/>
        <v>374579.36339991295</v>
      </c>
      <c r="G299">
        <f t="shared" si="23"/>
        <v>-67033.595399998143</v>
      </c>
      <c r="H299">
        <f t="shared" si="24"/>
        <v>307545.76799991482</v>
      </c>
    </row>
    <row r="300" spans="1:8" x14ac:dyDescent="0.25">
      <c r="A300" s="1">
        <v>45664</v>
      </c>
      <c r="B300" s="2">
        <v>9.73</v>
      </c>
      <c r="C300" s="2">
        <v>10.29</v>
      </c>
      <c r="D300">
        <f t="shared" si="20"/>
        <v>-7.0000000000000284</v>
      </c>
      <c r="E300">
        <f t="shared" si="21"/>
        <v>-8.0000000000000071</v>
      </c>
      <c r="F300">
        <f t="shared" si="22"/>
        <v>437009.25729989656</v>
      </c>
      <c r="G300">
        <f t="shared" si="23"/>
        <v>-536268.76319999702</v>
      </c>
      <c r="H300">
        <f t="shared" si="24"/>
        <v>-99259.505900100456</v>
      </c>
    </row>
    <row r="301" spans="1:8" x14ac:dyDescent="0.25">
      <c r="A301" s="1">
        <v>45663</v>
      </c>
      <c r="B301" s="2">
        <v>9.8000000000000007</v>
      </c>
      <c r="C301" s="2">
        <v>10.37</v>
      </c>
      <c r="D301">
        <f t="shared" si="20"/>
        <v>-5.9999999999998721</v>
      </c>
      <c r="E301">
        <f t="shared" si="21"/>
        <v>0</v>
      </c>
      <c r="F301">
        <f t="shared" si="22"/>
        <v>374579.36339990183</v>
      </c>
      <c r="G301">
        <f t="shared" si="23"/>
        <v>0</v>
      </c>
      <c r="H301">
        <f t="shared" si="24"/>
        <v>374579.36339990183</v>
      </c>
    </row>
    <row r="302" spans="1:8" x14ac:dyDescent="0.25">
      <c r="A302" s="1">
        <v>45660</v>
      </c>
      <c r="B302" s="2">
        <v>9.86</v>
      </c>
      <c r="C302" s="2">
        <v>10.37</v>
      </c>
      <c r="D302">
        <f t="shared" si="20"/>
        <v>8.0000000000000071</v>
      </c>
      <c r="E302">
        <f t="shared" si="21"/>
        <v>6.9999999999998508</v>
      </c>
      <c r="F302">
        <f t="shared" si="22"/>
        <v>-499439.15119988023</v>
      </c>
      <c r="G302">
        <f t="shared" si="23"/>
        <v>469235.16779998696</v>
      </c>
      <c r="H302">
        <f t="shared" si="24"/>
        <v>-30203.983399893274</v>
      </c>
    </row>
    <row r="303" spans="1:8" x14ac:dyDescent="0.25">
      <c r="A303" s="1">
        <v>45659</v>
      </c>
      <c r="B303" s="2">
        <v>9.7799999999999994</v>
      </c>
      <c r="C303" s="2">
        <v>10.3</v>
      </c>
      <c r="D303">
        <f t="shared" si="20"/>
        <v>-3.0000000000001137</v>
      </c>
      <c r="E303">
        <f t="shared" si="21"/>
        <v>-10.999999999999943</v>
      </c>
      <c r="F303">
        <f t="shared" si="22"/>
        <v>187289.68169996201</v>
      </c>
      <c r="G303">
        <f t="shared" si="23"/>
        <v>-737369.5493999914</v>
      </c>
      <c r="H303">
        <f t="shared" si="24"/>
        <v>-550079.8677000294</v>
      </c>
    </row>
    <row r="304" spans="1:8" x14ac:dyDescent="0.25">
      <c r="A304" s="1">
        <v>45658</v>
      </c>
      <c r="B304" s="2">
        <v>9.81</v>
      </c>
      <c r="C304" s="2">
        <v>10.41</v>
      </c>
      <c r="D304">
        <f t="shared" si="20"/>
        <v>0</v>
      </c>
      <c r="E304">
        <f t="shared" si="21"/>
        <v>0</v>
      </c>
      <c r="F304">
        <f t="shared" si="22"/>
        <v>0</v>
      </c>
      <c r="G304">
        <f t="shared" si="23"/>
        <v>0</v>
      </c>
      <c r="H304">
        <f t="shared" si="24"/>
        <v>0</v>
      </c>
    </row>
    <row r="305" spans="1:8" x14ac:dyDescent="0.25">
      <c r="A305" s="1">
        <v>45657</v>
      </c>
      <c r="B305" s="2">
        <v>9.81</v>
      </c>
      <c r="C305" s="2">
        <v>10.41</v>
      </c>
      <c r="D305">
        <f t="shared" si="20"/>
        <v>-1.9999999999999574</v>
      </c>
      <c r="E305">
        <f t="shared" si="21"/>
        <v>-3.9999999999999147</v>
      </c>
      <c r="F305">
        <f t="shared" si="22"/>
        <v>124859.78779996728</v>
      </c>
      <c r="G305">
        <f t="shared" si="23"/>
        <v>-268134.38159999257</v>
      </c>
      <c r="H305">
        <f t="shared" si="24"/>
        <v>-143274.59380002529</v>
      </c>
    </row>
    <row r="306" spans="1:8" x14ac:dyDescent="0.25">
      <c r="A306" s="1">
        <v>45656</v>
      </c>
      <c r="B306" s="2">
        <v>9.83</v>
      </c>
      <c r="C306" s="2">
        <v>10.45</v>
      </c>
      <c r="D306">
        <f t="shared" si="20"/>
        <v>-0.99999999999997868</v>
      </c>
      <c r="E306">
        <f t="shared" si="21"/>
        <v>0.99999999999997868</v>
      </c>
      <c r="F306">
        <f t="shared" si="22"/>
        <v>62429.893899983639</v>
      </c>
      <c r="G306">
        <f t="shared" si="23"/>
        <v>67033.595399998143</v>
      </c>
      <c r="H306">
        <f t="shared" si="24"/>
        <v>129463.48929998178</v>
      </c>
    </row>
    <row r="307" spans="1:8" x14ac:dyDescent="0.25">
      <c r="A307" s="1">
        <v>45653</v>
      </c>
      <c r="B307" s="2">
        <v>9.84</v>
      </c>
      <c r="C307" s="2">
        <v>10.44</v>
      </c>
      <c r="D307">
        <f t="shared" si="20"/>
        <v>0</v>
      </c>
      <c r="E307">
        <f t="shared" si="21"/>
        <v>3.9999999999999147</v>
      </c>
      <c r="F307">
        <f t="shared" si="22"/>
        <v>0</v>
      </c>
      <c r="G307">
        <f t="shared" si="23"/>
        <v>268134.38159999257</v>
      </c>
      <c r="H307">
        <f t="shared" si="24"/>
        <v>268134.38159999257</v>
      </c>
    </row>
    <row r="308" spans="1:8" x14ac:dyDescent="0.25">
      <c r="A308" s="1">
        <v>45652</v>
      </c>
      <c r="B308" s="2">
        <v>9.84</v>
      </c>
      <c r="C308" s="2">
        <v>10.4</v>
      </c>
      <c r="D308">
        <f t="shared" si="20"/>
        <v>1.9999999999999574</v>
      </c>
      <c r="E308">
        <f t="shared" si="21"/>
        <v>3.0000000000001137</v>
      </c>
      <c r="F308">
        <f t="shared" si="22"/>
        <v>-124859.78779996728</v>
      </c>
      <c r="G308">
        <f t="shared" si="23"/>
        <v>201100.78620000632</v>
      </c>
      <c r="H308">
        <f t="shared" si="24"/>
        <v>76240.99840003904</v>
      </c>
    </row>
    <row r="309" spans="1:8" x14ac:dyDescent="0.25">
      <c r="A309" s="1">
        <v>45651</v>
      </c>
      <c r="B309" s="2">
        <v>9.82</v>
      </c>
      <c r="C309" s="2">
        <v>10.37</v>
      </c>
      <c r="D309">
        <f t="shared" si="20"/>
        <v>0</v>
      </c>
      <c r="E309">
        <f t="shared" si="21"/>
        <v>0</v>
      </c>
      <c r="F309">
        <f t="shared" si="22"/>
        <v>0</v>
      </c>
      <c r="G309">
        <f t="shared" si="23"/>
        <v>0</v>
      </c>
      <c r="H309">
        <f t="shared" si="24"/>
        <v>0</v>
      </c>
    </row>
    <row r="310" spans="1:8" x14ac:dyDescent="0.25">
      <c r="A310" s="1">
        <v>45650</v>
      </c>
      <c r="B310" s="2">
        <v>9.82</v>
      </c>
      <c r="C310" s="2">
        <v>10.37</v>
      </c>
      <c r="D310">
        <f t="shared" si="20"/>
        <v>-7.0000000000000284</v>
      </c>
      <c r="E310">
        <f t="shared" si="21"/>
        <v>-6.0000000000000497</v>
      </c>
      <c r="F310">
        <f t="shared" si="22"/>
        <v>437009.25729989656</v>
      </c>
      <c r="G310">
        <f t="shared" si="23"/>
        <v>-402201.57240000076</v>
      </c>
      <c r="H310">
        <f t="shared" si="24"/>
        <v>34807.684899895801</v>
      </c>
    </row>
    <row r="311" spans="1:8" x14ac:dyDescent="0.25">
      <c r="A311" s="1">
        <v>45649</v>
      </c>
      <c r="B311" s="2">
        <v>9.89</v>
      </c>
      <c r="C311" s="2">
        <v>10.43</v>
      </c>
      <c r="D311">
        <f t="shared" si="20"/>
        <v>5.0000000000000711</v>
      </c>
      <c r="E311">
        <f t="shared" si="21"/>
        <v>7.0000000000000284</v>
      </c>
      <c r="F311">
        <f t="shared" si="22"/>
        <v>-312149.46949992928</v>
      </c>
      <c r="G311">
        <f t="shared" si="23"/>
        <v>469235.16779999889</v>
      </c>
      <c r="H311">
        <f t="shared" si="24"/>
        <v>157085.69830006961</v>
      </c>
    </row>
    <row r="312" spans="1:8" x14ac:dyDescent="0.25">
      <c r="A312" s="1">
        <v>45646</v>
      </c>
      <c r="B312" s="2">
        <v>9.84</v>
      </c>
      <c r="C312" s="2">
        <v>10.36</v>
      </c>
      <c r="D312">
        <f t="shared" si="20"/>
        <v>9.9999999999999645</v>
      </c>
      <c r="E312">
        <f t="shared" si="21"/>
        <v>8.0000000000000071</v>
      </c>
      <c r="F312">
        <f t="shared" si="22"/>
        <v>-624298.93899984751</v>
      </c>
      <c r="G312">
        <f t="shared" si="23"/>
        <v>536268.76319999702</v>
      </c>
      <c r="H312">
        <f t="shared" si="24"/>
        <v>-88030.175799850491</v>
      </c>
    </row>
    <row r="313" spans="1:8" x14ac:dyDescent="0.25">
      <c r="A313" s="1">
        <v>45645</v>
      </c>
      <c r="B313" s="2">
        <v>9.74</v>
      </c>
      <c r="C313" s="2">
        <v>10.28</v>
      </c>
      <c r="D313">
        <f t="shared" si="20"/>
        <v>13.000000000000078</v>
      </c>
      <c r="E313">
        <f t="shared" si="21"/>
        <v>8.9999999999999858</v>
      </c>
      <c r="F313">
        <f t="shared" si="22"/>
        <v>-811588.62069980951</v>
      </c>
      <c r="G313">
        <f t="shared" si="23"/>
        <v>603302.35859999515</v>
      </c>
      <c r="H313">
        <f t="shared" si="24"/>
        <v>-208286.26209981437</v>
      </c>
    </row>
    <row r="314" spans="1:8" x14ac:dyDescent="0.25">
      <c r="A314" s="1">
        <v>45644</v>
      </c>
      <c r="B314" s="2">
        <v>9.61</v>
      </c>
      <c r="C314" s="2">
        <v>10.19</v>
      </c>
      <c r="D314">
        <f t="shared" si="20"/>
        <v>0.99999999999997868</v>
      </c>
      <c r="E314">
        <f t="shared" si="21"/>
        <v>3.9999999999999147</v>
      </c>
      <c r="F314">
        <f t="shared" si="22"/>
        <v>-62429.893899983639</v>
      </c>
      <c r="G314">
        <f t="shared" si="23"/>
        <v>268134.38159999257</v>
      </c>
      <c r="H314">
        <f t="shared" si="24"/>
        <v>205704.48770000893</v>
      </c>
    </row>
    <row r="315" spans="1:8" x14ac:dyDescent="0.25">
      <c r="A315" s="1">
        <v>45643</v>
      </c>
      <c r="B315" s="2">
        <v>9.6</v>
      </c>
      <c r="C315" s="2">
        <v>10.15</v>
      </c>
      <c r="D315">
        <f t="shared" si="20"/>
        <v>1.9999999999999574</v>
      </c>
      <c r="E315">
        <f t="shared" si="21"/>
        <v>3.0000000000001137</v>
      </c>
      <c r="F315">
        <f t="shared" si="22"/>
        <v>-124859.78779996728</v>
      </c>
      <c r="G315">
        <f t="shared" si="23"/>
        <v>201100.78620000632</v>
      </c>
      <c r="H315">
        <f t="shared" si="24"/>
        <v>76240.99840003904</v>
      </c>
    </row>
    <row r="316" spans="1:8" x14ac:dyDescent="0.25">
      <c r="A316" s="1">
        <v>45642</v>
      </c>
      <c r="B316" s="2">
        <v>9.58</v>
      </c>
      <c r="C316" s="2">
        <v>10.119999999999999</v>
      </c>
      <c r="D316">
        <f t="shared" si="20"/>
        <v>1.9999999999999574</v>
      </c>
      <c r="E316">
        <f t="shared" si="21"/>
        <v>2.9999999999999361</v>
      </c>
      <c r="F316">
        <f t="shared" si="22"/>
        <v>-124859.78779996728</v>
      </c>
      <c r="G316">
        <f t="shared" si="23"/>
        <v>201100.78619999441</v>
      </c>
      <c r="H316">
        <f t="shared" si="24"/>
        <v>76240.998400027136</v>
      </c>
    </row>
    <row r="317" spans="1:8" x14ac:dyDescent="0.25">
      <c r="A317" s="1">
        <v>45639</v>
      </c>
      <c r="B317" s="2">
        <v>9.56</v>
      </c>
      <c r="C317" s="2">
        <v>10.09</v>
      </c>
      <c r="D317">
        <f t="shared" si="20"/>
        <v>11.000000000000121</v>
      </c>
      <c r="E317">
        <f t="shared" si="21"/>
        <v>9.9999999999999645</v>
      </c>
      <c r="F317">
        <f t="shared" si="22"/>
        <v>-686728.83289984218</v>
      </c>
      <c r="G317">
        <f t="shared" si="23"/>
        <v>670335.95399999327</v>
      </c>
      <c r="H317">
        <f t="shared" si="24"/>
        <v>-16392.878899848904</v>
      </c>
    </row>
    <row r="318" spans="1:8" x14ac:dyDescent="0.25">
      <c r="A318" s="1">
        <v>45638</v>
      </c>
      <c r="B318" s="2">
        <v>9.4499999999999993</v>
      </c>
      <c r="C318" s="2">
        <v>9.99</v>
      </c>
      <c r="D318">
        <f t="shared" si="20"/>
        <v>0</v>
      </c>
      <c r="E318">
        <f t="shared" si="21"/>
        <v>0</v>
      </c>
      <c r="F318">
        <f t="shared" si="22"/>
        <v>0</v>
      </c>
      <c r="G318">
        <f t="shared" si="23"/>
        <v>0</v>
      </c>
      <c r="H318">
        <f t="shared" si="24"/>
        <v>0</v>
      </c>
    </row>
    <row r="319" spans="1:8" x14ac:dyDescent="0.25">
      <c r="A319" s="1">
        <v>45637</v>
      </c>
      <c r="B319" s="2">
        <v>9.4499999999999993</v>
      </c>
      <c r="C319" s="2">
        <v>9.99</v>
      </c>
      <c r="D319">
        <f t="shared" si="20"/>
        <v>0.99999999999997868</v>
      </c>
      <c r="E319">
        <f t="shared" si="21"/>
        <v>2.9999999999999361</v>
      </c>
      <c r="F319">
        <f t="shared" si="22"/>
        <v>-62429.893899983639</v>
      </c>
      <c r="G319">
        <f t="shared" si="23"/>
        <v>201100.78619999441</v>
      </c>
      <c r="H319">
        <f t="shared" si="24"/>
        <v>138670.89230001078</v>
      </c>
    </row>
    <row r="320" spans="1:8" x14ac:dyDescent="0.25">
      <c r="A320" s="1">
        <v>45636</v>
      </c>
      <c r="B320" s="2">
        <v>9.44</v>
      </c>
      <c r="C320" s="2">
        <v>9.9600000000000009</v>
      </c>
      <c r="D320">
        <f t="shared" si="20"/>
        <v>-4.0000000000000924</v>
      </c>
      <c r="E320">
        <f t="shared" si="21"/>
        <v>-1.9999999999999574</v>
      </c>
      <c r="F320">
        <f t="shared" si="22"/>
        <v>249719.57559994565</v>
      </c>
      <c r="G320">
        <f t="shared" si="23"/>
        <v>-134067.19079999629</v>
      </c>
      <c r="H320">
        <f t="shared" si="24"/>
        <v>115652.38479994936</v>
      </c>
    </row>
    <row r="321" spans="1:8" x14ac:dyDescent="0.25">
      <c r="A321" s="1">
        <v>45635</v>
      </c>
      <c r="B321" s="2">
        <v>9.48</v>
      </c>
      <c r="C321" s="2">
        <v>9.98</v>
      </c>
      <c r="D321">
        <f t="shared" si="20"/>
        <v>-13.999999999999879</v>
      </c>
      <c r="E321">
        <f t="shared" si="21"/>
        <v>-5.9999999999998721</v>
      </c>
      <c r="F321">
        <f t="shared" si="22"/>
        <v>874018.51459978207</v>
      </c>
      <c r="G321">
        <f t="shared" si="23"/>
        <v>-402201.57239998883</v>
      </c>
      <c r="H321">
        <f t="shared" si="24"/>
        <v>471816.94219979324</v>
      </c>
    </row>
    <row r="322" spans="1:8" x14ac:dyDescent="0.25">
      <c r="A322" s="1">
        <v>45632</v>
      </c>
      <c r="B322" s="2">
        <v>9.6199999999999992</v>
      </c>
      <c r="C322" s="2">
        <v>10.039999999999999</v>
      </c>
      <c r="D322">
        <f t="shared" si="20"/>
        <v>0</v>
      </c>
      <c r="E322">
        <f t="shared" si="21"/>
        <v>2.9999999999999361</v>
      </c>
      <c r="F322">
        <f t="shared" si="22"/>
        <v>0</v>
      </c>
      <c r="G322">
        <f t="shared" si="23"/>
        <v>201100.78619999441</v>
      </c>
      <c r="H322">
        <f t="shared" si="24"/>
        <v>201100.78619999441</v>
      </c>
    </row>
    <row r="323" spans="1:8" x14ac:dyDescent="0.25">
      <c r="A323" s="1">
        <v>45631</v>
      </c>
      <c r="B323" s="2">
        <v>9.6199999999999992</v>
      </c>
      <c r="C323" s="2">
        <v>10.01</v>
      </c>
      <c r="D323">
        <f t="shared" ref="D323:D386" si="25">(B323-B324)*100</f>
        <v>2.9999999999999361</v>
      </c>
      <c r="E323">
        <f t="shared" ref="E323:E386" si="26">(C323-C324)*100</f>
        <v>3.9999999999999147</v>
      </c>
      <c r="F323">
        <f t="shared" ref="F323:F386" si="27">-D323*$R$3</f>
        <v>-187289.68169995092</v>
      </c>
      <c r="G323">
        <f t="shared" ref="G323:G386" si="28">-E323*$R$4</f>
        <v>268134.38159999257</v>
      </c>
      <c r="H323">
        <f t="shared" ref="H323:H386" si="29">F323+G323</f>
        <v>80844.699900041654</v>
      </c>
    </row>
    <row r="324" spans="1:8" x14ac:dyDescent="0.25">
      <c r="A324" s="1">
        <v>45630</v>
      </c>
      <c r="B324" s="2">
        <v>9.59</v>
      </c>
      <c r="C324" s="2">
        <v>9.9700000000000006</v>
      </c>
      <c r="D324">
        <f t="shared" si="25"/>
        <v>8.9999999999999858</v>
      </c>
      <c r="E324">
        <f t="shared" si="26"/>
        <v>5.0000000000000711</v>
      </c>
      <c r="F324">
        <f t="shared" si="27"/>
        <v>-561869.0450998639</v>
      </c>
      <c r="G324">
        <f t="shared" si="28"/>
        <v>335167.97700000263</v>
      </c>
      <c r="H324">
        <f t="shared" si="29"/>
        <v>-226701.06809986127</v>
      </c>
    </row>
    <row r="325" spans="1:8" x14ac:dyDescent="0.25">
      <c r="A325" s="1">
        <v>45629</v>
      </c>
      <c r="B325" s="2">
        <v>9.5</v>
      </c>
      <c r="C325" s="2">
        <v>9.92</v>
      </c>
      <c r="D325">
        <f t="shared" si="25"/>
        <v>-13.000000000000078</v>
      </c>
      <c r="E325">
        <f t="shared" si="26"/>
        <v>-2.9999999999999361</v>
      </c>
      <c r="F325">
        <f t="shared" si="27"/>
        <v>811588.62069980951</v>
      </c>
      <c r="G325">
        <f t="shared" si="28"/>
        <v>-201100.78619999441</v>
      </c>
      <c r="H325">
        <f t="shared" si="29"/>
        <v>610487.83449981513</v>
      </c>
    </row>
    <row r="326" spans="1:8" x14ac:dyDescent="0.25">
      <c r="A326" s="1">
        <v>45628</v>
      </c>
      <c r="B326" s="2">
        <v>9.6300000000000008</v>
      </c>
      <c r="C326" s="2">
        <v>9.9499999999999993</v>
      </c>
      <c r="D326">
        <f t="shared" si="25"/>
        <v>2.000000000000135</v>
      </c>
      <c r="E326">
        <f t="shared" si="26"/>
        <v>4.9999999999998934</v>
      </c>
      <c r="F326">
        <f t="shared" si="27"/>
        <v>-124859.78779997837</v>
      </c>
      <c r="G326">
        <f t="shared" si="28"/>
        <v>335167.9769999907</v>
      </c>
      <c r="H326">
        <f t="shared" si="29"/>
        <v>210308.18920001233</v>
      </c>
    </row>
    <row r="327" spans="1:8" x14ac:dyDescent="0.25">
      <c r="A327" s="1">
        <v>45625</v>
      </c>
      <c r="B327" s="2">
        <v>9.61</v>
      </c>
      <c r="C327" s="2">
        <v>9.9</v>
      </c>
      <c r="D327">
        <f t="shared" si="25"/>
        <v>-6.0000000000000497</v>
      </c>
      <c r="E327">
        <f t="shared" si="26"/>
        <v>-1.9999999999999574</v>
      </c>
      <c r="F327">
        <f t="shared" si="27"/>
        <v>374579.36339991295</v>
      </c>
      <c r="G327">
        <f t="shared" si="28"/>
        <v>-134067.19079999629</v>
      </c>
      <c r="H327">
        <f t="shared" si="29"/>
        <v>240512.17259991667</v>
      </c>
    </row>
    <row r="328" spans="1:8" x14ac:dyDescent="0.25">
      <c r="A328" s="1">
        <v>45624</v>
      </c>
      <c r="B328" s="2">
        <v>9.67</v>
      </c>
      <c r="C328" s="2">
        <v>9.92</v>
      </c>
      <c r="D328">
        <f t="shared" si="25"/>
        <v>-8.0000000000000071</v>
      </c>
      <c r="E328">
        <f t="shared" si="26"/>
        <v>-2.9999999999999361</v>
      </c>
      <c r="F328">
        <f t="shared" si="27"/>
        <v>499439.15119988023</v>
      </c>
      <c r="G328">
        <f t="shared" si="28"/>
        <v>-201100.78619999441</v>
      </c>
      <c r="H328">
        <f t="shared" si="29"/>
        <v>298338.36499988579</v>
      </c>
    </row>
    <row r="329" spans="1:8" x14ac:dyDescent="0.25">
      <c r="A329" s="1">
        <v>45623</v>
      </c>
      <c r="B329" s="2">
        <v>9.75</v>
      </c>
      <c r="C329" s="2">
        <v>9.9499999999999993</v>
      </c>
      <c r="D329">
        <f t="shared" si="25"/>
        <v>-7.0000000000000284</v>
      </c>
      <c r="E329">
        <f t="shared" si="26"/>
        <v>-7.0000000000000284</v>
      </c>
      <c r="F329">
        <f t="shared" si="27"/>
        <v>437009.25729989656</v>
      </c>
      <c r="G329">
        <f t="shared" si="28"/>
        <v>-469235.16779999889</v>
      </c>
      <c r="H329">
        <f t="shared" si="29"/>
        <v>-32225.910500102327</v>
      </c>
    </row>
    <row r="330" spans="1:8" x14ac:dyDescent="0.25">
      <c r="A330" s="1">
        <v>45622</v>
      </c>
      <c r="B330" s="2">
        <v>9.82</v>
      </c>
      <c r="C330" s="2">
        <v>10.02</v>
      </c>
      <c r="D330">
        <f t="shared" si="25"/>
        <v>4.0000000000000924</v>
      </c>
      <c r="E330">
        <f t="shared" si="26"/>
        <v>8.9999999999999858</v>
      </c>
      <c r="F330">
        <f t="shared" si="27"/>
        <v>-249719.57559994565</v>
      </c>
      <c r="G330">
        <f t="shared" si="28"/>
        <v>603302.35859999515</v>
      </c>
      <c r="H330">
        <f t="shared" si="29"/>
        <v>353582.78300004953</v>
      </c>
    </row>
    <row r="331" spans="1:8" x14ac:dyDescent="0.25">
      <c r="A331" s="1">
        <v>45621</v>
      </c>
      <c r="B331" s="2">
        <v>9.7799999999999994</v>
      </c>
      <c r="C331" s="2">
        <v>9.93</v>
      </c>
      <c r="D331">
        <f t="shared" si="25"/>
        <v>-5.0000000000000711</v>
      </c>
      <c r="E331">
        <f t="shared" si="26"/>
        <v>-6.0000000000000497</v>
      </c>
      <c r="F331">
        <f t="shared" si="27"/>
        <v>312149.46949992928</v>
      </c>
      <c r="G331">
        <f t="shared" si="28"/>
        <v>-402201.57240000076</v>
      </c>
      <c r="H331">
        <f t="shared" si="29"/>
        <v>-90052.102900071477</v>
      </c>
    </row>
    <row r="332" spans="1:8" x14ac:dyDescent="0.25">
      <c r="A332" s="1">
        <v>45618</v>
      </c>
      <c r="B332" s="2">
        <v>9.83</v>
      </c>
      <c r="C332" s="2">
        <v>9.99</v>
      </c>
      <c r="D332">
        <f t="shared" si="25"/>
        <v>-0.99999999999997868</v>
      </c>
      <c r="E332">
        <f t="shared" si="26"/>
        <v>5.0000000000000711</v>
      </c>
      <c r="F332">
        <f t="shared" si="27"/>
        <v>62429.893899983639</v>
      </c>
      <c r="G332">
        <f t="shared" si="28"/>
        <v>335167.97700000263</v>
      </c>
      <c r="H332">
        <f t="shared" si="29"/>
        <v>397597.87089998624</v>
      </c>
    </row>
    <row r="333" spans="1:8" x14ac:dyDescent="0.25">
      <c r="A333" s="1">
        <v>45617</v>
      </c>
      <c r="B333" s="2">
        <v>9.84</v>
      </c>
      <c r="C333" s="2">
        <v>9.94</v>
      </c>
      <c r="D333">
        <f t="shared" si="25"/>
        <v>1.9999999999999574</v>
      </c>
      <c r="E333">
        <f t="shared" si="26"/>
        <v>8.9999999999999858</v>
      </c>
      <c r="F333">
        <f t="shared" si="27"/>
        <v>-124859.78779996728</v>
      </c>
      <c r="G333">
        <f t="shared" si="28"/>
        <v>603302.35859999515</v>
      </c>
      <c r="H333">
        <f t="shared" si="29"/>
        <v>478442.57080002787</v>
      </c>
    </row>
    <row r="334" spans="1:8" x14ac:dyDescent="0.25">
      <c r="A334" s="1">
        <v>45616</v>
      </c>
      <c r="B334" s="2">
        <v>9.82</v>
      </c>
      <c r="C334" s="2">
        <v>9.85</v>
      </c>
      <c r="D334">
        <f t="shared" si="25"/>
        <v>3.0000000000001137</v>
      </c>
      <c r="E334">
        <f t="shared" si="26"/>
        <v>0.99999999999997868</v>
      </c>
      <c r="F334">
        <f t="shared" si="27"/>
        <v>-187289.68169996201</v>
      </c>
      <c r="G334">
        <f t="shared" si="28"/>
        <v>67033.595399998143</v>
      </c>
      <c r="H334">
        <f t="shared" si="29"/>
        <v>-120256.08629996386</v>
      </c>
    </row>
    <row r="335" spans="1:8" x14ac:dyDescent="0.25">
      <c r="A335" s="1">
        <v>45615</v>
      </c>
      <c r="B335" s="2">
        <v>9.7899999999999991</v>
      </c>
      <c r="C335" s="2">
        <v>9.84</v>
      </c>
      <c r="D335">
        <f t="shared" si="25"/>
        <v>-11.000000000000121</v>
      </c>
      <c r="E335">
        <f t="shared" si="26"/>
        <v>-8.9999999999999858</v>
      </c>
      <c r="F335">
        <f t="shared" si="27"/>
        <v>686728.83289984218</v>
      </c>
      <c r="G335">
        <f t="shared" si="28"/>
        <v>-603302.35859999515</v>
      </c>
      <c r="H335">
        <f t="shared" si="29"/>
        <v>83426.474299847032</v>
      </c>
    </row>
    <row r="336" spans="1:8" x14ac:dyDescent="0.25">
      <c r="A336" s="1">
        <v>45614</v>
      </c>
      <c r="B336" s="2">
        <v>9.9</v>
      </c>
      <c r="C336" s="2">
        <v>9.93</v>
      </c>
      <c r="D336">
        <f t="shared" si="25"/>
        <v>0</v>
      </c>
      <c r="E336">
        <f t="shared" si="26"/>
        <v>0</v>
      </c>
      <c r="F336">
        <f t="shared" si="27"/>
        <v>0</v>
      </c>
      <c r="G336">
        <f t="shared" si="28"/>
        <v>0</v>
      </c>
      <c r="H336">
        <f t="shared" si="29"/>
        <v>0</v>
      </c>
    </row>
    <row r="337" spans="1:8" x14ac:dyDescent="0.25">
      <c r="A337" s="1">
        <v>45611</v>
      </c>
      <c r="B337" s="2">
        <v>9.9</v>
      </c>
      <c r="C337" s="2">
        <v>9.93</v>
      </c>
      <c r="D337">
        <f t="shared" si="25"/>
        <v>0.99999999999997868</v>
      </c>
      <c r="E337">
        <f t="shared" si="26"/>
        <v>-0.99999999999997868</v>
      </c>
      <c r="F337">
        <f t="shared" si="27"/>
        <v>-62429.893899983639</v>
      </c>
      <c r="G337">
        <f t="shared" si="28"/>
        <v>-67033.595399998143</v>
      </c>
      <c r="H337">
        <f t="shared" si="29"/>
        <v>-129463.48929998178</v>
      </c>
    </row>
    <row r="338" spans="1:8" x14ac:dyDescent="0.25">
      <c r="A338" s="1">
        <v>45610</v>
      </c>
      <c r="B338" s="2">
        <v>9.89</v>
      </c>
      <c r="C338" s="2">
        <v>9.94</v>
      </c>
      <c r="D338">
        <f t="shared" si="25"/>
        <v>-9.9999999999999645</v>
      </c>
      <c r="E338">
        <f t="shared" si="26"/>
        <v>-6.0000000000000497</v>
      </c>
      <c r="F338">
        <f t="shared" si="27"/>
        <v>624298.93899984751</v>
      </c>
      <c r="G338">
        <f t="shared" si="28"/>
        <v>-402201.57240000076</v>
      </c>
      <c r="H338">
        <f t="shared" si="29"/>
        <v>222097.36659984675</v>
      </c>
    </row>
    <row r="339" spans="1:8" x14ac:dyDescent="0.25">
      <c r="A339" s="1">
        <v>45609</v>
      </c>
      <c r="B339" s="2">
        <v>9.99</v>
      </c>
      <c r="C339" s="2">
        <v>10</v>
      </c>
      <c r="D339">
        <f t="shared" si="25"/>
        <v>-4.9999999999998934</v>
      </c>
      <c r="E339">
        <f t="shared" si="26"/>
        <v>-5.0000000000000711</v>
      </c>
      <c r="F339">
        <f t="shared" si="27"/>
        <v>312149.46949991822</v>
      </c>
      <c r="G339">
        <f t="shared" si="28"/>
        <v>-335167.97700000263</v>
      </c>
      <c r="H339">
        <f t="shared" si="29"/>
        <v>-23018.507500084408</v>
      </c>
    </row>
    <row r="340" spans="1:8" x14ac:dyDescent="0.25">
      <c r="A340" s="1">
        <v>45608</v>
      </c>
      <c r="B340" s="2">
        <v>10.039999999999999</v>
      </c>
      <c r="C340" s="2">
        <v>10.050000000000001</v>
      </c>
      <c r="D340">
        <f t="shared" si="25"/>
        <v>5.9999999999998721</v>
      </c>
      <c r="E340">
        <f t="shared" si="26"/>
        <v>2.000000000000135</v>
      </c>
      <c r="F340">
        <f t="shared" si="27"/>
        <v>-374579.36339990183</v>
      </c>
      <c r="G340">
        <f t="shared" si="28"/>
        <v>134067.19080000819</v>
      </c>
      <c r="H340">
        <f t="shared" si="29"/>
        <v>-240512.17259989365</v>
      </c>
    </row>
    <row r="341" spans="1:8" x14ac:dyDescent="0.25">
      <c r="A341" s="1">
        <v>45607</v>
      </c>
      <c r="B341" s="2">
        <v>9.98</v>
      </c>
      <c r="C341" s="2">
        <v>10.029999999999999</v>
      </c>
      <c r="D341">
        <f t="shared" si="25"/>
        <v>0.99999999999997868</v>
      </c>
      <c r="E341">
        <f t="shared" si="26"/>
        <v>5.9999999999998721</v>
      </c>
      <c r="F341">
        <f t="shared" si="27"/>
        <v>-62429.893899983639</v>
      </c>
      <c r="G341">
        <f t="shared" si="28"/>
        <v>402201.57239998883</v>
      </c>
      <c r="H341">
        <f t="shared" si="29"/>
        <v>339771.67850000516</v>
      </c>
    </row>
    <row r="342" spans="1:8" x14ac:dyDescent="0.25">
      <c r="A342" s="1">
        <v>45604</v>
      </c>
      <c r="B342" s="2">
        <v>9.9700000000000006</v>
      </c>
      <c r="C342" s="2">
        <v>9.9700000000000006</v>
      </c>
      <c r="D342">
        <f t="shared" si="25"/>
        <v>7.0000000000000284</v>
      </c>
      <c r="E342">
        <f t="shared" si="26"/>
        <v>11.000000000000121</v>
      </c>
      <c r="F342">
        <f t="shared" si="27"/>
        <v>-437009.25729989656</v>
      </c>
      <c r="G342">
        <f t="shared" si="28"/>
        <v>737369.54940000339</v>
      </c>
      <c r="H342">
        <f t="shared" si="29"/>
        <v>300360.29210010683</v>
      </c>
    </row>
    <row r="343" spans="1:8" x14ac:dyDescent="0.25">
      <c r="A343" s="1">
        <v>45603</v>
      </c>
      <c r="B343" s="2">
        <v>9.9</v>
      </c>
      <c r="C343" s="2">
        <v>9.86</v>
      </c>
      <c r="D343">
        <f t="shared" si="25"/>
        <v>-16.000000000000014</v>
      </c>
      <c r="E343">
        <f t="shared" si="26"/>
        <v>-8.0000000000000071</v>
      </c>
      <c r="F343">
        <f t="shared" si="27"/>
        <v>998878.30239976046</v>
      </c>
      <c r="G343">
        <f t="shared" si="28"/>
        <v>-536268.76319999702</v>
      </c>
      <c r="H343">
        <f t="shared" si="29"/>
        <v>462609.53919976344</v>
      </c>
    </row>
    <row r="344" spans="1:8" x14ac:dyDescent="0.25">
      <c r="A344" s="1">
        <v>45602</v>
      </c>
      <c r="B344" s="2">
        <v>10.06</v>
      </c>
      <c r="C344" s="2">
        <v>9.94</v>
      </c>
      <c r="D344">
        <f t="shared" si="25"/>
        <v>-8.9999999999999858</v>
      </c>
      <c r="E344">
        <f t="shared" si="26"/>
        <v>-3.0000000000001137</v>
      </c>
      <c r="F344">
        <f t="shared" si="27"/>
        <v>561869.0450998639</v>
      </c>
      <c r="G344">
        <f t="shared" si="28"/>
        <v>-201100.78620000632</v>
      </c>
      <c r="H344">
        <f t="shared" si="29"/>
        <v>360768.25889985758</v>
      </c>
    </row>
    <row r="345" spans="1:8" x14ac:dyDescent="0.25">
      <c r="A345" s="1">
        <v>45601</v>
      </c>
      <c r="B345" s="2">
        <v>10.15</v>
      </c>
      <c r="C345" s="2">
        <v>9.9700000000000006</v>
      </c>
      <c r="D345">
        <f t="shared" si="25"/>
        <v>-7.0000000000000284</v>
      </c>
      <c r="E345">
        <f t="shared" si="26"/>
        <v>-11.999999999999922</v>
      </c>
      <c r="F345">
        <f t="shared" si="27"/>
        <v>437009.25729989656</v>
      </c>
      <c r="G345">
        <f t="shared" si="28"/>
        <v>-804403.14479998953</v>
      </c>
      <c r="H345">
        <f t="shared" si="29"/>
        <v>-367393.88750009297</v>
      </c>
    </row>
    <row r="346" spans="1:8" x14ac:dyDescent="0.25">
      <c r="A346" s="1">
        <v>45600</v>
      </c>
      <c r="B346" s="2">
        <v>10.220000000000001</v>
      </c>
      <c r="C346" s="2">
        <v>10.09</v>
      </c>
      <c r="D346">
        <f t="shared" si="25"/>
        <v>-4.9999999999998934</v>
      </c>
      <c r="E346">
        <f t="shared" si="26"/>
        <v>-9.9999999999999645</v>
      </c>
      <c r="F346">
        <f t="shared" si="27"/>
        <v>312149.46949991822</v>
      </c>
      <c r="G346">
        <f t="shared" si="28"/>
        <v>-670335.95399999327</v>
      </c>
      <c r="H346">
        <f t="shared" si="29"/>
        <v>-358186.48450007505</v>
      </c>
    </row>
    <row r="347" spans="1:8" x14ac:dyDescent="0.25">
      <c r="A347" s="1">
        <v>45597</v>
      </c>
      <c r="B347" s="2">
        <v>10.27</v>
      </c>
      <c r="C347" s="2">
        <v>10.19</v>
      </c>
      <c r="D347">
        <f t="shared" si="25"/>
        <v>5.9999999999998721</v>
      </c>
      <c r="E347">
        <f t="shared" si="26"/>
        <v>12.999999999999901</v>
      </c>
      <c r="F347">
        <f t="shared" si="27"/>
        <v>-374579.36339990183</v>
      </c>
      <c r="G347">
        <f t="shared" si="28"/>
        <v>871436.74019998778</v>
      </c>
      <c r="H347">
        <f t="shared" si="29"/>
        <v>496857.37680008594</v>
      </c>
    </row>
    <row r="348" spans="1:8" x14ac:dyDescent="0.25">
      <c r="A348" s="1">
        <v>45596</v>
      </c>
      <c r="B348" s="2">
        <v>10.210000000000001</v>
      </c>
      <c r="C348" s="2">
        <v>10.06</v>
      </c>
      <c r="D348">
        <f t="shared" si="25"/>
        <v>3.0000000000001137</v>
      </c>
      <c r="E348">
        <f t="shared" si="26"/>
        <v>5.0000000000000711</v>
      </c>
      <c r="F348">
        <f t="shared" si="27"/>
        <v>-187289.68169996201</v>
      </c>
      <c r="G348">
        <f t="shared" si="28"/>
        <v>335167.97700000263</v>
      </c>
      <c r="H348">
        <f t="shared" si="29"/>
        <v>147878.29530004063</v>
      </c>
    </row>
    <row r="349" spans="1:8" x14ac:dyDescent="0.25">
      <c r="A349" s="1">
        <v>45595</v>
      </c>
      <c r="B349" s="2">
        <v>10.18</v>
      </c>
      <c r="C349" s="2">
        <v>10.01</v>
      </c>
      <c r="D349">
        <f t="shared" si="25"/>
        <v>6.0000000000000497</v>
      </c>
      <c r="E349">
        <f t="shared" si="26"/>
        <v>-2.9999999999999361</v>
      </c>
      <c r="F349">
        <f t="shared" si="27"/>
        <v>-374579.36339991295</v>
      </c>
      <c r="G349">
        <f t="shared" si="28"/>
        <v>-201100.78619999441</v>
      </c>
      <c r="H349">
        <f t="shared" si="29"/>
        <v>-575680.14959990734</v>
      </c>
    </row>
    <row r="350" spans="1:8" x14ac:dyDescent="0.25">
      <c r="A350" s="1">
        <v>45594</v>
      </c>
      <c r="B350" s="2">
        <v>10.119999999999999</v>
      </c>
      <c r="C350" s="2">
        <v>10.039999999999999</v>
      </c>
      <c r="D350">
        <f t="shared" si="25"/>
        <v>-7.0000000000000284</v>
      </c>
      <c r="E350">
        <f t="shared" si="26"/>
        <v>-7.0000000000000284</v>
      </c>
      <c r="F350">
        <f t="shared" si="27"/>
        <v>437009.25729989656</v>
      </c>
      <c r="G350">
        <f t="shared" si="28"/>
        <v>-469235.16779999889</v>
      </c>
      <c r="H350">
        <f t="shared" si="29"/>
        <v>-32225.910500102327</v>
      </c>
    </row>
    <row r="351" spans="1:8" x14ac:dyDescent="0.25">
      <c r="A351" s="1">
        <v>45593</v>
      </c>
      <c r="B351" s="2">
        <v>10.19</v>
      </c>
      <c r="C351" s="2">
        <v>10.11</v>
      </c>
      <c r="D351">
        <f t="shared" si="25"/>
        <v>0.99999999999997868</v>
      </c>
      <c r="E351">
        <f t="shared" si="26"/>
        <v>2.9999999999999361</v>
      </c>
      <c r="F351">
        <f t="shared" si="27"/>
        <v>-62429.893899983639</v>
      </c>
      <c r="G351">
        <f t="shared" si="28"/>
        <v>201100.78619999441</v>
      </c>
      <c r="H351">
        <f t="shared" si="29"/>
        <v>138670.89230001078</v>
      </c>
    </row>
    <row r="352" spans="1:8" x14ac:dyDescent="0.25">
      <c r="A352" s="1">
        <v>45590</v>
      </c>
      <c r="B352" s="2">
        <v>10.18</v>
      </c>
      <c r="C352" s="2">
        <v>10.08</v>
      </c>
      <c r="D352">
        <f t="shared" si="25"/>
        <v>4.9999999999998934</v>
      </c>
      <c r="E352">
        <f t="shared" si="26"/>
        <v>2.9999999999999361</v>
      </c>
      <c r="F352">
        <f t="shared" si="27"/>
        <v>-312149.46949991822</v>
      </c>
      <c r="G352">
        <f t="shared" si="28"/>
        <v>201100.78619999441</v>
      </c>
      <c r="H352">
        <f t="shared" si="29"/>
        <v>-111048.68329992381</v>
      </c>
    </row>
    <row r="353" spans="1:8" x14ac:dyDescent="0.25">
      <c r="A353" s="1">
        <v>45589</v>
      </c>
      <c r="B353" s="2">
        <v>10.130000000000001</v>
      </c>
      <c r="C353" s="2">
        <v>10.050000000000001</v>
      </c>
      <c r="D353">
        <f t="shared" si="25"/>
        <v>-5.9999999999998721</v>
      </c>
      <c r="E353">
        <f t="shared" si="26"/>
        <v>-3.9999999999999147</v>
      </c>
      <c r="F353">
        <f t="shared" si="27"/>
        <v>374579.36339990183</v>
      </c>
      <c r="G353">
        <f t="shared" si="28"/>
        <v>-268134.38159999257</v>
      </c>
      <c r="H353">
        <f t="shared" si="29"/>
        <v>106444.98179990926</v>
      </c>
    </row>
    <row r="354" spans="1:8" x14ac:dyDescent="0.25">
      <c r="A354" s="1">
        <v>45588</v>
      </c>
      <c r="B354" s="2">
        <v>10.19</v>
      </c>
      <c r="C354" s="2">
        <v>10.09</v>
      </c>
      <c r="D354">
        <f t="shared" si="25"/>
        <v>0</v>
      </c>
      <c r="E354">
        <f t="shared" si="26"/>
        <v>5.0000000000000711</v>
      </c>
      <c r="F354">
        <f t="shared" si="27"/>
        <v>0</v>
      </c>
      <c r="G354">
        <f t="shared" si="28"/>
        <v>335167.97700000263</v>
      </c>
      <c r="H354">
        <f t="shared" si="29"/>
        <v>335167.97700000263</v>
      </c>
    </row>
    <row r="355" spans="1:8" x14ac:dyDescent="0.25">
      <c r="A355" s="1">
        <v>45587</v>
      </c>
      <c r="B355" s="2">
        <v>10.19</v>
      </c>
      <c r="C355" s="2">
        <v>10.039999999999999</v>
      </c>
      <c r="D355">
        <f t="shared" si="25"/>
        <v>0.99999999999997868</v>
      </c>
      <c r="E355">
        <f t="shared" si="26"/>
        <v>-2.000000000000135</v>
      </c>
      <c r="F355">
        <f t="shared" si="27"/>
        <v>-62429.893899983639</v>
      </c>
      <c r="G355">
        <f t="shared" si="28"/>
        <v>-134067.19080000819</v>
      </c>
      <c r="H355">
        <f t="shared" si="29"/>
        <v>-196497.08469999183</v>
      </c>
    </row>
    <row r="356" spans="1:8" x14ac:dyDescent="0.25">
      <c r="A356" s="1">
        <v>45586</v>
      </c>
      <c r="B356" s="2">
        <v>10.18</v>
      </c>
      <c r="C356" s="2">
        <v>10.06</v>
      </c>
      <c r="D356">
        <f t="shared" si="25"/>
        <v>14.000000000000057</v>
      </c>
      <c r="E356">
        <f t="shared" si="26"/>
        <v>19.000000000000128</v>
      </c>
      <c r="F356">
        <f t="shared" si="27"/>
        <v>-874018.51459979312</v>
      </c>
      <c r="G356">
        <f t="shared" si="28"/>
        <v>1273638.3126000003</v>
      </c>
      <c r="H356">
        <f t="shared" si="29"/>
        <v>399619.79800020717</v>
      </c>
    </row>
    <row r="357" spans="1:8" x14ac:dyDescent="0.25">
      <c r="A357" s="1">
        <v>45583</v>
      </c>
      <c r="B357" s="2">
        <v>10.039999999999999</v>
      </c>
      <c r="C357" s="2">
        <v>9.8699999999999992</v>
      </c>
      <c r="D357">
        <f t="shared" si="25"/>
        <v>6.9999999999998508</v>
      </c>
      <c r="E357">
        <f t="shared" si="26"/>
        <v>6.9999999999998508</v>
      </c>
      <c r="F357">
        <f t="shared" si="27"/>
        <v>-437009.2572998855</v>
      </c>
      <c r="G357">
        <f t="shared" si="28"/>
        <v>469235.16779998696</v>
      </c>
      <c r="H357">
        <f t="shared" si="29"/>
        <v>32225.910500101454</v>
      </c>
    </row>
    <row r="358" spans="1:8" x14ac:dyDescent="0.25">
      <c r="A358" s="1">
        <v>45582</v>
      </c>
      <c r="B358" s="2">
        <v>9.9700000000000006</v>
      </c>
      <c r="C358" s="2">
        <v>9.8000000000000007</v>
      </c>
      <c r="D358">
        <f t="shared" si="25"/>
        <v>-3.9999999999999147</v>
      </c>
      <c r="E358">
        <f t="shared" si="26"/>
        <v>-2.9999999999999361</v>
      </c>
      <c r="F358">
        <f t="shared" si="27"/>
        <v>249719.57559993456</v>
      </c>
      <c r="G358">
        <f t="shared" si="28"/>
        <v>-201100.78619999441</v>
      </c>
      <c r="H358">
        <f t="shared" si="29"/>
        <v>48618.789399940142</v>
      </c>
    </row>
    <row r="359" spans="1:8" x14ac:dyDescent="0.25">
      <c r="A359" s="1">
        <v>45581</v>
      </c>
      <c r="B359" s="2">
        <v>10.01</v>
      </c>
      <c r="C359" s="2">
        <v>9.83</v>
      </c>
      <c r="D359">
        <f t="shared" si="25"/>
        <v>19.999999999999929</v>
      </c>
      <c r="E359">
        <f t="shared" si="26"/>
        <v>15.000000000000036</v>
      </c>
      <c r="F359">
        <f t="shared" si="27"/>
        <v>-1248597.877999695</v>
      </c>
      <c r="G359">
        <f t="shared" si="28"/>
        <v>1005503.9309999959</v>
      </c>
      <c r="H359">
        <f t="shared" si="29"/>
        <v>-243093.94699969911</v>
      </c>
    </row>
    <row r="360" spans="1:8" x14ac:dyDescent="0.25">
      <c r="A360" s="1">
        <v>45580</v>
      </c>
      <c r="B360" s="2">
        <v>9.81</v>
      </c>
      <c r="C360" s="2">
        <v>9.68</v>
      </c>
      <c r="D360">
        <f t="shared" si="25"/>
        <v>4.0000000000000924</v>
      </c>
      <c r="E360">
        <f t="shared" si="26"/>
        <v>2.9999999999999361</v>
      </c>
      <c r="F360">
        <f t="shared" si="27"/>
        <v>-249719.57559994565</v>
      </c>
      <c r="G360">
        <f t="shared" si="28"/>
        <v>201100.78619999441</v>
      </c>
      <c r="H360">
        <f t="shared" si="29"/>
        <v>-48618.789399951231</v>
      </c>
    </row>
    <row r="361" spans="1:8" x14ac:dyDescent="0.25">
      <c r="A361" s="1">
        <v>45579</v>
      </c>
      <c r="B361" s="2">
        <v>9.77</v>
      </c>
      <c r="C361" s="2">
        <v>9.65</v>
      </c>
      <c r="D361">
        <f t="shared" si="25"/>
        <v>0.99999999999997868</v>
      </c>
      <c r="E361">
        <f t="shared" si="26"/>
        <v>1.9999999999999574</v>
      </c>
      <c r="F361">
        <f t="shared" si="27"/>
        <v>-62429.893899983639</v>
      </c>
      <c r="G361">
        <f t="shared" si="28"/>
        <v>134067.19079999629</v>
      </c>
      <c r="H361">
        <f t="shared" si="29"/>
        <v>71637.296900012647</v>
      </c>
    </row>
    <row r="362" spans="1:8" x14ac:dyDescent="0.25">
      <c r="A362" s="1">
        <v>45576</v>
      </c>
      <c r="B362" s="2">
        <v>9.76</v>
      </c>
      <c r="C362" s="2">
        <v>9.6300000000000008</v>
      </c>
      <c r="D362">
        <f t="shared" si="25"/>
        <v>-10.999999999999943</v>
      </c>
      <c r="E362">
        <f t="shared" si="26"/>
        <v>-5.9999999999998721</v>
      </c>
      <c r="F362">
        <f t="shared" si="27"/>
        <v>686728.83289983112</v>
      </c>
      <c r="G362">
        <f t="shared" si="28"/>
        <v>-402201.57239998883</v>
      </c>
      <c r="H362">
        <f t="shared" si="29"/>
        <v>284527.26049984229</v>
      </c>
    </row>
    <row r="363" spans="1:8" x14ac:dyDescent="0.25">
      <c r="A363" s="1">
        <v>45575</v>
      </c>
      <c r="B363" s="2">
        <v>9.8699999999999992</v>
      </c>
      <c r="C363" s="2">
        <v>9.69</v>
      </c>
      <c r="D363">
        <f t="shared" si="25"/>
        <v>9.9999999999999645</v>
      </c>
      <c r="E363">
        <f t="shared" si="26"/>
        <v>9.9999999999999645</v>
      </c>
      <c r="F363">
        <f t="shared" si="27"/>
        <v>-624298.93899984751</v>
      </c>
      <c r="G363">
        <f t="shared" si="28"/>
        <v>670335.95399999327</v>
      </c>
      <c r="H363">
        <f t="shared" si="29"/>
        <v>46037.015000145766</v>
      </c>
    </row>
    <row r="364" spans="1:8" x14ac:dyDescent="0.25">
      <c r="A364" s="1">
        <v>45574</v>
      </c>
      <c r="B364" s="2">
        <v>9.77</v>
      </c>
      <c r="C364" s="2">
        <v>9.59</v>
      </c>
      <c r="D364">
        <f t="shared" si="25"/>
        <v>3.9999999999999147</v>
      </c>
      <c r="E364">
        <f t="shared" si="26"/>
        <v>6.0000000000000497</v>
      </c>
      <c r="F364">
        <f t="shared" si="27"/>
        <v>-249719.57559993456</v>
      </c>
      <c r="G364">
        <f t="shared" si="28"/>
        <v>402201.57240000076</v>
      </c>
      <c r="H364">
        <f t="shared" si="29"/>
        <v>152481.9968000662</v>
      </c>
    </row>
    <row r="365" spans="1:8" x14ac:dyDescent="0.25">
      <c r="A365" s="1">
        <v>45573</v>
      </c>
      <c r="B365" s="2">
        <v>9.73</v>
      </c>
      <c r="C365" s="2">
        <v>9.5299999999999994</v>
      </c>
      <c r="D365">
        <f t="shared" si="25"/>
        <v>-8.9999999999999858</v>
      </c>
      <c r="E365">
        <f t="shared" si="26"/>
        <v>-2.000000000000135</v>
      </c>
      <c r="F365">
        <f t="shared" si="27"/>
        <v>561869.0450998639</v>
      </c>
      <c r="G365">
        <f t="shared" si="28"/>
        <v>-134067.19080000819</v>
      </c>
      <c r="H365">
        <f t="shared" si="29"/>
        <v>427801.85429985571</v>
      </c>
    </row>
    <row r="366" spans="1:8" x14ac:dyDescent="0.25">
      <c r="A366" s="1">
        <v>45572</v>
      </c>
      <c r="B366" s="2">
        <v>9.82</v>
      </c>
      <c r="C366" s="2">
        <v>9.5500000000000007</v>
      </c>
      <c r="D366">
        <f t="shared" si="25"/>
        <v>9.9999999999999645</v>
      </c>
      <c r="E366">
        <f t="shared" si="26"/>
        <v>8.0000000000000071</v>
      </c>
      <c r="F366">
        <f t="shared" si="27"/>
        <v>-624298.93899984751</v>
      </c>
      <c r="G366">
        <f t="shared" si="28"/>
        <v>536268.76319999702</v>
      </c>
      <c r="H366">
        <f t="shared" si="29"/>
        <v>-88030.175799850491</v>
      </c>
    </row>
    <row r="367" spans="1:8" x14ac:dyDescent="0.25">
      <c r="A367" s="1">
        <v>45569</v>
      </c>
      <c r="B367" s="2">
        <v>9.7200000000000006</v>
      </c>
      <c r="C367" s="2">
        <v>9.4700000000000006</v>
      </c>
      <c r="D367">
        <f t="shared" si="25"/>
        <v>13.000000000000078</v>
      </c>
      <c r="E367">
        <f t="shared" si="26"/>
        <v>7.0000000000000284</v>
      </c>
      <c r="F367">
        <f t="shared" si="27"/>
        <v>-811588.62069980951</v>
      </c>
      <c r="G367">
        <f t="shared" si="28"/>
        <v>469235.16779999889</v>
      </c>
      <c r="H367">
        <f t="shared" si="29"/>
        <v>-342353.45289981063</v>
      </c>
    </row>
    <row r="368" spans="1:8" x14ac:dyDescent="0.25">
      <c r="A368" s="1">
        <v>45568</v>
      </c>
      <c r="B368" s="2">
        <v>9.59</v>
      </c>
      <c r="C368" s="2">
        <v>9.4</v>
      </c>
      <c r="D368">
        <f t="shared" si="25"/>
        <v>8.0000000000000071</v>
      </c>
      <c r="E368">
        <f t="shared" si="26"/>
        <v>3.0000000000001137</v>
      </c>
      <c r="F368">
        <f t="shared" si="27"/>
        <v>-499439.15119988023</v>
      </c>
      <c r="G368">
        <f t="shared" si="28"/>
        <v>201100.78620000632</v>
      </c>
      <c r="H368">
        <f t="shared" si="29"/>
        <v>-298338.36499987391</v>
      </c>
    </row>
    <row r="369" spans="1:8" x14ac:dyDescent="0.25">
      <c r="A369" s="1">
        <v>45567</v>
      </c>
      <c r="B369" s="2">
        <v>9.51</v>
      </c>
      <c r="C369" s="2">
        <v>9.3699999999999992</v>
      </c>
      <c r="D369">
        <f t="shared" si="25"/>
        <v>6.0000000000000497</v>
      </c>
      <c r="E369">
        <f t="shared" si="26"/>
        <v>3.9999999999999147</v>
      </c>
      <c r="F369">
        <f t="shared" si="27"/>
        <v>-374579.36339991295</v>
      </c>
      <c r="G369">
        <f t="shared" si="28"/>
        <v>268134.38159999257</v>
      </c>
      <c r="H369">
        <f t="shared" si="29"/>
        <v>-106444.98179992038</v>
      </c>
    </row>
    <row r="370" spans="1:8" x14ac:dyDescent="0.25">
      <c r="A370" s="1">
        <v>45566</v>
      </c>
      <c r="B370" s="2">
        <v>9.4499999999999993</v>
      </c>
      <c r="C370" s="2">
        <v>9.33</v>
      </c>
      <c r="D370">
        <f t="shared" si="25"/>
        <v>0</v>
      </c>
      <c r="E370">
        <f t="shared" si="26"/>
        <v>0</v>
      </c>
      <c r="F370">
        <f t="shared" si="27"/>
        <v>0</v>
      </c>
      <c r="G370">
        <f t="shared" si="28"/>
        <v>0</v>
      </c>
      <c r="H370">
        <f t="shared" si="29"/>
        <v>0</v>
      </c>
    </row>
    <row r="371" spans="1:8" x14ac:dyDescent="0.25">
      <c r="A371" s="1">
        <v>45565</v>
      </c>
      <c r="B371" s="2">
        <v>9.4499999999999993</v>
      </c>
      <c r="C371" s="2">
        <v>9.33</v>
      </c>
      <c r="D371">
        <f t="shared" si="25"/>
        <v>2.9999999999999361</v>
      </c>
      <c r="E371">
        <f t="shared" si="26"/>
        <v>0.99999999999997868</v>
      </c>
      <c r="F371">
        <f t="shared" si="27"/>
        <v>-187289.68169995092</v>
      </c>
      <c r="G371">
        <f t="shared" si="28"/>
        <v>67033.595399998143</v>
      </c>
      <c r="H371">
        <f t="shared" si="29"/>
        <v>-120256.08629995277</v>
      </c>
    </row>
    <row r="372" spans="1:8" x14ac:dyDescent="0.25">
      <c r="A372" s="1">
        <v>45562</v>
      </c>
      <c r="B372" s="2">
        <v>9.42</v>
      </c>
      <c r="C372" s="2">
        <v>9.32</v>
      </c>
      <c r="D372">
        <f t="shared" si="25"/>
        <v>3.9999999999999147</v>
      </c>
      <c r="E372">
        <f t="shared" si="26"/>
        <v>4.0000000000000924</v>
      </c>
      <c r="F372">
        <f t="shared" si="27"/>
        <v>-249719.57559993456</v>
      </c>
      <c r="G372">
        <f t="shared" si="28"/>
        <v>268134.38160000445</v>
      </c>
      <c r="H372">
        <f t="shared" si="29"/>
        <v>18414.80600006989</v>
      </c>
    </row>
    <row r="373" spans="1:8" x14ac:dyDescent="0.25">
      <c r="A373" s="1">
        <v>45561</v>
      </c>
      <c r="B373" s="2">
        <v>9.3800000000000008</v>
      </c>
      <c r="C373" s="2">
        <v>9.2799999999999994</v>
      </c>
      <c r="D373">
        <f t="shared" si="25"/>
        <v>8.0000000000000071</v>
      </c>
      <c r="E373">
        <f t="shared" si="26"/>
        <v>3.9999999999999147</v>
      </c>
      <c r="F373">
        <f t="shared" si="27"/>
        <v>-499439.15119988023</v>
      </c>
      <c r="G373">
        <f t="shared" si="28"/>
        <v>268134.38159999257</v>
      </c>
      <c r="H373">
        <f t="shared" si="29"/>
        <v>-231304.76959988766</v>
      </c>
    </row>
    <row r="374" spans="1:8" x14ac:dyDescent="0.25">
      <c r="A374" s="1">
        <v>45560</v>
      </c>
      <c r="B374" s="2">
        <v>9.3000000000000007</v>
      </c>
      <c r="C374" s="2">
        <v>9.24</v>
      </c>
      <c r="D374">
        <f t="shared" si="25"/>
        <v>-3.9999999999999147</v>
      </c>
      <c r="E374">
        <f t="shared" si="26"/>
        <v>4.0000000000000924</v>
      </c>
      <c r="F374">
        <f t="shared" si="27"/>
        <v>249719.57559993456</v>
      </c>
      <c r="G374">
        <f t="shared" si="28"/>
        <v>268134.38160000445</v>
      </c>
      <c r="H374">
        <f t="shared" si="29"/>
        <v>517853.957199939</v>
      </c>
    </row>
    <row r="375" spans="1:8" x14ac:dyDescent="0.25">
      <c r="A375" s="1">
        <v>45559</v>
      </c>
      <c r="B375" s="2">
        <v>9.34</v>
      </c>
      <c r="C375" s="2">
        <v>9.1999999999999993</v>
      </c>
      <c r="D375">
        <f t="shared" si="25"/>
        <v>-7.0000000000000284</v>
      </c>
      <c r="E375">
        <f t="shared" si="26"/>
        <v>0.99999999999997868</v>
      </c>
      <c r="F375">
        <f t="shared" si="27"/>
        <v>437009.25729989656</v>
      </c>
      <c r="G375">
        <f t="shared" si="28"/>
        <v>67033.595399998143</v>
      </c>
      <c r="H375">
        <f t="shared" si="29"/>
        <v>504042.85269989469</v>
      </c>
    </row>
    <row r="376" spans="1:8" x14ac:dyDescent="0.25">
      <c r="A376" s="1">
        <v>45558</v>
      </c>
      <c r="B376" s="2">
        <v>9.41</v>
      </c>
      <c r="C376" s="2">
        <v>9.19</v>
      </c>
      <c r="D376">
        <f t="shared" si="25"/>
        <v>-3.9999999999999147</v>
      </c>
      <c r="E376">
        <f t="shared" si="26"/>
        <v>0</v>
      </c>
      <c r="F376">
        <f t="shared" si="27"/>
        <v>249719.57559993456</v>
      </c>
      <c r="G376">
        <f t="shared" si="28"/>
        <v>0</v>
      </c>
      <c r="H376">
        <f t="shared" si="29"/>
        <v>249719.57559993456</v>
      </c>
    </row>
    <row r="377" spans="1:8" x14ac:dyDescent="0.25">
      <c r="A377" s="1">
        <v>45555</v>
      </c>
      <c r="B377" s="2">
        <v>9.4499999999999993</v>
      </c>
      <c r="C377" s="2">
        <v>9.19</v>
      </c>
      <c r="D377">
        <f t="shared" si="25"/>
        <v>1.9999999999999574</v>
      </c>
      <c r="E377">
        <f t="shared" si="26"/>
        <v>8.9999999999999858</v>
      </c>
      <c r="F377">
        <f t="shared" si="27"/>
        <v>-124859.78779996728</v>
      </c>
      <c r="G377">
        <f t="shared" si="28"/>
        <v>603302.35859999515</v>
      </c>
      <c r="H377">
        <f t="shared" si="29"/>
        <v>478442.57080002787</v>
      </c>
    </row>
    <row r="378" spans="1:8" x14ac:dyDescent="0.25">
      <c r="A378" s="1">
        <v>45554</v>
      </c>
      <c r="B378" s="2">
        <v>9.43</v>
      </c>
      <c r="C378" s="2">
        <v>9.1</v>
      </c>
      <c r="D378">
        <f t="shared" si="25"/>
        <v>-7.0000000000000284</v>
      </c>
      <c r="E378">
        <f t="shared" si="26"/>
        <v>-4.0000000000000924</v>
      </c>
      <c r="F378">
        <f t="shared" si="27"/>
        <v>437009.25729989656</v>
      </c>
      <c r="G378">
        <f t="shared" si="28"/>
        <v>-268134.38160000445</v>
      </c>
      <c r="H378">
        <f t="shared" si="29"/>
        <v>168874.87569989212</v>
      </c>
    </row>
    <row r="379" spans="1:8" x14ac:dyDescent="0.25">
      <c r="A379" s="1">
        <v>45553</v>
      </c>
      <c r="B379" s="2">
        <v>9.5</v>
      </c>
      <c r="C379" s="2">
        <v>9.14</v>
      </c>
      <c r="D379">
        <f t="shared" si="25"/>
        <v>-3.9999999999999147</v>
      </c>
      <c r="E379">
        <f t="shared" si="26"/>
        <v>-1.9999999999999574</v>
      </c>
      <c r="F379">
        <f t="shared" si="27"/>
        <v>249719.57559993456</v>
      </c>
      <c r="G379">
        <f t="shared" si="28"/>
        <v>-134067.19079999629</v>
      </c>
      <c r="H379">
        <f t="shared" si="29"/>
        <v>115652.38479993827</v>
      </c>
    </row>
    <row r="380" spans="1:8" x14ac:dyDescent="0.25">
      <c r="A380" s="1">
        <v>45552</v>
      </c>
      <c r="B380" s="2">
        <v>9.5399999999999991</v>
      </c>
      <c r="C380" s="2">
        <v>9.16</v>
      </c>
      <c r="D380">
        <f t="shared" si="25"/>
        <v>-4.0000000000000924</v>
      </c>
      <c r="E380">
        <f t="shared" si="26"/>
        <v>-8.9999999999999858</v>
      </c>
      <c r="F380">
        <f t="shared" si="27"/>
        <v>249719.57559994565</v>
      </c>
      <c r="G380">
        <f t="shared" si="28"/>
        <v>-603302.35859999515</v>
      </c>
      <c r="H380">
        <f t="shared" si="29"/>
        <v>-353582.78300004953</v>
      </c>
    </row>
    <row r="381" spans="1:8" x14ac:dyDescent="0.25">
      <c r="A381" s="1">
        <v>45551</v>
      </c>
      <c r="B381" s="2">
        <v>9.58</v>
      </c>
      <c r="C381" s="2">
        <v>9.25</v>
      </c>
      <c r="D381">
        <f t="shared" si="25"/>
        <v>0</v>
      </c>
      <c r="E381">
        <f t="shared" si="26"/>
        <v>0</v>
      </c>
      <c r="F381">
        <f t="shared" si="27"/>
        <v>0</v>
      </c>
      <c r="G381">
        <f t="shared" si="28"/>
        <v>0</v>
      </c>
      <c r="H381">
        <f t="shared" si="29"/>
        <v>0</v>
      </c>
    </row>
    <row r="382" spans="1:8" x14ac:dyDescent="0.25">
      <c r="A382" s="1">
        <v>45548</v>
      </c>
      <c r="B382" s="2">
        <v>9.58</v>
      </c>
      <c r="C382" s="2">
        <v>9.25</v>
      </c>
      <c r="D382">
        <f t="shared" si="25"/>
        <v>-9.9999999999999645</v>
      </c>
      <c r="E382">
        <f t="shared" si="26"/>
        <v>-11.999999999999922</v>
      </c>
      <c r="F382">
        <f t="shared" si="27"/>
        <v>624298.93899984751</v>
      </c>
      <c r="G382">
        <f t="shared" si="28"/>
        <v>-804403.14479998953</v>
      </c>
      <c r="H382">
        <f t="shared" si="29"/>
        <v>-180104.20580014202</v>
      </c>
    </row>
    <row r="383" spans="1:8" x14ac:dyDescent="0.25">
      <c r="A383" s="1">
        <v>45547</v>
      </c>
      <c r="B383" s="2">
        <v>9.68</v>
      </c>
      <c r="C383" s="2">
        <v>9.3699999999999992</v>
      </c>
      <c r="D383">
        <f t="shared" si="25"/>
        <v>-1.9999999999999574</v>
      </c>
      <c r="E383">
        <f t="shared" si="26"/>
        <v>-4.0000000000000924</v>
      </c>
      <c r="F383">
        <f t="shared" si="27"/>
        <v>124859.78779996728</v>
      </c>
      <c r="G383">
        <f t="shared" si="28"/>
        <v>-268134.38160000445</v>
      </c>
      <c r="H383">
        <f t="shared" si="29"/>
        <v>-143274.59380003717</v>
      </c>
    </row>
    <row r="384" spans="1:8" x14ac:dyDescent="0.25">
      <c r="A384" s="1">
        <v>45546</v>
      </c>
      <c r="B384" s="2">
        <v>9.6999999999999993</v>
      </c>
      <c r="C384" s="2">
        <v>9.41</v>
      </c>
      <c r="D384">
        <f t="shared" si="25"/>
        <v>-7.0000000000000284</v>
      </c>
      <c r="E384">
        <f t="shared" si="26"/>
        <v>-8.9999999999999858</v>
      </c>
      <c r="F384">
        <f t="shared" si="27"/>
        <v>437009.25729989656</v>
      </c>
      <c r="G384">
        <f t="shared" si="28"/>
        <v>-603302.35859999515</v>
      </c>
      <c r="H384">
        <f t="shared" si="29"/>
        <v>-166293.10130009858</v>
      </c>
    </row>
    <row r="385" spans="1:8" x14ac:dyDescent="0.25">
      <c r="A385" s="1">
        <v>45545</v>
      </c>
      <c r="B385" s="2">
        <v>9.77</v>
      </c>
      <c r="C385" s="2">
        <v>9.5</v>
      </c>
      <c r="D385">
        <f t="shared" si="25"/>
        <v>8.0000000000000071</v>
      </c>
      <c r="E385">
        <f t="shared" si="26"/>
        <v>8.9999999999999858</v>
      </c>
      <c r="F385">
        <f t="shared" si="27"/>
        <v>-499439.15119988023</v>
      </c>
      <c r="G385">
        <f t="shared" si="28"/>
        <v>603302.35859999515</v>
      </c>
      <c r="H385">
        <f t="shared" si="29"/>
        <v>103863.20740011492</v>
      </c>
    </row>
    <row r="386" spans="1:8" x14ac:dyDescent="0.25">
      <c r="A386" s="1">
        <v>45544</v>
      </c>
      <c r="B386" s="2">
        <v>9.69</v>
      </c>
      <c r="C386" s="2">
        <v>9.41</v>
      </c>
      <c r="D386">
        <f t="shared" si="25"/>
        <v>-5.0000000000000711</v>
      </c>
      <c r="E386">
        <f t="shared" si="26"/>
        <v>-6.0000000000000497</v>
      </c>
      <c r="F386">
        <f t="shared" si="27"/>
        <v>312149.46949992928</v>
      </c>
      <c r="G386">
        <f t="shared" si="28"/>
        <v>-402201.57240000076</v>
      </c>
      <c r="H386">
        <f t="shared" si="29"/>
        <v>-90052.102900071477</v>
      </c>
    </row>
    <row r="387" spans="1:8" x14ac:dyDescent="0.25">
      <c r="A387" s="1">
        <v>45541</v>
      </c>
      <c r="B387" s="2">
        <v>9.74</v>
      </c>
      <c r="C387" s="2">
        <v>9.4700000000000006</v>
      </c>
      <c r="D387">
        <f t="shared" ref="D387:D450" si="30">(B387-B388)*100</f>
        <v>-9.9999999999999645</v>
      </c>
      <c r="E387">
        <f t="shared" ref="E387:E450" si="31">(C387-C388)*100</f>
        <v>-6.9999999999998508</v>
      </c>
      <c r="F387">
        <f t="shared" ref="F387:F450" si="32">-D387*$R$3</f>
        <v>624298.93899984751</v>
      </c>
      <c r="G387">
        <f t="shared" ref="G387:G450" si="33">-E387*$R$4</f>
        <v>-469235.16779998696</v>
      </c>
      <c r="H387">
        <f t="shared" ref="H387:H450" si="34">F387+G387</f>
        <v>155063.77119986055</v>
      </c>
    </row>
    <row r="388" spans="1:8" x14ac:dyDescent="0.25">
      <c r="A388" s="1">
        <v>45540</v>
      </c>
      <c r="B388" s="2">
        <v>9.84</v>
      </c>
      <c r="C388" s="2">
        <v>9.5399999999999991</v>
      </c>
      <c r="D388">
        <f t="shared" si="30"/>
        <v>-19.999999999999929</v>
      </c>
      <c r="E388">
        <f t="shared" si="31"/>
        <v>-3.0000000000001137</v>
      </c>
      <c r="F388">
        <f t="shared" si="32"/>
        <v>1248597.877999695</v>
      </c>
      <c r="G388">
        <f t="shared" si="33"/>
        <v>-201100.78620000632</v>
      </c>
      <c r="H388">
        <f t="shared" si="34"/>
        <v>1047497.0917996888</v>
      </c>
    </row>
    <row r="389" spans="1:8" x14ac:dyDescent="0.25">
      <c r="A389" s="1">
        <v>45539</v>
      </c>
      <c r="B389" s="2">
        <v>10.039999999999999</v>
      </c>
      <c r="C389" s="2">
        <v>9.57</v>
      </c>
      <c r="D389">
        <f t="shared" si="30"/>
        <v>-9.0000000000001634</v>
      </c>
      <c r="E389">
        <f t="shared" si="31"/>
        <v>-11.999999999999922</v>
      </c>
      <c r="F389">
        <f t="shared" si="32"/>
        <v>561869.04509987496</v>
      </c>
      <c r="G389">
        <f t="shared" si="33"/>
        <v>-804403.14479998953</v>
      </c>
      <c r="H389">
        <f t="shared" si="34"/>
        <v>-242534.09970011457</v>
      </c>
    </row>
    <row r="390" spans="1:8" x14ac:dyDescent="0.25">
      <c r="A390" s="1">
        <v>45538</v>
      </c>
      <c r="B390" s="2">
        <v>10.130000000000001</v>
      </c>
      <c r="C390" s="2">
        <v>9.69</v>
      </c>
      <c r="D390">
        <f t="shared" si="30"/>
        <v>0</v>
      </c>
      <c r="E390">
        <f t="shared" si="31"/>
        <v>2.9999999999999361</v>
      </c>
      <c r="F390">
        <f t="shared" si="32"/>
        <v>0</v>
      </c>
      <c r="G390">
        <f t="shared" si="33"/>
        <v>201100.78619999441</v>
      </c>
      <c r="H390">
        <f t="shared" si="34"/>
        <v>201100.78619999441</v>
      </c>
    </row>
    <row r="391" spans="1:8" x14ac:dyDescent="0.25">
      <c r="A391" s="1">
        <v>45537</v>
      </c>
      <c r="B391" s="2">
        <v>10.130000000000001</v>
      </c>
      <c r="C391" s="2">
        <v>9.66</v>
      </c>
      <c r="D391">
        <f t="shared" si="30"/>
        <v>4.0000000000000924</v>
      </c>
      <c r="E391">
        <f t="shared" si="31"/>
        <v>2.9999999999999361</v>
      </c>
      <c r="F391">
        <f t="shared" si="32"/>
        <v>-249719.57559994565</v>
      </c>
      <c r="G391">
        <f t="shared" si="33"/>
        <v>201100.78619999441</v>
      </c>
      <c r="H391">
        <f t="shared" si="34"/>
        <v>-48618.789399951231</v>
      </c>
    </row>
    <row r="392" spans="1:8" x14ac:dyDescent="0.25">
      <c r="A392" s="1">
        <v>45534</v>
      </c>
      <c r="B392" s="2">
        <v>10.09</v>
      </c>
      <c r="C392" s="2">
        <v>9.6300000000000008</v>
      </c>
      <c r="D392">
        <f t="shared" si="30"/>
        <v>-7.0000000000000284</v>
      </c>
      <c r="E392">
        <f t="shared" si="31"/>
        <v>-8.9999999999999858</v>
      </c>
      <c r="F392">
        <f t="shared" si="32"/>
        <v>437009.25729989656</v>
      </c>
      <c r="G392">
        <f t="shared" si="33"/>
        <v>-603302.35859999515</v>
      </c>
      <c r="H392">
        <f t="shared" si="34"/>
        <v>-166293.10130009858</v>
      </c>
    </row>
    <row r="393" spans="1:8" x14ac:dyDescent="0.25">
      <c r="A393" s="1">
        <v>45533</v>
      </c>
      <c r="B393" s="2">
        <v>10.16</v>
      </c>
      <c r="C393" s="2">
        <v>9.7200000000000006</v>
      </c>
      <c r="D393">
        <f t="shared" si="30"/>
        <v>0.99999999999997868</v>
      </c>
      <c r="E393">
        <f t="shared" si="31"/>
        <v>5.0000000000000711</v>
      </c>
      <c r="F393">
        <f t="shared" si="32"/>
        <v>-62429.893899983639</v>
      </c>
      <c r="G393">
        <f t="shared" si="33"/>
        <v>335167.97700000263</v>
      </c>
      <c r="H393">
        <f t="shared" si="34"/>
        <v>272738.08310001902</v>
      </c>
    </row>
    <row r="394" spans="1:8" x14ac:dyDescent="0.25">
      <c r="A394" s="1">
        <v>45532</v>
      </c>
      <c r="B394" s="2">
        <v>10.15</v>
      </c>
      <c r="C394" s="2">
        <v>9.67</v>
      </c>
      <c r="D394">
        <f t="shared" si="30"/>
        <v>0.99999999999997868</v>
      </c>
      <c r="E394">
        <f t="shared" si="31"/>
        <v>0.99999999999997868</v>
      </c>
      <c r="F394">
        <f t="shared" si="32"/>
        <v>-62429.893899983639</v>
      </c>
      <c r="G394">
        <f t="shared" si="33"/>
        <v>67033.595399998143</v>
      </c>
      <c r="H394">
        <f t="shared" si="34"/>
        <v>4603.7015000145038</v>
      </c>
    </row>
    <row r="395" spans="1:8" x14ac:dyDescent="0.25">
      <c r="A395" s="1">
        <v>45531</v>
      </c>
      <c r="B395" s="2">
        <v>10.14</v>
      </c>
      <c r="C395" s="2">
        <v>9.66</v>
      </c>
      <c r="D395">
        <f t="shared" si="30"/>
        <v>5.0000000000000711</v>
      </c>
      <c r="E395">
        <f t="shared" si="31"/>
        <v>9.9999999999999645</v>
      </c>
      <c r="F395">
        <f t="shared" si="32"/>
        <v>-312149.46949992928</v>
      </c>
      <c r="G395">
        <f t="shared" si="33"/>
        <v>670335.95399999327</v>
      </c>
      <c r="H395">
        <f t="shared" si="34"/>
        <v>358186.48450006399</v>
      </c>
    </row>
    <row r="396" spans="1:8" x14ac:dyDescent="0.25">
      <c r="A396" s="1">
        <v>45530</v>
      </c>
      <c r="B396" s="2">
        <v>10.09</v>
      </c>
      <c r="C396" s="2">
        <v>9.56</v>
      </c>
      <c r="D396">
        <f t="shared" si="30"/>
        <v>2.9999999999999361</v>
      </c>
      <c r="E396">
        <f t="shared" si="31"/>
        <v>3.0000000000001137</v>
      </c>
      <c r="F396">
        <f t="shared" si="32"/>
        <v>-187289.68169995092</v>
      </c>
      <c r="G396">
        <f t="shared" si="33"/>
        <v>201100.78620000632</v>
      </c>
      <c r="H396">
        <f t="shared" si="34"/>
        <v>13811.1045000554</v>
      </c>
    </row>
    <row r="397" spans="1:8" x14ac:dyDescent="0.25">
      <c r="A397" s="1">
        <v>45527</v>
      </c>
      <c r="B397" s="2">
        <v>10.06</v>
      </c>
      <c r="C397" s="2">
        <v>9.5299999999999994</v>
      </c>
      <c r="D397">
        <f t="shared" si="30"/>
        <v>-8.9999999999999858</v>
      </c>
      <c r="E397">
        <f t="shared" si="31"/>
        <v>-19.000000000000128</v>
      </c>
      <c r="F397">
        <f t="shared" si="32"/>
        <v>561869.0450998639</v>
      </c>
      <c r="G397">
        <f t="shared" si="33"/>
        <v>-1273638.3126000003</v>
      </c>
      <c r="H397">
        <f t="shared" si="34"/>
        <v>-711769.2675001364</v>
      </c>
    </row>
    <row r="398" spans="1:8" x14ac:dyDescent="0.25">
      <c r="A398" s="1">
        <v>45526</v>
      </c>
      <c r="B398" s="2">
        <v>10.15</v>
      </c>
      <c r="C398" s="2">
        <v>9.7200000000000006</v>
      </c>
      <c r="D398">
        <f t="shared" si="30"/>
        <v>3.0000000000001137</v>
      </c>
      <c r="E398">
        <f t="shared" si="31"/>
        <v>19.000000000000128</v>
      </c>
      <c r="F398">
        <f t="shared" si="32"/>
        <v>-187289.68169996201</v>
      </c>
      <c r="G398">
        <f t="shared" si="33"/>
        <v>1273638.3126000003</v>
      </c>
      <c r="H398">
        <f t="shared" si="34"/>
        <v>1086348.6309000384</v>
      </c>
    </row>
    <row r="399" spans="1:8" x14ac:dyDescent="0.25">
      <c r="A399" s="1">
        <v>45525</v>
      </c>
      <c r="B399" s="2">
        <v>10.119999999999999</v>
      </c>
      <c r="C399" s="2">
        <v>9.5299999999999994</v>
      </c>
      <c r="D399">
        <f t="shared" si="30"/>
        <v>-3.0000000000001137</v>
      </c>
      <c r="E399">
        <f t="shared" si="31"/>
        <v>3.9999999999999147</v>
      </c>
      <c r="F399">
        <f t="shared" si="32"/>
        <v>187289.68169996201</v>
      </c>
      <c r="G399">
        <f t="shared" si="33"/>
        <v>268134.38159999257</v>
      </c>
      <c r="H399">
        <f t="shared" si="34"/>
        <v>455424.06329995458</v>
      </c>
    </row>
    <row r="400" spans="1:8" x14ac:dyDescent="0.25">
      <c r="A400" s="1">
        <v>45524</v>
      </c>
      <c r="B400" s="2">
        <v>10.15</v>
      </c>
      <c r="C400" s="2">
        <v>9.49</v>
      </c>
      <c r="D400">
        <f t="shared" si="30"/>
        <v>0</v>
      </c>
      <c r="E400">
        <f t="shared" si="31"/>
        <v>6.0000000000000497</v>
      </c>
      <c r="F400">
        <f t="shared" si="32"/>
        <v>0</v>
      </c>
      <c r="G400">
        <f t="shared" si="33"/>
        <v>402201.57240000076</v>
      </c>
      <c r="H400">
        <f t="shared" si="34"/>
        <v>402201.57240000076</v>
      </c>
    </row>
    <row r="401" spans="1:8" x14ac:dyDescent="0.25">
      <c r="A401" s="1">
        <v>45523</v>
      </c>
      <c r="B401" s="2">
        <v>10.15</v>
      </c>
      <c r="C401" s="2">
        <v>9.43</v>
      </c>
      <c r="D401">
        <f t="shared" si="30"/>
        <v>3.0000000000001137</v>
      </c>
      <c r="E401">
        <f t="shared" si="31"/>
        <v>0.99999999999997868</v>
      </c>
      <c r="F401">
        <f t="shared" si="32"/>
        <v>-187289.68169996201</v>
      </c>
      <c r="G401">
        <f t="shared" si="33"/>
        <v>67033.595399998143</v>
      </c>
      <c r="H401">
        <f t="shared" si="34"/>
        <v>-120256.08629996386</v>
      </c>
    </row>
    <row r="402" spans="1:8" x14ac:dyDescent="0.25">
      <c r="A402" s="1">
        <v>45520</v>
      </c>
      <c r="B402" s="2">
        <v>10.119999999999999</v>
      </c>
      <c r="C402" s="2">
        <v>9.42</v>
      </c>
      <c r="D402">
        <f t="shared" si="30"/>
        <v>-9.0000000000001634</v>
      </c>
      <c r="E402">
        <f t="shared" si="31"/>
        <v>-7.0000000000000284</v>
      </c>
      <c r="F402">
        <f t="shared" si="32"/>
        <v>561869.04509987496</v>
      </c>
      <c r="G402">
        <f t="shared" si="33"/>
        <v>-469235.16779999889</v>
      </c>
      <c r="H402">
        <f t="shared" si="34"/>
        <v>92633.877299876069</v>
      </c>
    </row>
    <row r="403" spans="1:8" x14ac:dyDescent="0.25">
      <c r="A403" s="1">
        <v>45519</v>
      </c>
      <c r="B403" s="2">
        <v>10.210000000000001</v>
      </c>
      <c r="C403" s="2">
        <v>9.49</v>
      </c>
      <c r="D403">
        <f t="shared" si="30"/>
        <v>3.0000000000001137</v>
      </c>
      <c r="E403">
        <f t="shared" si="31"/>
        <v>4.0000000000000924</v>
      </c>
      <c r="F403">
        <f t="shared" si="32"/>
        <v>-187289.68169996201</v>
      </c>
      <c r="G403">
        <f t="shared" si="33"/>
        <v>268134.38160000445</v>
      </c>
      <c r="H403">
        <f t="shared" si="34"/>
        <v>80844.69990004244</v>
      </c>
    </row>
    <row r="404" spans="1:8" x14ac:dyDescent="0.25">
      <c r="A404" s="1">
        <v>45518</v>
      </c>
      <c r="B404" s="2">
        <v>10.18</v>
      </c>
      <c r="C404" s="2">
        <v>9.4499999999999993</v>
      </c>
      <c r="D404">
        <f t="shared" si="30"/>
        <v>6.0000000000000497</v>
      </c>
      <c r="E404">
        <f t="shared" si="31"/>
        <v>1.9999999999999574</v>
      </c>
      <c r="F404">
        <f t="shared" si="32"/>
        <v>-374579.36339991295</v>
      </c>
      <c r="G404">
        <f t="shared" si="33"/>
        <v>134067.19079999629</v>
      </c>
      <c r="H404">
        <f t="shared" si="34"/>
        <v>-240512.17259991667</v>
      </c>
    </row>
    <row r="405" spans="1:8" x14ac:dyDescent="0.25">
      <c r="A405" s="1">
        <v>45517</v>
      </c>
      <c r="B405" s="2">
        <v>10.119999999999999</v>
      </c>
      <c r="C405" s="2">
        <v>9.43</v>
      </c>
      <c r="D405">
        <f t="shared" si="30"/>
        <v>0</v>
      </c>
      <c r="E405">
        <f t="shared" si="31"/>
        <v>0</v>
      </c>
      <c r="F405">
        <f t="shared" si="32"/>
        <v>0</v>
      </c>
      <c r="G405">
        <f t="shared" si="33"/>
        <v>0</v>
      </c>
      <c r="H405">
        <f t="shared" si="34"/>
        <v>0</v>
      </c>
    </row>
    <row r="406" spans="1:8" x14ac:dyDescent="0.25">
      <c r="A406" s="1">
        <v>45516</v>
      </c>
      <c r="B406" s="2">
        <v>10.119999999999999</v>
      </c>
      <c r="C406" s="2">
        <v>9.43</v>
      </c>
      <c r="D406">
        <f t="shared" si="30"/>
        <v>6.9999999999998508</v>
      </c>
      <c r="E406">
        <f t="shared" si="31"/>
        <v>3.9999999999999147</v>
      </c>
      <c r="F406">
        <f t="shared" si="32"/>
        <v>-437009.2572998855</v>
      </c>
      <c r="G406">
        <f t="shared" si="33"/>
        <v>268134.38159999257</v>
      </c>
      <c r="H406">
        <f t="shared" si="34"/>
        <v>-168874.87569989293</v>
      </c>
    </row>
    <row r="407" spans="1:8" x14ac:dyDescent="0.25">
      <c r="A407" s="1">
        <v>45513</v>
      </c>
      <c r="B407" s="2">
        <v>10.050000000000001</v>
      </c>
      <c r="C407" s="2">
        <v>9.39</v>
      </c>
      <c r="D407">
        <f t="shared" si="30"/>
        <v>-9.9999999999999645</v>
      </c>
      <c r="E407">
        <f t="shared" si="31"/>
        <v>-16.999999999999993</v>
      </c>
      <c r="F407">
        <f t="shared" si="32"/>
        <v>624298.93899984751</v>
      </c>
      <c r="G407">
        <f t="shared" si="33"/>
        <v>-1139571.1217999922</v>
      </c>
      <c r="H407">
        <f t="shared" si="34"/>
        <v>-515272.18280014466</v>
      </c>
    </row>
    <row r="408" spans="1:8" x14ac:dyDescent="0.25">
      <c r="A408" s="1">
        <v>45512</v>
      </c>
      <c r="B408" s="2">
        <v>10.15</v>
      </c>
      <c r="C408" s="2">
        <v>9.56</v>
      </c>
      <c r="D408">
        <f t="shared" si="30"/>
        <v>-17.999999999999972</v>
      </c>
      <c r="E408">
        <f t="shared" si="31"/>
        <v>-8.0000000000000071</v>
      </c>
      <c r="F408">
        <f t="shared" si="32"/>
        <v>1123738.0901997278</v>
      </c>
      <c r="G408">
        <f t="shared" si="33"/>
        <v>-536268.76319999702</v>
      </c>
      <c r="H408">
        <f t="shared" si="34"/>
        <v>587469.32699973078</v>
      </c>
    </row>
    <row r="409" spans="1:8" x14ac:dyDescent="0.25">
      <c r="A409" s="1">
        <v>45511</v>
      </c>
      <c r="B409" s="2">
        <v>10.33</v>
      </c>
      <c r="C409" s="2">
        <v>9.64</v>
      </c>
      <c r="D409">
        <f t="shared" si="30"/>
        <v>-8.0000000000000071</v>
      </c>
      <c r="E409">
        <f t="shared" si="31"/>
        <v>-10.999999999999943</v>
      </c>
      <c r="F409">
        <f t="shared" si="32"/>
        <v>499439.15119988023</v>
      </c>
      <c r="G409">
        <f t="shared" si="33"/>
        <v>-737369.5493999914</v>
      </c>
      <c r="H409">
        <f t="shared" si="34"/>
        <v>-237930.39820011117</v>
      </c>
    </row>
    <row r="410" spans="1:8" x14ac:dyDescent="0.25">
      <c r="A410" s="1">
        <v>45510</v>
      </c>
      <c r="B410" s="2">
        <v>10.41</v>
      </c>
      <c r="C410" s="2">
        <v>9.75</v>
      </c>
      <c r="D410">
        <f t="shared" si="30"/>
        <v>8.0000000000000071</v>
      </c>
      <c r="E410">
        <f t="shared" si="31"/>
        <v>5.0000000000000711</v>
      </c>
      <c r="F410">
        <f t="shared" si="32"/>
        <v>-499439.15119988023</v>
      </c>
      <c r="G410">
        <f t="shared" si="33"/>
        <v>335167.97700000263</v>
      </c>
      <c r="H410">
        <f t="shared" si="34"/>
        <v>-164271.1741998776</v>
      </c>
    </row>
    <row r="411" spans="1:8" x14ac:dyDescent="0.25">
      <c r="A411" s="1">
        <v>45509</v>
      </c>
      <c r="B411" s="2">
        <v>10.33</v>
      </c>
      <c r="C411" s="2">
        <v>9.6999999999999993</v>
      </c>
      <c r="D411">
        <f t="shared" si="30"/>
        <v>6.0000000000000497</v>
      </c>
      <c r="E411">
        <f t="shared" si="31"/>
        <v>4.9999999999998934</v>
      </c>
      <c r="F411">
        <f t="shared" si="32"/>
        <v>-374579.36339991295</v>
      </c>
      <c r="G411">
        <f t="shared" si="33"/>
        <v>335167.9769999907</v>
      </c>
      <c r="H411">
        <f t="shared" si="34"/>
        <v>-39411.386399922252</v>
      </c>
    </row>
    <row r="412" spans="1:8" x14ac:dyDescent="0.25">
      <c r="A412" s="1">
        <v>45506</v>
      </c>
      <c r="B412" s="2">
        <v>10.27</v>
      </c>
      <c r="C412" s="2">
        <v>9.65</v>
      </c>
      <c r="D412">
        <f t="shared" si="30"/>
        <v>-21.000000000000085</v>
      </c>
      <c r="E412">
        <f t="shared" si="31"/>
        <v>-16.999999999999993</v>
      </c>
      <c r="F412">
        <f t="shared" si="32"/>
        <v>1311027.7718996897</v>
      </c>
      <c r="G412">
        <f t="shared" si="33"/>
        <v>-1139571.1217999922</v>
      </c>
      <c r="H412">
        <f t="shared" si="34"/>
        <v>171456.65009969752</v>
      </c>
    </row>
    <row r="413" spans="1:8" x14ac:dyDescent="0.25">
      <c r="A413" s="1">
        <v>45505</v>
      </c>
      <c r="B413" s="2">
        <v>10.48</v>
      </c>
      <c r="C413" s="2">
        <v>9.82</v>
      </c>
      <c r="D413">
        <f t="shared" si="30"/>
        <v>-3.9999999999999147</v>
      </c>
      <c r="E413">
        <f t="shared" si="31"/>
        <v>6.0000000000000497</v>
      </c>
      <c r="F413">
        <f t="shared" si="32"/>
        <v>249719.57559993456</v>
      </c>
      <c r="G413">
        <f t="shared" si="33"/>
        <v>402201.57240000076</v>
      </c>
      <c r="H413">
        <f t="shared" si="34"/>
        <v>651921.14799993532</v>
      </c>
    </row>
    <row r="414" spans="1:8" x14ac:dyDescent="0.25">
      <c r="A414" s="1">
        <v>45504</v>
      </c>
      <c r="B414" s="2">
        <v>10.52</v>
      </c>
      <c r="C414" s="2">
        <v>9.76</v>
      </c>
      <c r="D414">
        <f t="shared" si="30"/>
        <v>-6.0000000000000497</v>
      </c>
      <c r="E414">
        <f t="shared" si="31"/>
        <v>-7.0000000000000284</v>
      </c>
      <c r="F414">
        <f t="shared" si="32"/>
        <v>374579.36339991295</v>
      </c>
      <c r="G414">
        <f t="shared" si="33"/>
        <v>-469235.16779999889</v>
      </c>
      <c r="H414">
        <f t="shared" si="34"/>
        <v>-94655.804400085937</v>
      </c>
    </row>
    <row r="415" spans="1:8" x14ac:dyDescent="0.25">
      <c r="A415" s="1">
        <v>45503</v>
      </c>
      <c r="B415" s="2">
        <v>10.58</v>
      </c>
      <c r="C415" s="2">
        <v>9.83</v>
      </c>
      <c r="D415">
        <f t="shared" si="30"/>
        <v>-3.9999999999999147</v>
      </c>
      <c r="E415">
        <f t="shared" si="31"/>
        <v>-1.9999999999999574</v>
      </c>
      <c r="F415">
        <f t="shared" si="32"/>
        <v>249719.57559993456</v>
      </c>
      <c r="G415">
        <f t="shared" si="33"/>
        <v>-134067.19079999629</v>
      </c>
      <c r="H415">
        <f t="shared" si="34"/>
        <v>115652.38479993827</v>
      </c>
    </row>
    <row r="416" spans="1:8" x14ac:dyDescent="0.25">
      <c r="A416" s="1">
        <v>45502</v>
      </c>
      <c r="B416" s="2">
        <v>10.62</v>
      </c>
      <c r="C416" s="2">
        <v>9.85</v>
      </c>
      <c r="D416">
        <f t="shared" si="30"/>
        <v>0</v>
      </c>
      <c r="E416">
        <f t="shared" si="31"/>
        <v>0</v>
      </c>
      <c r="F416">
        <f t="shared" si="32"/>
        <v>0</v>
      </c>
      <c r="G416">
        <f t="shared" si="33"/>
        <v>0</v>
      </c>
      <c r="H416">
        <f t="shared" si="34"/>
        <v>0</v>
      </c>
    </row>
    <row r="417" spans="1:8" x14ac:dyDescent="0.25">
      <c r="A417" s="1">
        <v>45499</v>
      </c>
      <c r="B417" s="2">
        <v>10.62</v>
      </c>
      <c r="C417" s="2">
        <v>9.85</v>
      </c>
      <c r="D417">
        <f t="shared" si="30"/>
        <v>-5.0000000000000711</v>
      </c>
      <c r="E417">
        <f t="shared" si="31"/>
        <v>-9.9999999999999645</v>
      </c>
      <c r="F417">
        <f t="shared" si="32"/>
        <v>312149.46949992928</v>
      </c>
      <c r="G417">
        <f t="shared" si="33"/>
        <v>-670335.95399999327</v>
      </c>
      <c r="H417">
        <f t="shared" si="34"/>
        <v>-358186.48450006399</v>
      </c>
    </row>
    <row r="418" spans="1:8" x14ac:dyDescent="0.25">
      <c r="A418" s="1">
        <v>45498</v>
      </c>
      <c r="B418" s="2">
        <v>10.67</v>
      </c>
      <c r="C418" s="2">
        <v>9.9499999999999993</v>
      </c>
      <c r="D418">
        <f t="shared" si="30"/>
        <v>-4.0000000000000924</v>
      </c>
      <c r="E418">
        <f t="shared" si="31"/>
        <v>-5.0000000000000711</v>
      </c>
      <c r="F418">
        <f t="shared" si="32"/>
        <v>249719.57559994565</v>
      </c>
      <c r="G418">
        <f t="shared" si="33"/>
        <v>-335167.97700000263</v>
      </c>
      <c r="H418">
        <f t="shared" si="34"/>
        <v>-85448.401400056988</v>
      </c>
    </row>
    <row r="419" spans="1:8" x14ac:dyDescent="0.25">
      <c r="A419" s="1">
        <v>45497</v>
      </c>
      <c r="B419" s="2">
        <v>10.71</v>
      </c>
      <c r="C419" s="2">
        <v>10</v>
      </c>
      <c r="D419">
        <f t="shared" si="30"/>
        <v>-5.9999999999998721</v>
      </c>
      <c r="E419">
        <f t="shared" si="31"/>
        <v>-0.99999999999997868</v>
      </c>
      <c r="F419">
        <f t="shared" si="32"/>
        <v>374579.36339990183</v>
      </c>
      <c r="G419">
        <f t="shared" si="33"/>
        <v>-67033.595399998143</v>
      </c>
      <c r="H419">
        <f t="shared" si="34"/>
        <v>307545.76799990371</v>
      </c>
    </row>
    <row r="420" spans="1:8" x14ac:dyDescent="0.25">
      <c r="A420" s="1">
        <v>45496</v>
      </c>
      <c r="B420" s="2">
        <v>10.77</v>
      </c>
      <c r="C420" s="2">
        <v>10.01</v>
      </c>
      <c r="D420">
        <f t="shared" si="30"/>
        <v>4.9999999999998934</v>
      </c>
      <c r="E420">
        <f t="shared" si="31"/>
        <v>7.0000000000000284</v>
      </c>
      <c r="F420">
        <f t="shared" si="32"/>
        <v>-312149.46949991822</v>
      </c>
      <c r="G420">
        <f t="shared" si="33"/>
        <v>469235.16779999889</v>
      </c>
      <c r="H420">
        <f t="shared" si="34"/>
        <v>157085.69830008066</v>
      </c>
    </row>
    <row r="421" spans="1:8" x14ac:dyDescent="0.25">
      <c r="A421" s="1">
        <v>45495</v>
      </c>
      <c r="B421" s="2">
        <v>10.72</v>
      </c>
      <c r="C421" s="2">
        <v>9.94</v>
      </c>
      <c r="D421">
        <f t="shared" si="30"/>
        <v>6.0000000000000497</v>
      </c>
      <c r="E421">
        <f t="shared" si="31"/>
        <v>-3.0000000000001137</v>
      </c>
      <c r="F421">
        <f t="shared" si="32"/>
        <v>-374579.36339991295</v>
      </c>
      <c r="G421">
        <f t="shared" si="33"/>
        <v>-201100.78620000632</v>
      </c>
      <c r="H421">
        <f t="shared" si="34"/>
        <v>-575680.14959991933</v>
      </c>
    </row>
    <row r="422" spans="1:8" x14ac:dyDescent="0.25">
      <c r="A422" s="1">
        <v>45492</v>
      </c>
      <c r="B422" s="2">
        <v>10.66</v>
      </c>
      <c r="C422" s="2">
        <v>9.9700000000000006</v>
      </c>
      <c r="D422">
        <f t="shared" si="30"/>
        <v>-5.0000000000000711</v>
      </c>
      <c r="E422">
        <f t="shared" si="31"/>
        <v>7.0000000000000284</v>
      </c>
      <c r="F422">
        <f t="shared" si="32"/>
        <v>312149.46949992928</v>
      </c>
      <c r="G422">
        <f t="shared" si="33"/>
        <v>469235.16779999889</v>
      </c>
      <c r="H422">
        <f t="shared" si="34"/>
        <v>781384.63729992812</v>
      </c>
    </row>
    <row r="423" spans="1:8" x14ac:dyDescent="0.25">
      <c r="A423" s="1">
        <v>45491</v>
      </c>
      <c r="B423" s="2">
        <v>10.71</v>
      </c>
      <c r="C423" s="2">
        <v>9.9</v>
      </c>
      <c r="D423">
        <f t="shared" si="30"/>
        <v>12.000000000000099</v>
      </c>
      <c r="E423">
        <f t="shared" si="31"/>
        <v>15.000000000000036</v>
      </c>
      <c r="F423">
        <f t="shared" si="32"/>
        <v>-749158.7267998259</v>
      </c>
      <c r="G423">
        <f t="shared" si="33"/>
        <v>1005503.9309999959</v>
      </c>
      <c r="H423">
        <f t="shared" si="34"/>
        <v>256345.20420017</v>
      </c>
    </row>
    <row r="424" spans="1:8" x14ac:dyDescent="0.25">
      <c r="A424" s="1">
        <v>45490</v>
      </c>
      <c r="B424" s="2">
        <v>10.59</v>
      </c>
      <c r="C424" s="2">
        <v>9.75</v>
      </c>
      <c r="D424">
        <f t="shared" si="30"/>
        <v>8.0000000000000071</v>
      </c>
      <c r="E424">
        <f t="shared" si="31"/>
        <v>5.0000000000000711</v>
      </c>
      <c r="F424">
        <f t="shared" si="32"/>
        <v>-499439.15119988023</v>
      </c>
      <c r="G424">
        <f t="shared" si="33"/>
        <v>335167.97700000263</v>
      </c>
      <c r="H424">
        <f t="shared" si="34"/>
        <v>-164271.1741998776</v>
      </c>
    </row>
    <row r="425" spans="1:8" x14ac:dyDescent="0.25">
      <c r="A425" s="1">
        <v>45489</v>
      </c>
      <c r="B425" s="2">
        <v>10.51</v>
      </c>
      <c r="C425" s="2">
        <v>9.6999999999999993</v>
      </c>
      <c r="D425">
        <f t="shared" si="30"/>
        <v>0</v>
      </c>
      <c r="E425">
        <f t="shared" si="31"/>
        <v>-7.0000000000000284</v>
      </c>
      <c r="F425">
        <f t="shared" si="32"/>
        <v>0</v>
      </c>
      <c r="G425">
        <f t="shared" si="33"/>
        <v>-469235.16779999889</v>
      </c>
      <c r="H425">
        <f t="shared" si="34"/>
        <v>-469235.16779999889</v>
      </c>
    </row>
    <row r="426" spans="1:8" x14ac:dyDescent="0.25">
      <c r="A426" s="1">
        <v>45488</v>
      </c>
      <c r="B426" s="2">
        <v>10.51</v>
      </c>
      <c r="C426" s="2">
        <v>9.77</v>
      </c>
      <c r="D426">
        <f t="shared" si="30"/>
        <v>0</v>
      </c>
      <c r="E426">
        <f t="shared" si="31"/>
        <v>2.9999999999999361</v>
      </c>
      <c r="F426">
        <f t="shared" si="32"/>
        <v>0</v>
      </c>
      <c r="G426">
        <f t="shared" si="33"/>
        <v>201100.78619999441</v>
      </c>
      <c r="H426">
        <f t="shared" si="34"/>
        <v>201100.78619999441</v>
      </c>
    </row>
    <row r="427" spans="1:8" x14ac:dyDescent="0.25">
      <c r="A427" s="1">
        <v>45485</v>
      </c>
      <c r="B427" s="2">
        <v>10.51</v>
      </c>
      <c r="C427" s="2">
        <v>9.74</v>
      </c>
      <c r="D427">
        <f t="shared" si="30"/>
        <v>-5.0000000000000711</v>
      </c>
      <c r="E427">
        <f t="shared" si="31"/>
        <v>-1.9999999999999574</v>
      </c>
      <c r="F427">
        <f t="shared" si="32"/>
        <v>312149.46949992928</v>
      </c>
      <c r="G427">
        <f t="shared" si="33"/>
        <v>-134067.19079999629</v>
      </c>
      <c r="H427">
        <f t="shared" si="34"/>
        <v>178082.278699933</v>
      </c>
    </row>
    <row r="428" spans="1:8" x14ac:dyDescent="0.25">
      <c r="A428" s="1">
        <v>45484</v>
      </c>
      <c r="B428" s="2">
        <v>10.56</v>
      </c>
      <c r="C428" s="2">
        <v>9.76</v>
      </c>
      <c r="D428">
        <f t="shared" si="30"/>
        <v>-15.000000000000036</v>
      </c>
      <c r="E428">
        <f t="shared" si="31"/>
        <v>-12.000000000000099</v>
      </c>
      <c r="F428">
        <f t="shared" si="32"/>
        <v>936448.40849977673</v>
      </c>
      <c r="G428">
        <f t="shared" si="33"/>
        <v>-804403.14480000152</v>
      </c>
      <c r="H428">
        <f t="shared" si="34"/>
        <v>132045.26369977521</v>
      </c>
    </row>
    <row r="429" spans="1:8" x14ac:dyDescent="0.25">
      <c r="A429" s="1">
        <v>45483</v>
      </c>
      <c r="B429" s="2">
        <v>10.71</v>
      </c>
      <c r="C429" s="2">
        <v>9.8800000000000008</v>
      </c>
      <c r="D429">
        <f t="shared" si="30"/>
        <v>-11.999999999999922</v>
      </c>
      <c r="E429">
        <f t="shared" si="31"/>
        <v>-9.9999999999999645</v>
      </c>
      <c r="F429">
        <f t="shared" si="32"/>
        <v>749158.72679981473</v>
      </c>
      <c r="G429">
        <f t="shared" si="33"/>
        <v>-670335.95399999327</v>
      </c>
      <c r="H429">
        <f t="shared" si="34"/>
        <v>78822.772799821454</v>
      </c>
    </row>
    <row r="430" spans="1:8" x14ac:dyDescent="0.25">
      <c r="A430" s="1">
        <v>45482</v>
      </c>
      <c r="B430" s="2">
        <v>10.83</v>
      </c>
      <c r="C430" s="2">
        <v>9.98</v>
      </c>
      <c r="D430">
        <f t="shared" si="30"/>
        <v>5.0000000000000711</v>
      </c>
      <c r="E430">
        <f t="shared" si="31"/>
        <v>3.0000000000001137</v>
      </c>
      <c r="F430">
        <f t="shared" si="32"/>
        <v>-312149.46949992928</v>
      </c>
      <c r="G430">
        <f t="shared" si="33"/>
        <v>201100.78620000632</v>
      </c>
      <c r="H430">
        <f t="shared" si="34"/>
        <v>-111048.68329992297</v>
      </c>
    </row>
    <row r="431" spans="1:8" x14ac:dyDescent="0.25">
      <c r="A431" s="1">
        <v>45481</v>
      </c>
      <c r="B431" s="2">
        <v>10.78</v>
      </c>
      <c r="C431" s="2">
        <v>9.9499999999999993</v>
      </c>
      <c r="D431">
        <f t="shared" si="30"/>
        <v>4.9999999999998934</v>
      </c>
      <c r="E431">
        <f t="shared" si="31"/>
        <v>-1.0000000000001563</v>
      </c>
      <c r="F431">
        <f t="shared" si="32"/>
        <v>-312149.46949991822</v>
      </c>
      <c r="G431">
        <f t="shared" si="33"/>
        <v>-67033.595400010046</v>
      </c>
      <c r="H431">
        <f t="shared" si="34"/>
        <v>-379183.06489992829</v>
      </c>
    </row>
    <row r="432" spans="1:8" x14ac:dyDescent="0.25">
      <c r="A432" s="1">
        <v>45478</v>
      </c>
      <c r="B432" s="2">
        <v>10.73</v>
      </c>
      <c r="C432" s="2">
        <v>9.9600000000000009</v>
      </c>
      <c r="D432">
        <f t="shared" si="30"/>
        <v>3.0000000000001137</v>
      </c>
      <c r="E432">
        <f t="shared" si="31"/>
        <v>-1.9999999999999574</v>
      </c>
      <c r="F432">
        <f t="shared" si="32"/>
        <v>-187289.68169996201</v>
      </c>
      <c r="G432">
        <f t="shared" si="33"/>
        <v>-134067.19079999629</v>
      </c>
      <c r="H432">
        <f t="shared" si="34"/>
        <v>-321356.87249995826</v>
      </c>
    </row>
    <row r="433" spans="1:8" x14ac:dyDescent="0.25">
      <c r="A433" s="1">
        <v>45477</v>
      </c>
      <c r="B433" s="2">
        <v>10.7</v>
      </c>
      <c r="C433" s="2">
        <v>9.98</v>
      </c>
      <c r="D433">
        <f t="shared" si="30"/>
        <v>-4.0000000000000924</v>
      </c>
      <c r="E433">
        <f t="shared" si="31"/>
        <v>4.0000000000000924</v>
      </c>
      <c r="F433">
        <f t="shared" si="32"/>
        <v>249719.57559994565</v>
      </c>
      <c r="G433">
        <f t="shared" si="33"/>
        <v>268134.38160000445</v>
      </c>
      <c r="H433">
        <f t="shared" si="34"/>
        <v>517853.95719995012</v>
      </c>
    </row>
    <row r="434" spans="1:8" x14ac:dyDescent="0.25">
      <c r="A434" s="1">
        <v>45476</v>
      </c>
      <c r="B434" s="2">
        <v>10.74</v>
      </c>
      <c r="C434" s="2">
        <v>9.94</v>
      </c>
      <c r="D434">
        <f t="shared" si="30"/>
        <v>-6.0000000000000497</v>
      </c>
      <c r="E434">
        <f t="shared" si="31"/>
        <v>-5.0000000000000711</v>
      </c>
      <c r="F434">
        <f t="shared" si="32"/>
        <v>374579.36339991295</v>
      </c>
      <c r="G434">
        <f t="shared" si="33"/>
        <v>-335167.97700000263</v>
      </c>
      <c r="H434">
        <f t="shared" si="34"/>
        <v>39411.38639991032</v>
      </c>
    </row>
    <row r="435" spans="1:8" x14ac:dyDescent="0.25">
      <c r="A435" s="1">
        <v>45475</v>
      </c>
      <c r="B435" s="2">
        <v>10.8</v>
      </c>
      <c r="C435" s="2">
        <v>9.99</v>
      </c>
      <c r="D435">
        <f t="shared" si="30"/>
        <v>10.000000000000142</v>
      </c>
      <c r="E435">
        <f t="shared" si="31"/>
        <v>2.9999999999999361</v>
      </c>
      <c r="F435">
        <f t="shared" si="32"/>
        <v>-624298.93899985857</v>
      </c>
      <c r="G435">
        <f t="shared" si="33"/>
        <v>201100.78619999441</v>
      </c>
      <c r="H435">
        <f t="shared" si="34"/>
        <v>-423198.15279986418</v>
      </c>
    </row>
    <row r="436" spans="1:8" x14ac:dyDescent="0.25">
      <c r="A436" s="1">
        <v>45474</v>
      </c>
      <c r="B436" s="2">
        <v>10.7</v>
      </c>
      <c r="C436" s="2">
        <v>9.9600000000000009</v>
      </c>
      <c r="D436">
        <f t="shared" si="30"/>
        <v>8.9999999999999858</v>
      </c>
      <c r="E436">
        <f t="shared" si="31"/>
        <v>7.0000000000000284</v>
      </c>
      <c r="F436">
        <f t="shared" si="32"/>
        <v>-561869.0450998639</v>
      </c>
      <c r="G436">
        <f t="shared" si="33"/>
        <v>469235.16779999889</v>
      </c>
      <c r="H436">
        <f t="shared" si="34"/>
        <v>-92633.877299865009</v>
      </c>
    </row>
    <row r="437" spans="1:8" x14ac:dyDescent="0.25">
      <c r="A437" s="1">
        <v>45471</v>
      </c>
      <c r="B437" s="2">
        <v>10.61</v>
      </c>
      <c r="C437" s="2">
        <v>9.89</v>
      </c>
      <c r="D437">
        <f t="shared" si="30"/>
        <v>-4.0000000000000924</v>
      </c>
      <c r="E437">
        <f t="shared" si="31"/>
        <v>0</v>
      </c>
      <c r="F437">
        <f t="shared" si="32"/>
        <v>249719.57559994565</v>
      </c>
      <c r="G437">
        <f t="shared" si="33"/>
        <v>0</v>
      </c>
      <c r="H437">
        <f t="shared" si="34"/>
        <v>249719.57559994565</v>
      </c>
    </row>
    <row r="438" spans="1:8" x14ac:dyDescent="0.25">
      <c r="A438" s="1">
        <v>45470</v>
      </c>
      <c r="B438" s="2">
        <v>10.65</v>
      </c>
      <c r="C438" s="2">
        <v>9.89</v>
      </c>
      <c r="D438">
        <f t="shared" si="30"/>
        <v>-8.0000000000000071</v>
      </c>
      <c r="E438">
        <f t="shared" si="31"/>
        <v>-4.9999999999998934</v>
      </c>
      <c r="F438">
        <f t="shared" si="32"/>
        <v>499439.15119988023</v>
      </c>
      <c r="G438">
        <f t="shared" si="33"/>
        <v>-335167.9769999907</v>
      </c>
      <c r="H438">
        <f t="shared" si="34"/>
        <v>164271.17419988953</v>
      </c>
    </row>
    <row r="439" spans="1:8" x14ac:dyDescent="0.25">
      <c r="A439" s="1">
        <v>45469</v>
      </c>
      <c r="B439" s="2">
        <v>10.73</v>
      </c>
      <c r="C439" s="2">
        <v>9.94</v>
      </c>
      <c r="D439">
        <f t="shared" si="30"/>
        <v>-0.99999999999997868</v>
      </c>
      <c r="E439">
        <f t="shared" si="31"/>
        <v>2.9999999999999361</v>
      </c>
      <c r="F439">
        <f t="shared" si="32"/>
        <v>62429.893899983639</v>
      </c>
      <c r="G439">
        <f t="shared" si="33"/>
        <v>201100.78619999441</v>
      </c>
      <c r="H439">
        <f t="shared" si="34"/>
        <v>263530.68009997805</v>
      </c>
    </row>
    <row r="440" spans="1:8" x14ac:dyDescent="0.25">
      <c r="A440" s="1">
        <v>45468</v>
      </c>
      <c r="B440" s="2">
        <v>10.74</v>
      </c>
      <c r="C440" s="2">
        <v>9.91</v>
      </c>
      <c r="D440">
        <f t="shared" si="30"/>
        <v>-8.0000000000000071</v>
      </c>
      <c r="E440">
        <f t="shared" si="31"/>
        <v>0.99999999999997868</v>
      </c>
      <c r="F440">
        <f t="shared" si="32"/>
        <v>499439.15119988023</v>
      </c>
      <c r="G440">
        <f t="shared" si="33"/>
        <v>67033.595399998143</v>
      </c>
      <c r="H440">
        <f t="shared" si="34"/>
        <v>566472.74659987842</v>
      </c>
    </row>
    <row r="441" spans="1:8" x14ac:dyDescent="0.25">
      <c r="A441" s="1">
        <v>45467</v>
      </c>
      <c r="B441" s="2">
        <v>10.82</v>
      </c>
      <c r="C441" s="2">
        <v>9.9</v>
      </c>
      <c r="D441">
        <f t="shared" si="30"/>
        <v>-1.9999999999999574</v>
      </c>
      <c r="E441">
        <f t="shared" si="31"/>
        <v>-4.9999999999998934</v>
      </c>
      <c r="F441">
        <f t="shared" si="32"/>
        <v>124859.78779996728</v>
      </c>
      <c r="G441">
        <f t="shared" si="33"/>
        <v>-335167.9769999907</v>
      </c>
      <c r="H441">
        <f t="shared" si="34"/>
        <v>-210308.18920002342</v>
      </c>
    </row>
    <row r="442" spans="1:8" x14ac:dyDescent="0.25">
      <c r="A442" s="1">
        <v>45464</v>
      </c>
      <c r="B442" s="2">
        <v>10.84</v>
      </c>
      <c r="C442" s="2">
        <v>9.9499999999999993</v>
      </c>
      <c r="D442">
        <f t="shared" si="30"/>
        <v>-8.0000000000000071</v>
      </c>
      <c r="E442">
        <f t="shared" si="31"/>
        <v>0.99999999999997868</v>
      </c>
      <c r="F442">
        <f t="shared" si="32"/>
        <v>499439.15119988023</v>
      </c>
      <c r="G442">
        <f t="shared" si="33"/>
        <v>67033.595399998143</v>
      </c>
      <c r="H442">
        <f t="shared" si="34"/>
        <v>566472.74659987842</v>
      </c>
    </row>
    <row r="443" spans="1:8" x14ac:dyDescent="0.25">
      <c r="A443" s="1">
        <v>45463</v>
      </c>
      <c r="B443" s="2">
        <v>10.92</v>
      </c>
      <c r="C443" s="2">
        <v>9.94</v>
      </c>
      <c r="D443">
        <f t="shared" si="30"/>
        <v>-0.99999999999997868</v>
      </c>
      <c r="E443">
        <f t="shared" si="31"/>
        <v>-7.0000000000000284</v>
      </c>
      <c r="F443">
        <f t="shared" si="32"/>
        <v>62429.893899983639</v>
      </c>
      <c r="G443">
        <f t="shared" si="33"/>
        <v>-469235.16779999889</v>
      </c>
      <c r="H443">
        <f t="shared" si="34"/>
        <v>-406805.27390001528</v>
      </c>
    </row>
    <row r="444" spans="1:8" x14ac:dyDescent="0.25">
      <c r="A444" s="1">
        <v>45462</v>
      </c>
      <c r="B444" s="2">
        <v>10.93</v>
      </c>
      <c r="C444" s="2">
        <v>10.01</v>
      </c>
      <c r="D444">
        <f t="shared" si="30"/>
        <v>0.99999999999997868</v>
      </c>
      <c r="E444">
        <f t="shared" si="31"/>
        <v>0</v>
      </c>
      <c r="F444">
        <f t="shared" si="32"/>
        <v>-62429.893899983639</v>
      </c>
      <c r="G444">
        <f t="shared" si="33"/>
        <v>0</v>
      </c>
      <c r="H444">
        <f t="shared" si="34"/>
        <v>-62429.893899983639</v>
      </c>
    </row>
    <row r="445" spans="1:8" x14ac:dyDescent="0.25">
      <c r="A445" s="1">
        <v>45461</v>
      </c>
      <c r="B445" s="2">
        <v>10.92</v>
      </c>
      <c r="C445" s="2">
        <v>10.01</v>
      </c>
      <c r="D445">
        <f t="shared" si="30"/>
        <v>-8.0000000000000071</v>
      </c>
      <c r="E445">
        <f t="shared" si="31"/>
        <v>-17.999999999999972</v>
      </c>
      <c r="F445">
        <f t="shared" si="32"/>
        <v>499439.15119988023</v>
      </c>
      <c r="G445">
        <f t="shared" si="33"/>
        <v>-1206604.7171999903</v>
      </c>
      <c r="H445">
        <f t="shared" si="34"/>
        <v>-707165.56600011</v>
      </c>
    </row>
    <row r="446" spans="1:8" x14ac:dyDescent="0.25">
      <c r="A446" s="1">
        <v>45460</v>
      </c>
      <c r="B446" s="2">
        <v>11</v>
      </c>
      <c r="C446" s="2">
        <v>10.19</v>
      </c>
      <c r="D446">
        <f t="shared" si="30"/>
        <v>13.000000000000078</v>
      </c>
      <c r="E446">
        <f t="shared" si="31"/>
        <v>8.0000000000000071</v>
      </c>
      <c r="F446">
        <f t="shared" si="32"/>
        <v>-811588.62069980951</v>
      </c>
      <c r="G446">
        <f t="shared" si="33"/>
        <v>536268.76319999702</v>
      </c>
      <c r="H446">
        <f t="shared" si="34"/>
        <v>-275319.8574998125</v>
      </c>
    </row>
    <row r="447" spans="1:8" x14ac:dyDescent="0.25">
      <c r="A447" s="1">
        <v>45457</v>
      </c>
      <c r="B447" s="2">
        <v>10.87</v>
      </c>
      <c r="C447" s="2">
        <v>10.11</v>
      </c>
      <c r="D447">
        <f t="shared" si="30"/>
        <v>-1.0000000000001563</v>
      </c>
      <c r="E447">
        <f t="shared" si="31"/>
        <v>-4.0000000000000924</v>
      </c>
      <c r="F447">
        <f t="shared" si="32"/>
        <v>62429.893899994728</v>
      </c>
      <c r="G447">
        <f t="shared" si="33"/>
        <v>-268134.38160000445</v>
      </c>
      <c r="H447">
        <f t="shared" si="34"/>
        <v>-205704.48770000972</v>
      </c>
    </row>
    <row r="448" spans="1:8" x14ac:dyDescent="0.25">
      <c r="A448" s="1">
        <v>45456</v>
      </c>
      <c r="B448" s="2">
        <v>10.88</v>
      </c>
      <c r="C448" s="2">
        <v>10.15</v>
      </c>
      <c r="D448">
        <f t="shared" si="30"/>
        <v>-5.9999999999998721</v>
      </c>
      <c r="E448">
        <f t="shared" si="31"/>
        <v>-18.99999999999995</v>
      </c>
      <c r="F448">
        <f t="shared" si="32"/>
        <v>374579.36339990183</v>
      </c>
      <c r="G448">
        <f t="shared" si="33"/>
        <v>-1273638.3125999884</v>
      </c>
      <c r="H448">
        <f t="shared" si="34"/>
        <v>-899058.94920008653</v>
      </c>
    </row>
    <row r="449" spans="1:8" x14ac:dyDescent="0.25">
      <c r="A449" s="1">
        <v>45455</v>
      </c>
      <c r="B449" s="2">
        <v>10.94</v>
      </c>
      <c r="C449" s="2">
        <v>10.34</v>
      </c>
      <c r="D449">
        <f t="shared" si="30"/>
        <v>-5.0000000000000711</v>
      </c>
      <c r="E449">
        <f t="shared" si="31"/>
        <v>-8.9999999999999858</v>
      </c>
      <c r="F449">
        <f t="shared" si="32"/>
        <v>312149.46949992928</v>
      </c>
      <c r="G449">
        <f t="shared" si="33"/>
        <v>-603302.35859999515</v>
      </c>
      <c r="H449">
        <f t="shared" si="34"/>
        <v>-291152.88910006586</v>
      </c>
    </row>
    <row r="450" spans="1:8" x14ac:dyDescent="0.25">
      <c r="A450" s="1">
        <v>45454</v>
      </c>
      <c r="B450" s="2">
        <v>10.99</v>
      </c>
      <c r="C450" s="2">
        <v>10.43</v>
      </c>
      <c r="D450">
        <f t="shared" si="30"/>
        <v>15.000000000000036</v>
      </c>
      <c r="E450">
        <f t="shared" si="31"/>
        <v>21.999999999999886</v>
      </c>
      <c r="F450">
        <f t="shared" si="32"/>
        <v>-936448.40849977673</v>
      </c>
      <c r="G450">
        <f t="shared" si="33"/>
        <v>1474739.0987999828</v>
      </c>
      <c r="H450">
        <f t="shared" si="34"/>
        <v>538290.69030020607</v>
      </c>
    </row>
    <row r="451" spans="1:8" x14ac:dyDescent="0.25">
      <c r="A451" s="1">
        <v>45453</v>
      </c>
      <c r="B451" s="2">
        <v>10.84</v>
      </c>
      <c r="C451" s="2">
        <v>10.210000000000001</v>
      </c>
      <c r="D451">
        <f t="shared" ref="D451:D514" si="35">(B451-B452)*100</f>
        <v>5.0000000000000711</v>
      </c>
      <c r="E451">
        <f t="shared" ref="E451:E514" si="36">(C451-C452)*100</f>
        <v>4.0000000000000924</v>
      </c>
      <c r="F451">
        <f t="shared" ref="F451:F514" si="37">-D451*$R$3</f>
        <v>-312149.46949992928</v>
      </c>
      <c r="G451">
        <f t="shared" ref="G451:G514" si="38">-E451*$R$4</f>
        <v>268134.38160000445</v>
      </c>
      <c r="H451">
        <f t="shared" ref="H451:H514" si="39">F451+G451</f>
        <v>-44015.087899924838</v>
      </c>
    </row>
    <row r="452" spans="1:8" x14ac:dyDescent="0.25">
      <c r="A452" s="1">
        <v>45450</v>
      </c>
      <c r="B452" s="2">
        <v>10.79</v>
      </c>
      <c r="C452" s="2">
        <v>10.17</v>
      </c>
      <c r="D452">
        <f t="shared" si="35"/>
        <v>18.99999999999995</v>
      </c>
      <c r="E452">
        <f t="shared" si="36"/>
        <v>42.999999999999972</v>
      </c>
      <c r="F452">
        <f t="shared" si="37"/>
        <v>-1186167.9840997113</v>
      </c>
      <c r="G452">
        <f t="shared" si="38"/>
        <v>2882444.6021999796</v>
      </c>
      <c r="H452">
        <f t="shared" si="39"/>
        <v>1696276.6181002683</v>
      </c>
    </row>
    <row r="453" spans="1:8" x14ac:dyDescent="0.25">
      <c r="A453" s="1">
        <v>45449</v>
      </c>
      <c r="B453" s="2">
        <v>10.6</v>
      </c>
      <c r="C453" s="2">
        <v>9.74</v>
      </c>
      <c r="D453">
        <f t="shared" si="35"/>
        <v>0.99999999999997868</v>
      </c>
      <c r="E453">
        <f t="shared" si="36"/>
        <v>-4.9999999999998934</v>
      </c>
      <c r="F453">
        <f t="shared" si="37"/>
        <v>-62429.893899983639</v>
      </c>
      <c r="G453">
        <f t="shared" si="38"/>
        <v>-335167.9769999907</v>
      </c>
      <c r="H453">
        <f t="shared" si="39"/>
        <v>-397597.87089997437</v>
      </c>
    </row>
    <row r="454" spans="1:8" x14ac:dyDescent="0.25">
      <c r="A454" s="1">
        <v>45448</v>
      </c>
      <c r="B454" s="2">
        <v>10.59</v>
      </c>
      <c r="C454" s="2">
        <v>9.7899999999999991</v>
      </c>
      <c r="D454">
        <f t="shared" si="35"/>
        <v>-9.9999999999999645</v>
      </c>
      <c r="E454">
        <f t="shared" si="36"/>
        <v>-12.000000000000099</v>
      </c>
      <c r="F454">
        <f t="shared" si="37"/>
        <v>624298.93899984751</v>
      </c>
      <c r="G454">
        <f t="shared" si="38"/>
        <v>-804403.14480000152</v>
      </c>
      <c r="H454">
        <f t="shared" si="39"/>
        <v>-180104.20580015401</v>
      </c>
    </row>
    <row r="455" spans="1:8" x14ac:dyDescent="0.25">
      <c r="A455" s="1">
        <v>45447</v>
      </c>
      <c r="B455" s="2">
        <v>10.69</v>
      </c>
      <c r="C455" s="2">
        <v>9.91</v>
      </c>
      <c r="D455">
        <f t="shared" si="35"/>
        <v>-3.0000000000001137</v>
      </c>
      <c r="E455">
        <f t="shared" si="36"/>
        <v>1.9999999999999574</v>
      </c>
      <c r="F455">
        <f t="shared" si="37"/>
        <v>187289.68169996201</v>
      </c>
      <c r="G455">
        <f t="shared" si="38"/>
        <v>134067.19079999629</v>
      </c>
      <c r="H455">
        <f t="shared" si="39"/>
        <v>321356.87249995826</v>
      </c>
    </row>
    <row r="456" spans="1:8" x14ac:dyDescent="0.25">
      <c r="A456" s="1">
        <v>45446</v>
      </c>
      <c r="B456" s="2">
        <v>10.72</v>
      </c>
      <c r="C456" s="2">
        <v>9.89</v>
      </c>
      <c r="D456">
        <f t="shared" si="35"/>
        <v>10.000000000000142</v>
      </c>
      <c r="E456">
        <f t="shared" si="36"/>
        <v>14.000000000000057</v>
      </c>
      <c r="F456">
        <f t="shared" si="37"/>
        <v>-624298.93899985857</v>
      </c>
      <c r="G456">
        <f t="shared" si="38"/>
        <v>938470.33559999778</v>
      </c>
      <c r="H456">
        <f t="shared" si="39"/>
        <v>314171.39660013921</v>
      </c>
    </row>
    <row r="457" spans="1:8" x14ac:dyDescent="0.25">
      <c r="A457" s="1">
        <v>45443</v>
      </c>
      <c r="B457" s="2">
        <v>10.62</v>
      </c>
      <c r="C457" s="2">
        <v>9.75</v>
      </c>
      <c r="D457">
        <f t="shared" si="35"/>
        <v>-1.0000000000001563</v>
      </c>
      <c r="E457">
        <f t="shared" si="36"/>
        <v>-5.0000000000000711</v>
      </c>
      <c r="F457">
        <f t="shared" si="37"/>
        <v>62429.893899994728</v>
      </c>
      <c r="G457">
        <f t="shared" si="38"/>
        <v>-335167.97700000263</v>
      </c>
      <c r="H457">
        <f t="shared" si="39"/>
        <v>-272738.08310000791</v>
      </c>
    </row>
    <row r="458" spans="1:8" x14ac:dyDescent="0.25">
      <c r="A458" s="1">
        <v>45442</v>
      </c>
      <c r="B458" s="2">
        <v>10.63</v>
      </c>
      <c r="C458" s="2">
        <v>9.8000000000000007</v>
      </c>
      <c r="D458">
        <f t="shared" si="35"/>
        <v>1.0000000000001563</v>
      </c>
      <c r="E458">
        <f t="shared" si="36"/>
        <v>-0.99999999999997868</v>
      </c>
      <c r="F458">
        <f t="shared" si="37"/>
        <v>-62429.893899994728</v>
      </c>
      <c r="G458">
        <f t="shared" si="38"/>
        <v>-67033.595399998143</v>
      </c>
      <c r="H458">
        <f t="shared" si="39"/>
        <v>-129463.48929999287</v>
      </c>
    </row>
    <row r="459" spans="1:8" x14ac:dyDescent="0.25">
      <c r="A459" s="1">
        <v>45441</v>
      </c>
      <c r="B459" s="2">
        <v>10.62</v>
      </c>
      <c r="C459" s="2">
        <v>9.81</v>
      </c>
      <c r="D459">
        <f t="shared" si="35"/>
        <v>0</v>
      </c>
      <c r="E459">
        <f t="shared" si="36"/>
        <v>4.0000000000000924</v>
      </c>
      <c r="F459">
        <f t="shared" si="37"/>
        <v>0</v>
      </c>
      <c r="G459">
        <f t="shared" si="38"/>
        <v>268134.38160000445</v>
      </c>
      <c r="H459">
        <f t="shared" si="39"/>
        <v>268134.38160000445</v>
      </c>
    </row>
    <row r="460" spans="1:8" x14ac:dyDescent="0.25">
      <c r="A460" s="1">
        <v>45440</v>
      </c>
      <c r="B460" s="2">
        <v>10.62</v>
      </c>
      <c r="C460" s="2">
        <v>9.77</v>
      </c>
      <c r="D460">
        <f t="shared" si="35"/>
        <v>0.99999999999997868</v>
      </c>
      <c r="E460">
        <f t="shared" si="36"/>
        <v>4.9999999999998934</v>
      </c>
      <c r="F460">
        <f t="shared" si="37"/>
        <v>-62429.893899983639</v>
      </c>
      <c r="G460">
        <f t="shared" si="38"/>
        <v>335167.9769999907</v>
      </c>
      <c r="H460">
        <f t="shared" si="39"/>
        <v>272738.08310000703</v>
      </c>
    </row>
    <row r="461" spans="1:8" x14ac:dyDescent="0.25">
      <c r="A461" s="1">
        <v>45439</v>
      </c>
      <c r="B461" s="2">
        <v>10.61</v>
      </c>
      <c r="C461" s="2">
        <v>9.7200000000000006</v>
      </c>
      <c r="D461">
        <f t="shared" si="35"/>
        <v>0</v>
      </c>
      <c r="E461">
        <f t="shared" si="36"/>
        <v>-0.99999999999997868</v>
      </c>
      <c r="F461">
        <f t="shared" si="37"/>
        <v>0</v>
      </c>
      <c r="G461">
        <f t="shared" si="38"/>
        <v>-67033.595399998143</v>
      </c>
      <c r="H461">
        <f t="shared" si="39"/>
        <v>-67033.595399998143</v>
      </c>
    </row>
    <row r="462" spans="1:8" x14ac:dyDescent="0.25">
      <c r="A462" s="1">
        <v>45436</v>
      </c>
      <c r="B462" s="2">
        <v>10.61</v>
      </c>
      <c r="C462" s="2">
        <v>9.73</v>
      </c>
      <c r="D462">
        <f t="shared" si="35"/>
        <v>-3.0000000000001137</v>
      </c>
      <c r="E462">
        <f t="shared" si="36"/>
        <v>-0.99999999999997868</v>
      </c>
      <c r="F462">
        <f t="shared" si="37"/>
        <v>187289.68169996201</v>
      </c>
      <c r="G462">
        <f t="shared" si="38"/>
        <v>-67033.595399998143</v>
      </c>
      <c r="H462">
        <f t="shared" si="39"/>
        <v>120256.08629996386</v>
      </c>
    </row>
    <row r="463" spans="1:8" x14ac:dyDescent="0.25">
      <c r="A463" s="1">
        <v>45435</v>
      </c>
      <c r="B463" s="2">
        <v>10.64</v>
      </c>
      <c r="C463" s="2">
        <v>9.74</v>
      </c>
      <c r="D463">
        <f t="shared" si="35"/>
        <v>3.0000000000001137</v>
      </c>
      <c r="E463">
        <f t="shared" si="36"/>
        <v>4.0000000000000924</v>
      </c>
      <c r="F463">
        <f t="shared" si="37"/>
        <v>-187289.68169996201</v>
      </c>
      <c r="G463">
        <f t="shared" si="38"/>
        <v>268134.38160000445</v>
      </c>
      <c r="H463">
        <f t="shared" si="39"/>
        <v>80844.69990004244</v>
      </c>
    </row>
    <row r="464" spans="1:8" x14ac:dyDescent="0.25">
      <c r="A464" s="1">
        <v>45434</v>
      </c>
      <c r="B464" s="2">
        <v>10.61</v>
      </c>
      <c r="C464" s="2">
        <v>9.6999999999999993</v>
      </c>
      <c r="D464">
        <f t="shared" si="35"/>
        <v>5.9999999999998721</v>
      </c>
      <c r="E464">
        <f t="shared" si="36"/>
        <v>2.9999999999999361</v>
      </c>
      <c r="F464">
        <f t="shared" si="37"/>
        <v>-374579.36339990183</v>
      </c>
      <c r="G464">
        <f t="shared" si="38"/>
        <v>201100.78619999441</v>
      </c>
      <c r="H464">
        <f t="shared" si="39"/>
        <v>-173478.57719990742</v>
      </c>
    </row>
    <row r="465" spans="1:8" x14ac:dyDescent="0.25">
      <c r="A465" s="1">
        <v>45433</v>
      </c>
      <c r="B465" s="2">
        <v>10.55</v>
      </c>
      <c r="C465" s="2">
        <v>9.67</v>
      </c>
      <c r="D465">
        <f t="shared" si="35"/>
        <v>-2.9999999999999361</v>
      </c>
      <c r="E465">
        <f t="shared" si="36"/>
        <v>-1.9999999999999574</v>
      </c>
      <c r="F465">
        <f t="shared" si="37"/>
        <v>187289.68169995092</v>
      </c>
      <c r="G465">
        <f t="shared" si="38"/>
        <v>-134067.19079999629</v>
      </c>
      <c r="H465">
        <f t="shared" si="39"/>
        <v>53222.490899954631</v>
      </c>
    </row>
    <row r="466" spans="1:8" x14ac:dyDescent="0.25">
      <c r="A466" s="1">
        <v>45432</v>
      </c>
      <c r="B466" s="2">
        <v>10.58</v>
      </c>
      <c r="C466" s="2">
        <v>9.69</v>
      </c>
      <c r="D466">
        <f t="shared" si="35"/>
        <v>1.9999999999999574</v>
      </c>
      <c r="E466">
        <f t="shared" si="36"/>
        <v>2.9999999999999361</v>
      </c>
      <c r="F466">
        <f t="shared" si="37"/>
        <v>-124859.78779996728</v>
      </c>
      <c r="G466">
        <f t="shared" si="38"/>
        <v>201100.78619999441</v>
      </c>
      <c r="H466">
        <f t="shared" si="39"/>
        <v>76240.998400027136</v>
      </c>
    </row>
    <row r="467" spans="1:8" x14ac:dyDescent="0.25">
      <c r="A467" s="1">
        <v>45429</v>
      </c>
      <c r="B467" s="2">
        <v>10.56</v>
      </c>
      <c r="C467" s="2">
        <v>9.66</v>
      </c>
      <c r="D467">
        <f t="shared" si="35"/>
        <v>0.99999999999997868</v>
      </c>
      <c r="E467">
        <f t="shared" si="36"/>
        <v>1.9999999999999574</v>
      </c>
      <c r="F467">
        <f t="shared" si="37"/>
        <v>-62429.893899983639</v>
      </c>
      <c r="G467">
        <f t="shared" si="38"/>
        <v>134067.19079999629</v>
      </c>
      <c r="H467">
        <f t="shared" si="39"/>
        <v>71637.296900012647</v>
      </c>
    </row>
    <row r="468" spans="1:8" x14ac:dyDescent="0.25">
      <c r="A468" s="1">
        <v>45428</v>
      </c>
      <c r="B468" s="2">
        <v>10.55</v>
      </c>
      <c r="C468" s="2">
        <v>9.64</v>
      </c>
      <c r="D468">
        <f t="shared" si="35"/>
        <v>7.0000000000000284</v>
      </c>
      <c r="E468">
        <f t="shared" si="36"/>
        <v>2.000000000000135</v>
      </c>
      <c r="F468">
        <f t="shared" si="37"/>
        <v>-437009.25729989656</v>
      </c>
      <c r="G468">
        <f t="shared" si="38"/>
        <v>134067.19080000819</v>
      </c>
      <c r="H468">
        <f t="shared" si="39"/>
        <v>-302942.06649988837</v>
      </c>
    </row>
    <row r="469" spans="1:8" x14ac:dyDescent="0.25">
      <c r="A469" s="1">
        <v>45427</v>
      </c>
      <c r="B469" s="2">
        <v>10.48</v>
      </c>
      <c r="C469" s="2">
        <v>9.6199999999999992</v>
      </c>
      <c r="D469">
        <f t="shared" si="35"/>
        <v>-8.0000000000000071</v>
      </c>
      <c r="E469">
        <f t="shared" si="36"/>
        <v>-8.0000000000000071</v>
      </c>
      <c r="F469">
        <f t="shared" si="37"/>
        <v>499439.15119988023</v>
      </c>
      <c r="G469">
        <f t="shared" si="38"/>
        <v>-536268.76319999702</v>
      </c>
      <c r="H469">
        <f t="shared" si="39"/>
        <v>-36829.612000116787</v>
      </c>
    </row>
    <row r="470" spans="1:8" x14ac:dyDescent="0.25">
      <c r="A470" s="1">
        <v>45426</v>
      </c>
      <c r="B470" s="2">
        <v>10.56</v>
      </c>
      <c r="C470" s="2">
        <v>9.6999999999999993</v>
      </c>
      <c r="D470">
        <f t="shared" si="35"/>
        <v>-2.9999999999999361</v>
      </c>
      <c r="E470">
        <f t="shared" si="36"/>
        <v>-3.0000000000001137</v>
      </c>
      <c r="F470">
        <f t="shared" si="37"/>
        <v>187289.68169995092</v>
      </c>
      <c r="G470">
        <f t="shared" si="38"/>
        <v>-201100.78620000632</v>
      </c>
      <c r="H470">
        <f t="shared" si="39"/>
        <v>-13811.1045000554</v>
      </c>
    </row>
    <row r="471" spans="1:8" x14ac:dyDescent="0.25">
      <c r="A471" s="1">
        <v>45425</v>
      </c>
      <c r="B471" s="2">
        <v>10.59</v>
      </c>
      <c r="C471" s="2">
        <v>9.73</v>
      </c>
      <c r="D471">
        <f t="shared" si="35"/>
        <v>2.9999999999999361</v>
      </c>
      <c r="E471">
        <f t="shared" si="36"/>
        <v>1.9999999999999574</v>
      </c>
      <c r="F471">
        <f t="shared" si="37"/>
        <v>-187289.68169995092</v>
      </c>
      <c r="G471">
        <f t="shared" si="38"/>
        <v>134067.19079999629</v>
      </c>
      <c r="H471">
        <f t="shared" si="39"/>
        <v>-53222.490899954631</v>
      </c>
    </row>
    <row r="472" spans="1:8" x14ac:dyDescent="0.25">
      <c r="A472" s="1">
        <v>45422</v>
      </c>
      <c r="B472" s="2">
        <v>10.56</v>
      </c>
      <c r="C472" s="2">
        <v>9.7100000000000009</v>
      </c>
      <c r="D472">
        <f t="shared" si="35"/>
        <v>8.0000000000000071</v>
      </c>
      <c r="E472">
        <f t="shared" si="36"/>
        <v>9.0000000000001634</v>
      </c>
      <c r="F472">
        <f t="shared" si="37"/>
        <v>-499439.15119988023</v>
      </c>
      <c r="G472">
        <f t="shared" si="38"/>
        <v>603302.35860000702</v>
      </c>
      <c r="H472">
        <f t="shared" si="39"/>
        <v>103863.20740012679</v>
      </c>
    </row>
    <row r="473" spans="1:8" x14ac:dyDescent="0.25">
      <c r="A473" s="1">
        <v>45421</v>
      </c>
      <c r="B473" s="2">
        <v>10.48</v>
      </c>
      <c r="C473" s="2">
        <v>9.6199999999999992</v>
      </c>
      <c r="D473">
        <f t="shared" si="35"/>
        <v>-1.9999999999999574</v>
      </c>
      <c r="E473">
        <f t="shared" si="36"/>
        <v>0</v>
      </c>
      <c r="F473">
        <f t="shared" si="37"/>
        <v>124859.78779996728</v>
      </c>
      <c r="G473">
        <f t="shared" si="38"/>
        <v>0</v>
      </c>
      <c r="H473">
        <f t="shared" si="39"/>
        <v>124859.78779996728</v>
      </c>
    </row>
    <row r="474" spans="1:8" x14ac:dyDescent="0.25">
      <c r="A474" s="1">
        <v>45420</v>
      </c>
      <c r="B474" s="2">
        <v>10.5</v>
      </c>
      <c r="C474" s="2">
        <v>9.6199999999999992</v>
      </c>
      <c r="D474">
        <f t="shared" si="35"/>
        <v>0.99999999999997868</v>
      </c>
      <c r="E474">
        <f t="shared" si="36"/>
        <v>1.9999999999999574</v>
      </c>
      <c r="F474">
        <f t="shared" si="37"/>
        <v>-62429.893899983639</v>
      </c>
      <c r="G474">
        <f t="shared" si="38"/>
        <v>134067.19079999629</v>
      </c>
      <c r="H474">
        <f t="shared" si="39"/>
        <v>71637.296900012647</v>
      </c>
    </row>
    <row r="475" spans="1:8" x14ac:dyDescent="0.25">
      <c r="A475" s="1">
        <v>45419</v>
      </c>
      <c r="B475" s="2">
        <v>10.49</v>
      </c>
      <c r="C475" s="2">
        <v>9.6</v>
      </c>
      <c r="D475">
        <f t="shared" si="35"/>
        <v>2.9999999999999361</v>
      </c>
      <c r="E475">
        <f t="shared" si="36"/>
        <v>2.9999999999999361</v>
      </c>
      <c r="F475">
        <f t="shared" si="37"/>
        <v>-187289.68169995092</v>
      </c>
      <c r="G475">
        <f t="shared" si="38"/>
        <v>201100.78619999441</v>
      </c>
      <c r="H475">
        <f t="shared" si="39"/>
        <v>13811.104500043497</v>
      </c>
    </row>
    <row r="476" spans="1:8" x14ac:dyDescent="0.25">
      <c r="A476" s="1">
        <v>45418</v>
      </c>
      <c r="B476" s="2">
        <v>10.46</v>
      </c>
      <c r="C476" s="2">
        <v>9.57</v>
      </c>
      <c r="D476">
        <f t="shared" si="35"/>
        <v>0</v>
      </c>
      <c r="E476">
        <f t="shared" si="36"/>
        <v>-1.9999999999999574</v>
      </c>
      <c r="F476">
        <f t="shared" si="37"/>
        <v>0</v>
      </c>
      <c r="G476">
        <f t="shared" si="38"/>
        <v>-134067.19079999629</v>
      </c>
      <c r="H476">
        <f t="shared" si="39"/>
        <v>-134067.19079999629</v>
      </c>
    </row>
    <row r="477" spans="1:8" x14ac:dyDescent="0.25">
      <c r="A477" s="1">
        <v>45415</v>
      </c>
      <c r="B477" s="2">
        <v>10.46</v>
      </c>
      <c r="C477" s="2">
        <v>9.59</v>
      </c>
      <c r="D477">
        <f t="shared" si="35"/>
        <v>-15.999999999999837</v>
      </c>
      <c r="E477">
        <f t="shared" si="36"/>
        <v>-18.99999999999995</v>
      </c>
      <c r="F477">
        <f t="shared" si="37"/>
        <v>998878.30239974929</v>
      </c>
      <c r="G477">
        <f t="shared" si="38"/>
        <v>-1273638.3125999884</v>
      </c>
      <c r="H477">
        <f t="shared" si="39"/>
        <v>-274760.01020023914</v>
      </c>
    </row>
    <row r="478" spans="1:8" x14ac:dyDescent="0.25">
      <c r="A478" s="1">
        <v>45414</v>
      </c>
      <c r="B478" s="2">
        <v>10.62</v>
      </c>
      <c r="C478" s="2">
        <v>9.7799999999999994</v>
      </c>
      <c r="D478">
        <f t="shared" si="35"/>
        <v>-14.000000000000057</v>
      </c>
      <c r="E478">
        <f t="shared" si="36"/>
        <v>-16.999999999999993</v>
      </c>
      <c r="F478">
        <f t="shared" si="37"/>
        <v>874018.51459979312</v>
      </c>
      <c r="G478">
        <f t="shared" si="38"/>
        <v>-1139571.1217999922</v>
      </c>
      <c r="H478">
        <f t="shared" si="39"/>
        <v>-265552.60720019904</v>
      </c>
    </row>
    <row r="479" spans="1:8" x14ac:dyDescent="0.25">
      <c r="A479" s="1">
        <v>45413</v>
      </c>
      <c r="B479" s="2">
        <v>10.76</v>
      </c>
      <c r="C479" s="2">
        <v>9.9499999999999993</v>
      </c>
      <c r="D479">
        <f t="shared" si="35"/>
        <v>0</v>
      </c>
      <c r="E479">
        <f t="shared" si="36"/>
        <v>0</v>
      </c>
      <c r="F479">
        <f t="shared" si="37"/>
        <v>0</v>
      </c>
      <c r="G479">
        <f t="shared" si="38"/>
        <v>0</v>
      </c>
      <c r="H479">
        <f t="shared" si="39"/>
        <v>0</v>
      </c>
    </row>
    <row r="480" spans="1:8" x14ac:dyDescent="0.25">
      <c r="A480" s="1">
        <v>45412</v>
      </c>
      <c r="B480" s="2">
        <v>10.76</v>
      </c>
      <c r="C480" s="2">
        <v>9.9499999999999993</v>
      </c>
      <c r="D480">
        <f t="shared" si="35"/>
        <v>2.9999999999999361</v>
      </c>
      <c r="E480">
        <f t="shared" si="36"/>
        <v>-1.0000000000001563</v>
      </c>
      <c r="F480">
        <f t="shared" si="37"/>
        <v>-187289.68169995092</v>
      </c>
      <c r="G480">
        <f t="shared" si="38"/>
        <v>-67033.595400010046</v>
      </c>
      <c r="H480">
        <f t="shared" si="39"/>
        <v>-254323.27709996095</v>
      </c>
    </row>
    <row r="481" spans="1:8" x14ac:dyDescent="0.25">
      <c r="A481" s="1">
        <v>45411</v>
      </c>
      <c r="B481" s="2">
        <v>10.73</v>
      </c>
      <c r="C481" s="2">
        <v>9.9600000000000009</v>
      </c>
      <c r="D481">
        <f t="shared" si="35"/>
        <v>-0.99999999999997868</v>
      </c>
      <c r="E481">
        <f t="shared" si="36"/>
        <v>-2.9999999999999361</v>
      </c>
      <c r="F481">
        <f t="shared" si="37"/>
        <v>62429.893899983639</v>
      </c>
      <c r="G481">
        <f t="shared" si="38"/>
        <v>-201100.78619999441</v>
      </c>
      <c r="H481">
        <f t="shared" si="39"/>
        <v>-138670.89230001078</v>
      </c>
    </row>
    <row r="482" spans="1:8" x14ac:dyDescent="0.25">
      <c r="A482" s="1">
        <v>45408</v>
      </c>
      <c r="B482" s="2">
        <v>10.74</v>
      </c>
      <c r="C482" s="2">
        <v>9.99</v>
      </c>
      <c r="D482">
        <f t="shared" si="35"/>
        <v>-0.99999999999997868</v>
      </c>
      <c r="E482">
        <f t="shared" si="36"/>
        <v>2.9999999999999361</v>
      </c>
      <c r="F482">
        <f t="shared" si="37"/>
        <v>62429.893899983639</v>
      </c>
      <c r="G482">
        <f t="shared" si="38"/>
        <v>201100.78619999441</v>
      </c>
      <c r="H482">
        <f t="shared" si="39"/>
        <v>263530.68009997805</v>
      </c>
    </row>
    <row r="483" spans="1:8" x14ac:dyDescent="0.25">
      <c r="A483" s="1">
        <v>45407</v>
      </c>
      <c r="B483" s="2">
        <v>10.75</v>
      </c>
      <c r="C483" s="2">
        <v>9.9600000000000009</v>
      </c>
      <c r="D483">
        <f t="shared" si="35"/>
        <v>5.0000000000000711</v>
      </c>
      <c r="E483">
        <f t="shared" si="36"/>
        <v>3.0000000000001137</v>
      </c>
      <c r="F483">
        <f t="shared" si="37"/>
        <v>-312149.46949992928</v>
      </c>
      <c r="G483">
        <f t="shared" si="38"/>
        <v>201100.78620000632</v>
      </c>
      <c r="H483">
        <f t="shared" si="39"/>
        <v>-111048.68329992297</v>
      </c>
    </row>
    <row r="484" spans="1:8" x14ac:dyDescent="0.25">
      <c r="A484" s="1">
        <v>45406</v>
      </c>
      <c r="B484" s="2">
        <v>10.7</v>
      </c>
      <c r="C484" s="2">
        <v>9.93</v>
      </c>
      <c r="D484">
        <f t="shared" si="35"/>
        <v>6.9999999999998508</v>
      </c>
      <c r="E484">
        <f t="shared" si="36"/>
        <v>4.9999999999998934</v>
      </c>
      <c r="F484">
        <f t="shared" si="37"/>
        <v>-437009.2572998855</v>
      </c>
      <c r="G484">
        <f t="shared" si="38"/>
        <v>335167.9769999907</v>
      </c>
      <c r="H484">
        <f t="shared" si="39"/>
        <v>-101841.2802998948</v>
      </c>
    </row>
    <row r="485" spans="1:8" x14ac:dyDescent="0.25">
      <c r="A485" s="1">
        <v>45405</v>
      </c>
      <c r="B485" s="2">
        <v>10.63</v>
      </c>
      <c r="C485" s="2">
        <v>9.8800000000000008</v>
      </c>
      <c r="D485">
        <f t="shared" si="35"/>
        <v>3.0000000000001137</v>
      </c>
      <c r="E485">
        <f t="shared" si="36"/>
        <v>0</v>
      </c>
      <c r="F485">
        <f t="shared" si="37"/>
        <v>-187289.68169996201</v>
      </c>
      <c r="G485">
        <f t="shared" si="38"/>
        <v>0</v>
      </c>
      <c r="H485">
        <f t="shared" si="39"/>
        <v>-187289.68169996201</v>
      </c>
    </row>
    <row r="486" spans="1:8" x14ac:dyDescent="0.25">
      <c r="A486" s="1">
        <v>45404</v>
      </c>
      <c r="B486" s="2">
        <v>10.6</v>
      </c>
      <c r="C486" s="2">
        <v>9.8800000000000008</v>
      </c>
      <c r="D486">
        <f t="shared" si="35"/>
        <v>2.9999999999999361</v>
      </c>
      <c r="E486">
        <f t="shared" si="36"/>
        <v>3.0000000000001137</v>
      </c>
      <c r="F486">
        <f t="shared" si="37"/>
        <v>-187289.68169995092</v>
      </c>
      <c r="G486">
        <f t="shared" si="38"/>
        <v>201100.78620000632</v>
      </c>
      <c r="H486">
        <f t="shared" si="39"/>
        <v>13811.1045000554</v>
      </c>
    </row>
    <row r="487" spans="1:8" x14ac:dyDescent="0.25">
      <c r="A487" s="1">
        <v>45401</v>
      </c>
      <c r="B487" s="2">
        <v>10.57</v>
      </c>
      <c r="C487" s="2">
        <v>9.85</v>
      </c>
      <c r="D487">
        <f t="shared" si="35"/>
        <v>-6.0000000000000497</v>
      </c>
      <c r="E487">
        <f t="shared" si="36"/>
        <v>-8.9999999999999858</v>
      </c>
      <c r="F487">
        <f t="shared" si="37"/>
        <v>374579.36339991295</v>
      </c>
      <c r="G487">
        <f t="shared" si="38"/>
        <v>-603302.35859999515</v>
      </c>
      <c r="H487">
        <f t="shared" si="39"/>
        <v>-228722.99520008219</v>
      </c>
    </row>
    <row r="488" spans="1:8" x14ac:dyDescent="0.25">
      <c r="A488" s="1">
        <v>45400</v>
      </c>
      <c r="B488" s="2">
        <v>10.63</v>
      </c>
      <c r="C488" s="2">
        <v>9.94</v>
      </c>
      <c r="D488">
        <f t="shared" si="35"/>
        <v>0</v>
      </c>
      <c r="E488">
        <f t="shared" si="36"/>
        <v>-0.99999999999997868</v>
      </c>
      <c r="F488">
        <f t="shared" si="37"/>
        <v>0</v>
      </c>
      <c r="G488">
        <f t="shared" si="38"/>
        <v>-67033.595399998143</v>
      </c>
      <c r="H488">
        <f t="shared" si="39"/>
        <v>-67033.595399998143</v>
      </c>
    </row>
    <row r="489" spans="1:8" x14ac:dyDescent="0.25">
      <c r="A489" s="1">
        <v>45399</v>
      </c>
      <c r="B489" s="2">
        <v>10.63</v>
      </c>
      <c r="C489" s="2">
        <v>9.9499999999999993</v>
      </c>
      <c r="D489">
        <f t="shared" si="35"/>
        <v>-5.9999999999998721</v>
      </c>
      <c r="E489">
        <f t="shared" si="36"/>
        <v>-12.000000000000099</v>
      </c>
      <c r="F489">
        <f t="shared" si="37"/>
        <v>374579.36339990183</v>
      </c>
      <c r="G489">
        <f t="shared" si="38"/>
        <v>-804403.14480000152</v>
      </c>
      <c r="H489">
        <f t="shared" si="39"/>
        <v>-429823.78140009969</v>
      </c>
    </row>
    <row r="490" spans="1:8" x14ac:dyDescent="0.25">
      <c r="A490" s="1">
        <v>45398</v>
      </c>
      <c r="B490" s="2">
        <v>10.69</v>
      </c>
      <c r="C490" s="2">
        <v>10.07</v>
      </c>
      <c r="D490">
        <f t="shared" si="35"/>
        <v>8.9999999999999858</v>
      </c>
      <c r="E490">
        <f t="shared" si="36"/>
        <v>13.000000000000078</v>
      </c>
      <c r="F490">
        <f t="shared" si="37"/>
        <v>-561869.0450998639</v>
      </c>
      <c r="G490">
        <f t="shared" si="38"/>
        <v>871436.74019999965</v>
      </c>
      <c r="H490">
        <f t="shared" si="39"/>
        <v>309567.69510013575</v>
      </c>
    </row>
    <row r="491" spans="1:8" x14ac:dyDescent="0.25">
      <c r="A491" s="1">
        <v>45397</v>
      </c>
      <c r="B491" s="2">
        <v>10.6</v>
      </c>
      <c r="C491" s="2">
        <v>9.94</v>
      </c>
      <c r="D491">
        <f t="shared" si="35"/>
        <v>15.000000000000036</v>
      </c>
      <c r="E491">
        <f t="shared" si="36"/>
        <v>13.999999999999879</v>
      </c>
      <c r="F491">
        <f t="shared" si="37"/>
        <v>-936448.40849977673</v>
      </c>
      <c r="G491">
        <f t="shared" si="38"/>
        <v>938470.3355999859</v>
      </c>
      <c r="H491">
        <f t="shared" si="39"/>
        <v>2021.92710020917</v>
      </c>
    </row>
    <row r="492" spans="1:8" x14ac:dyDescent="0.25">
      <c r="A492" s="1">
        <v>45394</v>
      </c>
      <c r="B492" s="2">
        <v>10.45</v>
      </c>
      <c r="C492" s="2">
        <v>9.8000000000000007</v>
      </c>
      <c r="D492">
        <f t="shared" si="35"/>
        <v>0</v>
      </c>
      <c r="E492">
        <f t="shared" si="36"/>
        <v>-1.9999999999999574</v>
      </c>
      <c r="F492">
        <f t="shared" si="37"/>
        <v>0</v>
      </c>
      <c r="G492">
        <f t="shared" si="38"/>
        <v>-134067.19079999629</v>
      </c>
      <c r="H492">
        <f t="shared" si="39"/>
        <v>-134067.19079999629</v>
      </c>
    </row>
    <row r="493" spans="1:8" x14ac:dyDescent="0.25">
      <c r="A493" s="1">
        <v>45393</v>
      </c>
      <c r="B493" s="2">
        <v>10.45</v>
      </c>
      <c r="C493" s="2">
        <v>9.82</v>
      </c>
      <c r="D493">
        <f t="shared" si="35"/>
        <v>-2.000000000000135</v>
      </c>
      <c r="E493">
        <f t="shared" si="36"/>
        <v>0</v>
      </c>
      <c r="F493">
        <f t="shared" si="37"/>
        <v>124859.78779997837</v>
      </c>
      <c r="G493">
        <f t="shared" si="38"/>
        <v>0</v>
      </c>
      <c r="H493">
        <f t="shared" si="39"/>
        <v>124859.78779997837</v>
      </c>
    </row>
    <row r="494" spans="1:8" x14ac:dyDescent="0.25">
      <c r="A494" s="1">
        <v>45392</v>
      </c>
      <c r="B494" s="2">
        <v>10.47</v>
      </c>
      <c r="C494" s="2">
        <v>9.82</v>
      </c>
      <c r="D494">
        <f t="shared" si="35"/>
        <v>18.000000000000149</v>
      </c>
      <c r="E494">
        <f t="shared" si="36"/>
        <v>23.000000000000043</v>
      </c>
      <c r="F494">
        <f t="shared" si="37"/>
        <v>-1123738.0901997387</v>
      </c>
      <c r="G494">
        <f t="shared" si="38"/>
        <v>1541772.694199993</v>
      </c>
      <c r="H494">
        <f t="shared" si="39"/>
        <v>418034.6040002543</v>
      </c>
    </row>
    <row r="495" spans="1:8" x14ac:dyDescent="0.25">
      <c r="A495" s="1">
        <v>45391</v>
      </c>
      <c r="B495" s="2">
        <v>10.29</v>
      </c>
      <c r="C495" s="2">
        <v>9.59</v>
      </c>
      <c r="D495">
        <f t="shared" si="35"/>
        <v>-9.0000000000001634</v>
      </c>
      <c r="E495">
        <f t="shared" si="36"/>
        <v>-2.9999999999999361</v>
      </c>
      <c r="F495">
        <f t="shared" si="37"/>
        <v>561869.04509987496</v>
      </c>
      <c r="G495">
        <f t="shared" si="38"/>
        <v>-201100.78619999441</v>
      </c>
      <c r="H495">
        <f t="shared" si="39"/>
        <v>360768.25889988057</v>
      </c>
    </row>
    <row r="496" spans="1:8" x14ac:dyDescent="0.25">
      <c r="A496" s="1">
        <v>45390</v>
      </c>
      <c r="B496" s="2">
        <v>10.38</v>
      </c>
      <c r="C496" s="2">
        <v>9.6199999999999992</v>
      </c>
      <c r="D496">
        <f t="shared" si="35"/>
        <v>7.0000000000000284</v>
      </c>
      <c r="E496">
        <f t="shared" si="36"/>
        <v>8.0000000000000071</v>
      </c>
      <c r="F496">
        <f t="shared" si="37"/>
        <v>-437009.25729989656</v>
      </c>
      <c r="G496">
        <f t="shared" si="38"/>
        <v>536268.76319999702</v>
      </c>
      <c r="H496">
        <f t="shared" si="39"/>
        <v>99259.505900100456</v>
      </c>
    </row>
    <row r="497" spans="1:8" x14ac:dyDescent="0.25">
      <c r="A497" s="1">
        <v>45387</v>
      </c>
      <c r="B497" s="2">
        <v>10.31</v>
      </c>
      <c r="C497" s="2">
        <v>9.5399999999999991</v>
      </c>
      <c r="D497">
        <f t="shared" si="35"/>
        <v>11.000000000000121</v>
      </c>
      <c r="E497">
        <f t="shared" si="36"/>
        <v>7.9999999999998295</v>
      </c>
      <c r="F497">
        <f t="shared" si="37"/>
        <v>-686728.83289984218</v>
      </c>
      <c r="G497">
        <f t="shared" si="38"/>
        <v>536268.76319998514</v>
      </c>
      <c r="H497">
        <f t="shared" si="39"/>
        <v>-150460.06969985703</v>
      </c>
    </row>
    <row r="498" spans="1:8" x14ac:dyDescent="0.25">
      <c r="A498" s="1">
        <v>45386</v>
      </c>
      <c r="B498" s="2">
        <v>10.199999999999999</v>
      </c>
      <c r="C498" s="2">
        <v>9.4600000000000009</v>
      </c>
      <c r="D498">
        <f t="shared" si="35"/>
        <v>1.9999999999999574</v>
      </c>
      <c r="E498">
        <f t="shared" si="36"/>
        <v>-0.99999999999997868</v>
      </c>
      <c r="F498">
        <f t="shared" si="37"/>
        <v>-124859.78779996728</v>
      </c>
      <c r="G498">
        <f t="shared" si="38"/>
        <v>-67033.595399998143</v>
      </c>
      <c r="H498">
        <f t="shared" si="39"/>
        <v>-191893.38319996541</v>
      </c>
    </row>
    <row r="499" spans="1:8" x14ac:dyDescent="0.25">
      <c r="A499" s="1">
        <v>45385</v>
      </c>
      <c r="B499" s="2">
        <v>10.18</v>
      </c>
      <c r="C499" s="2">
        <v>9.4700000000000006</v>
      </c>
      <c r="D499">
        <f t="shared" si="35"/>
        <v>0.99999999999997868</v>
      </c>
      <c r="E499">
        <f t="shared" si="36"/>
        <v>2.000000000000135</v>
      </c>
      <c r="F499">
        <f t="shared" si="37"/>
        <v>-62429.893899983639</v>
      </c>
      <c r="G499">
        <f t="shared" si="38"/>
        <v>134067.19080000819</v>
      </c>
      <c r="H499">
        <f t="shared" si="39"/>
        <v>71637.29690002455</v>
      </c>
    </row>
    <row r="500" spans="1:8" x14ac:dyDescent="0.25">
      <c r="A500" s="1">
        <v>45384</v>
      </c>
      <c r="B500" s="2">
        <v>10.17</v>
      </c>
      <c r="C500" s="2">
        <v>9.4499999999999993</v>
      </c>
      <c r="D500">
        <f t="shared" si="35"/>
        <v>3.9999999999999147</v>
      </c>
      <c r="E500">
        <f t="shared" si="36"/>
        <v>8.0000000000000071</v>
      </c>
      <c r="F500">
        <f t="shared" si="37"/>
        <v>-249719.57559993456</v>
      </c>
      <c r="G500">
        <f t="shared" si="38"/>
        <v>536268.76319999702</v>
      </c>
      <c r="H500">
        <f t="shared" si="39"/>
        <v>286549.18760006246</v>
      </c>
    </row>
    <row r="501" spans="1:8" x14ac:dyDescent="0.25">
      <c r="A501" s="1">
        <v>45383</v>
      </c>
      <c r="B501" s="2">
        <v>10.130000000000001</v>
      </c>
      <c r="C501" s="2">
        <v>9.3699999999999992</v>
      </c>
      <c r="D501">
        <f t="shared" si="35"/>
        <v>12.000000000000099</v>
      </c>
      <c r="E501">
        <f t="shared" si="36"/>
        <v>9.9999999999999645</v>
      </c>
      <c r="F501">
        <f t="shared" si="37"/>
        <v>-749158.7267998259</v>
      </c>
      <c r="G501">
        <f t="shared" si="38"/>
        <v>670335.95399999327</v>
      </c>
      <c r="H501">
        <f t="shared" si="39"/>
        <v>-78822.77279983263</v>
      </c>
    </row>
    <row r="502" spans="1:8" x14ac:dyDescent="0.25">
      <c r="A502" s="1">
        <v>45380</v>
      </c>
      <c r="B502" s="2">
        <v>10.01</v>
      </c>
      <c r="C502" s="2">
        <v>9.27</v>
      </c>
      <c r="D502">
        <f t="shared" si="35"/>
        <v>0</v>
      </c>
      <c r="E502">
        <f t="shared" si="36"/>
        <v>0</v>
      </c>
      <c r="F502">
        <f t="shared" si="37"/>
        <v>0</v>
      </c>
      <c r="G502">
        <f t="shared" si="38"/>
        <v>0</v>
      </c>
      <c r="H502">
        <f t="shared" si="39"/>
        <v>0</v>
      </c>
    </row>
    <row r="503" spans="1:8" x14ac:dyDescent="0.25">
      <c r="A503" s="1">
        <v>45379</v>
      </c>
      <c r="B503" s="2">
        <v>10.01</v>
      </c>
      <c r="C503" s="2">
        <v>9.27</v>
      </c>
      <c r="D503">
        <f t="shared" si="35"/>
        <v>0</v>
      </c>
      <c r="E503">
        <f t="shared" si="36"/>
        <v>0</v>
      </c>
      <c r="F503">
        <f t="shared" si="37"/>
        <v>0</v>
      </c>
      <c r="G503">
        <f t="shared" si="38"/>
        <v>0</v>
      </c>
      <c r="H503">
        <f t="shared" si="39"/>
        <v>0</v>
      </c>
    </row>
    <row r="504" spans="1:8" x14ac:dyDescent="0.25">
      <c r="A504" s="1">
        <v>45378</v>
      </c>
      <c r="B504" s="2">
        <v>10.01</v>
      </c>
      <c r="C504" s="2">
        <v>9.27</v>
      </c>
      <c r="D504">
        <f t="shared" si="35"/>
        <v>-0.99999999999997868</v>
      </c>
      <c r="E504">
        <f t="shared" si="36"/>
        <v>-5.0000000000000711</v>
      </c>
      <c r="F504">
        <f t="shared" si="37"/>
        <v>62429.893899983639</v>
      </c>
      <c r="G504">
        <f t="shared" si="38"/>
        <v>-335167.97700000263</v>
      </c>
      <c r="H504">
        <f t="shared" si="39"/>
        <v>-272738.08310001902</v>
      </c>
    </row>
    <row r="505" spans="1:8" x14ac:dyDescent="0.25">
      <c r="A505" s="1">
        <v>45377</v>
      </c>
      <c r="B505" s="2">
        <v>10.02</v>
      </c>
      <c r="C505" s="2">
        <v>9.32</v>
      </c>
      <c r="D505">
        <f t="shared" si="35"/>
        <v>0.99999999999997868</v>
      </c>
      <c r="E505">
        <f t="shared" si="36"/>
        <v>-0.99999999999997868</v>
      </c>
      <c r="F505">
        <f t="shared" si="37"/>
        <v>-62429.893899983639</v>
      </c>
      <c r="G505">
        <f t="shared" si="38"/>
        <v>-67033.595399998143</v>
      </c>
      <c r="H505">
        <f t="shared" si="39"/>
        <v>-129463.48929998178</v>
      </c>
    </row>
    <row r="506" spans="1:8" x14ac:dyDescent="0.25">
      <c r="A506" s="1">
        <v>45376</v>
      </c>
      <c r="B506" s="2">
        <v>10.01</v>
      </c>
      <c r="C506" s="2">
        <v>9.33</v>
      </c>
      <c r="D506">
        <f t="shared" si="35"/>
        <v>8.9999999999999858</v>
      </c>
      <c r="E506">
        <f t="shared" si="36"/>
        <v>8.0000000000000071</v>
      </c>
      <c r="F506">
        <f t="shared" si="37"/>
        <v>-561869.0450998639</v>
      </c>
      <c r="G506">
        <f t="shared" si="38"/>
        <v>536268.76319999702</v>
      </c>
      <c r="H506">
        <f t="shared" si="39"/>
        <v>-25600.281899866881</v>
      </c>
    </row>
    <row r="507" spans="1:8" x14ac:dyDescent="0.25">
      <c r="A507" s="1">
        <v>45373</v>
      </c>
      <c r="B507" s="2">
        <v>9.92</v>
      </c>
      <c r="C507" s="2">
        <v>9.25</v>
      </c>
      <c r="D507">
        <f t="shared" si="35"/>
        <v>-1.9999999999999574</v>
      </c>
      <c r="E507">
        <f t="shared" si="36"/>
        <v>2.9999999999999361</v>
      </c>
      <c r="F507">
        <f t="shared" si="37"/>
        <v>124859.78779996728</v>
      </c>
      <c r="G507">
        <f t="shared" si="38"/>
        <v>201100.78619999441</v>
      </c>
      <c r="H507">
        <f t="shared" si="39"/>
        <v>325960.57399996172</v>
      </c>
    </row>
    <row r="508" spans="1:8" x14ac:dyDescent="0.25">
      <c r="A508" s="1">
        <v>45372</v>
      </c>
      <c r="B508" s="2">
        <v>9.94</v>
      </c>
      <c r="C508" s="2">
        <v>9.2200000000000006</v>
      </c>
      <c r="D508">
        <f t="shared" si="35"/>
        <v>-8.0000000000000071</v>
      </c>
      <c r="E508">
        <f t="shared" si="36"/>
        <v>-4.9999999999998934</v>
      </c>
      <c r="F508">
        <f t="shared" si="37"/>
        <v>499439.15119988023</v>
      </c>
      <c r="G508">
        <f t="shared" si="38"/>
        <v>-335167.9769999907</v>
      </c>
      <c r="H508">
        <f t="shared" si="39"/>
        <v>164271.17419988953</v>
      </c>
    </row>
    <row r="509" spans="1:8" x14ac:dyDescent="0.25">
      <c r="A509" s="1">
        <v>45371</v>
      </c>
      <c r="B509" s="2">
        <v>10.02</v>
      </c>
      <c r="C509" s="2">
        <v>9.27</v>
      </c>
      <c r="D509">
        <f t="shared" si="35"/>
        <v>-7.0000000000000284</v>
      </c>
      <c r="E509">
        <f t="shared" si="36"/>
        <v>-5.0000000000000711</v>
      </c>
      <c r="F509">
        <f t="shared" si="37"/>
        <v>437009.25729989656</v>
      </c>
      <c r="G509">
        <f t="shared" si="38"/>
        <v>-335167.97700000263</v>
      </c>
      <c r="H509">
        <f t="shared" si="39"/>
        <v>101841.28029989393</v>
      </c>
    </row>
    <row r="510" spans="1:8" x14ac:dyDescent="0.25">
      <c r="A510" s="1">
        <v>45370</v>
      </c>
      <c r="B510" s="2">
        <v>10.09</v>
      </c>
      <c r="C510" s="2">
        <v>9.32</v>
      </c>
      <c r="D510">
        <f t="shared" si="35"/>
        <v>3.9999999999999147</v>
      </c>
      <c r="E510">
        <f t="shared" si="36"/>
        <v>0</v>
      </c>
      <c r="F510">
        <f t="shared" si="37"/>
        <v>-249719.57559993456</v>
      </c>
      <c r="G510">
        <f t="shared" si="38"/>
        <v>0</v>
      </c>
      <c r="H510">
        <f t="shared" si="39"/>
        <v>-249719.57559993456</v>
      </c>
    </row>
    <row r="511" spans="1:8" x14ac:dyDescent="0.25">
      <c r="A511" s="1">
        <v>45369</v>
      </c>
      <c r="B511" s="2">
        <v>10.050000000000001</v>
      </c>
      <c r="C511" s="2">
        <v>9.32</v>
      </c>
      <c r="D511">
        <f t="shared" si="35"/>
        <v>0</v>
      </c>
      <c r="E511">
        <f t="shared" si="36"/>
        <v>0</v>
      </c>
      <c r="F511">
        <f t="shared" si="37"/>
        <v>0</v>
      </c>
      <c r="G511">
        <f t="shared" si="38"/>
        <v>0</v>
      </c>
      <c r="H511">
        <f t="shared" si="39"/>
        <v>0</v>
      </c>
    </row>
    <row r="512" spans="1:8" x14ac:dyDescent="0.25">
      <c r="A512" s="1">
        <v>45366</v>
      </c>
      <c r="B512" s="2">
        <v>10.050000000000001</v>
      </c>
      <c r="C512" s="2">
        <v>9.32</v>
      </c>
      <c r="D512">
        <f t="shared" si="35"/>
        <v>6.0000000000000497</v>
      </c>
      <c r="E512">
        <f t="shared" si="36"/>
        <v>6.0000000000000497</v>
      </c>
      <c r="F512">
        <f t="shared" si="37"/>
        <v>-374579.36339991295</v>
      </c>
      <c r="G512">
        <f t="shared" si="38"/>
        <v>402201.57240000076</v>
      </c>
      <c r="H512">
        <f t="shared" si="39"/>
        <v>27622.209000087809</v>
      </c>
    </row>
    <row r="513" spans="1:8" x14ac:dyDescent="0.25">
      <c r="A513" s="1">
        <v>45365</v>
      </c>
      <c r="B513" s="2">
        <v>9.99</v>
      </c>
      <c r="C513" s="2">
        <v>9.26</v>
      </c>
      <c r="D513">
        <f t="shared" si="35"/>
        <v>7.0000000000000284</v>
      </c>
      <c r="E513">
        <f t="shared" si="36"/>
        <v>7.0000000000000284</v>
      </c>
      <c r="F513">
        <f t="shared" si="37"/>
        <v>-437009.25729989656</v>
      </c>
      <c r="G513">
        <f t="shared" si="38"/>
        <v>469235.16779999889</v>
      </c>
      <c r="H513">
        <f t="shared" si="39"/>
        <v>32225.910500102327</v>
      </c>
    </row>
    <row r="514" spans="1:8" x14ac:dyDescent="0.25">
      <c r="A514" s="1">
        <v>45364</v>
      </c>
      <c r="B514" s="2">
        <v>9.92</v>
      </c>
      <c r="C514" s="2">
        <v>9.19</v>
      </c>
      <c r="D514">
        <f t="shared" si="35"/>
        <v>-4.0000000000000924</v>
      </c>
      <c r="E514">
        <f t="shared" si="36"/>
        <v>-0.99999999999997868</v>
      </c>
      <c r="F514">
        <f t="shared" si="37"/>
        <v>249719.57559994565</v>
      </c>
      <c r="G514">
        <f t="shared" si="38"/>
        <v>-67033.595399998143</v>
      </c>
      <c r="H514">
        <f t="shared" si="39"/>
        <v>182685.98019994749</v>
      </c>
    </row>
    <row r="515" spans="1:8" x14ac:dyDescent="0.25">
      <c r="A515" s="1">
        <v>45363</v>
      </c>
      <c r="B515" s="2">
        <v>9.9600000000000009</v>
      </c>
      <c r="C515" s="2">
        <v>9.1999999999999993</v>
      </c>
      <c r="D515">
        <f t="shared" ref="D515:D524" si="40">(B515-B516)*100</f>
        <v>2.000000000000135</v>
      </c>
      <c r="E515">
        <f t="shared" ref="E515:E524" si="41">(C515-C516)*100</f>
        <v>0</v>
      </c>
      <c r="F515">
        <f t="shared" ref="F515:F524" si="42">-D515*$R$3</f>
        <v>-124859.78779997837</v>
      </c>
      <c r="G515">
        <f t="shared" ref="G515:G524" si="43">-E515*$R$4</f>
        <v>0</v>
      </c>
      <c r="H515">
        <f t="shared" ref="H515:H524" si="44">F515+G515</f>
        <v>-124859.78779997837</v>
      </c>
    </row>
    <row r="516" spans="1:8" x14ac:dyDescent="0.25">
      <c r="A516" s="1">
        <v>45362</v>
      </c>
      <c r="B516" s="2">
        <v>9.94</v>
      </c>
      <c r="C516" s="2">
        <v>9.1999999999999993</v>
      </c>
      <c r="D516">
        <f t="shared" si="40"/>
        <v>3.9999999999999147</v>
      </c>
      <c r="E516">
        <f t="shared" si="41"/>
        <v>2.9999999999999361</v>
      </c>
      <c r="F516">
        <f t="shared" si="42"/>
        <v>-249719.57559993456</v>
      </c>
      <c r="G516">
        <f t="shared" si="43"/>
        <v>201100.78619999441</v>
      </c>
      <c r="H516">
        <f t="shared" si="44"/>
        <v>-48618.789399940142</v>
      </c>
    </row>
    <row r="517" spans="1:8" x14ac:dyDescent="0.25">
      <c r="A517" s="1">
        <v>45359</v>
      </c>
      <c r="B517" s="2">
        <v>9.9</v>
      </c>
      <c r="C517" s="2">
        <v>9.17</v>
      </c>
      <c r="D517">
        <f t="shared" si="40"/>
        <v>-1.9999999999999574</v>
      </c>
      <c r="E517">
        <f t="shared" si="41"/>
        <v>1.9999999999999574</v>
      </c>
      <c r="F517">
        <f t="shared" si="42"/>
        <v>124859.78779996728</v>
      </c>
      <c r="G517">
        <f t="shared" si="43"/>
        <v>134067.19079999629</v>
      </c>
      <c r="H517">
        <f t="shared" si="44"/>
        <v>258926.97859996356</v>
      </c>
    </row>
    <row r="518" spans="1:8" x14ac:dyDescent="0.25">
      <c r="A518" s="1">
        <v>45358</v>
      </c>
      <c r="B518" s="2">
        <v>9.92</v>
      </c>
      <c r="C518" s="2">
        <v>9.15</v>
      </c>
      <c r="D518">
        <f t="shared" si="40"/>
        <v>6.0000000000000497</v>
      </c>
      <c r="E518">
        <f t="shared" si="41"/>
        <v>0.99999999999997868</v>
      </c>
      <c r="F518">
        <f t="shared" si="42"/>
        <v>-374579.36339991295</v>
      </c>
      <c r="G518">
        <f t="shared" si="43"/>
        <v>67033.595399998143</v>
      </c>
      <c r="H518">
        <f t="shared" si="44"/>
        <v>-307545.76799991482</v>
      </c>
    </row>
    <row r="519" spans="1:8" x14ac:dyDescent="0.25">
      <c r="A519" s="1">
        <v>45357</v>
      </c>
      <c r="B519" s="2">
        <v>9.86</v>
      </c>
      <c r="C519" s="2">
        <v>9.14</v>
      </c>
      <c r="D519">
        <f t="shared" si="40"/>
        <v>-0.99999999999997868</v>
      </c>
      <c r="E519">
        <f t="shared" si="41"/>
        <v>-3.9999999999999147</v>
      </c>
      <c r="F519">
        <f t="shared" si="42"/>
        <v>62429.893899983639</v>
      </c>
      <c r="G519">
        <f t="shared" si="43"/>
        <v>-268134.38159999257</v>
      </c>
      <c r="H519">
        <f t="shared" si="44"/>
        <v>-205704.48770000893</v>
      </c>
    </row>
    <row r="520" spans="1:8" x14ac:dyDescent="0.25">
      <c r="A520" s="1">
        <v>45356</v>
      </c>
      <c r="B520" s="2">
        <v>9.8699999999999992</v>
      </c>
      <c r="C520" s="2">
        <v>9.18</v>
      </c>
      <c r="D520">
        <f t="shared" si="40"/>
        <v>-5.0000000000000711</v>
      </c>
      <c r="E520">
        <f t="shared" si="41"/>
        <v>-3.0000000000001137</v>
      </c>
      <c r="F520">
        <f t="shared" si="42"/>
        <v>312149.46949992928</v>
      </c>
      <c r="G520">
        <f t="shared" si="43"/>
        <v>-201100.78620000632</v>
      </c>
      <c r="H520">
        <f t="shared" si="44"/>
        <v>111048.68329992297</v>
      </c>
    </row>
    <row r="521" spans="1:8" x14ac:dyDescent="0.25">
      <c r="A521" s="1">
        <v>45355</v>
      </c>
      <c r="B521" s="2">
        <v>9.92</v>
      </c>
      <c r="C521" s="2">
        <v>9.2100000000000009</v>
      </c>
      <c r="D521">
        <f t="shared" si="40"/>
        <v>2.9999999999999361</v>
      </c>
      <c r="E521">
        <f t="shared" si="41"/>
        <v>4.0000000000000924</v>
      </c>
      <c r="F521">
        <f t="shared" si="42"/>
        <v>-187289.68169995092</v>
      </c>
      <c r="G521">
        <f t="shared" si="43"/>
        <v>268134.38160000445</v>
      </c>
      <c r="H521">
        <f t="shared" si="44"/>
        <v>80844.699900053529</v>
      </c>
    </row>
    <row r="522" spans="1:8" x14ac:dyDescent="0.25">
      <c r="A522" s="1">
        <v>45352</v>
      </c>
      <c r="B522" s="2">
        <v>9.89</v>
      </c>
      <c r="C522" s="2">
        <v>9.17</v>
      </c>
      <c r="D522">
        <f t="shared" si="40"/>
        <v>-3.9999999999999147</v>
      </c>
      <c r="E522">
        <f t="shared" si="41"/>
        <v>1.9999999999999574</v>
      </c>
      <c r="F522">
        <f t="shared" si="42"/>
        <v>249719.57559993456</v>
      </c>
      <c r="G522">
        <f t="shared" si="43"/>
        <v>134067.19079999629</v>
      </c>
      <c r="H522">
        <f t="shared" si="44"/>
        <v>383786.76639993081</v>
      </c>
    </row>
    <row r="523" spans="1:8" x14ac:dyDescent="0.25">
      <c r="A523" s="1">
        <v>45351</v>
      </c>
      <c r="B523" s="2">
        <v>9.93</v>
      </c>
      <c r="C523" s="2">
        <v>9.15</v>
      </c>
      <c r="D523">
        <f t="shared" si="40"/>
        <v>-7.0000000000000284</v>
      </c>
      <c r="E523">
        <f t="shared" si="41"/>
        <v>-6.0000000000000497</v>
      </c>
      <c r="F523">
        <f t="shared" si="42"/>
        <v>437009.25729989656</v>
      </c>
      <c r="G523">
        <f t="shared" si="43"/>
        <v>-402201.57240000076</v>
      </c>
      <c r="H523">
        <f t="shared" si="44"/>
        <v>34807.684899895801</v>
      </c>
    </row>
    <row r="524" spans="1:8" x14ac:dyDescent="0.25">
      <c r="A524" s="1">
        <v>45350</v>
      </c>
      <c r="B524" s="2">
        <v>10</v>
      </c>
      <c r="C524" s="2">
        <v>9.2100000000000009</v>
      </c>
      <c r="D524">
        <f t="shared" si="40"/>
        <v>-5.0000000000000711</v>
      </c>
      <c r="E524">
        <f t="shared" si="41"/>
        <v>-4.9999999999998934</v>
      </c>
      <c r="F524">
        <f t="shared" si="42"/>
        <v>312149.46949992928</v>
      </c>
      <c r="G524">
        <f t="shared" si="43"/>
        <v>-335167.9769999907</v>
      </c>
      <c r="H524">
        <f t="shared" si="44"/>
        <v>-23018.507500061416</v>
      </c>
    </row>
    <row r="525" spans="1:8" x14ac:dyDescent="0.25">
      <c r="A525" s="1">
        <v>45349</v>
      </c>
      <c r="B525" s="2">
        <v>10.050000000000001</v>
      </c>
      <c r="C525" s="2">
        <v>9.26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 años</vt:lpstr>
      <vt:lpstr>10 años</vt:lpstr>
      <vt:lpstr>solucion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OCEGUERA GOMEZ, ABRAHAM</dc:creator>
  <cp:lastModifiedBy>Samuel Gómez Jiménez</cp:lastModifiedBy>
  <dcterms:created xsi:type="dcterms:W3CDTF">2026-03-02T01:02:36Z</dcterms:created>
  <dcterms:modified xsi:type="dcterms:W3CDTF">2026-03-03T01:38:56Z</dcterms:modified>
</cp:coreProperties>
</file>