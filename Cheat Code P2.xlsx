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"/>
    </mc:Choice>
  </mc:AlternateContent>
  <xr:revisionPtr revIDLastSave="0" documentId="13_ncr:1_{F1CDB7B9-F1AE-476C-B8BE-4986897E7624}" xr6:coauthVersionLast="47" xr6:coauthVersionMax="47" xr10:uidLastSave="{00000000-0000-0000-0000-000000000000}"/>
  <bookViews>
    <workbookView xWindow="-108" yWindow="-108" windowWidth="23256" windowHeight="12456" xr2:uid="{F02342CE-70EC-4EE2-91AC-B3E77160F1EA}"/>
  </bookViews>
  <sheets>
    <sheet name="Datos" sheetId="1" r:id="rId1"/>
    <sheet name="LCR" sheetId="2" r:id="rId2"/>
    <sheet name="NSFR" sheetId="3" r:id="rId3"/>
    <sheet name="NII" sheetId="4" r:id="rId4"/>
    <sheet name="DELTA NII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F31" i="6"/>
  <c r="F32" i="6"/>
  <c r="F33" i="6"/>
  <c r="F28" i="6"/>
  <c r="F20" i="6"/>
  <c r="F21" i="6"/>
  <c r="F22" i="6"/>
  <c r="F13" i="6"/>
  <c r="C2" i="6"/>
  <c r="F30" i="6" s="1"/>
  <c r="C39" i="6"/>
  <c r="C29" i="6"/>
  <c r="C26" i="6"/>
  <c r="C17" i="6"/>
  <c r="C11" i="6"/>
  <c r="E33" i="4"/>
  <c r="E29" i="4"/>
  <c r="C6" i="4" s="1"/>
  <c r="C7" i="4" s="1"/>
  <c r="C8" i="4" s="1"/>
  <c r="E31" i="4"/>
  <c r="E32" i="4"/>
  <c r="E34" i="4"/>
  <c r="E35" i="4"/>
  <c r="E36" i="4"/>
  <c r="E28" i="4"/>
  <c r="C5" i="4"/>
  <c r="E13" i="4"/>
  <c r="E14" i="4"/>
  <c r="E15" i="4"/>
  <c r="E16" i="4"/>
  <c r="E17" i="4"/>
  <c r="E19" i="4"/>
  <c r="E20" i="4"/>
  <c r="E21" i="4"/>
  <c r="E22" i="4"/>
  <c r="E23" i="4"/>
  <c r="E11" i="4"/>
  <c r="D34" i="4"/>
  <c r="F19" i="6" l="1"/>
  <c r="F27" i="6"/>
  <c r="C36" i="6"/>
  <c r="C40" i="6" s="1"/>
  <c r="C5" i="6"/>
  <c r="C25" i="6"/>
  <c r="C4" i="6"/>
  <c r="C6" i="6" l="1"/>
  <c r="D22" i="4"/>
  <c r="D23" i="4"/>
  <c r="D21" i="4"/>
  <c r="D20" i="4"/>
  <c r="D14" i="4"/>
  <c r="C40" i="4"/>
  <c r="C30" i="4"/>
  <c r="C27" i="4"/>
  <c r="C18" i="4"/>
  <c r="C12" i="4"/>
  <c r="C2" i="3"/>
  <c r="E29" i="3"/>
  <c r="F29" i="3" s="1"/>
  <c r="E30" i="3"/>
  <c r="F30" i="3" s="1"/>
  <c r="E31" i="3"/>
  <c r="F31" i="3" s="1"/>
  <c r="E32" i="3"/>
  <c r="F32" i="3" s="1"/>
  <c r="E28" i="3"/>
  <c r="F28" i="3" s="1"/>
  <c r="E27" i="3"/>
  <c r="F27" i="3" s="1"/>
  <c r="E26" i="3"/>
  <c r="F26" i="3" s="1"/>
  <c r="E25" i="3"/>
  <c r="F25" i="3" s="1"/>
  <c r="E24" i="3"/>
  <c r="F24" i="3" s="1"/>
  <c r="E16" i="3"/>
  <c r="F16" i="3" s="1"/>
  <c r="E15" i="3"/>
  <c r="F15" i="3" s="1"/>
  <c r="G32" i="2"/>
  <c r="F32" i="2"/>
  <c r="E17" i="3"/>
  <c r="F17" i="3" s="1"/>
  <c r="E13" i="3"/>
  <c r="F13" i="3" s="1"/>
  <c r="E14" i="3"/>
  <c r="F14" i="3" s="1"/>
  <c r="E9" i="3"/>
  <c r="F9" i="3" s="1"/>
  <c r="E8" i="3"/>
  <c r="F8" i="3" s="1"/>
  <c r="E7" i="3"/>
  <c r="F7" i="3" s="1"/>
  <c r="G29" i="2"/>
  <c r="G22" i="2"/>
  <c r="G30" i="2"/>
  <c r="G23" i="2"/>
  <c r="F34" i="2"/>
  <c r="G34" i="2" s="1"/>
  <c r="F35" i="2"/>
  <c r="G35" i="2" s="1"/>
  <c r="F36" i="2"/>
  <c r="G36" i="2" s="1"/>
  <c r="F33" i="2"/>
  <c r="G33" i="2" s="1"/>
  <c r="F20" i="2"/>
  <c r="G20" i="2" s="1"/>
  <c r="F18" i="2"/>
  <c r="G18" i="2" s="1"/>
  <c r="E27" i="2"/>
  <c r="F27" i="2" s="1"/>
  <c r="G27" i="2" s="1"/>
  <c r="E25" i="2"/>
  <c r="F25" i="2" s="1"/>
  <c r="G25" i="2" s="1"/>
  <c r="E21" i="2"/>
  <c r="E28" i="2" s="1"/>
  <c r="F28" i="2" s="1"/>
  <c r="G28" i="2" s="1"/>
  <c r="E19" i="2"/>
  <c r="F19" i="2" s="1"/>
  <c r="G19" i="2" s="1"/>
  <c r="C37" i="4" l="1"/>
  <c r="C41" i="4" s="1"/>
  <c r="C26" i="4"/>
  <c r="F33" i="3"/>
  <c r="E11" i="3"/>
  <c r="F11" i="3" s="1"/>
  <c r="E10" i="3"/>
  <c r="F10" i="3" s="1"/>
  <c r="E26" i="2"/>
  <c r="F26" i="2" s="1"/>
  <c r="G26" i="2" s="1"/>
  <c r="F21" i="2"/>
  <c r="E10" i="2"/>
  <c r="F10" i="2" s="1"/>
  <c r="E11" i="2"/>
  <c r="F11" i="2" s="1"/>
  <c r="E9" i="2"/>
  <c r="F9" i="2" s="1"/>
  <c r="E8" i="2"/>
  <c r="F8" i="2" s="1"/>
  <c r="E7" i="2"/>
  <c r="F7" i="2" s="1"/>
  <c r="F12" i="2" s="1"/>
  <c r="G21" i="2" l="1"/>
  <c r="G37" i="2" s="1"/>
  <c r="C2" i="2" s="1"/>
  <c r="E12" i="3"/>
  <c r="F12" i="3" s="1"/>
  <c r="F18" i="3" s="1"/>
  <c r="C32" i="1"/>
  <c r="C22" i="1"/>
  <c r="C19" i="1"/>
  <c r="C29" i="1" s="1"/>
  <c r="C33" i="1" s="1"/>
  <c r="C10" i="1"/>
  <c r="C4" i="1"/>
  <c r="C18" i="1" s="1"/>
</calcChain>
</file>

<file path=xl/sharedStrings.xml><?xml version="1.0" encoding="utf-8"?>
<sst xmlns="http://schemas.openxmlformats.org/spreadsheetml/2006/main" count="196" uniqueCount="107">
  <si>
    <t>cifras en millones de pesos</t>
  </si>
  <si>
    <t>Banco del Pacífico</t>
  </si>
  <si>
    <t>Efectivo y reservas en el banco central</t>
  </si>
  <si>
    <t>Títulos conservados a vencimiento</t>
  </si>
  <si>
    <t xml:space="preserve">   Bonos gubernamentales &lt; 1 año (Nivel 1 para HQLA)</t>
  </si>
  <si>
    <t xml:space="preserve">   Bondes 1-5 años (Nivel 1 para HQLA)</t>
  </si>
  <si>
    <t xml:space="preserve">   Bonos M 1-5 años (Nivel 2A para HQLA)</t>
  </si>
  <si>
    <t xml:space="preserve">   Bonos corporativos calif AA- o superior tasa fija (Nivel 2A para HQLA)</t>
  </si>
  <si>
    <t xml:space="preserve">   Bonos corporativos calif BBB- a A+ tasa fija (nivel 2B para HQLA)</t>
  </si>
  <si>
    <t>Cartera de crédito</t>
  </si>
  <si>
    <t xml:space="preserve">    Hipotecario</t>
  </si>
  <si>
    <t xml:space="preserve">   Consumo (tarjetas de crédito, de nómina, personales)</t>
  </si>
  <si>
    <t xml:space="preserve">    PYMES</t>
  </si>
  <si>
    <t xml:space="preserve">    Corporativo (grandes empresas)</t>
  </si>
  <si>
    <t xml:space="preserve">    Instituciones Financieras (sofoms, sofipos, sapis, otros bancos)</t>
  </si>
  <si>
    <t>Activos Fijos</t>
  </si>
  <si>
    <t>Otros activos</t>
  </si>
  <si>
    <t>TOTAL ACTIVO</t>
  </si>
  <si>
    <t>Depósitos a la vista</t>
  </si>
  <si>
    <r>
      <t xml:space="preserve">    Minoristas (retail)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</si>
  <si>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 xml:space="preserve">    De empresas</t>
    </r>
    <r>
      <rPr>
        <vertAlign val="superscript"/>
        <sz val="11"/>
        <color theme="1"/>
        <rFont val="Aptos Narrow"/>
        <family val="2"/>
        <scheme val="minor"/>
      </rPr>
      <t>b</t>
    </r>
  </si>
  <si>
    <t>Depósitos a plazo</t>
  </si>
  <si>
    <t xml:space="preserve">    Minoristas (retail)</t>
  </si>
  <si>
    <t xml:space="preserve">    De empresas</t>
  </si>
  <si>
    <r>
      <t>Fondeo mayorista</t>
    </r>
    <r>
      <rPr>
        <b/>
        <vertAlign val="superscript"/>
        <sz val="11"/>
        <color theme="1"/>
        <rFont val="Aptos Narrow"/>
        <family val="2"/>
        <scheme val="minor"/>
      </rPr>
      <t>c</t>
    </r>
  </si>
  <si>
    <t>Bonos emitidos con vencimiento &lt; 1 año</t>
  </si>
  <si>
    <t>Bonos emitidos con vencimiento 1-5 años</t>
  </si>
  <si>
    <t>Bonos emitidos con vencimiento 5-10 años</t>
  </si>
  <si>
    <t>TOTAL PASIVO</t>
  </si>
  <si>
    <r>
      <t>Capital Tier 1</t>
    </r>
    <r>
      <rPr>
        <b/>
        <vertAlign val="superscript"/>
        <sz val="11"/>
        <color theme="1"/>
        <rFont val="Aptos Narrow"/>
        <family val="2"/>
        <scheme val="minor"/>
      </rPr>
      <t>d</t>
    </r>
  </si>
  <si>
    <r>
      <t>Capital Tier 2</t>
    </r>
    <r>
      <rPr>
        <b/>
        <vertAlign val="superscript"/>
        <sz val="11"/>
        <color theme="1"/>
        <rFont val="Aptos Narrow"/>
        <family val="2"/>
        <scheme val="minor"/>
      </rPr>
      <t>e</t>
    </r>
  </si>
  <si>
    <t xml:space="preserve">TOTAL CAPITAL </t>
  </si>
  <si>
    <t>TOTAL PASIVO Y CAPITAL</t>
  </si>
  <si>
    <t>HQLA</t>
  </si>
  <si>
    <t>TOTAL</t>
  </si>
  <si>
    <t>Nivel 1</t>
  </si>
  <si>
    <t>Bonos gubernamentales &lt; 1 año o duración menor a 1</t>
  </si>
  <si>
    <t>Nivel 2A</t>
  </si>
  <si>
    <t>Bonos soberanos &gt;1 año</t>
  </si>
  <si>
    <t>Bonos corporativos calif AA- o superior</t>
  </si>
  <si>
    <t>Nivel 2B</t>
  </si>
  <si>
    <t>Bonos corporativos calif BBB- a A+</t>
  </si>
  <si>
    <t>Ponderación</t>
  </si>
  <si>
    <t>Monto</t>
  </si>
  <si>
    <t>Monto Factorizado</t>
  </si>
  <si>
    <t>Tipo</t>
  </si>
  <si>
    <t>Descripción</t>
  </si>
  <si>
    <t>SALIDAS NETAS DE EFECTIVO</t>
  </si>
  <si>
    <t>Fondeo mayorista garantizado con HQLA Nivel 2A contraparte no financiera</t>
  </si>
  <si>
    <t>Fondeo mayorista garantizado con HQLA Nivel 2A contraparte financiera</t>
  </si>
  <si>
    <t>Fondeo mayorista sin colateral (sin garantía)</t>
  </si>
  <si>
    <t>Depósitos minoristas core (vista)</t>
  </si>
  <si>
    <t>Depósitos minoristas menos estables (vista)</t>
  </si>
  <si>
    <t>Depósitos minoristas core (plazo)</t>
  </si>
  <si>
    <t>Depósitos minoristas menos estables (plazo)</t>
  </si>
  <si>
    <t>Depósitos operacionales de empresas (vista)</t>
  </si>
  <si>
    <t>Depósitos no operacionales de empresas (vista)</t>
  </si>
  <si>
    <t>Depósitos operacionales de empresas (plazo)</t>
  </si>
  <si>
    <t>Depósitos no operacionales de empresas (plazo)</t>
  </si>
  <si>
    <t>Depósitos no operacioneles de financieras (plazo)</t>
  </si>
  <si>
    <t>Depósitos no operacioneles de financieras (vista)</t>
  </si>
  <si>
    <t>VISTA</t>
  </si>
  <si>
    <t>PLAZO</t>
  </si>
  <si>
    <t>FONDEO MAYORISTA</t>
  </si>
  <si>
    <t>Factor</t>
  </si>
  <si>
    <t>Ponderaciones</t>
  </si>
  <si>
    <t>LCR</t>
  </si>
  <si>
    <t>Depósitos operacioneles de financieras (vista)</t>
  </si>
  <si>
    <t>Depósitos operacioneles de financieras (plazo)</t>
  </si>
  <si>
    <t>ASF</t>
  </si>
  <si>
    <t>Capital Tier 1 y Tier 2</t>
  </si>
  <si>
    <t>Pasivos con plazo residual mayor a 1 año</t>
  </si>
  <si>
    <t>Depósitos minoristas estables (core)</t>
  </si>
  <si>
    <t>Depósitos minoristas menos estables (volátiles)</t>
  </si>
  <si>
    <t>Depósitos operacionales de empresas no financieras</t>
  </si>
  <si>
    <t>Depósitos no operacionales de empresas no financieras</t>
  </si>
  <si>
    <t>Depósitos operacionales de empresas financieras</t>
  </si>
  <si>
    <t>Depósitos no operacionales de empresas financieras</t>
  </si>
  <si>
    <t>Fondeo mayorista contrapartes no financieras con colateral</t>
  </si>
  <si>
    <t>Fondeo mayorista contrapartes financieras con colateral</t>
  </si>
  <si>
    <t>Fondeo mayorista sin colateral</t>
  </si>
  <si>
    <t>Fondeo mayorista garantizado con HQLA Nivel 1 contraparte no financiera</t>
  </si>
  <si>
    <t>Fondeo mayorista garantizado con HQLA Nivel 1 contraparte financiera</t>
  </si>
  <si>
    <t>RSF</t>
  </si>
  <si>
    <t>Efectivo y depósitos en el banco central</t>
  </si>
  <si>
    <t>HQLA nivel 1</t>
  </si>
  <si>
    <t>HQLA nivel 2A</t>
  </si>
  <si>
    <t>HQLA nivel 2B</t>
  </si>
  <si>
    <t>Hipotecarios</t>
  </si>
  <si>
    <t xml:space="preserve">Créditos a consumo </t>
  </si>
  <si>
    <t>Créditos PYME</t>
  </si>
  <si>
    <t>Créditos a empresas no financieras (corporativos) largo plazo</t>
  </si>
  <si>
    <t>Créditos a instituciones financieras (largo plazo)</t>
  </si>
  <si>
    <t>NSFR</t>
  </si>
  <si>
    <t>TIIE</t>
  </si>
  <si>
    <t>TIIE Fondeo</t>
  </si>
  <si>
    <t>Tasa</t>
  </si>
  <si>
    <t>Ingresos</t>
  </si>
  <si>
    <t>Egresos</t>
  </si>
  <si>
    <t>NII</t>
  </si>
  <si>
    <t>Total Ingresos</t>
  </si>
  <si>
    <t>Total Egresos</t>
  </si>
  <si>
    <t>ROE</t>
  </si>
  <si>
    <t>Cambio de Tasa (pb)</t>
  </si>
  <si>
    <t>Cambio de Tasa (%)</t>
  </si>
  <si>
    <t>Variable?</t>
  </si>
  <si>
    <t>Tipo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</si>
</sst>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5" fillId="2" borderId="0" xfId="0" applyFont="1" applyFill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3" fillId="3" borderId="0" xfId="0" applyFont="1" applyFill="1"/>
    <xf numFmtId="3" fontId="0" fillId="3" borderId="0" xfId="0" applyNumberForma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0" fontId="8" fillId="0" borderId="0" xfId="0" applyFont="1" applyFill="1"/>
    <xf numFmtId="9" fontId="8" fillId="0" borderId="0" xfId="0" applyNumberFormat="1" applyFont="1" applyFill="1" applyAlignment="1">
      <alignment horizontal="center"/>
    </xf>
    <xf numFmtId="9" fontId="8" fillId="0" borderId="0" xfId="0" applyNumberFormat="1" applyFont="1" applyFill="1"/>
    <xf numFmtId="3" fontId="0" fillId="0" borderId="0" xfId="0" applyNumberFormat="1"/>
    <xf numFmtId="10" fontId="0" fillId="0" borderId="0" xfId="2" applyNumberFormat="1" applyFont="1"/>
    <xf numFmtId="2" fontId="0" fillId="0" borderId="0" xfId="2" applyNumberFormat="1" applyFont="1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0" fontId="0" fillId="0" borderId="0" xfId="0" applyNumberFormat="1"/>
    <xf numFmtId="44" fontId="0" fillId="0" borderId="0" xfId="1" applyFont="1"/>
    <xf numFmtId="44" fontId="0" fillId="0" borderId="0" xfId="0" applyNumberFormat="1"/>
    <xf numFmtId="2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A783-E051-4194-AEE1-FFE3EF74AC8E}">
  <dimension ref="B2:C33"/>
  <sheetViews>
    <sheetView tabSelected="1" topLeftCell="A8" workbookViewId="0">
      <selection activeCell="F16" sqref="F16"/>
    </sheetView>
  </sheetViews>
  <sheetFormatPr baseColWidth="10" defaultRowHeight="14.4" x14ac:dyDescent="0.3"/>
  <cols>
    <col min="2" max="2" width="57.109375" bestFit="1" customWidth="1"/>
  </cols>
  <sheetData>
    <row r="2" spans="2:3" x14ac:dyDescent="0.3">
      <c r="B2" s="1" t="s">
        <v>0</v>
      </c>
      <c r="C2" s="2" t="s">
        <v>1</v>
      </c>
    </row>
    <row r="3" spans="2:3" x14ac:dyDescent="0.3">
      <c r="B3" s="3" t="s">
        <v>2</v>
      </c>
      <c r="C3" s="4">
        <v>450</v>
      </c>
    </row>
    <row r="4" spans="2:3" x14ac:dyDescent="0.3">
      <c r="B4" s="3" t="s">
        <v>3</v>
      </c>
      <c r="C4" s="4">
        <f>SUM(C5:C9)</f>
        <v>670</v>
      </c>
    </row>
    <row r="5" spans="2:3" x14ac:dyDescent="0.3">
      <c r="B5" t="s">
        <v>4</v>
      </c>
      <c r="C5" s="5">
        <v>180</v>
      </c>
    </row>
    <row r="6" spans="2:3" x14ac:dyDescent="0.3">
      <c r="B6" t="s">
        <v>5</v>
      </c>
      <c r="C6" s="5">
        <v>240</v>
      </c>
    </row>
    <row r="7" spans="2:3" x14ac:dyDescent="0.3">
      <c r="B7" t="s">
        <v>6</v>
      </c>
      <c r="C7" s="5">
        <v>150</v>
      </c>
    </row>
    <row r="8" spans="2:3" x14ac:dyDescent="0.3">
      <c r="B8" t="s">
        <v>7</v>
      </c>
      <c r="C8" s="5">
        <v>100</v>
      </c>
    </row>
    <row r="9" spans="2:3" x14ac:dyDescent="0.3">
      <c r="B9" t="s">
        <v>8</v>
      </c>
      <c r="C9" s="5">
        <v>0</v>
      </c>
    </row>
    <row r="10" spans="2:3" x14ac:dyDescent="0.3">
      <c r="B10" s="3" t="s">
        <v>9</v>
      </c>
      <c r="C10" s="6">
        <f>SUM(C11:C15)</f>
        <v>6500</v>
      </c>
    </row>
    <row r="11" spans="2:3" x14ac:dyDescent="0.3">
      <c r="B11" t="s">
        <v>10</v>
      </c>
      <c r="C11" s="7">
        <v>1500</v>
      </c>
    </row>
    <row r="12" spans="2:3" x14ac:dyDescent="0.3">
      <c r="B12" t="s">
        <v>11</v>
      </c>
      <c r="C12" s="7">
        <v>2500</v>
      </c>
    </row>
    <row r="13" spans="2:3" x14ac:dyDescent="0.3">
      <c r="B13" t="s">
        <v>12</v>
      </c>
      <c r="C13" s="7">
        <v>800</v>
      </c>
    </row>
    <row r="14" spans="2:3" x14ac:dyDescent="0.3">
      <c r="B14" t="s">
        <v>13</v>
      </c>
      <c r="C14" s="7">
        <v>1200</v>
      </c>
    </row>
    <row r="15" spans="2:3" x14ac:dyDescent="0.3">
      <c r="B15" t="s">
        <v>14</v>
      </c>
      <c r="C15" s="7">
        <v>500</v>
      </c>
    </row>
    <row r="16" spans="2:3" x14ac:dyDescent="0.3">
      <c r="B16" s="3" t="s">
        <v>15</v>
      </c>
      <c r="C16" s="6">
        <v>330</v>
      </c>
    </row>
    <row r="17" spans="2:3" x14ac:dyDescent="0.3">
      <c r="B17" s="3" t="s">
        <v>16</v>
      </c>
      <c r="C17" s="6">
        <v>48</v>
      </c>
    </row>
    <row r="18" spans="2:3" x14ac:dyDescent="0.3">
      <c r="B18" s="2" t="s">
        <v>17</v>
      </c>
      <c r="C18" s="8">
        <f>C3+C4+C10+C16+C17</f>
        <v>7998</v>
      </c>
    </row>
    <row r="19" spans="2:3" x14ac:dyDescent="0.3">
      <c r="B19" s="3" t="s">
        <v>18</v>
      </c>
      <c r="C19" s="6">
        <f>C20+C21</f>
        <v>2700</v>
      </c>
    </row>
    <row r="20" spans="2:3" ht="16.2" x14ac:dyDescent="0.3">
      <c r="B20" t="s">
        <v>19</v>
      </c>
      <c r="C20" s="7">
        <v>2100</v>
      </c>
    </row>
    <row r="21" spans="2:3" ht="16.2" x14ac:dyDescent="0.3">
      <c r="B21" t="s">
        <v>20</v>
      </c>
      <c r="C21" s="7">
        <v>600</v>
      </c>
    </row>
    <row r="22" spans="2:3" x14ac:dyDescent="0.3">
      <c r="B22" s="3" t="s">
        <v>21</v>
      </c>
      <c r="C22" s="6">
        <f>C23+C24</f>
        <v>2300</v>
      </c>
    </row>
    <row r="23" spans="2:3" x14ac:dyDescent="0.3">
      <c r="B23" t="s">
        <v>22</v>
      </c>
      <c r="C23" s="7">
        <v>1900</v>
      </c>
    </row>
    <row r="24" spans="2:3" x14ac:dyDescent="0.3">
      <c r="B24" t="s">
        <v>23</v>
      </c>
      <c r="C24" s="7">
        <v>400</v>
      </c>
    </row>
    <row r="25" spans="2:3" ht="16.2" x14ac:dyDescent="0.3">
      <c r="B25" s="3" t="s">
        <v>24</v>
      </c>
      <c r="C25" s="6">
        <v>750</v>
      </c>
    </row>
    <row r="26" spans="2:3" x14ac:dyDescent="0.3">
      <c r="B26" s="3" t="s">
        <v>25</v>
      </c>
      <c r="C26" s="6">
        <v>400</v>
      </c>
    </row>
    <row r="27" spans="2:3" x14ac:dyDescent="0.3">
      <c r="B27" s="3" t="s">
        <v>26</v>
      </c>
      <c r="C27" s="6">
        <v>1000</v>
      </c>
    </row>
    <row r="28" spans="2:3" x14ac:dyDescent="0.3">
      <c r="B28" s="3" t="s">
        <v>27</v>
      </c>
      <c r="C28" s="6">
        <v>0</v>
      </c>
    </row>
    <row r="29" spans="2:3" x14ac:dyDescent="0.3">
      <c r="B29" s="2" t="s">
        <v>28</v>
      </c>
      <c r="C29" s="8">
        <f>C19+C22+C25+C26+C27+C28</f>
        <v>7150</v>
      </c>
    </row>
    <row r="30" spans="2:3" ht="16.2" x14ac:dyDescent="0.3">
      <c r="B30" s="3" t="s">
        <v>29</v>
      </c>
      <c r="C30" s="7">
        <v>848</v>
      </c>
    </row>
    <row r="31" spans="2:3" ht="16.2" x14ac:dyDescent="0.3">
      <c r="B31" s="3" t="s">
        <v>30</v>
      </c>
      <c r="C31" s="7">
        <v>0</v>
      </c>
    </row>
    <row r="32" spans="2:3" x14ac:dyDescent="0.3">
      <c r="B32" s="2" t="s">
        <v>31</v>
      </c>
      <c r="C32" s="8">
        <f>C30+C31</f>
        <v>848</v>
      </c>
    </row>
    <row r="33" spans="2:3" x14ac:dyDescent="0.3">
      <c r="B33" s="9" t="s">
        <v>32</v>
      </c>
      <c r="C33" s="10">
        <f>C29+C32</f>
        <v>7998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2D3C-F038-4B5C-8158-58DAF77F45AE}">
  <dimension ref="B2:G42"/>
  <sheetViews>
    <sheetView topLeftCell="A8" workbookViewId="0">
      <selection activeCell="C20" sqref="C19:C20"/>
    </sheetView>
  </sheetViews>
  <sheetFormatPr baseColWidth="10" defaultRowHeight="14.4" x14ac:dyDescent="0.3"/>
  <cols>
    <col min="3" max="3" width="61.5546875" bestFit="1" customWidth="1"/>
    <col min="4" max="4" width="11.21875" bestFit="1" customWidth="1"/>
    <col min="5" max="5" width="13.109375" bestFit="1" customWidth="1"/>
    <col min="6" max="7" width="15.77734375" bestFit="1" customWidth="1"/>
  </cols>
  <sheetData>
    <row r="2" spans="2:7" x14ac:dyDescent="0.3">
      <c r="B2" t="s">
        <v>66</v>
      </c>
      <c r="C2" s="20">
        <f>F12/G37</f>
        <v>1.107983623336745</v>
      </c>
    </row>
    <row r="4" spans="2:7" x14ac:dyDescent="0.3">
      <c r="B4" t="s">
        <v>33</v>
      </c>
    </row>
    <row r="6" spans="2:7" x14ac:dyDescent="0.3">
      <c r="B6" s="5" t="s">
        <v>45</v>
      </c>
      <c r="C6" s="5" t="s">
        <v>46</v>
      </c>
      <c r="D6" s="5" t="s">
        <v>42</v>
      </c>
      <c r="E6" s="5" t="s">
        <v>43</v>
      </c>
      <c r="F6" s="5" t="s">
        <v>44</v>
      </c>
    </row>
    <row r="7" spans="2:7" x14ac:dyDescent="0.3">
      <c r="B7" s="5" t="s">
        <v>35</v>
      </c>
      <c r="C7" t="s">
        <v>2</v>
      </c>
      <c r="D7" s="12">
        <v>1</v>
      </c>
      <c r="E7" s="5">
        <f>Datos!C3</f>
        <v>450</v>
      </c>
      <c r="F7" s="5">
        <f>E7*D7</f>
        <v>450</v>
      </c>
    </row>
    <row r="8" spans="2:7" x14ac:dyDescent="0.3">
      <c r="B8" s="5" t="s">
        <v>35</v>
      </c>
      <c r="C8" t="s">
        <v>36</v>
      </c>
      <c r="D8" s="12">
        <v>1</v>
      </c>
      <c r="E8" s="5">
        <f>Datos!C5+Datos!C6</f>
        <v>420</v>
      </c>
      <c r="F8" s="5">
        <f t="shared" ref="F8:F11" si="0">E8*D8</f>
        <v>420</v>
      </c>
    </row>
    <row r="9" spans="2:7" x14ac:dyDescent="0.3">
      <c r="B9" s="5" t="s">
        <v>37</v>
      </c>
      <c r="C9" t="s">
        <v>38</v>
      </c>
      <c r="D9" s="12">
        <v>0.85</v>
      </c>
      <c r="E9" s="5">
        <f>Datos!C7</f>
        <v>150</v>
      </c>
      <c r="F9" s="5">
        <f t="shared" si="0"/>
        <v>127.5</v>
      </c>
    </row>
    <row r="10" spans="2:7" x14ac:dyDescent="0.3">
      <c r="B10" s="5" t="s">
        <v>37</v>
      </c>
      <c r="C10" t="s">
        <v>39</v>
      </c>
      <c r="D10" s="12">
        <v>0.85</v>
      </c>
      <c r="E10" s="5">
        <f>Datos!C8</f>
        <v>100</v>
      </c>
      <c r="F10" s="5">
        <f t="shared" si="0"/>
        <v>85</v>
      </c>
    </row>
    <row r="11" spans="2:7" x14ac:dyDescent="0.3">
      <c r="B11" s="5" t="s">
        <v>40</v>
      </c>
      <c r="C11" t="s">
        <v>41</v>
      </c>
      <c r="D11" s="12">
        <v>0.5</v>
      </c>
      <c r="E11" s="5">
        <f>Datos!C9</f>
        <v>0</v>
      </c>
      <c r="F11" s="5">
        <f t="shared" si="0"/>
        <v>0</v>
      </c>
    </row>
    <row r="12" spans="2:7" x14ac:dyDescent="0.3">
      <c r="E12" s="5" t="s">
        <v>34</v>
      </c>
      <c r="F12" s="5">
        <f>SUM(F7:F11)</f>
        <v>1082.5</v>
      </c>
    </row>
    <row r="14" spans="2:7" x14ac:dyDescent="0.3">
      <c r="B14" s="13" t="s">
        <v>47</v>
      </c>
    </row>
    <row r="16" spans="2:7" x14ac:dyDescent="0.3">
      <c r="C16" t="s">
        <v>46</v>
      </c>
      <c r="D16" s="5" t="s">
        <v>64</v>
      </c>
      <c r="E16" s="5" t="s">
        <v>65</v>
      </c>
      <c r="F16" s="5" t="s">
        <v>43</v>
      </c>
      <c r="G16" s="5" t="s">
        <v>44</v>
      </c>
    </row>
    <row r="17" spans="3:7" x14ac:dyDescent="0.3">
      <c r="C17" s="14" t="s">
        <v>61</v>
      </c>
      <c r="D17" s="14"/>
      <c r="E17" s="14"/>
      <c r="F17" s="14"/>
      <c r="G17" s="14"/>
    </row>
    <row r="18" spans="3:7" x14ac:dyDescent="0.3">
      <c r="C18" t="s">
        <v>51</v>
      </c>
      <c r="D18" s="12">
        <v>0.03</v>
      </c>
      <c r="E18" s="11">
        <v>0.6</v>
      </c>
      <c r="F18">
        <f>LCR!E18*Datos!C20</f>
        <v>1260</v>
      </c>
      <c r="G18">
        <f>F18*D18</f>
        <v>37.799999999999997</v>
      </c>
    </row>
    <row r="19" spans="3:7" x14ac:dyDescent="0.3">
      <c r="C19" t="s">
        <v>52</v>
      </c>
      <c r="D19" s="12">
        <v>0.1</v>
      </c>
      <c r="E19" s="11">
        <f>1-E18</f>
        <v>0.4</v>
      </c>
      <c r="F19">
        <f>E19*Datos!C20</f>
        <v>840</v>
      </c>
      <c r="G19">
        <f t="shared" ref="G19:G29" si="1">F19*D19</f>
        <v>84</v>
      </c>
    </row>
    <row r="20" spans="3:7" x14ac:dyDescent="0.3">
      <c r="C20" t="s">
        <v>55</v>
      </c>
      <c r="D20" s="12">
        <v>0.25</v>
      </c>
      <c r="E20" s="11">
        <v>0.2</v>
      </c>
      <c r="F20">
        <f>E20*Datos!C21</f>
        <v>120</v>
      </c>
      <c r="G20">
        <f t="shared" si="1"/>
        <v>30</v>
      </c>
    </row>
    <row r="21" spans="3:7" x14ac:dyDescent="0.3">
      <c r="C21" t="s">
        <v>56</v>
      </c>
      <c r="D21" s="12">
        <v>0.4</v>
      </c>
      <c r="E21" s="11">
        <f>1-E20</f>
        <v>0.8</v>
      </c>
      <c r="F21">
        <f>E21*Datos!C21</f>
        <v>480</v>
      </c>
      <c r="G21">
        <f t="shared" si="1"/>
        <v>192</v>
      </c>
    </row>
    <row r="22" spans="3:7" x14ac:dyDescent="0.3">
      <c r="C22" t="s">
        <v>67</v>
      </c>
      <c r="D22" s="16">
        <v>1</v>
      </c>
      <c r="E22" s="17">
        <v>0.5</v>
      </c>
      <c r="F22" s="15">
        <v>0</v>
      </c>
      <c r="G22">
        <f>F22*D22</f>
        <v>0</v>
      </c>
    </row>
    <row r="23" spans="3:7" x14ac:dyDescent="0.3">
      <c r="C23" t="s">
        <v>60</v>
      </c>
      <c r="D23" s="12">
        <v>1</v>
      </c>
      <c r="E23" s="11">
        <v>0.5</v>
      </c>
      <c r="F23">
        <v>0</v>
      </c>
      <c r="G23">
        <f t="shared" si="1"/>
        <v>0</v>
      </c>
    </row>
    <row r="24" spans="3:7" x14ac:dyDescent="0.3">
      <c r="C24" s="14" t="s">
        <v>62</v>
      </c>
      <c r="D24" s="14"/>
      <c r="E24" s="14"/>
      <c r="F24" s="14"/>
      <c r="G24" s="14"/>
    </row>
    <row r="25" spans="3:7" x14ac:dyDescent="0.3">
      <c r="C25" t="s">
        <v>53</v>
      </c>
      <c r="D25" s="12">
        <v>0.03</v>
      </c>
      <c r="E25" s="11">
        <f>E18</f>
        <v>0.6</v>
      </c>
      <c r="F25">
        <f>E25*Datos!C23</f>
        <v>1140</v>
      </c>
      <c r="G25">
        <f t="shared" si="1"/>
        <v>34.199999999999996</v>
      </c>
    </row>
    <row r="26" spans="3:7" x14ac:dyDescent="0.3">
      <c r="C26" t="s">
        <v>54</v>
      </c>
      <c r="D26" s="12">
        <v>0.1</v>
      </c>
      <c r="E26" s="11">
        <f t="shared" ref="E26:E28" si="2">E19</f>
        <v>0.4</v>
      </c>
      <c r="F26">
        <f>E26*Datos!C23</f>
        <v>760</v>
      </c>
      <c r="G26">
        <f t="shared" si="1"/>
        <v>76</v>
      </c>
    </row>
    <row r="27" spans="3:7" x14ac:dyDescent="0.3">
      <c r="C27" t="s">
        <v>57</v>
      </c>
      <c r="D27" s="12">
        <v>0.25</v>
      </c>
      <c r="E27" s="11">
        <f t="shared" si="2"/>
        <v>0.2</v>
      </c>
      <c r="F27">
        <f>E27*Datos!C24</f>
        <v>80</v>
      </c>
      <c r="G27">
        <f t="shared" si="1"/>
        <v>20</v>
      </c>
    </row>
    <row r="28" spans="3:7" x14ac:dyDescent="0.3">
      <c r="C28" t="s">
        <v>58</v>
      </c>
      <c r="D28" s="12">
        <v>0.4</v>
      </c>
      <c r="E28" s="11">
        <f t="shared" si="2"/>
        <v>0.8</v>
      </c>
      <c r="F28">
        <f>E28*Datos!C24</f>
        <v>320</v>
      </c>
      <c r="G28">
        <f t="shared" si="1"/>
        <v>128</v>
      </c>
    </row>
    <row r="29" spans="3:7" x14ac:dyDescent="0.3">
      <c r="C29" t="s">
        <v>68</v>
      </c>
      <c r="D29" s="16">
        <v>1</v>
      </c>
      <c r="E29" s="17">
        <v>0.5</v>
      </c>
      <c r="F29" s="15">
        <v>0</v>
      </c>
      <c r="G29">
        <f>F29*D29</f>
        <v>0</v>
      </c>
    </row>
    <row r="30" spans="3:7" x14ac:dyDescent="0.3">
      <c r="C30" t="s">
        <v>59</v>
      </c>
      <c r="D30" s="16">
        <v>1</v>
      </c>
      <c r="E30" s="17">
        <v>0.5</v>
      </c>
      <c r="F30" s="15">
        <v>0</v>
      </c>
      <c r="G30">
        <f>F30*D30</f>
        <v>0</v>
      </c>
    </row>
    <row r="31" spans="3:7" x14ac:dyDescent="0.3">
      <c r="C31" s="14" t="s">
        <v>63</v>
      </c>
      <c r="D31" s="14"/>
      <c r="E31" s="14"/>
      <c r="F31" s="14"/>
      <c r="G31" s="14"/>
    </row>
    <row r="32" spans="3:7" x14ac:dyDescent="0.3">
      <c r="C32" t="s">
        <v>81</v>
      </c>
      <c r="D32" s="12">
        <v>0</v>
      </c>
      <c r="E32" s="11">
        <v>0</v>
      </c>
      <c r="F32" s="18">
        <f>E32*Datos!$C$25</f>
        <v>0</v>
      </c>
      <c r="G32">
        <f>F32*D31</f>
        <v>0</v>
      </c>
    </row>
    <row r="33" spans="3:7" x14ac:dyDescent="0.3">
      <c r="C33" t="s">
        <v>82</v>
      </c>
      <c r="D33" s="12">
        <v>0</v>
      </c>
      <c r="E33" s="11">
        <v>0.5</v>
      </c>
      <c r="F33" s="18">
        <f>E33*Datos!$C$25</f>
        <v>375</v>
      </c>
      <c r="G33">
        <f>F33*D32</f>
        <v>0</v>
      </c>
    </row>
    <row r="34" spans="3:7" x14ac:dyDescent="0.3">
      <c r="C34" t="s">
        <v>48</v>
      </c>
      <c r="D34" s="12">
        <v>0.15</v>
      </c>
      <c r="E34" s="11">
        <v>0</v>
      </c>
      <c r="F34" s="18">
        <f>E34*Datos!$C$25</f>
        <v>0</v>
      </c>
      <c r="G34">
        <f t="shared" ref="G32:G36" si="3">F34*D34</f>
        <v>0</v>
      </c>
    </row>
    <row r="35" spans="3:7" x14ac:dyDescent="0.3">
      <c r="C35" t="s">
        <v>49</v>
      </c>
      <c r="D35" s="12">
        <v>0.25</v>
      </c>
      <c r="E35" s="11">
        <v>0</v>
      </c>
      <c r="F35" s="18">
        <f>E35*Datos!$C$25</f>
        <v>0</v>
      </c>
      <c r="G35">
        <f t="shared" si="3"/>
        <v>0</v>
      </c>
    </row>
    <row r="36" spans="3:7" x14ac:dyDescent="0.3">
      <c r="C36" t="s">
        <v>50</v>
      </c>
      <c r="D36" s="12">
        <v>1</v>
      </c>
      <c r="E36" s="11">
        <v>0.5</v>
      </c>
      <c r="F36" s="18">
        <f>E36*Datos!$C$25</f>
        <v>375</v>
      </c>
      <c r="G36">
        <f t="shared" si="3"/>
        <v>375</v>
      </c>
    </row>
    <row r="37" spans="3:7" x14ac:dyDescent="0.3">
      <c r="F37" s="5" t="s">
        <v>34</v>
      </c>
      <c r="G37">
        <f>SUM(G18:G23,G25:G30,G33:G36)</f>
        <v>977</v>
      </c>
    </row>
    <row r="40" spans="3:7" x14ac:dyDescent="0.3">
      <c r="D40" s="12"/>
    </row>
    <row r="41" spans="3:7" x14ac:dyDescent="0.3">
      <c r="D41" s="12"/>
    </row>
    <row r="42" spans="3:7" x14ac:dyDescent="0.3">
      <c r="D42" s="12"/>
    </row>
  </sheetData>
  <mergeCells count="3">
    <mergeCell ref="C17:G17"/>
    <mergeCell ref="C24:G24"/>
    <mergeCell ref="C31:G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C802-D912-4A96-99A0-C72425847DC3}">
  <dimension ref="B2:F33"/>
  <sheetViews>
    <sheetView workbookViewId="0">
      <selection activeCell="I6" sqref="I6"/>
    </sheetView>
  </sheetViews>
  <sheetFormatPr baseColWidth="10" defaultRowHeight="14.4" x14ac:dyDescent="0.3"/>
  <cols>
    <col min="2" max="2" width="12" customWidth="1"/>
    <col min="3" max="3" width="50.21875" bestFit="1" customWidth="1"/>
    <col min="5" max="5" width="15.77734375" bestFit="1" customWidth="1"/>
  </cols>
  <sheetData>
    <row r="2" spans="2:6" x14ac:dyDescent="0.3">
      <c r="B2" t="s">
        <v>93</v>
      </c>
      <c r="C2" s="22">
        <f>F18/F33</f>
        <v>1.4370025713236194</v>
      </c>
    </row>
    <row r="4" spans="2:6" x14ac:dyDescent="0.3">
      <c r="B4" t="s">
        <v>69</v>
      </c>
    </row>
    <row r="6" spans="2:6" x14ac:dyDescent="0.3">
      <c r="C6" t="s">
        <v>46</v>
      </c>
      <c r="D6" s="5" t="s">
        <v>64</v>
      </c>
      <c r="E6" s="5" t="s">
        <v>43</v>
      </c>
      <c r="F6" s="5" t="s">
        <v>44</v>
      </c>
    </row>
    <row r="7" spans="2:6" x14ac:dyDescent="0.3">
      <c r="C7" t="s">
        <v>70</v>
      </c>
      <c r="D7" s="11">
        <v>1</v>
      </c>
      <c r="E7" s="18">
        <f>Datos!C32</f>
        <v>848</v>
      </c>
      <c r="F7">
        <f>D7*E7</f>
        <v>848</v>
      </c>
    </row>
    <row r="8" spans="2:6" x14ac:dyDescent="0.3">
      <c r="C8" t="s">
        <v>71</v>
      </c>
      <c r="D8" s="11">
        <v>1</v>
      </c>
      <c r="E8" s="18">
        <f>Datos!C27+Datos!C28</f>
        <v>1000</v>
      </c>
      <c r="F8">
        <f t="shared" ref="F8:F17" si="0">D8*E8</f>
        <v>1000</v>
      </c>
    </row>
    <row r="9" spans="2:6" x14ac:dyDescent="0.3">
      <c r="C9" t="s">
        <v>72</v>
      </c>
      <c r="D9" s="11">
        <v>0.95</v>
      </c>
      <c r="E9">
        <f>LCR!F18+LCR!F25</f>
        <v>2400</v>
      </c>
      <c r="F9">
        <f t="shared" si="0"/>
        <v>2280</v>
      </c>
    </row>
    <row r="10" spans="2:6" x14ac:dyDescent="0.3">
      <c r="C10" t="s">
        <v>73</v>
      </c>
      <c r="D10" s="11">
        <v>0.9</v>
      </c>
      <c r="E10">
        <f>LCR!F19+LCR!F26</f>
        <v>1600</v>
      </c>
      <c r="F10">
        <f t="shared" si="0"/>
        <v>1440</v>
      </c>
    </row>
    <row r="11" spans="2:6" x14ac:dyDescent="0.3">
      <c r="C11" t="s">
        <v>74</v>
      </c>
      <c r="D11" s="11">
        <v>0.75</v>
      </c>
      <c r="E11">
        <f>LCR!F20+LCR!F27</f>
        <v>200</v>
      </c>
      <c r="F11">
        <f t="shared" si="0"/>
        <v>150</v>
      </c>
    </row>
    <row r="12" spans="2:6" x14ac:dyDescent="0.3">
      <c r="C12" t="s">
        <v>75</v>
      </c>
      <c r="D12" s="11">
        <v>0</v>
      </c>
      <c r="E12">
        <f>LCR!F21+LCR!F28</f>
        <v>800</v>
      </c>
      <c r="F12">
        <f t="shared" si="0"/>
        <v>0</v>
      </c>
    </row>
    <row r="13" spans="2:6" x14ac:dyDescent="0.3">
      <c r="C13" t="s">
        <v>76</v>
      </c>
      <c r="D13" s="11">
        <v>0.5</v>
      </c>
      <c r="E13">
        <f>LCR!F22+LCR!F29</f>
        <v>0</v>
      </c>
      <c r="F13">
        <f t="shared" si="0"/>
        <v>0</v>
      </c>
    </row>
    <row r="14" spans="2:6" x14ac:dyDescent="0.3">
      <c r="C14" t="s">
        <v>77</v>
      </c>
      <c r="D14" s="11">
        <v>0</v>
      </c>
      <c r="E14">
        <f>LCR!F23+LCR!F30</f>
        <v>0</v>
      </c>
      <c r="F14">
        <f t="shared" si="0"/>
        <v>0</v>
      </c>
    </row>
    <row r="15" spans="2:6" x14ac:dyDescent="0.3">
      <c r="C15" t="s">
        <v>78</v>
      </c>
      <c r="D15" s="11">
        <v>0.6</v>
      </c>
      <c r="E15" s="18">
        <f>LCR!F32+LCR!F34</f>
        <v>0</v>
      </c>
      <c r="F15">
        <f t="shared" si="0"/>
        <v>0</v>
      </c>
    </row>
    <row r="16" spans="2:6" x14ac:dyDescent="0.3">
      <c r="C16" t="s">
        <v>79</v>
      </c>
      <c r="D16" s="11">
        <v>0.4</v>
      </c>
      <c r="E16" s="18">
        <f>LCR!F33+LCR!F35</f>
        <v>375</v>
      </c>
      <c r="F16">
        <f t="shared" si="0"/>
        <v>150</v>
      </c>
    </row>
    <row r="17" spans="2:6" x14ac:dyDescent="0.3">
      <c r="C17" t="s">
        <v>80</v>
      </c>
      <c r="D17" s="11">
        <v>0</v>
      </c>
      <c r="E17" s="18">
        <f>LCR!F36</f>
        <v>375</v>
      </c>
      <c r="F17">
        <f t="shared" si="0"/>
        <v>0</v>
      </c>
    </row>
    <row r="18" spans="2:6" x14ac:dyDescent="0.3">
      <c r="E18" s="5" t="s">
        <v>34</v>
      </c>
      <c r="F18">
        <f>SUM(F7:F17)</f>
        <v>5868</v>
      </c>
    </row>
    <row r="21" spans="2:6" x14ac:dyDescent="0.3">
      <c r="B21" t="s">
        <v>83</v>
      </c>
    </row>
    <row r="23" spans="2:6" x14ac:dyDescent="0.3">
      <c r="C23" t="s">
        <v>46</v>
      </c>
      <c r="D23" s="5" t="s">
        <v>64</v>
      </c>
      <c r="E23" s="5" t="s">
        <v>43</v>
      </c>
      <c r="F23" s="5" t="s">
        <v>44</v>
      </c>
    </row>
    <row r="24" spans="2:6" x14ac:dyDescent="0.3">
      <c r="C24" t="s">
        <v>84</v>
      </c>
      <c r="D24" s="11">
        <v>0</v>
      </c>
      <c r="E24">
        <f>LCR!E7</f>
        <v>450</v>
      </c>
      <c r="F24">
        <f>E24*D24</f>
        <v>0</v>
      </c>
    </row>
    <row r="25" spans="2:6" x14ac:dyDescent="0.3">
      <c r="C25" t="s">
        <v>85</v>
      </c>
      <c r="D25" s="11">
        <v>0.05</v>
      </c>
      <c r="E25">
        <f>LCR!E8</f>
        <v>420</v>
      </c>
      <c r="F25">
        <f t="shared" ref="F25:F32" si="1">E25*D25</f>
        <v>21</v>
      </c>
    </row>
    <row r="26" spans="2:6" x14ac:dyDescent="0.3">
      <c r="C26" t="s">
        <v>86</v>
      </c>
      <c r="D26" s="11">
        <v>0.15</v>
      </c>
      <c r="E26">
        <f>LCR!E9+LCR!E10</f>
        <v>250</v>
      </c>
      <c r="F26">
        <f t="shared" si="1"/>
        <v>37.5</v>
      </c>
    </row>
    <row r="27" spans="2:6" x14ac:dyDescent="0.3">
      <c r="C27" t="s">
        <v>87</v>
      </c>
      <c r="D27" s="11">
        <v>0.5</v>
      </c>
      <c r="E27">
        <f>LCR!E11</f>
        <v>0</v>
      </c>
      <c r="F27">
        <f t="shared" si="1"/>
        <v>0</v>
      </c>
    </row>
    <row r="28" spans="2:6" x14ac:dyDescent="0.3">
      <c r="C28" t="s">
        <v>88</v>
      </c>
      <c r="D28" s="11">
        <v>0.65</v>
      </c>
      <c r="E28" s="18">
        <f>Datos!C11</f>
        <v>1500</v>
      </c>
      <c r="F28">
        <f t="shared" si="1"/>
        <v>975</v>
      </c>
    </row>
    <row r="29" spans="2:6" x14ac:dyDescent="0.3">
      <c r="C29" t="s">
        <v>89</v>
      </c>
      <c r="D29" s="11">
        <v>0.5</v>
      </c>
      <c r="E29" s="18">
        <f>Datos!C12</f>
        <v>2500</v>
      </c>
      <c r="F29">
        <f t="shared" si="1"/>
        <v>1250</v>
      </c>
    </row>
    <row r="30" spans="2:6" x14ac:dyDescent="0.3">
      <c r="C30" t="s">
        <v>90</v>
      </c>
      <c r="D30" s="11">
        <v>0.65</v>
      </c>
      <c r="E30" s="18">
        <f>Datos!C13</f>
        <v>800</v>
      </c>
      <c r="F30">
        <f t="shared" si="1"/>
        <v>520</v>
      </c>
    </row>
    <row r="31" spans="2:6" x14ac:dyDescent="0.3">
      <c r="C31" t="s">
        <v>91</v>
      </c>
      <c r="D31" s="11">
        <v>0.65</v>
      </c>
      <c r="E31" s="18">
        <f>Datos!C14</f>
        <v>1200</v>
      </c>
      <c r="F31">
        <f t="shared" si="1"/>
        <v>780</v>
      </c>
    </row>
    <row r="32" spans="2:6" x14ac:dyDescent="0.3">
      <c r="C32" t="s">
        <v>92</v>
      </c>
      <c r="D32" s="11">
        <v>1</v>
      </c>
      <c r="E32" s="18">
        <f>Datos!C15</f>
        <v>500</v>
      </c>
      <c r="F32">
        <f t="shared" si="1"/>
        <v>500</v>
      </c>
    </row>
    <row r="33" spans="5:6" x14ac:dyDescent="0.3">
      <c r="E33" s="5" t="s">
        <v>34</v>
      </c>
      <c r="F33">
        <f>SUM(F24:F32)</f>
        <v>4083.5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A5E9-5D30-4F13-97E2-A9249CD91134}">
  <dimension ref="B2:E41"/>
  <sheetViews>
    <sheetView workbookViewId="0">
      <selection activeCell="F17" sqref="F17"/>
    </sheetView>
  </sheetViews>
  <sheetFormatPr baseColWidth="10" defaultRowHeight="14.4" x14ac:dyDescent="0.3"/>
  <cols>
    <col min="2" max="2" width="57.109375" bestFit="1" customWidth="1"/>
    <col min="3" max="3" width="16.33203125" bestFit="1" customWidth="1"/>
    <col min="4" max="4" width="14" customWidth="1"/>
    <col min="5" max="5" width="17.33203125" bestFit="1" customWidth="1"/>
  </cols>
  <sheetData>
    <row r="2" spans="2:5" x14ac:dyDescent="0.3">
      <c r="B2" s="21" t="s">
        <v>94</v>
      </c>
      <c r="C2" s="23">
        <v>7.0000000000000007E-2</v>
      </c>
    </row>
    <row r="3" spans="2:5" x14ac:dyDescent="0.3">
      <c r="B3" s="21" t="s">
        <v>95</v>
      </c>
      <c r="C3" s="23">
        <v>6.7400000000000002E-2</v>
      </c>
    </row>
    <row r="4" spans="2:5" x14ac:dyDescent="0.3">
      <c r="B4" s="21"/>
      <c r="C4" s="23"/>
    </row>
    <row r="5" spans="2:5" x14ac:dyDescent="0.3">
      <c r="B5" s="21" t="s">
        <v>100</v>
      </c>
      <c r="C5" s="24">
        <f>SUM(E11:E23)</f>
        <v>1358.1320000000001</v>
      </c>
    </row>
    <row r="6" spans="2:5" x14ac:dyDescent="0.3">
      <c r="B6" s="21" t="s">
        <v>101</v>
      </c>
      <c r="C6" s="24">
        <f>SUM(E28:E36)</f>
        <v>400.75</v>
      </c>
    </row>
    <row r="7" spans="2:5" x14ac:dyDescent="0.3">
      <c r="B7" s="21" t="s">
        <v>99</v>
      </c>
      <c r="C7" s="25">
        <f>C5-C6</f>
        <v>957.38200000000006</v>
      </c>
    </row>
    <row r="8" spans="2:5" x14ac:dyDescent="0.3">
      <c r="B8" s="21" t="s">
        <v>102</v>
      </c>
      <c r="C8" s="26">
        <f>C7/C40</f>
        <v>1.1289882075471698</v>
      </c>
    </row>
    <row r="10" spans="2:5" x14ac:dyDescent="0.3">
      <c r="B10" s="1" t="s">
        <v>0</v>
      </c>
      <c r="C10" s="2" t="s">
        <v>1</v>
      </c>
      <c r="D10" t="s">
        <v>96</v>
      </c>
      <c r="E10" t="s">
        <v>97</v>
      </c>
    </row>
    <row r="11" spans="2:5" x14ac:dyDescent="0.3">
      <c r="B11" s="3" t="s">
        <v>2</v>
      </c>
      <c r="C11" s="4">
        <v>450</v>
      </c>
      <c r="D11" s="11">
        <v>0</v>
      </c>
      <c r="E11">
        <f>C11*D11</f>
        <v>0</v>
      </c>
    </row>
    <row r="12" spans="2:5" x14ac:dyDescent="0.3">
      <c r="B12" s="3" t="s">
        <v>3</v>
      </c>
      <c r="C12" s="4">
        <f>SUM(C13:C17)</f>
        <v>670</v>
      </c>
    </row>
    <row r="13" spans="2:5" x14ac:dyDescent="0.3">
      <c r="B13" t="s">
        <v>4</v>
      </c>
      <c r="C13" s="5">
        <v>180</v>
      </c>
      <c r="D13" s="23">
        <v>7.4999999999999997E-2</v>
      </c>
      <c r="E13">
        <f t="shared" ref="E12:E23" si="0">C13*D13</f>
        <v>13.5</v>
      </c>
    </row>
    <row r="14" spans="2:5" x14ac:dyDescent="0.3">
      <c r="B14" t="s">
        <v>5</v>
      </c>
      <c r="C14" s="5">
        <v>240</v>
      </c>
      <c r="D14" s="23">
        <f>C3+0.0019</f>
        <v>6.93E-2</v>
      </c>
      <c r="E14">
        <f t="shared" si="0"/>
        <v>16.632000000000001</v>
      </c>
    </row>
    <row r="15" spans="2:5" x14ac:dyDescent="0.3">
      <c r="B15" t="s">
        <v>6</v>
      </c>
      <c r="C15" s="5">
        <v>150</v>
      </c>
      <c r="D15" s="23">
        <v>8.5000000000000006E-2</v>
      </c>
      <c r="E15">
        <f t="shared" si="0"/>
        <v>12.750000000000002</v>
      </c>
    </row>
    <row r="16" spans="2:5" x14ac:dyDescent="0.3">
      <c r="B16" t="s">
        <v>7</v>
      </c>
      <c r="C16" s="5">
        <v>100</v>
      </c>
      <c r="D16" s="11">
        <v>0.09</v>
      </c>
      <c r="E16">
        <f t="shared" si="0"/>
        <v>9</v>
      </c>
    </row>
    <row r="17" spans="2:5" x14ac:dyDescent="0.3">
      <c r="B17" t="s">
        <v>8</v>
      </c>
      <c r="C17" s="5">
        <v>0</v>
      </c>
      <c r="D17" s="23">
        <v>9.5000000000000001E-2</v>
      </c>
      <c r="E17">
        <f t="shared" si="0"/>
        <v>0</v>
      </c>
    </row>
    <row r="18" spans="2:5" x14ac:dyDescent="0.3">
      <c r="B18" s="3" t="s">
        <v>9</v>
      </c>
      <c r="C18" s="6">
        <f>SUM(C19:C23)</f>
        <v>6500</v>
      </c>
    </row>
    <row r="19" spans="2:5" x14ac:dyDescent="0.3">
      <c r="B19" t="s">
        <v>10</v>
      </c>
      <c r="C19" s="7">
        <v>1500</v>
      </c>
      <c r="D19" s="23">
        <v>0.1075</v>
      </c>
      <c r="E19">
        <f t="shared" si="0"/>
        <v>161.25</v>
      </c>
    </row>
    <row r="20" spans="2:5" x14ac:dyDescent="0.3">
      <c r="B20" t="s">
        <v>11</v>
      </c>
      <c r="C20" s="7">
        <v>2500</v>
      </c>
      <c r="D20" s="19">
        <f>0.6*(C2+0.36)+0.4*(0.19)</f>
        <v>0.33400000000000002</v>
      </c>
      <c r="E20">
        <f t="shared" si="0"/>
        <v>835</v>
      </c>
    </row>
    <row r="21" spans="2:5" x14ac:dyDescent="0.3">
      <c r="B21" t="s">
        <v>12</v>
      </c>
      <c r="C21" s="7">
        <v>800</v>
      </c>
      <c r="D21" s="23">
        <f>C2+0.09</f>
        <v>0.16</v>
      </c>
      <c r="E21">
        <f t="shared" si="0"/>
        <v>128</v>
      </c>
    </row>
    <row r="22" spans="2:5" x14ac:dyDescent="0.3">
      <c r="B22" t="s">
        <v>13</v>
      </c>
      <c r="C22" s="7">
        <v>1200</v>
      </c>
      <c r="D22" s="23">
        <f>C2+0.04</f>
        <v>0.11000000000000001</v>
      </c>
      <c r="E22">
        <f t="shared" si="0"/>
        <v>132.00000000000003</v>
      </c>
    </row>
    <row r="23" spans="2:5" x14ac:dyDescent="0.3">
      <c r="B23" t="s">
        <v>14</v>
      </c>
      <c r="C23" s="7">
        <v>500</v>
      </c>
      <c r="D23" s="23">
        <f>C2+0.03</f>
        <v>0.1</v>
      </c>
      <c r="E23">
        <f t="shared" si="0"/>
        <v>50</v>
      </c>
    </row>
    <row r="24" spans="2:5" x14ac:dyDescent="0.3">
      <c r="B24" s="3" t="s">
        <v>15</v>
      </c>
      <c r="C24" s="6">
        <v>330</v>
      </c>
    </row>
    <row r="25" spans="2:5" x14ac:dyDescent="0.3">
      <c r="B25" s="3" t="s">
        <v>16</v>
      </c>
      <c r="C25" s="6">
        <v>48</v>
      </c>
    </row>
    <row r="26" spans="2:5" x14ac:dyDescent="0.3">
      <c r="B26" s="2" t="s">
        <v>17</v>
      </c>
      <c r="C26" s="8">
        <f>C11+C12+C18+C24+C25</f>
        <v>7998</v>
      </c>
      <c r="E26" t="s">
        <v>98</v>
      </c>
    </row>
    <row r="27" spans="2:5" x14ac:dyDescent="0.3">
      <c r="B27" s="3" t="s">
        <v>18</v>
      </c>
      <c r="C27" s="6">
        <f>C28+C29</f>
        <v>2700</v>
      </c>
    </row>
    <row r="28" spans="2:5" ht="16.2" x14ac:dyDescent="0.3">
      <c r="B28" t="s">
        <v>19</v>
      </c>
      <c r="C28" s="7">
        <v>2100</v>
      </c>
      <c r="D28" s="19">
        <v>0.04</v>
      </c>
      <c r="E28">
        <f>C28*D28</f>
        <v>84</v>
      </c>
    </row>
    <row r="29" spans="2:5" ht="16.2" x14ac:dyDescent="0.3">
      <c r="B29" t="s">
        <v>20</v>
      </c>
      <c r="C29" s="7">
        <v>600</v>
      </c>
      <c r="D29" s="19">
        <v>0.04</v>
      </c>
      <c r="E29">
        <f t="shared" ref="E29:E36" si="1">C29*D29</f>
        <v>24</v>
      </c>
    </row>
    <row r="30" spans="2:5" x14ac:dyDescent="0.3">
      <c r="B30" s="3" t="s">
        <v>21</v>
      </c>
      <c r="C30" s="6">
        <f>C31+C32</f>
        <v>2300</v>
      </c>
      <c r="D30" s="19"/>
    </row>
    <row r="31" spans="2:5" x14ac:dyDescent="0.3">
      <c r="B31" t="s">
        <v>22</v>
      </c>
      <c r="C31" s="7">
        <v>1900</v>
      </c>
      <c r="D31" s="19">
        <v>0.05</v>
      </c>
      <c r="E31">
        <f t="shared" si="1"/>
        <v>95</v>
      </c>
    </row>
    <row r="32" spans="2:5" x14ac:dyDescent="0.3">
      <c r="B32" t="s">
        <v>23</v>
      </c>
      <c r="C32" s="7">
        <v>400</v>
      </c>
      <c r="D32" s="19">
        <v>5.2499999999999998E-2</v>
      </c>
      <c r="E32">
        <f t="shared" si="1"/>
        <v>21</v>
      </c>
    </row>
    <row r="33" spans="2:5" ht="16.2" x14ac:dyDescent="0.3">
      <c r="B33" s="3" t="s">
        <v>24</v>
      </c>
      <c r="C33" s="6">
        <v>750</v>
      </c>
      <c r="D33" s="19">
        <v>6.5000000000000002E-2</v>
      </c>
      <c r="E33">
        <f t="shared" si="1"/>
        <v>48.75</v>
      </c>
    </row>
    <row r="34" spans="2:5" x14ac:dyDescent="0.3">
      <c r="B34" s="3" t="s">
        <v>25</v>
      </c>
      <c r="C34" s="6">
        <v>400</v>
      </c>
      <c r="D34" s="19">
        <f>C2</f>
        <v>7.0000000000000007E-2</v>
      </c>
      <c r="E34">
        <f t="shared" si="1"/>
        <v>28.000000000000004</v>
      </c>
    </row>
    <row r="35" spans="2:5" x14ac:dyDescent="0.3">
      <c r="B35" s="3" t="s">
        <v>26</v>
      </c>
      <c r="C35" s="6">
        <v>1000</v>
      </c>
      <c r="D35" s="19">
        <v>0.1</v>
      </c>
      <c r="E35">
        <f t="shared" si="1"/>
        <v>100</v>
      </c>
    </row>
    <row r="36" spans="2:5" x14ac:dyDescent="0.3">
      <c r="B36" s="3" t="s">
        <v>27</v>
      </c>
      <c r="C36" s="6">
        <v>0</v>
      </c>
      <c r="D36" s="19">
        <v>8.7499999999999994E-2</v>
      </c>
      <c r="E36">
        <f t="shared" si="1"/>
        <v>0</v>
      </c>
    </row>
    <row r="37" spans="2:5" x14ac:dyDescent="0.3">
      <c r="B37" s="2" t="s">
        <v>28</v>
      </c>
      <c r="C37" s="8">
        <f>C27+C30+C33+C34+C35+C36</f>
        <v>7150</v>
      </c>
    </row>
    <row r="38" spans="2:5" ht="16.2" x14ac:dyDescent="0.3">
      <c r="B38" s="3" t="s">
        <v>29</v>
      </c>
      <c r="C38" s="7">
        <v>848</v>
      </c>
    </row>
    <row r="39" spans="2:5" ht="16.2" x14ac:dyDescent="0.3">
      <c r="B39" s="3" t="s">
        <v>30</v>
      </c>
      <c r="C39" s="7">
        <v>0</v>
      </c>
    </row>
    <row r="40" spans="2:5" x14ac:dyDescent="0.3">
      <c r="B40" s="2" t="s">
        <v>31</v>
      </c>
      <c r="C40" s="8">
        <f>C38+C39</f>
        <v>848</v>
      </c>
    </row>
    <row r="41" spans="2:5" x14ac:dyDescent="0.3">
      <c r="B41" s="9" t="s">
        <v>32</v>
      </c>
      <c r="C41" s="10">
        <f>C37+C40</f>
        <v>7998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9FE4-A25D-49D2-A431-BF5109B68BCB}">
  <dimension ref="B1:F40"/>
  <sheetViews>
    <sheetView topLeftCell="A10" zoomScale="85" zoomScaleNormal="85" workbookViewId="0">
      <selection activeCell="J17" sqref="J17"/>
    </sheetView>
  </sheetViews>
  <sheetFormatPr baseColWidth="10" defaultRowHeight="14.4" x14ac:dyDescent="0.3"/>
  <cols>
    <col min="2" max="2" width="57.109375" bestFit="1" customWidth="1"/>
    <col min="3" max="3" width="17.77734375" bestFit="1" customWidth="1"/>
    <col min="4" max="4" width="17.33203125" bestFit="1" customWidth="1"/>
    <col min="5" max="5" width="17.33203125" customWidth="1"/>
  </cols>
  <sheetData>
    <row r="1" spans="2:6" x14ac:dyDescent="0.3">
      <c r="B1" s="21" t="s">
        <v>103</v>
      </c>
      <c r="C1">
        <v>-50</v>
      </c>
    </row>
    <row r="2" spans="2:6" x14ac:dyDescent="0.3">
      <c r="B2" s="21" t="s">
        <v>104</v>
      </c>
      <c r="C2" s="19">
        <f>C1/10000</f>
        <v>-5.0000000000000001E-3</v>
      </c>
    </row>
    <row r="3" spans="2:6" x14ac:dyDescent="0.3">
      <c r="B3" s="21"/>
      <c r="C3" s="23"/>
    </row>
    <row r="4" spans="2:6" x14ac:dyDescent="0.3">
      <c r="B4" s="21" t="s">
        <v>100</v>
      </c>
      <c r="C4" s="24">
        <f>SUM(F10:F22)</f>
        <v>-21.2</v>
      </c>
    </row>
    <row r="5" spans="2:6" x14ac:dyDescent="0.3">
      <c r="B5" s="21" t="s">
        <v>101</v>
      </c>
      <c r="C5" s="24">
        <f>SUM(F27:F35)</f>
        <v>-24</v>
      </c>
    </row>
    <row r="6" spans="2:6" x14ac:dyDescent="0.3">
      <c r="B6" s="21" t="s">
        <v>99</v>
      </c>
      <c r="C6" s="25">
        <f>C4-C5</f>
        <v>2.8000000000000007</v>
      </c>
    </row>
    <row r="7" spans="2:6" x14ac:dyDescent="0.3">
      <c r="B7" s="21" t="s">
        <v>106</v>
      </c>
      <c r="C7" s="26" t="str">
        <f>IF(OR(AND(C1&gt;0,C6&lt;0),AND(C1&lt;0,C6&gt;0)),"LIABILITY SENSITIVE","ASSET SENSITIVE")</f>
        <v>LIABILITY SENSITIVE</v>
      </c>
    </row>
    <row r="9" spans="2:6" x14ac:dyDescent="0.3">
      <c r="B9" s="1" t="s">
        <v>0</v>
      </c>
      <c r="C9" s="2" t="s">
        <v>1</v>
      </c>
      <c r="D9" t="s">
        <v>105</v>
      </c>
      <c r="E9" t="s">
        <v>64</v>
      </c>
      <c r="F9" t="s">
        <v>97</v>
      </c>
    </row>
    <row r="10" spans="2:6" x14ac:dyDescent="0.3">
      <c r="B10" s="3" t="s">
        <v>2</v>
      </c>
      <c r="C10" s="4">
        <v>450</v>
      </c>
      <c r="D10">
        <v>0</v>
      </c>
    </row>
    <row r="11" spans="2:6" x14ac:dyDescent="0.3">
      <c r="B11" s="3" t="s">
        <v>3</v>
      </c>
      <c r="C11" s="4">
        <f>SUM(C12:C16)</f>
        <v>670</v>
      </c>
    </row>
    <row r="12" spans="2:6" x14ac:dyDescent="0.3">
      <c r="B12" t="s">
        <v>4</v>
      </c>
      <c r="C12" s="5">
        <v>180</v>
      </c>
      <c r="D12">
        <v>0</v>
      </c>
    </row>
    <row r="13" spans="2:6" x14ac:dyDescent="0.3">
      <c r="B13" t="s">
        <v>5</v>
      </c>
      <c r="C13" s="5">
        <v>240</v>
      </c>
      <c r="D13">
        <v>1</v>
      </c>
      <c r="E13">
        <v>1</v>
      </c>
      <c r="F13">
        <f>E13*D13*C13*$C$2</f>
        <v>-1.2</v>
      </c>
    </row>
    <row r="14" spans="2:6" x14ac:dyDescent="0.3">
      <c r="B14" t="s">
        <v>6</v>
      </c>
      <c r="C14" s="5">
        <v>150</v>
      </c>
      <c r="D14">
        <v>0</v>
      </c>
    </row>
    <row r="15" spans="2:6" x14ac:dyDescent="0.3">
      <c r="B15" t="s">
        <v>7</v>
      </c>
      <c r="C15" s="5">
        <v>100</v>
      </c>
      <c r="D15">
        <v>0</v>
      </c>
    </row>
    <row r="16" spans="2:6" x14ac:dyDescent="0.3">
      <c r="B16" t="s">
        <v>8</v>
      </c>
      <c r="C16" s="5">
        <v>0</v>
      </c>
      <c r="D16">
        <v>0</v>
      </c>
    </row>
    <row r="17" spans="2:6" x14ac:dyDescent="0.3">
      <c r="B17" s="3" t="s">
        <v>9</v>
      </c>
      <c r="C17" s="6">
        <f>SUM(C18:C22)</f>
        <v>6500</v>
      </c>
    </row>
    <row r="18" spans="2:6" x14ac:dyDescent="0.3">
      <c r="B18" t="s">
        <v>10</v>
      </c>
      <c r="C18" s="7">
        <v>1500</v>
      </c>
      <c r="D18">
        <v>0</v>
      </c>
    </row>
    <row r="19" spans="2:6" x14ac:dyDescent="0.3">
      <c r="B19" t="s">
        <v>11</v>
      </c>
      <c r="C19" s="7">
        <v>2500</v>
      </c>
      <c r="D19">
        <v>1</v>
      </c>
      <c r="E19">
        <v>0.6</v>
      </c>
      <c r="F19">
        <f>E19*D19*C19*$C$2</f>
        <v>-7.5</v>
      </c>
    </row>
    <row r="20" spans="2:6" x14ac:dyDescent="0.3">
      <c r="B20" t="s">
        <v>12</v>
      </c>
      <c r="C20" s="7">
        <v>800</v>
      </c>
      <c r="D20">
        <v>1</v>
      </c>
      <c r="E20">
        <v>1</v>
      </c>
      <c r="F20">
        <f t="shared" ref="F20:F22" si="0">E20*D20*C20*$C$2</f>
        <v>-4</v>
      </c>
    </row>
    <row r="21" spans="2:6" x14ac:dyDescent="0.3">
      <c r="B21" t="s">
        <v>13</v>
      </c>
      <c r="C21" s="7">
        <v>1200</v>
      </c>
      <c r="D21">
        <v>1</v>
      </c>
      <c r="E21">
        <v>1</v>
      </c>
      <c r="F21">
        <f t="shared" si="0"/>
        <v>-6</v>
      </c>
    </row>
    <row r="22" spans="2:6" x14ac:dyDescent="0.3">
      <c r="B22" t="s">
        <v>14</v>
      </c>
      <c r="C22" s="7">
        <v>500</v>
      </c>
      <c r="D22">
        <v>1</v>
      </c>
      <c r="E22">
        <v>1</v>
      </c>
      <c r="F22">
        <f t="shared" si="0"/>
        <v>-2.5</v>
      </c>
    </row>
    <row r="23" spans="2:6" x14ac:dyDescent="0.3">
      <c r="B23" s="3" t="s">
        <v>15</v>
      </c>
      <c r="C23" s="6">
        <v>330</v>
      </c>
    </row>
    <row r="24" spans="2:6" x14ac:dyDescent="0.3">
      <c r="B24" s="3" t="s">
        <v>16</v>
      </c>
      <c r="C24" s="6">
        <v>48</v>
      </c>
    </row>
    <row r="25" spans="2:6" x14ac:dyDescent="0.3">
      <c r="B25" s="2" t="s">
        <v>17</v>
      </c>
      <c r="C25" s="8">
        <f>C10+C11+C17+C23+C24</f>
        <v>7998</v>
      </c>
      <c r="F25" t="s">
        <v>98</v>
      </c>
    </row>
    <row r="26" spans="2:6" x14ac:dyDescent="0.3">
      <c r="B26" s="3" t="s">
        <v>18</v>
      </c>
      <c r="C26" s="6">
        <f>C27+C28</f>
        <v>2700</v>
      </c>
    </row>
    <row r="27" spans="2:6" ht="16.2" x14ac:dyDescent="0.3">
      <c r="B27" t="s">
        <v>19</v>
      </c>
      <c r="C27" s="7">
        <v>2100</v>
      </c>
      <c r="D27">
        <v>1</v>
      </c>
      <c r="E27">
        <v>0.5</v>
      </c>
      <c r="F27">
        <f>E27*D27*C27*$C$2</f>
        <v>-5.25</v>
      </c>
    </row>
    <row r="28" spans="2:6" ht="16.2" x14ac:dyDescent="0.3">
      <c r="B28" t="s">
        <v>20</v>
      </c>
      <c r="C28" s="7">
        <v>600</v>
      </c>
      <c r="D28">
        <v>1</v>
      </c>
      <c r="E28">
        <v>0.5</v>
      </c>
      <c r="F28">
        <f>E28*D28*C28*$C$2</f>
        <v>-1.5</v>
      </c>
    </row>
    <row r="29" spans="2:6" x14ac:dyDescent="0.3">
      <c r="B29" s="3" t="s">
        <v>21</v>
      </c>
      <c r="C29" s="6">
        <f>C30+C31</f>
        <v>2300</v>
      </c>
    </row>
    <row r="30" spans="2:6" x14ac:dyDescent="0.3">
      <c r="B30" t="s">
        <v>22</v>
      </c>
      <c r="C30" s="7">
        <v>1900</v>
      </c>
      <c r="D30">
        <v>1</v>
      </c>
      <c r="E30">
        <v>1</v>
      </c>
      <c r="F30">
        <f>E30*D30*C30*$C$2</f>
        <v>-9.5</v>
      </c>
    </row>
    <row r="31" spans="2:6" x14ac:dyDescent="0.3">
      <c r="B31" t="s">
        <v>23</v>
      </c>
      <c r="C31" s="7">
        <v>400</v>
      </c>
      <c r="D31">
        <v>1</v>
      </c>
      <c r="E31">
        <v>1</v>
      </c>
      <c r="F31">
        <f t="shared" ref="F31:F33" si="1">E31*D31*C31*$C$2</f>
        <v>-2</v>
      </c>
    </row>
    <row r="32" spans="2:6" ht="16.2" x14ac:dyDescent="0.3">
      <c r="B32" s="3" t="s">
        <v>24</v>
      </c>
      <c r="C32" s="6">
        <v>750</v>
      </c>
      <c r="D32">
        <v>1</v>
      </c>
      <c r="E32">
        <v>1</v>
      </c>
      <c r="F32">
        <f t="shared" si="1"/>
        <v>-3.75</v>
      </c>
    </row>
    <row r="33" spans="2:6" x14ac:dyDescent="0.3">
      <c r="B33" s="3" t="s">
        <v>25</v>
      </c>
      <c r="C33" s="6">
        <v>400</v>
      </c>
      <c r="D33">
        <v>1</v>
      </c>
      <c r="E33">
        <v>1</v>
      </c>
      <c r="F33">
        <f t="shared" si="1"/>
        <v>-2</v>
      </c>
    </row>
    <row r="34" spans="2:6" x14ac:dyDescent="0.3">
      <c r="B34" s="3" t="s">
        <v>26</v>
      </c>
      <c r="C34" s="6">
        <v>1000</v>
      </c>
      <c r="D34">
        <v>0</v>
      </c>
    </row>
    <row r="35" spans="2:6" x14ac:dyDescent="0.3">
      <c r="B35" s="3" t="s">
        <v>27</v>
      </c>
      <c r="C35" s="6">
        <v>0</v>
      </c>
      <c r="D35">
        <v>0</v>
      </c>
    </row>
    <row r="36" spans="2:6" x14ac:dyDescent="0.3">
      <c r="B36" s="2" t="s">
        <v>28</v>
      </c>
      <c r="C36" s="8">
        <f>C26+C29+C32+C33+C34+C35</f>
        <v>7150</v>
      </c>
    </row>
    <row r="37" spans="2:6" ht="16.2" x14ac:dyDescent="0.3">
      <c r="B37" s="3" t="s">
        <v>29</v>
      </c>
      <c r="C37" s="7">
        <v>848</v>
      </c>
    </row>
    <row r="38" spans="2:6" ht="16.2" x14ac:dyDescent="0.3">
      <c r="B38" s="3" t="s">
        <v>30</v>
      </c>
      <c r="C38" s="7">
        <v>0</v>
      </c>
    </row>
    <row r="39" spans="2:6" x14ac:dyDescent="0.3">
      <c r="B39" s="2" t="s">
        <v>31</v>
      </c>
      <c r="C39" s="8">
        <f>C37+C38</f>
        <v>848</v>
      </c>
    </row>
    <row r="40" spans="2:6" x14ac:dyDescent="0.3">
      <c r="B40" s="9" t="s">
        <v>32</v>
      </c>
      <c r="C40" s="10">
        <f>C36+C39</f>
        <v>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LCR</vt:lpstr>
      <vt:lpstr>NSFR</vt:lpstr>
      <vt:lpstr>NII</vt:lpstr>
      <vt:lpstr>DELTA NII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Gómez Jiménez</dc:creator>
  <cp:lastModifiedBy>Samuel Gómez Jiménez</cp:lastModifiedBy>
  <dcterms:created xsi:type="dcterms:W3CDTF">2026-04-09T22:38:36Z</dcterms:created>
  <dcterms:modified xsi:type="dcterms:W3CDTF">2026-04-09T23:58:59Z</dcterms:modified>
</cp:coreProperties>
</file>