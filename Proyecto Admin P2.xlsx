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"/>
    </mc:Choice>
  </mc:AlternateContent>
  <xr:revisionPtr revIDLastSave="0" documentId="13_ncr:1_{E5C100E5-BC6C-4034-A79C-9D852D4C59FD}" xr6:coauthVersionLast="47" xr6:coauthVersionMax="47" xr10:uidLastSave="{00000000-0000-0000-0000-000000000000}"/>
  <bookViews>
    <workbookView xWindow="-108" yWindow="-108" windowWidth="23256" windowHeight="12456" activeTab="1" xr2:uid="{F02342CE-70EC-4EE2-91AC-B3E77160F1EA}"/>
  </bookViews>
  <sheets>
    <sheet name="Datos" sheetId="1" r:id="rId1"/>
    <sheet name="LCR" sheetId="2" r:id="rId2"/>
    <sheet name="NSFR" sheetId="3" r:id="rId3"/>
    <sheet name="NI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E7" i="3"/>
  <c r="F8" i="2"/>
  <c r="F11" i="2" s="1"/>
  <c r="F9" i="2"/>
  <c r="F10" i="2"/>
  <c r="F7" i="2"/>
  <c r="G32" i="2"/>
  <c r="G33" i="2"/>
  <c r="G34" i="2"/>
  <c r="G35" i="2"/>
  <c r="G31" i="2"/>
  <c r="G25" i="2"/>
  <c r="G26" i="2"/>
  <c r="G27" i="2"/>
  <c r="G28" i="2"/>
  <c r="G29" i="2"/>
  <c r="G24" i="2"/>
  <c r="G18" i="2"/>
  <c r="G19" i="2"/>
  <c r="G20" i="2"/>
  <c r="G21" i="2"/>
  <c r="G22" i="2"/>
  <c r="G17" i="2"/>
  <c r="E25" i="3"/>
  <c r="E9" i="2"/>
  <c r="E7" i="2"/>
  <c r="D17" i="4"/>
  <c r="D15" i="4"/>
  <c r="K7" i="4"/>
  <c r="K6" i="4"/>
  <c r="H16" i="4"/>
  <c r="H18" i="4"/>
  <c r="H19" i="4"/>
  <c r="H20" i="4"/>
  <c r="H33" i="4"/>
  <c r="H37" i="4"/>
  <c r="H40" i="4"/>
  <c r="H43" i="4"/>
  <c r="H32" i="4"/>
  <c r="H22" i="4"/>
  <c r="H14" i="4"/>
  <c r="G39" i="4"/>
  <c r="H39" i="4" s="1"/>
  <c r="G36" i="4"/>
  <c r="H36" i="4" s="1"/>
  <c r="G35" i="4"/>
  <c r="H35" i="4" s="1"/>
  <c r="G26" i="4"/>
  <c r="H26" i="4" s="1"/>
  <c r="G25" i="4"/>
  <c r="H25" i="4" s="1"/>
  <c r="G24" i="4"/>
  <c r="H24" i="4" s="1"/>
  <c r="G23" i="4"/>
  <c r="H23" i="4" s="1"/>
  <c r="G17" i="4"/>
  <c r="H17" i="4" s="1"/>
  <c r="G15" i="4"/>
  <c r="H15" i="4" s="1"/>
  <c r="G36" i="2" l="1"/>
  <c r="K8" i="4"/>
  <c r="H44" i="4"/>
  <c r="G7" i="4" s="1"/>
  <c r="H28" i="4"/>
  <c r="G6" i="4" s="1"/>
  <c r="G8" i="4" l="1"/>
  <c r="G9" i="4" s="1"/>
  <c r="D35" i="4"/>
  <c r="E35" i="4" s="1"/>
  <c r="D23" i="4"/>
  <c r="E23" i="4" s="1"/>
  <c r="E16" i="4"/>
  <c r="E18" i="4"/>
  <c r="E19" i="4"/>
  <c r="E20" i="4"/>
  <c r="E33" i="4"/>
  <c r="E37" i="4"/>
  <c r="E40" i="4"/>
  <c r="E32" i="4"/>
  <c r="E22" i="4"/>
  <c r="E14" i="4"/>
  <c r="D43" i="4"/>
  <c r="E43" i="4" s="1"/>
  <c r="D39" i="4"/>
  <c r="E39" i="4" s="1"/>
  <c r="D36" i="4"/>
  <c r="E36" i="4" s="1"/>
  <c r="D26" i="4"/>
  <c r="E26" i="4" s="1"/>
  <c r="D25" i="4"/>
  <c r="E25" i="4" s="1"/>
  <c r="D24" i="4"/>
  <c r="E24" i="4" s="1"/>
  <c r="F8" i="3"/>
  <c r="F7" i="3"/>
  <c r="E44" i="4" l="1"/>
  <c r="D7" i="4" s="1"/>
  <c r="E17" i="4"/>
  <c r="E15" i="4"/>
  <c r="E28" i="4" l="1"/>
  <c r="D6" i="4" s="1"/>
  <c r="D8" i="4" s="1"/>
  <c r="D9" i="4" s="1"/>
  <c r="C44" i="4"/>
  <c r="C34" i="4"/>
  <c r="C31" i="4"/>
  <c r="C21" i="4"/>
  <c r="C13" i="4"/>
  <c r="C30" i="4" s="1"/>
  <c r="E29" i="3"/>
  <c r="E30" i="3"/>
  <c r="E31" i="3"/>
  <c r="E32" i="3"/>
  <c r="E28" i="3"/>
  <c r="E35" i="2"/>
  <c r="F35" i="2" s="1"/>
  <c r="E34" i="2"/>
  <c r="F34" i="2" s="1"/>
  <c r="E8" i="3"/>
  <c r="F32" i="2"/>
  <c r="F33" i="2"/>
  <c r="F31" i="2"/>
  <c r="F17" i="2"/>
  <c r="E20" i="2"/>
  <c r="F20" i="2" s="1"/>
  <c r="E19" i="2"/>
  <c r="E26" i="2" s="1"/>
  <c r="F26" i="2" s="1"/>
  <c r="E22" i="2"/>
  <c r="F22" i="2" s="1"/>
  <c r="E21" i="2"/>
  <c r="F21" i="2" s="1"/>
  <c r="E29" i="2" l="1"/>
  <c r="F29" i="2" s="1"/>
  <c r="F19" i="2"/>
  <c r="E28" i="2"/>
  <c r="F28" i="2" s="1"/>
  <c r="E27" i="2"/>
  <c r="F27" i="2" s="1"/>
  <c r="C41" i="4"/>
  <c r="C45" i="4" s="1"/>
  <c r="E26" i="3"/>
  <c r="E8" i="2"/>
  <c r="C34" i="1"/>
  <c r="C24" i="1"/>
  <c r="C21" i="1"/>
  <c r="C31" i="1" s="1"/>
  <c r="C35" i="1" s="1"/>
  <c r="C12" i="1"/>
  <c r="C4" i="1"/>
  <c r="C20" i="1" s="1"/>
  <c r="F29" i="3" l="1"/>
  <c r="F30" i="3"/>
  <c r="F31" i="3"/>
  <c r="F32" i="3"/>
  <c r="F28" i="3"/>
  <c r="E13" i="3"/>
  <c r="F13" i="3" s="1"/>
  <c r="E14" i="3"/>
  <c r="F14" i="3" s="1"/>
  <c r="E24" i="2"/>
  <c r="E18" i="2"/>
  <c r="E25" i="2" l="1"/>
  <c r="F25" i="2" s="1"/>
  <c r="F18" i="2"/>
  <c r="F24" i="2"/>
  <c r="E15" i="3"/>
  <c r="F15" i="3" s="1"/>
  <c r="E16" i="3"/>
  <c r="F16" i="3" s="1"/>
  <c r="E17" i="3"/>
  <c r="F17" i="3" s="1"/>
  <c r="E11" i="3"/>
  <c r="F11" i="3" s="1"/>
  <c r="F9" i="3" l="1"/>
  <c r="E10" i="3"/>
  <c r="F10" i="3" s="1"/>
  <c r="F26" i="3"/>
  <c r="E27" i="3"/>
  <c r="F27" i="3" s="1"/>
  <c r="E24" i="3"/>
  <c r="F24" i="3" s="1"/>
  <c r="F25" i="3"/>
  <c r="E12" i="3"/>
  <c r="F12" i="3" s="1"/>
  <c r="F18" i="3" l="1"/>
  <c r="F33" i="3"/>
  <c r="C2" i="2"/>
  <c r="C2" i="3" l="1"/>
</calcChain>
</file>

<file path=xl/sharedStrings.xml><?xml version="1.0" encoding="utf-8"?>
<sst xmlns="http://schemas.openxmlformats.org/spreadsheetml/2006/main" count="217" uniqueCount="138">
  <si>
    <t>cifras en millones de pesos</t>
  </si>
  <si>
    <t>Efectivo y reservas en el banco central</t>
  </si>
  <si>
    <t xml:space="preserve">   Bonos gubernamentales &lt; 1 año (Nivel 1 para HQLA)</t>
  </si>
  <si>
    <t xml:space="preserve">   Bonos corporativos calif AA- o superior tasa fija (Nivel 2A para HQLA)</t>
  </si>
  <si>
    <t xml:space="preserve">   Bonos corporativos calif BBB- a A+ tasa fija (nivel 2B para HQLA)</t>
  </si>
  <si>
    <t>Cartera de crédito</t>
  </si>
  <si>
    <t xml:space="preserve">    Hipotecario</t>
  </si>
  <si>
    <t xml:space="preserve">    PYMES</t>
  </si>
  <si>
    <t>Activos Fijos</t>
  </si>
  <si>
    <t>Otros activos</t>
  </si>
  <si>
    <t>TOTAL ACTIVO</t>
  </si>
  <si>
    <t>Depósitos a la vista</t>
  </si>
  <si>
    <t>Depósitos a plazo</t>
  </si>
  <si>
    <t xml:space="preserve">    De empresas</t>
  </si>
  <si>
    <t>Bonos emitidos con vencimiento &lt; 1 año</t>
  </si>
  <si>
    <t>Bonos emitidos con vencimiento 1-5 años</t>
  </si>
  <si>
    <t>Bonos emitidos con vencimiento 5-10 años</t>
  </si>
  <si>
    <t>TOTAL PASIVO</t>
  </si>
  <si>
    <t xml:space="preserve">TOTAL CAPITAL </t>
  </si>
  <si>
    <t>TOTAL PASIVO Y CAPITAL</t>
  </si>
  <si>
    <t>HQLA</t>
  </si>
  <si>
    <t>TOTAL</t>
  </si>
  <si>
    <t>Ponderación</t>
  </si>
  <si>
    <t>Monto</t>
  </si>
  <si>
    <t>Monto Factorizado</t>
  </si>
  <si>
    <t>Descripción</t>
  </si>
  <si>
    <t>SALIDAS NETAS DE EFECTIVO</t>
  </si>
  <si>
    <t>Fondeo mayorista garantizado con HQLA Nivel 2A contraparte no financiera</t>
  </si>
  <si>
    <t>Fondeo mayorista garantizado con HQLA Nivel 2A contraparte financiera</t>
  </si>
  <si>
    <t>Fondeo mayorista sin colateral (sin garantía)</t>
  </si>
  <si>
    <t>Depósitos minoristas core (vista)</t>
  </si>
  <si>
    <t>Depósitos minoristas menos estables (vista)</t>
  </si>
  <si>
    <t>Depósitos minoristas core (plazo)</t>
  </si>
  <si>
    <t>Depósitos minoristas menos estables (plazo)</t>
  </si>
  <si>
    <t>Depósitos operacionales de empresas (vista)</t>
  </si>
  <si>
    <t>Depósitos no operacionales de empresas (vista)</t>
  </si>
  <si>
    <t>Depósitos operacionales de empresas (plazo)</t>
  </si>
  <si>
    <t>Depósitos no operacionales de empresas (plazo)</t>
  </si>
  <si>
    <t>Depósitos no operacioneles de financieras (plazo)</t>
  </si>
  <si>
    <t>Depósitos no operacioneles de financieras (vista)</t>
  </si>
  <si>
    <t>VISTA</t>
  </si>
  <si>
    <t>PLAZO</t>
  </si>
  <si>
    <t>FONDEO MAYORISTA</t>
  </si>
  <si>
    <t>Factor</t>
  </si>
  <si>
    <t>Ponderaciones</t>
  </si>
  <si>
    <t>LCR</t>
  </si>
  <si>
    <t>Depósitos operacioneles de financieras (vista)</t>
  </si>
  <si>
    <t>Depósitos operacioneles de financieras (plazo)</t>
  </si>
  <si>
    <t>ASF</t>
  </si>
  <si>
    <t>Capital Tier 1 y Tier 2</t>
  </si>
  <si>
    <t>Pasivos con plazo residual mayor a 1 año</t>
  </si>
  <si>
    <t>Depósitos minoristas estables (core)</t>
  </si>
  <si>
    <t>Depósitos minoristas menos estables (volátiles)</t>
  </si>
  <si>
    <t>Depósitos operacionales de empresas no financieras</t>
  </si>
  <si>
    <t>Depósitos no operacionales de empresas no financieras</t>
  </si>
  <si>
    <t>Depósitos operacionales de empresas financieras</t>
  </si>
  <si>
    <t>Depósitos no operacionales de empresas financieras</t>
  </si>
  <si>
    <t>Fondeo mayorista contrapartes no financieras con colateral</t>
  </si>
  <si>
    <t>Fondeo mayorista contrapartes financieras con colateral</t>
  </si>
  <si>
    <t>Fondeo mayorista sin colateral</t>
  </si>
  <si>
    <t>Fondeo mayorista garantizado con HQLA Nivel 1 contraparte no financiera</t>
  </si>
  <si>
    <t>Fondeo mayorista garantizado con HQLA Nivel 1 contraparte financiera</t>
  </si>
  <si>
    <t>RSF</t>
  </si>
  <si>
    <t>Efectivo y depósitos en el banco central</t>
  </si>
  <si>
    <t>HQLA nivel 1</t>
  </si>
  <si>
    <t>HQLA nivel 2A</t>
  </si>
  <si>
    <t>HQLA nivel 2B</t>
  </si>
  <si>
    <t>Hipotecarios</t>
  </si>
  <si>
    <t xml:space="preserve">Créditos a consumo </t>
  </si>
  <si>
    <t>Créditos PYME</t>
  </si>
  <si>
    <t>Créditos a empresas no financieras (corporativos) largo plazo</t>
  </si>
  <si>
    <t>Créditos a instituciones financieras (largo plazo)</t>
  </si>
  <si>
    <t>NSFR</t>
  </si>
  <si>
    <t>TIIE Fondeo</t>
  </si>
  <si>
    <t>Tasa</t>
  </si>
  <si>
    <t>Ingresos</t>
  </si>
  <si>
    <t>NII</t>
  </si>
  <si>
    <t>Total Ingresos</t>
  </si>
  <si>
    <t>Total Egresos</t>
  </si>
  <si>
    <t>ROE</t>
  </si>
  <si>
    <t>Banco de Occidente</t>
  </si>
  <si>
    <t>Títulos de deuda</t>
  </si>
  <si>
    <t xml:space="preserve">   Bonos gubernamentales 1-5 años tasa revisable (Nivel 1 para HQLA)</t>
  </si>
  <si>
    <t xml:space="preserve">   Bonos gubernamentales 1-5 años tasa fija (Nivel 2A para HQLA)</t>
  </si>
  <si>
    <t xml:space="preserve">   Bonos gubernamentales 5-10 años tasa flotante (Nivel 1 para HQLA)</t>
  </si>
  <si>
    <t xml:space="preserve">   Bonos gubernamentales  5-10 años tasa fija (Nivel 2A para HQLA)</t>
  </si>
  <si>
    <t xml:space="preserve">   Consumo (tarjetas de crédito, de nómina, personales)*</t>
  </si>
  <si>
    <t xml:space="preserve">    Corporativo (grandes empresas)**</t>
  </si>
  <si>
    <t xml:space="preserve">    Instituciones Financieras</t>
  </si>
  <si>
    <t xml:space="preserve">    Minoristas (retail)***</t>
  </si>
  <si>
    <t xml:space="preserve">    De empresas****</t>
  </si>
  <si>
    <t xml:space="preserve">    Minoristas (retail)*****</t>
  </si>
  <si>
    <t>Fondeo mayorista******</t>
  </si>
  <si>
    <t>Capital Tier 1</t>
  </si>
  <si>
    <t>Capital Tier 2</t>
  </si>
  <si>
    <t>tasa del 7.25%</t>
  </si>
  <si>
    <t>spread de 19 basis</t>
  </si>
  <si>
    <t>tasa del 8.35%</t>
  </si>
  <si>
    <t>spread de 34 basis</t>
  </si>
  <si>
    <t>tasa del 8.65%</t>
  </si>
  <si>
    <t>tasa del 9.5%</t>
  </si>
  <si>
    <t>tasa del 9.80%</t>
  </si>
  <si>
    <t>tasa del 11.20%</t>
  </si>
  <si>
    <t>tasa de TIIE28+50% para tarjetas, fija del 19% para nómina y fija del 23% para personales</t>
  </si>
  <si>
    <t>tasa de TIIE28 + 8%</t>
  </si>
  <si>
    <t>tasa de TIIE28 + 2.75% el 85% de los préstamos y TIIE91 + 3.25% el resto de estos préstamos</t>
  </si>
  <si>
    <t>tasa de TIIE28 + 3% el 70% de estos préstamos y TIIE91 + 3.5% el restante</t>
  </si>
  <si>
    <t>cero, no paga interés en este tipo de cuentas</t>
  </si>
  <si>
    <t>tasa de 4.25% para los que son a 1 mes, 4.75% para los que son a 3 meses, 5% para los que son a 6 meses y 5.25% para los que son a 1 año</t>
  </si>
  <si>
    <t>pagan un cuarto de punto más que las de persona física</t>
  </si>
  <si>
    <t>tasa promedio del 7.00%</t>
  </si>
  <si>
    <t>TIIE28 + 2%</t>
  </si>
  <si>
    <t>tasa del 9%</t>
  </si>
  <si>
    <t>tasa del 12.5% para un bono convertible (CoCo) por 3 mil millones y del 11.5% para un bono perpetuo de 2 mil millones</t>
  </si>
  <si>
    <t>* Del monto señalado, el 39% corresponde a tarjetas de crédito, el 32% a créditos de nómina y el porcentaje restante a créditos personales</t>
  </si>
  <si>
    <t>** A los corporativos se les dan 2 tipos de créditos: revolventes y amortizables, éstos últimos pueden ser de 4 subtipos: bullet, ballon payment, pagos crecientes, pagos iguales</t>
  </si>
  <si>
    <t>*** Los depósitos minoristas se consideran 75% core o estables y 25% non-core o volátiles</t>
  </si>
  <si>
    <t>**** Los depósitos de empresas se consideran 45% de empresas financieras y 55% de empresas no-financieras</t>
  </si>
  <si>
    <t>De las empresas financieras, el 90% se consideran operativas y el 10% no operativas, de las NO-financieras el 60% se consideran operativas y el 40% no operativas</t>
  </si>
  <si>
    <t>***** De los retail a plazo el 45% es a 1 mes, el 35% a 3 meses, el 15% a 6 meses y el restante a 1 año</t>
  </si>
  <si>
    <t>por su parte los de empresas a plazo son 75% a 1 mes y 25% a 3 meses</t>
  </si>
  <si>
    <t xml:space="preserve">****** Del fondeo mayorista el 90% es con contrapartes financieras y el 10% con contrapartes no-financieras. </t>
  </si>
  <si>
    <t>Con contrapartes no-financieras todo es con colateral Nivel1. Con contrapartes financieras una cuarta parte es sin colateral y 3/4 partes con colateral 2A</t>
  </si>
  <si>
    <t>TIIE 28</t>
  </si>
  <si>
    <t>TIIE 91</t>
  </si>
  <si>
    <t>Cambio en TIIE</t>
  </si>
  <si>
    <t>Delta Ingreso</t>
  </si>
  <si>
    <t>Delta Tasa</t>
  </si>
  <si>
    <t>Delta NII</t>
  </si>
  <si>
    <t>Delta ROE</t>
  </si>
  <si>
    <t>Total Activos Variables</t>
  </si>
  <si>
    <t>Total Pasivos Variables</t>
  </si>
  <si>
    <t>Diff</t>
  </si>
  <si>
    <t>Egresos</t>
  </si>
  <si>
    <t>Delta Egresos</t>
  </si>
  <si>
    <t>Nivel 1 para HQLA</t>
  </si>
  <si>
    <t>Nivel 2A para HQLA</t>
  </si>
  <si>
    <t>Nivel 2B para HQLA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</si>
</sst>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0.0%"/>
    <numFmt numFmtId="165" formatCode="0.000%"/>
    <numFmt numFmtId="166" formatCode="0.0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4" borderId="0" xfId="0" applyFill="1"/>
    <xf numFmtId="9" fontId="0" fillId="4" borderId="0" xfId="0" applyNumberFormat="1" applyFill="1" applyAlignment="1">
      <alignment horizontal="center"/>
    </xf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6" borderId="0" xfId="0" applyFont="1" applyFill="1" applyAlignment="1">
      <alignment horizontal="left"/>
    </xf>
    <xf numFmtId="0" fontId="0" fillId="6" borderId="0" xfId="0" applyFill="1"/>
    <xf numFmtId="0" fontId="0" fillId="4" borderId="1" xfId="0" applyFill="1" applyBorder="1"/>
    <xf numFmtId="9" fontId="0" fillId="4" borderId="1" xfId="0" applyNumberFormat="1" applyFill="1" applyBorder="1" applyAlignment="1">
      <alignment horizontal="center"/>
    </xf>
    <xf numFmtId="44" fontId="0" fillId="4" borderId="1" xfId="1" applyFont="1" applyFill="1" applyBorder="1" applyAlignment="1">
      <alignment horizontal="center"/>
    </xf>
    <xf numFmtId="0" fontId="3" fillId="4" borderId="1" xfId="0" applyFont="1" applyFill="1" applyBorder="1"/>
    <xf numFmtId="9" fontId="0" fillId="4" borderId="1" xfId="0" applyNumberFormat="1" applyFill="1" applyBorder="1"/>
    <xf numFmtId="44" fontId="0" fillId="4" borderId="1" xfId="1" applyFont="1" applyFill="1" applyBorder="1"/>
    <xf numFmtId="9" fontId="5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/>
    <xf numFmtId="164" fontId="0" fillId="4" borderId="1" xfId="0" applyNumberFormat="1" applyFill="1" applyBorder="1"/>
    <xf numFmtId="0" fontId="3" fillId="7" borderId="1" xfId="0" applyFont="1" applyFill="1" applyBorder="1" applyAlignment="1">
      <alignment horizontal="center"/>
    </xf>
    <xf numFmtId="2" fontId="0" fillId="8" borderId="0" xfId="2" applyNumberFormat="1" applyFont="1" applyFill="1" applyAlignment="1">
      <alignment horizontal="left"/>
    </xf>
    <xf numFmtId="0" fontId="3" fillId="7" borderId="1" xfId="0" applyFont="1" applyFill="1" applyBorder="1"/>
    <xf numFmtId="2" fontId="0" fillId="8" borderId="0" xfId="0" applyNumberFormat="1" applyFill="1" applyAlignment="1">
      <alignment horizontal="left"/>
    </xf>
    <xf numFmtId="0" fontId="3" fillId="9" borderId="0" xfId="0" applyFont="1" applyFill="1"/>
    <xf numFmtId="0" fontId="0" fillId="9" borderId="0" xfId="0" applyFill="1"/>
    <xf numFmtId="44" fontId="3" fillId="10" borderId="1" xfId="1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44" fontId="3" fillId="10" borderId="1" xfId="1" applyFont="1" applyFill="1" applyBorder="1"/>
    <xf numFmtId="44" fontId="0" fillId="10" borderId="1" xfId="1" applyFont="1" applyFill="1" applyBorder="1"/>
    <xf numFmtId="0" fontId="0" fillId="4" borderId="0" xfId="0" applyFill="1" applyAlignment="1">
      <alignment horizontal="right"/>
    </xf>
    <xf numFmtId="10" fontId="0" fillId="4" borderId="0" xfId="0" applyNumberFormat="1" applyFill="1"/>
    <xf numFmtId="3" fontId="3" fillId="4" borderId="0" xfId="0" applyNumberFormat="1" applyFont="1" applyFill="1"/>
    <xf numFmtId="0" fontId="7" fillId="4" borderId="0" xfId="0" applyFont="1" applyFill="1"/>
    <xf numFmtId="9" fontId="0" fillId="4" borderId="1" xfId="2" applyFont="1" applyFill="1" applyBorder="1"/>
    <xf numFmtId="44" fontId="0" fillId="4" borderId="1" xfId="0" applyNumberFormat="1" applyFill="1" applyBorder="1"/>
    <xf numFmtId="10" fontId="0" fillId="4" borderId="1" xfId="2" applyNumberFormat="1" applyFont="1" applyFill="1" applyBorder="1"/>
    <xf numFmtId="166" fontId="0" fillId="4" borderId="1" xfId="2" applyNumberFormat="1" applyFont="1" applyFill="1" applyBorder="1"/>
    <xf numFmtId="166" fontId="0" fillId="4" borderId="1" xfId="0" applyNumberFormat="1" applyFill="1" applyBorder="1"/>
    <xf numFmtId="10" fontId="0" fillId="4" borderId="1" xfId="0" applyNumberFormat="1" applyFill="1" applyBorder="1"/>
    <xf numFmtId="165" fontId="0" fillId="4" borderId="1" xfId="2" applyNumberFormat="1" applyFont="1" applyFill="1" applyBorder="1"/>
    <xf numFmtId="0" fontId="3" fillId="11" borderId="1" xfId="0" applyFont="1" applyFill="1" applyBorder="1" applyAlignment="1">
      <alignment horizontal="center"/>
    </xf>
    <xf numFmtId="0" fontId="0" fillId="2" borderId="1" xfId="0" applyFill="1" applyBorder="1"/>
    <xf numFmtId="10" fontId="0" fillId="2" borderId="1" xfId="2" applyNumberFormat="1" applyFont="1" applyFill="1" applyBorder="1"/>
    <xf numFmtId="0" fontId="3" fillId="11" borderId="2" xfId="0" applyFont="1" applyFill="1" applyBorder="1" applyAlignment="1">
      <alignment horizontal="center"/>
    </xf>
    <xf numFmtId="0" fontId="0" fillId="2" borderId="2" xfId="0" applyFill="1" applyBorder="1"/>
    <xf numFmtId="10" fontId="0" fillId="4" borderId="2" xfId="0" applyNumberFormat="1" applyFill="1" applyBorder="1"/>
    <xf numFmtId="10" fontId="0" fillId="4" borderId="2" xfId="2" applyNumberFormat="1" applyFont="1" applyFill="1" applyBorder="1"/>
    <xf numFmtId="10" fontId="0" fillId="2" borderId="2" xfId="2" applyNumberFormat="1" applyFont="1" applyFill="1" applyBorder="1"/>
    <xf numFmtId="0" fontId="6" fillId="3" borderId="1" xfId="0" applyFont="1" applyFill="1" applyBorder="1"/>
    <xf numFmtId="0" fontId="4" fillId="3" borderId="1" xfId="0" applyFont="1" applyFill="1" applyBorder="1"/>
    <xf numFmtId="3" fontId="3" fillId="4" borderId="1" xfId="0" applyNumberFormat="1" applyFont="1" applyFill="1" applyBorder="1"/>
    <xf numFmtId="3" fontId="0" fillId="4" borderId="1" xfId="0" applyNumberFormat="1" applyFill="1" applyBorder="1"/>
    <xf numFmtId="0" fontId="2" fillId="3" borderId="1" xfId="0" applyFont="1" applyFill="1" applyBorder="1"/>
    <xf numFmtId="3" fontId="2" fillId="3" borderId="1" xfId="0" applyNumberFormat="1" applyFont="1" applyFill="1" applyBorder="1"/>
    <xf numFmtId="0" fontId="3" fillId="11" borderId="1" xfId="0" applyFont="1" applyFill="1" applyBorder="1" applyAlignment="1">
      <alignment horizontal="right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right"/>
    </xf>
    <xf numFmtId="0" fontId="3" fillId="1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A783-E051-4194-AEE1-FFE3EF74AC8E}">
  <dimension ref="B2:D50"/>
  <sheetViews>
    <sheetView zoomScaleNormal="100" workbookViewId="0">
      <selection activeCell="J26" sqref="J26"/>
    </sheetView>
  </sheetViews>
  <sheetFormatPr baseColWidth="10" defaultColWidth="11.44140625" defaultRowHeight="14.4" x14ac:dyDescent="0.3"/>
  <cols>
    <col min="1" max="1" width="11.44140625" style="1"/>
    <col min="2" max="2" width="64.44140625" style="1" customWidth="1"/>
    <col min="3" max="3" width="18.5546875" style="1" bestFit="1" customWidth="1"/>
    <col min="4" max="16384" width="11.44140625" style="1"/>
  </cols>
  <sheetData>
    <row r="2" spans="2:4" x14ac:dyDescent="0.3">
      <c r="B2" s="46" t="s">
        <v>0</v>
      </c>
      <c r="C2" s="47" t="s">
        <v>80</v>
      </c>
    </row>
    <row r="3" spans="2:4" x14ac:dyDescent="0.3">
      <c r="B3" s="11" t="s">
        <v>1</v>
      </c>
      <c r="C3" s="11">
        <v>860</v>
      </c>
    </row>
    <row r="4" spans="2:4" x14ac:dyDescent="0.3">
      <c r="B4" s="11" t="s">
        <v>81</v>
      </c>
      <c r="C4" s="48">
        <f t="shared" ref="C4" si="0">SUM(C5:C11)</f>
        <v>3000</v>
      </c>
    </row>
    <row r="5" spans="2:4" x14ac:dyDescent="0.3">
      <c r="B5" s="8" t="s">
        <v>2</v>
      </c>
      <c r="C5" s="49">
        <v>400</v>
      </c>
      <c r="D5" s="30" t="s">
        <v>95</v>
      </c>
    </row>
    <row r="6" spans="2:4" x14ac:dyDescent="0.3">
      <c r="B6" s="8" t="s">
        <v>82</v>
      </c>
      <c r="C6" s="49">
        <v>0</v>
      </c>
      <c r="D6" s="30" t="s">
        <v>96</v>
      </c>
    </row>
    <row r="7" spans="2:4" x14ac:dyDescent="0.3">
      <c r="B7" s="8" t="s">
        <v>83</v>
      </c>
      <c r="C7" s="49">
        <v>1000</v>
      </c>
      <c r="D7" s="30" t="s">
        <v>97</v>
      </c>
    </row>
    <row r="8" spans="2:4" x14ac:dyDescent="0.3">
      <c r="B8" s="8" t="s">
        <v>84</v>
      </c>
      <c r="C8" s="49">
        <v>0</v>
      </c>
      <c r="D8" s="30" t="s">
        <v>98</v>
      </c>
    </row>
    <row r="9" spans="2:4" x14ac:dyDescent="0.3">
      <c r="B9" s="8" t="s">
        <v>85</v>
      </c>
      <c r="C9" s="49">
        <v>1000</v>
      </c>
      <c r="D9" s="30" t="s">
        <v>99</v>
      </c>
    </row>
    <row r="10" spans="2:4" x14ac:dyDescent="0.3">
      <c r="B10" s="8" t="s">
        <v>3</v>
      </c>
      <c r="C10" s="49">
        <v>600</v>
      </c>
      <c r="D10" s="30" t="s">
        <v>100</v>
      </c>
    </row>
    <row r="11" spans="2:4" x14ac:dyDescent="0.3">
      <c r="B11" s="8" t="s">
        <v>4</v>
      </c>
      <c r="C11" s="49">
        <v>0</v>
      </c>
      <c r="D11" s="30" t="s">
        <v>101</v>
      </c>
    </row>
    <row r="12" spans="2:4" x14ac:dyDescent="0.3">
      <c r="B12" s="11" t="s">
        <v>5</v>
      </c>
      <c r="C12" s="48">
        <f t="shared" ref="C12" si="1">SUM(C13:C17)</f>
        <v>24141</v>
      </c>
      <c r="D12" s="30"/>
    </row>
    <row r="13" spans="2:4" x14ac:dyDescent="0.3">
      <c r="B13" s="8" t="s">
        <v>6</v>
      </c>
      <c r="C13" s="49">
        <v>4127</v>
      </c>
      <c r="D13" s="30" t="s">
        <v>102</v>
      </c>
    </row>
    <row r="14" spans="2:4" x14ac:dyDescent="0.3">
      <c r="B14" s="8" t="s">
        <v>86</v>
      </c>
      <c r="C14" s="49">
        <v>4892</v>
      </c>
      <c r="D14" s="30" t="s">
        <v>103</v>
      </c>
    </row>
    <row r="15" spans="2:4" x14ac:dyDescent="0.3">
      <c r="B15" s="8" t="s">
        <v>7</v>
      </c>
      <c r="C15" s="49">
        <v>6193</v>
      </c>
      <c r="D15" s="30" t="s">
        <v>104</v>
      </c>
    </row>
    <row r="16" spans="2:4" x14ac:dyDescent="0.3">
      <c r="B16" s="8" t="s">
        <v>87</v>
      </c>
      <c r="C16" s="49">
        <v>6584</v>
      </c>
      <c r="D16" s="30" t="s">
        <v>105</v>
      </c>
    </row>
    <row r="17" spans="2:4" x14ac:dyDescent="0.3">
      <c r="B17" s="8" t="s">
        <v>88</v>
      </c>
      <c r="C17" s="49">
        <v>2345</v>
      </c>
      <c r="D17" s="30" t="s">
        <v>106</v>
      </c>
    </row>
    <row r="18" spans="2:4" x14ac:dyDescent="0.3">
      <c r="B18" s="11" t="s">
        <v>8</v>
      </c>
      <c r="C18" s="48">
        <v>1468</v>
      </c>
      <c r="D18" s="30"/>
    </row>
    <row r="19" spans="2:4" x14ac:dyDescent="0.3">
      <c r="B19" s="11" t="s">
        <v>9</v>
      </c>
      <c r="C19" s="48">
        <v>64</v>
      </c>
      <c r="D19" s="30"/>
    </row>
    <row r="20" spans="2:4" x14ac:dyDescent="0.3">
      <c r="B20" s="50" t="s">
        <v>10</v>
      </c>
      <c r="C20" s="51">
        <f t="shared" ref="C20" si="2">C3+C4+C12+C18+C19</f>
        <v>29533</v>
      </c>
      <c r="D20" s="30"/>
    </row>
    <row r="21" spans="2:4" x14ac:dyDescent="0.3">
      <c r="B21" s="11" t="s">
        <v>11</v>
      </c>
      <c r="C21" s="48">
        <f t="shared" ref="C21" si="3">C22+C23</f>
        <v>5070</v>
      </c>
      <c r="D21" s="30"/>
    </row>
    <row r="22" spans="2:4" x14ac:dyDescent="0.3">
      <c r="B22" s="8" t="s">
        <v>89</v>
      </c>
      <c r="C22" s="49">
        <v>2897</v>
      </c>
      <c r="D22" s="30" t="s">
        <v>107</v>
      </c>
    </row>
    <row r="23" spans="2:4" x14ac:dyDescent="0.3">
      <c r="B23" s="8" t="s">
        <v>90</v>
      </c>
      <c r="C23" s="49">
        <v>2173</v>
      </c>
      <c r="D23" s="30" t="s">
        <v>107</v>
      </c>
    </row>
    <row r="24" spans="2:4" x14ac:dyDescent="0.3">
      <c r="B24" s="11" t="s">
        <v>12</v>
      </c>
      <c r="C24" s="48">
        <f t="shared" ref="C24" si="4">C25+C26</f>
        <v>5660</v>
      </c>
      <c r="D24" s="30"/>
    </row>
    <row r="25" spans="2:4" x14ac:dyDescent="0.3">
      <c r="B25" s="8" t="s">
        <v>91</v>
      </c>
      <c r="C25" s="49">
        <v>3389</v>
      </c>
      <c r="D25" s="30" t="s">
        <v>108</v>
      </c>
    </row>
    <row r="26" spans="2:4" x14ac:dyDescent="0.3">
      <c r="B26" s="8" t="s">
        <v>13</v>
      </c>
      <c r="C26" s="49">
        <v>2271</v>
      </c>
      <c r="D26" s="30" t="s">
        <v>109</v>
      </c>
    </row>
    <row r="27" spans="2:4" x14ac:dyDescent="0.3">
      <c r="B27" s="11" t="s">
        <v>92</v>
      </c>
      <c r="C27" s="48">
        <v>3549</v>
      </c>
      <c r="D27" s="30" t="s">
        <v>110</v>
      </c>
    </row>
    <row r="28" spans="2:4" x14ac:dyDescent="0.3">
      <c r="B28" s="11" t="s">
        <v>14</v>
      </c>
      <c r="C28" s="48">
        <v>0</v>
      </c>
      <c r="D28" s="30"/>
    </row>
    <row r="29" spans="2:4" x14ac:dyDescent="0.3">
      <c r="B29" s="11" t="s">
        <v>15</v>
      </c>
      <c r="C29" s="48">
        <v>2400</v>
      </c>
      <c r="D29" s="30" t="s">
        <v>111</v>
      </c>
    </row>
    <row r="30" spans="2:4" x14ac:dyDescent="0.3">
      <c r="B30" s="11" t="s">
        <v>16</v>
      </c>
      <c r="C30" s="48">
        <v>3800</v>
      </c>
      <c r="D30" s="30" t="s">
        <v>112</v>
      </c>
    </row>
    <row r="31" spans="2:4" x14ac:dyDescent="0.3">
      <c r="B31" s="50" t="s">
        <v>17</v>
      </c>
      <c r="C31" s="51">
        <f t="shared" ref="C31" si="5">C21+C24+C27+C28+C29+C30</f>
        <v>20479</v>
      </c>
      <c r="D31" s="30"/>
    </row>
    <row r="32" spans="2:4" x14ac:dyDescent="0.3">
      <c r="B32" s="11" t="s">
        <v>93</v>
      </c>
      <c r="C32" s="49">
        <v>4054</v>
      </c>
      <c r="D32" s="30"/>
    </row>
    <row r="33" spans="2:4" x14ac:dyDescent="0.3">
      <c r="B33" s="11" t="s">
        <v>94</v>
      </c>
      <c r="C33" s="49">
        <v>5000</v>
      </c>
      <c r="D33" s="30" t="s">
        <v>113</v>
      </c>
    </row>
    <row r="34" spans="2:4" x14ac:dyDescent="0.3">
      <c r="B34" s="50" t="s">
        <v>18</v>
      </c>
      <c r="C34" s="51">
        <f t="shared" ref="C34" si="6">C32+C33</f>
        <v>9054</v>
      </c>
    </row>
    <row r="35" spans="2:4" x14ac:dyDescent="0.3">
      <c r="B35" s="11" t="s">
        <v>19</v>
      </c>
      <c r="C35" s="48">
        <f t="shared" ref="C35" si="7">C31+C34</f>
        <v>29533</v>
      </c>
    </row>
    <row r="37" spans="2:4" x14ac:dyDescent="0.3">
      <c r="B37" s="1" t="s">
        <v>114</v>
      </c>
    </row>
    <row r="39" spans="2:4" x14ac:dyDescent="0.3">
      <c r="B39" s="1" t="s">
        <v>115</v>
      </c>
    </row>
    <row r="41" spans="2:4" x14ac:dyDescent="0.3">
      <c r="B41" s="1" t="s">
        <v>116</v>
      </c>
    </row>
    <row r="43" spans="2:4" x14ac:dyDescent="0.3">
      <c r="B43" s="1" t="s">
        <v>117</v>
      </c>
    </row>
    <row r="44" spans="2:4" x14ac:dyDescent="0.3">
      <c r="B44" s="1" t="s">
        <v>118</v>
      </c>
    </row>
    <row r="46" spans="2:4" x14ac:dyDescent="0.3">
      <c r="B46" s="1" t="s">
        <v>119</v>
      </c>
    </row>
    <row r="47" spans="2:4" x14ac:dyDescent="0.3">
      <c r="B47" s="1" t="s">
        <v>120</v>
      </c>
    </row>
    <row r="49" spans="2:2" x14ac:dyDescent="0.3">
      <c r="B49" s="1" t="s">
        <v>121</v>
      </c>
    </row>
    <row r="50" spans="2:2" x14ac:dyDescent="0.3">
      <c r="B50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2D3C-F038-4B5C-8158-58DAF77F45AE}">
  <dimension ref="B2:G41"/>
  <sheetViews>
    <sheetView tabSelected="1" topLeftCell="A10" zoomScaleNormal="100" workbookViewId="0">
      <selection activeCell="C12" sqref="C12"/>
    </sheetView>
  </sheetViews>
  <sheetFormatPr baseColWidth="10" defaultColWidth="11.44140625" defaultRowHeight="14.4" x14ac:dyDescent="0.3"/>
  <cols>
    <col min="1" max="2" width="11.44140625" style="1"/>
    <col min="3" max="3" width="63.5546875" style="1" bestFit="1" customWidth="1"/>
    <col min="4" max="4" width="12.33203125" style="1" bestFit="1" customWidth="1"/>
    <col min="5" max="5" width="14.44140625" style="1" bestFit="1" customWidth="1"/>
    <col min="6" max="7" width="17.5546875" style="1" bestFit="1" customWidth="1"/>
    <col min="8" max="16384" width="11.44140625" style="1"/>
  </cols>
  <sheetData>
    <row r="2" spans="2:7" x14ac:dyDescent="0.3">
      <c r="B2" s="4" t="s">
        <v>45</v>
      </c>
      <c r="C2" s="18">
        <f>F11/G36</f>
        <v>0.7791614505044705</v>
      </c>
    </row>
    <row r="4" spans="2:7" x14ac:dyDescent="0.3">
      <c r="B4" s="5" t="s">
        <v>20</v>
      </c>
      <c r="C4" s="7"/>
    </row>
    <row r="6" spans="2:7" x14ac:dyDescent="0.3">
      <c r="C6" s="17" t="s">
        <v>25</v>
      </c>
      <c r="D6" s="17" t="s">
        <v>22</v>
      </c>
      <c r="E6" s="17" t="s">
        <v>23</v>
      </c>
      <c r="F6" s="17" t="s">
        <v>24</v>
      </c>
    </row>
    <row r="7" spans="2:7" x14ac:dyDescent="0.3">
      <c r="C7" s="19" t="s">
        <v>1</v>
      </c>
      <c r="D7" s="9">
        <v>1</v>
      </c>
      <c r="E7" s="10">
        <f>Datos!C3</f>
        <v>860</v>
      </c>
      <c r="F7" s="10">
        <f>E7*D7</f>
        <v>860</v>
      </c>
    </row>
    <row r="8" spans="2:7" x14ac:dyDescent="0.3">
      <c r="C8" s="19" t="s">
        <v>135</v>
      </c>
      <c r="D8" s="9">
        <v>1</v>
      </c>
      <c r="E8" s="10">
        <f>Datos!C5</f>
        <v>400</v>
      </c>
      <c r="F8" s="10">
        <f t="shared" ref="F8:F10" si="0">E8*D8</f>
        <v>400</v>
      </c>
    </row>
    <row r="9" spans="2:7" x14ac:dyDescent="0.3">
      <c r="C9" s="19" t="s">
        <v>136</v>
      </c>
      <c r="D9" s="9">
        <v>0.85</v>
      </c>
      <c r="E9" s="10">
        <f>Datos!C7+Datos!C9+Datos!C10</f>
        <v>2600</v>
      </c>
      <c r="F9" s="10">
        <f t="shared" si="0"/>
        <v>2210</v>
      </c>
    </row>
    <row r="10" spans="2:7" x14ac:dyDescent="0.3">
      <c r="C10" s="19" t="s">
        <v>137</v>
      </c>
      <c r="D10" s="9">
        <v>0.5</v>
      </c>
      <c r="E10" s="10">
        <v>0</v>
      </c>
      <c r="F10" s="10">
        <f t="shared" si="0"/>
        <v>0</v>
      </c>
    </row>
    <row r="11" spans="2:7" x14ac:dyDescent="0.3">
      <c r="E11" s="23" t="s">
        <v>21</v>
      </c>
      <c r="F11" s="23">
        <f>SUM(F7:F10)</f>
        <v>3470</v>
      </c>
    </row>
    <row r="13" spans="2:7" x14ac:dyDescent="0.3">
      <c r="B13" s="6" t="s">
        <v>26</v>
      </c>
      <c r="C13" s="7"/>
    </row>
    <row r="15" spans="2:7" x14ac:dyDescent="0.3">
      <c r="C15" s="19" t="s">
        <v>25</v>
      </c>
      <c r="D15" s="17" t="s">
        <v>43</v>
      </c>
      <c r="E15" s="17" t="s">
        <v>44</v>
      </c>
      <c r="F15" s="17" t="s">
        <v>23</v>
      </c>
      <c r="G15" s="17" t="s">
        <v>24</v>
      </c>
    </row>
    <row r="16" spans="2:7" x14ac:dyDescent="0.3">
      <c r="C16" s="56" t="s">
        <v>40</v>
      </c>
      <c r="D16" s="56"/>
      <c r="E16" s="56"/>
      <c r="F16" s="56"/>
      <c r="G16" s="56"/>
    </row>
    <row r="17" spans="3:7" x14ac:dyDescent="0.3">
      <c r="C17" s="19" t="s">
        <v>30</v>
      </c>
      <c r="D17" s="9">
        <v>0.03</v>
      </c>
      <c r="E17" s="12">
        <v>0.75</v>
      </c>
      <c r="F17" s="13">
        <f>E17*Datos!C22</f>
        <v>2172.75</v>
      </c>
      <c r="G17" s="13">
        <f>F17*D17</f>
        <v>65.182500000000005</v>
      </c>
    </row>
    <row r="18" spans="3:7" x14ac:dyDescent="0.3">
      <c r="C18" s="19" t="s">
        <v>31</v>
      </c>
      <c r="D18" s="9">
        <v>0.1</v>
      </c>
      <c r="E18" s="12">
        <f>1-E17</f>
        <v>0.25</v>
      </c>
      <c r="F18" s="13">
        <f>E18*Datos!C22</f>
        <v>724.25</v>
      </c>
      <c r="G18" s="13">
        <f t="shared" ref="G18:G22" si="1">F18*D18</f>
        <v>72.424999999999997</v>
      </c>
    </row>
    <row r="19" spans="3:7" x14ac:dyDescent="0.3">
      <c r="C19" s="19" t="s">
        <v>34</v>
      </c>
      <c r="D19" s="9">
        <v>0.25</v>
      </c>
      <c r="E19" s="12">
        <f>0.55*0.6</f>
        <v>0.33</v>
      </c>
      <c r="F19" s="13">
        <f>E19*Datos!$C$23</f>
        <v>717.09</v>
      </c>
      <c r="G19" s="13">
        <f t="shared" si="1"/>
        <v>179.27250000000001</v>
      </c>
    </row>
    <row r="20" spans="3:7" x14ac:dyDescent="0.3">
      <c r="C20" s="19" t="s">
        <v>35</v>
      </c>
      <c r="D20" s="9">
        <v>0.4</v>
      </c>
      <c r="E20" s="12">
        <f>0.55*0.4</f>
        <v>0.22000000000000003</v>
      </c>
      <c r="F20" s="13">
        <f>E20*Datos!$C$23</f>
        <v>478.06000000000006</v>
      </c>
      <c r="G20" s="13">
        <f t="shared" si="1"/>
        <v>191.22400000000005</v>
      </c>
    </row>
    <row r="21" spans="3:7" x14ac:dyDescent="0.3">
      <c r="C21" s="19" t="s">
        <v>46</v>
      </c>
      <c r="D21" s="14">
        <v>1</v>
      </c>
      <c r="E21" s="15">
        <f>0.45*0.9</f>
        <v>0.40500000000000003</v>
      </c>
      <c r="F21" s="13">
        <f>E21*Datos!$C$23</f>
        <v>880.06500000000005</v>
      </c>
      <c r="G21" s="13">
        <f t="shared" si="1"/>
        <v>880.06500000000005</v>
      </c>
    </row>
    <row r="22" spans="3:7" x14ac:dyDescent="0.3">
      <c r="C22" s="19" t="s">
        <v>39</v>
      </c>
      <c r="D22" s="9">
        <v>1</v>
      </c>
      <c r="E22" s="16">
        <f>0.45*0.1</f>
        <v>4.5000000000000005E-2</v>
      </c>
      <c r="F22" s="13">
        <f>E22*Datos!$C$23</f>
        <v>97.785000000000011</v>
      </c>
      <c r="G22" s="13">
        <f t="shared" si="1"/>
        <v>97.785000000000011</v>
      </c>
    </row>
    <row r="23" spans="3:7" x14ac:dyDescent="0.3">
      <c r="C23" s="56" t="s">
        <v>41</v>
      </c>
      <c r="D23" s="56"/>
      <c r="E23" s="56"/>
      <c r="F23" s="56"/>
      <c r="G23" s="56"/>
    </row>
    <row r="24" spans="3:7" x14ac:dyDescent="0.3">
      <c r="C24" s="19" t="s">
        <v>32</v>
      </c>
      <c r="D24" s="9">
        <v>0.03</v>
      </c>
      <c r="E24" s="12">
        <f>E17</f>
        <v>0.75</v>
      </c>
      <c r="F24" s="13">
        <f>E24*Datos!C25</f>
        <v>2541.75</v>
      </c>
      <c r="G24" s="13">
        <f>F24*D24</f>
        <v>76.252499999999998</v>
      </c>
    </row>
    <row r="25" spans="3:7" x14ac:dyDescent="0.3">
      <c r="C25" s="19" t="s">
        <v>33</v>
      </c>
      <c r="D25" s="9">
        <v>0.1</v>
      </c>
      <c r="E25" s="12">
        <f t="shared" ref="E25:E29" si="2">E18</f>
        <v>0.25</v>
      </c>
      <c r="F25" s="13">
        <f>E25*Datos!C25</f>
        <v>847.25</v>
      </c>
      <c r="G25" s="13">
        <f t="shared" ref="G25:G29" si="3">F25*D25</f>
        <v>84.725000000000009</v>
      </c>
    </row>
    <row r="26" spans="3:7" x14ac:dyDescent="0.3">
      <c r="C26" s="19" t="s">
        <v>36</v>
      </c>
      <c r="D26" s="9">
        <v>0.25</v>
      </c>
      <c r="E26" s="12">
        <f t="shared" si="2"/>
        <v>0.33</v>
      </c>
      <c r="F26" s="13">
        <f>E26*Datos!$C$26</f>
        <v>749.43000000000006</v>
      </c>
      <c r="G26" s="13">
        <f t="shared" si="3"/>
        <v>187.35750000000002</v>
      </c>
    </row>
    <row r="27" spans="3:7" x14ac:dyDescent="0.3">
      <c r="C27" s="19" t="s">
        <v>37</v>
      </c>
      <c r="D27" s="9">
        <v>0.4</v>
      </c>
      <c r="E27" s="12">
        <f t="shared" si="2"/>
        <v>0.22000000000000003</v>
      </c>
      <c r="F27" s="13">
        <f>E27*Datos!$C$26</f>
        <v>499.62000000000006</v>
      </c>
      <c r="G27" s="13">
        <f t="shared" si="3"/>
        <v>199.84800000000004</v>
      </c>
    </row>
    <row r="28" spans="3:7" x14ac:dyDescent="0.3">
      <c r="C28" s="19" t="s">
        <v>47</v>
      </c>
      <c r="D28" s="14">
        <v>1</v>
      </c>
      <c r="E28" s="16">
        <f t="shared" si="2"/>
        <v>0.40500000000000003</v>
      </c>
      <c r="F28" s="13">
        <f>E28*Datos!$C$26</f>
        <v>919.75500000000011</v>
      </c>
      <c r="G28" s="13">
        <f t="shared" si="3"/>
        <v>919.75500000000011</v>
      </c>
    </row>
    <row r="29" spans="3:7" x14ac:dyDescent="0.3">
      <c r="C29" s="19" t="s">
        <v>38</v>
      </c>
      <c r="D29" s="14">
        <v>1</v>
      </c>
      <c r="E29" s="16">
        <f t="shared" si="2"/>
        <v>4.5000000000000005E-2</v>
      </c>
      <c r="F29" s="13">
        <f>E29*Datos!$C$26</f>
        <v>102.19500000000001</v>
      </c>
      <c r="G29" s="13">
        <f t="shared" si="3"/>
        <v>102.19500000000001</v>
      </c>
    </row>
    <row r="30" spans="3:7" x14ac:dyDescent="0.3">
      <c r="C30" s="56" t="s">
        <v>42</v>
      </c>
      <c r="D30" s="56"/>
      <c r="E30" s="56"/>
      <c r="F30" s="56"/>
      <c r="G30" s="56"/>
    </row>
    <row r="31" spans="3:7" x14ac:dyDescent="0.3">
      <c r="C31" s="19" t="s">
        <v>60</v>
      </c>
      <c r="D31" s="9">
        <v>0</v>
      </c>
      <c r="E31" s="12">
        <v>0.1</v>
      </c>
      <c r="F31" s="13">
        <f>E31*Datos!$C$27</f>
        <v>354.90000000000003</v>
      </c>
      <c r="G31" s="13">
        <f>F31*D31</f>
        <v>0</v>
      </c>
    </row>
    <row r="32" spans="3:7" x14ac:dyDescent="0.3">
      <c r="C32" s="19" t="s">
        <v>61</v>
      </c>
      <c r="D32" s="9">
        <v>0</v>
      </c>
      <c r="E32" s="12">
        <v>0</v>
      </c>
      <c r="F32" s="13">
        <f>E32*Datos!$C$27</f>
        <v>0</v>
      </c>
      <c r="G32" s="13">
        <f t="shared" ref="G32:G35" si="4">F32*D32</f>
        <v>0</v>
      </c>
    </row>
    <row r="33" spans="3:7" x14ac:dyDescent="0.3">
      <c r="C33" s="19" t="s">
        <v>27</v>
      </c>
      <c r="D33" s="9">
        <v>0.15</v>
      </c>
      <c r="E33" s="12">
        <v>0</v>
      </c>
      <c r="F33" s="13">
        <f>E33*Datos!$C$27</f>
        <v>0</v>
      </c>
      <c r="G33" s="13">
        <f t="shared" si="4"/>
        <v>0</v>
      </c>
    </row>
    <row r="34" spans="3:7" x14ac:dyDescent="0.3">
      <c r="C34" s="19" t="s">
        <v>28</v>
      </c>
      <c r="D34" s="9">
        <v>0.25</v>
      </c>
      <c r="E34" s="16">
        <f>0.9*0.75</f>
        <v>0.67500000000000004</v>
      </c>
      <c r="F34" s="13">
        <f>E34*Datos!$C$27</f>
        <v>2395.5750000000003</v>
      </c>
      <c r="G34" s="13">
        <f t="shared" si="4"/>
        <v>598.89375000000007</v>
      </c>
    </row>
    <row r="35" spans="3:7" x14ac:dyDescent="0.3">
      <c r="C35" s="19" t="s">
        <v>29</v>
      </c>
      <c r="D35" s="9">
        <v>1</v>
      </c>
      <c r="E35" s="16">
        <f>0.9*0.25</f>
        <v>0.22500000000000001</v>
      </c>
      <c r="F35" s="13">
        <f>E35*Datos!$C$27</f>
        <v>798.52499999999998</v>
      </c>
      <c r="G35" s="13">
        <f t="shared" si="4"/>
        <v>798.52499999999998</v>
      </c>
    </row>
    <row r="36" spans="3:7" x14ac:dyDescent="0.3">
      <c r="F36" s="24" t="s">
        <v>21</v>
      </c>
      <c r="G36" s="25">
        <f>SUM(G17:G22,G24:G29,G31:G35)</f>
        <v>4453.5057500000003</v>
      </c>
    </row>
    <row r="39" spans="3:7" x14ac:dyDescent="0.3">
      <c r="D39" s="2"/>
    </row>
    <row r="40" spans="3:7" x14ac:dyDescent="0.3">
      <c r="D40" s="2"/>
    </row>
    <row r="41" spans="3:7" x14ac:dyDescent="0.3">
      <c r="D41" s="2"/>
    </row>
  </sheetData>
  <mergeCells count="3">
    <mergeCell ref="C16:G16"/>
    <mergeCell ref="C23:G23"/>
    <mergeCell ref="C30:G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C802-D912-4A96-99A0-C72425847DC3}">
  <dimension ref="B2:F33"/>
  <sheetViews>
    <sheetView workbookViewId="0">
      <selection activeCell="E15" sqref="E15"/>
    </sheetView>
  </sheetViews>
  <sheetFormatPr baseColWidth="10" defaultColWidth="11.44140625" defaultRowHeight="14.4" x14ac:dyDescent="0.3"/>
  <cols>
    <col min="1" max="1" width="11.44140625" style="1"/>
    <col min="2" max="2" width="12" style="1" customWidth="1"/>
    <col min="3" max="3" width="57" style="1" bestFit="1" customWidth="1"/>
    <col min="4" max="4" width="15.6640625" style="1" customWidth="1"/>
    <col min="5" max="5" width="17" style="1" customWidth="1"/>
    <col min="6" max="6" width="17.5546875" style="1" bestFit="1" customWidth="1"/>
    <col min="7" max="16384" width="11.44140625" style="1"/>
  </cols>
  <sheetData>
    <row r="2" spans="2:6" x14ac:dyDescent="0.3">
      <c r="B2" s="4" t="s">
        <v>72</v>
      </c>
      <c r="C2" s="20">
        <f>F18/F33</f>
        <v>1.5021740607588054</v>
      </c>
    </row>
    <row r="4" spans="2:6" x14ac:dyDescent="0.3">
      <c r="B4" s="21" t="s">
        <v>48</v>
      </c>
      <c r="C4" s="22"/>
    </row>
    <row r="6" spans="2:6" x14ac:dyDescent="0.3">
      <c r="C6" s="19" t="s">
        <v>25</v>
      </c>
      <c r="D6" s="17" t="s">
        <v>43</v>
      </c>
      <c r="E6" s="17" t="s">
        <v>23</v>
      </c>
      <c r="F6" s="17" t="s">
        <v>24</v>
      </c>
    </row>
    <row r="7" spans="2:6" x14ac:dyDescent="0.3">
      <c r="C7" s="19" t="s">
        <v>49</v>
      </c>
      <c r="D7" s="12">
        <v>1</v>
      </c>
      <c r="E7" s="13">
        <f>Datos!C34</f>
        <v>9054</v>
      </c>
      <c r="F7" s="13">
        <f>D7*E7</f>
        <v>9054</v>
      </c>
    </row>
    <row r="8" spans="2:6" x14ac:dyDescent="0.3">
      <c r="C8" s="19" t="s">
        <v>50</v>
      </c>
      <c r="D8" s="12">
        <v>1</v>
      </c>
      <c r="E8" s="13">
        <f>Datos!C29+Datos!C30</f>
        <v>6200</v>
      </c>
      <c r="F8" s="13">
        <f t="shared" ref="F8:F17" si="0">D8*E8</f>
        <v>6200</v>
      </c>
    </row>
    <row r="9" spans="2:6" x14ac:dyDescent="0.3">
      <c r="C9" s="19" t="s">
        <v>51</v>
      </c>
      <c r="D9" s="12">
        <v>0.95</v>
      </c>
      <c r="E9" s="13">
        <f>LCR!F17+LCR!F24</f>
        <v>4714.5</v>
      </c>
      <c r="F9" s="13">
        <f t="shared" si="0"/>
        <v>4478.7749999999996</v>
      </c>
    </row>
    <row r="10" spans="2:6" x14ac:dyDescent="0.3">
      <c r="C10" s="19" t="s">
        <v>52</v>
      </c>
      <c r="D10" s="12">
        <v>0.9</v>
      </c>
      <c r="E10" s="13">
        <f>LCR!F18+LCR!F25</f>
        <v>1571.5</v>
      </c>
      <c r="F10" s="13">
        <f t="shared" si="0"/>
        <v>1414.3500000000001</v>
      </c>
    </row>
    <row r="11" spans="2:6" x14ac:dyDescent="0.3">
      <c r="C11" s="19" t="s">
        <v>53</v>
      </c>
      <c r="D11" s="12">
        <v>0.75</v>
      </c>
      <c r="E11" s="13">
        <f>LCR!F19+LCR!F26</f>
        <v>1466.52</v>
      </c>
      <c r="F11" s="13">
        <f t="shared" si="0"/>
        <v>1099.8899999999999</v>
      </c>
    </row>
    <row r="12" spans="2:6" x14ac:dyDescent="0.3">
      <c r="C12" s="19" t="s">
        <v>54</v>
      </c>
      <c r="D12" s="12">
        <v>0</v>
      </c>
      <c r="E12" s="13">
        <f>LCR!F20+LCR!F27</f>
        <v>977.68000000000006</v>
      </c>
      <c r="F12" s="13">
        <f t="shared" si="0"/>
        <v>0</v>
      </c>
    </row>
    <row r="13" spans="2:6" x14ac:dyDescent="0.3">
      <c r="C13" s="19" t="s">
        <v>55</v>
      </c>
      <c r="D13" s="12">
        <v>0.5</v>
      </c>
      <c r="E13" s="13">
        <f>LCR!F21+LCR!F28</f>
        <v>1799.8200000000002</v>
      </c>
      <c r="F13" s="13">
        <f t="shared" si="0"/>
        <v>899.91000000000008</v>
      </c>
    </row>
    <row r="14" spans="2:6" x14ac:dyDescent="0.3">
      <c r="C14" s="19" t="s">
        <v>56</v>
      </c>
      <c r="D14" s="12">
        <v>0</v>
      </c>
      <c r="E14" s="13">
        <f>LCR!F22+LCR!F29</f>
        <v>199.98000000000002</v>
      </c>
      <c r="F14" s="13">
        <f t="shared" si="0"/>
        <v>0</v>
      </c>
    </row>
    <row r="15" spans="2:6" x14ac:dyDescent="0.3">
      <c r="C15" s="19" t="s">
        <v>57</v>
      </c>
      <c r="D15" s="12">
        <v>0.6</v>
      </c>
      <c r="E15" s="13">
        <f>LCR!F31+LCR!F33</f>
        <v>354.90000000000003</v>
      </c>
      <c r="F15" s="13">
        <f t="shared" si="0"/>
        <v>212.94000000000003</v>
      </c>
    </row>
    <row r="16" spans="2:6" x14ac:dyDescent="0.3">
      <c r="C16" s="19" t="s">
        <v>58</v>
      </c>
      <c r="D16" s="12">
        <v>0.4</v>
      </c>
      <c r="E16" s="13">
        <f>LCR!F32+LCR!F34</f>
        <v>2395.5750000000003</v>
      </c>
      <c r="F16" s="13">
        <f t="shared" si="0"/>
        <v>958.23000000000013</v>
      </c>
    </row>
    <row r="17" spans="2:6" x14ac:dyDescent="0.3">
      <c r="C17" s="19" t="s">
        <v>59</v>
      </c>
      <c r="D17" s="12">
        <v>0</v>
      </c>
      <c r="E17" s="13">
        <f>LCR!F35</f>
        <v>798.52499999999998</v>
      </c>
      <c r="F17" s="13">
        <f t="shared" si="0"/>
        <v>0</v>
      </c>
    </row>
    <row r="18" spans="2:6" x14ac:dyDescent="0.3">
      <c r="E18" s="24" t="s">
        <v>21</v>
      </c>
      <c r="F18" s="26">
        <f>SUM(F7:F17)</f>
        <v>24318.094999999998</v>
      </c>
    </row>
    <row r="21" spans="2:6" x14ac:dyDescent="0.3">
      <c r="B21" s="21" t="s">
        <v>62</v>
      </c>
      <c r="C21" s="22"/>
    </row>
    <row r="23" spans="2:6" x14ac:dyDescent="0.3">
      <c r="C23" s="19" t="s">
        <v>25</v>
      </c>
      <c r="D23" s="17" t="s">
        <v>43</v>
      </c>
      <c r="E23" s="17" t="s">
        <v>23</v>
      </c>
      <c r="F23" s="17" t="s">
        <v>24</v>
      </c>
    </row>
    <row r="24" spans="2:6" x14ac:dyDescent="0.3">
      <c r="C24" s="19" t="s">
        <v>63</v>
      </c>
      <c r="D24" s="12">
        <v>0</v>
      </c>
      <c r="E24" s="13">
        <f>LCR!E7</f>
        <v>860</v>
      </c>
      <c r="F24" s="13">
        <f>E24*D24</f>
        <v>0</v>
      </c>
    </row>
    <row r="25" spans="2:6" x14ac:dyDescent="0.3">
      <c r="C25" s="19" t="s">
        <v>64</v>
      </c>
      <c r="D25" s="12">
        <v>0.05</v>
      </c>
      <c r="E25" s="13">
        <f>LCR!E8</f>
        <v>400</v>
      </c>
      <c r="F25" s="13">
        <f t="shared" ref="F25:F32" si="1">E25*D25</f>
        <v>20</v>
      </c>
    </row>
    <row r="26" spans="2:6" x14ac:dyDescent="0.3">
      <c r="C26" s="19" t="s">
        <v>65</v>
      </c>
      <c r="D26" s="12">
        <v>0.15</v>
      </c>
      <c r="E26" s="13">
        <f>SUM(LCR!E9:E9)</f>
        <v>2600</v>
      </c>
      <c r="F26" s="13">
        <f t="shared" si="1"/>
        <v>390</v>
      </c>
    </row>
    <row r="27" spans="2:6" x14ac:dyDescent="0.3">
      <c r="C27" s="19" t="s">
        <v>66</v>
      </c>
      <c r="D27" s="12">
        <v>0.5</v>
      </c>
      <c r="E27" s="13">
        <f>LCR!E10</f>
        <v>0</v>
      </c>
      <c r="F27" s="13">
        <f t="shared" si="1"/>
        <v>0</v>
      </c>
    </row>
    <row r="28" spans="2:6" x14ac:dyDescent="0.3">
      <c r="C28" s="19" t="s">
        <v>67</v>
      </c>
      <c r="D28" s="12">
        <v>0.65</v>
      </c>
      <c r="E28" s="13">
        <f>Datos!C13</f>
        <v>4127</v>
      </c>
      <c r="F28" s="13">
        <f t="shared" si="1"/>
        <v>2682.55</v>
      </c>
    </row>
    <row r="29" spans="2:6" x14ac:dyDescent="0.3">
      <c r="C29" s="19" t="s">
        <v>68</v>
      </c>
      <c r="D29" s="12">
        <v>0.5</v>
      </c>
      <c r="E29" s="13">
        <f>Datos!C14</f>
        <v>4892</v>
      </c>
      <c r="F29" s="13">
        <f t="shared" si="1"/>
        <v>2446</v>
      </c>
    </row>
    <row r="30" spans="2:6" x14ac:dyDescent="0.3">
      <c r="C30" s="19" t="s">
        <v>69</v>
      </c>
      <c r="D30" s="12">
        <v>0.65</v>
      </c>
      <c r="E30" s="13">
        <f>Datos!C15</f>
        <v>6193</v>
      </c>
      <c r="F30" s="13">
        <f t="shared" si="1"/>
        <v>4025.4500000000003</v>
      </c>
    </row>
    <row r="31" spans="2:6" x14ac:dyDescent="0.3">
      <c r="C31" s="19" t="s">
        <v>70</v>
      </c>
      <c r="D31" s="12">
        <v>0.65</v>
      </c>
      <c r="E31" s="13">
        <f>Datos!C16</f>
        <v>6584</v>
      </c>
      <c r="F31" s="13">
        <f t="shared" si="1"/>
        <v>4279.6000000000004</v>
      </c>
    </row>
    <row r="32" spans="2:6" x14ac:dyDescent="0.3">
      <c r="C32" s="19" t="s">
        <v>71</v>
      </c>
      <c r="D32" s="12">
        <v>1</v>
      </c>
      <c r="E32" s="13">
        <f>Datos!C17</f>
        <v>2345</v>
      </c>
      <c r="F32" s="13">
        <f t="shared" si="1"/>
        <v>2345</v>
      </c>
    </row>
    <row r="33" spans="5:6" x14ac:dyDescent="0.3">
      <c r="E33" s="24" t="s">
        <v>21</v>
      </c>
      <c r="F33" s="26">
        <f>SUM(F24:F32)</f>
        <v>16188.6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A5E9-5D30-4F13-97E2-A9249CD91134}">
  <dimension ref="B2:K45"/>
  <sheetViews>
    <sheetView zoomScaleNormal="100" workbookViewId="0">
      <selection activeCell="F23" sqref="F23"/>
    </sheetView>
  </sheetViews>
  <sheetFormatPr baseColWidth="10" defaultColWidth="11.44140625" defaultRowHeight="14.4" x14ac:dyDescent="0.3"/>
  <cols>
    <col min="1" max="1" width="11.44140625" style="1"/>
    <col min="2" max="2" width="64.109375" style="1" bestFit="1" customWidth="1"/>
    <col min="3" max="3" width="18.5546875" style="1" bestFit="1" customWidth="1"/>
    <col min="4" max="4" width="14" style="1" customWidth="1"/>
    <col min="5" max="5" width="17.33203125" style="1" bestFit="1" customWidth="1"/>
    <col min="6" max="6" width="14" style="1" bestFit="1" customWidth="1"/>
    <col min="7" max="7" width="14.88671875" style="1" customWidth="1"/>
    <col min="8" max="8" width="13.44140625" style="1" bestFit="1" customWidth="1"/>
    <col min="9" max="10" width="11.44140625" style="1"/>
    <col min="11" max="11" width="12.33203125" style="1" bestFit="1" customWidth="1"/>
    <col min="12" max="16384" width="11.44140625" style="1"/>
  </cols>
  <sheetData>
    <row r="2" spans="2:11" x14ac:dyDescent="0.3">
      <c r="C2" s="52" t="s">
        <v>123</v>
      </c>
      <c r="D2" s="34">
        <v>6.9971000000000005E-2</v>
      </c>
    </row>
    <row r="3" spans="2:11" x14ac:dyDescent="0.3">
      <c r="C3" s="52" t="s">
        <v>124</v>
      </c>
      <c r="D3" s="35">
        <v>7.0371000000000003E-2</v>
      </c>
    </row>
    <row r="4" spans="2:11" x14ac:dyDescent="0.3">
      <c r="C4" s="52" t="s">
        <v>73</v>
      </c>
      <c r="D4" s="36">
        <v>6.7400000000000002E-2</v>
      </c>
      <c r="F4" s="53" t="s">
        <v>125</v>
      </c>
      <c r="G4" s="31">
        <v>-0.01</v>
      </c>
    </row>
    <row r="5" spans="2:11" x14ac:dyDescent="0.3">
      <c r="C5" s="27"/>
      <c r="D5" s="28"/>
    </row>
    <row r="6" spans="2:11" x14ac:dyDescent="0.3">
      <c r="C6" s="52" t="s">
        <v>77</v>
      </c>
      <c r="D6" s="13">
        <f>E28</f>
        <v>4243.4736734799999</v>
      </c>
      <c r="F6" s="54" t="s">
        <v>77</v>
      </c>
      <c r="G6" s="13">
        <f>H28</f>
        <v>-170.2988</v>
      </c>
      <c r="I6" s="57" t="s">
        <v>130</v>
      </c>
      <c r="J6" s="57"/>
      <c r="K6" s="13">
        <f>C15+C17+C24+C25+C26+C23*0.39</f>
        <v>17029.88</v>
      </c>
    </row>
    <row r="7" spans="2:11" x14ac:dyDescent="0.3">
      <c r="C7" s="52" t="s">
        <v>78</v>
      </c>
      <c r="D7" s="13">
        <f>E44</f>
        <v>1671.8645250000002</v>
      </c>
      <c r="F7" s="54" t="s">
        <v>78</v>
      </c>
      <c r="G7" s="13">
        <f>H44</f>
        <v>-78.905500000000004</v>
      </c>
      <c r="I7" s="57" t="s">
        <v>131</v>
      </c>
      <c r="J7" s="57"/>
      <c r="K7" s="13">
        <f>0.95*C35+C36+C39</f>
        <v>7890.5499999999993</v>
      </c>
    </row>
    <row r="8" spans="2:11" x14ac:dyDescent="0.3">
      <c r="C8" s="52" t="s">
        <v>76</v>
      </c>
      <c r="D8" s="32">
        <f>D6-D7</f>
        <v>2571.6091484799999</v>
      </c>
      <c r="F8" s="54" t="s">
        <v>128</v>
      </c>
      <c r="G8" s="32">
        <f>G6-G7</f>
        <v>-91.393299999999996</v>
      </c>
      <c r="I8" s="57" t="s">
        <v>132</v>
      </c>
      <c r="J8" s="57"/>
      <c r="K8" s="13">
        <f>K6-K7</f>
        <v>9139.3300000000017</v>
      </c>
    </row>
    <row r="9" spans="2:11" x14ac:dyDescent="0.3">
      <c r="C9" s="52" t="s">
        <v>79</v>
      </c>
      <c r="D9" s="37">
        <f>D8/C42</f>
        <v>0.634338714474593</v>
      </c>
      <c r="F9" s="54" t="s">
        <v>129</v>
      </c>
      <c r="G9" s="33">
        <f>G8/C42</f>
        <v>-2.2543981253083375E-2</v>
      </c>
    </row>
    <row r="11" spans="2:11" x14ac:dyDescent="0.3">
      <c r="B11" s="46" t="s">
        <v>0</v>
      </c>
      <c r="C11" s="47" t="s">
        <v>80</v>
      </c>
      <c r="D11" s="41" t="s">
        <v>74</v>
      </c>
      <c r="E11" s="38" t="s">
        <v>75</v>
      </c>
      <c r="G11" s="55" t="s">
        <v>127</v>
      </c>
      <c r="H11" s="55" t="s">
        <v>126</v>
      </c>
    </row>
    <row r="12" spans="2:11" x14ac:dyDescent="0.3">
      <c r="B12" s="11" t="s">
        <v>1</v>
      </c>
      <c r="C12" s="11">
        <v>860</v>
      </c>
      <c r="D12" s="42"/>
      <c r="E12" s="39"/>
      <c r="G12" s="39"/>
      <c r="H12" s="39"/>
    </row>
    <row r="13" spans="2:11" x14ac:dyDescent="0.3">
      <c r="B13" s="11" t="s">
        <v>81</v>
      </c>
      <c r="C13" s="48">
        <f t="shared" ref="C13" si="0">SUM(C14:C20)</f>
        <v>3000</v>
      </c>
      <c r="D13" s="42"/>
      <c r="E13" s="39"/>
      <c r="G13" s="39"/>
      <c r="H13" s="39"/>
    </row>
    <row r="14" spans="2:11" x14ac:dyDescent="0.3">
      <c r="B14" s="8" t="s">
        <v>2</v>
      </c>
      <c r="C14" s="49">
        <v>400</v>
      </c>
      <c r="D14" s="43">
        <v>7.2499999999999995E-2</v>
      </c>
      <c r="E14" s="13">
        <f>C14*D14</f>
        <v>28.999999999999996</v>
      </c>
      <c r="G14" s="33">
        <v>0</v>
      </c>
      <c r="H14" s="13">
        <f>C14*G14</f>
        <v>0</v>
      </c>
      <c r="I14" s="30" t="s">
        <v>95</v>
      </c>
    </row>
    <row r="15" spans="2:11" x14ac:dyDescent="0.3">
      <c r="B15" s="8" t="s">
        <v>82</v>
      </c>
      <c r="C15" s="49">
        <v>0</v>
      </c>
      <c r="D15" s="43">
        <f>D4+0.0019</f>
        <v>6.93E-2</v>
      </c>
      <c r="E15" s="13">
        <f t="shared" ref="E15:E20" si="1">C15*D15</f>
        <v>0</v>
      </c>
      <c r="G15" s="33">
        <f>G4</f>
        <v>-0.01</v>
      </c>
      <c r="H15" s="13">
        <f t="shared" ref="H15:H20" si="2">C15*G15</f>
        <v>0</v>
      </c>
      <c r="I15" s="30" t="s">
        <v>96</v>
      </c>
    </row>
    <row r="16" spans="2:11" x14ac:dyDescent="0.3">
      <c r="B16" s="8" t="s">
        <v>83</v>
      </c>
      <c r="C16" s="49">
        <v>1000</v>
      </c>
      <c r="D16" s="43">
        <v>8.3500000000000005E-2</v>
      </c>
      <c r="E16" s="13">
        <f t="shared" si="1"/>
        <v>83.5</v>
      </c>
      <c r="G16" s="33">
        <v>0</v>
      </c>
      <c r="H16" s="13">
        <f t="shared" si="2"/>
        <v>0</v>
      </c>
      <c r="I16" s="30" t="s">
        <v>97</v>
      </c>
    </row>
    <row r="17" spans="2:9" x14ac:dyDescent="0.3">
      <c r="B17" s="8" t="s">
        <v>84</v>
      </c>
      <c r="C17" s="49">
        <v>0</v>
      </c>
      <c r="D17" s="43">
        <f>D4+0.0034</f>
        <v>7.0800000000000002E-2</v>
      </c>
      <c r="E17" s="13">
        <f t="shared" si="1"/>
        <v>0</v>
      </c>
      <c r="G17" s="33">
        <f>G4</f>
        <v>-0.01</v>
      </c>
      <c r="H17" s="13">
        <f t="shared" si="2"/>
        <v>0</v>
      </c>
      <c r="I17" s="30" t="s">
        <v>98</v>
      </c>
    </row>
    <row r="18" spans="2:9" x14ac:dyDescent="0.3">
      <c r="B18" s="8" t="s">
        <v>85</v>
      </c>
      <c r="C18" s="49">
        <v>1000</v>
      </c>
      <c r="D18" s="43">
        <v>8.6499999999999994E-2</v>
      </c>
      <c r="E18" s="13">
        <f t="shared" si="1"/>
        <v>86.5</v>
      </c>
      <c r="G18" s="33">
        <v>0</v>
      </c>
      <c r="H18" s="13">
        <f t="shared" si="2"/>
        <v>0</v>
      </c>
      <c r="I18" s="30" t="s">
        <v>99</v>
      </c>
    </row>
    <row r="19" spans="2:9" x14ac:dyDescent="0.3">
      <c r="B19" s="8" t="s">
        <v>3</v>
      </c>
      <c r="C19" s="49">
        <v>600</v>
      </c>
      <c r="D19" s="43">
        <v>9.5000000000000001E-2</v>
      </c>
      <c r="E19" s="13">
        <f t="shared" si="1"/>
        <v>57</v>
      </c>
      <c r="G19" s="33">
        <v>0</v>
      </c>
      <c r="H19" s="13">
        <f t="shared" si="2"/>
        <v>0</v>
      </c>
      <c r="I19" s="30" t="s">
        <v>100</v>
      </c>
    </row>
    <row r="20" spans="2:9" x14ac:dyDescent="0.3">
      <c r="B20" s="8" t="s">
        <v>4</v>
      </c>
      <c r="C20" s="49">
        <v>0</v>
      </c>
      <c r="D20" s="43">
        <v>9.8000000000000004E-2</v>
      </c>
      <c r="E20" s="13">
        <f t="shared" si="1"/>
        <v>0</v>
      </c>
      <c r="G20" s="33">
        <v>0</v>
      </c>
      <c r="H20" s="13">
        <f t="shared" si="2"/>
        <v>0</v>
      </c>
      <c r="I20" s="30" t="s">
        <v>101</v>
      </c>
    </row>
    <row r="21" spans="2:9" x14ac:dyDescent="0.3">
      <c r="B21" s="11" t="s">
        <v>5</v>
      </c>
      <c r="C21" s="48">
        <f t="shared" ref="C21" si="3">SUM(C22:C26)</f>
        <v>24141</v>
      </c>
      <c r="D21" s="42"/>
      <c r="E21" s="39"/>
      <c r="G21" s="40"/>
      <c r="H21" s="39"/>
      <c r="I21" s="30"/>
    </row>
    <row r="22" spans="2:9" x14ac:dyDescent="0.3">
      <c r="B22" s="8" t="s">
        <v>6</v>
      </c>
      <c r="C22" s="49">
        <v>4127</v>
      </c>
      <c r="D22" s="44">
        <v>0.112</v>
      </c>
      <c r="E22" s="13">
        <f>C22*D22</f>
        <v>462.22399999999999</v>
      </c>
      <c r="G22" s="33">
        <v>0</v>
      </c>
      <c r="H22" s="13">
        <f>C22*G22</f>
        <v>0</v>
      </c>
      <c r="I22" s="30" t="s">
        <v>102</v>
      </c>
    </row>
    <row r="23" spans="2:9" x14ac:dyDescent="0.3">
      <c r="B23" s="8" t="s">
        <v>86</v>
      </c>
      <c r="C23" s="49">
        <v>4892</v>
      </c>
      <c r="D23" s="44">
        <f>0.39*(D2+0.5)+0.32*(0.19)+0.29*(0.23)</f>
        <v>0.34978869000000001</v>
      </c>
      <c r="E23" s="13">
        <f t="shared" ref="E23:E26" si="4">C23*D23</f>
        <v>1711.16627148</v>
      </c>
      <c r="G23" s="33">
        <f>G4*0.39</f>
        <v>-3.9000000000000003E-3</v>
      </c>
      <c r="H23" s="13">
        <f t="shared" ref="H23:H26" si="5">C23*G23</f>
        <v>-19.078800000000001</v>
      </c>
      <c r="I23" s="30" t="s">
        <v>103</v>
      </c>
    </row>
    <row r="24" spans="2:9" x14ac:dyDescent="0.3">
      <c r="B24" s="8" t="s">
        <v>7</v>
      </c>
      <c r="C24" s="49">
        <v>6193</v>
      </c>
      <c r="D24" s="44">
        <f>D2+0.08</f>
        <v>0.14997100000000002</v>
      </c>
      <c r="E24" s="13">
        <f t="shared" si="4"/>
        <v>928.7704030000001</v>
      </c>
      <c r="G24" s="33">
        <f>G4</f>
        <v>-0.01</v>
      </c>
      <c r="H24" s="13">
        <f t="shared" si="5"/>
        <v>-61.93</v>
      </c>
      <c r="I24" s="30" t="s">
        <v>104</v>
      </c>
    </row>
    <row r="25" spans="2:9" x14ac:dyDescent="0.3">
      <c r="B25" s="8" t="s">
        <v>87</v>
      </c>
      <c r="C25" s="49">
        <v>6584</v>
      </c>
      <c r="D25" s="44">
        <f>0.85*(D2+0.0275)+0.15*(D3+0.0325)</f>
        <v>9.8281000000000007E-2</v>
      </c>
      <c r="E25" s="13">
        <f t="shared" si="4"/>
        <v>647.08210400000007</v>
      </c>
      <c r="G25" s="33">
        <f>G4</f>
        <v>-0.01</v>
      </c>
      <c r="H25" s="13">
        <f t="shared" si="5"/>
        <v>-65.84</v>
      </c>
      <c r="I25" s="30" t="s">
        <v>105</v>
      </c>
    </row>
    <row r="26" spans="2:9" x14ac:dyDescent="0.3">
      <c r="B26" s="8" t="s">
        <v>88</v>
      </c>
      <c r="C26" s="49">
        <v>2345</v>
      </c>
      <c r="D26" s="44">
        <f>0.7*(D2+0.03)+0.3*(D3+0.035)</f>
        <v>0.10159099999999999</v>
      </c>
      <c r="E26" s="13">
        <f t="shared" si="4"/>
        <v>238.23089499999998</v>
      </c>
      <c r="G26" s="33">
        <f>G4</f>
        <v>-0.01</v>
      </c>
      <c r="H26" s="13">
        <f t="shared" si="5"/>
        <v>-23.45</v>
      </c>
      <c r="I26" s="30" t="s">
        <v>106</v>
      </c>
    </row>
    <row r="27" spans="2:9" x14ac:dyDescent="0.3">
      <c r="B27" s="11" t="s">
        <v>8</v>
      </c>
      <c r="C27" s="48">
        <v>1468</v>
      </c>
      <c r="D27" s="42"/>
      <c r="E27" s="39"/>
      <c r="G27" s="39"/>
      <c r="H27" s="39"/>
      <c r="I27" s="30"/>
    </row>
    <row r="28" spans="2:9" x14ac:dyDescent="0.3">
      <c r="B28" s="11" t="s">
        <v>9</v>
      </c>
      <c r="C28" s="48">
        <v>64</v>
      </c>
      <c r="D28" s="41" t="s">
        <v>21</v>
      </c>
      <c r="E28" s="13">
        <f>SUM(E14:E26)</f>
        <v>4243.4736734799999</v>
      </c>
      <c r="G28" s="55" t="s">
        <v>21</v>
      </c>
      <c r="H28" s="13">
        <f>SUM(H14:H26)</f>
        <v>-170.2988</v>
      </c>
      <c r="I28" s="30"/>
    </row>
    <row r="29" spans="2:9" x14ac:dyDescent="0.3">
      <c r="B29" s="3"/>
      <c r="C29" s="29"/>
      <c r="I29" s="30"/>
    </row>
    <row r="30" spans="2:9" x14ac:dyDescent="0.3">
      <c r="B30" s="50" t="s">
        <v>10</v>
      </c>
      <c r="C30" s="51">
        <f t="shared" ref="C30" si="6">C12+C13+C21+C27+C28</f>
        <v>29533</v>
      </c>
      <c r="D30" s="41" t="s">
        <v>74</v>
      </c>
      <c r="E30" s="38" t="s">
        <v>133</v>
      </c>
      <c r="G30" s="55" t="s">
        <v>127</v>
      </c>
      <c r="H30" s="55" t="s">
        <v>134</v>
      </c>
      <c r="I30" s="30"/>
    </row>
    <row r="31" spans="2:9" x14ac:dyDescent="0.3">
      <c r="B31" s="11" t="s">
        <v>11</v>
      </c>
      <c r="C31" s="48">
        <f t="shared" ref="C31" si="7">C32+C33</f>
        <v>5070</v>
      </c>
      <c r="D31" s="42"/>
      <c r="E31" s="39"/>
      <c r="G31" s="39"/>
      <c r="H31" s="39"/>
      <c r="I31" s="30"/>
    </row>
    <row r="32" spans="2:9" x14ac:dyDescent="0.3">
      <c r="B32" s="8" t="s">
        <v>89</v>
      </c>
      <c r="C32" s="49">
        <v>2897</v>
      </c>
      <c r="D32" s="44">
        <v>0</v>
      </c>
      <c r="E32" s="13">
        <f>C32*D32</f>
        <v>0</v>
      </c>
      <c r="G32" s="33">
        <v>0</v>
      </c>
      <c r="H32" s="13">
        <f>C32*G32</f>
        <v>0</v>
      </c>
      <c r="I32" s="30" t="s">
        <v>107</v>
      </c>
    </row>
    <row r="33" spans="2:9" x14ac:dyDescent="0.3">
      <c r="B33" s="8" t="s">
        <v>90</v>
      </c>
      <c r="C33" s="49">
        <v>2173</v>
      </c>
      <c r="D33" s="44">
        <v>0</v>
      </c>
      <c r="E33" s="13">
        <f>C33*D33</f>
        <v>0</v>
      </c>
      <c r="G33" s="33">
        <v>0</v>
      </c>
      <c r="H33" s="13">
        <f>C33*G33</f>
        <v>0</v>
      </c>
      <c r="I33" s="30" t="s">
        <v>107</v>
      </c>
    </row>
    <row r="34" spans="2:9" x14ac:dyDescent="0.3">
      <c r="B34" s="11" t="s">
        <v>12</v>
      </c>
      <c r="C34" s="48">
        <f t="shared" ref="C34" si="8">C35+C36</f>
        <v>5660</v>
      </c>
      <c r="D34" s="45"/>
      <c r="E34" s="39"/>
      <c r="G34" s="40"/>
      <c r="H34" s="39"/>
      <c r="I34" s="30"/>
    </row>
    <row r="35" spans="2:9" x14ac:dyDescent="0.3">
      <c r="B35" s="8" t="s">
        <v>91</v>
      </c>
      <c r="C35" s="49">
        <v>3389</v>
      </c>
      <c r="D35" s="44">
        <f>0.45*(0.0425)+0.35*(0.0475)+0.15*(0.05)+0.05*(0.0525)</f>
        <v>4.5875000000000006E-2</v>
      </c>
      <c r="E35" s="13">
        <f>C35*D35</f>
        <v>155.47037500000002</v>
      </c>
      <c r="G35" s="33">
        <f>G4*0.95</f>
        <v>-9.4999999999999998E-3</v>
      </c>
      <c r="H35" s="13">
        <f>C35*G35</f>
        <v>-32.195500000000003</v>
      </c>
      <c r="I35" s="30" t="s">
        <v>108</v>
      </c>
    </row>
    <row r="36" spans="2:9" x14ac:dyDescent="0.3">
      <c r="B36" s="8" t="s">
        <v>13</v>
      </c>
      <c r="C36" s="49">
        <v>2271</v>
      </c>
      <c r="D36" s="44">
        <f>0.75*(0.0425+0.0025)+0.25*(0.0475+0.0025)</f>
        <v>4.6249999999999999E-2</v>
      </c>
      <c r="E36" s="13">
        <f t="shared" ref="E36:E37" si="9">C36*D36</f>
        <v>105.03375</v>
      </c>
      <c r="G36" s="33">
        <f>G4</f>
        <v>-0.01</v>
      </c>
      <c r="H36" s="13">
        <f t="shared" ref="H36:H37" si="10">C36*G36</f>
        <v>-22.71</v>
      </c>
      <c r="I36" s="30" t="s">
        <v>109</v>
      </c>
    </row>
    <row r="37" spans="2:9" x14ac:dyDescent="0.3">
      <c r="B37" s="11" t="s">
        <v>92</v>
      </c>
      <c r="C37" s="48">
        <v>3549</v>
      </c>
      <c r="D37" s="44">
        <v>7.0000000000000007E-2</v>
      </c>
      <c r="E37" s="13">
        <f t="shared" si="9"/>
        <v>248.43000000000004</v>
      </c>
      <c r="G37" s="33">
        <v>0</v>
      </c>
      <c r="H37" s="13">
        <f t="shared" si="10"/>
        <v>0</v>
      </c>
      <c r="I37" s="30" t="s">
        <v>110</v>
      </c>
    </row>
    <row r="38" spans="2:9" x14ac:dyDescent="0.3">
      <c r="B38" s="11" t="s">
        <v>14</v>
      </c>
      <c r="C38" s="48">
        <v>0</v>
      </c>
      <c r="D38" s="44"/>
      <c r="E38" s="8"/>
      <c r="G38" s="40"/>
      <c r="H38" s="39"/>
      <c r="I38" s="30"/>
    </row>
    <row r="39" spans="2:9" x14ac:dyDescent="0.3">
      <c r="B39" s="11" t="s">
        <v>15</v>
      </c>
      <c r="C39" s="48">
        <v>2400</v>
      </c>
      <c r="D39" s="44">
        <f>D2+0.02</f>
        <v>8.9971000000000009E-2</v>
      </c>
      <c r="E39" s="13">
        <f>C39*D39</f>
        <v>215.93040000000002</v>
      </c>
      <c r="G39" s="33">
        <f>G4</f>
        <v>-0.01</v>
      </c>
      <c r="H39" s="13">
        <f>C39*G39</f>
        <v>-24</v>
      </c>
      <c r="I39" s="30" t="s">
        <v>111</v>
      </c>
    </row>
    <row r="40" spans="2:9" x14ac:dyDescent="0.3">
      <c r="B40" s="11" t="s">
        <v>16</v>
      </c>
      <c r="C40" s="48">
        <v>3800</v>
      </c>
      <c r="D40" s="44">
        <v>0.09</v>
      </c>
      <c r="E40" s="13">
        <f>C40*D40</f>
        <v>342</v>
      </c>
      <c r="G40" s="33">
        <v>0</v>
      </c>
      <c r="H40" s="13">
        <f>C40*G40</f>
        <v>0</v>
      </c>
      <c r="I40" s="30" t="s">
        <v>112</v>
      </c>
    </row>
    <row r="41" spans="2:9" x14ac:dyDescent="0.3">
      <c r="B41" s="50" t="s">
        <v>17</v>
      </c>
      <c r="C41" s="51">
        <f t="shared" ref="C41" si="11">C31+C34+C37+C38+C39+C40</f>
        <v>20479</v>
      </c>
      <c r="D41" s="45"/>
      <c r="E41" s="39"/>
      <c r="G41" s="40"/>
      <c r="H41" s="39"/>
      <c r="I41" s="30"/>
    </row>
    <row r="42" spans="2:9" x14ac:dyDescent="0.3">
      <c r="B42" s="11" t="s">
        <v>93</v>
      </c>
      <c r="C42" s="49">
        <v>4054</v>
      </c>
      <c r="D42" s="45"/>
      <c r="E42" s="39"/>
      <c r="G42" s="40"/>
      <c r="H42" s="39"/>
      <c r="I42" s="30"/>
    </row>
    <row r="43" spans="2:9" x14ac:dyDescent="0.3">
      <c r="B43" s="11" t="s">
        <v>94</v>
      </c>
      <c r="C43" s="49">
        <v>5000</v>
      </c>
      <c r="D43" s="44">
        <f>0.6*(0.125)+0.4*(0.115)</f>
        <v>0.121</v>
      </c>
      <c r="E43" s="13">
        <f>C43*D43</f>
        <v>605</v>
      </c>
      <c r="G43" s="33">
        <v>0</v>
      </c>
      <c r="H43" s="13">
        <f>C43*G43</f>
        <v>0</v>
      </c>
      <c r="I43" s="30" t="s">
        <v>113</v>
      </c>
    </row>
    <row r="44" spans="2:9" x14ac:dyDescent="0.3">
      <c r="B44" s="50" t="s">
        <v>18</v>
      </c>
      <c r="C44" s="51">
        <f t="shared" ref="C44" si="12">C42+C43</f>
        <v>9054</v>
      </c>
      <c r="D44" s="41" t="s">
        <v>21</v>
      </c>
      <c r="E44" s="8">
        <f>SUM(E32:E43)</f>
        <v>1671.8645250000002</v>
      </c>
      <c r="G44" s="55" t="s">
        <v>21</v>
      </c>
      <c r="H44" s="8">
        <f>SUM(H32:H43)</f>
        <v>-78.905500000000004</v>
      </c>
    </row>
    <row r="45" spans="2:9" x14ac:dyDescent="0.3">
      <c r="B45" s="11" t="s">
        <v>19</v>
      </c>
      <c r="C45" s="48">
        <f t="shared" ref="C45" si="13">C41+C44</f>
        <v>29533</v>
      </c>
    </row>
  </sheetData>
  <mergeCells count="3">
    <mergeCell ref="I6:J6"/>
    <mergeCell ref="I7:J7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LCR</vt:lpstr>
      <vt:lpstr>NSFR</vt:lpstr>
      <vt:lpstr>NII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Gómez Jiménez</dc:creator>
  <cp:lastModifiedBy>GOMEZ JIMENEZ, SAMUEL</cp:lastModifiedBy>
  <dcterms:created xsi:type="dcterms:W3CDTF">2026-04-09T22:38:36Z</dcterms:created>
  <dcterms:modified xsi:type="dcterms:W3CDTF">2026-05-14T20:44:38Z</dcterms:modified>
</cp:coreProperties>
</file>