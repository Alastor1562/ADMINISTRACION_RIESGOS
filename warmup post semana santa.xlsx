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OneDrive\Desktop\TRABAJO\UNI\8VO SEMESTRE\ADMINISTRACION_RIESGOS\"/>
    </mc:Choice>
  </mc:AlternateContent>
  <xr:revisionPtr revIDLastSave="0" documentId="13_ncr:1_{97F9E046-EAC7-40ED-B3C2-6D426E7D703D}" xr6:coauthVersionLast="47" xr6:coauthVersionMax="47" xr10:uidLastSave="{00000000-0000-0000-0000-000000000000}"/>
  <bookViews>
    <workbookView xWindow="-108" yWindow="-108" windowWidth="23256" windowHeight="12456" xr2:uid="{CB72C271-4827-40C6-AE96-52CE2B9889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B28" i="1"/>
  <c r="B34" i="1"/>
  <c r="B14" i="1"/>
  <c r="C40" i="1"/>
  <c r="D40" i="1"/>
  <c r="B40" i="1"/>
  <c r="C38" i="1"/>
  <c r="D38" i="1"/>
  <c r="B38" i="1"/>
  <c r="C37" i="1"/>
  <c r="D37" i="1"/>
  <c r="B35" i="1"/>
  <c r="C35" i="1"/>
  <c r="D35" i="1"/>
  <c r="C34" i="1"/>
  <c r="D34" i="1"/>
  <c r="C31" i="1"/>
  <c r="D31" i="1"/>
  <c r="B31" i="1"/>
  <c r="C28" i="1"/>
  <c r="D28" i="1"/>
  <c r="C29" i="1"/>
  <c r="D29" i="1"/>
  <c r="C30" i="1"/>
  <c r="D30" i="1"/>
  <c r="B30" i="1"/>
  <c r="B29" i="1"/>
  <c r="B19" i="1"/>
  <c r="D18" i="1"/>
  <c r="C18" i="1"/>
  <c r="B18" i="1"/>
  <c r="B20" i="1"/>
  <c r="C20" i="1"/>
  <c r="D20" i="1"/>
  <c r="C19" i="1"/>
  <c r="D19" i="1"/>
  <c r="C15" i="1"/>
  <c r="D15" i="1"/>
  <c r="B15" i="1"/>
  <c r="C14" i="1"/>
  <c r="D14" i="1"/>
</calcChain>
</file>

<file path=xl/sharedStrings.xml><?xml version="1.0" encoding="utf-8"?>
<sst xmlns="http://schemas.openxmlformats.org/spreadsheetml/2006/main" count="32" uniqueCount="31">
  <si>
    <t>Concepto</t>
  </si>
  <si>
    <t>Banco A (Retail/Hipotecario)</t>
  </si>
  <si>
    <t>Banco B (Corporativo/Tesorería)</t>
  </si>
  <si>
    <t xml:space="preserve">Banco C </t>
  </si>
  <si>
    <t>(PYMES/Consumo)</t>
  </si>
  <si>
    <t>Activos Líquidos (HQLA)</t>
  </si>
  <si>
    <t>Cartera Flotante (TIIE)</t>
  </si>
  <si>
    <t>Cartera Fija (Largo Plazo)</t>
  </si>
  <si>
    <t>Total Activos</t>
  </si>
  <si>
    <t>Depósitos Minoristas (Vista)</t>
  </si>
  <si>
    <t>Fondeo Mayorista (Wholesale)</t>
  </si>
  <si>
    <t>Capital Tier 1</t>
  </si>
  <si>
    <t>Total Pasivo + Capital</t>
  </si>
  <si>
    <t>LCR</t>
  </si>
  <si>
    <t>Salidas Netas</t>
  </si>
  <si>
    <t>Disponibilidad de Fondeo</t>
  </si>
  <si>
    <t>Requerimiento de Fondeo</t>
  </si>
  <si>
    <t>NSFT</t>
  </si>
  <si>
    <t>Se recomienda, 1: Vender parte de la cartera fija y destinar una parte de ello a HQLA o, 2: Mover depósitos a la vista a fondeo mayorista ofreciendo un producto con una tasa de interés atractiva</t>
  </si>
  <si>
    <r>
      <t>1)</t>
    </r>
    <r>
      <rPr>
        <b/>
        <sz val="12"/>
        <color rgb="FF000000"/>
        <rFont val="Aptos"/>
        <family val="2"/>
      </rPr>
      <t>Análisis-interpretación ¿cuál banco quebraría por falta de liquidez en un escenario en el que el 20% de los depósitos a la vista se esfuma o ante un escenario en el que se seca el 50% del fondeo mayorista?</t>
    </r>
  </si>
  <si>
    <t>Ante el primer escenario, truenan el banco a y c por no tener suficiente HQLA para cubrir la fuga</t>
  </si>
  <si>
    <t>Delta Ingresos</t>
  </si>
  <si>
    <t>Delta Gastos</t>
  </si>
  <si>
    <t>Delta NII (Subida de 100 pts basis)</t>
  </si>
  <si>
    <t>Delta ROE</t>
  </si>
  <si>
    <t>Delta NII (Bajada de 100 pts basis)</t>
  </si>
  <si>
    <t>EVE =</t>
  </si>
  <si>
    <t>Ratio</t>
  </si>
  <si>
    <t>Delta EVE (Subida 100 pb)</t>
  </si>
  <si>
    <t>Cambio en el valor de los activos TF</t>
  </si>
  <si>
    <t>No hay pasivos TF a largo plazo, se quedan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</si>
</sst>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;[Red]\-&quot;$&quot;#,##0.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8"/>
      <name val="Arial"/>
      <family val="2"/>
    </font>
    <font>
      <b/>
      <sz val="14"/>
      <color rgb="FF1F1F1F"/>
      <name val="Google Sans Text"/>
    </font>
    <font>
      <sz val="14"/>
      <color rgb="FF1F1F1F"/>
      <name val="Google Sans Text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4" fillId="0" borderId="0" xfId="0" applyFont="1" applyAlignment="1">
      <alignment horizontal="left" vertical="center" wrapText="1" indent="1" readingOrder="1"/>
    </xf>
    <xf numFmtId="6" fontId="5" fillId="0" borderId="0" xfId="0" applyNumberFormat="1" applyFont="1" applyAlignment="1">
      <alignment horizontal="left" vertical="center" wrapText="1" indent="1" readingOrder="1"/>
    </xf>
    <xf numFmtId="6" fontId="4" fillId="0" borderId="0" xfId="0" applyNumberFormat="1" applyFont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/>
    </xf>
    <xf numFmtId="164" fontId="0" fillId="0" borderId="0" xfId="0" applyNumberFormat="1"/>
    <xf numFmtId="10" fontId="0" fillId="0" borderId="0" xfId="2" applyNumberFormat="1" applyFont="1" applyBorder="1"/>
    <xf numFmtId="0" fontId="6" fillId="0" borderId="0" xfId="0" applyFont="1"/>
    <xf numFmtId="10" fontId="0" fillId="2" borderId="0" xfId="2" applyNumberFormat="1" applyFont="1" applyFill="1" applyBorder="1"/>
    <xf numFmtId="10" fontId="0" fillId="3" borderId="0" xfId="2" applyNumberFormat="1" applyFont="1" applyFill="1" applyBorder="1"/>
    <xf numFmtId="8" fontId="0" fillId="0" borderId="0" xfId="0" applyNumberFormat="1"/>
    <xf numFmtId="44" fontId="0" fillId="0" borderId="0" xfId="1" applyFont="1" applyBorder="1"/>
    <xf numFmtId="10" fontId="2" fillId="0" borderId="0" xfId="2" applyNumberFormat="1" applyFont="1" applyBorder="1"/>
    <xf numFmtId="0" fontId="4" fillId="0" borderId="0" xfId="0" applyFont="1" applyAlignment="1">
      <alignment horizontal="left" vertical="center" wrapText="1" indent="1" readingOrder="1"/>
    </xf>
    <xf numFmtId="0" fontId="7" fillId="0" borderId="0" xfId="0" applyFont="1" applyAlignment="1">
      <alignment horizontal="center" vertical="center" wrapText="1" readingOrder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143436</xdr:colOff>
      <xdr:row>0</xdr:row>
      <xdr:rowOff>71718</xdr:rowOff>
    </xdr:from>
    <xdr:to>
      <xdr:col>13</xdr:col>
      <xdr:colOff>175405</xdr:colOff>
      <xdr:row>11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0ADFEC-1D8D-54CA-F63C-B44FE9D00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1" y="71718"/>
          <a:ext cx="7132016" cy="2823882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16</xdr:row>
      <xdr:rowOff>134470</xdr:rowOff>
    </xdr:from>
    <xdr:to>
      <xdr:col>11</xdr:col>
      <xdr:colOff>495300</xdr:colOff>
      <xdr:row>29</xdr:row>
      <xdr:rowOff>219187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B61A9A-523D-9908-3962-783148787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0565" y="3863788"/>
          <a:ext cx="5712759" cy="2998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161365</xdr:colOff>
      <xdr:row>23</xdr:row>
      <xdr:rowOff>80683</xdr:rowOff>
    </xdr:from>
    <xdr:to>
      <xdr:col>3</xdr:col>
      <xdr:colOff>461564</xdr:colOff>
      <xdr:row>26</xdr:row>
      <xdr:rowOff>42033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C0129CD-666C-4987-F3E6-EDCF81816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365" y="5325036"/>
          <a:ext cx="7194058" cy="499232"/>
        </a:xfrm>
        <a:prstGeom prst="rect">
          <a:avLst/>
        </a:prstGeom>
      </xdr:spPr>
    </xdr:pic>
    <xdr:clientData/>
  </xdr:twoCellAnchor>
  <xdr:twoCellAnchor editAs="oneCell">
    <xdr:from>
      <xdr:col>4</xdr:col>
      <xdr:colOff>251011</xdr:colOff>
      <xdr:row>30</xdr:row>
      <xdr:rowOff>71718</xdr:rowOff>
    </xdr:from>
    <xdr:to>
      <xdr:col>11</xdr:col>
      <xdr:colOff>510988</xdr:colOff>
      <xdr:row>45</xdr:row>
      <xdr:rowOff>168773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414861B-B3A2-698C-A682-CDDE651E6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46776" y="6947647"/>
          <a:ext cx="5782236" cy="3109197"/>
        </a:xfrm>
        <a:prstGeom prst="rect">
          <a:avLst/>
        </a:prstGeom>
      </xdr:spPr>
    </xdr:pic>
    <xdr:clientData/>
  </xdr:twoCellAnchor>
  <xdr:twoCellAnchor editAs="oneCell">
    <xdr:from>
      <xdr:col>4</xdr:col>
      <xdr:colOff>385482</xdr:colOff>
      <xdr:row>47</xdr:row>
      <xdr:rowOff>53788</xdr:rowOff>
    </xdr:from>
    <xdr:to>
      <xdr:col>8</xdr:col>
      <xdr:colOff>633016</xdr:colOff>
      <xdr:row>49</xdr:row>
      <xdr:rowOff>107056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AE26737-B074-4881-91F4-E4A021B37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81247" y="10139082"/>
          <a:ext cx="3403110" cy="411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E5EE-4CD8-4891-847E-A8EC4AD5CAB1}">
  <dimension ref="A1:E49"/>
  <sheetViews>
    <sheetView tabSelected="1" topLeftCell="A15" zoomScale="85" zoomScaleNormal="85" workbookViewId="0">
      <selection activeCell="N25" sqref="N25"/>
    </sheetView>
  </sheetViews>
  <sheetFormatPr baseColWidth="10" defaultRowHeight="14.4"/>
  <cols>
    <col min="1" max="1" width="42.6640625" customWidth="1"/>
    <col min="2" max="2" width="26.5546875" bestFit="1" customWidth="1"/>
    <col min="3" max="3" width="31.33203125" bestFit="1" customWidth="1"/>
    <col min="4" max="4" width="26.33203125" customWidth="1"/>
  </cols>
  <sheetData>
    <row r="1" spans="1:4" ht="17.399999999999999">
      <c r="A1" s="13" t="s">
        <v>0</v>
      </c>
      <c r="B1" s="13" t="s">
        <v>1</v>
      </c>
      <c r="C1" s="13" t="s">
        <v>2</v>
      </c>
      <c r="D1" s="1" t="s">
        <v>3</v>
      </c>
    </row>
    <row r="2" spans="1:4" ht="17.399999999999999">
      <c r="A2" s="13"/>
      <c r="B2" s="13"/>
      <c r="C2" s="13"/>
      <c r="D2" s="1" t="s">
        <v>4</v>
      </c>
    </row>
    <row r="3" spans="1:4" ht="17.399999999999999">
      <c r="A3" s="1" t="s">
        <v>5</v>
      </c>
      <c r="B3" s="2">
        <v>100</v>
      </c>
      <c r="C3" s="2">
        <v>350</v>
      </c>
      <c r="D3" s="2">
        <v>150</v>
      </c>
    </row>
    <row r="4" spans="1:4" ht="17.399999999999999">
      <c r="A4" s="1" t="s">
        <v>6</v>
      </c>
      <c r="B4" s="2">
        <v>200</v>
      </c>
      <c r="C4" s="2">
        <v>1200</v>
      </c>
      <c r="D4" s="2">
        <v>800</v>
      </c>
    </row>
    <row r="5" spans="1:4" ht="17.399999999999999">
      <c r="A5" s="1" t="s">
        <v>7</v>
      </c>
      <c r="B5" s="2">
        <v>1500</v>
      </c>
      <c r="C5" s="2">
        <v>300</v>
      </c>
      <c r="D5" s="2">
        <v>400</v>
      </c>
    </row>
    <row r="6" spans="1:4" ht="17.399999999999999">
      <c r="A6" s="1" t="s">
        <v>8</v>
      </c>
      <c r="B6" s="3">
        <v>1800</v>
      </c>
      <c r="C6" s="3">
        <v>1850</v>
      </c>
      <c r="D6" s="3">
        <v>1350</v>
      </c>
    </row>
    <row r="7" spans="1:4" ht="22.8">
      <c r="A7" s="4"/>
      <c r="B7" s="4"/>
      <c r="C7" s="4"/>
      <c r="D7" s="4"/>
    </row>
    <row r="8" spans="1:4" ht="17.399999999999999">
      <c r="A8" s="1" t="s">
        <v>9</v>
      </c>
      <c r="B8" s="2">
        <v>1400</v>
      </c>
      <c r="C8" s="2">
        <v>200</v>
      </c>
      <c r="D8" s="2">
        <v>900</v>
      </c>
    </row>
    <row r="9" spans="1:4" ht="17.399999999999999">
      <c r="A9" s="1" t="s">
        <v>10</v>
      </c>
      <c r="B9" s="2">
        <v>200</v>
      </c>
      <c r="C9" s="2">
        <v>1400</v>
      </c>
      <c r="D9" s="2">
        <v>150</v>
      </c>
    </row>
    <row r="10" spans="1:4" ht="17.399999999999999">
      <c r="A10" s="1" t="s">
        <v>11</v>
      </c>
      <c r="B10" s="2">
        <v>200</v>
      </c>
      <c r="C10" s="2">
        <v>250</v>
      </c>
      <c r="D10" s="2">
        <v>300</v>
      </c>
    </row>
    <row r="11" spans="1:4" ht="17.399999999999999">
      <c r="A11" s="1" t="s">
        <v>12</v>
      </c>
      <c r="B11" s="3">
        <v>1800</v>
      </c>
      <c r="C11" s="3">
        <v>1850</v>
      </c>
      <c r="D11" s="3">
        <v>1350</v>
      </c>
    </row>
    <row r="14" spans="1:4" ht="17.399999999999999">
      <c r="A14" s="1" t="s">
        <v>14</v>
      </c>
      <c r="B14" s="5">
        <f>B8*0.1+B9*0.4</f>
        <v>220</v>
      </c>
      <c r="C14" s="5">
        <f t="shared" ref="C14:D14" si="0">C8*0.1+C9*0.4</f>
        <v>580</v>
      </c>
      <c r="D14" s="5">
        <f t="shared" si="0"/>
        <v>150</v>
      </c>
    </row>
    <row r="15" spans="1:4" ht="17.399999999999999">
      <c r="A15" s="1" t="s">
        <v>13</v>
      </c>
      <c r="B15" s="8">
        <f>B3/B14</f>
        <v>0.45454545454545453</v>
      </c>
      <c r="C15" s="8">
        <f t="shared" ref="C15:D15" si="1">C3/C14</f>
        <v>0.60344827586206895</v>
      </c>
      <c r="D15" s="9">
        <f t="shared" si="1"/>
        <v>1</v>
      </c>
    </row>
    <row r="16" spans="1:4">
      <c r="B16" t="s">
        <v>18</v>
      </c>
    </row>
    <row r="18" spans="1:4" ht="18">
      <c r="A18" s="7" t="s">
        <v>15</v>
      </c>
      <c r="B18" s="5">
        <f>0.9*B8+0.6*B9+B10</f>
        <v>1580</v>
      </c>
      <c r="C18" s="5">
        <f>0.9*C8+0.6*C9+C10</f>
        <v>1270</v>
      </c>
      <c r="D18" s="5">
        <f>0.9*D8+0.6*D9+D10</f>
        <v>1200</v>
      </c>
    </row>
    <row r="19" spans="1:4" ht="18">
      <c r="A19" s="7" t="s">
        <v>16</v>
      </c>
      <c r="B19" s="11">
        <f>0.05*B3+0.5*B4+0.85*B5</f>
        <v>1380</v>
      </c>
      <c r="C19" s="11">
        <f t="shared" ref="C19:D19" si="2">0.05*C3+0.5*C4+0.85*C5</f>
        <v>872.5</v>
      </c>
      <c r="D19" s="11">
        <f t="shared" si="2"/>
        <v>747.5</v>
      </c>
    </row>
    <row r="20" spans="1:4" ht="18">
      <c r="A20" s="7" t="s">
        <v>17</v>
      </c>
      <c r="B20" s="9">
        <f>B18/B19</f>
        <v>1.144927536231884</v>
      </c>
      <c r="C20" s="9">
        <f t="shared" ref="C20:D20" si="3">C18/C19</f>
        <v>1.4555873925501432</v>
      </c>
      <c r="D20" s="9">
        <f t="shared" si="3"/>
        <v>1.6053511705685619</v>
      </c>
    </row>
    <row r="22" spans="1:4" ht="39" customHeight="1">
      <c r="A22" s="14" t="s">
        <v>19</v>
      </c>
      <c r="B22" s="14"/>
      <c r="C22" s="14"/>
      <c r="D22" s="14"/>
    </row>
    <row r="23" spans="1:4">
      <c r="A23" t="s">
        <v>20</v>
      </c>
    </row>
    <row r="28" spans="1:4" ht="18">
      <c r="A28" s="7" t="s">
        <v>21</v>
      </c>
      <c r="B28" s="5">
        <f>B4*0.01</f>
        <v>2</v>
      </c>
      <c r="C28" s="5">
        <f t="shared" ref="C28:D28" si="4">C4*0.01</f>
        <v>12</v>
      </c>
      <c r="D28" s="5">
        <f t="shared" si="4"/>
        <v>8</v>
      </c>
    </row>
    <row r="29" spans="1:4" ht="18">
      <c r="A29" s="7" t="s">
        <v>22</v>
      </c>
      <c r="B29" s="10">
        <f>B8*0.75*0.01+B9*0.01</f>
        <v>12.5</v>
      </c>
      <c r="C29" s="10">
        <f t="shared" ref="C29:D29" si="5">C8*0.75*0.01+C9*0.01</f>
        <v>15.5</v>
      </c>
      <c r="D29" s="10">
        <f t="shared" si="5"/>
        <v>8.25</v>
      </c>
    </row>
    <row r="30" spans="1:4" ht="18">
      <c r="A30" s="7" t="s">
        <v>23</v>
      </c>
      <c r="B30" s="10">
        <f>B28-B29</f>
        <v>-10.5</v>
      </c>
      <c r="C30" s="10">
        <f t="shared" ref="C30:D30" si="6">C28-C29</f>
        <v>-3.5</v>
      </c>
      <c r="D30" s="10">
        <f t="shared" si="6"/>
        <v>-0.25</v>
      </c>
    </row>
    <row r="31" spans="1:4" ht="18">
      <c r="A31" s="7" t="s">
        <v>24</v>
      </c>
      <c r="B31" s="12">
        <f>B30/B10</f>
        <v>-5.2499999999999998E-2</v>
      </c>
      <c r="C31" s="12">
        <f>C30/C10</f>
        <v>-1.4E-2</v>
      </c>
      <c r="D31" s="12">
        <f t="shared" ref="D31" si="7">D30/D10</f>
        <v>-8.3333333333333339E-4</v>
      </c>
    </row>
    <row r="34" spans="1:4" ht="18">
      <c r="A34" s="7" t="s">
        <v>25</v>
      </c>
      <c r="B34" s="10">
        <f>-B30</f>
        <v>10.5</v>
      </c>
      <c r="C34" s="10">
        <f t="shared" ref="C34:D35" si="8">-C30</f>
        <v>3.5</v>
      </c>
      <c r="D34" s="10">
        <f t="shared" si="8"/>
        <v>0.25</v>
      </c>
    </row>
    <row r="35" spans="1:4" ht="18">
      <c r="A35" s="7" t="s">
        <v>24</v>
      </c>
      <c r="B35" s="6">
        <f>-B31</f>
        <v>5.2499999999999998E-2</v>
      </c>
      <c r="C35" s="6">
        <f t="shared" si="8"/>
        <v>1.4E-2</v>
      </c>
      <c r="D35" s="6">
        <f t="shared" si="8"/>
        <v>8.3333333333333339E-4</v>
      </c>
    </row>
    <row r="37" spans="1:4" ht="18">
      <c r="A37" s="7" t="s">
        <v>29</v>
      </c>
      <c r="B37" s="10">
        <f>-7.5*B5*0.01</f>
        <v>-112.5</v>
      </c>
      <c r="C37" s="10">
        <f>-5*C5*0.01</f>
        <v>-15</v>
      </c>
      <c r="D37" s="10">
        <f>-2.4*D5*0.01</f>
        <v>-9.6</v>
      </c>
    </row>
    <row r="38" spans="1:4" ht="18">
      <c r="A38" s="7" t="s">
        <v>28</v>
      </c>
      <c r="B38" s="10">
        <f>B37</f>
        <v>-112.5</v>
      </c>
      <c r="C38" s="10">
        <f t="shared" ref="C38:D38" si="9">C37</f>
        <v>-15</v>
      </c>
      <c r="D38" s="10">
        <f t="shared" si="9"/>
        <v>-9.6</v>
      </c>
    </row>
    <row r="39" spans="1:4">
      <c r="B39" t="s">
        <v>30</v>
      </c>
    </row>
    <row r="40" spans="1:4" ht="18">
      <c r="A40" s="7" t="s">
        <v>27</v>
      </c>
      <c r="B40" s="8">
        <f>B38/B10</f>
        <v>-0.5625</v>
      </c>
      <c r="C40" s="9">
        <f>C38/C10</f>
        <v>-0.06</v>
      </c>
      <c r="D40" s="9">
        <f>D38/D10</f>
        <v>-3.2000000000000001E-2</v>
      </c>
    </row>
    <row r="49" spans="5:5">
      <c r="E49" t="s">
        <v>26</v>
      </c>
    </row>
  </sheetData>
  <mergeCells count="4">
    <mergeCell ref="A1:A2"/>
    <mergeCell ref="B1:B2"/>
    <mergeCell ref="C1:C2"/>
    <mergeCell ref="A22:D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Gómez Jiménez</dc:creator>
  <cp:lastModifiedBy>Samuel Gómez Jiménez</cp:lastModifiedBy>
  <dcterms:created xsi:type="dcterms:W3CDTF">2026-04-07T00:14:51Z</dcterms:created>
  <dcterms:modified xsi:type="dcterms:W3CDTF">2026-04-09T01:57:31Z</dcterms:modified>
</cp:coreProperties>
</file>