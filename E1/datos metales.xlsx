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832EB7C1-47E9-457E-AB65-BF9293D7A3AB}" xr6:coauthVersionLast="47" xr6:coauthVersionMax="47" xr10:uidLastSave="{00000000-0000-0000-0000-000000000000}"/>
  <bookViews>
    <workbookView xWindow="-120" yWindow="-120" windowWidth="29040" windowHeight="15720" activeTab="2" xr2:uid="{E84B3780-1A74-4CAA-B29B-435B018234FC}"/>
  </bookViews>
  <sheets>
    <sheet name="plata" sheetId="1" r:id="rId1"/>
    <sheet name="oro" sheetId="2" r:id="rId2"/>
    <sheet name="soluc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3" l="1"/>
  <c r="T9" i="3"/>
  <c r="T21" i="3"/>
  <c r="T20" i="3"/>
  <c r="T16" i="3"/>
  <c r="T15" i="3"/>
  <c r="T14" i="3"/>
  <c r="T13" i="3"/>
  <c r="F3" i="3"/>
  <c r="T22" i="3"/>
  <c r="T8" i="3"/>
  <c r="P11" i="3"/>
  <c r="P4" i="3"/>
  <c r="O4" i="3"/>
  <c r="N4" i="3"/>
  <c r="E4" i="3"/>
  <c r="U4" i="3"/>
  <c r="T4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P14" i="3"/>
  <c r="P6" i="3"/>
  <c r="P7" i="3"/>
  <c r="P8" i="3"/>
  <c r="P9" i="3"/>
  <c r="P10" i="3"/>
  <c r="P12" i="3"/>
  <c r="P13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U5" i="3"/>
  <c r="T5" i="3"/>
  <c r="V4" i="3"/>
  <c r="K3" i="3"/>
  <c r="E3" i="3"/>
  <c r="T23" i="3" l="1"/>
  <c r="N112" i="3"/>
  <c r="N144" i="3"/>
  <c r="N176" i="3"/>
  <c r="N208" i="3"/>
  <c r="N240" i="3"/>
  <c r="K4" i="3"/>
  <c r="K5" i="3"/>
  <c r="K6" i="3"/>
  <c r="K7" i="3"/>
  <c r="O7" i="3" s="1"/>
  <c r="K8" i="3"/>
  <c r="K9" i="3"/>
  <c r="K10" i="3"/>
  <c r="O10" i="3" s="1"/>
  <c r="K11" i="3"/>
  <c r="O11" i="3" s="1"/>
  <c r="K12" i="3"/>
  <c r="O12" i="3" s="1"/>
  <c r="K13" i="3"/>
  <c r="K14" i="3"/>
  <c r="K15" i="3"/>
  <c r="O15" i="3" s="1"/>
  <c r="K16" i="3"/>
  <c r="K17" i="3"/>
  <c r="K18" i="3"/>
  <c r="O18" i="3" s="1"/>
  <c r="K19" i="3"/>
  <c r="K20" i="3"/>
  <c r="O20" i="3" s="1"/>
  <c r="K21" i="3"/>
  <c r="K22" i="3"/>
  <c r="K23" i="3"/>
  <c r="O23" i="3" s="1"/>
  <c r="K24" i="3"/>
  <c r="K25" i="3"/>
  <c r="K26" i="3"/>
  <c r="O26" i="3" s="1"/>
  <c r="K27" i="3"/>
  <c r="O27" i="3" s="1"/>
  <c r="K28" i="3"/>
  <c r="K29" i="3"/>
  <c r="K30" i="3"/>
  <c r="K31" i="3"/>
  <c r="O31" i="3" s="1"/>
  <c r="K32" i="3"/>
  <c r="K33" i="3"/>
  <c r="K34" i="3"/>
  <c r="O34" i="3" s="1"/>
  <c r="K35" i="3"/>
  <c r="O35" i="3" s="1"/>
  <c r="K36" i="3"/>
  <c r="K37" i="3"/>
  <c r="K38" i="3"/>
  <c r="K39" i="3"/>
  <c r="O39" i="3" s="1"/>
  <c r="K40" i="3"/>
  <c r="K41" i="3"/>
  <c r="K42" i="3"/>
  <c r="O42" i="3" s="1"/>
  <c r="K43" i="3"/>
  <c r="K44" i="3"/>
  <c r="K45" i="3"/>
  <c r="K46" i="3"/>
  <c r="K47" i="3"/>
  <c r="O47" i="3" s="1"/>
  <c r="K48" i="3"/>
  <c r="K49" i="3"/>
  <c r="K50" i="3"/>
  <c r="O50" i="3" s="1"/>
  <c r="K51" i="3"/>
  <c r="O51" i="3" s="1"/>
  <c r="K52" i="3"/>
  <c r="K53" i="3"/>
  <c r="K54" i="3"/>
  <c r="K55" i="3"/>
  <c r="O55" i="3" s="1"/>
  <c r="K56" i="3"/>
  <c r="K57" i="3"/>
  <c r="K58" i="3"/>
  <c r="O58" i="3" s="1"/>
  <c r="K59" i="3"/>
  <c r="O59" i="3" s="1"/>
  <c r="K60" i="3"/>
  <c r="K61" i="3"/>
  <c r="K62" i="3"/>
  <c r="K63" i="3"/>
  <c r="O63" i="3" s="1"/>
  <c r="K64" i="3"/>
  <c r="K65" i="3"/>
  <c r="K66" i="3"/>
  <c r="O66" i="3" s="1"/>
  <c r="K67" i="3"/>
  <c r="O67" i="3" s="1"/>
  <c r="K68" i="3"/>
  <c r="K69" i="3"/>
  <c r="K70" i="3"/>
  <c r="K71" i="3"/>
  <c r="O71" i="3" s="1"/>
  <c r="K72" i="3"/>
  <c r="K73" i="3"/>
  <c r="K74" i="3"/>
  <c r="O74" i="3" s="1"/>
  <c r="K75" i="3"/>
  <c r="K76" i="3"/>
  <c r="K77" i="3"/>
  <c r="K78" i="3"/>
  <c r="K79" i="3"/>
  <c r="O79" i="3" s="1"/>
  <c r="K80" i="3"/>
  <c r="K81" i="3"/>
  <c r="K82" i="3"/>
  <c r="O82" i="3" s="1"/>
  <c r="K83" i="3"/>
  <c r="K84" i="3"/>
  <c r="K85" i="3"/>
  <c r="K86" i="3"/>
  <c r="K87" i="3"/>
  <c r="O87" i="3" s="1"/>
  <c r="K88" i="3"/>
  <c r="K89" i="3"/>
  <c r="K90" i="3"/>
  <c r="O90" i="3" s="1"/>
  <c r="K91" i="3"/>
  <c r="K92" i="3"/>
  <c r="O92" i="3" s="1"/>
  <c r="K93" i="3"/>
  <c r="K94" i="3"/>
  <c r="O94" i="3" s="1"/>
  <c r="K95" i="3"/>
  <c r="O95" i="3" s="1"/>
  <c r="K96" i="3"/>
  <c r="K97" i="3"/>
  <c r="K98" i="3"/>
  <c r="O98" i="3" s="1"/>
  <c r="K99" i="3"/>
  <c r="K100" i="3"/>
  <c r="O100" i="3" s="1"/>
  <c r="K101" i="3"/>
  <c r="K102" i="3"/>
  <c r="O102" i="3" s="1"/>
  <c r="K103" i="3"/>
  <c r="O103" i="3" s="1"/>
  <c r="K104" i="3"/>
  <c r="K105" i="3"/>
  <c r="K106" i="3"/>
  <c r="O106" i="3" s="1"/>
  <c r="K107" i="3"/>
  <c r="K108" i="3"/>
  <c r="O108" i="3" s="1"/>
  <c r="K109" i="3"/>
  <c r="K110" i="3"/>
  <c r="K111" i="3"/>
  <c r="O111" i="3" s="1"/>
  <c r="K112" i="3"/>
  <c r="K113" i="3"/>
  <c r="K114" i="3"/>
  <c r="O114" i="3" s="1"/>
  <c r="K115" i="3"/>
  <c r="K116" i="3"/>
  <c r="O116" i="3" s="1"/>
  <c r="K117" i="3"/>
  <c r="O117" i="3" s="1"/>
  <c r="K118" i="3"/>
  <c r="O118" i="3" s="1"/>
  <c r="K119" i="3"/>
  <c r="O119" i="3" s="1"/>
  <c r="K120" i="3"/>
  <c r="K121" i="3"/>
  <c r="K122" i="3"/>
  <c r="O122" i="3" s="1"/>
  <c r="K123" i="3"/>
  <c r="K124" i="3"/>
  <c r="O124" i="3" s="1"/>
  <c r="K125" i="3"/>
  <c r="O125" i="3" s="1"/>
  <c r="K126" i="3"/>
  <c r="K127" i="3"/>
  <c r="O127" i="3" s="1"/>
  <c r="K128" i="3"/>
  <c r="K129" i="3"/>
  <c r="K130" i="3"/>
  <c r="O130" i="3" s="1"/>
  <c r="K131" i="3"/>
  <c r="K132" i="3"/>
  <c r="O132" i="3" s="1"/>
  <c r="K133" i="3"/>
  <c r="O133" i="3" s="1"/>
  <c r="K134" i="3"/>
  <c r="O134" i="3" s="1"/>
  <c r="K135" i="3"/>
  <c r="O135" i="3" s="1"/>
  <c r="K136" i="3"/>
  <c r="K137" i="3"/>
  <c r="K138" i="3"/>
  <c r="O138" i="3" s="1"/>
  <c r="K139" i="3"/>
  <c r="K140" i="3"/>
  <c r="O140" i="3" s="1"/>
  <c r="K141" i="3"/>
  <c r="O141" i="3" s="1"/>
  <c r="K142" i="3"/>
  <c r="K143" i="3"/>
  <c r="O143" i="3" s="1"/>
  <c r="K144" i="3"/>
  <c r="K145" i="3"/>
  <c r="K146" i="3"/>
  <c r="O146" i="3" s="1"/>
  <c r="K147" i="3"/>
  <c r="K148" i="3"/>
  <c r="O148" i="3" s="1"/>
  <c r="K149" i="3"/>
  <c r="O149" i="3" s="1"/>
  <c r="K150" i="3"/>
  <c r="O150" i="3" s="1"/>
  <c r="K151" i="3"/>
  <c r="O151" i="3" s="1"/>
  <c r="K152" i="3"/>
  <c r="K153" i="3"/>
  <c r="K154" i="3"/>
  <c r="O154" i="3" s="1"/>
  <c r="K155" i="3"/>
  <c r="K156" i="3"/>
  <c r="O156" i="3" s="1"/>
  <c r="K157" i="3"/>
  <c r="O157" i="3" s="1"/>
  <c r="K158" i="3"/>
  <c r="K159" i="3"/>
  <c r="O159" i="3" s="1"/>
  <c r="K160" i="3"/>
  <c r="K161" i="3"/>
  <c r="K162" i="3"/>
  <c r="O162" i="3" s="1"/>
  <c r="K163" i="3"/>
  <c r="K164" i="3"/>
  <c r="O164" i="3" s="1"/>
  <c r="K165" i="3"/>
  <c r="O165" i="3" s="1"/>
  <c r="K166" i="3"/>
  <c r="O166" i="3" s="1"/>
  <c r="K167" i="3"/>
  <c r="O167" i="3" s="1"/>
  <c r="K168" i="3"/>
  <c r="K169" i="3"/>
  <c r="K170" i="3"/>
  <c r="O170" i="3" s="1"/>
  <c r="K171" i="3"/>
  <c r="K172" i="3"/>
  <c r="K173" i="3"/>
  <c r="O173" i="3" s="1"/>
  <c r="K174" i="3"/>
  <c r="K175" i="3"/>
  <c r="O175" i="3" s="1"/>
  <c r="K176" i="3"/>
  <c r="K177" i="3"/>
  <c r="K178" i="3"/>
  <c r="O178" i="3" s="1"/>
  <c r="K179" i="3"/>
  <c r="K180" i="3"/>
  <c r="K181" i="3"/>
  <c r="O181" i="3" s="1"/>
  <c r="K182" i="3"/>
  <c r="O182" i="3" s="1"/>
  <c r="K183" i="3"/>
  <c r="O183" i="3" s="1"/>
  <c r="K184" i="3"/>
  <c r="K185" i="3"/>
  <c r="K186" i="3"/>
  <c r="O186" i="3" s="1"/>
  <c r="K187" i="3"/>
  <c r="K188" i="3"/>
  <c r="K189" i="3"/>
  <c r="O189" i="3" s="1"/>
  <c r="K190" i="3"/>
  <c r="K191" i="3"/>
  <c r="O191" i="3" s="1"/>
  <c r="K192" i="3"/>
  <c r="K193" i="3"/>
  <c r="K194" i="3"/>
  <c r="O194" i="3" s="1"/>
  <c r="K195" i="3"/>
  <c r="K196" i="3"/>
  <c r="O196" i="3" s="1"/>
  <c r="K197" i="3"/>
  <c r="O197" i="3" s="1"/>
  <c r="K198" i="3"/>
  <c r="O198" i="3" s="1"/>
  <c r="K199" i="3"/>
  <c r="O199" i="3" s="1"/>
  <c r="K200" i="3"/>
  <c r="K201" i="3"/>
  <c r="K202" i="3"/>
  <c r="O202" i="3" s="1"/>
  <c r="K203" i="3"/>
  <c r="K204" i="3"/>
  <c r="O204" i="3" s="1"/>
  <c r="K205" i="3"/>
  <c r="O205" i="3" s="1"/>
  <c r="K206" i="3"/>
  <c r="K207" i="3"/>
  <c r="O207" i="3" s="1"/>
  <c r="K208" i="3"/>
  <c r="K209" i="3"/>
  <c r="K210" i="3"/>
  <c r="O210" i="3" s="1"/>
  <c r="K211" i="3"/>
  <c r="K212" i="3"/>
  <c r="O212" i="3" s="1"/>
  <c r="K213" i="3"/>
  <c r="O213" i="3" s="1"/>
  <c r="K214" i="3"/>
  <c r="O214" i="3" s="1"/>
  <c r="K215" i="3"/>
  <c r="O215" i="3" s="1"/>
  <c r="K216" i="3"/>
  <c r="K217" i="3"/>
  <c r="K218" i="3"/>
  <c r="O218" i="3" s="1"/>
  <c r="K219" i="3"/>
  <c r="K220" i="3"/>
  <c r="O220" i="3" s="1"/>
  <c r="K221" i="3"/>
  <c r="O221" i="3" s="1"/>
  <c r="K222" i="3"/>
  <c r="K223" i="3"/>
  <c r="O223" i="3" s="1"/>
  <c r="K224" i="3"/>
  <c r="K225" i="3"/>
  <c r="K226" i="3"/>
  <c r="O226" i="3" s="1"/>
  <c r="K227" i="3"/>
  <c r="K228" i="3"/>
  <c r="O228" i="3" s="1"/>
  <c r="K229" i="3"/>
  <c r="O229" i="3" s="1"/>
  <c r="K230" i="3"/>
  <c r="O230" i="3" s="1"/>
  <c r="K231" i="3"/>
  <c r="O231" i="3" s="1"/>
  <c r="K232" i="3"/>
  <c r="K233" i="3"/>
  <c r="K234" i="3"/>
  <c r="O234" i="3" s="1"/>
  <c r="K235" i="3"/>
  <c r="K236" i="3"/>
  <c r="O236" i="3" s="1"/>
  <c r="K237" i="3"/>
  <c r="O237" i="3" s="1"/>
  <c r="K238" i="3"/>
  <c r="K239" i="3"/>
  <c r="O239" i="3" s="1"/>
  <c r="K240" i="3"/>
  <c r="K241" i="3"/>
  <c r="K242" i="3"/>
  <c r="O242" i="3" s="1"/>
  <c r="K243" i="3"/>
  <c r="K244" i="3"/>
  <c r="O244" i="3" s="1"/>
  <c r="K245" i="3"/>
  <c r="O245" i="3" s="1"/>
  <c r="K246" i="3"/>
  <c r="O246" i="3" s="1"/>
  <c r="K247" i="3"/>
  <c r="O247" i="3" s="1"/>
  <c r="K248" i="3"/>
  <c r="K249" i="3"/>
  <c r="K250" i="3"/>
  <c r="O250" i="3" s="1"/>
  <c r="K251" i="3"/>
  <c r="K252" i="3"/>
  <c r="O252" i="3" s="1"/>
  <c r="K253" i="3"/>
  <c r="O253" i="3" s="1"/>
  <c r="K254" i="3"/>
  <c r="E5" i="3"/>
  <c r="E6" i="3"/>
  <c r="E7" i="3"/>
  <c r="E8" i="3"/>
  <c r="E9" i="3"/>
  <c r="N9" i="3" s="1"/>
  <c r="E10" i="3"/>
  <c r="N10" i="3" s="1"/>
  <c r="E11" i="3"/>
  <c r="E12" i="3"/>
  <c r="N12" i="3" s="1"/>
  <c r="E13" i="3"/>
  <c r="E14" i="3"/>
  <c r="E15" i="3"/>
  <c r="E16" i="3"/>
  <c r="E17" i="3"/>
  <c r="N17" i="3" s="1"/>
  <c r="E18" i="3"/>
  <c r="N18" i="3" s="1"/>
  <c r="E19" i="3"/>
  <c r="E20" i="3"/>
  <c r="N20" i="3" s="1"/>
  <c r="E21" i="3"/>
  <c r="E22" i="3"/>
  <c r="N22" i="3" s="1"/>
  <c r="E23" i="3"/>
  <c r="E24" i="3"/>
  <c r="E25" i="3"/>
  <c r="N25" i="3" s="1"/>
  <c r="E26" i="3"/>
  <c r="N26" i="3" s="1"/>
  <c r="E27" i="3"/>
  <c r="E28" i="3"/>
  <c r="N28" i="3" s="1"/>
  <c r="E29" i="3"/>
  <c r="E30" i="3"/>
  <c r="N30" i="3" s="1"/>
  <c r="E31" i="3"/>
  <c r="E32" i="3"/>
  <c r="E33" i="3"/>
  <c r="N33" i="3" s="1"/>
  <c r="E34" i="3"/>
  <c r="N34" i="3" s="1"/>
  <c r="E35" i="3"/>
  <c r="E36" i="3"/>
  <c r="N36" i="3" s="1"/>
  <c r="E37" i="3"/>
  <c r="E38" i="3"/>
  <c r="N38" i="3" s="1"/>
  <c r="E39" i="3"/>
  <c r="E40" i="3"/>
  <c r="E41" i="3"/>
  <c r="N41" i="3" s="1"/>
  <c r="E42" i="3"/>
  <c r="N42" i="3" s="1"/>
  <c r="E43" i="3"/>
  <c r="E44" i="3"/>
  <c r="N44" i="3" s="1"/>
  <c r="E45" i="3"/>
  <c r="E46" i="3"/>
  <c r="N46" i="3" s="1"/>
  <c r="E47" i="3"/>
  <c r="E48" i="3"/>
  <c r="E49" i="3"/>
  <c r="N49" i="3" s="1"/>
  <c r="E50" i="3"/>
  <c r="N50" i="3" s="1"/>
  <c r="E51" i="3"/>
  <c r="E52" i="3"/>
  <c r="N52" i="3" s="1"/>
  <c r="E53" i="3"/>
  <c r="E54" i="3"/>
  <c r="N54" i="3" s="1"/>
  <c r="E55" i="3"/>
  <c r="E56" i="3"/>
  <c r="E57" i="3"/>
  <c r="N57" i="3" s="1"/>
  <c r="E58" i="3"/>
  <c r="N58" i="3" s="1"/>
  <c r="E59" i="3"/>
  <c r="E60" i="3"/>
  <c r="N60" i="3" s="1"/>
  <c r="E61" i="3"/>
  <c r="E62" i="3"/>
  <c r="N62" i="3" s="1"/>
  <c r="E63" i="3"/>
  <c r="E64" i="3"/>
  <c r="E65" i="3"/>
  <c r="N65" i="3" s="1"/>
  <c r="E66" i="3"/>
  <c r="N66" i="3" s="1"/>
  <c r="E67" i="3"/>
  <c r="E68" i="3"/>
  <c r="N68" i="3" s="1"/>
  <c r="E69" i="3"/>
  <c r="E70" i="3"/>
  <c r="N70" i="3" s="1"/>
  <c r="E71" i="3"/>
  <c r="E72" i="3"/>
  <c r="E73" i="3"/>
  <c r="N73" i="3" s="1"/>
  <c r="E74" i="3"/>
  <c r="N74" i="3" s="1"/>
  <c r="E75" i="3"/>
  <c r="E76" i="3"/>
  <c r="N76" i="3" s="1"/>
  <c r="E77" i="3"/>
  <c r="E78" i="3"/>
  <c r="N78" i="3" s="1"/>
  <c r="E79" i="3"/>
  <c r="E80" i="3"/>
  <c r="E81" i="3"/>
  <c r="N81" i="3" s="1"/>
  <c r="E82" i="3"/>
  <c r="N82" i="3" s="1"/>
  <c r="E83" i="3"/>
  <c r="E84" i="3"/>
  <c r="N84" i="3" s="1"/>
  <c r="E85" i="3"/>
  <c r="E86" i="3"/>
  <c r="N86" i="3" s="1"/>
  <c r="E87" i="3"/>
  <c r="N87" i="3" s="1"/>
  <c r="E88" i="3"/>
  <c r="E89" i="3"/>
  <c r="N89" i="3" s="1"/>
  <c r="E90" i="3"/>
  <c r="N90" i="3" s="1"/>
  <c r="E91" i="3"/>
  <c r="E92" i="3"/>
  <c r="N92" i="3" s="1"/>
  <c r="E93" i="3"/>
  <c r="E94" i="3"/>
  <c r="N94" i="3" s="1"/>
  <c r="E95" i="3"/>
  <c r="E96" i="3"/>
  <c r="E97" i="3"/>
  <c r="N97" i="3" s="1"/>
  <c r="E98" i="3"/>
  <c r="N98" i="3" s="1"/>
  <c r="E99" i="3"/>
  <c r="E100" i="3"/>
  <c r="N100" i="3" s="1"/>
  <c r="E101" i="3"/>
  <c r="E102" i="3"/>
  <c r="N102" i="3" s="1"/>
  <c r="E103" i="3"/>
  <c r="N103" i="3" s="1"/>
  <c r="E104" i="3"/>
  <c r="E105" i="3"/>
  <c r="N105" i="3" s="1"/>
  <c r="E106" i="3"/>
  <c r="N106" i="3" s="1"/>
  <c r="E107" i="3"/>
  <c r="E108" i="3"/>
  <c r="N108" i="3" s="1"/>
  <c r="E109" i="3"/>
  <c r="E110" i="3"/>
  <c r="N110" i="3" s="1"/>
  <c r="E111" i="3"/>
  <c r="N111" i="3" s="1"/>
  <c r="E112" i="3"/>
  <c r="E113" i="3"/>
  <c r="N113" i="3" s="1"/>
  <c r="E114" i="3"/>
  <c r="N114" i="3" s="1"/>
  <c r="E115" i="3"/>
  <c r="E116" i="3"/>
  <c r="N116" i="3" s="1"/>
  <c r="E117" i="3"/>
  <c r="E118" i="3"/>
  <c r="N118" i="3" s="1"/>
  <c r="E119" i="3"/>
  <c r="N119" i="3" s="1"/>
  <c r="E120" i="3"/>
  <c r="E121" i="3"/>
  <c r="N121" i="3" s="1"/>
  <c r="E122" i="3"/>
  <c r="N122" i="3" s="1"/>
  <c r="E123" i="3"/>
  <c r="E124" i="3"/>
  <c r="N124" i="3" s="1"/>
  <c r="E125" i="3"/>
  <c r="E126" i="3"/>
  <c r="N126" i="3" s="1"/>
  <c r="E127" i="3"/>
  <c r="N127" i="3" s="1"/>
  <c r="E128" i="3"/>
  <c r="N128" i="3" s="1"/>
  <c r="E129" i="3"/>
  <c r="N129" i="3" s="1"/>
  <c r="E130" i="3"/>
  <c r="N130" i="3" s="1"/>
  <c r="E131" i="3"/>
  <c r="E132" i="3"/>
  <c r="N132" i="3" s="1"/>
  <c r="E133" i="3"/>
  <c r="E134" i="3"/>
  <c r="N134" i="3" s="1"/>
  <c r="E135" i="3"/>
  <c r="N135" i="3" s="1"/>
  <c r="E136" i="3"/>
  <c r="E137" i="3"/>
  <c r="N137" i="3" s="1"/>
  <c r="E138" i="3"/>
  <c r="N138" i="3" s="1"/>
  <c r="E139" i="3"/>
  <c r="E140" i="3"/>
  <c r="N140" i="3" s="1"/>
  <c r="E141" i="3"/>
  <c r="E142" i="3"/>
  <c r="N142" i="3" s="1"/>
  <c r="E143" i="3"/>
  <c r="N143" i="3" s="1"/>
  <c r="E144" i="3"/>
  <c r="E145" i="3"/>
  <c r="N145" i="3" s="1"/>
  <c r="E146" i="3"/>
  <c r="N146" i="3" s="1"/>
  <c r="E147" i="3"/>
  <c r="E148" i="3"/>
  <c r="N148" i="3" s="1"/>
  <c r="E149" i="3"/>
  <c r="E150" i="3"/>
  <c r="N150" i="3" s="1"/>
  <c r="E151" i="3"/>
  <c r="N151" i="3" s="1"/>
  <c r="E152" i="3"/>
  <c r="E153" i="3"/>
  <c r="N153" i="3" s="1"/>
  <c r="E154" i="3"/>
  <c r="N154" i="3" s="1"/>
  <c r="E155" i="3"/>
  <c r="E156" i="3"/>
  <c r="N156" i="3" s="1"/>
  <c r="E157" i="3"/>
  <c r="E158" i="3"/>
  <c r="N158" i="3" s="1"/>
  <c r="E159" i="3"/>
  <c r="N159" i="3" s="1"/>
  <c r="E160" i="3"/>
  <c r="N160" i="3" s="1"/>
  <c r="E161" i="3"/>
  <c r="N161" i="3" s="1"/>
  <c r="E162" i="3"/>
  <c r="N162" i="3" s="1"/>
  <c r="E163" i="3"/>
  <c r="E164" i="3"/>
  <c r="N164" i="3" s="1"/>
  <c r="E165" i="3"/>
  <c r="E166" i="3"/>
  <c r="E167" i="3"/>
  <c r="N167" i="3" s="1"/>
  <c r="E168" i="3"/>
  <c r="E169" i="3"/>
  <c r="N169" i="3" s="1"/>
  <c r="E170" i="3"/>
  <c r="N170" i="3" s="1"/>
  <c r="E171" i="3"/>
  <c r="E172" i="3"/>
  <c r="N172" i="3" s="1"/>
  <c r="E173" i="3"/>
  <c r="E174" i="3"/>
  <c r="E175" i="3"/>
  <c r="N175" i="3" s="1"/>
  <c r="E176" i="3"/>
  <c r="E177" i="3"/>
  <c r="N177" i="3" s="1"/>
  <c r="E178" i="3"/>
  <c r="N178" i="3" s="1"/>
  <c r="E179" i="3"/>
  <c r="E180" i="3"/>
  <c r="N180" i="3" s="1"/>
  <c r="E181" i="3"/>
  <c r="E182" i="3"/>
  <c r="E183" i="3"/>
  <c r="N183" i="3" s="1"/>
  <c r="E184" i="3"/>
  <c r="E185" i="3"/>
  <c r="N185" i="3" s="1"/>
  <c r="E186" i="3"/>
  <c r="N186" i="3" s="1"/>
  <c r="E187" i="3"/>
  <c r="E188" i="3"/>
  <c r="N188" i="3" s="1"/>
  <c r="E189" i="3"/>
  <c r="E190" i="3"/>
  <c r="E191" i="3"/>
  <c r="N191" i="3" s="1"/>
  <c r="E192" i="3"/>
  <c r="N192" i="3" s="1"/>
  <c r="E193" i="3"/>
  <c r="N193" i="3" s="1"/>
  <c r="E194" i="3"/>
  <c r="N194" i="3" s="1"/>
  <c r="E195" i="3"/>
  <c r="E196" i="3"/>
  <c r="N196" i="3" s="1"/>
  <c r="E197" i="3"/>
  <c r="E198" i="3"/>
  <c r="E199" i="3"/>
  <c r="N199" i="3" s="1"/>
  <c r="E200" i="3"/>
  <c r="E201" i="3"/>
  <c r="N201" i="3" s="1"/>
  <c r="E202" i="3"/>
  <c r="N202" i="3" s="1"/>
  <c r="E203" i="3"/>
  <c r="E204" i="3"/>
  <c r="N204" i="3" s="1"/>
  <c r="E205" i="3"/>
  <c r="E206" i="3"/>
  <c r="E207" i="3"/>
  <c r="N207" i="3" s="1"/>
  <c r="E208" i="3"/>
  <c r="E209" i="3"/>
  <c r="N209" i="3" s="1"/>
  <c r="E210" i="3"/>
  <c r="N210" i="3" s="1"/>
  <c r="E211" i="3"/>
  <c r="E212" i="3"/>
  <c r="N212" i="3" s="1"/>
  <c r="E213" i="3"/>
  <c r="E214" i="3"/>
  <c r="E215" i="3"/>
  <c r="N215" i="3" s="1"/>
  <c r="E216" i="3"/>
  <c r="E217" i="3"/>
  <c r="N217" i="3" s="1"/>
  <c r="E218" i="3"/>
  <c r="N218" i="3" s="1"/>
  <c r="E219" i="3"/>
  <c r="E220" i="3"/>
  <c r="N220" i="3" s="1"/>
  <c r="E221" i="3"/>
  <c r="E222" i="3"/>
  <c r="E223" i="3"/>
  <c r="N223" i="3" s="1"/>
  <c r="E224" i="3"/>
  <c r="N224" i="3" s="1"/>
  <c r="E225" i="3"/>
  <c r="N225" i="3" s="1"/>
  <c r="E226" i="3"/>
  <c r="N226" i="3" s="1"/>
  <c r="E227" i="3"/>
  <c r="E228" i="3"/>
  <c r="N228" i="3" s="1"/>
  <c r="E229" i="3"/>
  <c r="E230" i="3"/>
  <c r="E231" i="3"/>
  <c r="N231" i="3" s="1"/>
  <c r="E232" i="3"/>
  <c r="E233" i="3"/>
  <c r="N233" i="3" s="1"/>
  <c r="E234" i="3"/>
  <c r="N234" i="3" s="1"/>
  <c r="E235" i="3"/>
  <c r="E236" i="3"/>
  <c r="N236" i="3" s="1"/>
  <c r="E237" i="3"/>
  <c r="E238" i="3"/>
  <c r="E239" i="3"/>
  <c r="N239" i="3" s="1"/>
  <c r="E240" i="3"/>
  <c r="E241" i="3"/>
  <c r="N241" i="3" s="1"/>
  <c r="E242" i="3"/>
  <c r="N242" i="3" s="1"/>
  <c r="E243" i="3"/>
  <c r="E244" i="3"/>
  <c r="N244" i="3" s="1"/>
  <c r="E245" i="3"/>
  <c r="E246" i="3"/>
  <c r="E247" i="3"/>
  <c r="N247" i="3" s="1"/>
  <c r="E248" i="3"/>
  <c r="E249" i="3"/>
  <c r="N249" i="3" s="1"/>
  <c r="E250" i="3"/>
  <c r="N250" i="3" s="1"/>
  <c r="E251" i="3"/>
  <c r="E252" i="3"/>
  <c r="N252" i="3" s="1"/>
  <c r="E253" i="3"/>
  <c r="E254" i="3"/>
  <c r="O109" i="3" l="1"/>
  <c r="O101" i="3"/>
  <c r="O93" i="3"/>
  <c r="O188" i="3"/>
  <c r="O180" i="3"/>
  <c r="O172" i="3"/>
  <c r="O84" i="3"/>
  <c r="O76" i="3"/>
  <c r="O68" i="3"/>
  <c r="O60" i="3"/>
  <c r="O52" i="3"/>
  <c r="O44" i="3"/>
  <c r="O36" i="3"/>
  <c r="O28" i="3"/>
  <c r="O43" i="3"/>
  <c r="O19" i="3"/>
  <c r="N14" i="3"/>
  <c r="N6" i="3"/>
  <c r="O249" i="3"/>
  <c r="N245" i="3"/>
  <c r="N237" i="3"/>
  <c r="N229" i="3"/>
  <c r="N221" i="3"/>
  <c r="N213" i="3"/>
  <c r="N205" i="3"/>
  <c r="N197" i="3"/>
  <c r="N189" i="3"/>
  <c r="N181" i="3"/>
  <c r="N173" i="3"/>
  <c r="N165" i="3"/>
  <c r="N157" i="3"/>
  <c r="N149" i="3"/>
  <c r="N141" i="3"/>
  <c r="N133" i="3"/>
  <c r="N125" i="3"/>
  <c r="N117" i="3"/>
  <c r="N109" i="3"/>
  <c r="N101" i="3"/>
  <c r="N93" i="3"/>
  <c r="N85" i="3"/>
  <c r="N77" i="3"/>
  <c r="N69" i="3"/>
  <c r="N61" i="3"/>
  <c r="N53" i="3"/>
  <c r="N45" i="3"/>
  <c r="N37" i="3"/>
  <c r="N29" i="3"/>
  <c r="N21" i="3"/>
  <c r="N13" i="3"/>
  <c r="N5" i="3"/>
  <c r="P5" i="3" s="1"/>
  <c r="O248" i="3"/>
  <c r="O240" i="3"/>
  <c r="O232" i="3"/>
  <c r="O224" i="3"/>
  <c r="O216" i="3"/>
  <c r="O208" i="3"/>
  <c r="O200" i="3"/>
  <c r="O192" i="3"/>
  <c r="O184" i="3"/>
  <c r="O176" i="3"/>
  <c r="O168" i="3"/>
  <c r="O160" i="3"/>
  <c r="O152" i="3"/>
  <c r="O144" i="3"/>
  <c r="O136" i="3"/>
  <c r="O128" i="3"/>
  <c r="O120" i="3"/>
  <c r="O112" i="3"/>
  <c r="O104" i="3"/>
  <c r="O96" i="3"/>
  <c r="O88" i="3"/>
  <c r="O80" i="3"/>
  <c r="O72" i="3"/>
  <c r="O64" i="3"/>
  <c r="O56" i="3"/>
  <c r="O48" i="3"/>
  <c r="O40" i="3"/>
  <c r="O32" i="3"/>
  <c r="O24" i="3"/>
  <c r="O16" i="3"/>
  <c r="O8" i="3"/>
  <c r="N243" i="3"/>
  <c r="N235" i="3"/>
  <c r="N227" i="3"/>
  <c r="N219" i="3"/>
  <c r="N211" i="3"/>
  <c r="N203" i="3"/>
  <c r="N195" i="3"/>
  <c r="N187" i="3"/>
  <c r="N179" i="3"/>
  <c r="N171" i="3"/>
  <c r="N163" i="3"/>
  <c r="N155" i="3"/>
  <c r="N147" i="3"/>
  <c r="N139" i="3"/>
  <c r="N131" i="3"/>
  <c r="N123" i="3"/>
  <c r="N115" i="3"/>
  <c r="N107" i="3"/>
  <c r="N99" i="3"/>
  <c r="N91" i="3"/>
  <c r="N83" i="3"/>
  <c r="N75" i="3"/>
  <c r="N67" i="3"/>
  <c r="N59" i="3"/>
  <c r="N51" i="3"/>
  <c r="N43" i="3"/>
  <c r="N35" i="3"/>
  <c r="N27" i="3"/>
  <c r="N19" i="3"/>
  <c r="N11" i="3"/>
  <c r="O254" i="3"/>
  <c r="O85" i="3"/>
  <c r="O86" i="3"/>
  <c r="O77" i="3"/>
  <c r="O78" i="3"/>
  <c r="O69" i="3"/>
  <c r="O70" i="3"/>
  <c r="O61" i="3"/>
  <c r="O62" i="3"/>
  <c r="O53" i="3"/>
  <c r="O54" i="3"/>
  <c r="O45" i="3"/>
  <c r="O46" i="3"/>
  <c r="O37" i="3"/>
  <c r="O38" i="3"/>
  <c r="O29" i="3"/>
  <c r="O30" i="3"/>
  <c r="O21" i="3"/>
  <c r="O22" i="3"/>
  <c r="O13" i="3"/>
  <c r="O14" i="3"/>
  <c r="O5" i="3"/>
  <c r="O6" i="3"/>
  <c r="O251" i="3"/>
  <c r="O243" i="3"/>
  <c r="O235" i="3"/>
  <c r="O227" i="3"/>
  <c r="O219" i="3"/>
  <c r="O211" i="3"/>
  <c r="O203" i="3"/>
  <c r="O195" i="3"/>
  <c r="O187" i="3"/>
  <c r="O179" i="3"/>
  <c r="O171" i="3"/>
  <c r="O163" i="3"/>
  <c r="O155" i="3"/>
  <c r="O147" i="3"/>
  <c r="O139" i="3"/>
  <c r="O131" i="3"/>
  <c r="O123" i="3"/>
  <c r="O115" i="3"/>
  <c r="O107" i="3"/>
  <c r="O99" i="3"/>
  <c r="O91" i="3"/>
  <c r="O83" i="3"/>
  <c r="O75" i="3"/>
  <c r="O238" i="3"/>
  <c r="O222" i="3"/>
  <c r="O206" i="3"/>
  <c r="O190" i="3"/>
  <c r="O174" i="3"/>
  <c r="O158" i="3"/>
  <c r="O142" i="3"/>
  <c r="O126" i="3"/>
  <c r="O110" i="3"/>
  <c r="N95" i="3"/>
  <c r="N96" i="3"/>
  <c r="N79" i="3"/>
  <c r="N80" i="3"/>
  <c r="N71" i="3"/>
  <c r="N72" i="3"/>
  <c r="N63" i="3"/>
  <c r="N64" i="3"/>
  <c r="N55" i="3"/>
  <c r="N56" i="3"/>
  <c r="N47" i="3"/>
  <c r="N48" i="3"/>
  <c r="N31" i="3"/>
  <c r="N32" i="3"/>
  <c r="N23" i="3"/>
  <c r="N24" i="3"/>
  <c r="N15" i="3"/>
  <c r="N16" i="3"/>
  <c r="N7" i="3"/>
  <c r="N8" i="3"/>
  <c r="N88" i="3"/>
  <c r="N39" i="3"/>
  <c r="N40" i="3"/>
  <c r="N246" i="3"/>
  <c r="N238" i="3"/>
  <c r="N230" i="3"/>
  <c r="N222" i="3"/>
  <c r="N214" i="3"/>
  <c r="N206" i="3"/>
  <c r="N198" i="3"/>
  <c r="N190" i="3"/>
  <c r="N182" i="3"/>
  <c r="N174" i="3"/>
  <c r="N166" i="3"/>
  <c r="N251" i="3"/>
  <c r="N253" i="3"/>
  <c r="N254" i="3"/>
  <c r="N248" i="3"/>
  <c r="N232" i="3"/>
  <c r="N216" i="3"/>
  <c r="N200" i="3"/>
  <c r="N184" i="3"/>
  <c r="N168" i="3"/>
  <c r="N152" i="3"/>
  <c r="N136" i="3"/>
  <c r="N120" i="3"/>
  <c r="N104" i="3"/>
  <c r="O241" i="3"/>
  <c r="O233" i="3"/>
  <c r="O225" i="3"/>
  <c r="O217" i="3"/>
  <c r="O209" i="3"/>
  <c r="O201" i="3"/>
  <c r="O193" i="3"/>
  <c r="O185" i="3"/>
  <c r="O177" i="3"/>
  <c r="O169" i="3"/>
  <c r="O153" i="3"/>
  <c r="O145" i="3"/>
  <c r="O137" i="3"/>
  <c r="O129" i="3"/>
  <c r="O121" i="3"/>
  <c r="O113" i="3"/>
  <c r="O105" i="3"/>
  <c r="O97" i="3"/>
  <c r="O89" i="3"/>
  <c r="O81" i="3"/>
  <c r="O73" i="3"/>
  <c r="O65" i="3"/>
  <c r="O57" i="3"/>
  <c r="O49" i="3"/>
  <c r="O41" i="3"/>
  <c r="O33" i="3"/>
  <c r="O25" i="3"/>
  <c r="O17" i="3"/>
  <c r="O9" i="3"/>
  <c r="O161" i="3"/>
</calcChain>
</file>

<file path=xl/sharedStrings.xml><?xml version="1.0" encoding="utf-8"?>
<sst xmlns="http://schemas.openxmlformats.org/spreadsheetml/2006/main" count="42" uniqueCount="19">
  <si>
    <t>Date</t>
  </si>
  <si>
    <t>Bid</t>
  </si>
  <si>
    <t>Ask</t>
  </si>
  <si>
    <t>CVol</t>
  </si>
  <si>
    <t>ORO</t>
  </si>
  <si>
    <t>PLATA</t>
  </si>
  <si>
    <t>MID</t>
  </si>
  <si>
    <t>desk</t>
  </si>
  <si>
    <t>Titulos</t>
  </si>
  <si>
    <t>Size</t>
  </si>
  <si>
    <t>Monto</t>
  </si>
  <si>
    <t>Spread</t>
  </si>
  <si>
    <t>%</t>
  </si>
  <si>
    <t>VaR 97.5%</t>
  </si>
  <si>
    <t>mu</t>
  </si>
  <si>
    <t>sigma</t>
  </si>
  <si>
    <t>z</t>
  </si>
  <si>
    <t>cl</t>
  </si>
  <si>
    <t>L-VaR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</si>
</sst>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mm/dd/yy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4" fontId="0" fillId="0" borderId="0" xfId="0" applyNumberFormat="1"/>
    <xf numFmtId="44" fontId="0" fillId="0" borderId="0" xfId="1" applyFont="1"/>
    <xf numFmtId="44" fontId="0" fillId="0" borderId="0" xfId="0" applyNumberFormat="1"/>
    <xf numFmtId="10" fontId="0" fillId="0" borderId="0" xfId="2" applyNumberFormat="1" applyFont="1"/>
    <xf numFmtId="0" fontId="0" fillId="5" borderId="0" xfId="0" applyFill="1"/>
    <xf numFmtId="0" fontId="0" fillId="0" borderId="0" xfId="0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D5D9-EF4C-4BE7-94C3-7E30BFF918C2}">
  <dimension ref="A1:D253"/>
  <sheetViews>
    <sheetView workbookViewId="0">
      <selection activeCell="F9" sqref="F9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45715</v>
      </c>
      <c r="B2" s="3">
        <v>31.855</v>
      </c>
      <c r="C2" s="3">
        <v>31.864999999999998</v>
      </c>
      <c r="D2" s="4">
        <v>62250</v>
      </c>
    </row>
    <row r="3" spans="1:4" x14ac:dyDescent="0.25">
      <c r="A3" s="5">
        <v>45716</v>
      </c>
      <c r="B3" s="6">
        <v>31.69</v>
      </c>
      <c r="C3" s="6">
        <v>31.7</v>
      </c>
      <c r="D3" s="7">
        <v>53715</v>
      </c>
    </row>
    <row r="4" spans="1:4" x14ac:dyDescent="0.25">
      <c r="A4" s="2">
        <v>45719</v>
      </c>
      <c r="B4" s="3">
        <v>32.265000000000001</v>
      </c>
      <c r="C4" s="3">
        <v>32.270000000000003</v>
      </c>
      <c r="D4" s="4">
        <v>60853</v>
      </c>
    </row>
    <row r="5" spans="1:4" x14ac:dyDescent="0.25">
      <c r="A5" s="5">
        <v>45720</v>
      </c>
      <c r="B5" s="6">
        <v>32.564999999999998</v>
      </c>
      <c r="C5" s="6">
        <v>32.575000000000003</v>
      </c>
      <c r="D5" s="7">
        <v>49980</v>
      </c>
    </row>
    <row r="6" spans="1:4" x14ac:dyDescent="0.25">
      <c r="A6" s="2">
        <v>45721</v>
      </c>
      <c r="B6" s="3">
        <v>33.229999999999997</v>
      </c>
      <c r="C6" s="3">
        <v>33.24</v>
      </c>
      <c r="D6" s="4">
        <v>63190</v>
      </c>
    </row>
    <row r="7" spans="1:4" x14ac:dyDescent="0.25">
      <c r="A7" s="5">
        <v>45722</v>
      </c>
      <c r="B7" s="6">
        <v>33.204999999999998</v>
      </c>
      <c r="C7" s="6">
        <v>33.215000000000003</v>
      </c>
      <c r="D7" s="7">
        <v>50335</v>
      </c>
    </row>
    <row r="8" spans="1:4" x14ac:dyDescent="0.25">
      <c r="A8" s="2">
        <v>45723</v>
      </c>
      <c r="B8" s="3">
        <v>32.909999999999997</v>
      </c>
      <c r="C8" s="3">
        <v>32.92</v>
      </c>
      <c r="D8" s="4">
        <v>57939</v>
      </c>
    </row>
    <row r="9" spans="1:4" x14ac:dyDescent="0.25">
      <c r="A9" s="5">
        <v>45726</v>
      </c>
      <c r="B9" s="6">
        <v>32.454999999999998</v>
      </c>
      <c r="C9" s="6">
        <v>32.465000000000003</v>
      </c>
      <c r="D9" s="7">
        <v>50093</v>
      </c>
    </row>
    <row r="10" spans="1:4" x14ac:dyDescent="0.25">
      <c r="A10" s="2">
        <v>45727</v>
      </c>
      <c r="B10" s="3">
        <v>33.369999999999997</v>
      </c>
      <c r="C10" s="3">
        <v>33.380000000000003</v>
      </c>
      <c r="D10" s="4">
        <v>56801</v>
      </c>
    </row>
    <row r="11" spans="1:4" x14ac:dyDescent="0.25">
      <c r="A11" s="5">
        <v>45728</v>
      </c>
      <c r="B11" s="6">
        <v>33.729999999999997</v>
      </c>
      <c r="C11" s="6">
        <v>33.74</v>
      </c>
      <c r="D11" s="7">
        <v>55659</v>
      </c>
    </row>
    <row r="12" spans="1:4" x14ac:dyDescent="0.25">
      <c r="A12" s="2">
        <v>45729</v>
      </c>
      <c r="B12" s="3">
        <v>34.484999999999999</v>
      </c>
      <c r="C12" s="3">
        <v>34.494999999999997</v>
      </c>
      <c r="D12" s="4">
        <v>72649</v>
      </c>
    </row>
    <row r="13" spans="1:4" x14ac:dyDescent="0.25">
      <c r="A13" s="5">
        <v>45730</v>
      </c>
      <c r="B13" s="6">
        <v>34.35</v>
      </c>
      <c r="C13" s="6">
        <v>34.365000000000002</v>
      </c>
      <c r="D13" s="7">
        <v>58183</v>
      </c>
    </row>
    <row r="14" spans="1:4" x14ac:dyDescent="0.25">
      <c r="A14" s="2">
        <v>45733</v>
      </c>
      <c r="B14" s="3">
        <v>34.4</v>
      </c>
      <c r="C14" s="3">
        <v>34.409999999999997</v>
      </c>
      <c r="D14" s="4">
        <v>44484</v>
      </c>
    </row>
    <row r="15" spans="1:4" x14ac:dyDescent="0.25">
      <c r="A15" s="5">
        <v>45734</v>
      </c>
      <c r="B15" s="6">
        <v>34.645000000000003</v>
      </c>
      <c r="C15" s="6">
        <v>34.655000000000001</v>
      </c>
      <c r="D15" s="7">
        <v>55437</v>
      </c>
    </row>
    <row r="16" spans="1:4" x14ac:dyDescent="0.25">
      <c r="A16" s="2">
        <v>45735</v>
      </c>
      <c r="B16" s="3">
        <v>34.424999999999997</v>
      </c>
      <c r="C16" s="3">
        <v>34.43</v>
      </c>
      <c r="D16" s="4">
        <v>49540</v>
      </c>
    </row>
    <row r="17" spans="1:4" x14ac:dyDescent="0.25">
      <c r="A17" s="5">
        <v>45736</v>
      </c>
      <c r="B17" s="6">
        <v>34.11</v>
      </c>
      <c r="C17" s="6">
        <v>34.119999999999997</v>
      </c>
      <c r="D17" s="7">
        <v>48782</v>
      </c>
    </row>
    <row r="18" spans="1:4" x14ac:dyDescent="0.25">
      <c r="A18" s="2">
        <v>45737</v>
      </c>
      <c r="B18" s="3">
        <v>33.524999999999999</v>
      </c>
      <c r="C18" s="3">
        <v>33.534999999999997</v>
      </c>
      <c r="D18" s="4">
        <v>52649</v>
      </c>
    </row>
    <row r="19" spans="1:4" x14ac:dyDescent="0.25">
      <c r="A19" s="5">
        <v>45740</v>
      </c>
      <c r="B19" s="6">
        <v>33.524999999999999</v>
      </c>
      <c r="C19" s="6">
        <v>33.53</v>
      </c>
      <c r="D19" s="7">
        <v>31732</v>
      </c>
    </row>
    <row r="20" spans="1:4" x14ac:dyDescent="0.25">
      <c r="A20" s="2">
        <v>45741</v>
      </c>
      <c r="B20" s="3">
        <v>34.25</v>
      </c>
      <c r="C20" s="3">
        <v>34.255000000000003</v>
      </c>
      <c r="D20" s="4">
        <v>45747</v>
      </c>
    </row>
    <row r="21" spans="1:4" x14ac:dyDescent="0.25">
      <c r="A21" s="5">
        <v>45742</v>
      </c>
      <c r="B21" s="6">
        <v>34.200000000000003</v>
      </c>
      <c r="C21" s="6">
        <v>34.21</v>
      </c>
      <c r="D21" s="7">
        <v>42642</v>
      </c>
    </row>
    <row r="22" spans="1:4" x14ac:dyDescent="0.25">
      <c r="A22" s="2">
        <v>45743</v>
      </c>
      <c r="B22" s="3">
        <v>35.314999999999998</v>
      </c>
      <c r="C22" s="3">
        <v>35.325000000000003</v>
      </c>
      <c r="D22" s="4">
        <v>77024</v>
      </c>
    </row>
    <row r="23" spans="1:4" x14ac:dyDescent="0.25">
      <c r="A23" s="5">
        <v>45744</v>
      </c>
      <c r="B23" s="6">
        <v>34.814999999999998</v>
      </c>
      <c r="C23" s="6">
        <v>34.825000000000003</v>
      </c>
      <c r="D23" s="7">
        <v>67031</v>
      </c>
    </row>
    <row r="24" spans="1:4" x14ac:dyDescent="0.25">
      <c r="A24" s="2">
        <v>45747</v>
      </c>
      <c r="B24" s="3">
        <v>34.76</v>
      </c>
      <c r="C24" s="3">
        <v>34.770000000000003</v>
      </c>
      <c r="D24" s="4">
        <v>65330</v>
      </c>
    </row>
    <row r="25" spans="1:4" x14ac:dyDescent="0.25">
      <c r="A25" s="5">
        <v>45748</v>
      </c>
      <c r="B25" s="6">
        <v>34.365000000000002</v>
      </c>
      <c r="C25" s="6">
        <v>34.375</v>
      </c>
      <c r="D25" s="7">
        <v>53260</v>
      </c>
    </row>
    <row r="26" spans="1:4" x14ac:dyDescent="0.25">
      <c r="A26" s="2">
        <v>45749</v>
      </c>
      <c r="B26" s="3">
        <v>34.9</v>
      </c>
      <c r="C26" s="3">
        <v>35</v>
      </c>
      <c r="D26" s="4">
        <v>60627</v>
      </c>
    </row>
    <row r="27" spans="1:4" x14ac:dyDescent="0.25">
      <c r="A27" s="5">
        <v>45750</v>
      </c>
      <c r="B27" s="6">
        <v>31.92</v>
      </c>
      <c r="C27" s="6">
        <v>31.93</v>
      </c>
      <c r="D27" s="7">
        <v>146447</v>
      </c>
    </row>
    <row r="28" spans="1:4" x14ac:dyDescent="0.25">
      <c r="A28" s="2">
        <v>45751</v>
      </c>
      <c r="B28" s="3">
        <v>29.51</v>
      </c>
      <c r="C28" s="3">
        <v>29.53</v>
      </c>
      <c r="D28" s="4">
        <v>122155</v>
      </c>
    </row>
    <row r="29" spans="1:4" x14ac:dyDescent="0.25">
      <c r="A29" s="5">
        <v>45754</v>
      </c>
      <c r="B29" s="6">
        <v>30.065000000000001</v>
      </c>
      <c r="C29" s="6">
        <v>30.094999999999999</v>
      </c>
      <c r="D29" s="7">
        <v>134449</v>
      </c>
    </row>
    <row r="30" spans="1:4" x14ac:dyDescent="0.25">
      <c r="A30" s="2">
        <v>45755</v>
      </c>
      <c r="B30" s="3">
        <v>29.75</v>
      </c>
      <c r="C30" s="3">
        <v>29.76</v>
      </c>
      <c r="D30" s="4">
        <v>71906</v>
      </c>
    </row>
    <row r="31" spans="1:4" x14ac:dyDescent="0.25">
      <c r="A31" s="5">
        <v>45756</v>
      </c>
      <c r="B31" s="6">
        <v>30.954999999999998</v>
      </c>
      <c r="C31" s="6">
        <v>30.97</v>
      </c>
      <c r="D31" s="7">
        <v>93412</v>
      </c>
    </row>
    <row r="32" spans="1:4" x14ac:dyDescent="0.25">
      <c r="A32" s="2">
        <v>45757</v>
      </c>
      <c r="B32" s="3">
        <v>31.105</v>
      </c>
      <c r="C32" s="3">
        <v>31.125</v>
      </c>
      <c r="D32" s="4">
        <v>77126</v>
      </c>
    </row>
    <row r="33" spans="1:4" x14ac:dyDescent="0.25">
      <c r="A33" s="5">
        <v>45758</v>
      </c>
      <c r="B33" s="6">
        <v>32.185000000000002</v>
      </c>
      <c r="C33" s="6">
        <v>32.195</v>
      </c>
      <c r="D33" s="7">
        <v>89276</v>
      </c>
    </row>
    <row r="34" spans="1:4" x14ac:dyDescent="0.25">
      <c r="A34" s="2">
        <v>45761</v>
      </c>
      <c r="B34" s="3">
        <v>32.26</v>
      </c>
      <c r="C34" s="3">
        <v>32.274999999999999</v>
      </c>
      <c r="D34" s="4">
        <v>60119</v>
      </c>
    </row>
    <row r="35" spans="1:4" x14ac:dyDescent="0.25">
      <c r="A35" s="5">
        <v>45762</v>
      </c>
      <c r="B35" s="6">
        <v>32.305</v>
      </c>
      <c r="C35" s="6">
        <v>32.32</v>
      </c>
      <c r="D35" s="7">
        <v>37894</v>
      </c>
    </row>
    <row r="36" spans="1:4" x14ac:dyDescent="0.25">
      <c r="A36" s="2">
        <v>45763</v>
      </c>
      <c r="B36" s="3">
        <v>32.75</v>
      </c>
      <c r="C36" s="3">
        <v>32.770000000000003</v>
      </c>
      <c r="D36" s="4">
        <v>61903</v>
      </c>
    </row>
    <row r="37" spans="1:4" x14ac:dyDescent="0.25">
      <c r="A37" s="5">
        <v>45764</v>
      </c>
      <c r="B37" s="6">
        <v>32.53</v>
      </c>
      <c r="C37" s="6">
        <v>32.615000000000002</v>
      </c>
      <c r="D37" s="7">
        <v>49587</v>
      </c>
    </row>
    <row r="38" spans="1:4" x14ac:dyDescent="0.25">
      <c r="A38" s="2">
        <v>45768</v>
      </c>
      <c r="B38" s="3">
        <v>32.625</v>
      </c>
      <c r="C38" s="3">
        <v>32.645000000000003</v>
      </c>
      <c r="D38" s="4">
        <v>49362</v>
      </c>
    </row>
    <row r="39" spans="1:4" x14ac:dyDescent="0.25">
      <c r="A39" s="5">
        <v>45769</v>
      </c>
      <c r="B39" s="6">
        <v>32.479999999999997</v>
      </c>
      <c r="C39" s="6">
        <v>32.5</v>
      </c>
      <c r="D39" s="7">
        <v>89939</v>
      </c>
    </row>
    <row r="40" spans="1:4" x14ac:dyDescent="0.25">
      <c r="A40" s="2">
        <v>45770</v>
      </c>
      <c r="B40" s="3">
        <v>33.549999999999997</v>
      </c>
      <c r="C40" s="3">
        <v>33.57</v>
      </c>
      <c r="D40" s="4">
        <v>86230</v>
      </c>
    </row>
    <row r="41" spans="1:4" x14ac:dyDescent="0.25">
      <c r="A41" s="5">
        <v>45771</v>
      </c>
      <c r="B41" s="6">
        <v>33.545000000000002</v>
      </c>
      <c r="C41" s="6">
        <v>33.555</v>
      </c>
      <c r="D41" s="7">
        <v>52518</v>
      </c>
    </row>
    <row r="42" spans="1:4" x14ac:dyDescent="0.25">
      <c r="A42" s="2">
        <v>45772</v>
      </c>
      <c r="B42" s="3">
        <v>33.01</v>
      </c>
      <c r="C42" s="3">
        <v>33.03</v>
      </c>
      <c r="D42" s="4">
        <v>52122</v>
      </c>
    </row>
    <row r="43" spans="1:4" x14ac:dyDescent="0.25">
      <c r="A43" s="5">
        <v>45775</v>
      </c>
      <c r="B43" s="6">
        <v>33.094999999999999</v>
      </c>
      <c r="C43" s="6">
        <v>33.1</v>
      </c>
      <c r="D43" s="7">
        <v>38136</v>
      </c>
    </row>
    <row r="44" spans="1:4" x14ac:dyDescent="0.25">
      <c r="A44" s="2">
        <v>45776</v>
      </c>
      <c r="B44" s="3">
        <v>33.204999999999998</v>
      </c>
      <c r="C44" s="3">
        <v>33.225000000000001</v>
      </c>
      <c r="D44" s="4">
        <v>51708</v>
      </c>
    </row>
    <row r="45" spans="1:4" x14ac:dyDescent="0.25">
      <c r="A45" s="5">
        <v>45777</v>
      </c>
      <c r="B45" s="6">
        <v>32.81</v>
      </c>
      <c r="C45" s="6">
        <v>32.83</v>
      </c>
      <c r="D45" s="7">
        <v>50177</v>
      </c>
    </row>
    <row r="46" spans="1:4" x14ac:dyDescent="0.25">
      <c r="A46" s="2">
        <v>45778</v>
      </c>
      <c r="B46" s="3">
        <v>32.64</v>
      </c>
      <c r="C46" s="3">
        <v>32.655000000000001</v>
      </c>
      <c r="D46" s="4">
        <v>41746</v>
      </c>
    </row>
    <row r="47" spans="1:4" x14ac:dyDescent="0.25">
      <c r="A47" s="5">
        <v>45779</v>
      </c>
      <c r="B47" s="6">
        <v>32.174999999999997</v>
      </c>
      <c r="C47" s="6">
        <v>32.19</v>
      </c>
      <c r="D47" s="7">
        <v>38955</v>
      </c>
    </row>
    <row r="48" spans="1:4" x14ac:dyDescent="0.25">
      <c r="A48" s="2">
        <v>45782</v>
      </c>
      <c r="B48" s="3">
        <v>32.664999999999999</v>
      </c>
      <c r="C48" s="3">
        <v>32.685000000000002</v>
      </c>
      <c r="D48" s="4">
        <v>32200</v>
      </c>
    </row>
    <row r="49" spans="1:4" x14ac:dyDescent="0.25">
      <c r="A49" s="5">
        <v>45783</v>
      </c>
      <c r="B49" s="6">
        <v>33.435000000000002</v>
      </c>
      <c r="C49" s="6">
        <v>33.454999999999998</v>
      </c>
      <c r="D49" s="7">
        <v>53799</v>
      </c>
    </row>
    <row r="50" spans="1:4" x14ac:dyDescent="0.25">
      <c r="A50" s="2">
        <v>45784</v>
      </c>
      <c r="B50" s="3">
        <v>32.6</v>
      </c>
      <c r="C50" s="3">
        <v>32.625</v>
      </c>
      <c r="D50" s="4">
        <v>48612</v>
      </c>
    </row>
    <row r="51" spans="1:4" x14ac:dyDescent="0.25">
      <c r="A51" s="5">
        <v>45785</v>
      </c>
      <c r="B51" s="6">
        <v>32.6</v>
      </c>
      <c r="C51" s="6">
        <v>32.619999999999997</v>
      </c>
      <c r="D51" s="7">
        <v>47499</v>
      </c>
    </row>
    <row r="52" spans="1:4" x14ac:dyDescent="0.25">
      <c r="A52" s="2">
        <v>45786</v>
      </c>
      <c r="B52" s="3">
        <v>32.869999999999997</v>
      </c>
      <c r="C52" s="3">
        <v>32.884999999999998</v>
      </c>
      <c r="D52" s="4">
        <v>31573</v>
      </c>
    </row>
    <row r="53" spans="1:4" x14ac:dyDescent="0.25">
      <c r="A53" s="5">
        <v>45789</v>
      </c>
      <c r="B53" s="6">
        <v>32.79</v>
      </c>
      <c r="C53" s="6">
        <v>32.799999999999997</v>
      </c>
      <c r="D53" s="7">
        <v>60607</v>
      </c>
    </row>
    <row r="54" spans="1:4" x14ac:dyDescent="0.25">
      <c r="A54" s="2">
        <v>45790</v>
      </c>
      <c r="B54" s="3">
        <v>33.08</v>
      </c>
      <c r="C54" s="3">
        <v>33.090000000000003</v>
      </c>
      <c r="D54" s="4">
        <v>47526</v>
      </c>
    </row>
    <row r="55" spans="1:4" x14ac:dyDescent="0.25">
      <c r="A55" s="5">
        <v>45791</v>
      </c>
      <c r="B55" s="6">
        <v>32.384999999999998</v>
      </c>
      <c r="C55" s="6">
        <v>32.395000000000003</v>
      </c>
      <c r="D55" s="7">
        <v>46465</v>
      </c>
    </row>
    <row r="56" spans="1:4" x14ac:dyDescent="0.25">
      <c r="A56" s="2">
        <v>45792</v>
      </c>
      <c r="B56" s="3">
        <v>32.784999999999997</v>
      </c>
      <c r="C56" s="3">
        <v>32.799999999999997</v>
      </c>
      <c r="D56" s="4">
        <v>43996</v>
      </c>
    </row>
    <row r="57" spans="1:4" x14ac:dyDescent="0.25">
      <c r="A57" s="5">
        <v>45793</v>
      </c>
      <c r="B57" s="6">
        <v>32.424999999999997</v>
      </c>
      <c r="C57" s="6">
        <v>32.44</v>
      </c>
      <c r="D57" s="7">
        <v>40113</v>
      </c>
    </row>
    <row r="58" spans="1:4" x14ac:dyDescent="0.25">
      <c r="A58" s="2">
        <v>45796</v>
      </c>
      <c r="B58" s="3">
        <v>32.494999999999997</v>
      </c>
      <c r="C58" s="3">
        <v>32.5</v>
      </c>
      <c r="D58" s="4">
        <v>33335</v>
      </c>
    </row>
    <row r="59" spans="1:4" x14ac:dyDescent="0.25">
      <c r="A59" s="5">
        <v>45797</v>
      </c>
      <c r="B59" s="6">
        <v>33.26</v>
      </c>
      <c r="C59" s="6">
        <v>33.265000000000001</v>
      </c>
      <c r="D59" s="7">
        <v>49504</v>
      </c>
    </row>
    <row r="60" spans="1:4" x14ac:dyDescent="0.25">
      <c r="A60" s="2">
        <v>45798</v>
      </c>
      <c r="B60" s="3">
        <v>33.564999999999998</v>
      </c>
      <c r="C60" s="3">
        <v>33.575000000000003</v>
      </c>
      <c r="D60" s="4">
        <v>58295</v>
      </c>
    </row>
    <row r="61" spans="1:4" x14ac:dyDescent="0.25">
      <c r="A61" s="5">
        <v>45799</v>
      </c>
      <c r="B61" s="6">
        <v>33.18</v>
      </c>
      <c r="C61" s="6">
        <v>33.185000000000002</v>
      </c>
      <c r="D61" s="7">
        <v>65592</v>
      </c>
    </row>
    <row r="62" spans="1:4" x14ac:dyDescent="0.25">
      <c r="A62" s="2">
        <v>45800</v>
      </c>
      <c r="B62" s="3">
        <v>33.634999999999998</v>
      </c>
      <c r="C62" s="3">
        <v>33.65</v>
      </c>
      <c r="D62" s="4">
        <v>44845</v>
      </c>
    </row>
    <row r="63" spans="1:4" x14ac:dyDescent="0.25">
      <c r="A63" s="5">
        <v>45804</v>
      </c>
      <c r="B63" s="6">
        <v>33.380000000000003</v>
      </c>
      <c r="C63" s="6">
        <v>33.39</v>
      </c>
      <c r="D63" s="7">
        <v>59619</v>
      </c>
    </row>
    <row r="64" spans="1:4" x14ac:dyDescent="0.25">
      <c r="A64" s="2">
        <v>45805</v>
      </c>
      <c r="B64" s="3">
        <v>33.090000000000003</v>
      </c>
      <c r="C64" s="3">
        <v>33.1</v>
      </c>
      <c r="D64" s="4">
        <v>40578</v>
      </c>
    </row>
    <row r="65" spans="1:4" x14ac:dyDescent="0.25">
      <c r="A65" s="5">
        <v>45806</v>
      </c>
      <c r="B65" s="6">
        <v>33.435000000000002</v>
      </c>
      <c r="C65" s="6">
        <v>33.450000000000003</v>
      </c>
      <c r="D65" s="7">
        <v>49553</v>
      </c>
    </row>
    <row r="66" spans="1:4" x14ac:dyDescent="0.25">
      <c r="A66" s="2">
        <v>45807</v>
      </c>
      <c r="B66" s="3">
        <v>33.064999999999998</v>
      </c>
      <c r="C66" s="3">
        <v>33.075000000000003</v>
      </c>
      <c r="D66" s="4">
        <v>40787</v>
      </c>
    </row>
    <row r="67" spans="1:4" x14ac:dyDescent="0.25">
      <c r="A67" s="5">
        <v>45810</v>
      </c>
      <c r="B67" s="6">
        <v>34.924999999999997</v>
      </c>
      <c r="C67" s="6">
        <v>34.935000000000002</v>
      </c>
      <c r="D67" s="7">
        <v>87052</v>
      </c>
    </row>
    <row r="68" spans="1:4" x14ac:dyDescent="0.25">
      <c r="A68" s="2">
        <v>45811</v>
      </c>
      <c r="B68" s="3">
        <v>34.67</v>
      </c>
      <c r="C68" s="3">
        <v>34.68</v>
      </c>
      <c r="D68" s="4">
        <v>73803</v>
      </c>
    </row>
    <row r="69" spans="1:4" x14ac:dyDescent="0.25">
      <c r="A69" s="5">
        <v>45812</v>
      </c>
      <c r="B69" s="6">
        <v>34.65</v>
      </c>
      <c r="C69" s="6">
        <v>34.659999999999997</v>
      </c>
      <c r="D69" s="7">
        <v>49127</v>
      </c>
    </row>
    <row r="70" spans="1:4" x14ac:dyDescent="0.25">
      <c r="A70" s="2">
        <v>45813</v>
      </c>
      <c r="B70" s="3">
        <v>35.795000000000002</v>
      </c>
      <c r="C70" s="3">
        <v>35.81</v>
      </c>
      <c r="D70" s="4">
        <v>110945</v>
      </c>
    </row>
    <row r="71" spans="1:4" x14ac:dyDescent="0.25">
      <c r="A71" s="5">
        <v>45814</v>
      </c>
      <c r="B71" s="6">
        <v>36.115000000000002</v>
      </c>
      <c r="C71" s="6">
        <v>36.130000000000003</v>
      </c>
      <c r="D71" s="7">
        <v>81652</v>
      </c>
    </row>
    <row r="72" spans="1:4" x14ac:dyDescent="0.25">
      <c r="A72" s="2">
        <v>45817</v>
      </c>
      <c r="B72" s="3">
        <v>36.905000000000001</v>
      </c>
      <c r="C72" s="3">
        <v>36.914999999999999</v>
      </c>
      <c r="D72" s="4">
        <v>75470</v>
      </c>
    </row>
    <row r="73" spans="1:4" x14ac:dyDescent="0.25">
      <c r="A73" s="5">
        <v>45818</v>
      </c>
      <c r="B73" s="6">
        <v>36.65</v>
      </c>
      <c r="C73" s="6">
        <v>36.659999999999997</v>
      </c>
      <c r="D73" s="7">
        <v>61961</v>
      </c>
    </row>
    <row r="74" spans="1:4" x14ac:dyDescent="0.25">
      <c r="A74" s="2">
        <v>45819</v>
      </c>
      <c r="B74" s="3">
        <v>36.36</v>
      </c>
      <c r="C74" s="3">
        <v>36.369999999999997</v>
      </c>
      <c r="D74" s="4">
        <v>73236</v>
      </c>
    </row>
    <row r="75" spans="1:4" x14ac:dyDescent="0.25">
      <c r="A75" s="5">
        <v>45820</v>
      </c>
      <c r="B75" s="6">
        <v>36.405000000000001</v>
      </c>
      <c r="C75" s="6">
        <v>36.414999999999999</v>
      </c>
      <c r="D75" s="7">
        <v>72692</v>
      </c>
    </row>
    <row r="76" spans="1:4" x14ac:dyDescent="0.25">
      <c r="A76" s="2">
        <v>45821</v>
      </c>
      <c r="B76" s="3">
        <v>36.32</v>
      </c>
      <c r="C76" s="3">
        <v>36.450000000000003</v>
      </c>
      <c r="D76" s="4">
        <v>57485</v>
      </c>
    </row>
    <row r="77" spans="1:4" x14ac:dyDescent="0.25">
      <c r="A77" s="5">
        <v>45824</v>
      </c>
      <c r="B77" s="6">
        <v>36.369999999999997</v>
      </c>
      <c r="C77" s="6">
        <v>36.380000000000003</v>
      </c>
      <c r="D77" s="7">
        <v>48581</v>
      </c>
    </row>
    <row r="78" spans="1:4" x14ac:dyDescent="0.25">
      <c r="A78" s="2">
        <v>45825</v>
      </c>
      <c r="B78" s="3">
        <v>37.17</v>
      </c>
      <c r="C78" s="3">
        <v>37.18</v>
      </c>
      <c r="D78" s="4">
        <v>79484</v>
      </c>
    </row>
    <row r="79" spans="1:4" x14ac:dyDescent="0.25">
      <c r="A79" s="5">
        <v>45826</v>
      </c>
      <c r="B79" s="6">
        <v>36.755000000000003</v>
      </c>
      <c r="C79" s="6">
        <v>36.765000000000001</v>
      </c>
      <c r="D79" s="7">
        <v>59121</v>
      </c>
    </row>
    <row r="80" spans="1:4" x14ac:dyDescent="0.25">
      <c r="A80" s="2">
        <v>45828</v>
      </c>
      <c r="B80" s="3">
        <v>35.950000000000003</v>
      </c>
      <c r="C80" s="3">
        <v>35.96</v>
      </c>
      <c r="D80" s="4">
        <v>93528</v>
      </c>
    </row>
    <row r="81" spans="1:4" x14ac:dyDescent="0.25">
      <c r="A81" s="5">
        <v>45831</v>
      </c>
      <c r="B81" s="6">
        <v>36.045000000000002</v>
      </c>
      <c r="C81" s="6">
        <v>36.055</v>
      </c>
      <c r="D81" s="7">
        <v>72840</v>
      </c>
    </row>
    <row r="82" spans="1:4" x14ac:dyDescent="0.25">
      <c r="A82" s="2">
        <v>45832</v>
      </c>
      <c r="B82" s="3">
        <v>35.865000000000002</v>
      </c>
      <c r="C82" s="3">
        <v>35.869999999999997</v>
      </c>
      <c r="D82" s="4">
        <v>76194</v>
      </c>
    </row>
    <row r="83" spans="1:4" x14ac:dyDescent="0.25">
      <c r="A83" s="5">
        <v>45833</v>
      </c>
      <c r="B83" s="6">
        <v>36.21</v>
      </c>
      <c r="C83" s="6">
        <v>36.225000000000001</v>
      </c>
      <c r="D83" s="7">
        <v>47846</v>
      </c>
    </row>
    <row r="84" spans="1:4" x14ac:dyDescent="0.25">
      <c r="A84" s="2">
        <v>45834</v>
      </c>
      <c r="B84" s="3">
        <v>36.534999999999997</v>
      </c>
      <c r="C84" s="3">
        <v>36.770000000000003</v>
      </c>
      <c r="D84" s="4">
        <v>40217</v>
      </c>
    </row>
    <row r="85" spans="1:4" x14ac:dyDescent="0.25">
      <c r="A85" s="5">
        <v>45835</v>
      </c>
      <c r="B85" s="6">
        <v>36.164999999999999</v>
      </c>
      <c r="C85" s="6">
        <v>36.174999999999997</v>
      </c>
      <c r="D85" s="7">
        <v>65468</v>
      </c>
    </row>
    <row r="86" spans="1:4" x14ac:dyDescent="0.25">
      <c r="A86" s="2">
        <v>45838</v>
      </c>
      <c r="B86" s="3">
        <v>36.314999999999998</v>
      </c>
      <c r="C86" s="3">
        <v>36.325000000000003</v>
      </c>
      <c r="D86" s="4">
        <v>42037</v>
      </c>
    </row>
    <row r="87" spans="1:4" x14ac:dyDescent="0.25">
      <c r="A87" s="5">
        <v>45839</v>
      </c>
      <c r="B87" s="6">
        <v>36.24</v>
      </c>
      <c r="C87" s="6">
        <v>36.244999999999997</v>
      </c>
      <c r="D87" s="7">
        <v>52529</v>
      </c>
    </row>
    <row r="88" spans="1:4" x14ac:dyDescent="0.25">
      <c r="A88" s="2">
        <v>45840</v>
      </c>
      <c r="B88" s="3">
        <v>36.784999999999997</v>
      </c>
      <c r="C88" s="3">
        <v>36.795000000000002</v>
      </c>
      <c r="D88" s="4">
        <v>39724</v>
      </c>
    </row>
    <row r="89" spans="1:4" x14ac:dyDescent="0.25">
      <c r="A89" s="5">
        <v>45841</v>
      </c>
      <c r="B89" s="6">
        <v>37.034999999999997</v>
      </c>
      <c r="C89" s="6">
        <v>37.045000000000002</v>
      </c>
      <c r="D89" s="7">
        <v>54497</v>
      </c>
    </row>
    <row r="90" spans="1:4" x14ac:dyDescent="0.25">
      <c r="A90" s="2">
        <v>45845</v>
      </c>
      <c r="B90" s="3">
        <v>36.935000000000002</v>
      </c>
      <c r="C90" s="3">
        <v>36.945</v>
      </c>
      <c r="D90" s="4">
        <v>54382</v>
      </c>
    </row>
    <row r="91" spans="1:4" x14ac:dyDescent="0.25">
      <c r="A91" s="5">
        <v>45846</v>
      </c>
      <c r="B91" s="6">
        <v>36.92</v>
      </c>
      <c r="C91" s="6">
        <v>36.93</v>
      </c>
      <c r="D91" s="7">
        <v>53700</v>
      </c>
    </row>
    <row r="92" spans="1:4" x14ac:dyDescent="0.25">
      <c r="A92" s="2">
        <v>45847</v>
      </c>
      <c r="B92" s="3">
        <v>36.61</v>
      </c>
      <c r="C92" s="3">
        <v>36.615000000000002</v>
      </c>
      <c r="D92" s="4">
        <v>45280</v>
      </c>
    </row>
    <row r="93" spans="1:4" x14ac:dyDescent="0.25">
      <c r="A93" s="5">
        <v>45848</v>
      </c>
      <c r="B93" s="6">
        <v>37.619999999999997</v>
      </c>
      <c r="C93" s="6">
        <v>37.625</v>
      </c>
      <c r="D93" s="7">
        <v>80651</v>
      </c>
    </row>
    <row r="94" spans="1:4" x14ac:dyDescent="0.25">
      <c r="A94" s="2">
        <v>45849</v>
      </c>
      <c r="B94" s="3">
        <v>39.075000000000003</v>
      </c>
      <c r="C94" s="3">
        <v>39.085000000000001</v>
      </c>
      <c r="D94" s="4">
        <v>99830</v>
      </c>
    </row>
    <row r="95" spans="1:4" x14ac:dyDescent="0.25">
      <c r="A95" s="5">
        <v>45852</v>
      </c>
      <c r="B95" s="6">
        <v>38.4</v>
      </c>
      <c r="C95" s="6">
        <v>38.409999999999997</v>
      </c>
      <c r="D95" s="7">
        <v>76196</v>
      </c>
    </row>
    <row r="96" spans="1:4" x14ac:dyDescent="0.25">
      <c r="A96" s="2">
        <v>45853</v>
      </c>
      <c r="B96" s="3">
        <v>37.979999999999997</v>
      </c>
      <c r="C96" s="3">
        <v>37.99</v>
      </c>
      <c r="D96" s="4">
        <v>54559</v>
      </c>
    </row>
    <row r="97" spans="1:4" x14ac:dyDescent="0.25">
      <c r="A97" s="5">
        <v>45854</v>
      </c>
      <c r="B97" s="6">
        <v>38.125</v>
      </c>
      <c r="C97" s="6">
        <v>38.134999999999998</v>
      </c>
      <c r="D97" s="7">
        <v>55710</v>
      </c>
    </row>
    <row r="98" spans="1:4" x14ac:dyDescent="0.25">
      <c r="A98" s="2">
        <v>45855</v>
      </c>
      <c r="B98" s="3">
        <v>38.424999999999997</v>
      </c>
      <c r="C98" s="3">
        <v>38.435000000000002</v>
      </c>
      <c r="D98" s="4">
        <v>44163</v>
      </c>
    </row>
    <row r="99" spans="1:4" x14ac:dyDescent="0.25">
      <c r="A99" s="5">
        <v>45856</v>
      </c>
      <c r="B99" s="6">
        <v>38.414999999999999</v>
      </c>
      <c r="C99" s="6">
        <v>38.424999999999997</v>
      </c>
      <c r="D99" s="7">
        <v>41445</v>
      </c>
    </row>
    <row r="100" spans="1:4" x14ac:dyDescent="0.25">
      <c r="A100" s="2">
        <v>45859</v>
      </c>
      <c r="B100" s="3">
        <v>39.234999999999999</v>
      </c>
      <c r="C100" s="3">
        <v>39.244999999999997</v>
      </c>
      <c r="D100" s="4">
        <v>49858</v>
      </c>
    </row>
    <row r="101" spans="1:4" x14ac:dyDescent="0.25">
      <c r="A101" s="5">
        <v>45860</v>
      </c>
      <c r="B101" s="6">
        <v>39.65</v>
      </c>
      <c r="C101" s="6">
        <v>39.664999999999999</v>
      </c>
      <c r="D101" s="7">
        <v>57469</v>
      </c>
    </row>
    <row r="102" spans="1:4" x14ac:dyDescent="0.25">
      <c r="A102" s="2">
        <v>45861</v>
      </c>
      <c r="B102" s="3">
        <v>39.51</v>
      </c>
      <c r="C102" s="3">
        <v>39.520000000000003</v>
      </c>
      <c r="D102" s="4">
        <v>63665</v>
      </c>
    </row>
    <row r="103" spans="1:4" x14ac:dyDescent="0.25">
      <c r="A103" s="5">
        <v>45862</v>
      </c>
      <c r="B103" s="6">
        <v>39.28</v>
      </c>
      <c r="C103" s="6">
        <v>39.29</v>
      </c>
      <c r="D103" s="7">
        <v>49802</v>
      </c>
    </row>
    <row r="104" spans="1:4" x14ac:dyDescent="0.25">
      <c r="A104" s="2">
        <v>45863</v>
      </c>
      <c r="B104" s="3">
        <v>38.325000000000003</v>
      </c>
      <c r="C104" s="3">
        <v>38.335000000000001</v>
      </c>
      <c r="D104" s="4">
        <v>67280</v>
      </c>
    </row>
    <row r="105" spans="1:4" x14ac:dyDescent="0.25">
      <c r="A105" s="5">
        <v>45866</v>
      </c>
      <c r="B105" s="6">
        <v>38.325000000000003</v>
      </c>
      <c r="C105" s="6">
        <v>38.33</v>
      </c>
      <c r="D105" s="7">
        <v>45779</v>
      </c>
    </row>
    <row r="106" spans="1:4" x14ac:dyDescent="0.25">
      <c r="A106" s="2">
        <v>45867</v>
      </c>
      <c r="B106" s="3">
        <v>38.375</v>
      </c>
      <c r="C106" s="3">
        <v>38.384999999999998</v>
      </c>
      <c r="D106" s="4">
        <v>41625</v>
      </c>
    </row>
    <row r="107" spans="1:4" x14ac:dyDescent="0.25">
      <c r="A107" s="5">
        <v>45868</v>
      </c>
      <c r="B107" s="6">
        <v>37.17</v>
      </c>
      <c r="C107" s="6">
        <v>37.18</v>
      </c>
      <c r="D107" s="7">
        <v>71289</v>
      </c>
    </row>
    <row r="108" spans="1:4" x14ac:dyDescent="0.25">
      <c r="A108" s="2">
        <v>45869</v>
      </c>
      <c r="B108" s="3">
        <v>36.784999999999997</v>
      </c>
      <c r="C108" s="3">
        <v>36.795000000000002</v>
      </c>
      <c r="D108" s="4">
        <v>66211</v>
      </c>
    </row>
    <row r="109" spans="1:4" x14ac:dyDescent="0.25">
      <c r="A109" s="5">
        <v>45870</v>
      </c>
      <c r="B109" s="6">
        <v>37.1</v>
      </c>
      <c r="C109" s="6">
        <v>37.104999999999997</v>
      </c>
      <c r="D109" s="7">
        <v>65039</v>
      </c>
    </row>
    <row r="110" spans="1:4" x14ac:dyDescent="0.25">
      <c r="A110" s="2">
        <v>45873</v>
      </c>
      <c r="B110" s="3">
        <v>37.44</v>
      </c>
      <c r="C110" s="3">
        <v>37.450000000000003</v>
      </c>
      <c r="D110" s="4">
        <v>44731</v>
      </c>
    </row>
    <row r="111" spans="1:4" x14ac:dyDescent="0.25">
      <c r="A111" s="5">
        <v>45874</v>
      </c>
      <c r="B111" s="6">
        <v>37.835000000000001</v>
      </c>
      <c r="C111" s="6">
        <v>37.844999999999999</v>
      </c>
      <c r="D111" s="7">
        <v>50388</v>
      </c>
    </row>
    <row r="112" spans="1:4" x14ac:dyDescent="0.25">
      <c r="A112" s="2">
        <v>45875</v>
      </c>
      <c r="B112" s="3">
        <v>37.93</v>
      </c>
      <c r="C112" s="3">
        <v>37.94</v>
      </c>
      <c r="D112" s="4">
        <v>38956</v>
      </c>
    </row>
    <row r="113" spans="1:4" x14ac:dyDescent="0.25">
      <c r="A113" s="5">
        <v>45876</v>
      </c>
      <c r="B113" s="6">
        <v>38.520000000000003</v>
      </c>
      <c r="C113" s="6">
        <v>38.53</v>
      </c>
      <c r="D113" s="7">
        <v>86225</v>
      </c>
    </row>
    <row r="114" spans="1:4" x14ac:dyDescent="0.25">
      <c r="A114" s="2">
        <v>45877</v>
      </c>
      <c r="B114" s="3">
        <v>38.5</v>
      </c>
      <c r="C114" s="3">
        <v>38.51</v>
      </c>
      <c r="D114" s="4">
        <v>76568</v>
      </c>
    </row>
    <row r="115" spans="1:4" x14ac:dyDescent="0.25">
      <c r="A115" s="5">
        <v>45880</v>
      </c>
      <c r="B115" s="6">
        <v>37.64</v>
      </c>
      <c r="C115" s="6">
        <v>37.65</v>
      </c>
      <c r="D115" s="7">
        <v>67543</v>
      </c>
    </row>
    <row r="116" spans="1:4" x14ac:dyDescent="0.25">
      <c r="A116" s="2">
        <v>45881</v>
      </c>
      <c r="B116" s="3">
        <v>37.935000000000002</v>
      </c>
      <c r="C116" s="3">
        <v>37.945</v>
      </c>
      <c r="D116" s="4">
        <v>63049</v>
      </c>
    </row>
    <row r="117" spans="1:4" x14ac:dyDescent="0.25">
      <c r="A117" s="5">
        <v>45882</v>
      </c>
      <c r="B117" s="6">
        <v>38.549999999999997</v>
      </c>
      <c r="C117" s="6">
        <v>38.555</v>
      </c>
      <c r="D117" s="7">
        <v>52876</v>
      </c>
    </row>
    <row r="118" spans="1:4" x14ac:dyDescent="0.25">
      <c r="A118" s="2">
        <v>45883</v>
      </c>
      <c r="B118" s="3">
        <v>38.034999999999997</v>
      </c>
      <c r="C118" s="3">
        <v>38.045000000000002</v>
      </c>
      <c r="D118" s="4">
        <v>54425</v>
      </c>
    </row>
    <row r="119" spans="1:4" x14ac:dyDescent="0.25">
      <c r="A119" s="5">
        <v>45884</v>
      </c>
      <c r="B119" s="6">
        <v>38.015000000000001</v>
      </c>
      <c r="C119" s="6">
        <v>38.024999999999999</v>
      </c>
      <c r="D119" s="7">
        <v>34505</v>
      </c>
    </row>
    <row r="120" spans="1:4" x14ac:dyDescent="0.25">
      <c r="A120" s="2">
        <v>45887</v>
      </c>
      <c r="B120" s="3">
        <v>38.06</v>
      </c>
      <c r="C120" s="3">
        <v>38.07</v>
      </c>
      <c r="D120" s="4">
        <v>36396</v>
      </c>
    </row>
    <row r="121" spans="1:4" x14ac:dyDescent="0.25">
      <c r="A121" s="5">
        <v>45888</v>
      </c>
      <c r="B121" s="6">
        <v>37.33</v>
      </c>
      <c r="C121" s="6">
        <v>37.335000000000001</v>
      </c>
      <c r="D121" s="7">
        <v>50237</v>
      </c>
    </row>
    <row r="122" spans="1:4" x14ac:dyDescent="0.25">
      <c r="A122" s="2">
        <v>45889</v>
      </c>
      <c r="B122" s="3">
        <v>37.89</v>
      </c>
      <c r="C122" s="3">
        <v>37.895000000000003</v>
      </c>
      <c r="D122" s="4">
        <v>52616</v>
      </c>
    </row>
    <row r="123" spans="1:4" x14ac:dyDescent="0.25">
      <c r="A123" s="5">
        <v>45890</v>
      </c>
      <c r="B123" s="6">
        <v>38.094999999999999</v>
      </c>
      <c r="C123" s="6">
        <v>38.104999999999997</v>
      </c>
      <c r="D123" s="7">
        <v>45967</v>
      </c>
    </row>
    <row r="124" spans="1:4" x14ac:dyDescent="0.25">
      <c r="A124" s="2">
        <v>45891</v>
      </c>
      <c r="B124" s="3">
        <v>38.875</v>
      </c>
      <c r="C124" s="3">
        <v>38.884999999999998</v>
      </c>
      <c r="D124" s="4">
        <v>70315</v>
      </c>
    </row>
    <row r="125" spans="1:4" x14ac:dyDescent="0.25">
      <c r="A125" s="5">
        <v>45894</v>
      </c>
      <c r="B125" s="6">
        <v>38.545000000000002</v>
      </c>
      <c r="C125" s="6">
        <v>38.555</v>
      </c>
      <c r="D125" s="7">
        <v>41605</v>
      </c>
    </row>
    <row r="126" spans="1:4" x14ac:dyDescent="0.25">
      <c r="A126" s="2">
        <v>45895</v>
      </c>
      <c r="B126" s="3">
        <v>38.674999999999997</v>
      </c>
      <c r="C126" s="3">
        <v>38.704999999999998</v>
      </c>
      <c r="D126" s="4">
        <v>55047</v>
      </c>
    </row>
    <row r="127" spans="1:4" x14ac:dyDescent="0.25">
      <c r="A127" s="5">
        <v>45896</v>
      </c>
      <c r="B127" s="6">
        <v>38.69</v>
      </c>
      <c r="C127" s="6">
        <v>38.695</v>
      </c>
      <c r="D127" s="7">
        <v>37841</v>
      </c>
    </row>
    <row r="128" spans="1:4" x14ac:dyDescent="0.25">
      <c r="A128" s="2">
        <v>45897</v>
      </c>
      <c r="B128" s="3">
        <v>39.71</v>
      </c>
      <c r="C128" s="3">
        <v>39.715000000000003</v>
      </c>
      <c r="D128" s="4">
        <v>54907</v>
      </c>
    </row>
    <row r="129" spans="1:4" x14ac:dyDescent="0.25">
      <c r="A129" s="5">
        <v>45898</v>
      </c>
      <c r="B129" s="6">
        <v>40.74</v>
      </c>
      <c r="C129" s="6">
        <v>40.75</v>
      </c>
      <c r="D129" s="7">
        <v>67755</v>
      </c>
    </row>
    <row r="130" spans="1:4" x14ac:dyDescent="0.25">
      <c r="A130" s="2">
        <v>45902</v>
      </c>
      <c r="B130" s="3">
        <v>41.725000000000001</v>
      </c>
      <c r="C130" s="3">
        <v>41.734999999999999</v>
      </c>
      <c r="D130" s="4">
        <v>123433</v>
      </c>
    </row>
    <row r="131" spans="1:4" x14ac:dyDescent="0.25">
      <c r="A131" s="5">
        <v>45903</v>
      </c>
      <c r="B131" s="6">
        <v>41.81</v>
      </c>
      <c r="C131" s="6">
        <v>41.814999999999998</v>
      </c>
      <c r="D131" s="7">
        <v>63634</v>
      </c>
    </row>
    <row r="132" spans="1:4" x14ac:dyDescent="0.25">
      <c r="A132" s="2">
        <v>45904</v>
      </c>
      <c r="B132" s="3">
        <v>41.31</v>
      </c>
      <c r="C132" s="3">
        <v>41.32</v>
      </c>
      <c r="D132" s="4">
        <v>66072</v>
      </c>
    </row>
    <row r="133" spans="1:4" x14ac:dyDescent="0.25">
      <c r="A133" s="5">
        <v>45905</v>
      </c>
      <c r="B133" s="6">
        <v>41.505000000000003</v>
      </c>
      <c r="C133" s="6">
        <v>41.52</v>
      </c>
      <c r="D133" s="7">
        <v>68285</v>
      </c>
    </row>
    <row r="134" spans="1:4" x14ac:dyDescent="0.25">
      <c r="A134" s="2">
        <v>45908</v>
      </c>
      <c r="B134" s="3">
        <v>41.935000000000002</v>
      </c>
      <c r="C134" s="3">
        <v>41.945</v>
      </c>
      <c r="D134" s="4">
        <v>67937</v>
      </c>
    </row>
    <row r="135" spans="1:4" x14ac:dyDescent="0.25">
      <c r="A135" s="5">
        <v>45909</v>
      </c>
      <c r="B135" s="6">
        <v>41.344999999999999</v>
      </c>
      <c r="C135" s="6">
        <v>41.36</v>
      </c>
      <c r="D135" s="7">
        <v>66018</v>
      </c>
    </row>
    <row r="136" spans="1:4" x14ac:dyDescent="0.25">
      <c r="A136" s="2">
        <v>45910</v>
      </c>
      <c r="B136" s="3">
        <v>41.645000000000003</v>
      </c>
      <c r="C136" s="3">
        <v>41.655000000000001</v>
      </c>
      <c r="D136" s="4">
        <v>40523</v>
      </c>
    </row>
    <row r="137" spans="1:4" x14ac:dyDescent="0.25">
      <c r="A137" s="5">
        <v>45911</v>
      </c>
      <c r="B137" s="6">
        <v>42.055</v>
      </c>
      <c r="C137" s="6">
        <v>42.064999999999998</v>
      </c>
      <c r="D137" s="7">
        <v>59084</v>
      </c>
    </row>
    <row r="138" spans="1:4" x14ac:dyDescent="0.25">
      <c r="A138" s="2">
        <v>45912</v>
      </c>
      <c r="B138" s="3">
        <v>42.68</v>
      </c>
      <c r="C138" s="3">
        <v>42.69</v>
      </c>
      <c r="D138" s="4">
        <v>70339</v>
      </c>
    </row>
    <row r="139" spans="1:4" x14ac:dyDescent="0.25">
      <c r="A139" s="5">
        <v>45915</v>
      </c>
      <c r="B139" s="6">
        <v>43.195</v>
      </c>
      <c r="C139" s="6">
        <v>43.204999999999998</v>
      </c>
      <c r="D139" s="7">
        <v>46674</v>
      </c>
    </row>
    <row r="140" spans="1:4" x14ac:dyDescent="0.25">
      <c r="A140" s="2">
        <v>45916</v>
      </c>
      <c r="B140" s="3">
        <v>42.87</v>
      </c>
      <c r="C140" s="3">
        <v>42.884999999999998</v>
      </c>
      <c r="D140" s="4">
        <v>63715</v>
      </c>
    </row>
    <row r="141" spans="1:4" x14ac:dyDescent="0.25">
      <c r="A141" s="5">
        <v>45917</v>
      </c>
      <c r="B141" s="6">
        <v>41.99</v>
      </c>
      <c r="C141" s="6">
        <v>42</v>
      </c>
      <c r="D141" s="7">
        <v>89156</v>
      </c>
    </row>
    <row r="142" spans="1:4" x14ac:dyDescent="0.25">
      <c r="A142" s="2">
        <v>45918</v>
      </c>
      <c r="B142" s="3">
        <v>42.1</v>
      </c>
      <c r="C142" s="3">
        <v>42.11</v>
      </c>
      <c r="D142" s="4">
        <v>57628</v>
      </c>
    </row>
    <row r="143" spans="1:4" x14ac:dyDescent="0.25">
      <c r="A143" s="5">
        <v>45919</v>
      </c>
      <c r="B143" s="6">
        <v>43.35</v>
      </c>
      <c r="C143" s="6">
        <v>43.37</v>
      </c>
      <c r="D143" s="7">
        <v>74040</v>
      </c>
    </row>
    <row r="144" spans="1:4" x14ac:dyDescent="0.25">
      <c r="A144" s="2">
        <v>45922</v>
      </c>
      <c r="B144" s="3">
        <v>44.31</v>
      </c>
      <c r="C144" s="3">
        <v>44.32</v>
      </c>
      <c r="D144" s="4">
        <v>75969</v>
      </c>
    </row>
    <row r="145" spans="1:4" x14ac:dyDescent="0.25">
      <c r="A145" s="5">
        <v>45923</v>
      </c>
      <c r="B145" s="6">
        <v>44.26</v>
      </c>
      <c r="C145" s="6">
        <v>44.27</v>
      </c>
      <c r="D145" s="7">
        <v>75307</v>
      </c>
    </row>
    <row r="146" spans="1:4" x14ac:dyDescent="0.25">
      <c r="A146" s="2">
        <v>45924</v>
      </c>
      <c r="B146" s="3">
        <v>44.115000000000002</v>
      </c>
      <c r="C146" s="3">
        <v>44.125</v>
      </c>
      <c r="D146" s="4">
        <v>60129</v>
      </c>
    </row>
    <row r="147" spans="1:4" x14ac:dyDescent="0.25">
      <c r="A147" s="5">
        <v>45925</v>
      </c>
      <c r="B147" s="6">
        <v>45.47</v>
      </c>
      <c r="C147" s="6">
        <v>45.48</v>
      </c>
      <c r="D147" s="7">
        <v>99665</v>
      </c>
    </row>
    <row r="148" spans="1:4" x14ac:dyDescent="0.25">
      <c r="A148" s="2">
        <v>45926</v>
      </c>
      <c r="B148" s="3">
        <v>46.365000000000002</v>
      </c>
      <c r="C148" s="3">
        <v>46.375</v>
      </c>
      <c r="D148" s="4">
        <v>101291</v>
      </c>
    </row>
    <row r="149" spans="1:4" x14ac:dyDescent="0.25">
      <c r="A149" s="5">
        <v>45929</v>
      </c>
      <c r="B149" s="6">
        <v>47.104999999999997</v>
      </c>
      <c r="C149" s="6">
        <v>47.12</v>
      </c>
      <c r="D149" s="7">
        <v>110796</v>
      </c>
    </row>
    <row r="150" spans="1:4" x14ac:dyDescent="0.25">
      <c r="A150" s="2">
        <v>45930</v>
      </c>
      <c r="B150" s="3">
        <v>46.83</v>
      </c>
      <c r="C150" s="3">
        <v>46.844999999999999</v>
      </c>
      <c r="D150" s="4">
        <v>99974</v>
      </c>
    </row>
    <row r="151" spans="1:4" x14ac:dyDescent="0.25">
      <c r="A151" s="5">
        <v>45931</v>
      </c>
      <c r="B151" s="6">
        <v>47.414999999999999</v>
      </c>
      <c r="C151" s="6">
        <v>47.44</v>
      </c>
      <c r="D151" s="7">
        <v>94442</v>
      </c>
    </row>
    <row r="152" spans="1:4" x14ac:dyDescent="0.25">
      <c r="A152" s="2">
        <v>45932</v>
      </c>
      <c r="B152" s="3">
        <v>46.865000000000002</v>
      </c>
      <c r="C152" s="3">
        <v>46.88</v>
      </c>
      <c r="D152" s="4">
        <v>114581</v>
      </c>
    </row>
    <row r="153" spans="1:4" x14ac:dyDescent="0.25">
      <c r="A153" s="5">
        <v>45933</v>
      </c>
      <c r="B153" s="6">
        <v>47.954999999999998</v>
      </c>
      <c r="C153" s="6">
        <v>47.99</v>
      </c>
      <c r="D153" s="7">
        <v>92319</v>
      </c>
    </row>
    <row r="154" spans="1:4" x14ac:dyDescent="0.25">
      <c r="A154" s="2">
        <v>45936</v>
      </c>
      <c r="B154" s="3">
        <v>48.395000000000003</v>
      </c>
      <c r="C154" s="3">
        <v>48.405000000000001</v>
      </c>
      <c r="D154" s="4">
        <v>79541</v>
      </c>
    </row>
    <row r="155" spans="1:4" x14ac:dyDescent="0.25">
      <c r="A155" s="5">
        <v>45937</v>
      </c>
      <c r="B155" s="6">
        <v>47.64</v>
      </c>
      <c r="C155" s="6">
        <v>47.67</v>
      </c>
      <c r="D155" s="7">
        <v>101062</v>
      </c>
    </row>
    <row r="156" spans="1:4" x14ac:dyDescent="0.25">
      <c r="A156" s="2">
        <v>45938</v>
      </c>
      <c r="B156" s="3">
        <v>48.424999999999997</v>
      </c>
      <c r="C156" s="3">
        <v>48.454999999999998</v>
      </c>
      <c r="D156" s="4">
        <v>97283</v>
      </c>
    </row>
    <row r="157" spans="1:4" x14ac:dyDescent="0.25">
      <c r="A157" s="5">
        <v>45939</v>
      </c>
      <c r="B157" s="6">
        <v>47.64</v>
      </c>
      <c r="C157" s="6">
        <v>47.67</v>
      </c>
      <c r="D157" s="7">
        <v>186872</v>
      </c>
    </row>
    <row r="158" spans="1:4" x14ac:dyDescent="0.25">
      <c r="A158" s="2">
        <v>45940</v>
      </c>
      <c r="B158" s="3">
        <v>47.405000000000001</v>
      </c>
      <c r="C158" s="3">
        <v>47.54</v>
      </c>
      <c r="D158" s="4">
        <v>141909</v>
      </c>
    </row>
    <row r="159" spans="1:4" x14ac:dyDescent="0.25">
      <c r="A159" s="5">
        <v>45943</v>
      </c>
      <c r="B159" s="6">
        <v>50.765000000000001</v>
      </c>
      <c r="C159" s="6">
        <v>50.79</v>
      </c>
      <c r="D159" s="7">
        <v>132137</v>
      </c>
    </row>
    <row r="160" spans="1:4" x14ac:dyDescent="0.25">
      <c r="A160" s="2">
        <v>45944</v>
      </c>
      <c r="B160" s="3">
        <v>50.3</v>
      </c>
      <c r="C160" s="3">
        <v>50.46</v>
      </c>
      <c r="D160" s="4">
        <v>179251</v>
      </c>
    </row>
    <row r="161" spans="1:4" x14ac:dyDescent="0.25">
      <c r="A161" s="5">
        <v>45945</v>
      </c>
      <c r="B161" s="6">
        <v>52.494999999999997</v>
      </c>
      <c r="C161" s="6">
        <v>52.615000000000002</v>
      </c>
      <c r="D161" s="7">
        <v>122064</v>
      </c>
    </row>
    <row r="162" spans="1:4" x14ac:dyDescent="0.25">
      <c r="A162" s="2">
        <v>45946</v>
      </c>
      <c r="B162" s="3">
        <v>53.274999999999999</v>
      </c>
      <c r="C162" s="3">
        <v>53.45</v>
      </c>
      <c r="D162" s="4">
        <v>144130</v>
      </c>
    </row>
    <row r="163" spans="1:4" x14ac:dyDescent="0.25">
      <c r="A163" s="5">
        <v>45947</v>
      </c>
      <c r="B163" s="6">
        <v>50.555</v>
      </c>
      <c r="C163" s="6">
        <v>50.664999999999999</v>
      </c>
      <c r="D163" s="7">
        <v>180330</v>
      </c>
    </row>
    <row r="164" spans="1:4" x14ac:dyDescent="0.25">
      <c r="A164" s="2">
        <v>45950</v>
      </c>
      <c r="B164" s="3">
        <v>51.365000000000002</v>
      </c>
      <c r="C164" s="3">
        <v>51.484999999999999</v>
      </c>
      <c r="D164" s="4">
        <v>97483</v>
      </c>
    </row>
    <row r="165" spans="1:4" x14ac:dyDescent="0.25">
      <c r="A165" s="5">
        <v>45951</v>
      </c>
      <c r="B165" s="6">
        <v>48.075000000000003</v>
      </c>
      <c r="C165" s="6">
        <v>48.18</v>
      </c>
      <c r="D165" s="7">
        <v>155458</v>
      </c>
    </row>
    <row r="166" spans="1:4" x14ac:dyDescent="0.25">
      <c r="A166" s="2">
        <v>45952</v>
      </c>
      <c r="B166" s="3">
        <v>48.14</v>
      </c>
      <c r="C166" s="3">
        <v>48.244999999999997</v>
      </c>
      <c r="D166" s="4">
        <v>112719</v>
      </c>
    </row>
    <row r="167" spans="1:4" x14ac:dyDescent="0.25">
      <c r="A167" s="5">
        <v>45953</v>
      </c>
      <c r="B167" s="6">
        <v>48.5</v>
      </c>
      <c r="C167" s="6">
        <v>48.664999999999999</v>
      </c>
      <c r="D167" s="7">
        <v>67041</v>
      </c>
    </row>
    <row r="168" spans="1:4" x14ac:dyDescent="0.25">
      <c r="A168" s="2">
        <v>45954</v>
      </c>
      <c r="B168" s="3">
        <v>48.33</v>
      </c>
      <c r="C168" s="3">
        <v>48.7</v>
      </c>
      <c r="D168" s="4">
        <v>72046</v>
      </c>
    </row>
    <row r="169" spans="1:4" x14ac:dyDescent="0.25">
      <c r="A169" s="5">
        <v>45957</v>
      </c>
      <c r="B169" s="6">
        <v>46.704999999999998</v>
      </c>
      <c r="C169" s="6">
        <v>46.865000000000002</v>
      </c>
      <c r="D169" s="7">
        <v>94606</v>
      </c>
    </row>
    <row r="170" spans="1:4" x14ac:dyDescent="0.25">
      <c r="A170" s="2">
        <v>45958</v>
      </c>
      <c r="B170" s="3">
        <v>47.115000000000002</v>
      </c>
      <c r="C170" s="3">
        <v>47.2</v>
      </c>
      <c r="D170" s="4">
        <v>77521</v>
      </c>
    </row>
    <row r="171" spans="1:4" x14ac:dyDescent="0.25">
      <c r="A171" s="5">
        <v>45959</v>
      </c>
      <c r="B171" s="6">
        <v>47.22</v>
      </c>
      <c r="C171" s="6">
        <v>47.54</v>
      </c>
      <c r="D171" s="7">
        <v>74607</v>
      </c>
    </row>
    <row r="172" spans="1:4" x14ac:dyDescent="0.25">
      <c r="A172" s="2">
        <v>45960</v>
      </c>
      <c r="B172" s="3">
        <v>48.725000000000001</v>
      </c>
      <c r="C172" s="3">
        <v>48.8</v>
      </c>
      <c r="D172" s="4">
        <v>62166</v>
      </c>
    </row>
    <row r="173" spans="1:4" x14ac:dyDescent="0.25">
      <c r="A173" s="5">
        <v>45961</v>
      </c>
      <c r="B173" s="6">
        <v>48.2</v>
      </c>
      <c r="C173" s="6">
        <v>48.33</v>
      </c>
      <c r="D173" s="7">
        <v>56017</v>
      </c>
    </row>
    <row r="174" spans="1:4" x14ac:dyDescent="0.25">
      <c r="A174" s="2">
        <v>45964</v>
      </c>
      <c r="B174" s="3">
        <v>47.88</v>
      </c>
      <c r="C174" s="3">
        <v>47.94</v>
      </c>
      <c r="D174" s="4">
        <v>51400</v>
      </c>
    </row>
    <row r="175" spans="1:4" x14ac:dyDescent="0.25">
      <c r="A175" s="5">
        <v>45965</v>
      </c>
      <c r="B175" s="6">
        <v>46.84</v>
      </c>
      <c r="C175" s="6">
        <v>46.94</v>
      </c>
      <c r="D175" s="7">
        <v>60177</v>
      </c>
    </row>
    <row r="176" spans="1:4" x14ac:dyDescent="0.25">
      <c r="A176" s="2">
        <v>45966</v>
      </c>
      <c r="B176" s="3">
        <v>47.81</v>
      </c>
      <c r="C176" s="3">
        <v>47.95</v>
      </c>
      <c r="D176" s="4">
        <v>46942</v>
      </c>
    </row>
    <row r="177" spans="1:4" x14ac:dyDescent="0.25">
      <c r="A177" s="5">
        <v>45967</v>
      </c>
      <c r="B177" s="6">
        <v>47.825000000000003</v>
      </c>
      <c r="C177" s="6">
        <v>47.86</v>
      </c>
      <c r="D177" s="7">
        <v>50143</v>
      </c>
    </row>
    <row r="178" spans="1:4" x14ac:dyDescent="0.25">
      <c r="A178" s="2">
        <v>45968</v>
      </c>
      <c r="B178" s="3">
        <v>48.19</v>
      </c>
      <c r="C178" s="3">
        <v>48.314999999999998</v>
      </c>
      <c r="D178" s="4">
        <v>61360</v>
      </c>
    </row>
    <row r="179" spans="1:4" x14ac:dyDescent="0.25">
      <c r="A179" s="5">
        <v>45971</v>
      </c>
      <c r="B179" s="6">
        <v>50.395000000000003</v>
      </c>
      <c r="C179" s="6">
        <v>50.48</v>
      </c>
      <c r="D179" s="7">
        <v>78080</v>
      </c>
    </row>
    <row r="180" spans="1:4" x14ac:dyDescent="0.25">
      <c r="A180" s="2">
        <v>45972</v>
      </c>
      <c r="B180" s="3">
        <v>51.055</v>
      </c>
      <c r="C180" s="3">
        <v>51.13</v>
      </c>
      <c r="D180" s="4">
        <v>69857</v>
      </c>
    </row>
    <row r="181" spans="1:4" x14ac:dyDescent="0.25">
      <c r="A181" s="5">
        <v>45973</v>
      </c>
      <c r="B181" s="6">
        <v>53.17</v>
      </c>
      <c r="C181" s="6">
        <v>53.354999999999997</v>
      </c>
      <c r="D181" s="7">
        <v>101561</v>
      </c>
    </row>
    <row r="182" spans="1:4" x14ac:dyDescent="0.25">
      <c r="A182" s="2">
        <v>45974</v>
      </c>
      <c r="B182" s="3">
        <v>52.21</v>
      </c>
      <c r="C182" s="3">
        <v>52.32</v>
      </c>
      <c r="D182" s="4">
        <v>122388</v>
      </c>
    </row>
    <row r="183" spans="1:4" x14ac:dyDescent="0.25">
      <c r="A183" s="5">
        <v>45975</v>
      </c>
      <c r="B183" s="6">
        <v>50.354999999999997</v>
      </c>
      <c r="C183" s="6">
        <v>50.69</v>
      </c>
      <c r="D183" s="7">
        <v>125985</v>
      </c>
    </row>
    <row r="184" spans="1:4" x14ac:dyDescent="0.25">
      <c r="A184" s="2">
        <v>45978</v>
      </c>
      <c r="B184" s="3">
        <v>50.005000000000003</v>
      </c>
      <c r="C184" s="3">
        <v>50.06</v>
      </c>
      <c r="D184" s="4">
        <v>73053</v>
      </c>
    </row>
    <row r="185" spans="1:4" x14ac:dyDescent="0.25">
      <c r="A185" s="5">
        <v>45979</v>
      </c>
      <c r="B185" s="6">
        <v>50.51</v>
      </c>
      <c r="C185" s="6">
        <v>50.66</v>
      </c>
      <c r="D185" s="7">
        <v>75851</v>
      </c>
    </row>
    <row r="186" spans="1:4" x14ac:dyDescent="0.25">
      <c r="A186" s="2">
        <v>45980</v>
      </c>
      <c r="B186" s="3">
        <v>50.825000000000003</v>
      </c>
      <c r="C186" s="3">
        <v>51.145000000000003</v>
      </c>
      <c r="D186" s="4">
        <v>98090</v>
      </c>
    </row>
    <row r="187" spans="1:4" x14ac:dyDescent="0.25">
      <c r="A187" s="5">
        <v>45981</v>
      </c>
      <c r="B187" s="6">
        <v>50.28</v>
      </c>
      <c r="C187" s="6">
        <v>50.435000000000002</v>
      </c>
      <c r="D187" s="7">
        <v>96073</v>
      </c>
    </row>
    <row r="188" spans="1:4" x14ac:dyDescent="0.25">
      <c r="A188" s="2">
        <v>45982</v>
      </c>
      <c r="B188" s="3">
        <v>49.47</v>
      </c>
      <c r="C188" s="3">
        <v>49.975000000000001</v>
      </c>
      <c r="D188" s="4">
        <v>105797</v>
      </c>
    </row>
    <row r="189" spans="1:4" x14ac:dyDescent="0.25">
      <c r="A189" s="5">
        <v>45985</v>
      </c>
      <c r="B189" s="6">
        <v>51.055</v>
      </c>
      <c r="C189" s="6">
        <v>51.234999999999999</v>
      </c>
      <c r="D189" s="7">
        <v>56483</v>
      </c>
    </row>
    <row r="190" spans="1:4" x14ac:dyDescent="0.25">
      <c r="A190" s="2">
        <v>45986</v>
      </c>
      <c r="B190" s="3">
        <v>50.884999999999998</v>
      </c>
      <c r="C190" s="3">
        <v>51.16</v>
      </c>
      <c r="D190" s="4">
        <v>48792</v>
      </c>
    </row>
    <row r="191" spans="1:4" x14ac:dyDescent="0.25">
      <c r="A191" s="5">
        <v>45987</v>
      </c>
      <c r="B191" s="6">
        <v>53.67</v>
      </c>
      <c r="C191" s="6">
        <v>53.8</v>
      </c>
      <c r="D191" s="7">
        <v>83948</v>
      </c>
    </row>
    <row r="192" spans="1:4" x14ac:dyDescent="0.25">
      <c r="A192" s="2">
        <v>45989</v>
      </c>
      <c r="B192" s="3">
        <v>56.97</v>
      </c>
      <c r="C192" s="3">
        <v>57.244999999999997</v>
      </c>
      <c r="D192" s="4">
        <v>95722</v>
      </c>
    </row>
    <row r="193" spans="1:4" x14ac:dyDescent="0.25">
      <c r="A193" s="5">
        <v>45992</v>
      </c>
      <c r="B193" s="6">
        <v>58.45</v>
      </c>
      <c r="C193" s="6">
        <v>58.54</v>
      </c>
      <c r="D193" s="7">
        <v>138240</v>
      </c>
    </row>
    <row r="194" spans="1:4" x14ac:dyDescent="0.25">
      <c r="A194" s="2">
        <v>45993</v>
      </c>
      <c r="B194" s="3">
        <v>59.125</v>
      </c>
      <c r="C194" s="3">
        <v>59.2</v>
      </c>
      <c r="D194" s="4">
        <v>107261</v>
      </c>
    </row>
    <row r="195" spans="1:4" x14ac:dyDescent="0.25">
      <c r="A195" s="5">
        <v>45994</v>
      </c>
      <c r="B195" s="6">
        <v>58.924999999999997</v>
      </c>
      <c r="C195" s="6">
        <v>58.98</v>
      </c>
      <c r="D195" s="7">
        <v>102474</v>
      </c>
    </row>
    <row r="196" spans="1:4" x14ac:dyDescent="0.25">
      <c r="A196" s="2">
        <v>45995</v>
      </c>
      <c r="B196" s="3">
        <v>57.49</v>
      </c>
      <c r="C196" s="3">
        <v>57.6</v>
      </c>
      <c r="D196" s="4">
        <v>97124</v>
      </c>
    </row>
    <row r="197" spans="1:4" x14ac:dyDescent="0.25">
      <c r="A197" s="5">
        <v>45996</v>
      </c>
      <c r="B197" s="6">
        <v>58.7</v>
      </c>
      <c r="C197" s="6">
        <v>58.99</v>
      </c>
      <c r="D197" s="7">
        <v>102351</v>
      </c>
    </row>
    <row r="198" spans="1:4" x14ac:dyDescent="0.25">
      <c r="A198" s="2">
        <v>45999</v>
      </c>
      <c r="B198" s="3">
        <v>58.46</v>
      </c>
      <c r="C198" s="3">
        <v>58.524999999999999</v>
      </c>
      <c r="D198" s="4">
        <v>60317</v>
      </c>
    </row>
    <row r="199" spans="1:4" x14ac:dyDescent="0.25">
      <c r="A199" s="5">
        <v>46000</v>
      </c>
      <c r="B199" s="6">
        <v>61.12</v>
      </c>
      <c r="C199" s="6">
        <v>61.22</v>
      </c>
      <c r="D199" s="7">
        <v>115710</v>
      </c>
    </row>
    <row r="200" spans="1:4" x14ac:dyDescent="0.25">
      <c r="A200" s="2">
        <v>46001</v>
      </c>
      <c r="B200" s="3">
        <v>62.134999999999998</v>
      </c>
      <c r="C200" s="3">
        <v>62.25</v>
      </c>
      <c r="D200" s="4">
        <v>118368</v>
      </c>
    </row>
    <row r="201" spans="1:4" x14ac:dyDescent="0.25">
      <c r="A201" s="5">
        <v>46002</v>
      </c>
      <c r="B201" s="6">
        <v>63.965000000000003</v>
      </c>
      <c r="C201" s="6">
        <v>63.99</v>
      </c>
      <c r="D201" s="7">
        <v>131321</v>
      </c>
    </row>
    <row r="202" spans="1:4" x14ac:dyDescent="0.25">
      <c r="A202" s="2">
        <v>46003</v>
      </c>
      <c r="B202" s="3">
        <v>62.07</v>
      </c>
      <c r="C202" s="3">
        <v>62.094999999999999</v>
      </c>
      <c r="D202" s="4">
        <v>187300</v>
      </c>
    </row>
    <row r="203" spans="1:4" x14ac:dyDescent="0.25">
      <c r="A203" s="5">
        <v>46006</v>
      </c>
      <c r="B203" s="6">
        <v>63.99</v>
      </c>
      <c r="C203" s="6">
        <v>64.155000000000001</v>
      </c>
      <c r="D203" s="7">
        <v>111259</v>
      </c>
    </row>
    <row r="204" spans="1:4" x14ac:dyDescent="0.25">
      <c r="A204" s="2">
        <v>46007</v>
      </c>
      <c r="B204" s="3">
        <v>63.77</v>
      </c>
      <c r="C204" s="3">
        <v>63.895000000000003</v>
      </c>
      <c r="D204" s="4">
        <v>95023</v>
      </c>
    </row>
    <row r="205" spans="1:4" x14ac:dyDescent="0.25">
      <c r="A205" s="5">
        <v>46008</v>
      </c>
      <c r="B205" s="6">
        <v>66.349999999999994</v>
      </c>
      <c r="C205" s="6">
        <v>66.53</v>
      </c>
      <c r="D205" s="7">
        <v>145011</v>
      </c>
    </row>
    <row r="206" spans="1:4" x14ac:dyDescent="0.25">
      <c r="A206" s="2">
        <v>46009</v>
      </c>
      <c r="B206" s="3">
        <v>65.344999999999999</v>
      </c>
      <c r="C206" s="3">
        <v>65.5</v>
      </c>
      <c r="D206" s="4">
        <v>110401</v>
      </c>
    </row>
    <row r="207" spans="1:4" x14ac:dyDescent="0.25">
      <c r="A207" s="5">
        <v>46010</v>
      </c>
      <c r="B207" s="6">
        <v>67.37</v>
      </c>
      <c r="C207" s="6">
        <v>67.489999999999995</v>
      </c>
      <c r="D207" s="7">
        <v>94531</v>
      </c>
    </row>
    <row r="208" spans="1:4" x14ac:dyDescent="0.25">
      <c r="A208" s="2">
        <v>46013</v>
      </c>
      <c r="B208" s="3">
        <v>69.05</v>
      </c>
      <c r="C208" s="3">
        <v>69.12</v>
      </c>
      <c r="D208" s="4">
        <v>97372</v>
      </c>
    </row>
    <row r="209" spans="1:4" x14ac:dyDescent="0.25">
      <c r="A209" s="5">
        <v>46014</v>
      </c>
      <c r="B209" s="6">
        <v>71.504999999999995</v>
      </c>
      <c r="C209" s="6">
        <v>71.650000000000006</v>
      </c>
      <c r="D209" s="7">
        <v>127435</v>
      </c>
    </row>
    <row r="210" spans="1:4" x14ac:dyDescent="0.25">
      <c r="A210" s="2">
        <v>46015</v>
      </c>
      <c r="B210" s="3">
        <v>71.734999999999999</v>
      </c>
      <c r="C210" s="3">
        <v>71.98</v>
      </c>
      <c r="D210" s="4">
        <v>94695</v>
      </c>
    </row>
    <row r="211" spans="1:4" x14ac:dyDescent="0.25">
      <c r="A211" s="5">
        <v>46017</v>
      </c>
      <c r="B211" s="6">
        <v>79.319999999999993</v>
      </c>
      <c r="C211" s="6">
        <v>79.709999999999994</v>
      </c>
      <c r="D211" s="7">
        <v>171043</v>
      </c>
    </row>
    <row r="212" spans="1:4" x14ac:dyDescent="0.25">
      <c r="A212" s="2">
        <v>46020</v>
      </c>
      <c r="B212" s="3">
        <v>71.510000000000005</v>
      </c>
      <c r="C212" s="3">
        <v>71.685000000000002</v>
      </c>
      <c r="D212" s="4">
        <v>248836</v>
      </c>
    </row>
    <row r="213" spans="1:4" x14ac:dyDescent="0.25">
      <c r="A213" s="5">
        <v>46021</v>
      </c>
      <c r="B213" s="6">
        <v>75.935000000000002</v>
      </c>
      <c r="C213" s="6">
        <v>76.094999999999999</v>
      </c>
      <c r="D213" s="7">
        <v>167114</v>
      </c>
    </row>
    <row r="214" spans="1:4" x14ac:dyDescent="0.25">
      <c r="A214" s="2">
        <v>46022</v>
      </c>
      <c r="B214" s="3">
        <v>70.900000000000006</v>
      </c>
      <c r="C214" s="3">
        <v>71</v>
      </c>
      <c r="D214" s="4">
        <v>144777</v>
      </c>
    </row>
    <row r="215" spans="1:4" x14ac:dyDescent="0.25">
      <c r="A215" s="5">
        <v>46024</v>
      </c>
      <c r="B215" s="6">
        <v>72.03</v>
      </c>
      <c r="C215" s="6">
        <v>72.31</v>
      </c>
      <c r="D215" s="7">
        <v>99463</v>
      </c>
    </row>
    <row r="216" spans="1:4" x14ac:dyDescent="0.25">
      <c r="A216" s="2">
        <v>46027</v>
      </c>
      <c r="B216" s="3">
        <v>76.495000000000005</v>
      </c>
      <c r="C216" s="3">
        <v>76.515000000000001</v>
      </c>
      <c r="D216" s="4">
        <v>131071</v>
      </c>
    </row>
    <row r="217" spans="1:4" x14ac:dyDescent="0.25">
      <c r="A217" s="5">
        <v>46028</v>
      </c>
      <c r="B217" s="6">
        <v>81.03</v>
      </c>
      <c r="C217" s="6">
        <v>81.234999999999999</v>
      </c>
      <c r="D217" s="7">
        <v>136240</v>
      </c>
    </row>
    <row r="218" spans="1:4" x14ac:dyDescent="0.25">
      <c r="A218" s="2">
        <v>46029</v>
      </c>
      <c r="B218" s="3">
        <v>77.77</v>
      </c>
      <c r="C218" s="3">
        <v>78.064999999999998</v>
      </c>
      <c r="D218" s="4">
        <v>148089</v>
      </c>
    </row>
    <row r="219" spans="1:4" x14ac:dyDescent="0.25">
      <c r="A219" s="5">
        <v>46030</v>
      </c>
      <c r="B219" s="6">
        <v>76.454999999999998</v>
      </c>
      <c r="C219" s="6">
        <v>76.709999999999994</v>
      </c>
      <c r="D219" s="7">
        <v>121268</v>
      </c>
    </row>
    <row r="220" spans="1:4" x14ac:dyDescent="0.25">
      <c r="A220" s="2">
        <v>46031</v>
      </c>
      <c r="B220" s="3">
        <v>79.41</v>
      </c>
      <c r="C220" s="3">
        <v>79.849999999999994</v>
      </c>
      <c r="D220" s="4">
        <v>116587</v>
      </c>
    </row>
    <row r="221" spans="1:4" x14ac:dyDescent="0.25">
      <c r="A221" s="5">
        <v>46034</v>
      </c>
      <c r="B221" s="6">
        <v>84.71</v>
      </c>
      <c r="C221" s="6">
        <v>85.174999999999997</v>
      </c>
      <c r="D221" s="7">
        <v>145956</v>
      </c>
    </row>
    <row r="222" spans="1:4" x14ac:dyDescent="0.25">
      <c r="A222" s="2">
        <v>46035</v>
      </c>
      <c r="B222" s="3">
        <v>86.71</v>
      </c>
      <c r="C222" s="3">
        <v>86.92</v>
      </c>
      <c r="D222" s="4">
        <v>159191</v>
      </c>
    </row>
    <row r="223" spans="1:4" x14ac:dyDescent="0.25">
      <c r="A223" s="5">
        <v>46036</v>
      </c>
      <c r="B223" s="6">
        <v>92.3</v>
      </c>
      <c r="C223" s="6">
        <v>93.4</v>
      </c>
      <c r="D223" s="7">
        <v>210014</v>
      </c>
    </row>
    <row r="224" spans="1:4" x14ac:dyDescent="0.25">
      <c r="A224" s="2">
        <v>46037</v>
      </c>
      <c r="B224" s="3">
        <v>92.105000000000004</v>
      </c>
      <c r="C224" s="3">
        <v>92.334999999999994</v>
      </c>
      <c r="D224" s="4">
        <v>204941</v>
      </c>
    </row>
    <row r="225" spans="1:4" x14ac:dyDescent="0.25">
      <c r="A225" s="5">
        <v>46038</v>
      </c>
      <c r="B225" s="6">
        <v>89.93</v>
      </c>
      <c r="C225" s="6">
        <v>89.984999999999999</v>
      </c>
      <c r="D225" s="7">
        <v>154592</v>
      </c>
    </row>
    <row r="226" spans="1:4" x14ac:dyDescent="0.25">
      <c r="A226" s="2">
        <v>46042</v>
      </c>
      <c r="B226" s="3">
        <v>94.44</v>
      </c>
      <c r="C226" s="3">
        <v>94.61</v>
      </c>
      <c r="D226" s="4">
        <v>196697</v>
      </c>
    </row>
    <row r="227" spans="1:4" x14ac:dyDescent="0.25">
      <c r="A227" s="5">
        <v>46043</v>
      </c>
      <c r="B227" s="6">
        <v>92.685000000000002</v>
      </c>
      <c r="C227" s="6">
        <v>93.284999999999997</v>
      </c>
      <c r="D227" s="7">
        <v>126385</v>
      </c>
    </row>
    <row r="228" spans="1:4" x14ac:dyDescent="0.25">
      <c r="A228" s="2">
        <v>46044</v>
      </c>
      <c r="B228" s="3">
        <v>96.004999999999995</v>
      </c>
      <c r="C228" s="3">
        <v>96.415000000000006</v>
      </c>
      <c r="D228" s="4">
        <v>104613</v>
      </c>
    </row>
    <row r="229" spans="1:4" x14ac:dyDescent="0.25">
      <c r="A229" s="5">
        <v>46045</v>
      </c>
      <c r="B229" s="6">
        <v>103.18</v>
      </c>
      <c r="C229" s="6">
        <v>103.485</v>
      </c>
      <c r="D229" s="7">
        <v>136206</v>
      </c>
    </row>
    <row r="230" spans="1:4" x14ac:dyDescent="0.25">
      <c r="A230" s="2">
        <v>46048</v>
      </c>
      <c r="B230" s="3">
        <v>103.7</v>
      </c>
      <c r="C230" s="3">
        <v>103.955</v>
      </c>
      <c r="D230" s="4">
        <v>312346</v>
      </c>
    </row>
    <row r="231" spans="1:4" x14ac:dyDescent="0.25">
      <c r="A231" s="5">
        <v>46049</v>
      </c>
      <c r="B231" s="6">
        <v>112.205</v>
      </c>
      <c r="C231" s="6">
        <v>112.77500000000001</v>
      </c>
      <c r="D231" s="7">
        <v>220647</v>
      </c>
    </row>
    <row r="232" spans="1:4" x14ac:dyDescent="0.25">
      <c r="A232" s="2">
        <v>46050</v>
      </c>
      <c r="B232" s="3">
        <v>116.55</v>
      </c>
      <c r="C232" s="3">
        <v>116.69</v>
      </c>
      <c r="D232" s="4">
        <v>174176</v>
      </c>
    </row>
    <row r="233" spans="1:4" x14ac:dyDescent="0.25">
      <c r="A233" s="5">
        <v>46051</v>
      </c>
      <c r="B233" s="6">
        <v>115.74</v>
      </c>
      <c r="C233" s="6">
        <v>115.965</v>
      </c>
      <c r="D233" s="7">
        <v>190647</v>
      </c>
    </row>
    <row r="234" spans="1:4" x14ac:dyDescent="0.25">
      <c r="A234" s="2">
        <v>46052</v>
      </c>
      <c r="B234" s="3">
        <v>85.084999999999994</v>
      </c>
      <c r="C234" s="3">
        <v>85.27</v>
      </c>
      <c r="D234" s="4">
        <v>306578</v>
      </c>
    </row>
    <row r="235" spans="1:4" x14ac:dyDescent="0.25">
      <c r="A235" s="5">
        <v>46055</v>
      </c>
      <c r="B235" s="6">
        <v>79</v>
      </c>
      <c r="C235" s="6">
        <v>79.224999999999994</v>
      </c>
      <c r="D235" s="7">
        <v>163748</v>
      </c>
    </row>
    <row r="236" spans="1:4" x14ac:dyDescent="0.25">
      <c r="A236" s="2">
        <v>46056</v>
      </c>
      <c r="B236" s="3">
        <v>84.19</v>
      </c>
      <c r="C236" s="3">
        <v>85.2</v>
      </c>
      <c r="D236" s="4">
        <v>123469</v>
      </c>
    </row>
    <row r="237" spans="1:4" x14ac:dyDescent="0.25">
      <c r="A237" s="5">
        <v>46057</v>
      </c>
      <c r="B237" s="6">
        <v>87.4</v>
      </c>
      <c r="C237" s="6">
        <v>87.775000000000006</v>
      </c>
      <c r="D237" s="7">
        <v>111380</v>
      </c>
    </row>
    <row r="238" spans="1:4" x14ac:dyDescent="0.25">
      <c r="A238" s="2">
        <v>46058</v>
      </c>
      <c r="B238" s="3">
        <v>70.334999999999994</v>
      </c>
      <c r="C238" s="3">
        <v>70.844999999999999</v>
      </c>
      <c r="D238" s="4">
        <v>159865</v>
      </c>
    </row>
    <row r="239" spans="1:4" x14ac:dyDescent="0.25">
      <c r="A239" s="5">
        <v>46059</v>
      </c>
      <c r="B239" s="6">
        <v>76.41</v>
      </c>
      <c r="C239" s="6">
        <v>77.599999999999994</v>
      </c>
      <c r="D239" s="7">
        <v>105482</v>
      </c>
    </row>
    <row r="240" spans="1:4" x14ac:dyDescent="0.25">
      <c r="A240" s="2">
        <v>46062</v>
      </c>
      <c r="B240" s="3">
        <v>83.025000000000006</v>
      </c>
      <c r="C240" s="3">
        <v>83.3</v>
      </c>
      <c r="D240" s="4">
        <v>65250</v>
      </c>
    </row>
    <row r="241" spans="1:4" x14ac:dyDescent="0.25">
      <c r="A241" s="5">
        <v>46063</v>
      </c>
      <c r="B241" s="6">
        <v>80.489999999999995</v>
      </c>
      <c r="C241" s="6">
        <v>81.05</v>
      </c>
      <c r="D241" s="7">
        <v>51870</v>
      </c>
    </row>
    <row r="242" spans="1:4" x14ac:dyDescent="0.25">
      <c r="A242" s="2">
        <v>46064</v>
      </c>
      <c r="B242" s="3">
        <v>83.5</v>
      </c>
      <c r="C242" s="3">
        <v>84.17</v>
      </c>
      <c r="D242" s="4">
        <v>60103</v>
      </c>
    </row>
    <row r="243" spans="1:4" x14ac:dyDescent="0.25">
      <c r="A243" s="5">
        <v>46065</v>
      </c>
      <c r="B243" s="6">
        <v>74.73</v>
      </c>
      <c r="C243" s="6">
        <v>75.45</v>
      </c>
      <c r="D243" s="7">
        <v>85263</v>
      </c>
    </row>
    <row r="244" spans="1:4" x14ac:dyDescent="0.25">
      <c r="A244" s="2">
        <v>46066</v>
      </c>
      <c r="B244" s="3">
        <v>77.27</v>
      </c>
      <c r="C244" s="3">
        <v>77.944999999999993</v>
      </c>
      <c r="D244" s="4">
        <v>55591</v>
      </c>
    </row>
    <row r="245" spans="1:4" x14ac:dyDescent="0.25">
      <c r="A245" s="5">
        <v>46070</v>
      </c>
      <c r="B245" s="6">
        <v>73.415000000000006</v>
      </c>
      <c r="C245" s="6">
        <v>73.56</v>
      </c>
      <c r="D245" s="7">
        <v>71275</v>
      </c>
    </row>
    <row r="246" spans="1:4" x14ac:dyDescent="0.25">
      <c r="A246" s="2">
        <v>46071</v>
      </c>
      <c r="B246" s="3">
        <v>76.98</v>
      </c>
      <c r="C246" s="3">
        <v>77.465000000000003</v>
      </c>
      <c r="D246" s="4">
        <v>44904</v>
      </c>
    </row>
    <row r="247" spans="1:4" x14ac:dyDescent="0.25">
      <c r="A247" s="5">
        <v>46072</v>
      </c>
      <c r="B247" s="6">
        <v>78.44</v>
      </c>
      <c r="C247" s="6">
        <v>78.5</v>
      </c>
      <c r="D247" s="7">
        <v>38902</v>
      </c>
    </row>
    <row r="248" spans="1:4" x14ac:dyDescent="0.25">
      <c r="A248" s="2">
        <v>46073</v>
      </c>
      <c r="B248" s="3">
        <v>84.534999999999997</v>
      </c>
      <c r="C248" s="3">
        <v>84.8</v>
      </c>
      <c r="D248" s="4">
        <v>55397</v>
      </c>
    </row>
    <row r="249" spans="1:4" x14ac:dyDescent="0.25">
      <c r="A249" s="5">
        <v>46076</v>
      </c>
      <c r="B249" s="6">
        <v>87.75</v>
      </c>
      <c r="C249" s="6">
        <v>88.28</v>
      </c>
      <c r="D249" s="7">
        <v>62392</v>
      </c>
    </row>
    <row r="250" spans="1:4" x14ac:dyDescent="0.25">
      <c r="A250" s="2">
        <v>46077</v>
      </c>
      <c r="B250" s="3">
        <v>86.6</v>
      </c>
      <c r="C250" s="3">
        <v>87.25</v>
      </c>
      <c r="D250" s="4">
        <v>66361</v>
      </c>
    </row>
    <row r="251" spans="1:4" x14ac:dyDescent="0.25">
      <c r="A251" s="5">
        <v>46078</v>
      </c>
      <c r="B251" s="6">
        <v>89.2</v>
      </c>
      <c r="C251" s="6">
        <v>89.185000000000002</v>
      </c>
      <c r="D251" s="7">
        <v>34934</v>
      </c>
    </row>
    <row r="252" spans="1:4" x14ac:dyDescent="0.25">
      <c r="A252" s="2">
        <v>46079</v>
      </c>
      <c r="B252" s="3">
        <v>88.75</v>
      </c>
      <c r="C252" s="3">
        <v>89.49</v>
      </c>
      <c r="D252" s="4">
        <v>56279</v>
      </c>
    </row>
    <row r="253" spans="1:4" x14ac:dyDescent="0.25">
      <c r="A253" s="5">
        <v>46080</v>
      </c>
      <c r="B253" s="6">
        <v>94.174999999999997</v>
      </c>
      <c r="C253" s="6">
        <v>94.64</v>
      </c>
      <c r="D253" s="7">
        <v>51897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BD6A-E0DA-4467-9A98-4BF46DB1F9DA}">
  <dimension ref="A1:D253"/>
  <sheetViews>
    <sheetView workbookViewId="0">
      <selection activeCell="F31" sqref="F31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45715</v>
      </c>
      <c r="B2" s="3">
        <v>2887.6</v>
      </c>
      <c r="C2" s="3">
        <v>2888.2</v>
      </c>
      <c r="D2" s="4">
        <v>201948</v>
      </c>
    </row>
    <row r="3" spans="1:4" x14ac:dyDescent="0.25">
      <c r="A3" s="5">
        <v>45716</v>
      </c>
      <c r="B3" s="6">
        <v>2867</v>
      </c>
      <c r="C3" s="6">
        <v>2867.4</v>
      </c>
      <c r="D3" s="7">
        <v>205282</v>
      </c>
    </row>
    <row r="4" spans="1:4" x14ac:dyDescent="0.25">
      <c r="A4" s="2">
        <v>45719</v>
      </c>
      <c r="B4" s="3">
        <v>2903.3</v>
      </c>
      <c r="C4" s="3">
        <v>2904.2</v>
      </c>
      <c r="D4" s="4">
        <v>171762</v>
      </c>
    </row>
    <row r="5" spans="1:4" x14ac:dyDescent="0.25">
      <c r="A5" s="5">
        <v>45720</v>
      </c>
      <c r="B5" s="6">
        <v>2928.2</v>
      </c>
      <c r="C5" s="6">
        <v>2928.8</v>
      </c>
      <c r="D5" s="7">
        <v>184784</v>
      </c>
    </row>
    <row r="6" spans="1:4" x14ac:dyDescent="0.25">
      <c r="A6" s="2">
        <v>45721</v>
      </c>
      <c r="B6" s="3">
        <v>2929</v>
      </c>
      <c r="C6" s="3">
        <v>2929.3</v>
      </c>
      <c r="D6" s="4">
        <v>178576</v>
      </c>
    </row>
    <row r="7" spans="1:4" x14ac:dyDescent="0.25">
      <c r="A7" s="5">
        <v>45722</v>
      </c>
      <c r="B7" s="6">
        <v>2919.4</v>
      </c>
      <c r="C7" s="6">
        <v>2920</v>
      </c>
      <c r="D7" s="7">
        <v>161747</v>
      </c>
    </row>
    <row r="8" spans="1:4" x14ac:dyDescent="0.25">
      <c r="A8" s="2">
        <v>45723</v>
      </c>
      <c r="B8" s="3">
        <v>2917.1</v>
      </c>
      <c r="C8" s="3">
        <v>2917.7</v>
      </c>
      <c r="D8" s="4">
        <v>214132</v>
      </c>
    </row>
    <row r="9" spans="1:4" x14ac:dyDescent="0.25">
      <c r="A9" s="5">
        <v>45726</v>
      </c>
      <c r="B9" s="6">
        <v>2893</v>
      </c>
      <c r="C9" s="6">
        <v>2893.2</v>
      </c>
      <c r="D9" s="7">
        <v>203679</v>
      </c>
    </row>
    <row r="10" spans="1:4" x14ac:dyDescent="0.25">
      <c r="A10" s="2">
        <v>45727</v>
      </c>
      <c r="B10" s="3">
        <v>2922.4</v>
      </c>
      <c r="C10" s="3">
        <v>2923</v>
      </c>
      <c r="D10" s="4">
        <v>175729</v>
      </c>
    </row>
    <row r="11" spans="1:4" x14ac:dyDescent="0.25">
      <c r="A11" s="5">
        <v>45728</v>
      </c>
      <c r="B11" s="6">
        <v>2943.2</v>
      </c>
      <c r="C11" s="6">
        <v>2943.6</v>
      </c>
      <c r="D11" s="7">
        <v>187892</v>
      </c>
    </row>
    <row r="12" spans="1:4" x14ac:dyDescent="0.25">
      <c r="A12" s="2">
        <v>45729</v>
      </c>
      <c r="B12" s="3">
        <v>3001.1</v>
      </c>
      <c r="C12" s="3">
        <v>3001.5</v>
      </c>
      <c r="D12" s="4">
        <v>236312</v>
      </c>
    </row>
    <row r="13" spans="1:4" x14ac:dyDescent="0.25">
      <c r="A13" s="5">
        <v>45730</v>
      </c>
      <c r="B13" s="6">
        <v>2992.8</v>
      </c>
      <c r="C13" s="6">
        <v>2994.1</v>
      </c>
      <c r="D13" s="7">
        <v>176438</v>
      </c>
    </row>
    <row r="14" spans="1:4" x14ac:dyDescent="0.25">
      <c r="A14" s="2">
        <v>45733</v>
      </c>
      <c r="B14" s="3">
        <v>3009.9</v>
      </c>
      <c r="C14" s="3">
        <v>3010.2</v>
      </c>
      <c r="D14" s="4">
        <v>137556</v>
      </c>
    </row>
    <row r="15" spans="1:4" x14ac:dyDescent="0.25">
      <c r="A15" s="5">
        <v>45734</v>
      </c>
      <c r="B15" s="6">
        <v>3041.4</v>
      </c>
      <c r="C15" s="6">
        <v>3041.8</v>
      </c>
      <c r="D15" s="7">
        <v>172562</v>
      </c>
    </row>
    <row r="16" spans="1:4" x14ac:dyDescent="0.25">
      <c r="A16" s="2">
        <v>45735</v>
      </c>
      <c r="B16" s="3">
        <v>3057.2</v>
      </c>
      <c r="C16" s="3">
        <v>3057.7</v>
      </c>
      <c r="D16" s="4">
        <v>142605</v>
      </c>
    </row>
    <row r="17" spans="1:4" x14ac:dyDescent="0.25">
      <c r="A17" s="5">
        <v>45736</v>
      </c>
      <c r="B17" s="6">
        <v>3052.7</v>
      </c>
      <c r="C17" s="6">
        <v>3053.1</v>
      </c>
      <c r="D17" s="7">
        <v>138027</v>
      </c>
    </row>
    <row r="18" spans="1:4" x14ac:dyDescent="0.25">
      <c r="A18" s="2">
        <v>45737</v>
      </c>
      <c r="B18" s="3">
        <v>3028</v>
      </c>
      <c r="C18" s="3">
        <v>3028.7</v>
      </c>
      <c r="D18" s="4">
        <v>186584</v>
      </c>
    </row>
    <row r="19" spans="1:4" x14ac:dyDescent="0.25">
      <c r="A19" s="5">
        <v>45740</v>
      </c>
      <c r="B19" s="6">
        <v>3017.4</v>
      </c>
      <c r="C19" s="6">
        <v>3017.8</v>
      </c>
      <c r="D19" s="7">
        <v>199610</v>
      </c>
    </row>
    <row r="20" spans="1:4" x14ac:dyDescent="0.25">
      <c r="A20" s="2">
        <v>45741</v>
      </c>
      <c r="B20" s="3">
        <v>3025.8</v>
      </c>
      <c r="C20" s="3">
        <v>3026.5</v>
      </c>
      <c r="D20" s="4">
        <v>167460</v>
      </c>
    </row>
    <row r="21" spans="1:4" x14ac:dyDescent="0.25">
      <c r="A21" s="5">
        <v>45742</v>
      </c>
      <c r="B21" s="6">
        <v>3026.3</v>
      </c>
      <c r="C21" s="6">
        <v>3026.9</v>
      </c>
      <c r="D21" s="7">
        <v>166253</v>
      </c>
    </row>
    <row r="22" spans="1:4" x14ac:dyDescent="0.25">
      <c r="A22" s="2">
        <v>45743</v>
      </c>
      <c r="B22" s="3">
        <v>3069</v>
      </c>
      <c r="C22" s="3">
        <v>3069</v>
      </c>
      <c r="D22" s="4">
        <v>123043</v>
      </c>
    </row>
    <row r="23" spans="1:4" x14ac:dyDescent="0.25">
      <c r="A23" s="5">
        <v>45744</v>
      </c>
      <c r="B23" s="6">
        <v>3117.5</v>
      </c>
      <c r="C23" s="6">
        <v>3118</v>
      </c>
      <c r="D23" s="7">
        <v>193306</v>
      </c>
    </row>
    <row r="24" spans="1:4" x14ac:dyDescent="0.25">
      <c r="A24" s="2">
        <v>45747</v>
      </c>
      <c r="B24" s="3">
        <v>3157.2</v>
      </c>
      <c r="C24" s="3">
        <v>3157.6</v>
      </c>
      <c r="D24" s="4">
        <v>204340</v>
      </c>
    </row>
    <row r="25" spans="1:4" x14ac:dyDescent="0.25">
      <c r="A25" s="5">
        <v>45748</v>
      </c>
      <c r="B25" s="6">
        <v>3148.2</v>
      </c>
      <c r="C25" s="6">
        <v>3148.9</v>
      </c>
      <c r="D25" s="7">
        <v>191344</v>
      </c>
    </row>
    <row r="26" spans="1:4" x14ac:dyDescent="0.25">
      <c r="A26" s="2">
        <v>45749</v>
      </c>
      <c r="B26" s="3">
        <v>3187.3</v>
      </c>
      <c r="C26" s="3">
        <v>3192.5</v>
      </c>
      <c r="D26" s="4">
        <v>215406</v>
      </c>
    </row>
    <row r="27" spans="1:4" x14ac:dyDescent="0.25">
      <c r="A27" s="5">
        <v>45750</v>
      </c>
      <c r="B27" s="6">
        <v>3137.8</v>
      </c>
      <c r="C27" s="6">
        <v>3138.7</v>
      </c>
      <c r="D27" s="7">
        <v>368930</v>
      </c>
    </row>
    <row r="28" spans="1:4" x14ac:dyDescent="0.25">
      <c r="A28" s="2">
        <v>45751</v>
      </c>
      <c r="B28" s="3">
        <v>3055.8</v>
      </c>
      <c r="C28" s="3">
        <v>3056.9</v>
      </c>
      <c r="D28" s="4">
        <v>309150</v>
      </c>
    </row>
    <row r="29" spans="1:4" x14ac:dyDescent="0.25">
      <c r="A29" s="5">
        <v>45754</v>
      </c>
      <c r="B29" s="6">
        <v>2995</v>
      </c>
      <c r="C29" s="6">
        <v>3002</v>
      </c>
      <c r="D29" s="7">
        <v>303639</v>
      </c>
    </row>
    <row r="30" spans="1:4" x14ac:dyDescent="0.25">
      <c r="A30" s="2">
        <v>45755</v>
      </c>
      <c r="B30" s="3">
        <v>2996.8</v>
      </c>
      <c r="C30" s="3">
        <v>2999.9</v>
      </c>
      <c r="D30" s="4">
        <v>191636</v>
      </c>
    </row>
    <row r="31" spans="1:4" x14ac:dyDescent="0.25">
      <c r="A31" s="5">
        <v>45756</v>
      </c>
      <c r="B31" s="6">
        <v>3099.6</v>
      </c>
      <c r="C31" s="6">
        <v>3102</v>
      </c>
      <c r="D31" s="7">
        <v>287759</v>
      </c>
    </row>
    <row r="32" spans="1:4" x14ac:dyDescent="0.25">
      <c r="A32" s="2">
        <v>45757</v>
      </c>
      <c r="B32" s="3">
        <v>3193.5</v>
      </c>
      <c r="C32" s="3">
        <v>3194.5</v>
      </c>
      <c r="D32" s="4">
        <v>226814</v>
      </c>
    </row>
    <row r="33" spans="1:4" x14ac:dyDescent="0.25">
      <c r="A33" s="5">
        <v>45758</v>
      </c>
      <c r="B33" s="6">
        <v>3252.5</v>
      </c>
      <c r="C33" s="6">
        <v>3255.4</v>
      </c>
      <c r="D33" s="7">
        <v>239221</v>
      </c>
    </row>
    <row r="34" spans="1:4" x14ac:dyDescent="0.25">
      <c r="A34" s="2">
        <v>45761</v>
      </c>
      <c r="B34" s="3">
        <v>3226.5</v>
      </c>
      <c r="C34" s="3">
        <v>3227.2</v>
      </c>
      <c r="D34" s="4">
        <v>183797</v>
      </c>
    </row>
    <row r="35" spans="1:4" x14ac:dyDescent="0.25">
      <c r="A35" s="5">
        <v>45762</v>
      </c>
      <c r="B35" s="6">
        <v>3246.6</v>
      </c>
      <c r="C35" s="6">
        <v>3247.4</v>
      </c>
      <c r="D35" s="7">
        <v>118169</v>
      </c>
    </row>
    <row r="36" spans="1:4" x14ac:dyDescent="0.25">
      <c r="A36" s="2">
        <v>45763</v>
      </c>
      <c r="B36" s="3">
        <v>3357.4</v>
      </c>
      <c r="C36" s="3">
        <v>3357.7</v>
      </c>
      <c r="D36" s="4">
        <v>250439</v>
      </c>
    </row>
    <row r="37" spans="1:4" x14ac:dyDescent="0.25">
      <c r="A37" s="5">
        <v>45764</v>
      </c>
      <c r="B37" s="6">
        <v>3339.2</v>
      </c>
      <c r="C37" s="6">
        <v>3341.7</v>
      </c>
      <c r="D37" s="7">
        <v>235359</v>
      </c>
    </row>
    <row r="38" spans="1:4" x14ac:dyDescent="0.25">
      <c r="A38" s="2">
        <v>45768</v>
      </c>
      <c r="B38" s="3">
        <v>3435</v>
      </c>
      <c r="C38" s="3">
        <v>3435.6</v>
      </c>
      <c r="D38" s="4">
        <v>235195</v>
      </c>
    </row>
    <row r="39" spans="1:4" x14ac:dyDescent="0.25">
      <c r="A39" s="5">
        <v>45769</v>
      </c>
      <c r="B39" s="6">
        <v>3391.4</v>
      </c>
      <c r="C39" s="6">
        <v>3391.8</v>
      </c>
      <c r="D39" s="7">
        <v>408423</v>
      </c>
    </row>
    <row r="40" spans="1:4" x14ac:dyDescent="0.25">
      <c r="A40" s="2">
        <v>45770</v>
      </c>
      <c r="B40" s="3">
        <v>3301.1</v>
      </c>
      <c r="C40" s="3">
        <v>3302</v>
      </c>
      <c r="D40" s="4">
        <v>367529</v>
      </c>
    </row>
    <row r="41" spans="1:4" x14ac:dyDescent="0.25">
      <c r="A41" s="5">
        <v>45771</v>
      </c>
      <c r="B41" s="6">
        <v>3361</v>
      </c>
      <c r="C41" s="6">
        <v>3361.8</v>
      </c>
      <c r="D41" s="7">
        <v>234897</v>
      </c>
    </row>
    <row r="42" spans="1:4" x14ac:dyDescent="0.25">
      <c r="A42" s="2">
        <v>45772</v>
      </c>
      <c r="B42" s="3">
        <v>3330.2</v>
      </c>
      <c r="C42" s="3">
        <v>3331.1</v>
      </c>
      <c r="D42" s="4">
        <v>235015</v>
      </c>
    </row>
    <row r="43" spans="1:4" x14ac:dyDescent="0.25">
      <c r="A43" s="5">
        <v>45775</v>
      </c>
      <c r="B43" s="6">
        <v>3354.5</v>
      </c>
      <c r="C43" s="6">
        <v>3355.2</v>
      </c>
      <c r="D43" s="7">
        <v>215264</v>
      </c>
    </row>
    <row r="44" spans="1:4" x14ac:dyDescent="0.25">
      <c r="A44" s="2">
        <v>45776</v>
      </c>
      <c r="B44" s="3">
        <v>3327.2</v>
      </c>
      <c r="C44" s="3">
        <v>3328</v>
      </c>
      <c r="D44" s="4">
        <v>167035</v>
      </c>
    </row>
    <row r="45" spans="1:4" x14ac:dyDescent="0.25">
      <c r="A45" s="5">
        <v>45777</v>
      </c>
      <c r="B45" s="6">
        <v>3298.7</v>
      </c>
      <c r="C45" s="6">
        <v>3299.7</v>
      </c>
      <c r="D45" s="7">
        <v>204139</v>
      </c>
    </row>
    <row r="46" spans="1:4" x14ac:dyDescent="0.25">
      <c r="A46" s="2">
        <v>45778</v>
      </c>
      <c r="B46" s="3">
        <v>3247.7</v>
      </c>
      <c r="C46" s="3">
        <v>3248.5</v>
      </c>
      <c r="D46" s="4">
        <v>212466</v>
      </c>
    </row>
    <row r="47" spans="1:4" x14ac:dyDescent="0.25">
      <c r="A47" s="5">
        <v>45779</v>
      </c>
      <c r="B47" s="6">
        <v>3246.9</v>
      </c>
      <c r="C47" s="6">
        <v>3247.6</v>
      </c>
      <c r="D47" s="7">
        <v>208080</v>
      </c>
    </row>
    <row r="48" spans="1:4" x14ac:dyDescent="0.25">
      <c r="A48" s="2">
        <v>45782</v>
      </c>
      <c r="B48" s="3">
        <v>3343.2</v>
      </c>
      <c r="C48" s="3">
        <v>3344.2</v>
      </c>
      <c r="D48" s="4">
        <v>182308</v>
      </c>
    </row>
    <row r="49" spans="1:4" x14ac:dyDescent="0.25">
      <c r="A49" s="5">
        <v>45783</v>
      </c>
      <c r="B49" s="6">
        <v>3440.9</v>
      </c>
      <c r="C49" s="6">
        <v>3442.1</v>
      </c>
      <c r="D49" s="7">
        <v>261266</v>
      </c>
    </row>
    <row r="50" spans="1:4" x14ac:dyDescent="0.25">
      <c r="A50" s="2">
        <v>45784</v>
      </c>
      <c r="B50" s="3">
        <v>3372</v>
      </c>
      <c r="C50" s="3">
        <v>3373</v>
      </c>
      <c r="D50" s="4">
        <v>275912</v>
      </c>
    </row>
    <row r="51" spans="1:4" x14ac:dyDescent="0.25">
      <c r="A51" s="5">
        <v>45785</v>
      </c>
      <c r="B51" s="6">
        <v>3310</v>
      </c>
      <c r="C51" s="6">
        <v>3310.4</v>
      </c>
      <c r="D51" s="7">
        <v>300032</v>
      </c>
    </row>
    <row r="52" spans="1:4" x14ac:dyDescent="0.25">
      <c r="A52" s="2">
        <v>45786</v>
      </c>
      <c r="B52" s="3">
        <v>3328.5</v>
      </c>
      <c r="C52" s="3">
        <v>3329.3</v>
      </c>
      <c r="D52" s="4">
        <v>211207</v>
      </c>
    </row>
    <row r="53" spans="1:4" x14ac:dyDescent="0.25">
      <c r="A53" s="5">
        <v>45789</v>
      </c>
      <c r="B53" s="6">
        <v>3241.3</v>
      </c>
      <c r="C53" s="6">
        <v>3242.1</v>
      </c>
      <c r="D53" s="7">
        <v>290746</v>
      </c>
    </row>
    <row r="54" spans="1:4" x14ac:dyDescent="0.25">
      <c r="A54" s="2">
        <v>45790</v>
      </c>
      <c r="B54" s="3">
        <v>3254.2</v>
      </c>
      <c r="C54" s="3">
        <v>3255.1</v>
      </c>
      <c r="D54" s="4">
        <v>201057</v>
      </c>
    </row>
    <row r="55" spans="1:4" x14ac:dyDescent="0.25">
      <c r="A55" s="5">
        <v>45791</v>
      </c>
      <c r="B55" s="6">
        <v>3180.5</v>
      </c>
      <c r="C55" s="6">
        <v>3181.2</v>
      </c>
      <c r="D55" s="7">
        <v>229851</v>
      </c>
    </row>
    <row r="56" spans="1:4" x14ac:dyDescent="0.25">
      <c r="A56" s="2">
        <v>45792</v>
      </c>
      <c r="B56" s="3">
        <v>3243.5</v>
      </c>
      <c r="C56" s="3">
        <v>3244.4</v>
      </c>
      <c r="D56" s="4">
        <v>250878</v>
      </c>
    </row>
    <row r="57" spans="1:4" x14ac:dyDescent="0.25">
      <c r="A57" s="5">
        <v>45793</v>
      </c>
      <c r="B57" s="6">
        <v>3205.3</v>
      </c>
      <c r="C57" s="6">
        <v>3205.4</v>
      </c>
      <c r="D57" s="7">
        <v>240421</v>
      </c>
    </row>
    <row r="58" spans="1:4" x14ac:dyDescent="0.25">
      <c r="A58" s="2">
        <v>45796</v>
      </c>
      <c r="B58" s="3">
        <v>3231.5</v>
      </c>
      <c r="C58" s="3">
        <v>3232.6</v>
      </c>
      <c r="D58" s="4">
        <v>182651</v>
      </c>
    </row>
    <row r="59" spans="1:4" x14ac:dyDescent="0.25">
      <c r="A59" s="5">
        <v>45797</v>
      </c>
      <c r="B59" s="6">
        <v>3292.1</v>
      </c>
      <c r="C59" s="6">
        <v>3292.8</v>
      </c>
      <c r="D59" s="7">
        <v>221476</v>
      </c>
    </row>
    <row r="60" spans="1:4" x14ac:dyDescent="0.25">
      <c r="A60" s="2">
        <v>45798</v>
      </c>
      <c r="B60" s="3">
        <v>3316.4</v>
      </c>
      <c r="C60" s="3">
        <v>3316.9</v>
      </c>
      <c r="D60" s="4">
        <v>226103</v>
      </c>
    </row>
    <row r="61" spans="1:4" x14ac:dyDescent="0.25">
      <c r="A61" s="5">
        <v>45799</v>
      </c>
      <c r="B61" s="6">
        <v>3294.5</v>
      </c>
      <c r="C61" s="6">
        <v>3295.4</v>
      </c>
      <c r="D61" s="7">
        <v>231393</v>
      </c>
    </row>
    <row r="62" spans="1:4" x14ac:dyDescent="0.25">
      <c r="A62" s="2">
        <v>45800</v>
      </c>
      <c r="B62" s="3">
        <v>3357</v>
      </c>
      <c r="C62" s="3">
        <v>3357.9</v>
      </c>
      <c r="D62" s="4">
        <v>238139</v>
      </c>
    </row>
    <row r="63" spans="1:4" x14ac:dyDescent="0.25">
      <c r="A63" s="5">
        <v>45804</v>
      </c>
      <c r="B63" s="6">
        <v>3299.3</v>
      </c>
      <c r="C63" s="6">
        <v>3300.1</v>
      </c>
      <c r="D63" s="7">
        <v>291990</v>
      </c>
    </row>
    <row r="64" spans="1:4" x14ac:dyDescent="0.25">
      <c r="A64" s="2">
        <v>45805</v>
      </c>
      <c r="B64" s="3">
        <v>3282</v>
      </c>
      <c r="C64" s="3">
        <v>3284.4</v>
      </c>
      <c r="D64" s="4">
        <v>118485</v>
      </c>
    </row>
    <row r="65" spans="1:4" x14ac:dyDescent="0.25">
      <c r="A65" s="5">
        <v>45806</v>
      </c>
      <c r="B65" s="6">
        <v>3341.9</v>
      </c>
      <c r="C65" s="6">
        <v>3342.8</v>
      </c>
      <c r="D65" s="7">
        <v>225050</v>
      </c>
    </row>
    <row r="66" spans="1:4" x14ac:dyDescent="0.25">
      <c r="A66" s="2">
        <v>45807</v>
      </c>
      <c r="B66" s="3">
        <v>3312.5</v>
      </c>
      <c r="C66" s="3">
        <v>3313.7</v>
      </c>
      <c r="D66" s="4">
        <v>182769</v>
      </c>
    </row>
    <row r="67" spans="1:4" x14ac:dyDescent="0.25">
      <c r="A67" s="5">
        <v>45810</v>
      </c>
      <c r="B67" s="6">
        <v>3406</v>
      </c>
      <c r="C67" s="6">
        <v>3407</v>
      </c>
      <c r="D67" s="7">
        <v>175908</v>
      </c>
    </row>
    <row r="68" spans="1:4" x14ac:dyDescent="0.25">
      <c r="A68" s="2">
        <v>45811</v>
      </c>
      <c r="B68" s="3">
        <v>3376.6</v>
      </c>
      <c r="C68" s="3">
        <v>3377.4</v>
      </c>
      <c r="D68" s="4">
        <v>162647</v>
      </c>
    </row>
    <row r="69" spans="1:4" x14ac:dyDescent="0.25">
      <c r="A69" s="5">
        <v>45812</v>
      </c>
      <c r="B69" s="6">
        <v>3397.2</v>
      </c>
      <c r="C69" s="6">
        <v>3397.8</v>
      </c>
      <c r="D69" s="7">
        <v>164670</v>
      </c>
    </row>
    <row r="70" spans="1:4" x14ac:dyDescent="0.25">
      <c r="A70" s="2">
        <v>45813</v>
      </c>
      <c r="B70" s="3">
        <v>3375.7</v>
      </c>
      <c r="C70" s="3">
        <v>3376.9</v>
      </c>
      <c r="D70" s="4">
        <v>219861</v>
      </c>
    </row>
    <row r="71" spans="1:4" x14ac:dyDescent="0.25">
      <c r="A71" s="5">
        <v>45814</v>
      </c>
      <c r="B71" s="6">
        <v>3330.1</v>
      </c>
      <c r="C71" s="6">
        <v>3331.3</v>
      </c>
      <c r="D71" s="7">
        <v>183467</v>
      </c>
    </row>
    <row r="72" spans="1:4" x14ac:dyDescent="0.25">
      <c r="A72" s="2">
        <v>45817</v>
      </c>
      <c r="B72" s="3">
        <v>3346.3</v>
      </c>
      <c r="C72" s="3">
        <v>3347.3</v>
      </c>
      <c r="D72" s="4">
        <v>139129</v>
      </c>
    </row>
    <row r="73" spans="1:4" x14ac:dyDescent="0.25">
      <c r="A73" s="5">
        <v>45818</v>
      </c>
      <c r="B73" s="6">
        <v>3344.4</v>
      </c>
      <c r="C73" s="6">
        <v>3345.4</v>
      </c>
      <c r="D73" s="7">
        <v>155894</v>
      </c>
    </row>
    <row r="74" spans="1:4" x14ac:dyDescent="0.25">
      <c r="A74" s="2">
        <v>45819</v>
      </c>
      <c r="B74" s="3">
        <v>3375.7</v>
      </c>
      <c r="C74" s="3">
        <v>3376.9</v>
      </c>
      <c r="D74" s="4">
        <v>199415</v>
      </c>
    </row>
    <row r="75" spans="1:4" x14ac:dyDescent="0.25">
      <c r="A75" s="5">
        <v>45820</v>
      </c>
      <c r="B75" s="6">
        <v>3405.8</v>
      </c>
      <c r="C75" s="6">
        <v>3406.9</v>
      </c>
      <c r="D75" s="7">
        <v>224107</v>
      </c>
    </row>
    <row r="76" spans="1:4" x14ac:dyDescent="0.25">
      <c r="A76" s="2">
        <v>45821</v>
      </c>
      <c r="B76" s="3">
        <v>3448.5</v>
      </c>
      <c r="C76" s="3">
        <v>3456.5</v>
      </c>
      <c r="D76" s="4">
        <v>264252</v>
      </c>
    </row>
    <row r="77" spans="1:4" x14ac:dyDescent="0.25">
      <c r="A77" s="5">
        <v>45824</v>
      </c>
      <c r="B77" s="6">
        <v>3403</v>
      </c>
      <c r="C77" s="6">
        <v>3404</v>
      </c>
      <c r="D77" s="7">
        <v>189837</v>
      </c>
    </row>
    <row r="78" spans="1:4" x14ac:dyDescent="0.25">
      <c r="A78" s="2">
        <v>45825</v>
      </c>
      <c r="B78" s="3">
        <v>3406.2</v>
      </c>
      <c r="C78" s="3">
        <v>3406.7</v>
      </c>
      <c r="D78" s="4">
        <v>205708</v>
      </c>
    </row>
    <row r="79" spans="1:4" x14ac:dyDescent="0.25">
      <c r="A79" s="5">
        <v>45826</v>
      </c>
      <c r="B79" s="6">
        <v>3386.1</v>
      </c>
      <c r="C79" s="6">
        <v>3386.9</v>
      </c>
      <c r="D79" s="7">
        <v>175613</v>
      </c>
    </row>
    <row r="80" spans="1:4" x14ac:dyDescent="0.25">
      <c r="A80" s="2">
        <v>45828</v>
      </c>
      <c r="B80" s="3">
        <v>3383.8</v>
      </c>
      <c r="C80" s="3">
        <v>3384.9</v>
      </c>
      <c r="D80" s="4">
        <v>277314</v>
      </c>
    </row>
    <row r="81" spans="1:4" x14ac:dyDescent="0.25">
      <c r="A81" s="5">
        <v>45831</v>
      </c>
      <c r="B81" s="6">
        <v>3383.3</v>
      </c>
      <c r="C81" s="6">
        <v>3385</v>
      </c>
      <c r="D81" s="7">
        <v>190650</v>
      </c>
    </row>
    <row r="82" spans="1:4" x14ac:dyDescent="0.25">
      <c r="A82" s="2">
        <v>45832</v>
      </c>
      <c r="B82" s="3">
        <v>3338</v>
      </c>
      <c r="C82" s="3">
        <v>3338.9</v>
      </c>
      <c r="D82" s="4">
        <v>222853</v>
      </c>
    </row>
    <row r="83" spans="1:4" x14ac:dyDescent="0.25">
      <c r="A83" s="5">
        <v>45833</v>
      </c>
      <c r="B83" s="6">
        <v>3346.3</v>
      </c>
      <c r="C83" s="6">
        <v>3347.1</v>
      </c>
      <c r="D83" s="7">
        <v>127482</v>
      </c>
    </row>
    <row r="84" spans="1:4" x14ac:dyDescent="0.25">
      <c r="A84" s="2">
        <v>45834</v>
      </c>
      <c r="B84" s="3">
        <v>3341.3</v>
      </c>
      <c r="C84" s="3">
        <v>3342.1</v>
      </c>
      <c r="D84" s="4">
        <v>152864</v>
      </c>
    </row>
    <row r="85" spans="1:4" x14ac:dyDescent="0.25">
      <c r="A85" s="5">
        <v>45835</v>
      </c>
      <c r="B85" s="6">
        <v>3285.4</v>
      </c>
      <c r="C85" s="6">
        <v>3286.2</v>
      </c>
      <c r="D85" s="7">
        <v>213305</v>
      </c>
    </row>
    <row r="86" spans="1:4" x14ac:dyDescent="0.25">
      <c r="A86" s="2">
        <v>45838</v>
      </c>
      <c r="B86" s="3">
        <v>3314.7</v>
      </c>
      <c r="C86" s="3">
        <v>3315.7</v>
      </c>
      <c r="D86" s="4">
        <v>141501</v>
      </c>
    </row>
    <row r="87" spans="1:4" x14ac:dyDescent="0.25">
      <c r="A87" s="5">
        <v>45839</v>
      </c>
      <c r="B87" s="6">
        <v>3349.3</v>
      </c>
      <c r="C87" s="6">
        <v>3350.3</v>
      </c>
      <c r="D87" s="7">
        <v>164455</v>
      </c>
    </row>
    <row r="88" spans="1:4" x14ac:dyDescent="0.25">
      <c r="A88" s="2">
        <v>45840</v>
      </c>
      <c r="B88" s="3">
        <v>3368.4</v>
      </c>
      <c r="C88" s="3">
        <v>3369.1</v>
      </c>
      <c r="D88" s="4">
        <v>129509.999999999</v>
      </c>
    </row>
    <row r="89" spans="1:4" x14ac:dyDescent="0.25">
      <c r="A89" s="5">
        <v>45841</v>
      </c>
      <c r="B89" s="6">
        <v>3335.4</v>
      </c>
      <c r="C89" s="6">
        <v>3336.4</v>
      </c>
      <c r="D89" s="7">
        <v>151511</v>
      </c>
    </row>
    <row r="90" spans="1:4" x14ac:dyDescent="0.25">
      <c r="A90" s="2">
        <v>45845</v>
      </c>
      <c r="B90" s="3">
        <v>3346.4</v>
      </c>
      <c r="C90" s="3">
        <v>3347.2</v>
      </c>
      <c r="D90" s="4">
        <v>170592</v>
      </c>
    </row>
    <row r="91" spans="1:4" x14ac:dyDescent="0.25">
      <c r="A91" s="5">
        <v>45846</v>
      </c>
      <c r="B91" s="6">
        <v>3310.5</v>
      </c>
      <c r="C91" s="6">
        <v>3311.1</v>
      </c>
      <c r="D91" s="7">
        <v>202143</v>
      </c>
    </row>
    <row r="92" spans="1:4" x14ac:dyDescent="0.25">
      <c r="A92" s="2">
        <v>45847</v>
      </c>
      <c r="B92" s="3">
        <v>3321.9</v>
      </c>
      <c r="C92" s="3">
        <v>3322.9</v>
      </c>
      <c r="D92" s="4">
        <v>155832</v>
      </c>
    </row>
    <row r="93" spans="1:4" x14ac:dyDescent="0.25">
      <c r="A93" s="5">
        <v>45848</v>
      </c>
      <c r="B93" s="6">
        <v>3333</v>
      </c>
      <c r="C93" s="6">
        <v>3333.7</v>
      </c>
      <c r="D93" s="7">
        <v>148397</v>
      </c>
    </row>
    <row r="94" spans="1:4" x14ac:dyDescent="0.25">
      <c r="A94" s="2">
        <v>45849</v>
      </c>
      <c r="B94" s="3">
        <v>3370.3</v>
      </c>
      <c r="C94" s="3">
        <v>3370.6</v>
      </c>
      <c r="D94" s="4">
        <v>207036</v>
      </c>
    </row>
    <row r="95" spans="1:4" x14ac:dyDescent="0.25">
      <c r="A95" s="5">
        <v>45852</v>
      </c>
      <c r="B95" s="6">
        <v>3351.7</v>
      </c>
      <c r="C95" s="6">
        <v>3352.3</v>
      </c>
      <c r="D95" s="7">
        <v>180941</v>
      </c>
    </row>
    <row r="96" spans="1:4" x14ac:dyDescent="0.25">
      <c r="A96" s="2">
        <v>45853</v>
      </c>
      <c r="B96" s="3">
        <v>3330</v>
      </c>
      <c r="C96" s="3">
        <v>3330.8</v>
      </c>
      <c r="D96" s="4">
        <v>177332</v>
      </c>
    </row>
    <row r="97" spans="1:4" x14ac:dyDescent="0.25">
      <c r="A97" s="5">
        <v>45854</v>
      </c>
      <c r="B97" s="6">
        <v>3353.7</v>
      </c>
      <c r="C97" s="6">
        <v>3354.6</v>
      </c>
      <c r="D97" s="7">
        <v>232509</v>
      </c>
    </row>
    <row r="98" spans="1:4" x14ac:dyDescent="0.25">
      <c r="A98" s="2">
        <v>45855</v>
      </c>
      <c r="B98" s="3">
        <v>3345</v>
      </c>
      <c r="C98" s="3">
        <v>3345.7</v>
      </c>
      <c r="D98" s="4">
        <v>158850</v>
      </c>
    </row>
    <row r="99" spans="1:4" x14ac:dyDescent="0.25">
      <c r="A99" s="5">
        <v>45856</v>
      </c>
      <c r="B99" s="6">
        <v>3354.7</v>
      </c>
      <c r="C99" s="6">
        <v>3355.7</v>
      </c>
      <c r="D99" s="7">
        <v>112998</v>
      </c>
    </row>
    <row r="100" spans="1:4" x14ac:dyDescent="0.25">
      <c r="A100" s="2">
        <v>45859</v>
      </c>
      <c r="B100" s="3">
        <v>3410.2</v>
      </c>
      <c r="C100" s="3">
        <v>3410.5</v>
      </c>
      <c r="D100" s="4">
        <v>185346</v>
      </c>
    </row>
    <row r="101" spans="1:4" x14ac:dyDescent="0.25">
      <c r="A101" s="5">
        <v>45860</v>
      </c>
      <c r="B101" s="6">
        <v>3443.6</v>
      </c>
      <c r="C101" s="6">
        <v>3444.3</v>
      </c>
      <c r="D101" s="7">
        <v>217981</v>
      </c>
    </row>
    <row r="102" spans="1:4" x14ac:dyDescent="0.25">
      <c r="A102" s="2">
        <v>45861</v>
      </c>
      <c r="B102" s="3">
        <v>3397.1</v>
      </c>
      <c r="C102" s="3">
        <v>3397.5</v>
      </c>
      <c r="D102" s="4">
        <v>255347</v>
      </c>
    </row>
    <row r="103" spans="1:4" x14ac:dyDescent="0.25">
      <c r="A103" s="5">
        <v>45862</v>
      </c>
      <c r="B103" s="6">
        <v>3371</v>
      </c>
      <c r="C103" s="6">
        <v>3371.8</v>
      </c>
      <c r="D103" s="7">
        <v>206658</v>
      </c>
    </row>
    <row r="104" spans="1:4" x14ac:dyDescent="0.25">
      <c r="A104" s="2">
        <v>45863</v>
      </c>
      <c r="B104" s="3">
        <v>3337.9</v>
      </c>
      <c r="C104" s="3">
        <v>3338.6</v>
      </c>
      <c r="D104" s="4">
        <v>193190</v>
      </c>
    </row>
    <row r="105" spans="1:4" x14ac:dyDescent="0.25">
      <c r="A105" s="5">
        <v>45866</v>
      </c>
      <c r="B105" s="6">
        <v>3313.6</v>
      </c>
      <c r="C105" s="6">
        <v>3314.3</v>
      </c>
      <c r="D105" s="7">
        <v>176453</v>
      </c>
    </row>
    <row r="106" spans="1:4" x14ac:dyDescent="0.25">
      <c r="A106" s="2">
        <v>45867</v>
      </c>
      <c r="B106" s="3">
        <v>3325.5</v>
      </c>
      <c r="C106" s="3">
        <v>3330</v>
      </c>
      <c r="D106" s="4">
        <v>109100</v>
      </c>
    </row>
    <row r="107" spans="1:4" x14ac:dyDescent="0.25">
      <c r="A107" s="5">
        <v>45868</v>
      </c>
      <c r="B107" s="6">
        <v>3327.5</v>
      </c>
      <c r="C107" s="6">
        <v>3328.5</v>
      </c>
      <c r="D107" s="7">
        <v>199903</v>
      </c>
    </row>
    <row r="108" spans="1:4" x14ac:dyDescent="0.25">
      <c r="A108" s="2">
        <v>45869</v>
      </c>
      <c r="B108" s="3">
        <v>3341.9</v>
      </c>
      <c r="C108" s="3">
        <v>3342.8</v>
      </c>
      <c r="D108" s="4">
        <v>154581</v>
      </c>
    </row>
    <row r="109" spans="1:4" x14ac:dyDescent="0.25">
      <c r="A109" s="5">
        <v>45870</v>
      </c>
      <c r="B109" s="6">
        <v>3415.7</v>
      </c>
      <c r="C109" s="6">
        <v>3416</v>
      </c>
      <c r="D109" s="7">
        <v>222301</v>
      </c>
    </row>
    <row r="110" spans="1:4" x14ac:dyDescent="0.25">
      <c r="A110" s="2">
        <v>45873</v>
      </c>
      <c r="B110" s="3">
        <v>3428</v>
      </c>
      <c r="C110" s="3">
        <v>3428.9</v>
      </c>
      <c r="D110" s="4">
        <v>132941</v>
      </c>
    </row>
    <row r="111" spans="1:4" x14ac:dyDescent="0.25">
      <c r="A111" s="5">
        <v>45874</v>
      </c>
      <c r="B111" s="6">
        <v>3434.8</v>
      </c>
      <c r="C111" s="6">
        <v>3435.5</v>
      </c>
      <c r="D111" s="7">
        <v>150132</v>
      </c>
    </row>
    <row r="112" spans="1:4" x14ac:dyDescent="0.25">
      <c r="A112" s="2">
        <v>45875</v>
      </c>
      <c r="B112" s="3">
        <v>3431.4</v>
      </c>
      <c r="C112" s="3">
        <v>3432.2</v>
      </c>
      <c r="D112" s="4">
        <v>143644</v>
      </c>
    </row>
    <row r="113" spans="1:4" x14ac:dyDescent="0.25">
      <c r="A113" s="5">
        <v>45876</v>
      </c>
      <c r="B113" s="6">
        <v>3482.7</v>
      </c>
      <c r="C113" s="6">
        <v>3483.2</v>
      </c>
      <c r="D113" s="7">
        <v>243375</v>
      </c>
    </row>
    <row r="114" spans="1:4" x14ac:dyDescent="0.25">
      <c r="A114" s="2">
        <v>45877</v>
      </c>
      <c r="B114" s="3">
        <v>3457.6</v>
      </c>
      <c r="C114" s="3">
        <v>3459.4</v>
      </c>
      <c r="D114" s="4">
        <v>312499</v>
      </c>
    </row>
    <row r="115" spans="1:4" x14ac:dyDescent="0.25">
      <c r="A115" s="5">
        <v>45880</v>
      </c>
      <c r="B115" s="6">
        <v>3393</v>
      </c>
      <c r="C115" s="6">
        <v>3394.8</v>
      </c>
      <c r="D115" s="7">
        <v>216925</v>
      </c>
    </row>
    <row r="116" spans="1:4" x14ac:dyDescent="0.25">
      <c r="A116" s="2">
        <v>45881</v>
      </c>
      <c r="B116" s="3">
        <v>3399.2</v>
      </c>
      <c r="C116" s="3">
        <v>3400</v>
      </c>
      <c r="D116" s="4">
        <v>189872</v>
      </c>
    </row>
    <row r="117" spans="1:4" x14ac:dyDescent="0.25">
      <c r="A117" s="5">
        <v>45882</v>
      </c>
      <c r="B117" s="6">
        <v>3406.8</v>
      </c>
      <c r="C117" s="6">
        <v>3407.3</v>
      </c>
      <c r="D117" s="7">
        <v>132393</v>
      </c>
    </row>
    <row r="118" spans="1:4" x14ac:dyDescent="0.25">
      <c r="A118" s="2">
        <v>45883</v>
      </c>
      <c r="B118" s="3">
        <v>3381.7</v>
      </c>
      <c r="C118" s="3">
        <v>3382.3</v>
      </c>
      <c r="D118" s="4">
        <v>162641</v>
      </c>
    </row>
    <row r="119" spans="1:4" x14ac:dyDescent="0.25">
      <c r="A119" s="5">
        <v>45884</v>
      </c>
      <c r="B119" s="6">
        <v>3381.4</v>
      </c>
      <c r="C119" s="6">
        <v>3383.4</v>
      </c>
      <c r="D119" s="7">
        <v>115486</v>
      </c>
    </row>
    <row r="120" spans="1:4" x14ac:dyDescent="0.25">
      <c r="A120" s="2">
        <v>45887</v>
      </c>
      <c r="B120" s="3">
        <v>3377.9</v>
      </c>
      <c r="C120" s="3">
        <v>3378.3</v>
      </c>
      <c r="D120" s="4">
        <v>116076</v>
      </c>
    </row>
    <row r="121" spans="1:4" x14ac:dyDescent="0.25">
      <c r="A121" s="5">
        <v>45888</v>
      </c>
      <c r="B121" s="6">
        <v>3358.5</v>
      </c>
      <c r="C121" s="6">
        <v>3359.3</v>
      </c>
      <c r="D121" s="7">
        <v>129232</v>
      </c>
    </row>
    <row r="122" spans="1:4" x14ac:dyDescent="0.25">
      <c r="A122" s="2">
        <v>45889</v>
      </c>
      <c r="B122" s="3">
        <v>3392</v>
      </c>
      <c r="C122" s="3">
        <v>3392.5</v>
      </c>
      <c r="D122" s="4">
        <v>130579</v>
      </c>
    </row>
    <row r="123" spans="1:4" x14ac:dyDescent="0.25">
      <c r="A123" s="5">
        <v>45890</v>
      </c>
      <c r="B123" s="6">
        <v>3383</v>
      </c>
      <c r="C123" s="6">
        <v>3383.8</v>
      </c>
      <c r="D123" s="7">
        <v>119576</v>
      </c>
    </row>
    <row r="124" spans="1:4" x14ac:dyDescent="0.25">
      <c r="A124" s="2">
        <v>45891</v>
      </c>
      <c r="B124" s="3">
        <v>3416.8</v>
      </c>
      <c r="C124" s="3">
        <v>3417.6</v>
      </c>
      <c r="D124" s="4">
        <v>179273</v>
      </c>
    </row>
    <row r="125" spans="1:4" x14ac:dyDescent="0.25">
      <c r="A125" s="5">
        <v>45894</v>
      </c>
      <c r="B125" s="6">
        <v>3410.5</v>
      </c>
      <c r="C125" s="6">
        <v>3410.8</v>
      </c>
      <c r="D125" s="7">
        <v>94317</v>
      </c>
    </row>
    <row r="126" spans="1:4" x14ac:dyDescent="0.25">
      <c r="A126" s="2">
        <v>45895</v>
      </c>
      <c r="B126" s="3">
        <v>3443</v>
      </c>
      <c r="C126" s="3">
        <v>3443.3</v>
      </c>
      <c r="D126" s="4">
        <v>168954</v>
      </c>
    </row>
    <row r="127" spans="1:4" x14ac:dyDescent="0.25">
      <c r="A127" s="5">
        <v>45896</v>
      </c>
      <c r="B127" s="6">
        <v>3451.5</v>
      </c>
      <c r="C127" s="6">
        <v>3452</v>
      </c>
      <c r="D127" s="7">
        <v>147058</v>
      </c>
    </row>
    <row r="128" spans="1:4" x14ac:dyDescent="0.25">
      <c r="A128" s="2">
        <v>45897</v>
      </c>
      <c r="B128" s="3">
        <v>3476.8</v>
      </c>
      <c r="C128" s="3">
        <v>3477.1</v>
      </c>
      <c r="D128" s="4">
        <v>151643</v>
      </c>
    </row>
    <row r="129" spans="1:4" x14ac:dyDescent="0.25">
      <c r="A129" s="5">
        <v>45898</v>
      </c>
      <c r="B129" s="6">
        <v>3516</v>
      </c>
      <c r="C129" s="6">
        <v>3517</v>
      </c>
      <c r="D129" s="7">
        <v>180059</v>
      </c>
    </row>
    <row r="130" spans="1:4" x14ac:dyDescent="0.25">
      <c r="A130" s="2">
        <v>45902</v>
      </c>
      <c r="B130" s="3">
        <v>3599.5</v>
      </c>
      <c r="C130" s="3">
        <v>3600.1</v>
      </c>
      <c r="D130" s="4">
        <v>363781</v>
      </c>
    </row>
    <row r="131" spans="1:4" x14ac:dyDescent="0.25">
      <c r="A131" s="5">
        <v>45903</v>
      </c>
      <c r="B131" s="6">
        <v>3619.2</v>
      </c>
      <c r="C131" s="6">
        <v>3620</v>
      </c>
      <c r="D131" s="7">
        <v>215728</v>
      </c>
    </row>
    <row r="132" spans="1:4" x14ac:dyDescent="0.25">
      <c r="A132" s="2">
        <v>45904</v>
      </c>
      <c r="B132" s="3">
        <v>3601.7</v>
      </c>
      <c r="C132" s="3">
        <v>3602.7</v>
      </c>
      <c r="D132" s="4">
        <v>229950</v>
      </c>
    </row>
    <row r="133" spans="1:4" x14ac:dyDescent="0.25">
      <c r="A133" s="5">
        <v>45905</v>
      </c>
      <c r="B133" s="6">
        <v>3639.6</v>
      </c>
      <c r="C133" s="6">
        <v>3640.1</v>
      </c>
      <c r="D133" s="7">
        <v>230263</v>
      </c>
    </row>
    <row r="134" spans="1:4" x14ac:dyDescent="0.25">
      <c r="A134" s="2">
        <v>45908</v>
      </c>
      <c r="B134" s="3">
        <v>3677.2</v>
      </c>
      <c r="C134" s="3">
        <v>3678</v>
      </c>
      <c r="D134" s="4">
        <v>220410</v>
      </c>
    </row>
    <row r="135" spans="1:4" x14ac:dyDescent="0.25">
      <c r="A135" s="5">
        <v>45909</v>
      </c>
      <c r="B135" s="6">
        <v>3663.5</v>
      </c>
      <c r="C135" s="6">
        <v>3664.1</v>
      </c>
      <c r="D135" s="7">
        <v>257257</v>
      </c>
    </row>
    <row r="136" spans="1:4" x14ac:dyDescent="0.25">
      <c r="A136" s="2">
        <v>45910</v>
      </c>
      <c r="B136" s="3">
        <v>3680.2</v>
      </c>
      <c r="C136" s="3">
        <v>3680.9</v>
      </c>
      <c r="D136" s="4">
        <v>176290</v>
      </c>
    </row>
    <row r="137" spans="1:4" x14ac:dyDescent="0.25">
      <c r="A137" s="5">
        <v>45911</v>
      </c>
      <c r="B137" s="6">
        <v>3673</v>
      </c>
      <c r="C137" s="6">
        <v>3673.4</v>
      </c>
      <c r="D137" s="7">
        <v>207139</v>
      </c>
    </row>
    <row r="138" spans="1:4" x14ac:dyDescent="0.25">
      <c r="A138" s="2">
        <v>45912</v>
      </c>
      <c r="B138" s="3">
        <v>3680.4</v>
      </c>
      <c r="C138" s="3">
        <v>3681.2</v>
      </c>
      <c r="D138" s="4">
        <v>147566</v>
      </c>
    </row>
    <row r="139" spans="1:4" x14ac:dyDescent="0.25">
      <c r="A139" s="5">
        <v>45915</v>
      </c>
      <c r="B139" s="6">
        <v>3719.1</v>
      </c>
      <c r="C139" s="6">
        <v>3719.8</v>
      </c>
      <c r="D139" s="7">
        <v>184826</v>
      </c>
    </row>
    <row r="140" spans="1:4" x14ac:dyDescent="0.25">
      <c r="A140" s="2">
        <v>45916</v>
      </c>
      <c r="B140" s="3">
        <v>3727.2</v>
      </c>
      <c r="C140" s="3">
        <v>3728</v>
      </c>
      <c r="D140" s="4">
        <v>188740</v>
      </c>
    </row>
    <row r="141" spans="1:4" x14ac:dyDescent="0.25">
      <c r="A141" s="5">
        <v>45917</v>
      </c>
      <c r="B141" s="6">
        <v>3694.2</v>
      </c>
      <c r="C141" s="6">
        <v>3694.9</v>
      </c>
      <c r="D141" s="7">
        <v>251910</v>
      </c>
    </row>
    <row r="142" spans="1:4" x14ac:dyDescent="0.25">
      <c r="A142" s="2">
        <v>45918</v>
      </c>
      <c r="B142" s="3">
        <v>3677.9</v>
      </c>
      <c r="C142" s="3">
        <v>3678.5</v>
      </c>
      <c r="D142" s="4">
        <v>218568</v>
      </c>
    </row>
    <row r="143" spans="1:4" x14ac:dyDescent="0.25">
      <c r="A143" s="5">
        <v>45919</v>
      </c>
      <c r="B143" s="6">
        <v>3719.3</v>
      </c>
      <c r="C143" s="6">
        <v>3719.8</v>
      </c>
      <c r="D143" s="7">
        <v>181323</v>
      </c>
    </row>
    <row r="144" spans="1:4" x14ac:dyDescent="0.25">
      <c r="A144" s="2">
        <v>45922</v>
      </c>
      <c r="B144" s="3">
        <v>3781</v>
      </c>
      <c r="C144" s="3">
        <v>3781.6</v>
      </c>
      <c r="D144" s="4">
        <v>214740</v>
      </c>
    </row>
    <row r="145" spans="1:4" x14ac:dyDescent="0.25">
      <c r="A145" s="5">
        <v>45923</v>
      </c>
      <c r="B145" s="6">
        <v>3796.5</v>
      </c>
      <c r="C145" s="6">
        <v>3797.2</v>
      </c>
      <c r="D145" s="7">
        <v>285539</v>
      </c>
    </row>
    <row r="146" spans="1:4" x14ac:dyDescent="0.25">
      <c r="A146" s="2">
        <v>45924</v>
      </c>
      <c r="B146" s="3">
        <v>3768.1</v>
      </c>
      <c r="C146" s="3">
        <v>3768.5</v>
      </c>
      <c r="D146" s="4">
        <v>232516</v>
      </c>
    </row>
    <row r="147" spans="1:4" x14ac:dyDescent="0.25">
      <c r="A147" s="5">
        <v>45925</v>
      </c>
      <c r="B147" s="6">
        <v>3780.1</v>
      </c>
      <c r="C147" s="6">
        <v>3781.1</v>
      </c>
      <c r="D147" s="7">
        <v>254897</v>
      </c>
    </row>
    <row r="148" spans="1:4" x14ac:dyDescent="0.25">
      <c r="A148" s="2">
        <v>45926</v>
      </c>
      <c r="B148" s="3">
        <v>3789.5</v>
      </c>
      <c r="C148" s="3">
        <v>3790.2</v>
      </c>
      <c r="D148" s="4">
        <v>206111</v>
      </c>
    </row>
    <row r="149" spans="1:4" x14ac:dyDescent="0.25">
      <c r="A149" s="5">
        <v>45929</v>
      </c>
      <c r="B149" s="6">
        <v>3862.8</v>
      </c>
      <c r="C149" s="6">
        <v>3863.5</v>
      </c>
      <c r="D149" s="7">
        <v>251017</v>
      </c>
    </row>
    <row r="150" spans="1:4" x14ac:dyDescent="0.25">
      <c r="A150" s="2">
        <v>45930</v>
      </c>
      <c r="B150" s="3">
        <v>3887.2</v>
      </c>
      <c r="C150" s="3">
        <v>3888.6</v>
      </c>
      <c r="D150" s="4">
        <v>302881</v>
      </c>
    </row>
    <row r="151" spans="1:4" x14ac:dyDescent="0.25">
      <c r="A151" s="5">
        <v>45931</v>
      </c>
      <c r="B151" s="6">
        <v>3892.3</v>
      </c>
      <c r="C151" s="6">
        <v>3892.9</v>
      </c>
      <c r="D151" s="7">
        <v>282711</v>
      </c>
    </row>
    <row r="152" spans="1:4" x14ac:dyDescent="0.25">
      <c r="A152" s="2">
        <v>45932</v>
      </c>
      <c r="B152" s="3">
        <v>3880.4</v>
      </c>
      <c r="C152" s="3">
        <v>3881.3</v>
      </c>
      <c r="D152" s="4">
        <v>273357</v>
      </c>
    </row>
    <row r="153" spans="1:4" x14ac:dyDescent="0.25">
      <c r="A153" s="5">
        <v>45933</v>
      </c>
      <c r="B153" s="6">
        <v>3911.6</v>
      </c>
      <c r="C153" s="6">
        <v>3912.4</v>
      </c>
      <c r="D153" s="7">
        <v>209911</v>
      </c>
    </row>
    <row r="154" spans="1:4" x14ac:dyDescent="0.25">
      <c r="A154" s="2">
        <v>45936</v>
      </c>
      <c r="B154" s="3">
        <v>3983.7</v>
      </c>
      <c r="C154" s="3">
        <v>3984.6</v>
      </c>
      <c r="D154" s="4">
        <v>272476</v>
      </c>
    </row>
    <row r="155" spans="1:4" x14ac:dyDescent="0.25">
      <c r="A155" s="5">
        <v>45937</v>
      </c>
      <c r="B155" s="6">
        <v>4007.4</v>
      </c>
      <c r="C155" s="6">
        <v>4008.3</v>
      </c>
      <c r="D155" s="7">
        <v>288405</v>
      </c>
    </row>
    <row r="156" spans="1:4" x14ac:dyDescent="0.25">
      <c r="A156" s="2">
        <v>45938</v>
      </c>
      <c r="B156" s="3">
        <v>4060.2</v>
      </c>
      <c r="C156" s="3">
        <v>4061.5</v>
      </c>
      <c r="D156" s="4">
        <v>334173</v>
      </c>
    </row>
    <row r="157" spans="1:4" x14ac:dyDescent="0.25">
      <c r="A157" s="5">
        <v>45939</v>
      </c>
      <c r="B157" s="6">
        <v>3990.6</v>
      </c>
      <c r="C157" s="6">
        <v>3992.4</v>
      </c>
      <c r="D157" s="7">
        <v>448407</v>
      </c>
    </row>
    <row r="158" spans="1:4" x14ac:dyDescent="0.25">
      <c r="A158" s="2">
        <v>45940</v>
      </c>
      <c r="B158" s="3">
        <v>4028.6</v>
      </c>
      <c r="C158" s="3">
        <v>4037</v>
      </c>
      <c r="D158" s="4">
        <v>352500</v>
      </c>
    </row>
    <row r="159" spans="1:4" x14ac:dyDescent="0.25">
      <c r="A159" s="5">
        <v>45943</v>
      </c>
      <c r="B159" s="6">
        <v>4129.3</v>
      </c>
      <c r="C159" s="6">
        <v>4130.2</v>
      </c>
      <c r="D159" s="7">
        <v>296956</v>
      </c>
    </row>
    <row r="160" spans="1:4" x14ac:dyDescent="0.25">
      <c r="A160" s="2">
        <v>45944</v>
      </c>
      <c r="B160" s="3">
        <v>4158.8</v>
      </c>
      <c r="C160" s="3">
        <v>4159.8999999999996</v>
      </c>
      <c r="D160" s="4">
        <v>396022</v>
      </c>
    </row>
    <row r="161" spans="1:4" x14ac:dyDescent="0.25">
      <c r="A161" s="5">
        <v>45945</v>
      </c>
      <c r="B161" s="6">
        <v>4224.6000000000004</v>
      </c>
      <c r="C161" s="6">
        <v>4225.5</v>
      </c>
      <c r="D161" s="7">
        <v>301947</v>
      </c>
    </row>
    <row r="162" spans="1:4" x14ac:dyDescent="0.25">
      <c r="A162" s="2">
        <v>45946</v>
      </c>
      <c r="B162" s="3">
        <v>4343.5</v>
      </c>
      <c r="C162" s="3">
        <v>4344.8999999999996</v>
      </c>
      <c r="D162" s="4">
        <v>366807</v>
      </c>
    </row>
    <row r="163" spans="1:4" x14ac:dyDescent="0.25">
      <c r="A163" s="5">
        <v>45947</v>
      </c>
      <c r="B163" s="6">
        <v>4252.2</v>
      </c>
      <c r="C163" s="6">
        <v>4269</v>
      </c>
      <c r="D163" s="7">
        <v>558913</v>
      </c>
    </row>
    <row r="164" spans="1:4" x14ac:dyDescent="0.25">
      <c r="A164" s="2">
        <v>45950</v>
      </c>
      <c r="B164" s="3">
        <v>4373.3</v>
      </c>
      <c r="C164" s="3">
        <v>4374.7</v>
      </c>
      <c r="D164" s="4">
        <v>329893</v>
      </c>
    </row>
    <row r="165" spans="1:4" x14ac:dyDescent="0.25">
      <c r="A165" s="5">
        <v>45951</v>
      </c>
      <c r="B165" s="6">
        <v>4138.1000000000004</v>
      </c>
      <c r="C165" s="6">
        <v>4139</v>
      </c>
      <c r="D165" s="7">
        <v>524508</v>
      </c>
    </row>
    <row r="166" spans="1:4" x14ac:dyDescent="0.25">
      <c r="A166" s="2">
        <v>45952</v>
      </c>
      <c r="B166" s="3">
        <v>4111</v>
      </c>
      <c r="C166" s="3">
        <v>4122.3999999999996</v>
      </c>
      <c r="D166" s="4">
        <v>457497</v>
      </c>
    </row>
    <row r="167" spans="1:4" x14ac:dyDescent="0.25">
      <c r="A167" s="5">
        <v>45953</v>
      </c>
      <c r="B167" s="6">
        <v>4140.1000000000004</v>
      </c>
      <c r="C167" s="6">
        <v>4144</v>
      </c>
      <c r="D167" s="7">
        <v>264959</v>
      </c>
    </row>
    <row r="168" spans="1:4" x14ac:dyDescent="0.25">
      <c r="A168" s="2">
        <v>45954</v>
      </c>
      <c r="B168" s="3">
        <v>4125.1000000000004</v>
      </c>
      <c r="C168" s="3">
        <v>4128.3</v>
      </c>
      <c r="D168" s="4">
        <v>291961</v>
      </c>
    </row>
    <row r="169" spans="1:4" x14ac:dyDescent="0.25">
      <c r="A169" s="5">
        <v>45957</v>
      </c>
      <c r="B169" s="6">
        <v>3996.5</v>
      </c>
      <c r="C169" s="6">
        <v>3999</v>
      </c>
      <c r="D169" s="7">
        <v>324262</v>
      </c>
    </row>
    <row r="170" spans="1:4" x14ac:dyDescent="0.25">
      <c r="A170" s="2">
        <v>45958</v>
      </c>
      <c r="B170" s="3">
        <v>3965.1</v>
      </c>
      <c r="C170" s="3">
        <v>3971.9</v>
      </c>
      <c r="D170" s="4">
        <v>330554</v>
      </c>
    </row>
    <row r="171" spans="1:4" x14ac:dyDescent="0.25">
      <c r="A171" s="5">
        <v>45959</v>
      </c>
      <c r="B171" s="6">
        <v>3940.3</v>
      </c>
      <c r="C171" s="6">
        <v>3942.6</v>
      </c>
      <c r="D171" s="7">
        <v>281102</v>
      </c>
    </row>
    <row r="172" spans="1:4" x14ac:dyDescent="0.25">
      <c r="A172" s="2">
        <v>45960</v>
      </c>
      <c r="B172" s="3">
        <v>4035.5</v>
      </c>
      <c r="C172" s="3">
        <v>4039.5</v>
      </c>
      <c r="D172" s="4">
        <v>242543</v>
      </c>
    </row>
    <row r="173" spans="1:4" x14ac:dyDescent="0.25">
      <c r="A173" s="5">
        <v>45961</v>
      </c>
      <c r="B173" s="6">
        <v>4011.2</v>
      </c>
      <c r="C173" s="6">
        <v>4018</v>
      </c>
      <c r="D173" s="7">
        <v>233725</v>
      </c>
    </row>
    <row r="174" spans="1:4" x14ac:dyDescent="0.25">
      <c r="A174" s="2">
        <v>45964</v>
      </c>
      <c r="B174" s="3">
        <v>4013.4</v>
      </c>
      <c r="C174" s="3">
        <v>4014</v>
      </c>
      <c r="D174" s="4">
        <v>223800</v>
      </c>
    </row>
    <row r="175" spans="1:4" x14ac:dyDescent="0.25">
      <c r="A175" s="5">
        <v>45965</v>
      </c>
      <c r="B175" s="6">
        <v>3940</v>
      </c>
      <c r="C175" s="6">
        <v>3944.3</v>
      </c>
      <c r="D175" s="7">
        <v>244620</v>
      </c>
    </row>
    <row r="176" spans="1:4" x14ac:dyDescent="0.25">
      <c r="A176" s="2">
        <v>45966</v>
      </c>
      <c r="B176" s="3">
        <v>3990.3</v>
      </c>
      <c r="C176" s="3">
        <v>3991</v>
      </c>
      <c r="D176" s="4">
        <v>171785</v>
      </c>
    </row>
    <row r="177" spans="1:4" x14ac:dyDescent="0.25">
      <c r="A177" s="5">
        <v>45967</v>
      </c>
      <c r="B177" s="6">
        <v>3984.3</v>
      </c>
      <c r="C177" s="6">
        <v>3985.3</v>
      </c>
      <c r="D177" s="7">
        <v>183645</v>
      </c>
    </row>
    <row r="178" spans="1:4" x14ac:dyDescent="0.25">
      <c r="A178" s="2">
        <v>45968</v>
      </c>
      <c r="B178" s="3">
        <v>4007.7</v>
      </c>
      <c r="C178" s="3">
        <v>4008.4</v>
      </c>
      <c r="D178" s="4">
        <v>198894</v>
      </c>
    </row>
    <row r="179" spans="1:4" x14ac:dyDescent="0.25">
      <c r="A179" s="5">
        <v>45971</v>
      </c>
      <c r="B179" s="6">
        <v>4122.5</v>
      </c>
      <c r="C179" s="6">
        <v>4123.8</v>
      </c>
      <c r="D179" s="7">
        <v>242570</v>
      </c>
    </row>
    <row r="180" spans="1:4" x14ac:dyDescent="0.25">
      <c r="A180" s="2">
        <v>45972</v>
      </c>
      <c r="B180" s="3">
        <v>4132.8999999999996</v>
      </c>
      <c r="C180" s="3">
        <v>4133.6000000000004</v>
      </c>
      <c r="D180" s="4">
        <v>239579</v>
      </c>
    </row>
    <row r="181" spans="1:4" x14ac:dyDescent="0.25">
      <c r="A181" s="5">
        <v>45973</v>
      </c>
      <c r="B181" s="6">
        <v>4200.6000000000004</v>
      </c>
      <c r="C181" s="6">
        <v>4201.3999999999996</v>
      </c>
      <c r="D181" s="7">
        <v>278020</v>
      </c>
    </row>
    <row r="182" spans="1:4" x14ac:dyDescent="0.25">
      <c r="A182" s="2">
        <v>45974</v>
      </c>
      <c r="B182" s="3">
        <v>4174.3999999999996</v>
      </c>
      <c r="C182" s="3">
        <v>4175.3999999999996</v>
      </c>
      <c r="D182" s="4">
        <v>302473</v>
      </c>
    </row>
    <row r="183" spans="1:4" x14ac:dyDescent="0.25">
      <c r="A183" s="5">
        <v>45975</v>
      </c>
      <c r="B183" s="6">
        <v>4080</v>
      </c>
      <c r="C183" s="6">
        <v>4091</v>
      </c>
      <c r="D183" s="7">
        <v>332490</v>
      </c>
    </row>
    <row r="184" spans="1:4" x14ac:dyDescent="0.25">
      <c r="A184" s="2">
        <v>45978</v>
      </c>
      <c r="B184" s="3">
        <v>4041</v>
      </c>
      <c r="C184" s="3">
        <v>4046.9</v>
      </c>
      <c r="D184" s="4">
        <v>231322</v>
      </c>
    </row>
    <row r="185" spans="1:4" x14ac:dyDescent="0.25">
      <c r="A185" s="5">
        <v>45979</v>
      </c>
      <c r="B185" s="6">
        <v>4066.3</v>
      </c>
      <c r="C185" s="6">
        <v>4068</v>
      </c>
      <c r="D185" s="7">
        <v>229049</v>
      </c>
    </row>
    <row r="186" spans="1:4" x14ac:dyDescent="0.25">
      <c r="A186" s="2">
        <v>45980</v>
      </c>
      <c r="B186" s="3">
        <v>4071.5</v>
      </c>
      <c r="C186" s="3">
        <v>4082</v>
      </c>
      <c r="D186" s="4">
        <v>228451</v>
      </c>
    </row>
    <row r="187" spans="1:4" x14ac:dyDescent="0.25">
      <c r="A187" s="5">
        <v>45981</v>
      </c>
      <c r="B187" s="6">
        <v>4072.1</v>
      </c>
      <c r="C187" s="6">
        <v>4082</v>
      </c>
      <c r="D187" s="7">
        <v>266894</v>
      </c>
    </row>
    <row r="188" spans="1:4" x14ac:dyDescent="0.25">
      <c r="A188" s="2">
        <v>45982</v>
      </c>
      <c r="B188" s="3">
        <v>4055.2</v>
      </c>
      <c r="C188" s="3">
        <v>4065</v>
      </c>
      <c r="D188" s="4">
        <v>253026</v>
      </c>
    </row>
    <row r="189" spans="1:4" x14ac:dyDescent="0.25">
      <c r="A189" s="5">
        <v>45985</v>
      </c>
      <c r="B189" s="6">
        <v>4130</v>
      </c>
      <c r="C189" s="6">
        <v>4136.8999999999996</v>
      </c>
      <c r="D189" s="7">
        <v>218177</v>
      </c>
    </row>
    <row r="190" spans="1:4" x14ac:dyDescent="0.25">
      <c r="A190" s="2">
        <v>45986</v>
      </c>
      <c r="B190" s="3">
        <v>4125.8999999999996</v>
      </c>
      <c r="C190" s="3">
        <v>4129.8999999999996</v>
      </c>
      <c r="D190" s="4">
        <v>129074.999999999</v>
      </c>
    </row>
    <row r="191" spans="1:4" x14ac:dyDescent="0.25">
      <c r="A191" s="5">
        <v>45987</v>
      </c>
      <c r="B191" s="6">
        <v>4195.3</v>
      </c>
      <c r="C191" s="6">
        <v>4200</v>
      </c>
      <c r="D191" s="7">
        <v>185497</v>
      </c>
    </row>
    <row r="192" spans="1:4" x14ac:dyDescent="0.25">
      <c r="A192" s="2">
        <v>45989</v>
      </c>
      <c r="B192" s="3">
        <v>4253.8999999999996</v>
      </c>
      <c r="C192" s="3">
        <v>4256.5</v>
      </c>
      <c r="D192" s="4">
        <v>149887</v>
      </c>
    </row>
    <row r="193" spans="1:4" x14ac:dyDescent="0.25">
      <c r="A193" s="5">
        <v>45992</v>
      </c>
      <c r="B193" s="6">
        <v>4263</v>
      </c>
      <c r="C193" s="6">
        <v>4267.5</v>
      </c>
      <c r="D193" s="7">
        <v>223457</v>
      </c>
    </row>
    <row r="194" spans="1:4" x14ac:dyDescent="0.25">
      <c r="A194" s="2">
        <v>45993</v>
      </c>
      <c r="B194" s="3">
        <v>4237.8</v>
      </c>
      <c r="C194" s="3">
        <v>4238.8999999999996</v>
      </c>
      <c r="D194" s="4">
        <v>212069</v>
      </c>
    </row>
    <row r="195" spans="1:4" x14ac:dyDescent="0.25">
      <c r="A195" s="5">
        <v>45994</v>
      </c>
      <c r="B195" s="6">
        <v>4233.6000000000004</v>
      </c>
      <c r="C195" s="6">
        <v>4235.2</v>
      </c>
      <c r="D195" s="7">
        <v>169613</v>
      </c>
    </row>
    <row r="196" spans="1:4" x14ac:dyDescent="0.25">
      <c r="A196" s="2">
        <v>45995</v>
      </c>
      <c r="B196" s="3">
        <v>4237.3999999999996</v>
      </c>
      <c r="C196" s="3">
        <v>4238.6000000000004</v>
      </c>
      <c r="D196" s="4">
        <v>155186</v>
      </c>
    </row>
    <row r="197" spans="1:4" x14ac:dyDescent="0.25">
      <c r="A197" s="5">
        <v>45996</v>
      </c>
      <c r="B197" s="6">
        <v>4227</v>
      </c>
      <c r="C197" s="6">
        <v>4228.1000000000004</v>
      </c>
      <c r="D197" s="7">
        <v>190889</v>
      </c>
    </row>
    <row r="198" spans="1:4" x14ac:dyDescent="0.25">
      <c r="A198" s="2">
        <v>45999</v>
      </c>
      <c r="B198" s="3">
        <v>4219.1000000000004</v>
      </c>
      <c r="C198" s="3">
        <v>4220.3</v>
      </c>
      <c r="D198" s="4">
        <v>143397</v>
      </c>
    </row>
    <row r="199" spans="1:4" x14ac:dyDescent="0.25">
      <c r="A199" s="5">
        <v>46000</v>
      </c>
      <c r="B199" s="6">
        <v>4235.8</v>
      </c>
      <c r="C199" s="6">
        <v>4236.8999999999996</v>
      </c>
      <c r="D199" s="7">
        <v>174421</v>
      </c>
    </row>
    <row r="200" spans="1:4" x14ac:dyDescent="0.25">
      <c r="A200" s="2">
        <v>46001</v>
      </c>
      <c r="B200" s="3">
        <v>4257.7</v>
      </c>
      <c r="C200" s="3">
        <v>4259</v>
      </c>
      <c r="D200" s="4">
        <v>180543</v>
      </c>
    </row>
    <row r="201" spans="1:4" x14ac:dyDescent="0.25">
      <c r="A201" s="5">
        <v>46002</v>
      </c>
      <c r="B201" s="6">
        <v>4309.2</v>
      </c>
      <c r="C201" s="6">
        <v>4310.2</v>
      </c>
      <c r="D201" s="7">
        <v>220543</v>
      </c>
    </row>
    <row r="202" spans="1:4" x14ac:dyDescent="0.25">
      <c r="A202" s="2">
        <v>46003</v>
      </c>
      <c r="B202" s="3">
        <v>4329.2</v>
      </c>
      <c r="C202" s="3">
        <v>4330.2</v>
      </c>
      <c r="D202" s="4">
        <v>283739</v>
      </c>
    </row>
    <row r="203" spans="1:4" x14ac:dyDescent="0.25">
      <c r="A203" s="5">
        <v>46006</v>
      </c>
      <c r="B203" s="6">
        <v>4333.8</v>
      </c>
      <c r="C203" s="6">
        <v>4334.8999999999996</v>
      </c>
      <c r="D203" s="7">
        <v>201541</v>
      </c>
    </row>
    <row r="204" spans="1:4" x14ac:dyDescent="0.25">
      <c r="A204" s="2">
        <v>46007</v>
      </c>
      <c r="B204" s="3">
        <v>4332.1000000000004</v>
      </c>
      <c r="C204" s="3">
        <v>4332.8</v>
      </c>
      <c r="D204" s="4">
        <v>206463</v>
      </c>
    </row>
    <row r="205" spans="1:4" x14ac:dyDescent="0.25">
      <c r="A205" s="5">
        <v>46008</v>
      </c>
      <c r="B205" s="6">
        <v>4370.8</v>
      </c>
      <c r="C205" s="6">
        <v>4371.3999999999996</v>
      </c>
      <c r="D205" s="7">
        <v>205686</v>
      </c>
    </row>
    <row r="206" spans="1:4" x14ac:dyDescent="0.25">
      <c r="A206" s="2">
        <v>46009</v>
      </c>
      <c r="B206" s="3">
        <v>4363.3</v>
      </c>
      <c r="C206" s="3">
        <v>4364.5</v>
      </c>
      <c r="D206" s="4">
        <v>228606</v>
      </c>
    </row>
    <row r="207" spans="1:4" x14ac:dyDescent="0.25">
      <c r="A207" s="5">
        <v>46010</v>
      </c>
      <c r="B207" s="6">
        <v>4368.1000000000004</v>
      </c>
      <c r="C207" s="6">
        <v>4369.3</v>
      </c>
      <c r="D207" s="7">
        <v>161163</v>
      </c>
    </row>
    <row r="208" spans="1:4" x14ac:dyDescent="0.25">
      <c r="A208" s="2">
        <v>46013</v>
      </c>
      <c r="B208" s="3">
        <v>4479.8</v>
      </c>
      <c r="C208" s="3">
        <v>4480.8999999999996</v>
      </c>
      <c r="D208" s="4">
        <v>198496</v>
      </c>
    </row>
    <row r="209" spans="1:4" x14ac:dyDescent="0.25">
      <c r="A209" s="5">
        <v>46014</v>
      </c>
      <c r="B209" s="6">
        <v>4512</v>
      </c>
      <c r="C209" s="6">
        <v>4515.5</v>
      </c>
      <c r="D209" s="7">
        <v>241461</v>
      </c>
    </row>
    <row r="210" spans="1:4" x14ac:dyDescent="0.25">
      <c r="A210" s="2">
        <v>46015</v>
      </c>
      <c r="B210" s="3">
        <v>4505.2</v>
      </c>
      <c r="C210" s="3">
        <v>4505.6000000000004</v>
      </c>
      <c r="D210" s="4">
        <v>149923</v>
      </c>
    </row>
    <row r="211" spans="1:4" x14ac:dyDescent="0.25">
      <c r="A211" s="5">
        <v>46017</v>
      </c>
      <c r="B211" s="6">
        <v>4561</v>
      </c>
      <c r="C211" s="6">
        <v>4562.8999999999996</v>
      </c>
      <c r="D211" s="7">
        <v>179107</v>
      </c>
    </row>
    <row r="212" spans="1:4" x14ac:dyDescent="0.25">
      <c r="A212" s="2">
        <v>46020</v>
      </c>
      <c r="B212" s="3">
        <v>4348</v>
      </c>
      <c r="C212" s="3">
        <v>4350.7</v>
      </c>
      <c r="D212" s="4">
        <v>307775</v>
      </c>
    </row>
    <row r="213" spans="1:4" x14ac:dyDescent="0.25">
      <c r="A213" s="5">
        <v>46021</v>
      </c>
      <c r="B213" s="6">
        <v>4350.8999999999996</v>
      </c>
      <c r="C213" s="6">
        <v>4356.2</v>
      </c>
      <c r="D213" s="7">
        <v>185585</v>
      </c>
    </row>
    <row r="214" spans="1:4" x14ac:dyDescent="0.25">
      <c r="A214" s="2">
        <v>46022</v>
      </c>
      <c r="B214" s="3">
        <v>4327.3999999999996</v>
      </c>
      <c r="C214" s="3">
        <v>4337</v>
      </c>
      <c r="D214" s="4">
        <v>159687</v>
      </c>
    </row>
    <row r="215" spans="1:4" x14ac:dyDescent="0.25">
      <c r="A215" s="5">
        <v>46024</v>
      </c>
      <c r="B215" s="6">
        <v>4340</v>
      </c>
      <c r="C215" s="6">
        <v>4344</v>
      </c>
      <c r="D215" s="7">
        <v>149435</v>
      </c>
    </row>
    <row r="216" spans="1:4" x14ac:dyDescent="0.25">
      <c r="A216" s="2">
        <v>46027</v>
      </c>
      <c r="B216" s="3">
        <v>4455</v>
      </c>
      <c r="C216" s="3">
        <v>4461.1000000000004</v>
      </c>
      <c r="D216" s="4">
        <v>207130</v>
      </c>
    </row>
    <row r="217" spans="1:4" x14ac:dyDescent="0.25">
      <c r="A217" s="5">
        <v>46028</v>
      </c>
      <c r="B217" s="6">
        <v>4505.2</v>
      </c>
      <c r="C217" s="6">
        <v>4506.3999999999996</v>
      </c>
      <c r="D217" s="7">
        <v>167179</v>
      </c>
    </row>
    <row r="218" spans="1:4" x14ac:dyDescent="0.25">
      <c r="A218" s="2">
        <v>46029</v>
      </c>
      <c r="B218" s="3">
        <v>4466.2</v>
      </c>
      <c r="C218" s="3">
        <v>4467.2</v>
      </c>
      <c r="D218" s="4">
        <v>197060</v>
      </c>
    </row>
    <row r="219" spans="1:4" x14ac:dyDescent="0.25">
      <c r="A219" s="5">
        <v>46030</v>
      </c>
      <c r="B219" s="6">
        <v>4487.2</v>
      </c>
      <c r="C219" s="6">
        <v>4488.3</v>
      </c>
      <c r="D219" s="7">
        <v>191870</v>
      </c>
    </row>
    <row r="220" spans="1:4" x14ac:dyDescent="0.25">
      <c r="A220" s="2">
        <v>46031</v>
      </c>
      <c r="B220" s="3">
        <v>4517.8</v>
      </c>
      <c r="C220" s="3">
        <v>4518.3999999999996</v>
      </c>
      <c r="D220" s="4">
        <v>198002</v>
      </c>
    </row>
    <row r="221" spans="1:4" x14ac:dyDescent="0.25">
      <c r="A221" s="5">
        <v>46034</v>
      </c>
      <c r="B221" s="6">
        <v>4607.8999999999996</v>
      </c>
      <c r="C221" s="6">
        <v>4609</v>
      </c>
      <c r="D221" s="7">
        <v>281875</v>
      </c>
    </row>
    <row r="222" spans="1:4" x14ac:dyDescent="0.25">
      <c r="A222" s="2">
        <v>46035</v>
      </c>
      <c r="B222" s="3">
        <v>4593.8999999999996</v>
      </c>
      <c r="C222" s="3">
        <v>4595</v>
      </c>
      <c r="D222" s="4">
        <v>249097</v>
      </c>
    </row>
    <row r="223" spans="1:4" x14ac:dyDescent="0.25">
      <c r="A223" s="5">
        <v>46036</v>
      </c>
      <c r="B223" s="6">
        <v>4625.5</v>
      </c>
      <c r="C223" s="6">
        <v>4634</v>
      </c>
      <c r="D223" s="7">
        <v>290357</v>
      </c>
    </row>
    <row r="224" spans="1:4" x14ac:dyDescent="0.25">
      <c r="A224" s="2">
        <v>46037</v>
      </c>
      <c r="B224" s="3">
        <v>4619.8999999999996</v>
      </c>
      <c r="C224" s="3">
        <v>4620.8999999999996</v>
      </c>
      <c r="D224" s="4">
        <v>223238</v>
      </c>
    </row>
    <row r="225" spans="1:4" x14ac:dyDescent="0.25">
      <c r="A225" s="5">
        <v>46038</v>
      </c>
      <c r="B225" s="6">
        <v>4600.3999999999996</v>
      </c>
      <c r="C225" s="6">
        <v>4601.5</v>
      </c>
      <c r="D225" s="7">
        <v>243413</v>
      </c>
    </row>
    <row r="226" spans="1:4" x14ac:dyDescent="0.25">
      <c r="A226" s="2">
        <v>46042</v>
      </c>
      <c r="B226" s="3">
        <v>4768.3</v>
      </c>
      <c r="C226" s="3">
        <v>4769.3999999999996</v>
      </c>
      <c r="D226" s="4">
        <v>406381</v>
      </c>
    </row>
    <row r="227" spans="1:4" x14ac:dyDescent="0.25">
      <c r="A227" s="5">
        <v>46043</v>
      </c>
      <c r="B227" s="6">
        <v>4835.1000000000004</v>
      </c>
      <c r="C227" s="6">
        <v>4836.7</v>
      </c>
      <c r="D227" s="7">
        <v>390264</v>
      </c>
    </row>
    <row r="228" spans="1:4" x14ac:dyDescent="0.25">
      <c r="A228" s="2">
        <v>46044</v>
      </c>
      <c r="B228" s="3">
        <v>4938.3999999999996</v>
      </c>
      <c r="C228" s="3">
        <v>4939.3999999999996</v>
      </c>
      <c r="D228" s="4">
        <v>260253</v>
      </c>
    </row>
    <row r="229" spans="1:4" x14ac:dyDescent="0.25">
      <c r="A229" s="5">
        <v>46045</v>
      </c>
      <c r="B229" s="6">
        <v>4982.3999999999996</v>
      </c>
      <c r="C229" s="6">
        <v>4983.6000000000004</v>
      </c>
      <c r="D229" s="7">
        <v>273667</v>
      </c>
    </row>
    <row r="230" spans="1:4" x14ac:dyDescent="0.25">
      <c r="A230" s="2">
        <v>46048</v>
      </c>
      <c r="B230" s="3">
        <v>5003.6000000000004</v>
      </c>
      <c r="C230" s="3">
        <v>5005</v>
      </c>
      <c r="D230" s="4">
        <v>421790</v>
      </c>
    </row>
    <row r="231" spans="1:4" x14ac:dyDescent="0.25">
      <c r="A231" s="5">
        <v>46049</v>
      </c>
      <c r="B231" s="6">
        <v>5170.8</v>
      </c>
      <c r="C231" s="6">
        <v>5179.6000000000004</v>
      </c>
      <c r="D231" s="7">
        <v>318894</v>
      </c>
    </row>
    <row r="232" spans="1:4" x14ac:dyDescent="0.25">
      <c r="A232" s="2">
        <v>46050</v>
      </c>
      <c r="B232" s="3">
        <v>5410.1</v>
      </c>
      <c r="C232" s="3">
        <v>5415.3</v>
      </c>
      <c r="D232" s="4">
        <v>110590</v>
      </c>
    </row>
    <row r="233" spans="1:4" x14ac:dyDescent="0.25">
      <c r="A233" s="5">
        <v>46051</v>
      </c>
      <c r="B233" s="6">
        <v>5400</v>
      </c>
      <c r="C233" s="6">
        <v>5420</v>
      </c>
      <c r="D233" s="7">
        <v>557037</v>
      </c>
    </row>
    <row r="234" spans="1:4" x14ac:dyDescent="0.25">
      <c r="A234" s="2">
        <v>46052</v>
      </c>
      <c r="B234" s="3">
        <v>4860.3</v>
      </c>
      <c r="C234" s="3">
        <v>4910.8999999999996</v>
      </c>
      <c r="D234" s="4">
        <v>494035</v>
      </c>
    </row>
    <row r="235" spans="1:4" x14ac:dyDescent="0.25">
      <c r="A235" s="5">
        <v>46055</v>
      </c>
      <c r="B235" s="6">
        <v>4680.1000000000004</v>
      </c>
      <c r="C235" s="6">
        <v>4703</v>
      </c>
      <c r="D235" s="7">
        <v>377523</v>
      </c>
    </row>
    <row r="236" spans="1:4" x14ac:dyDescent="0.25">
      <c r="A236" s="2">
        <v>46056</v>
      </c>
      <c r="B236" s="3">
        <v>4956.1000000000004</v>
      </c>
      <c r="C236" s="3">
        <v>4974</v>
      </c>
      <c r="D236" s="4">
        <v>251315</v>
      </c>
    </row>
    <row r="237" spans="1:4" x14ac:dyDescent="0.25">
      <c r="A237" s="5">
        <v>46057</v>
      </c>
      <c r="B237" s="6">
        <v>4981.6000000000004</v>
      </c>
      <c r="C237" s="6">
        <v>4987.8999999999996</v>
      </c>
      <c r="D237" s="7">
        <v>239434</v>
      </c>
    </row>
    <row r="238" spans="1:4" x14ac:dyDescent="0.25">
      <c r="A238" s="2">
        <v>46058</v>
      </c>
      <c r="B238" s="3">
        <v>4791.1000000000004</v>
      </c>
      <c r="C238" s="3">
        <v>4811</v>
      </c>
      <c r="D238" s="4">
        <v>228995</v>
      </c>
    </row>
    <row r="239" spans="1:4" x14ac:dyDescent="0.25">
      <c r="A239" s="5">
        <v>46059</v>
      </c>
      <c r="B239" s="6">
        <v>4976.3</v>
      </c>
      <c r="C239" s="6">
        <v>4996.7</v>
      </c>
      <c r="D239" s="7">
        <v>171364</v>
      </c>
    </row>
    <row r="240" spans="1:4" x14ac:dyDescent="0.25">
      <c r="A240" s="2">
        <v>46062</v>
      </c>
      <c r="B240" s="3">
        <v>5073.6000000000004</v>
      </c>
      <c r="C240" s="3">
        <v>5093</v>
      </c>
      <c r="D240" s="4">
        <v>118548</v>
      </c>
    </row>
    <row r="241" spans="1:4" x14ac:dyDescent="0.25">
      <c r="A241" s="5">
        <v>46063</v>
      </c>
      <c r="B241" s="6">
        <v>5042.3</v>
      </c>
      <c r="C241" s="6">
        <v>5049.3</v>
      </c>
      <c r="D241" s="7">
        <v>101828</v>
      </c>
    </row>
    <row r="242" spans="1:4" x14ac:dyDescent="0.25">
      <c r="A242" s="2">
        <v>46064</v>
      </c>
      <c r="B242" s="3">
        <v>5100</v>
      </c>
      <c r="C242" s="3">
        <v>5120</v>
      </c>
      <c r="D242" s="4">
        <v>125367</v>
      </c>
    </row>
    <row r="243" spans="1:4" x14ac:dyDescent="0.25">
      <c r="A243" s="5">
        <v>46065</v>
      </c>
      <c r="B243" s="6">
        <v>4941.1000000000004</v>
      </c>
      <c r="C243" s="6">
        <v>4947.5</v>
      </c>
      <c r="D243" s="7">
        <v>155554</v>
      </c>
    </row>
    <row r="244" spans="1:4" x14ac:dyDescent="0.25">
      <c r="A244" s="2">
        <v>46066</v>
      </c>
      <c r="B244" s="3">
        <v>5046</v>
      </c>
      <c r="C244" s="3">
        <v>5066.7</v>
      </c>
      <c r="D244" s="4">
        <v>118886</v>
      </c>
    </row>
    <row r="245" spans="1:4" x14ac:dyDescent="0.25">
      <c r="A245" s="5">
        <v>46070</v>
      </c>
      <c r="B245" s="6">
        <v>4880.3</v>
      </c>
      <c r="C245" s="6">
        <v>4897.6000000000004</v>
      </c>
      <c r="D245" s="7">
        <v>161712</v>
      </c>
    </row>
    <row r="246" spans="1:4" x14ac:dyDescent="0.25">
      <c r="A246" s="2">
        <v>46071</v>
      </c>
      <c r="B246" s="3">
        <v>4992</v>
      </c>
      <c r="C246" s="3">
        <v>5002.3</v>
      </c>
      <c r="D246" s="4">
        <v>93323</v>
      </c>
    </row>
    <row r="247" spans="1:4" x14ac:dyDescent="0.25">
      <c r="A247" s="5">
        <v>46072</v>
      </c>
      <c r="B247" s="6">
        <v>5010</v>
      </c>
      <c r="C247" s="6">
        <v>5015.7</v>
      </c>
      <c r="D247" s="7">
        <v>83080</v>
      </c>
    </row>
    <row r="248" spans="1:4" x14ac:dyDescent="0.25">
      <c r="A248" s="2">
        <v>46073</v>
      </c>
      <c r="B248" s="3">
        <v>5120</v>
      </c>
      <c r="C248" s="3">
        <v>5133</v>
      </c>
      <c r="D248" s="4">
        <v>127969</v>
      </c>
    </row>
    <row r="249" spans="1:4" x14ac:dyDescent="0.25">
      <c r="A249" s="5">
        <v>46076</v>
      </c>
      <c r="B249" s="6">
        <v>5244</v>
      </c>
      <c r="C249" s="6">
        <v>5250.7</v>
      </c>
      <c r="D249" s="7">
        <v>134165</v>
      </c>
    </row>
    <row r="250" spans="1:4" x14ac:dyDescent="0.25">
      <c r="A250" s="2">
        <v>46077</v>
      </c>
      <c r="B250" s="3">
        <v>5158</v>
      </c>
      <c r="C250" s="3">
        <v>5163.5</v>
      </c>
      <c r="D250" s="4">
        <v>141558</v>
      </c>
    </row>
    <row r="251" spans="1:4" x14ac:dyDescent="0.25">
      <c r="A251" s="5">
        <v>46078</v>
      </c>
      <c r="B251" s="6">
        <v>5182.6000000000004</v>
      </c>
      <c r="C251" s="6">
        <v>5191</v>
      </c>
      <c r="D251" s="7">
        <v>107734</v>
      </c>
    </row>
    <row r="252" spans="1:4" x14ac:dyDescent="0.25">
      <c r="A252" s="2">
        <v>46079</v>
      </c>
      <c r="B252" s="3">
        <v>5198.5</v>
      </c>
      <c r="C252" s="3">
        <v>5201.6000000000004</v>
      </c>
      <c r="D252" s="4">
        <v>127518</v>
      </c>
    </row>
    <row r="253" spans="1:4" x14ac:dyDescent="0.25">
      <c r="A253" s="5">
        <v>46080</v>
      </c>
      <c r="B253" s="6">
        <v>5291.9</v>
      </c>
      <c r="C253" s="6">
        <v>5299</v>
      </c>
      <c r="D253" s="7">
        <v>145216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CE02-0176-4DCF-A9D4-E0B2599225E7}">
  <dimension ref="A1:V254"/>
  <sheetViews>
    <sheetView tabSelected="1" workbookViewId="0">
      <selection activeCell="V10" sqref="V10"/>
    </sheetView>
  </sheetViews>
  <sheetFormatPr baseColWidth="10" defaultRowHeight="15" x14ac:dyDescent="0.25"/>
  <cols>
    <col min="7" max="7" width="3.85546875" style="9" customWidth="1"/>
    <col min="20" max="20" width="16.28515625" bestFit="1" customWidth="1"/>
    <col min="21" max="22" width="17.85546875" bestFit="1" customWidth="1"/>
  </cols>
  <sheetData>
    <row r="1" spans="1:22" x14ac:dyDescent="0.25">
      <c r="B1" s="17" t="s">
        <v>5</v>
      </c>
      <c r="C1" s="17"/>
      <c r="D1" s="17"/>
      <c r="E1" s="8"/>
      <c r="F1" s="8"/>
      <c r="H1" s="17" t="s">
        <v>4</v>
      </c>
      <c r="I1" s="17"/>
      <c r="J1" s="17"/>
      <c r="N1" t="s">
        <v>5</v>
      </c>
      <c r="O1" t="s">
        <v>4</v>
      </c>
      <c r="P1" t="s">
        <v>7</v>
      </c>
      <c r="T1" t="s">
        <v>5</v>
      </c>
      <c r="U1" t="s">
        <v>4</v>
      </c>
    </row>
    <row r="2" spans="1:2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6</v>
      </c>
      <c r="F2" s="1" t="s">
        <v>11</v>
      </c>
      <c r="G2" s="10"/>
      <c r="H2" s="1" t="s">
        <v>1</v>
      </c>
      <c r="I2" s="1" t="s">
        <v>2</v>
      </c>
      <c r="J2" s="1" t="s">
        <v>3</v>
      </c>
      <c r="K2" s="1" t="s">
        <v>6</v>
      </c>
      <c r="L2" s="1" t="s">
        <v>11</v>
      </c>
      <c r="S2" t="s">
        <v>8</v>
      </c>
      <c r="T2">
        <v>1600</v>
      </c>
      <c r="U2">
        <v>2400</v>
      </c>
    </row>
    <row r="3" spans="1:22" x14ac:dyDescent="0.25">
      <c r="A3" s="2">
        <v>45715</v>
      </c>
      <c r="B3" s="3">
        <v>31.855</v>
      </c>
      <c r="C3" s="3">
        <v>31.864999999999998</v>
      </c>
      <c r="D3" s="4">
        <v>62250</v>
      </c>
      <c r="E3" s="3">
        <f>AVERAGE(B3:C3)</f>
        <v>31.86</v>
      </c>
      <c r="F3" s="3">
        <f>(C3-B3)/E3</f>
        <v>3.1387319522906501E-4</v>
      </c>
      <c r="G3" s="11"/>
      <c r="H3" s="3">
        <v>2887.6</v>
      </c>
      <c r="I3" s="3">
        <v>2888.2</v>
      </c>
      <c r="J3" s="4">
        <v>201948</v>
      </c>
      <c r="K3" s="12">
        <f>AVERAGE(H3:I3)</f>
        <v>2887.8999999999996</v>
      </c>
      <c r="L3" s="12">
        <f>(I3-H3)/K3</f>
        <v>2.0776342671141975E-4</v>
      </c>
      <c r="S3" t="s">
        <v>9</v>
      </c>
      <c r="T3">
        <v>5000</v>
      </c>
      <c r="U3">
        <v>100</v>
      </c>
    </row>
    <row r="4" spans="1:22" x14ac:dyDescent="0.25">
      <c r="A4" s="5">
        <v>45716</v>
      </c>
      <c r="B4" s="6">
        <v>31.69</v>
      </c>
      <c r="C4" s="6">
        <v>31.7</v>
      </c>
      <c r="D4" s="7">
        <v>53715</v>
      </c>
      <c r="E4" s="3">
        <f>AVERAGE(B4:C4)</f>
        <v>31.695</v>
      </c>
      <c r="F4" s="3">
        <f t="shared" ref="F4:F67" si="0">(C4-B4)/E4</f>
        <v>3.1550717778823192E-4</v>
      </c>
      <c r="G4" s="11"/>
      <c r="H4" s="6">
        <v>2867</v>
      </c>
      <c r="I4" s="6">
        <v>2867.4</v>
      </c>
      <c r="J4" s="7">
        <v>205282</v>
      </c>
      <c r="K4" s="12">
        <f t="shared" ref="K4:K67" si="1">AVERAGE(H4:I4)</f>
        <v>2867.2</v>
      </c>
      <c r="L4" s="12">
        <f t="shared" ref="L4:L67" si="2">(I4-H4)/K4</f>
        <v>1.395089285714603E-4</v>
      </c>
      <c r="N4">
        <f>E4/E3-1</f>
        <v>-5.1789077212806012E-3</v>
      </c>
      <c r="O4">
        <f>K4/K3-1</f>
        <v>-7.1678382215449865E-3</v>
      </c>
      <c r="P4">
        <f>N4*$T$5+O4*$U$5</f>
        <v>-6.4264586075990157E-3</v>
      </c>
      <c r="S4" t="s">
        <v>10</v>
      </c>
      <c r="T4" s="13">
        <f>E254*T2*T3</f>
        <v>755260000</v>
      </c>
      <c r="U4" s="13">
        <f>K254*U3*U2</f>
        <v>1270908000</v>
      </c>
      <c r="V4" s="14">
        <f>T4+U4</f>
        <v>2026168000</v>
      </c>
    </row>
    <row r="5" spans="1:22" x14ac:dyDescent="0.25">
      <c r="A5" s="2">
        <v>45719</v>
      </c>
      <c r="B5" s="3">
        <v>32.265000000000001</v>
      </c>
      <c r="C5" s="3">
        <v>32.270000000000003</v>
      </c>
      <c r="D5" s="4">
        <v>60853</v>
      </c>
      <c r="E5" s="3">
        <f t="shared" ref="E5:E67" si="3">AVERAGE(B5:C5)</f>
        <v>32.267499999999998</v>
      </c>
      <c r="F5" s="3">
        <f t="shared" si="0"/>
        <v>1.5495467575742027E-4</v>
      </c>
      <c r="G5" s="11"/>
      <c r="H5" s="3">
        <v>2903.3</v>
      </c>
      <c r="I5" s="3">
        <v>2904.2</v>
      </c>
      <c r="J5" s="4">
        <v>171762</v>
      </c>
      <c r="K5" s="12">
        <f t="shared" si="1"/>
        <v>2903.75</v>
      </c>
      <c r="L5" s="12">
        <f t="shared" si="2"/>
        <v>3.0994403788192377E-4</v>
      </c>
      <c r="N5">
        <f t="shared" ref="N5:N68" si="4">E5/E4-1</f>
        <v>1.8062785928379732E-2</v>
      </c>
      <c r="O5">
        <f t="shared" ref="O5:O68" si="5">K5/K4-1</f>
        <v>1.2747628348214413E-2</v>
      </c>
      <c r="P5">
        <f t="shared" ref="P5:P68" si="6">N5*$T$5+O5*$U$5</f>
        <v>1.4728868755720432E-2</v>
      </c>
      <c r="S5" t="s">
        <v>12</v>
      </c>
      <c r="T5" s="15">
        <f>T4/V4</f>
        <v>0.37275290104275655</v>
      </c>
      <c r="U5" s="15">
        <f>U4/V4</f>
        <v>0.6272470989572434</v>
      </c>
    </row>
    <row r="6" spans="1:22" x14ac:dyDescent="0.25">
      <c r="A6" s="5">
        <v>45720</v>
      </c>
      <c r="B6" s="6">
        <v>32.564999999999998</v>
      </c>
      <c r="C6" s="6">
        <v>32.575000000000003</v>
      </c>
      <c r="D6" s="7">
        <v>49980</v>
      </c>
      <c r="E6" s="3">
        <f t="shared" si="3"/>
        <v>32.57</v>
      </c>
      <c r="F6" s="3">
        <f t="shared" si="0"/>
        <v>3.070310101321804E-4</v>
      </c>
      <c r="G6" s="11"/>
      <c r="H6" s="6">
        <v>2928.2</v>
      </c>
      <c r="I6" s="6">
        <v>2928.8</v>
      </c>
      <c r="J6" s="7">
        <v>184784</v>
      </c>
      <c r="K6" s="12">
        <f t="shared" si="1"/>
        <v>2928.5</v>
      </c>
      <c r="L6" s="12">
        <f t="shared" si="2"/>
        <v>2.0488304592807368E-4</v>
      </c>
      <c r="N6">
        <f t="shared" si="4"/>
        <v>9.3747578833192069E-3</v>
      </c>
      <c r="O6">
        <f t="shared" si="5"/>
        <v>8.5234610417563861E-3</v>
      </c>
      <c r="P6">
        <f t="shared" si="6"/>
        <v>8.8407844090974633E-3</v>
      </c>
    </row>
    <row r="7" spans="1:22" x14ac:dyDescent="0.25">
      <c r="A7" s="2">
        <v>45721</v>
      </c>
      <c r="B7" s="3">
        <v>33.229999999999997</v>
      </c>
      <c r="C7" s="3">
        <v>33.24</v>
      </c>
      <c r="D7" s="4">
        <v>63190</v>
      </c>
      <c r="E7" s="3">
        <f t="shared" si="3"/>
        <v>33.234999999999999</v>
      </c>
      <c r="F7" s="3">
        <f t="shared" si="0"/>
        <v>3.0088761847465371E-4</v>
      </c>
      <c r="G7" s="11"/>
      <c r="H7" s="3">
        <v>2929</v>
      </c>
      <c r="I7" s="3">
        <v>2929.3</v>
      </c>
      <c r="J7" s="4">
        <v>178576</v>
      </c>
      <c r="K7" s="12">
        <f t="shared" si="1"/>
        <v>2929.15</v>
      </c>
      <c r="L7" s="12">
        <f t="shared" si="2"/>
        <v>1.0241879043414707E-4</v>
      </c>
      <c r="N7">
        <f t="shared" si="4"/>
        <v>2.0417562173779435E-2</v>
      </c>
      <c r="O7">
        <f t="shared" si="5"/>
        <v>2.2195663308854918E-4</v>
      </c>
      <c r="P7">
        <f t="shared" si="6"/>
        <v>7.7499271866962455E-3</v>
      </c>
    </row>
    <row r="8" spans="1:22" x14ac:dyDescent="0.25">
      <c r="A8" s="5">
        <v>45722</v>
      </c>
      <c r="B8" s="6">
        <v>33.204999999999998</v>
      </c>
      <c r="C8" s="6">
        <v>33.215000000000003</v>
      </c>
      <c r="D8" s="7">
        <v>50335</v>
      </c>
      <c r="E8" s="3">
        <f t="shared" si="3"/>
        <v>33.21</v>
      </c>
      <c r="F8" s="3">
        <f t="shared" si="0"/>
        <v>3.0111412225248765E-4</v>
      </c>
      <c r="G8" s="11"/>
      <c r="H8" s="6">
        <v>2919.4</v>
      </c>
      <c r="I8" s="6">
        <v>2920</v>
      </c>
      <c r="J8" s="7">
        <v>161747</v>
      </c>
      <c r="K8" s="12">
        <f t="shared" si="1"/>
        <v>2919.7</v>
      </c>
      <c r="L8" s="12">
        <f t="shared" si="2"/>
        <v>2.0550056512652295E-4</v>
      </c>
      <c r="N8">
        <f t="shared" si="4"/>
        <v>-7.5221904618616442E-4</v>
      </c>
      <c r="O8">
        <f t="shared" si="5"/>
        <v>-3.2261918986737914E-3</v>
      </c>
      <c r="P8">
        <f t="shared" si="6"/>
        <v>-2.304011340808005E-3</v>
      </c>
      <c r="S8" t="s">
        <v>13</v>
      </c>
      <c r="T8">
        <f>PERCENTILE(P4:P254,0.025)</f>
        <v>-4.394220845145333E-2</v>
      </c>
    </row>
    <row r="9" spans="1:22" x14ac:dyDescent="0.25">
      <c r="A9" s="2">
        <v>45723</v>
      </c>
      <c r="B9" s="3">
        <v>32.909999999999997</v>
      </c>
      <c r="C9" s="3">
        <v>32.92</v>
      </c>
      <c r="D9" s="4">
        <v>57939</v>
      </c>
      <c r="E9" s="3">
        <f t="shared" si="3"/>
        <v>32.914999999999999</v>
      </c>
      <c r="F9" s="3">
        <f t="shared" si="0"/>
        <v>3.0381285128376471E-4</v>
      </c>
      <c r="G9" s="11"/>
      <c r="H9" s="3">
        <v>2917.1</v>
      </c>
      <c r="I9" s="3">
        <v>2917.7</v>
      </c>
      <c r="J9" s="4">
        <v>214132</v>
      </c>
      <c r="K9" s="12">
        <f t="shared" si="1"/>
        <v>2917.3999999999996</v>
      </c>
      <c r="L9" s="12">
        <f t="shared" si="2"/>
        <v>2.0566257626650756E-4</v>
      </c>
      <c r="N9">
        <f t="shared" si="4"/>
        <v>-8.8828666064438844E-3</v>
      </c>
      <c r="O9">
        <f t="shared" si="5"/>
        <v>-7.8775216631854494E-4</v>
      </c>
      <c r="P9">
        <f t="shared" si="6"/>
        <v>-3.805229558148375E-3</v>
      </c>
      <c r="S9" t="s">
        <v>18</v>
      </c>
      <c r="T9">
        <f>T8-T16-T23</f>
        <v>-4.8461782038997606E-2</v>
      </c>
      <c r="V9" s="14">
        <f>T9*V4</f>
        <v>-98191711.990391701</v>
      </c>
    </row>
    <row r="10" spans="1:22" x14ac:dyDescent="0.25">
      <c r="A10" s="5">
        <v>45726</v>
      </c>
      <c r="B10" s="6">
        <v>32.454999999999998</v>
      </c>
      <c r="C10" s="6">
        <v>32.465000000000003</v>
      </c>
      <c r="D10" s="7">
        <v>50093</v>
      </c>
      <c r="E10" s="3">
        <f t="shared" si="3"/>
        <v>32.46</v>
      </c>
      <c r="F10" s="3">
        <f t="shared" si="0"/>
        <v>3.0807147258179654E-4</v>
      </c>
      <c r="G10" s="11"/>
      <c r="H10" s="6">
        <v>2893</v>
      </c>
      <c r="I10" s="6">
        <v>2893.2</v>
      </c>
      <c r="J10" s="7">
        <v>203679</v>
      </c>
      <c r="K10" s="12">
        <f t="shared" si="1"/>
        <v>2893.1</v>
      </c>
      <c r="L10" s="12">
        <f t="shared" si="2"/>
        <v>6.9129998962987141E-5</v>
      </c>
      <c r="N10">
        <f t="shared" si="4"/>
        <v>-1.3823484733404223E-2</v>
      </c>
      <c r="O10">
        <f t="shared" si="5"/>
        <v>-8.3293343387946805E-3</v>
      </c>
      <c r="P10">
        <f t="shared" si="6"/>
        <v>-1.0377294837150592E-2</v>
      </c>
    </row>
    <row r="11" spans="1:22" x14ac:dyDescent="0.25">
      <c r="A11" s="2">
        <v>45727</v>
      </c>
      <c r="B11" s="3">
        <v>33.369999999999997</v>
      </c>
      <c r="C11" s="3">
        <v>33.380000000000003</v>
      </c>
      <c r="D11" s="4">
        <v>56801</v>
      </c>
      <c r="E11" s="3">
        <f t="shared" si="3"/>
        <v>33.375</v>
      </c>
      <c r="F11" s="3">
        <f t="shared" si="0"/>
        <v>2.9962546816494727E-4</v>
      </c>
      <c r="G11" s="11"/>
      <c r="H11" s="3">
        <v>2922.4</v>
      </c>
      <c r="I11" s="3">
        <v>2923</v>
      </c>
      <c r="J11" s="4">
        <v>175729</v>
      </c>
      <c r="K11" s="12">
        <f t="shared" si="1"/>
        <v>2922.7</v>
      </c>
      <c r="L11" s="12">
        <f t="shared" si="2"/>
        <v>2.0528962945218774E-4</v>
      </c>
      <c r="N11">
        <f t="shared" si="4"/>
        <v>2.8188539741220042E-2</v>
      </c>
      <c r="O11">
        <f t="shared" si="5"/>
        <v>1.0231239846531404E-2</v>
      </c>
      <c r="P11">
        <f>N11*$T$5+O11*$U$5</f>
        <v>1.6924875477171378E-2</v>
      </c>
      <c r="S11" s="16" t="s">
        <v>5</v>
      </c>
      <c r="T11" s="16"/>
      <c r="U11" s="16"/>
      <c r="V11" s="16"/>
    </row>
    <row r="12" spans="1:22" x14ac:dyDescent="0.25">
      <c r="A12" s="5">
        <v>45728</v>
      </c>
      <c r="B12" s="6">
        <v>33.729999999999997</v>
      </c>
      <c r="C12" s="6">
        <v>33.74</v>
      </c>
      <c r="D12" s="7">
        <v>55659</v>
      </c>
      <c r="E12" s="3">
        <f t="shared" si="3"/>
        <v>33.734999999999999</v>
      </c>
      <c r="F12" s="3">
        <f t="shared" si="0"/>
        <v>2.9642804209293363E-4</v>
      </c>
      <c r="G12" s="11"/>
      <c r="H12" s="6">
        <v>2943.2</v>
      </c>
      <c r="I12" s="6">
        <v>2943.6</v>
      </c>
      <c r="J12" s="7">
        <v>187892</v>
      </c>
      <c r="K12" s="12">
        <f t="shared" si="1"/>
        <v>2943.3999999999996</v>
      </c>
      <c r="L12" s="12">
        <f t="shared" si="2"/>
        <v>1.3589726167020826E-4</v>
      </c>
      <c r="N12">
        <f t="shared" si="4"/>
        <v>1.0786516853932504E-2</v>
      </c>
      <c r="O12">
        <f t="shared" si="5"/>
        <v>7.0824922161014658E-3</v>
      </c>
      <c r="P12">
        <f t="shared" si="6"/>
        <v>8.4631781453868293E-3</v>
      </c>
    </row>
    <row r="13" spans="1:22" x14ac:dyDescent="0.25">
      <c r="A13" s="2">
        <v>45729</v>
      </c>
      <c r="B13" s="3">
        <v>34.484999999999999</v>
      </c>
      <c r="C13" s="3">
        <v>34.494999999999997</v>
      </c>
      <c r="D13" s="4">
        <v>72649</v>
      </c>
      <c r="E13" s="3">
        <f t="shared" si="3"/>
        <v>34.489999999999995</v>
      </c>
      <c r="F13" s="3">
        <f t="shared" si="0"/>
        <v>2.8993911278625724E-4</v>
      </c>
      <c r="G13" s="11"/>
      <c r="H13" s="3">
        <v>3001.1</v>
      </c>
      <c r="I13" s="3">
        <v>3001.5</v>
      </c>
      <c r="J13" s="4">
        <v>236312</v>
      </c>
      <c r="K13" s="12">
        <f t="shared" si="1"/>
        <v>3001.3</v>
      </c>
      <c r="L13" s="12">
        <f t="shared" si="2"/>
        <v>1.3327558058177821E-4</v>
      </c>
      <c r="N13">
        <f t="shared" si="4"/>
        <v>2.2380317178004816E-2</v>
      </c>
      <c r="O13">
        <f t="shared" si="5"/>
        <v>1.967112862675835E-2</v>
      </c>
      <c r="P13">
        <f t="shared" si="6"/>
        <v>2.0680986518707291E-2</v>
      </c>
      <c r="S13" t="s">
        <v>14</v>
      </c>
      <c r="T13" s="12">
        <f>AVERAGE(F3:F254)</f>
        <v>1.6267235187066857E-3</v>
      </c>
    </row>
    <row r="14" spans="1:22" x14ac:dyDescent="0.25">
      <c r="A14" s="5">
        <v>45730</v>
      </c>
      <c r="B14" s="6">
        <v>34.35</v>
      </c>
      <c r="C14" s="6">
        <v>34.365000000000002</v>
      </c>
      <c r="D14" s="7">
        <v>58183</v>
      </c>
      <c r="E14" s="3">
        <f t="shared" si="3"/>
        <v>34.357500000000002</v>
      </c>
      <c r="F14" s="3">
        <f t="shared" si="0"/>
        <v>4.3658589827550223E-4</v>
      </c>
      <c r="G14" s="11"/>
      <c r="H14" s="6">
        <v>2992.8</v>
      </c>
      <c r="I14" s="6">
        <v>2994.1</v>
      </c>
      <c r="J14" s="7">
        <v>176438</v>
      </c>
      <c r="K14" s="12">
        <f t="shared" si="1"/>
        <v>2993.45</v>
      </c>
      <c r="L14" s="12">
        <f t="shared" si="2"/>
        <v>4.3428151464020687E-4</v>
      </c>
      <c r="N14">
        <f t="shared" si="4"/>
        <v>-3.8416932444185203E-3</v>
      </c>
      <c r="O14">
        <f t="shared" si="5"/>
        <v>-2.6155332689169475E-3</v>
      </c>
      <c r="P14">
        <f>N14*$T$5+O14*$U$5</f>
        <v>-3.0725879569276741E-3</v>
      </c>
      <c r="S14" t="s">
        <v>15</v>
      </c>
      <c r="T14">
        <f>_xlfn.STDEV.S(F3:F254)</f>
        <v>2.3773582228335862E-3</v>
      </c>
    </row>
    <row r="15" spans="1:22" x14ac:dyDescent="0.25">
      <c r="A15" s="2">
        <v>45733</v>
      </c>
      <c r="B15" s="3">
        <v>34.4</v>
      </c>
      <c r="C15" s="3">
        <v>34.409999999999997</v>
      </c>
      <c r="D15" s="4">
        <v>44484</v>
      </c>
      <c r="E15" s="3">
        <f t="shared" si="3"/>
        <v>34.405000000000001</v>
      </c>
      <c r="F15" s="3">
        <f t="shared" si="0"/>
        <v>2.9065542799005986E-4</v>
      </c>
      <c r="G15" s="11"/>
      <c r="H15" s="3">
        <v>3009.9</v>
      </c>
      <c r="I15" s="3">
        <v>3010.2</v>
      </c>
      <c r="J15" s="4">
        <v>137556</v>
      </c>
      <c r="K15" s="12">
        <f t="shared" si="1"/>
        <v>3010.05</v>
      </c>
      <c r="L15" s="12">
        <f t="shared" si="2"/>
        <v>9.9666118502924247E-5</v>
      </c>
      <c r="N15">
        <f t="shared" si="4"/>
        <v>1.3825220112055892E-3</v>
      </c>
      <c r="O15">
        <f t="shared" si="5"/>
        <v>5.5454408792532384E-3</v>
      </c>
      <c r="P15">
        <f t="shared" si="6"/>
        <v>3.9937007943828488E-3</v>
      </c>
      <c r="S15" t="s">
        <v>16</v>
      </c>
      <c r="T15">
        <f>NORMSINV(0.975)</f>
        <v>1.9599639845400536</v>
      </c>
    </row>
    <row r="16" spans="1:22" x14ac:dyDescent="0.25">
      <c r="A16" s="5">
        <v>45734</v>
      </c>
      <c r="B16" s="6">
        <v>34.645000000000003</v>
      </c>
      <c r="C16" s="6">
        <v>34.655000000000001</v>
      </c>
      <c r="D16" s="7">
        <v>55437</v>
      </c>
      <c r="E16" s="3">
        <f t="shared" si="3"/>
        <v>34.650000000000006</v>
      </c>
      <c r="F16" s="3">
        <f t="shared" si="0"/>
        <v>2.8860028860023114E-4</v>
      </c>
      <c r="G16" s="11"/>
      <c r="H16" s="6">
        <v>3041.4</v>
      </c>
      <c r="I16" s="6">
        <v>3041.8</v>
      </c>
      <c r="J16" s="7">
        <v>172562</v>
      </c>
      <c r="K16" s="12">
        <f t="shared" si="1"/>
        <v>3041.6000000000004</v>
      </c>
      <c r="L16" s="12">
        <f t="shared" si="2"/>
        <v>1.3150973172017718E-4</v>
      </c>
      <c r="N16">
        <f t="shared" si="4"/>
        <v>7.1210579857579059E-3</v>
      </c>
      <c r="O16">
        <f t="shared" si="5"/>
        <v>1.0481553462567073E-2</v>
      </c>
      <c r="P16">
        <f t="shared" si="6"/>
        <v>9.2289190246453937E-3</v>
      </c>
      <c r="S16" t="s">
        <v>17</v>
      </c>
      <c r="T16">
        <f>0.5*(T13+T14*T15)</f>
        <v>3.1431300069053314E-3</v>
      </c>
    </row>
    <row r="17" spans="1:22" x14ac:dyDescent="0.25">
      <c r="A17" s="2">
        <v>45735</v>
      </c>
      <c r="B17" s="3">
        <v>34.424999999999997</v>
      </c>
      <c r="C17" s="3">
        <v>34.43</v>
      </c>
      <c r="D17" s="4">
        <v>49540</v>
      </c>
      <c r="E17" s="3">
        <f t="shared" si="3"/>
        <v>34.427499999999995</v>
      </c>
      <c r="F17" s="3">
        <f t="shared" si="0"/>
        <v>1.452327354586467E-4</v>
      </c>
      <c r="G17" s="11"/>
      <c r="H17" s="3">
        <v>3057.2</v>
      </c>
      <c r="I17" s="3">
        <v>3057.7</v>
      </c>
      <c r="J17" s="4">
        <v>142605</v>
      </c>
      <c r="K17" s="12">
        <f t="shared" si="1"/>
        <v>3057.45</v>
      </c>
      <c r="L17" s="12">
        <f t="shared" si="2"/>
        <v>1.6353497195375233E-4</v>
      </c>
      <c r="N17">
        <f t="shared" si="4"/>
        <v>-6.421356421356772E-3</v>
      </c>
      <c r="O17">
        <f t="shared" si="5"/>
        <v>5.211073119410603E-3</v>
      </c>
      <c r="P17">
        <f t="shared" si="6"/>
        <v>8.7505126191410364E-4</v>
      </c>
    </row>
    <row r="18" spans="1:22" x14ac:dyDescent="0.25">
      <c r="A18" s="5">
        <v>45736</v>
      </c>
      <c r="B18" s="6">
        <v>34.11</v>
      </c>
      <c r="C18" s="6">
        <v>34.119999999999997</v>
      </c>
      <c r="D18" s="7">
        <v>48782</v>
      </c>
      <c r="E18" s="3">
        <f t="shared" si="3"/>
        <v>34.114999999999995</v>
      </c>
      <c r="F18" s="3">
        <f t="shared" si="0"/>
        <v>2.9312619082509195E-4</v>
      </c>
      <c r="G18" s="11"/>
      <c r="H18" s="6">
        <v>3052.7</v>
      </c>
      <c r="I18" s="6">
        <v>3053.1</v>
      </c>
      <c r="J18" s="7">
        <v>138027</v>
      </c>
      <c r="K18" s="12">
        <f t="shared" si="1"/>
        <v>3052.8999999999996</v>
      </c>
      <c r="L18" s="12">
        <f t="shared" si="2"/>
        <v>1.3102296177408071E-4</v>
      </c>
      <c r="N18">
        <f t="shared" si="4"/>
        <v>-9.0770459661607683E-3</v>
      </c>
      <c r="O18">
        <f t="shared" si="5"/>
        <v>-1.4881682447791533E-3</v>
      </c>
      <c r="P18">
        <f t="shared" si="6"/>
        <v>-4.3169444310828939E-3</v>
      </c>
      <c r="S18" s="16" t="s">
        <v>4</v>
      </c>
      <c r="T18" s="16"/>
      <c r="U18" s="16"/>
      <c r="V18" s="16"/>
    </row>
    <row r="19" spans="1:22" x14ac:dyDescent="0.25">
      <c r="A19" s="2">
        <v>45737</v>
      </c>
      <c r="B19" s="3">
        <v>33.524999999999999</v>
      </c>
      <c r="C19" s="3">
        <v>33.534999999999997</v>
      </c>
      <c r="D19" s="4">
        <v>52649</v>
      </c>
      <c r="E19" s="3">
        <f t="shared" si="3"/>
        <v>33.53</v>
      </c>
      <c r="F19" s="3">
        <f t="shared" si="0"/>
        <v>2.9824038174762929E-4</v>
      </c>
      <c r="G19" s="11"/>
      <c r="H19" s="3">
        <v>3028</v>
      </c>
      <c r="I19" s="3">
        <v>3028.7</v>
      </c>
      <c r="J19" s="4">
        <v>186584</v>
      </c>
      <c r="K19" s="12">
        <f t="shared" si="1"/>
        <v>3028.35</v>
      </c>
      <c r="L19" s="12">
        <f t="shared" si="2"/>
        <v>2.3114897551465918E-4</v>
      </c>
      <c r="N19">
        <f t="shared" si="4"/>
        <v>-1.7147882163271122E-2</v>
      </c>
      <c r="O19">
        <f t="shared" si="5"/>
        <v>-8.041534278882323E-3</v>
      </c>
      <c r="P19">
        <f t="shared" si="6"/>
        <v>-1.1435951870692816E-2</v>
      </c>
    </row>
    <row r="20" spans="1:22" x14ac:dyDescent="0.25">
      <c r="A20" s="5">
        <v>45740</v>
      </c>
      <c r="B20" s="6">
        <v>33.524999999999999</v>
      </c>
      <c r="C20" s="6">
        <v>33.53</v>
      </c>
      <c r="D20" s="7">
        <v>31732</v>
      </c>
      <c r="E20" s="3">
        <f t="shared" si="3"/>
        <v>33.527500000000003</v>
      </c>
      <c r="F20" s="3">
        <f t="shared" si="0"/>
        <v>1.4913131011863568E-4</v>
      </c>
      <c r="G20" s="11"/>
      <c r="H20" s="6">
        <v>3017.4</v>
      </c>
      <c r="I20" s="6">
        <v>3017.8</v>
      </c>
      <c r="J20" s="7">
        <v>199610</v>
      </c>
      <c r="K20" s="12">
        <f t="shared" si="1"/>
        <v>3017.6000000000004</v>
      </c>
      <c r="L20" s="12">
        <f t="shared" si="2"/>
        <v>1.3255567338285091E-4</v>
      </c>
      <c r="N20">
        <f t="shared" si="4"/>
        <v>-7.4560095436826401E-5</v>
      </c>
      <c r="O20">
        <f t="shared" si="5"/>
        <v>-3.5497878382616532E-3</v>
      </c>
      <c r="P20">
        <f t="shared" si="6"/>
        <v>-2.2543866153394284E-3</v>
      </c>
      <c r="S20" t="s">
        <v>14</v>
      </c>
      <c r="T20" s="12">
        <f>AVERAGE(L3:L254)</f>
        <v>6.4949163716216296E-4</v>
      </c>
    </row>
    <row r="21" spans="1:22" x14ac:dyDescent="0.25">
      <c r="A21" s="2">
        <v>45741</v>
      </c>
      <c r="B21" s="3">
        <v>34.25</v>
      </c>
      <c r="C21" s="3">
        <v>34.255000000000003</v>
      </c>
      <c r="D21" s="4">
        <v>45747</v>
      </c>
      <c r="E21" s="3">
        <f t="shared" si="3"/>
        <v>34.252499999999998</v>
      </c>
      <c r="F21" s="3">
        <f t="shared" si="0"/>
        <v>1.4597474636895288E-4</v>
      </c>
      <c r="G21" s="11"/>
      <c r="H21" s="3">
        <v>3025.8</v>
      </c>
      <c r="I21" s="3">
        <v>3026.5</v>
      </c>
      <c r="J21" s="4">
        <v>167460</v>
      </c>
      <c r="K21" s="12">
        <f t="shared" si="1"/>
        <v>3026.15</v>
      </c>
      <c r="L21" s="12">
        <f t="shared" si="2"/>
        <v>2.3131701997581683E-4</v>
      </c>
      <c r="N21">
        <f t="shared" si="4"/>
        <v>2.1624039967190978E-2</v>
      </c>
      <c r="O21">
        <f t="shared" si="5"/>
        <v>2.8333775185576116E-3</v>
      </c>
      <c r="P21">
        <f t="shared" si="6"/>
        <v>9.8376514588008872E-3</v>
      </c>
      <c r="S21" t="s">
        <v>15</v>
      </c>
      <c r="T21">
        <f>_xlfn.STDEV.S(L3:L254)</f>
        <v>1.0731807016389329E-3</v>
      </c>
    </row>
    <row r="22" spans="1:22" x14ac:dyDescent="0.25">
      <c r="A22" s="5">
        <v>45742</v>
      </c>
      <c r="B22" s="6">
        <v>34.200000000000003</v>
      </c>
      <c r="C22" s="6">
        <v>34.21</v>
      </c>
      <c r="D22" s="7">
        <v>42642</v>
      </c>
      <c r="E22" s="3">
        <f t="shared" si="3"/>
        <v>34.204999999999998</v>
      </c>
      <c r="F22" s="3">
        <f t="shared" si="0"/>
        <v>2.9235491887145184E-4</v>
      </c>
      <c r="G22" s="11"/>
      <c r="H22" s="6">
        <v>3026.3</v>
      </c>
      <c r="I22" s="6">
        <v>3026.9</v>
      </c>
      <c r="J22" s="7">
        <v>166253</v>
      </c>
      <c r="K22" s="12">
        <f t="shared" si="1"/>
        <v>3026.6000000000004</v>
      </c>
      <c r="L22" s="12">
        <f t="shared" si="2"/>
        <v>1.9824225203195301E-4</v>
      </c>
      <c r="N22">
        <f t="shared" si="4"/>
        <v>-1.3867600905043131E-3</v>
      </c>
      <c r="O22">
        <f t="shared" si="5"/>
        <v>1.4870379855591587E-4</v>
      </c>
      <c r="P22">
        <f t="shared" si="6"/>
        <v>-4.2364482053767783E-4</v>
      </c>
      <c r="S22" t="s">
        <v>16</v>
      </c>
      <c r="T22">
        <f>NORMSINV(0.975)</f>
        <v>1.9599639845400536</v>
      </c>
    </row>
    <row r="23" spans="1:22" x14ac:dyDescent="0.25">
      <c r="A23" s="2">
        <v>45743</v>
      </c>
      <c r="B23" s="3">
        <v>35.314999999999998</v>
      </c>
      <c r="C23" s="3">
        <v>35.325000000000003</v>
      </c>
      <c r="D23" s="4">
        <v>77024</v>
      </c>
      <c r="E23" s="3">
        <f t="shared" si="3"/>
        <v>35.32</v>
      </c>
      <c r="F23" s="3">
        <f t="shared" si="0"/>
        <v>2.831257078144144E-4</v>
      </c>
      <c r="G23" s="11"/>
      <c r="H23" s="3">
        <v>3069</v>
      </c>
      <c r="I23" s="3">
        <v>3069</v>
      </c>
      <c r="J23" s="4">
        <v>123043</v>
      </c>
      <c r="K23" s="12">
        <f t="shared" si="1"/>
        <v>3069</v>
      </c>
      <c r="L23" s="12">
        <f t="shared" si="2"/>
        <v>0</v>
      </c>
      <c r="N23">
        <f t="shared" si="4"/>
        <v>3.2597573454173467E-2</v>
      </c>
      <c r="O23">
        <f t="shared" si="5"/>
        <v>1.4009119143593374E-2</v>
      </c>
      <c r="P23">
        <f t="shared" si="6"/>
        <v>2.0938019413762835E-2</v>
      </c>
      <c r="S23" t="s">
        <v>17</v>
      </c>
      <c r="T23">
        <f>0.5*(T20+T21*T22)</f>
        <v>1.3764435806389481E-3</v>
      </c>
    </row>
    <row r="24" spans="1:22" x14ac:dyDescent="0.25">
      <c r="A24" s="5">
        <v>45744</v>
      </c>
      <c r="B24" s="6">
        <v>34.814999999999998</v>
      </c>
      <c r="C24" s="6">
        <v>34.825000000000003</v>
      </c>
      <c r="D24" s="7">
        <v>67031</v>
      </c>
      <c r="E24" s="3">
        <f t="shared" si="3"/>
        <v>34.82</v>
      </c>
      <c r="F24" s="3">
        <f t="shared" si="0"/>
        <v>2.871912693855576E-4</v>
      </c>
      <c r="G24" s="11"/>
      <c r="H24" s="6">
        <v>3117.5</v>
      </c>
      <c r="I24" s="6">
        <v>3118</v>
      </c>
      <c r="J24" s="7">
        <v>193306</v>
      </c>
      <c r="K24" s="12">
        <f t="shared" si="1"/>
        <v>3117.75</v>
      </c>
      <c r="L24" s="12">
        <f t="shared" si="2"/>
        <v>1.6037206318659288E-4</v>
      </c>
      <c r="N24">
        <f t="shared" si="4"/>
        <v>-1.4156285390713452E-2</v>
      </c>
      <c r="O24">
        <f t="shared" si="5"/>
        <v>1.5884652981427161E-2</v>
      </c>
      <c r="P24">
        <f t="shared" si="6"/>
        <v>4.6868060531650817E-3</v>
      </c>
    </row>
    <row r="25" spans="1:22" x14ac:dyDescent="0.25">
      <c r="A25" s="2">
        <v>45747</v>
      </c>
      <c r="B25" s="3">
        <v>34.76</v>
      </c>
      <c r="C25" s="3">
        <v>34.770000000000003</v>
      </c>
      <c r="D25" s="4">
        <v>65330</v>
      </c>
      <c r="E25" s="3">
        <f t="shared" si="3"/>
        <v>34.765000000000001</v>
      </c>
      <c r="F25" s="3">
        <f t="shared" si="0"/>
        <v>2.8764562059557358E-4</v>
      </c>
      <c r="G25" s="11"/>
      <c r="H25" s="3">
        <v>3157.2</v>
      </c>
      <c r="I25" s="3">
        <v>3157.6</v>
      </c>
      <c r="J25" s="4">
        <v>204340</v>
      </c>
      <c r="K25" s="12">
        <f t="shared" si="1"/>
        <v>3157.3999999999996</v>
      </c>
      <c r="L25" s="12">
        <f t="shared" si="2"/>
        <v>1.2668651422059003E-4</v>
      </c>
      <c r="N25">
        <f t="shared" si="4"/>
        <v>-1.5795519816197423E-3</v>
      </c>
      <c r="O25">
        <f t="shared" si="5"/>
        <v>1.2717504610696651E-2</v>
      </c>
      <c r="P25">
        <f t="shared" si="6"/>
        <v>7.3882352895382475E-3</v>
      </c>
    </row>
    <row r="26" spans="1:22" x14ac:dyDescent="0.25">
      <c r="A26" s="5">
        <v>45748</v>
      </c>
      <c r="B26" s="6">
        <v>34.365000000000002</v>
      </c>
      <c r="C26" s="6">
        <v>34.375</v>
      </c>
      <c r="D26" s="7">
        <v>53260</v>
      </c>
      <c r="E26" s="3">
        <f t="shared" si="3"/>
        <v>34.370000000000005</v>
      </c>
      <c r="F26" s="3">
        <f t="shared" si="0"/>
        <v>2.9095141111428597E-4</v>
      </c>
      <c r="G26" s="11"/>
      <c r="H26" s="6">
        <v>3148.2</v>
      </c>
      <c r="I26" s="6">
        <v>3148.9</v>
      </c>
      <c r="J26" s="7">
        <v>191344</v>
      </c>
      <c r="K26" s="12">
        <f t="shared" si="1"/>
        <v>3148.55</v>
      </c>
      <c r="L26" s="12">
        <f t="shared" si="2"/>
        <v>2.2232456210010093E-4</v>
      </c>
      <c r="N26">
        <f t="shared" si="4"/>
        <v>-1.1362002013519223E-2</v>
      </c>
      <c r="O26">
        <f t="shared" si="5"/>
        <v>-2.8029391271296999E-3</v>
      </c>
      <c r="P26">
        <f t="shared" si="6"/>
        <v>-5.993354648238784E-3</v>
      </c>
    </row>
    <row r="27" spans="1:22" x14ac:dyDescent="0.25">
      <c r="A27" s="2">
        <v>45749</v>
      </c>
      <c r="B27" s="3">
        <v>34.9</v>
      </c>
      <c r="C27" s="3">
        <v>35</v>
      </c>
      <c r="D27" s="4">
        <v>60627</v>
      </c>
      <c r="E27" s="3">
        <f t="shared" si="3"/>
        <v>34.950000000000003</v>
      </c>
      <c r="F27" s="3">
        <f t="shared" si="0"/>
        <v>2.8612303290415282E-3</v>
      </c>
      <c r="G27" s="11"/>
      <c r="H27" s="3">
        <v>3187.3</v>
      </c>
      <c r="I27" s="3">
        <v>3192.5</v>
      </c>
      <c r="J27" s="4">
        <v>215406</v>
      </c>
      <c r="K27" s="12">
        <f t="shared" si="1"/>
        <v>3189.9</v>
      </c>
      <c r="L27" s="12">
        <f t="shared" si="2"/>
        <v>1.630145145615793E-3</v>
      </c>
      <c r="N27">
        <f t="shared" si="4"/>
        <v>1.6875181844631992E-2</v>
      </c>
      <c r="O27">
        <f t="shared" si="5"/>
        <v>1.3133029489765136E-2</v>
      </c>
      <c r="P27">
        <f t="shared" si="6"/>
        <v>1.4527927636185739E-2</v>
      </c>
    </row>
    <row r="28" spans="1:22" x14ac:dyDescent="0.25">
      <c r="A28" s="5">
        <v>45750</v>
      </c>
      <c r="B28" s="6">
        <v>31.92</v>
      </c>
      <c r="C28" s="6">
        <v>31.93</v>
      </c>
      <c r="D28" s="7">
        <v>146447</v>
      </c>
      <c r="E28" s="3">
        <f t="shared" si="3"/>
        <v>31.925000000000001</v>
      </c>
      <c r="F28" s="3">
        <f t="shared" si="0"/>
        <v>3.1323414252147251E-4</v>
      </c>
      <c r="G28" s="11"/>
      <c r="H28" s="6">
        <v>3137.8</v>
      </c>
      <c r="I28" s="6">
        <v>3138.7</v>
      </c>
      <c r="J28" s="7">
        <v>368930</v>
      </c>
      <c r="K28" s="12">
        <f t="shared" si="1"/>
        <v>3138.25</v>
      </c>
      <c r="L28" s="12">
        <f t="shared" si="2"/>
        <v>2.8678403568856408E-4</v>
      </c>
      <c r="N28">
        <f t="shared" si="4"/>
        <v>-8.6552217453505054E-2</v>
      </c>
      <c r="O28">
        <f t="shared" si="5"/>
        <v>-1.619173014828057E-2</v>
      </c>
      <c r="P28">
        <f t="shared" si="6"/>
        <v>-4.2418805910085039E-2</v>
      </c>
    </row>
    <row r="29" spans="1:22" x14ac:dyDescent="0.25">
      <c r="A29" s="2">
        <v>45751</v>
      </c>
      <c r="B29" s="3">
        <v>29.51</v>
      </c>
      <c r="C29" s="3">
        <v>29.53</v>
      </c>
      <c r="D29" s="4">
        <v>122155</v>
      </c>
      <c r="E29" s="3">
        <f t="shared" si="3"/>
        <v>29.520000000000003</v>
      </c>
      <c r="F29" s="3">
        <f t="shared" si="0"/>
        <v>6.7750677506773615E-4</v>
      </c>
      <c r="G29" s="11"/>
      <c r="H29" s="3">
        <v>3055.8</v>
      </c>
      <c r="I29" s="3">
        <v>3056.9</v>
      </c>
      <c r="J29" s="4">
        <v>309150</v>
      </c>
      <c r="K29" s="12">
        <f t="shared" si="1"/>
        <v>3056.3500000000004</v>
      </c>
      <c r="L29" s="12">
        <f t="shared" si="2"/>
        <v>3.5990642432964451E-4</v>
      </c>
      <c r="N29">
        <f t="shared" si="4"/>
        <v>-7.5332811276429101E-2</v>
      </c>
      <c r="O29">
        <f t="shared" si="5"/>
        <v>-2.6097347247669767E-2</v>
      </c>
      <c r="P29">
        <f t="shared" si="6"/>
        <v>-4.4450009298576093E-2</v>
      </c>
    </row>
    <row r="30" spans="1:22" x14ac:dyDescent="0.25">
      <c r="A30" s="5">
        <v>45754</v>
      </c>
      <c r="B30" s="6">
        <v>30.065000000000001</v>
      </c>
      <c r="C30" s="6">
        <v>30.094999999999999</v>
      </c>
      <c r="D30" s="7">
        <v>134449</v>
      </c>
      <c r="E30" s="3">
        <f t="shared" si="3"/>
        <v>30.08</v>
      </c>
      <c r="F30" s="3">
        <f t="shared" si="0"/>
        <v>9.9734042553183458E-4</v>
      </c>
      <c r="G30" s="11"/>
      <c r="H30" s="6">
        <v>2995</v>
      </c>
      <c r="I30" s="6">
        <v>3002</v>
      </c>
      <c r="J30" s="7">
        <v>303639</v>
      </c>
      <c r="K30" s="12">
        <f t="shared" si="1"/>
        <v>2998.5</v>
      </c>
      <c r="L30" s="12">
        <f t="shared" si="2"/>
        <v>2.3345005836251458E-3</v>
      </c>
      <c r="N30">
        <f t="shared" si="4"/>
        <v>1.8970189701896789E-2</v>
      </c>
      <c r="O30">
        <f t="shared" si="5"/>
        <v>-1.8927806043156137E-2</v>
      </c>
      <c r="P30">
        <f t="shared" si="6"/>
        <v>-4.801218185481613E-3</v>
      </c>
    </row>
    <row r="31" spans="1:22" x14ac:dyDescent="0.25">
      <c r="A31" s="2">
        <v>45755</v>
      </c>
      <c r="B31" s="3">
        <v>29.75</v>
      </c>
      <c r="C31" s="3">
        <v>29.76</v>
      </c>
      <c r="D31" s="4">
        <v>71906</v>
      </c>
      <c r="E31" s="3">
        <f t="shared" si="3"/>
        <v>29.755000000000003</v>
      </c>
      <c r="F31" s="3">
        <f t="shared" si="0"/>
        <v>3.3607797008911315E-4</v>
      </c>
      <c r="G31" s="11"/>
      <c r="H31" s="3">
        <v>2996.8</v>
      </c>
      <c r="I31" s="3">
        <v>2999.9</v>
      </c>
      <c r="J31" s="4">
        <v>191636</v>
      </c>
      <c r="K31" s="12">
        <f t="shared" si="1"/>
        <v>2998.3500000000004</v>
      </c>
      <c r="L31" s="12">
        <f t="shared" si="2"/>
        <v>1.033901979421985E-3</v>
      </c>
      <c r="N31">
        <f t="shared" si="4"/>
        <v>-1.0804521276595591E-2</v>
      </c>
      <c r="O31">
        <f t="shared" si="5"/>
        <v>-5.0025012506171862E-5</v>
      </c>
      <c r="P31">
        <f t="shared" si="6"/>
        <v>-4.0587946941989901E-3</v>
      </c>
    </row>
    <row r="32" spans="1:22" x14ac:dyDescent="0.25">
      <c r="A32" s="5">
        <v>45756</v>
      </c>
      <c r="B32" s="6">
        <v>30.954999999999998</v>
      </c>
      <c r="C32" s="6">
        <v>30.97</v>
      </c>
      <c r="D32" s="7">
        <v>93412</v>
      </c>
      <c r="E32" s="3">
        <f t="shared" si="3"/>
        <v>30.962499999999999</v>
      </c>
      <c r="F32" s="3">
        <f t="shared" si="0"/>
        <v>4.8445700444087425E-4</v>
      </c>
      <c r="G32" s="11"/>
      <c r="H32" s="6">
        <v>3099.6</v>
      </c>
      <c r="I32" s="6">
        <v>3102</v>
      </c>
      <c r="J32" s="7">
        <v>287759</v>
      </c>
      <c r="K32" s="12">
        <f t="shared" si="1"/>
        <v>3100.8</v>
      </c>
      <c r="L32" s="12">
        <f t="shared" si="2"/>
        <v>7.7399380804956492E-4</v>
      </c>
      <c r="N32">
        <f t="shared" si="4"/>
        <v>4.0581414888253953E-2</v>
      </c>
      <c r="O32">
        <f t="shared" si="5"/>
        <v>3.4168792836059669E-2</v>
      </c>
      <c r="P32">
        <f t="shared" si="6"/>
        <v>3.655911630930584E-2</v>
      </c>
    </row>
    <row r="33" spans="1:16" x14ac:dyDescent="0.25">
      <c r="A33" s="2">
        <v>45757</v>
      </c>
      <c r="B33" s="3">
        <v>31.105</v>
      </c>
      <c r="C33" s="3">
        <v>31.125</v>
      </c>
      <c r="D33" s="4">
        <v>77126</v>
      </c>
      <c r="E33" s="3">
        <f t="shared" si="3"/>
        <v>31.115000000000002</v>
      </c>
      <c r="F33" s="3">
        <f t="shared" si="0"/>
        <v>6.4277679575765938E-4</v>
      </c>
      <c r="G33" s="11"/>
      <c r="H33" s="3">
        <v>3193.5</v>
      </c>
      <c r="I33" s="3">
        <v>3194.5</v>
      </c>
      <c r="J33" s="4">
        <v>226814</v>
      </c>
      <c r="K33" s="12">
        <f t="shared" si="1"/>
        <v>3194</v>
      </c>
      <c r="L33" s="12">
        <f t="shared" si="2"/>
        <v>3.1308703819661864E-4</v>
      </c>
      <c r="N33">
        <f t="shared" si="4"/>
        <v>4.9253128784820799E-3</v>
      </c>
      <c r="O33">
        <f t="shared" si="5"/>
        <v>3.0056759545923573E-2</v>
      </c>
      <c r="P33">
        <f t="shared" si="6"/>
        <v>2.0688939893233439E-2</v>
      </c>
    </row>
    <row r="34" spans="1:16" x14ac:dyDescent="0.25">
      <c r="A34" s="5">
        <v>45758</v>
      </c>
      <c r="B34" s="6">
        <v>32.185000000000002</v>
      </c>
      <c r="C34" s="6">
        <v>32.195</v>
      </c>
      <c r="D34" s="7">
        <v>89276</v>
      </c>
      <c r="E34" s="3">
        <f t="shared" si="3"/>
        <v>32.19</v>
      </c>
      <c r="F34" s="3">
        <f t="shared" si="0"/>
        <v>3.1065548306921436E-4</v>
      </c>
      <c r="G34" s="11"/>
      <c r="H34" s="6">
        <v>3252.5</v>
      </c>
      <c r="I34" s="6">
        <v>3255.4</v>
      </c>
      <c r="J34" s="7">
        <v>239221</v>
      </c>
      <c r="K34" s="12">
        <f t="shared" si="1"/>
        <v>3253.95</v>
      </c>
      <c r="L34" s="12">
        <f t="shared" si="2"/>
        <v>8.91224511747289E-4</v>
      </c>
      <c r="N34">
        <f t="shared" si="4"/>
        <v>3.4549252771974848E-2</v>
      </c>
      <c r="O34">
        <f t="shared" si="5"/>
        <v>1.8769567939887155E-2</v>
      </c>
      <c r="P34">
        <f t="shared" si="6"/>
        <v>2.4651491238588223E-2</v>
      </c>
    </row>
    <row r="35" spans="1:16" x14ac:dyDescent="0.25">
      <c r="A35" s="2">
        <v>45761</v>
      </c>
      <c r="B35" s="3">
        <v>32.26</v>
      </c>
      <c r="C35" s="3">
        <v>32.274999999999999</v>
      </c>
      <c r="D35" s="4">
        <v>60119</v>
      </c>
      <c r="E35" s="3">
        <f t="shared" si="3"/>
        <v>32.267499999999998</v>
      </c>
      <c r="F35" s="3">
        <f t="shared" si="0"/>
        <v>4.6486402727204058E-4</v>
      </c>
      <c r="G35" s="11"/>
      <c r="H35" s="3">
        <v>3226.5</v>
      </c>
      <c r="I35" s="3">
        <v>3227.2</v>
      </c>
      <c r="J35" s="4">
        <v>183797</v>
      </c>
      <c r="K35" s="12">
        <f t="shared" si="1"/>
        <v>3226.85</v>
      </c>
      <c r="L35" s="12">
        <f t="shared" si="2"/>
        <v>2.1692982320213773E-4</v>
      </c>
      <c r="N35">
        <f t="shared" si="4"/>
        <v>2.4075799937868236E-3</v>
      </c>
      <c r="O35">
        <f t="shared" si="5"/>
        <v>-8.328339402879581E-3</v>
      </c>
      <c r="P35">
        <f t="shared" si="6"/>
        <v>-4.3264943024109784E-3</v>
      </c>
    </row>
    <row r="36" spans="1:16" x14ac:dyDescent="0.25">
      <c r="A36" s="5">
        <v>45762</v>
      </c>
      <c r="B36" s="6">
        <v>32.305</v>
      </c>
      <c r="C36" s="6">
        <v>32.32</v>
      </c>
      <c r="D36" s="7">
        <v>37894</v>
      </c>
      <c r="E36" s="3">
        <f t="shared" si="3"/>
        <v>32.3125</v>
      </c>
      <c r="F36" s="3">
        <f t="shared" si="0"/>
        <v>4.6421663442941795E-4</v>
      </c>
      <c r="G36" s="11"/>
      <c r="H36" s="6">
        <v>3246.6</v>
      </c>
      <c r="I36" s="6">
        <v>3247.4</v>
      </c>
      <c r="J36" s="7">
        <v>118169</v>
      </c>
      <c r="K36" s="12">
        <f t="shared" si="1"/>
        <v>3247</v>
      </c>
      <c r="L36" s="12">
        <f t="shared" si="2"/>
        <v>2.4638127502315426E-4</v>
      </c>
      <c r="N36">
        <f t="shared" si="4"/>
        <v>1.3945920818161373E-3</v>
      </c>
      <c r="O36">
        <f t="shared" si="5"/>
        <v>6.2444799107488347E-3</v>
      </c>
      <c r="P36">
        <f t="shared" si="6"/>
        <v>4.4366701527822159E-3</v>
      </c>
    </row>
    <row r="37" spans="1:16" x14ac:dyDescent="0.25">
      <c r="A37" s="2">
        <v>45763</v>
      </c>
      <c r="B37" s="3">
        <v>32.75</v>
      </c>
      <c r="C37" s="3">
        <v>32.770000000000003</v>
      </c>
      <c r="D37" s="4">
        <v>61903</v>
      </c>
      <c r="E37" s="3">
        <f t="shared" si="3"/>
        <v>32.760000000000005</v>
      </c>
      <c r="F37" s="3">
        <f t="shared" si="0"/>
        <v>6.105006105007058E-4</v>
      </c>
      <c r="G37" s="11"/>
      <c r="H37" s="3">
        <v>3357.4</v>
      </c>
      <c r="I37" s="3">
        <v>3357.7</v>
      </c>
      <c r="J37" s="4">
        <v>250439</v>
      </c>
      <c r="K37" s="12">
        <f t="shared" si="1"/>
        <v>3357.55</v>
      </c>
      <c r="L37" s="12">
        <f t="shared" si="2"/>
        <v>8.9350865958727987E-5</v>
      </c>
      <c r="N37">
        <f t="shared" si="4"/>
        <v>1.3849129593810572E-2</v>
      </c>
      <c r="O37">
        <f t="shared" si="5"/>
        <v>3.4046812442254382E-2</v>
      </c>
      <c r="P37">
        <f t="shared" si="6"/>
        <v>2.6518067566155424E-2</v>
      </c>
    </row>
    <row r="38" spans="1:16" x14ac:dyDescent="0.25">
      <c r="A38" s="5">
        <v>45764</v>
      </c>
      <c r="B38" s="6">
        <v>32.53</v>
      </c>
      <c r="C38" s="6">
        <v>32.615000000000002</v>
      </c>
      <c r="D38" s="7">
        <v>49587</v>
      </c>
      <c r="E38" s="3">
        <f t="shared" si="3"/>
        <v>32.572500000000005</v>
      </c>
      <c r="F38" s="3">
        <f t="shared" si="0"/>
        <v>2.609563281909612E-3</v>
      </c>
      <c r="G38" s="11"/>
      <c r="H38" s="6">
        <v>3339.2</v>
      </c>
      <c r="I38" s="6">
        <v>3341.7</v>
      </c>
      <c r="J38" s="7">
        <v>235359</v>
      </c>
      <c r="K38" s="12">
        <f t="shared" si="1"/>
        <v>3340.45</v>
      </c>
      <c r="L38" s="12">
        <f t="shared" si="2"/>
        <v>7.4840216138544213E-4</v>
      </c>
      <c r="N38">
        <f t="shared" si="4"/>
        <v>-5.7234432234432031E-3</v>
      </c>
      <c r="O38">
        <f t="shared" si="5"/>
        <v>-5.0929993596522394E-3</v>
      </c>
      <c r="P38">
        <f t="shared" si="6"/>
        <v>-5.3279991388249254E-3</v>
      </c>
    </row>
    <row r="39" spans="1:16" x14ac:dyDescent="0.25">
      <c r="A39" s="2">
        <v>45768</v>
      </c>
      <c r="B39" s="3">
        <v>32.625</v>
      </c>
      <c r="C39" s="3">
        <v>32.645000000000003</v>
      </c>
      <c r="D39" s="4">
        <v>49362</v>
      </c>
      <c r="E39" s="3">
        <f t="shared" si="3"/>
        <v>32.635000000000005</v>
      </c>
      <c r="F39" s="3">
        <f t="shared" si="0"/>
        <v>6.1283897655900488E-4</v>
      </c>
      <c r="G39" s="11"/>
      <c r="H39" s="3">
        <v>3435</v>
      </c>
      <c r="I39" s="3">
        <v>3435.6</v>
      </c>
      <c r="J39" s="4">
        <v>235195</v>
      </c>
      <c r="K39" s="12">
        <f t="shared" si="1"/>
        <v>3435.3</v>
      </c>
      <c r="L39" s="12">
        <f t="shared" si="2"/>
        <v>1.7465723517594067E-4</v>
      </c>
      <c r="N39">
        <f t="shared" si="4"/>
        <v>1.9187965308158361E-3</v>
      </c>
      <c r="O39">
        <f t="shared" si="5"/>
        <v>2.8394378002963849E-2</v>
      </c>
      <c r="P39">
        <f t="shared" si="6"/>
        <v>1.8525528202426821E-2</v>
      </c>
    </row>
    <row r="40" spans="1:16" x14ac:dyDescent="0.25">
      <c r="A40" s="5">
        <v>45769</v>
      </c>
      <c r="B40" s="6">
        <v>32.479999999999997</v>
      </c>
      <c r="C40" s="6">
        <v>32.5</v>
      </c>
      <c r="D40" s="7">
        <v>89939</v>
      </c>
      <c r="E40" s="3">
        <f t="shared" si="3"/>
        <v>32.489999999999995</v>
      </c>
      <c r="F40" s="3">
        <f t="shared" si="0"/>
        <v>6.1557402277633521E-4</v>
      </c>
      <c r="G40" s="11"/>
      <c r="H40" s="6">
        <v>3391.4</v>
      </c>
      <c r="I40" s="6">
        <v>3391.8</v>
      </c>
      <c r="J40" s="7">
        <v>408423</v>
      </c>
      <c r="K40" s="12">
        <f t="shared" si="1"/>
        <v>3391.6000000000004</v>
      </c>
      <c r="L40" s="12">
        <f t="shared" si="2"/>
        <v>1.1793843613636363E-4</v>
      </c>
      <c r="N40">
        <f t="shared" si="4"/>
        <v>-4.4430825800524376E-3</v>
      </c>
      <c r="O40">
        <f t="shared" si="5"/>
        <v>-1.2720868628649518E-2</v>
      </c>
      <c r="P40">
        <f t="shared" si="6"/>
        <v>-9.6352998648236987E-3</v>
      </c>
    </row>
    <row r="41" spans="1:16" x14ac:dyDescent="0.25">
      <c r="A41" s="2">
        <v>45770</v>
      </c>
      <c r="B41" s="3">
        <v>33.549999999999997</v>
      </c>
      <c r="C41" s="3">
        <v>33.57</v>
      </c>
      <c r="D41" s="4">
        <v>86230</v>
      </c>
      <c r="E41" s="3">
        <f t="shared" si="3"/>
        <v>33.56</v>
      </c>
      <c r="F41" s="3">
        <f t="shared" si="0"/>
        <v>5.9594755661511098E-4</v>
      </c>
      <c r="G41" s="11"/>
      <c r="H41" s="3">
        <v>3301.1</v>
      </c>
      <c r="I41" s="3">
        <v>3302</v>
      </c>
      <c r="J41" s="4">
        <v>367529</v>
      </c>
      <c r="K41" s="12">
        <f t="shared" si="1"/>
        <v>3301.55</v>
      </c>
      <c r="L41" s="12">
        <f t="shared" si="2"/>
        <v>2.725992336932928E-4</v>
      </c>
      <c r="N41">
        <f t="shared" si="4"/>
        <v>3.2933210218528908E-2</v>
      </c>
      <c r="O41">
        <f t="shared" si="5"/>
        <v>-2.6550890435192875E-2</v>
      </c>
      <c r="P41">
        <f t="shared" si="6"/>
        <v>-4.3780193505987483E-3</v>
      </c>
    </row>
    <row r="42" spans="1:16" x14ac:dyDescent="0.25">
      <c r="A42" s="5">
        <v>45771</v>
      </c>
      <c r="B42" s="6">
        <v>33.545000000000002</v>
      </c>
      <c r="C42" s="6">
        <v>33.555</v>
      </c>
      <c r="D42" s="7">
        <v>52518</v>
      </c>
      <c r="E42" s="3">
        <f t="shared" si="3"/>
        <v>33.549999999999997</v>
      </c>
      <c r="F42" s="3">
        <f t="shared" si="0"/>
        <v>2.9806259314450111E-4</v>
      </c>
      <c r="G42" s="11"/>
      <c r="H42" s="6">
        <v>3361</v>
      </c>
      <c r="I42" s="6">
        <v>3361.8</v>
      </c>
      <c r="J42" s="7">
        <v>234897</v>
      </c>
      <c r="K42" s="12">
        <f t="shared" si="1"/>
        <v>3361.4</v>
      </c>
      <c r="L42" s="12">
        <f t="shared" si="2"/>
        <v>2.3799607306484853E-4</v>
      </c>
      <c r="N42">
        <f t="shared" si="4"/>
        <v>-2.9797377830764749E-4</v>
      </c>
      <c r="O42">
        <f t="shared" si="5"/>
        <v>1.8127849040602051E-2</v>
      </c>
      <c r="P42">
        <f t="shared" si="6"/>
        <v>1.1259570130753637E-2</v>
      </c>
    </row>
    <row r="43" spans="1:16" x14ac:dyDescent="0.25">
      <c r="A43" s="2">
        <v>45772</v>
      </c>
      <c r="B43" s="3">
        <v>33.01</v>
      </c>
      <c r="C43" s="3">
        <v>33.03</v>
      </c>
      <c r="D43" s="4">
        <v>52122</v>
      </c>
      <c r="E43" s="3">
        <f t="shared" si="3"/>
        <v>33.019999999999996</v>
      </c>
      <c r="F43" s="3">
        <f t="shared" si="0"/>
        <v>6.0569351907944059E-4</v>
      </c>
      <c r="G43" s="11"/>
      <c r="H43" s="3">
        <v>3330.2</v>
      </c>
      <c r="I43" s="3">
        <v>3331.1</v>
      </c>
      <c r="J43" s="4">
        <v>235015</v>
      </c>
      <c r="K43" s="12">
        <f t="shared" si="1"/>
        <v>3330.6499999999996</v>
      </c>
      <c r="L43" s="12">
        <f t="shared" si="2"/>
        <v>2.7021752510773903E-4</v>
      </c>
      <c r="N43">
        <f t="shared" si="4"/>
        <v>-1.5797317436661684E-2</v>
      </c>
      <c r="O43">
        <f t="shared" si="5"/>
        <v>-9.1479740584281544E-3</v>
      </c>
      <c r="P43">
        <f t="shared" si="6"/>
        <v>-1.1626536092694146E-2</v>
      </c>
    </row>
    <row r="44" spans="1:16" x14ac:dyDescent="0.25">
      <c r="A44" s="5">
        <v>45775</v>
      </c>
      <c r="B44" s="6">
        <v>33.094999999999999</v>
      </c>
      <c r="C44" s="6">
        <v>33.1</v>
      </c>
      <c r="D44" s="7">
        <v>38136</v>
      </c>
      <c r="E44" s="3">
        <f t="shared" si="3"/>
        <v>33.097499999999997</v>
      </c>
      <c r="F44" s="3">
        <f t="shared" si="0"/>
        <v>1.5106881184387216E-4</v>
      </c>
      <c r="G44" s="11"/>
      <c r="H44" s="6">
        <v>3354.5</v>
      </c>
      <c r="I44" s="6">
        <v>3355.2</v>
      </c>
      <c r="J44" s="7">
        <v>215264</v>
      </c>
      <c r="K44" s="12">
        <f t="shared" si="1"/>
        <v>3354.85</v>
      </c>
      <c r="L44" s="12">
        <f t="shared" si="2"/>
        <v>2.0865314395571131E-4</v>
      </c>
      <c r="N44">
        <f t="shared" si="4"/>
        <v>2.3470623864325635E-3</v>
      </c>
      <c r="O44">
        <f t="shared" si="5"/>
        <v>7.2658490084518412E-3</v>
      </c>
      <c r="P44">
        <f t="shared" si="6"/>
        <v>5.4323570254838542E-3</v>
      </c>
    </row>
    <row r="45" spans="1:16" x14ac:dyDescent="0.25">
      <c r="A45" s="2">
        <v>45776</v>
      </c>
      <c r="B45" s="3">
        <v>33.204999999999998</v>
      </c>
      <c r="C45" s="3">
        <v>33.225000000000001</v>
      </c>
      <c r="D45" s="4">
        <v>51708</v>
      </c>
      <c r="E45" s="3">
        <f t="shared" si="3"/>
        <v>33.215000000000003</v>
      </c>
      <c r="F45" s="3">
        <f t="shared" si="0"/>
        <v>6.0213758843905235E-4</v>
      </c>
      <c r="G45" s="11"/>
      <c r="H45" s="3">
        <v>3327.2</v>
      </c>
      <c r="I45" s="3">
        <v>3328</v>
      </c>
      <c r="J45" s="4">
        <v>167035</v>
      </c>
      <c r="K45" s="12">
        <f t="shared" si="1"/>
        <v>3327.6</v>
      </c>
      <c r="L45" s="12">
        <f t="shared" si="2"/>
        <v>2.4041351123938633E-4</v>
      </c>
      <c r="N45">
        <f t="shared" si="4"/>
        <v>3.5501170783294178E-3</v>
      </c>
      <c r="O45">
        <f t="shared" si="5"/>
        <v>-8.1225688182779976E-3</v>
      </c>
      <c r="P45">
        <f t="shared" si="6"/>
        <v>-3.7715412873567129E-3</v>
      </c>
    </row>
    <row r="46" spans="1:16" x14ac:dyDescent="0.25">
      <c r="A46" s="5">
        <v>45777</v>
      </c>
      <c r="B46" s="6">
        <v>32.81</v>
      </c>
      <c r="C46" s="6">
        <v>32.83</v>
      </c>
      <c r="D46" s="7">
        <v>50177</v>
      </c>
      <c r="E46" s="3">
        <f t="shared" si="3"/>
        <v>32.82</v>
      </c>
      <c r="F46" s="3">
        <f t="shared" si="0"/>
        <v>6.0938452163302923E-4</v>
      </c>
      <c r="G46" s="11"/>
      <c r="H46" s="6">
        <v>3298.7</v>
      </c>
      <c r="I46" s="6">
        <v>3299.7</v>
      </c>
      <c r="J46" s="7">
        <v>204139</v>
      </c>
      <c r="K46" s="12">
        <f t="shared" si="1"/>
        <v>3299.2</v>
      </c>
      <c r="L46" s="12">
        <f t="shared" si="2"/>
        <v>3.0310378273520856E-4</v>
      </c>
      <c r="N46">
        <f t="shared" si="4"/>
        <v>-1.1892217371669567E-2</v>
      </c>
      <c r="O46">
        <f t="shared" si="5"/>
        <v>-8.5346796489963461E-3</v>
      </c>
      <c r="P46">
        <f t="shared" si="6"/>
        <v>-9.7862115754832786E-3</v>
      </c>
    </row>
    <row r="47" spans="1:16" x14ac:dyDescent="0.25">
      <c r="A47" s="2">
        <v>45778</v>
      </c>
      <c r="B47" s="3">
        <v>32.64</v>
      </c>
      <c r="C47" s="3">
        <v>32.655000000000001</v>
      </c>
      <c r="D47" s="4">
        <v>41746</v>
      </c>
      <c r="E47" s="3">
        <f t="shared" si="3"/>
        <v>32.647500000000001</v>
      </c>
      <c r="F47" s="3">
        <f t="shared" si="0"/>
        <v>4.5945325063176563E-4</v>
      </c>
      <c r="G47" s="11"/>
      <c r="H47" s="3">
        <v>3247.7</v>
      </c>
      <c r="I47" s="3">
        <v>3248.5</v>
      </c>
      <c r="J47" s="4">
        <v>212466</v>
      </c>
      <c r="K47" s="12">
        <f t="shared" si="1"/>
        <v>3248.1</v>
      </c>
      <c r="L47" s="12">
        <f t="shared" si="2"/>
        <v>2.4629783565782514E-4</v>
      </c>
      <c r="N47">
        <f t="shared" si="4"/>
        <v>-5.2559414990859255E-3</v>
      </c>
      <c r="O47">
        <f t="shared" si="5"/>
        <v>-1.5488603297769132E-2</v>
      </c>
      <c r="P47">
        <f t="shared" si="6"/>
        <v>-1.1674348926920574E-2</v>
      </c>
    </row>
    <row r="48" spans="1:16" x14ac:dyDescent="0.25">
      <c r="A48" s="5">
        <v>45779</v>
      </c>
      <c r="B48" s="6">
        <v>32.174999999999997</v>
      </c>
      <c r="C48" s="6">
        <v>32.19</v>
      </c>
      <c r="D48" s="7">
        <v>38955</v>
      </c>
      <c r="E48" s="3">
        <f t="shared" si="3"/>
        <v>32.182499999999997</v>
      </c>
      <c r="F48" s="3">
        <f t="shared" si="0"/>
        <v>4.6609182008857514E-4</v>
      </c>
      <c r="G48" s="11"/>
      <c r="H48" s="6">
        <v>3246.9</v>
      </c>
      <c r="I48" s="6">
        <v>3247.6</v>
      </c>
      <c r="J48" s="7">
        <v>208080</v>
      </c>
      <c r="K48" s="12">
        <f t="shared" si="1"/>
        <v>3247.25</v>
      </c>
      <c r="L48" s="12">
        <f t="shared" si="2"/>
        <v>2.1556701824615232E-4</v>
      </c>
      <c r="N48">
        <f t="shared" si="4"/>
        <v>-1.424305076958432E-2</v>
      </c>
      <c r="O48">
        <f t="shared" si="5"/>
        <v>-2.6169145038634767E-4</v>
      </c>
      <c r="P48">
        <f t="shared" si="6"/>
        <v>-5.4732836971385715E-3</v>
      </c>
    </row>
    <row r="49" spans="1:16" x14ac:dyDescent="0.25">
      <c r="A49" s="2">
        <v>45782</v>
      </c>
      <c r="B49" s="3">
        <v>32.664999999999999</v>
      </c>
      <c r="C49" s="3">
        <v>32.685000000000002</v>
      </c>
      <c r="D49" s="4">
        <v>32200</v>
      </c>
      <c r="E49" s="3">
        <f t="shared" si="3"/>
        <v>32.674999999999997</v>
      </c>
      <c r="F49" s="3">
        <f t="shared" si="0"/>
        <v>6.1208875286926172E-4</v>
      </c>
      <c r="G49" s="11"/>
      <c r="H49" s="3">
        <v>3343.2</v>
      </c>
      <c r="I49" s="3">
        <v>3344.2</v>
      </c>
      <c r="J49" s="4">
        <v>182308</v>
      </c>
      <c r="K49" s="12">
        <f t="shared" si="1"/>
        <v>3343.7</v>
      </c>
      <c r="L49" s="12">
        <f t="shared" si="2"/>
        <v>2.9906989263390858E-4</v>
      </c>
      <c r="N49">
        <f t="shared" si="4"/>
        <v>1.5303348092907676E-2</v>
      </c>
      <c r="O49">
        <f t="shared" si="5"/>
        <v>2.9702055585495435E-2</v>
      </c>
      <c r="P49">
        <f t="shared" si="6"/>
        <v>2.433489559636727E-2</v>
      </c>
    </row>
    <row r="50" spans="1:16" x14ac:dyDescent="0.25">
      <c r="A50" s="5">
        <v>45783</v>
      </c>
      <c r="B50" s="6">
        <v>33.435000000000002</v>
      </c>
      <c r="C50" s="6">
        <v>33.454999999999998</v>
      </c>
      <c r="D50" s="7">
        <v>53799</v>
      </c>
      <c r="E50" s="3">
        <f t="shared" si="3"/>
        <v>33.445</v>
      </c>
      <c r="F50" s="3">
        <f t="shared" si="0"/>
        <v>5.9799671101797046E-4</v>
      </c>
      <c r="G50" s="11"/>
      <c r="H50" s="6">
        <v>3440.9</v>
      </c>
      <c r="I50" s="6">
        <v>3442.1</v>
      </c>
      <c r="J50" s="7">
        <v>261266</v>
      </c>
      <c r="K50" s="12">
        <f t="shared" si="1"/>
        <v>3441.5</v>
      </c>
      <c r="L50" s="12">
        <f t="shared" si="2"/>
        <v>3.4868516635182858E-4</v>
      </c>
      <c r="N50">
        <f t="shared" si="4"/>
        <v>2.3565416985462884E-2</v>
      </c>
      <c r="O50">
        <f t="shared" si="5"/>
        <v>2.9249035499596232E-2</v>
      </c>
      <c r="P50">
        <f t="shared" si="6"/>
        <v>2.71304502100327E-2</v>
      </c>
    </row>
    <row r="51" spans="1:16" x14ac:dyDescent="0.25">
      <c r="A51" s="2">
        <v>45784</v>
      </c>
      <c r="B51" s="3">
        <v>32.6</v>
      </c>
      <c r="C51" s="3">
        <v>32.625</v>
      </c>
      <c r="D51" s="4">
        <v>48612</v>
      </c>
      <c r="E51" s="3">
        <f t="shared" si="3"/>
        <v>32.612499999999997</v>
      </c>
      <c r="F51" s="3">
        <f t="shared" si="0"/>
        <v>7.6657723265614658E-4</v>
      </c>
      <c r="G51" s="11"/>
      <c r="H51" s="3">
        <v>3372</v>
      </c>
      <c r="I51" s="3">
        <v>3373</v>
      </c>
      <c r="J51" s="4">
        <v>275912</v>
      </c>
      <c r="K51" s="12">
        <f t="shared" si="1"/>
        <v>3372.5</v>
      </c>
      <c r="L51" s="12">
        <f t="shared" si="2"/>
        <v>2.9651593773165309E-4</v>
      </c>
      <c r="N51">
        <f t="shared" si="4"/>
        <v>-2.4891613096128085E-2</v>
      </c>
      <c r="O51">
        <f t="shared" si="5"/>
        <v>-2.0049397065233232E-2</v>
      </c>
      <c r="P51">
        <f t="shared" si="6"/>
        <v>-2.1854347138225032E-2</v>
      </c>
    </row>
    <row r="52" spans="1:16" x14ac:dyDescent="0.25">
      <c r="A52" s="5">
        <v>45785</v>
      </c>
      <c r="B52" s="6">
        <v>32.6</v>
      </c>
      <c r="C52" s="6">
        <v>32.619999999999997</v>
      </c>
      <c r="D52" s="7">
        <v>47499</v>
      </c>
      <c r="E52" s="3">
        <f t="shared" si="3"/>
        <v>32.61</v>
      </c>
      <c r="F52" s="3">
        <f t="shared" si="0"/>
        <v>6.1330880098117203E-4</v>
      </c>
      <c r="G52" s="11"/>
      <c r="H52" s="6">
        <v>3310</v>
      </c>
      <c r="I52" s="6">
        <v>3310.4</v>
      </c>
      <c r="J52" s="7">
        <v>300032</v>
      </c>
      <c r="K52" s="12">
        <f t="shared" si="1"/>
        <v>3310.2</v>
      </c>
      <c r="L52" s="12">
        <f t="shared" si="2"/>
        <v>1.2083862002298682E-4</v>
      </c>
      <c r="N52">
        <f t="shared" si="4"/>
        <v>-7.6657723265594058E-5</v>
      </c>
      <c r="O52">
        <f t="shared" si="5"/>
        <v>-1.8472942920682023E-2</v>
      </c>
      <c r="P52">
        <f t="shared" si="6"/>
        <v>-1.1615674244935129E-2</v>
      </c>
    </row>
    <row r="53" spans="1:16" x14ac:dyDescent="0.25">
      <c r="A53" s="2">
        <v>45786</v>
      </c>
      <c r="B53" s="3">
        <v>32.869999999999997</v>
      </c>
      <c r="C53" s="3">
        <v>32.884999999999998</v>
      </c>
      <c r="D53" s="4">
        <v>31573</v>
      </c>
      <c r="E53" s="3">
        <f t="shared" si="3"/>
        <v>32.877499999999998</v>
      </c>
      <c r="F53" s="3">
        <f t="shared" si="0"/>
        <v>4.5623906927231601E-4</v>
      </c>
      <c r="G53" s="11"/>
      <c r="H53" s="3">
        <v>3328.5</v>
      </c>
      <c r="I53" s="3">
        <v>3329.3</v>
      </c>
      <c r="J53" s="4">
        <v>211207</v>
      </c>
      <c r="K53" s="12">
        <f t="shared" si="1"/>
        <v>3328.9</v>
      </c>
      <c r="L53" s="12">
        <f t="shared" si="2"/>
        <v>2.4031962510143948E-4</v>
      </c>
      <c r="N53">
        <f t="shared" si="4"/>
        <v>8.203005213124781E-3</v>
      </c>
      <c r="O53">
        <f t="shared" si="5"/>
        <v>5.6492054860735053E-3</v>
      </c>
      <c r="P53">
        <f t="shared" si="6"/>
        <v>6.6011417430140683E-3</v>
      </c>
    </row>
    <row r="54" spans="1:16" x14ac:dyDescent="0.25">
      <c r="A54" s="5">
        <v>45789</v>
      </c>
      <c r="B54" s="6">
        <v>32.79</v>
      </c>
      <c r="C54" s="6">
        <v>32.799999999999997</v>
      </c>
      <c r="D54" s="7">
        <v>60607</v>
      </c>
      <c r="E54" s="3">
        <f t="shared" si="3"/>
        <v>32.795000000000002</v>
      </c>
      <c r="F54" s="3">
        <f t="shared" si="0"/>
        <v>3.0492453117847261E-4</v>
      </c>
      <c r="G54" s="11"/>
      <c r="H54" s="6">
        <v>3241.3</v>
      </c>
      <c r="I54" s="6">
        <v>3242.1</v>
      </c>
      <c r="J54" s="7">
        <v>290746</v>
      </c>
      <c r="K54" s="12">
        <f t="shared" si="1"/>
        <v>3241.7</v>
      </c>
      <c r="L54" s="12">
        <f t="shared" si="2"/>
        <v>2.4678409476500823E-4</v>
      </c>
      <c r="N54">
        <f t="shared" si="4"/>
        <v>-2.5093148809974819E-3</v>
      </c>
      <c r="O54">
        <f t="shared" si="5"/>
        <v>-2.6194839136051029E-2</v>
      </c>
      <c r="P54">
        <f t="shared" si="6"/>
        <v>-1.7365991257261244E-2</v>
      </c>
    </row>
    <row r="55" spans="1:16" x14ac:dyDescent="0.25">
      <c r="A55" s="2">
        <v>45790</v>
      </c>
      <c r="B55" s="3">
        <v>33.08</v>
      </c>
      <c r="C55" s="3">
        <v>33.090000000000003</v>
      </c>
      <c r="D55" s="4">
        <v>47526</v>
      </c>
      <c r="E55" s="3">
        <f t="shared" si="3"/>
        <v>33.085000000000001</v>
      </c>
      <c r="F55" s="3">
        <f t="shared" si="0"/>
        <v>3.0225177572933701E-4</v>
      </c>
      <c r="G55" s="11"/>
      <c r="H55" s="3">
        <v>3254.2</v>
      </c>
      <c r="I55" s="3">
        <v>3255.1</v>
      </c>
      <c r="J55" s="4">
        <v>201057</v>
      </c>
      <c r="K55" s="12">
        <f t="shared" si="1"/>
        <v>3254.6499999999996</v>
      </c>
      <c r="L55" s="12">
        <f t="shared" si="2"/>
        <v>2.7652742998481895E-4</v>
      </c>
      <c r="N55">
        <f t="shared" si="4"/>
        <v>8.8428114041774197E-3</v>
      </c>
      <c r="O55">
        <f t="shared" si="5"/>
        <v>3.9948175340098757E-3</v>
      </c>
      <c r="P55">
        <f t="shared" si="6"/>
        <v>5.8019213133523283E-3</v>
      </c>
    </row>
    <row r="56" spans="1:16" x14ac:dyDescent="0.25">
      <c r="A56" s="5">
        <v>45791</v>
      </c>
      <c r="B56" s="6">
        <v>32.384999999999998</v>
      </c>
      <c r="C56" s="6">
        <v>32.395000000000003</v>
      </c>
      <c r="D56" s="7">
        <v>46465</v>
      </c>
      <c r="E56" s="3">
        <f t="shared" si="3"/>
        <v>32.39</v>
      </c>
      <c r="F56" s="3">
        <f t="shared" si="0"/>
        <v>3.0873726458799367E-4</v>
      </c>
      <c r="G56" s="11"/>
      <c r="H56" s="6">
        <v>3180.5</v>
      </c>
      <c r="I56" s="6">
        <v>3181.2</v>
      </c>
      <c r="J56" s="7">
        <v>229851</v>
      </c>
      <c r="K56" s="12">
        <f t="shared" si="1"/>
        <v>3180.85</v>
      </c>
      <c r="L56" s="12">
        <f t="shared" si="2"/>
        <v>2.200669632330409E-4</v>
      </c>
      <c r="N56">
        <f t="shared" si="4"/>
        <v>-2.1006498413178143E-2</v>
      </c>
      <c r="O56">
        <f t="shared" si="5"/>
        <v>-2.267524925875275E-2</v>
      </c>
      <c r="P56">
        <f t="shared" si="6"/>
        <v>-2.205321753994726E-2</v>
      </c>
    </row>
    <row r="57" spans="1:16" x14ac:dyDescent="0.25">
      <c r="A57" s="2">
        <v>45792</v>
      </c>
      <c r="B57" s="3">
        <v>32.784999999999997</v>
      </c>
      <c r="C57" s="3">
        <v>32.799999999999997</v>
      </c>
      <c r="D57" s="4">
        <v>43996</v>
      </c>
      <c r="E57" s="3">
        <f t="shared" si="3"/>
        <v>32.792499999999997</v>
      </c>
      <c r="F57" s="3">
        <f t="shared" si="0"/>
        <v>4.574216665396225E-4</v>
      </c>
      <c r="G57" s="11"/>
      <c r="H57" s="3">
        <v>3243.5</v>
      </c>
      <c r="I57" s="3">
        <v>3244.4</v>
      </c>
      <c r="J57" s="4">
        <v>250878</v>
      </c>
      <c r="K57" s="12">
        <f t="shared" si="1"/>
        <v>3243.95</v>
      </c>
      <c r="L57" s="12">
        <f t="shared" si="2"/>
        <v>2.7743954129998643E-4</v>
      </c>
      <c r="N57">
        <f t="shared" si="4"/>
        <v>1.2426674899660206E-2</v>
      </c>
      <c r="O57">
        <f t="shared" si="5"/>
        <v>1.9837464828583506E-2</v>
      </c>
      <c r="P57">
        <f t="shared" si="6"/>
        <v>1.7075071383558904E-2</v>
      </c>
    </row>
    <row r="58" spans="1:16" x14ac:dyDescent="0.25">
      <c r="A58" s="5">
        <v>45793</v>
      </c>
      <c r="B58" s="6">
        <v>32.424999999999997</v>
      </c>
      <c r="C58" s="6">
        <v>32.44</v>
      </c>
      <c r="D58" s="7">
        <v>40113</v>
      </c>
      <c r="E58" s="3">
        <f t="shared" si="3"/>
        <v>32.432499999999997</v>
      </c>
      <c r="F58" s="3">
        <f t="shared" si="0"/>
        <v>4.6249903646035828E-4</v>
      </c>
      <c r="G58" s="11"/>
      <c r="H58" s="6">
        <v>3205.3</v>
      </c>
      <c r="I58" s="6">
        <v>3205.4</v>
      </c>
      <c r="J58" s="7">
        <v>240421</v>
      </c>
      <c r="K58" s="12">
        <f t="shared" si="1"/>
        <v>3205.3500000000004</v>
      </c>
      <c r="L58" s="12">
        <f t="shared" si="2"/>
        <v>3.1197841109366855E-5</v>
      </c>
      <c r="N58">
        <f t="shared" si="4"/>
        <v>-1.0978119996950531E-2</v>
      </c>
      <c r="O58">
        <f t="shared" si="5"/>
        <v>-1.1899073660198045E-2</v>
      </c>
      <c r="P58">
        <f t="shared" si="6"/>
        <v>-1.155578551049658E-2</v>
      </c>
    </row>
    <row r="59" spans="1:16" x14ac:dyDescent="0.25">
      <c r="A59" s="2">
        <v>45796</v>
      </c>
      <c r="B59" s="3">
        <v>32.494999999999997</v>
      </c>
      <c r="C59" s="3">
        <v>32.5</v>
      </c>
      <c r="D59" s="4">
        <v>33335</v>
      </c>
      <c r="E59" s="3">
        <f t="shared" si="3"/>
        <v>32.497500000000002</v>
      </c>
      <c r="F59" s="3">
        <f t="shared" si="0"/>
        <v>1.5385798907616147E-4</v>
      </c>
      <c r="G59" s="11"/>
      <c r="H59" s="3">
        <v>3231.5</v>
      </c>
      <c r="I59" s="3">
        <v>3232.6</v>
      </c>
      <c r="J59" s="4">
        <v>182651</v>
      </c>
      <c r="K59" s="12">
        <f t="shared" si="1"/>
        <v>3232.05</v>
      </c>
      <c r="L59" s="12">
        <f t="shared" si="2"/>
        <v>3.4034126947290696E-4</v>
      </c>
      <c r="N59">
        <f t="shared" si="4"/>
        <v>2.0041624913282874E-3</v>
      </c>
      <c r="O59">
        <f t="shared" si="5"/>
        <v>8.3298235762083728E-3</v>
      </c>
      <c r="P59">
        <f t="shared" si="6"/>
        <v>5.9719150558060494E-3</v>
      </c>
    </row>
    <row r="60" spans="1:16" x14ac:dyDescent="0.25">
      <c r="A60" s="5">
        <v>45797</v>
      </c>
      <c r="B60" s="6">
        <v>33.26</v>
      </c>
      <c r="C60" s="6">
        <v>33.265000000000001</v>
      </c>
      <c r="D60" s="7">
        <v>49504</v>
      </c>
      <c r="E60" s="3">
        <f t="shared" si="3"/>
        <v>33.262500000000003</v>
      </c>
      <c r="F60" s="3">
        <f t="shared" si="0"/>
        <v>1.503194287862475E-4</v>
      </c>
      <c r="G60" s="11"/>
      <c r="H60" s="6">
        <v>3292.1</v>
      </c>
      <c r="I60" s="6">
        <v>3292.8</v>
      </c>
      <c r="J60" s="7">
        <v>221476</v>
      </c>
      <c r="K60" s="12">
        <f t="shared" si="1"/>
        <v>3292.45</v>
      </c>
      <c r="L60" s="12">
        <f t="shared" si="2"/>
        <v>2.1260763261409372E-4</v>
      </c>
      <c r="N60">
        <f t="shared" si="4"/>
        <v>2.3540272328640643E-2</v>
      </c>
      <c r="O60">
        <f t="shared" si="5"/>
        <v>1.8687829705604786E-2</v>
      </c>
      <c r="P60">
        <f t="shared" si="6"/>
        <v>2.0496591770484924E-2</v>
      </c>
    </row>
    <row r="61" spans="1:16" x14ac:dyDescent="0.25">
      <c r="A61" s="2">
        <v>45798</v>
      </c>
      <c r="B61" s="3">
        <v>33.564999999999998</v>
      </c>
      <c r="C61" s="3">
        <v>33.575000000000003</v>
      </c>
      <c r="D61" s="4">
        <v>58295</v>
      </c>
      <c r="E61" s="3">
        <f t="shared" si="3"/>
        <v>33.57</v>
      </c>
      <c r="F61" s="3">
        <f t="shared" si="0"/>
        <v>2.9788501638382828E-4</v>
      </c>
      <c r="G61" s="11"/>
      <c r="H61" s="3">
        <v>3316.4</v>
      </c>
      <c r="I61" s="3">
        <v>3316.9</v>
      </c>
      <c r="J61" s="4">
        <v>226103</v>
      </c>
      <c r="K61" s="12">
        <f t="shared" si="1"/>
        <v>3316.65</v>
      </c>
      <c r="L61" s="12">
        <f t="shared" si="2"/>
        <v>1.5075452640465529E-4</v>
      </c>
      <c r="N61">
        <f t="shared" si="4"/>
        <v>9.2446448703493722E-3</v>
      </c>
      <c r="O61">
        <f t="shared" si="5"/>
        <v>7.3501495846559628E-3</v>
      </c>
      <c r="P61">
        <f t="shared" si="6"/>
        <v>8.0563281984100069E-3</v>
      </c>
    </row>
    <row r="62" spans="1:16" x14ac:dyDescent="0.25">
      <c r="A62" s="5">
        <v>45799</v>
      </c>
      <c r="B62" s="6">
        <v>33.18</v>
      </c>
      <c r="C62" s="6">
        <v>33.185000000000002</v>
      </c>
      <c r="D62" s="7">
        <v>65592</v>
      </c>
      <c r="E62" s="3">
        <f t="shared" si="3"/>
        <v>33.182500000000005</v>
      </c>
      <c r="F62" s="3">
        <f t="shared" si="0"/>
        <v>1.5068183530483108E-4</v>
      </c>
      <c r="G62" s="11"/>
      <c r="H62" s="6">
        <v>3294.5</v>
      </c>
      <c r="I62" s="6">
        <v>3295.4</v>
      </c>
      <c r="J62" s="7">
        <v>231393</v>
      </c>
      <c r="K62" s="12">
        <f t="shared" si="1"/>
        <v>3294.95</v>
      </c>
      <c r="L62" s="12">
        <f t="shared" si="2"/>
        <v>2.7314526775826372E-4</v>
      </c>
      <c r="N62">
        <f t="shared" si="4"/>
        <v>-1.1543044384867307E-2</v>
      </c>
      <c r="O62">
        <f t="shared" si="5"/>
        <v>-6.5427464459620888E-3</v>
      </c>
      <c r="P62">
        <f t="shared" si="6"/>
        <v>-8.4066220087671249E-3</v>
      </c>
    </row>
    <row r="63" spans="1:16" x14ac:dyDescent="0.25">
      <c r="A63" s="2">
        <v>45800</v>
      </c>
      <c r="B63" s="3">
        <v>33.634999999999998</v>
      </c>
      <c r="C63" s="3">
        <v>33.65</v>
      </c>
      <c r="D63" s="4">
        <v>44845</v>
      </c>
      <c r="E63" s="3">
        <f t="shared" si="3"/>
        <v>33.642499999999998</v>
      </c>
      <c r="F63" s="3">
        <f t="shared" si="0"/>
        <v>4.4586460578139464E-4</v>
      </c>
      <c r="G63" s="11"/>
      <c r="H63" s="3">
        <v>3357</v>
      </c>
      <c r="I63" s="3">
        <v>3357.9</v>
      </c>
      <c r="J63" s="4">
        <v>238139</v>
      </c>
      <c r="K63" s="12">
        <f t="shared" si="1"/>
        <v>3357.45</v>
      </c>
      <c r="L63" s="12">
        <f t="shared" si="2"/>
        <v>2.6806058169148939E-4</v>
      </c>
      <c r="N63">
        <f t="shared" si="4"/>
        <v>1.3862728848037076E-2</v>
      </c>
      <c r="O63">
        <f t="shared" si="5"/>
        <v>1.8968421372099753E-2</v>
      </c>
      <c r="P63">
        <f t="shared" si="6"/>
        <v>1.7065259671923075E-2</v>
      </c>
    </row>
    <row r="64" spans="1:16" x14ac:dyDescent="0.25">
      <c r="A64" s="5">
        <v>45804</v>
      </c>
      <c r="B64" s="6">
        <v>33.380000000000003</v>
      </c>
      <c r="C64" s="6">
        <v>33.39</v>
      </c>
      <c r="D64" s="7">
        <v>59619</v>
      </c>
      <c r="E64" s="3">
        <f t="shared" si="3"/>
        <v>33.385000000000005</v>
      </c>
      <c r="F64" s="3">
        <f t="shared" si="0"/>
        <v>2.9953571963450679E-4</v>
      </c>
      <c r="G64" s="11"/>
      <c r="H64" s="6">
        <v>3299.3</v>
      </c>
      <c r="I64" s="6">
        <v>3300.1</v>
      </c>
      <c r="J64" s="7">
        <v>291990</v>
      </c>
      <c r="K64" s="12">
        <f t="shared" si="1"/>
        <v>3299.7</v>
      </c>
      <c r="L64" s="12">
        <f t="shared" si="2"/>
        <v>2.4244628299534114E-4</v>
      </c>
      <c r="N64">
        <f t="shared" si="4"/>
        <v>-7.654009065913403E-3</v>
      </c>
      <c r="O64">
        <f t="shared" si="5"/>
        <v>-1.7200553991868817E-2</v>
      </c>
      <c r="P64">
        <f t="shared" si="6"/>
        <v>-1.3642051675783928E-2</v>
      </c>
    </row>
    <row r="65" spans="1:16" x14ac:dyDescent="0.25">
      <c r="A65" s="2">
        <v>45805</v>
      </c>
      <c r="B65" s="3">
        <v>33.090000000000003</v>
      </c>
      <c r="C65" s="3">
        <v>33.1</v>
      </c>
      <c r="D65" s="4">
        <v>40578</v>
      </c>
      <c r="E65" s="3">
        <f t="shared" si="3"/>
        <v>33.094999999999999</v>
      </c>
      <c r="F65" s="3">
        <f t="shared" si="0"/>
        <v>3.0216044719740177E-4</v>
      </c>
      <c r="G65" s="11"/>
      <c r="H65" s="3">
        <v>3282</v>
      </c>
      <c r="I65" s="3">
        <v>3284.4</v>
      </c>
      <c r="J65" s="4">
        <v>118485</v>
      </c>
      <c r="K65" s="12">
        <f t="shared" si="1"/>
        <v>3283.2</v>
      </c>
      <c r="L65" s="12">
        <f t="shared" si="2"/>
        <v>7.3099415204681134E-4</v>
      </c>
      <c r="N65">
        <f t="shared" si="4"/>
        <v>-8.6865358694026007E-3</v>
      </c>
      <c r="O65">
        <f t="shared" si="5"/>
        <v>-5.0004545867806671E-3</v>
      </c>
      <c r="P65">
        <f t="shared" si="6"/>
        <v>-6.3744520783573979E-3</v>
      </c>
    </row>
    <row r="66" spans="1:16" x14ac:dyDescent="0.25">
      <c r="A66" s="5">
        <v>45806</v>
      </c>
      <c r="B66" s="6">
        <v>33.435000000000002</v>
      </c>
      <c r="C66" s="6">
        <v>33.450000000000003</v>
      </c>
      <c r="D66" s="7">
        <v>49553</v>
      </c>
      <c r="E66" s="3">
        <f t="shared" si="3"/>
        <v>33.442500000000003</v>
      </c>
      <c r="F66" s="3">
        <f t="shared" si="0"/>
        <v>4.4853106077597567E-4</v>
      </c>
      <c r="G66" s="11"/>
      <c r="H66" s="6">
        <v>3341.9</v>
      </c>
      <c r="I66" s="6">
        <v>3342.8</v>
      </c>
      <c r="J66" s="7">
        <v>225050</v>
      </c>
      <c r="K66" s="12">
        <f t="shared" si="1"/>
        <v>3342.3500000000004</v>
      </c>
      <c r="L66" s="12">
        <f t="shared" si="2"/>
        <v>2.6927162026720448E-4</v>
      </c>
      <c r="N66">
        <f t="shared" si="4"/>
        <v>1.0500075540111897E-2</v>
      </c>
      <c r="O66">
        <f t="shared" si="5"/>
        <v>1.8015960038986423E-2</v>
      </c>
      <c r="P66">
        <f t="shared" si="6"/>
        <v>1.5214392288128658E-2</v>
      </c>
    </row>
    <row r="67" spans="1:16" x14ac:dyDescent="0.25">
      <c r="A67" s="2">
        <v>45807</v>
      </c>
      <c r="B67" s="3">
        <v>33.064999999999998</v>
      </c>
      <c r="C67" s="3">
        <v>33.075000000000003</v>
      </c>
      <c r="D67" s="4">
        <v>40787</v>
      </c>
      <c r="E67" s="3">
        <f t="shared" si="3"/>
        <v>33.07</v>
      </c>
      <c r="F67" s="3">
        <f t="shared" si="0"/>
        <v>3.0238887208966178E-4</v>
      </c>
      <c r="G67" s="11"/>
      <c r="H67" s="3">
        <v>3312.5</v>
      </c>
      <c r="I67" s="3">
        <v>3313.7</v>
      </c>
      <c r="J67" s="4">
        <v>182769</v>
      </c>
      <c r="K67" s="12">
        <f t="shared" si="1"/>
        <v>3313.1</v>
      </c>
      <c r="L67" s="12">
        <f t="shared" si="2"/>
        <v>3.6219854516912202E-4</v>
      </c>
      <c r="N67">
        <f t="shared" si="4"/>
        <v>-1.1138521342603069E-2</v>
      </c>
      <c r="O67">
        <f t="shared" si="5"/>
        <v>-8.751327658683361E-3</v>
      </c>
      <c r="P67">
        <f t="shared" si="6"/>
        <v>-9.6411610297153783E-3</v>
      </c>
    </row>
    <row r="68" spans="1:16" x14ac:dyDescent="0.25">
      <c r="A68" s="5">
        <v>45810</v>
      </c>
      <c r="B68" s="6">
        <v>34.924999999999997</v>
      </c>
      <c r="C68" s="6">
        <v>34.935000000000002</v>
      </c>
      <c r="D68" s="7">
        <v>87052</v>
      </c>
      <c r="E68" s="3">
        <f t="shared" ref="E68:E131" si="7">AVERAGE(B68:C68)</f>
        <v>34.93</v>
      </c>
      <c r="F68" s="3">
        <f t="shared" ref="F68:F131" si="8">(C68-B68)/E68</f>
        <v>2.8628685943329847E-4</v>
      </c>
      <c r="G68" s="11"/>
      <c r="H68" s="6">
        <v>3406</v>
      </c>
      <c r="I68" s="6">
        <v>3407</v>
      </c>
      <c r="J68" s="7">
        <v>175908</v>
      </c>
      <c r="K68" s="12">
        <f t="shared" ref="K68:K131" si="9">AVERAGE(H68:I68)</f>
        <v>3406.5</v>
      </c>
      <c r="L68" s="12">
        <f t="shared" ref="L68:L131" si="10">(I68-H68)/K68</f>
        <v>2.9355643622486422E-4</v>
      </c>
      <c r="N68">
        <f t="shared" si="4"/>
        <v>5.6244330208648385E-2</v>
      </c>
      <c r="O68">
        <f t="shared" si="5"/>
        <v>2.8191120099001044E-2</v>
      </c>
      <c r="P68">
        <f t="shared" si="6"/>
        <v>3.8648035550934073E-2</v>
      </c>
    </row>
    <row r="69" spans="1:16" x14ac:dyDescent="0.25">
      <c r="A69" s="2">
        <v>45811</v>
      </c>
      <c r="B69" s="3">
        <v>34.67</v>
      </c>
      <c r="C69" s="3">
        <v>34.68</v>
      </c>
      <c r="D69" s="4">
        <v>73803</v>
      </c>
      <c r="E69" s="3">
        <f t="shared" si="7"/>
        <v>34.674999999999997</v>
      </c>
      <c r="F69" s="3">
        <f t="shared" si="8"/>
        <v>2.8839221341018059E-4</v>
      </c>
      <c r="G69" s="11"/>
      <c r="H69" s="3">
        <v>3376.6</v>
      </c>
      <c r="I69" s="3">
        <v>3377.4</v>
      </c>
      <c r="J69" s="4">
        <v>162647</v>
      </c>
      <c r="K69" s="12">
        <f t="shared" si="9"/>
        <v>3377</v>
      </c>
      <c r="L69" s="12">
        <f t="shared" si="10"/>
        <v>2.3689665383481846E-4</v>
      </c>
      <c r="N69">
        <f t="shared" ref="N69:N132" si="11">E69/E68-1</f>
        <v>-7.3003149155455027E-3</v>
      </c>
      <c r="O69">
        <f t="shared" ref="O69:O132" si="12">K69/K68-1</f>
        <v>-8.6599148686334892E-3</v>
      </c>
      <c r="P69">
        <f t="shared" ref="P69:P132" si="13">N69*$T$5+O69*$U$5</f>
        <v>-8.1531200418623467E-3</v>
      </c>
    </row>
    <row r="70" spans="1:16" x14ac:dyDescent="0.25">
      <c r="A70" s="5">
        <v>45812</v>
      </c>
      <c r="B70" s="6">
        <v>34.65</v>
      </c>
      <c r="C70" s="6">
        <v>34.659999999999997</v>
      </c>
      <c r="D70" s="7">
        <v>49127</v>
      </c>
      <c r="E70" s="3">
        <f t="shared" si="7"/>
        <v>34.655000000000001</v>
      </c>
      <c r="F70" s="3">
        <f t="shared" si="8"/>
        <v>2.8855864954546273E-4</v>
      </c>
      <c r="G70" s="11"/>
      <c r="H70" s="6">
        <v>3397.2</v>
      </c>
      <c r="I70" s="6">
        <v>3397.8</v>
      </c>
      <c r="J70" s="7">
        <v>164670</v>
      </c>
      <c r="K70" s="12">
        <f t="shared" si="9"/>
        <v>3397.5</v>
      </c>
      <c r="L70" s="12">
        <f t="shared" si="10"/>
        <v>1.7660044150121082E-4</v>
      </c>
      <c r="N70">
        <f t="shared" si="11"/>
        <v>-5.767844268204092E-4</v>
      </c>
      <c r="O70">
        <f t="shared" si="12"/>
        <v>6.0704767545158855E-3</v>
      </c>
      <c r="P70">
        <f t="shared" si="13"/>
        <v>3.5926908651838802E-3</v>
      </c>
    </row>
    <row r="71" spans="1:16" x14ac:dyDescent="0.25">
      <c r="A71" s="2">
        <v>45813</v>
      </c>
      <c r="B71" s="3">
        <v>35.795000000000002</v>
      </c>
      <c r="C71" s="3">
        <v>35.81</v>
      </c>
      <c r="D71" s="4">
        <v>110945</v>
      </c>
      <c r="E71" s="3">
        <f t="shared" si="7"/>
        <v>35.802500000000002</v>
      </c>
      <c r="F71" s="3">
        <f t="shared" si="8"/>
        <v>4.189651560645365E-4</v>
      </c>
      <c r="G71" s="11"/>
      <c r="H71" s="3">
        <v>3375.7</v>
      </c>
      <c r="I71" s="3">
        <v>3376.9</v>
      </c>
      <c r="J71" s="4">
        <v>219861</v>
      </c>
      <c r="K71" s="12">
        <f t="shared" si="9"/>
        <v>3376.3</v>
      </c>
      <c r="L71" s="12">
        <f t="shared" si="10"/>
        <v>3.5541865355574823E-4</v>
      </c>
      <c r="N71">
        <f t="shared" si="11"/>
        <v>3.3112105035348449E-2</v>
      </c>
      <c r="O71">
        <f t="shared" si="12"/>
        <v>-6.2398822663722875E-3</v>
      </c>
      <c r="P71">
        <f t="shared" si="13"/>
        <v>8.4286851621418347E-3</v>
      </c>
    </row>
    <row r="72" spans="1:16" x14ac:dyDescent="0.25">
      <c r="A72" s="5">
        <v>45814</v>
      </c>
      <c r="B72" s="6">
        <v>36.115000000000002</v>
      </c>
      <c r="C72" s="6">
        <v>36.130000000000003</v>
      </c>
      <c r="D72" s="7">
        <v>81652</v>
      </c>
      <c r="E72" s="3">
        <f t="shared" si="7"/>
        <v>36.122500000000002</v>
      </c>
      <c r="F72" s="3">
        <f t="shared" si="8"/>
        <v>4.1525365077169541E-4</v>
      </c>
      <c r="G72" s="11"/>
      <c r="H72" s="6">
        <v>3330.1</v>
      </c>
      <c r="I72" s="6">
        <v>3331.3</v>
      </c>
      <c r="J72" s="7">
        <v>183467</v>
      </c>
      <c r="K72" s="12">
        <f t="shared" si="9"/>
        <v>3330.7</v>
      </c>
      <c r="L72" s="12">
        <f t="shared" si="10"/>
        <v>3.6028462485371629E-4</v>
      </c>
      <c r="N72">
        <f t="shared" si="11"/>
        <v>8.9379233293764848E-3</v>
      </c>
      <c r="O72">
        <f t="shared" si="12"/>
        <v>-1.3505908835115488E-2</v>
      </c>
      <c r="P72">
        <f t="shared" si="13"/>
        <v>-5.1399052852843744E-3</v>
      </c>
    </row>
    <row r="73" spans="1:16" x14ac:dyDescent="0.25">
      <c r="A73" s="2">
        <v>45817</v>
      </c>
      <c r="B73" s="3">
        <v>36.905000000000001</v>
      </c>
      <c r="C73" s="3">
        <v>36.914999999999999</v>
      </c>
      <c r="D73" s="4">
        <v>75470</v>
      </c>
      <c r="E73" s="3">
        <f t="shared" si="7"/>
        <v>36.909999999999997</v>
      </c>
      <c r="F73" s="3">
        <f t="shared" si="8"/>
        <v>2.7092928745592012E-4</v>
      </c>
      <c r="G73" s="11"/>
      <c r="H73" s="3">
        <v>3346.3</v>
      </c>
      <c r="I73" s="3">
        <v>3347.3</v>
      </c>
      <c r="J73" s="4">
        <v>139129</v>
      </c>
      <c r="K73" s="12">
        <f t="shared" si="9"/>
        <v>3346.8</v>
      </c>
      <c r="L73" s="12">
        <f t="shared" si="10"/>
        <v>2.9879287677781759E-4</v>
      </c>
      <c r="N73">
        <f t="shared" si="11"/>
        <v>2.1800816665513034E-2</v>
      </c>
      <c r="O73">
        <f t="shared" si="12"/>
        <v>4.8338187167864533E-3</v>
      </c>
      <c r="P73">
        <f t="shared" si="13"/>
        <v>1.1158316424160784E-2</v>
      </c>
    </row>
    <row r="74" spans="1:16" x14ac:dyDescent="0.25">
      <c r="A74" s="5">
        <v>45818</v>
      </c>
      <c r="B74" s="6">
        <v>36.65</v>
      </c>
      <c r="C74" s="6">
        <v>36.659999999999997</v>
      </c>
      <c r="D74" s="7">
        <v>61961</v>
      </c>
      <c r="E74" s="3">
        <f t="shared" si="7"/>
        <v>36.655000000000001</v>
      </c>
      <c r="F74" s="3">
        <f t="shared" si="8"/>
        <v>2.7281407720632957E-4</v>
      </c>
      <c r="G74" s="11"/>
      <c r="H74" s="6">
        <v>3344.4</v>
      </c>
      <c r="I74" s="6">
        <v>3345.4</v>
      </c>
      <c r="J74" s="7">
        <v>155894</v>
      </c>
      <c r="K74" s="12">
        <f t="shared" si="9"/>
        <v>3344.9</v>
      </c>
      <c r="L74" s="12">
        <f t="shared" si="10"/>
        <v>2.9896259977876767E-4</v>
      </c>
      <c r="N74">
        <f t="shared" si="11"/>
        <v>-6.9086968301271812E-3</v>
      </c>
      <c r="O74">
        <f t="shared" si="12"/>
        <v>-5.6770646587789297E-4</v>
      </c>
      <c r="P74">
        <f t="shared" si="13"/>
        <v>-2.9313290196359807E-3</v>
      </c>
    </row>
    <row r="75" spans="1:16" x14ac:dyDescent="0.25">
      <c r="A75" s="2">
        <v>45819</v>
      </c>
      <c r="B75" s="3">
        <v>36.36</v>
      </c>
      <c r="C75" s="3">
        <v>36.369999999999997</v>
      </c>
      <c r="D75" s="4">
        <v>73236</v>
      </c>
      <c r="E75" s="3">
        <f t="shared" si="7"/>
        <v>36.364999999999995</v>
      </c>
      <c r="F75" s="3">
        <f t="shared" si="8"/>
        <v>2.7498968788664956E-4</v>
      </c>
      <c r="G75" s="11"/>
      <c r="H75" s="3">
        <v>3375.7</v>
      </c>
      <c r="I75" s="3">
        <v>3376.9</v>
      </c>
      <c r="J75" s="4">
        <v>199415</v>
      </c>
      <c r="K75" s="12">
        <f t="shared" si="9"/>
        <v>3376.3</v>
      </c>
      <c r="L75" s="12">
        <f t="shared" si="10"/>
        <v>3.5541865355574823E-4</v>
      </c>
      <c r="N75">
        <f t="shared" si="11"/>
        <v>-7.9116082389852904E-3</v>
      </c>
      <c r="O75">
        <f t="shared" si="12"/>
        <v>9.3874256330532813E-3</v>
      </c>
      <c r="P75">
        <f t="shared" si="13"/>
        <v>2.9391605720139932E-3</v>
      </c>
    </row>
    <row r="76" spans="1:16" x14ac:dyDescent="0.25">
      <c r="A76" s="5">
        <v>45820</v>
      </c>
      <c r="B76" s="6">
        <v>36.405000000000001</v>
      </c>
      <c r="C76" s="6">
        <v>36.414999999999999</v>
      </c>
      <c r="D76" s="7">
        <v>72692</v>
      </c>
      <c r="E76" s="3">
        <f t="shared" si="7"/>
        <v>36.409999999999997</v>
      </c>
      <c r="F76" s="3">
        <f t="shared" si="8"/>
        <v>2.7464982147756145E-4</v>
      </c>
      <c r="G76" s="11"/>
      <c r="H76" s="6">
        <v>3405.8</v>
      </c>
      <c r="I76" s="6">
        <v>3406.9</v>
      </c>
      <c r="J76" s="7">
        <v>224107</v>
      </c>
      <c r="K76" s="12">
        <f t="shared" si="9"/>
        <v>3406.3500000000004</v>
      </c>
      <c r="L76" s="12">
        <f t="shared" si="10"/>
        <v>3.229262994113667E-4</v>
      </c>
      <c r="N76">
        <f t="shared" si="11"/>
        <v>1.2374535954902122E-3</v>
      </c>
      <c r="O76">
        <f t="shared" si="12"/>
        <v>8.9002754494564851E-3</v>
      </c>
      <c r="P76">
        <f t="shared" si="13"/>
        <v>6.0439363732167229E-3</v>
      </c>
    </row>
    <row r="77" spans="1:16" x14ac:dyDescent="0.25">
      <c r="A77" s="2">
        <v>45821</v>
      </c>
      <c r="B77" s="3">
        <v>36.32</v>
      </c>
      <c r="C77" s="3">
        <v>36.450000000000003</v>
      </c>
      <c r="D77" s="4">
        <v>57485</v>
      </c>
      <c r="E77" s="3">
        <f t="shared" si="7"/>
        <v>36.385000000000005</v>
      </c>
      <c r="F77" s="3">
        <f t="shared" si="8"/>
        <v>3.5729009207091534E-3</v>
      </c>
      <c r="G77" s="11"/>
      <c r="H77" s="3">
        <v>3448.5</v>
      </c>
      <c r="I77" s="3">
        <v>3456.5</v>
      </c>
      <c r="J77" s="4">
        <v>264252</v>
      </c>
      <c r="K77" s="12">
        <f t="shared" si="9"/>
        <v>3452.5</v>
      </c>
      <c r="L77" s="12">
        <f t="shared" si="10"/>
        <v>2.3171614771904415E-3</v>
      </c>
      <c r="N77">
        <f t="shared" si="11"/>
        <v>-6.8662455369383757E-4</v>
      </c>
      <c r="O77">
        <f t="shared" si="12"/>
        <v>1.3548226107123362E-2</v>
      </c>
      <c r="P77">
        <f t="shared" si="13"/>
        <v>8.2421442273933505E-3</v>
      </c>
    </row>
    <row r="78" spans="1:16" x14ac:dyDescent="0.25">
      <c r="A78" s="5">
        <v>45824</v>
      </c>
      <c r="B78" s="6">
        <v>36.369999999999997</v>
      </c>
      <c r="C78" s="6">
        <v>36.380000000000003</v>
      </c>
      <c r="D78" s="7">
        <v>48581</v>
      </c>
      <c r="E78" s="3">
        <f t="shared" si="7"/>
        <v>36.375</v>
      </c>
      <c r="F78" s="3">
        <f t="shared" si="8"/>
        <v>2.7491408934721969E-4</v>
      </c>
      <c r="G78" s="11"/>
      <c r="H78" s="6">
        <v>3403</v>
      </c>
      <c r="I78" s="6">
        <v>3404</v>
      </c>
      <c r="J78" s="7">
        <v>189837</v>
      </c>
      <c r="K78" s="12">
        <f t="shared" si="9"/>
        <v>3403.5</v>
      </c>
      <c r="L78" s="12">
        <f t="shared" si="10"/>
        <v>2.9381519024533566E-4</v>
      </c>
      <c r="N78">
        <f t="shared" si="11"/>
        <v>-2.7483853236243139E-4</v>
      </c>
      <c r="O78">
        <f t="shared" si="12"/>
        <v>-1.4192614047791485E-2</v>
      </c>
      <c r="P78">
        <f t="shared" si="13"/>
        <v>-9.0047228483534584E-3</v>
      </c>
    </row>
    <row r="79" spans="1:16" x14ac:dyDescent="0.25">
      <c r="A79" s="2">
        <v>45825</v>
      </c>
      <c r="B79" s="3">
        <v>37.17</v>
      </c>
      <c r="C79" s="3">
        <v>37.18</v>
      </c>
      <c r="D79" s="4">
        <v>79484</v>
      </c>
      <c r="E79" s="3">
        <f t="shared" si="7"/>
        <v>37.174999999999997</v>
      </c>
      <c r="F79" s="3">
        <f t="shared" si="8"/>
        <v>2.6899798251507764E-4</v>
      </c>
      <c r="G79" s="11"/>
      <c r="H79" s="3">
        <v>3406.2</v>
      </c>
      <c r="I79" s="3">
        <v>3406.7</v>
      </c>
      <c r="J79" s="4">
        <v>205708</v>
      </c>
      <c r="K79" s="12">
        <f t="shared" si="9"/>
        <v>3406.45</v>
      </c>
      <c r="L79" s="12">
        <f t="shared" si="10"/>
        <v>1.4678037252858548E-4</v>
      </c>
      <c r="N79">
        <f t="shared" si="11"/>
        <v>2.1993127147766245E-2</v>
      </c>
      <c r="O79">
        <f t="shared" si="12"/>
        <v>8.6675481122377995E-4</v>
      </c>
      <c r="P79">
        <f t="shared" si="13"/>
        <v>8.7416713881794221E-3</v>
      </c>
    </row>
    <row r="80" spans="1:16" x14ac:dyDescent="0.25">
      <c r="A80" s="5">
        <v>45826</v>
      </c>
      <c r="B80" s="6">
        <v>36.755000000000003</v>
      </c>
      <c r="C80" s="6">
        <v>36.765000000000001</v>
      </c>
      <c r="D80" s="7">
        <v>59121</v>
      </c>
      <c r="E80" s="3">
        <f t="shared" si="7"/>
        <v>36.760000000000005</v>
      </c>
      <c r="F80" s="3">
        <f t="shared" si="8"/>
        <v>2.7203482045696435E-4</v>
      </c>
      <c r="G80" s="11"/>
      <c r="H80" s="6">
        <v>3386.1</v>
      </c>
      <c r="I80" s="6">
        <v>3386.9</v>
      </c>
      <c r="J80" s="7">
        <v>175613</v>
      </c>
      <c r="K80" s="12">
        <f t="shared" si="9"/>
        <v>3386.5</v>
      </c>
      <c r="L80" s="12">
        <f t="shared" si="10"/>
        <v>2.3623209803637439E-4</v>
      </c>
      <c r="N80">
        <f t="shared" si="11"/>
        <v>-1.116341627437778E-2</v>
      </c>
      <c r="O80">
        <f t="shared" si="12"/>
        <v>-5.856536863890538E-3</v>
      </c>
      <c r="P80">
        <f t="shared" si="13"/>
        <v>-7.8346915596337295E-3</v>
      </c>
    </row>
    <row r="81" spans="1:16" x14ac:dyDescent="0.25">
      <c r="A81" s="2">
        <v>45828</v>
      </c>
      <c r="B81" s="3">
        <v>35.950000000000003</v>
      </c>
      <c r="C81" s="3">
        <v>35.96</v>
      </c>
      <c r="D81" s="4">
        <v>93528</v>
      </c>
      <c r="E81" s="3">
        <f t="shared" si="7"/>
        <v>35.954999999999998</v>
      </c>
      <c r="F81" s="3">
        <f t="shared" si="8"/>
        <v>2.781254345709362E-4</v>
      </c>
      <c r="G81" s="11"/>
      <c r="H81" s="3">
        <v>3383.8</v>
      </c>
      <c r="I81" s="3">
        <v>3384.9</v>
      </c>
      <c r="J81" s="4">
        <v>277314</v>
      </c>
      <c r="K81" s="12">
        <f t="shared" si="9"/>
        <v>3384.3500000000004</v>
      </c>
      <c r="L81" s="12">
        <f t="shared" si="10"/>
        <v>3.2502548495277054E-4</v>
      </c>
      <c r="N81">
        <f t="shared" si="11"/>
        <v>-2.189880304679015E-2</v>
      </c>
      <c r="O81">
        <f t="shared" si="12"/>
        <v>-6.348737634724877E-4</v>
      </c>
      <c r="P81">
        <f t="shared" si="13"/>
        <v>-8.561065091397169E-3</v>
      </c>
    </row>
    <row r="82" spans="1:16" x14ac:dyDescent="0.25">
      <c r="A82" s="5">
        <v>45831</v>
      </c>
      <c r="B82" s="6">
        <v>36.045000000000002</v>
      </c>
      <c r="C82" s="6">
        <v>36.055</v>
      </c>
      <c r="D82" s="7">
        <v>72840</v>
      </c>
      <c r="E82" s="3">
        <f t="shared" si="7"/>
        <v>36.049999999999997</v>
      </c>
      <c r="F82" s="3">
        <f t="shared" si="8"/>
        <v>2.7739251040216395E-4</v>
      </c>
      <c r="G82" s="11"/>
      <c r="H82" s="6">
        <v>3383.3</v>
      </c>
      <c r="I82" s="6">
        <v>3385</v>
      </c>
      <c r="J82" s="7">
        <v>190650</v>
      </c>
      <c r="K82" s="12">
        <f t="shared" si="9"/>
        <v>3384.15</v>
      </c>
      <c r="L82" s="12">
        <f t="shared" si="10"/>
        <v>5.023417992700732E-4</v>
      </c>
      <c r="N82">
        <f t="shared" si="11"/>
        <v>2.6421916284244951E-3</v>
      </c>
      <c r="O82">
        <f t="shared" si="12"/>
        <v>-5.9095542718767824E-5</v>
      </c>
      <c r="P82">
        <f t="shared" si="13"/>
        <v>9.4781708687446454E-4</v>
      </c>
    </row>
    <row r="83" spans="1:16" x14ac:dyDescent="0.25">
      <c r="A83" s="2">
        <v>45832</v>
      </c>
      <c r="B83" s="3">
        <v>35.865000000000002</v>
      </c>
      <c r="C83" s="3">
        <v>35.869999999999997</v>
      </c>
      <c r="D83" s="4">
        <v>76194</v>
      </c>
      <c r="E83" s="3">
        <f t="shared" si="7"/>
        <v>35.8675</v>
      </c>
      <c r="F83" s="3">
        <f t="shared" si="8"/>
        <v>1.3940196556758773E-4</v>
      </c>
      <c r="G83" s="11"/>
      <c r="H83" s="3">
        <v>3338</v>
      </c>
      <c r="I83" s="3">
        <v>3338.9</v>
      </c>
      <c r="J83" s="4">
        <v>222853</v>
      </c>
      <c r="K83" s="12">
        <f t="shared" si="9"/>
        <v>3338.45</v>
      </c>
      <c r="L83" s="12">
        <f t="shared" si="10"/>
        <v>2.6958618520573648E-4</v>
      </c>
      <c r="N83">
        <f t="shared" si="11"/>
        <v>-5.0624133148404749E-3</v>
      </c>
      <c r="O83">
        <f t="shared" si="12"/>
        <v>-1.3504129545085286E-2</v>
      </c>
      <c r="P83">
        <f t="shared" si="13"/>
        <v>-1.035745533048181E-2</v>
      </c>
    </row>
    <row r="84" spans="1:16" x14ac:dyDescent="0.25">
      <c r="A84" s="5">
        <v>45833</v>
      </c>
      <c r="B84" s="6">
        <v>36.21</v>
      </c>
      <c r="C84" s="6">
        <v>36.225000000000001</v>
      </c>
      <c r="D84" s="7">
        <v>47846</v>
      </c>
      <c r="E84" s="3">
        <f t="shared" si="7"/>
        <v>36.217500000000001</v>
      </c>
      <c r="F84" s="3">
        <f t="shared" si="8"/>
        <v>4.1416442327605625E-4</v>
      </c>
      <c r="G84" s="11"/>
      <c r="H84" s="6">
        <v>3346.3</v>
      </c>
      <c r="I84" s="6">
        <v>3347.1</v>
      </c>
      <c r="J84" s="7">
        <v>127482</v>
      </c>
      <c r="K84" s="12">
        <f t="shared" si="9"/>
        <v>3346.7</v>
      </c>
      <c r="L84" s="12">
        <f t="shared" si="10"/>
        <v>2.3904144381023911E-4</v>
      </c>
      <c r="N84">
        <f t="shared" si="11"/>
        <v>9.7581375897399791E-3</v>
      </c>
      <c r="O84">
        <f t="shared" si="12"/>
        <v>2.4712066977190528E-3</v>
      </c>
      <c r="P84">
        <f t="shared" si="13"/>
        <v>5.1874313274179349E-3</v>
      </c>
    </row>
    <row r="85" spans="1:16" x14ac:dyDescent="0.25">
      <c r="A85" s="2">
        <v>45834</v>
      </c>
      <c r="B85" s="3">
        <v>36.534999999999997</v>
      </c>
      <c r="C85" s="3">
        <v>36.770000000000003</v>
      </c>
      <c r="D85" s="4">
        <v>40217</v>
      </c>
      <c r="E85" s="3">
        <f t="shared" si="7"/>
        <v>36.652500000000003</v>
      </c>
      <c r="F85" s="3">
        <f t="shared" si="8"/>
        <v>6.41156810585926E-3</v>
      </c>
      <c r="G85" s="11"/>
      <c r="H85" s="3">
        <v>3341.3</v>
      </c>
      <c r="I85" s="3">
        <v>3342.1</v>
      </c>
      <c r="J85" s="4">
        <v>152864</v>
      </c>
      <c r="K85" s="12">
        <f t="shared" si="9"/>
        <v>3341.7</v>
      </c>
      <c r="L85" s="12">
        <f t="shared" si="10"/>
        <v>2.3939910823824018E-4</v>
      </c>
      <c r="N85">
        <f t="shared" si="11"/>
        <v>1.2010768275005246E-2</v>
      </c>
      <c r="O85">
        <f t="shared" si="12"/>
        <v>-1.4940090238144688E-3</v>
      </c>
      <c r="P85">
        <f t="shared" si="13"/>
        <v>3.5399358922569412E-3</v>
      </c>
    </row>
    <row r="86" spans="1:16" x14ac:dyDescent="0.25">
      <c r="A86" s="5">
        <v>45835</v>
      </c>
      <c r="B86" s="6">
        <v>36.164999999999999</v>
      </c>
      <c r="C86" s="6">
        <v>36.174999999999997</v>
      </c>
      <c r="D86" s="7">
        <v>65468</v>
      </c>
      <c r="E86" s="3">
        <f t="shared" si="7"/>
        <v>36.17</v>
      </c>
      <c r="F86" s="3">
        <f t="shared" si="8"/>
        <v>2.7647221454238347E-4</v>
      </c>
      <c r="G86" s="11"/>
      <c r="H86" s="6">
        <v>3285.4</v>
      </c>
      <c r="I86" s="6">
        <v>3286.2</v>
      </c>
      <c r="J86" s="7">
        <v>213305</v>
      </c>
      <c r="K86" s="12">
        <f t="shared" si="9"/>
        <v>3285.8</v>
      </c>
      <c r="L86" s="12">
        <f t="shared" si="10"/>
        <v>2.4347190942836664E-4</v>
      </c>
      <c r="N86">
        <f t="shared" si="11"/>
        <v>-1.3164177068412886E-2</v>
      </c>
      <c r="O86">
        <f t="shared" si="12"/>
        <v>-1.6728012688152605E-2</v>
      </c>
      <c r="P86">
        <f t="shared" si="13"/>
        <v>-1.5399582622055114E-2</v>
      </c>
    </row>
    <row r="87" spans="1:16" x14ac:dyDescent="0.25">
      <c r="A87" s="2">
        <v>45838</v>
      </c>
      <c r="B87" s="3">
        <v>36.314999999999998</v>
      </c>
      <c r="C87" s="3">
        <v>36.325000000000003</v>
      </c>
      <c r="D87" s="4">
        <v>42037</v>
      </c>
      <c r="E87" s="3">
        <f t="shared" si="7"/>
        <v>36.32</v>
      </c>
      <c r="F87" s="3">
        <f t="shared" si="8"/>
        <v>2.7533039647591179E-4</v>
      </c>
      <c r="G87" s="11"/>
      <c r="H87" s="3">
        <v>3314.7</v>
      </c>
      <c r="I87" s="3">
        <v>3315.7</v>
      </c>
      <c r="J87" s="4">
        <v>141501</v>
      </c>
      <c r="K87" s="12">
        <f t="shared" si="9"/>
        <v>3315.2</v>
      </c>
      <c r="L87" s="12">
        <f t="shared" si="10"/>
        <v>3.0164092664092663E-4</v>
      </c>
      <c r="N87">
        <f t="shared" si="11"/>
        <v>4.1470832181365047E-3</v>
      </c>
      <c r="O87">
        <f t="shared" si="12"/>
        <v>8.9475926714954745E-3</v>
      </c>
      <c r="P87">
        <f t="shared" si="13"/>
        <v>7.1581888462727405E-3</v>
      </c>
    </row>
    <row r="88" spans="1:16" x14ac:dyDescent="0.25">
      <c r="A88" s="5">
        <v>45839</v>
      </c>
      <c r="B88" s="6">
        <v>36.24</v>
      </c>
      <c r="C88" s="6">
        <v>36.244999999999997</v>
      </c>
      <c r="D88" s="7">
        <v>52529</v>
      </c>
      <c r="E88" s="3">
        <f t="shared" si="7"/>
        <v>36.2425</v>
      </c>
      <c r="F88" s="3">
        <f t="shared" si="8"/>
        <v>1.3795957784356632E-4</v>
      </c>
      <c r="G88" s="11"/>
      <c r="H88" s="6">
        <v>3349.3</v>
      </c>
      <c r="I88" s="6">
        <v>3350.3</v>
      </c>
      <c r="J88" s="7">
        <v>164455</v>
      </c>
      <c r="K88" s="12">
        <f t="shared" si="9"/>
        <v>3349.8</v>
      </c>
      <c r="L88" s="12">
        <f t="shared" si="10"/>
        <v>2.9852528509164724E-4</v>
      </c>
      <c r="N88">
        <f t="shared" si="11"/>
        <v>-2.1338105726872447E-3</v>
      </c>
      <c r="O88">
        <f t="shared" si="12"/>
        <v>1.0436776061776065E-2</v>
      </c>
      <c r="P88">
        <f t="shared" si="13"/>
        <v>5.7510534259705643E-3</v>
      </c>
    </row>
    <row r="89" spans="1:16" x14ac:dyDescent="0.25">
      <c r="A89" s="2">
        <v>45840</v>
      </c>
      <c r="B89" s="3">
        <v>36.784999999999997</v>
      </c>
      <c r="C89" s="3">
        <v>36.795000000000002</v>
      </c>
      <c r="D89" s="4">
        <v>39724</v>
      </c>
      <c r="E89" s="3">
        <f t="shared" si="7"/>
        <v>36.79</v>
      </c>
      <c r="F89" s="3">
        <f t="shared" si="8"/>
        <v>2.7181299266118824E-4</v>
      </c>
      <c r="G89" s="11"/>
      <c r="H89" s="3">
        <v>3368.4</v>
      </c>
      <c r="I89" s="3">
        <v>3369.1</v>
      </c>
      <c r="J89" s="4">
        <v>129509.999999999</v>
      </c>
      <c r="K89" s="12">
        <f t="shared" si="9"/>
        <v>3368.75</v>
      </c>
      <c r="L89" s="12">
        <f t="shared" si="10"/>
        <v>2.0779220779215381E-4</v>
      </c>
      <c r="N89">
        <f t="shared" si="11"/>
        <v>1.5106573773884246E-2</v>
      </c>
      <c r="O89">
        <f t="shared" si="12"/>
        <v>5.6570541524867402E-3</v>
      </c>
      <c r="P89">
        <f t="shared" si="13"/>
        <v>9.1793900048231097E-3</v>
      </c>
    </row>
    <row r="90" spans="1:16" x14ac:dyDescent="0.25">
      <c r="A90" s="5">
        <v>45841</v>
      </c>
      <c r="B90" s="6">
        <v>37.034999999999997</v>
      </c>
      <c r="C90" s="6">
        <v>37.045000000000002</v>
      </c>
      <c r="D90" s="7">
        <v>54497</v>
      </c>
      <c r="E90" s="3">
        <f t="shared" si="7"/>
        <v>37.04</v>
      </c>
      <c r="F90" s="3">
        <f t="shared" si="8"/>
        <v>2.6997840172799991E-4</v>
      </c>
      <c r="G90" s="11"/>
      <c r="H90" s="6">
        <v>3335.4</v>
      </c>
      <c r="I90" s="6">
        <v>3336.4</v>
      </c>
      <c r="J90" s="7">
        <v>151511</v>
      </c>
      <c r="K90" s="12">
        <f t="shared" si="9"/>
        <v>3335.9</v>
      </c>
      <c r="L90" s="12">
        <f t="shared" si="10"/>
        <v>2.9976917773314544E-4</v>
      </c>
      <c r="N90">
        <f t="shared" si="11"/>
        <v>6.795324816526227E-3</v>
      </c>
      <c r="O90">
        <f t="shared" si="12"/>
        <v>-9.7513914656771616E-3</v>
      </c>
      <c r="P90">
        <f t="shared" si="13"/>
        <v>-3.5835549687544331E-3</v>
      </c>
    </row>
    <row r="91" spans="1:16" x14ac:dyDescent="0.25">
      <c r="A91" s="2">
        <v>45845</v>
      </c>
      <c r="B91" s="3">
        <v>36.935000000000002</v>
      </c>
      <c r="C91" s="3">
        <v>36.945</v>
      </c>
      <c r="D91" s="4">
        <v>54382</v>
      </c>
      <c r="E91" s="3">
        <f t="shared" si="7"/>
        <v>36.94</v>
      </c>
      <c r="F91" s="3">
        <f t="shared" si="8"/>
        <v>2.7070925825657856E-4</v>
      </c>
      <c r="G91" s="11"/>
      <c r="H91" s="3">
        <v>3346.4</v>
      </c>
      <c r="I91" s="3">
        <v>3347.2</v>
      </c>
      <c r="J91" s="4">
        <v>170592</v>
      </c>
      <c r="K91" s="12">
        <f t="shared" si="9"/>
        <v>3346.8</v>
      </c>
      <c r="L91" s="12">
        <f t="shared" si="10"/>
        <v>2.3903430142217254E-4</v>
      </c>
      <c r="N91">
        <f t="shared" si="11"/>
        <v>-2.6997840172786614E-3</v>
      </c>
      <c r="O91">
        <f t="shared" si="12"/>
        <v>3.2674840372912684E-3</v>
      </c>
      <c r="P91">
        <f t="shared" si="13"/>
        <v>1.0431675586505609E-3</v>
      </c>
    </row>
    <row r="92" spans="1:16" x14ac:dyDescent="0.25">
      <c r="A92" s="5">
        <v>45846</v>
      </c>
      <c r="B92" s="6">
        <v>36.92</v>
      </c>
      <c r="C92" s="6">
        <v>36.93</v>
      </c>
      <c r="D92" s="7">
        <v>53700</v>
      </c>
      <c r="E92" s="3">
        <f t="shared" si="7"/>
        <v>36.924999999999997</v>
      </c>
      <c r="F92" s="3">
        <f t="shared" si="8"/>
        <v>2.7081922816514584E-4</v>
      </c>
      <c r="G92" s="11"/>
      <c r="H92" s="6">
        <v>3310.5</v>
      </c>
      <c r="I92" s="6">
        <v>3311.1</v>
      </c>
      <c r="J92" s="7">
        <v>202143</v>
      </c>
      <c r="K92" s="12">
        <f t="shared" si="9"/>
        <v>3310.8</v>
      </c>
      <c r="L92" s="12">
        <f t="shared" si="10"/>
        <v>1.8122508155125921E-4</v>
      </c>
      <c r="N92">
        <f t="shared" si="11"/>
        <v>-4.0606388738495536E-4</v>
      </c>
      <c r="O92">
        <f t="shared" si="12"/>
        <v>-1.0756543564001464E-2</v>
      </c>
      <c r="P92">
        <f t="shared" si="13"/>
        <v>-6.8983722373585675E-3</v>
      </c>
    </row>
    <row r="93" spans="1:16" x14ac:dyDescent="0.25">
      <c r="A93" s="2">
        <v>45847</v>
      </c>
      <c r="B93" s="3">
        <v>36.61</v>
      </c>
      <c r="C93" s="3">
        <v>36.615000000000002</v>
      </c>
      <c r="D93" s="4">
        <v>45280</v>
      </c>
      <c r="E93" s="3">
        <f t="shared" si="7"/>
        <v>36.612499999999997</v>
      </c>
      <c r="F93" s="3">
        <f t="shared" si="8"/>
        <v>1.365653806760685E-4</v>
      </c>
      <c r="G93" s="11"/>
      <c r="H93" s="3">
        <v>3321.9</v>
      </c>
      <c r="I93" s="3">
        <v>3322.9</v>
      </c>
      <c r="J93" s="4">
        <v>155832</v>
      </c>
      <c r="K93" s="12">
        <f t="shared" si="9"/>
        <v>3322.4</v>
      </c>
      <c r="L93" s="12">
        <f t="shared" si="10"/>
        <v>3.0098723814110282E-4</v>
      </c>
      <c r="N93">
        <f t="shared" si="11"/>
        <v>-8.4631008801624441E-3</v>
      </c>
      <c r="O93">
        <f t="shared" si="12"/>
        <v>3.5036849099914225E-3</v>
      </c>
      <c r="P93">
        <f t="shared" si="13"/>
        <v>-9.569692094456672E-4</v>
      </c>
    </row>
    <row r="94" spans="1:16" x14ac:dyDescent="0.25">
      <c r="A94" s="5">
        <v>45848</v>
      </c>
      <c r="B94" s="6">
        <v>37.619999999999997</v>
      </c>
      <c r="C94" s="6">
        <v>37.625</v>
      </c>
      <c r="D94" s="7">
        <v>80651</v>
      </c>
      <c r="E94" s="3">
        <f t="shared" si="7"/>
        <v>37.622500000000002</v>
      </c>
      <c r="F94" s="3">
        <f t="shared" si="8"/>
        <v>1.3289919595993243E-4</v>
      </c>
      <c r="G94" s="11"/>
      <c r="H94" s="6">
        <v>3333</v>
      </c>
      <c r="I94" s="6">
        <v>3333.7</v>
      </c>
      <c r="J94" s="7">
        <v>148397</v>
      </c>
      <c r="K94" s="12">
        <f t="shared" si="9"/>
        <v>3333.35</v>
      </c>
      <c r="L94" s="12">
        <f t="shared" si="10"/>
        <v>2.0999895000519542E-4</v>
      </c>
      <c r="N94">
        <f t="shared" si="11"/>
        <v>2.7586206896551779E-2</v>
      </c>
      <c r="O94">
        <f t="shared" si="12"/>
        <v>3.2958102576450266E-3</v>
      </c>
      <c r="P94">
        <f t="shared" si="13"/>
        <v>1.2350126072276741E-2</v>
      </c>
    </row>
    <row r="95" spans="1:16" x14ac:dyDescent="0.25">
      <c r="A95" s="2">
        <v>45849</v>
      </c>
      <c r="B95" s="3">
        <v>39.075000000000003</v>
      </c>
      <c r="C95" s="3">
        <v>39.085000000000001</v>
      </c>
      <c r="D95" s="4">
        <v>99830</v>
      </c>
      <c r="E95" s="3">
        <f t="shared" si="7"/>
        <v>39.08</v>
      </c>
      <c r="F95" s="3">
        <f t="shared" si="8"/>
        <v>2.5588536335716507E-4</v>
      </c>
      <c r="G95" s="11"/>
      <c r="H95" s="3">
        <v>3370.3</v>
      </c>
      <c r="I95" s="3">
        <v>3370.6</v>
      </c>
      <c r="J95" s="4">
        <v>207036</v>
      </c>
      <c r="K95" s="12">
        <f t="shared" si="9"/>
        <v>3370.45</v>
      </c>
      <c r="L95" s="12">
        <f t="shared" si="10"/>
        <v>8.9008886053710084E-5</v>
      </c>
      <c r="N95">
        <f t="shared" si="11"/>
        <v>3.8740115622300397E-2</v>
      </c>
      <c r="O95">
        <f t="shared" si="12"/>
        <v>1.1129944350278143E-2</v>
      </c>
      <c r="P95">
        <f t="shared" si="13"/>
        <v>2.1421715790211814E-2</v>
      </c>
    </row>
    <row r="96" spans="1:16" x14ac:dyDescent="0.25">
      <c r="A96" s="5">
        <v>45852</v>
      </c>
      <c r="B96" s="6">
        <v>38.4</v>
      </c>
      <c r="C96" s="6">
        <v>38.409999999999997</v>
      </c>
      <c r="D96" s="7">
        <v>76196</v>
      </c>
      <c r="E96" s="3">
        <f t="shared" si="7"/>
        <v>38.405000000000001</v>
      </c>
      <c r="F96" s="3">
        <f t="shared" si="8"/>
        <v>2.6038276266106004E-4</v>
      </c>
      <c r="G96" s="11"/>
      <c r="H96" s="6">
        <v>3351.7</v>
      </c>
      <c r="I96" s="6">
        <v>3352.3</v>
      </c>
      <c r="J96" s="7">
        <v>180941</v>
      </c>
      <c r="K96" s="12">
        <f t="shared" si="9"/>
        <v>3352</v>
      </c>
      <c r="L96" s="12">
        <f t="shared" si="10"/>
        <v>1.7899761336526366E-4</v>
      </c>
      <c r="N96">
        <f t="shared" si="11"/>
        <v>-1.7272262026612029E-2</v>
      </c>
      <c r="O96">
        <f t="shared" si="12"/>
        <v>-5.4740464923080934E-3</v>
      </c>
      <c r="P96">
        <f t="shared" si="13"/>
        <v>-9.8718655598476011E-3</v>
      </c>
    </row>
    <row r="97" spans="1:16" x14ac:dyDescent="0.25">
      <c r="A97" s="2">
        <v>45853</v>
      </c>
      <c r="B97" s="3">
        <v>37.979999999999997</v>
      </c>
      <c r="C97" s="3">
        <v>37.99</v>
      </c>
      <c r="D97" s="4">
        <v>54559</v>
      </c>
      <c r="E97" s="3">
        <f t="shared" si="7"/>
        <v>37.984999999999999</v>
      </c>
      <c r="F97" s="3">
        <f t="shared" si="8"/>
        <v>2.6326181387403228E-4</v>
      </c>
      <c r="G97" s="11"/>
      <c r="H97" s="3">
        <v>3330</v>
      </c>
      <c r="I97" s="3">
        <v>3330.8</v>
      </c>
      <c r="J97" s="4">
        <v>177332</v>
      </c>
      <c r="K97" s="12">
        <f t="shared" si="9"/>
        <v>3330.4</v>
      </c>
      <c r="L97" s="12">
        <f t="shared" si="10"/>
        <v>2.4021138601975194E-4</v>
      </c>
      <c r="N97">
        <f t="shared" si="11"/>
        <v>-1.0936076031766717E-2</v>
      </c>
      <c r="O97">
        <f t="shared" si="12"/>
        <v>-6.4439140811455298E-3</v>
      </c>
      <c r="P97">
        <f t="shared" si="13"/>
        <v>-8.1183804801934663E-3</v>
      </c>
    </row>
    <row r="98" spans="1:16" x14ac:dyDescent="0.25">
      <c r="A98" s="5">
        <v>45854</v>
      </c>
      <c r="B98" s="6">
        <v>38.125</v>
      </c>
      <c r="C98" s="6">
        <v>38.134999999999998</v>
      </c>
      <c r="D98" s="7">
        <v>55710</v>
      </c>
      <c r="E98" s="3">
        <f t="shared" si="7"/>
        <v>38.129999999999995</v>
      </c>
      <c r="F98" s="3">
        <f t="shared" si="8"/>
        <v>2.6226068712294811E-4</v>
      </c>
      <c r="G98" s="11"/>
      <c r="H98" s="6">
        <v>3353.7</v>
      </c>
      <c r="I98" s="6">
        <v>3354.6</v>
      </c>
      <c r="J98" s="7">
        <v>232509</v>
      </c>
      <c r="K98" s="12">
        <f t="shared" si="9"/>
        <v>3354.1499999999996</v>
      </c>
      <c r="L98" s="12">
        <f t="shared" si="10"/>
        <v>2.6832431465500682E-4</v>
      </c>
      <c r="N98">
        <f t="shared" si="11"/>
        <v>3.8172963011713357E-3</v>
      </c>
      <c r="O98">
        <f t="shared" si="12"/>
        <v>7.1312755224597346E-3</v>
      </c>
      <c r="P98">
        <f t="shared" si="13"/>
        <v>5.8959801537290689E-3</v>
      </c>
    </row>
    <row r="99" spans="1:16" x14ac:dyDescent="0.25">
      <c r="A99" s="2">
        <v>45855</v>
      </c>
      <c r="B99" s="3">
        <v>38.424999999999997</v>
      </c>
      <c r="C99" s="3">
        <v>38.435000000000002</v>
      </c>
      <c r="D99" s="4">
        <v>44163</v>
      </c>
      <c r="E99" s="3">
        <f t="shared" si="7"/>
        <v>38.43</v>
      </c>
      <c r="F99" s="3">
        <f t="shared" si="8"/>
        <v>2.6021337496760647E-4</v>
      </c>
      <c r="G99" s="11"/>
      <c r="H99" s="3">
        <v>3345</v>
      </c>
      <c r="I99" s="3">
        <v>3345.7</v>
      </c>
      <c r="J99" s="4">
        <v>158850</v>
      </c>
      <c r="K99" s="12">
        <f t="shared" si="9"/>
        <v>3345.35</v>
      </c>
      <c r="L99" s="12">
        <f t="shared" si="10"/>
        <v>2.0924566936189579E-4</v>
      </c>
      <c r="N99">
        <f t="shared" si="11"/>
        <v>7.8678206136901796E-3</v>
      </c>
      <c r="O99">
        <f t="shared" si="12"/>
        <v>-2.6236155210708212E-3</v>
      </c>
      <c r="P99">
        <f t="shared" si="13"/>
        <v>1.2870977342661464E-3</v>
      </c>
    </row>
    <row r="100" spans="1:16" x14ac:dyDescent="0.25">
      <c r="A100" s="5">
        <v>45856</v>
      </c>
      <c r="B100" s="6">
        <v>38.414999999999999</v>
      </c>
      <c r="C100" s="6">
        <v>38.424999999999997</v>
      </c>
      <c r="D100" s="7">
        <v>41445</v>
      </c>
      <c r="E100" s="3">
        <f t="shared" si="7"/>
        <v>38.42</v>
      </c>
      <c r="F100" s="3">
        <f t="shared" si="8"/>
        <v>2.6028110359182746E-4</v>
      </c>
      <c r="G100" s="11"/>
      <c r="H100" s="6">
        <v>3354.7</v>
      </c>
      <c r="I100" s="6">
        <v>3355.7</v>
      </c>
      <c r="J100" s="7">
        <v>112998</v>
      </c>
      <c r="K100" s="12">
        <f t="shared" si="9"/>
        <v>3355.2</v>
      </c>
      <c r="L100" s="12">
        <f t="shared" si="10"/>
        <v>2.9804482594182169E-4</v>
      </c>
      <c r="N100">
        <f t="shared" si="11"/>
        <v>-2.602133749673996E-4</v>
      </c>
      <c r="O100">
        <f t="shared" si="12"/>
        <v>2.9443854903075106E-3</v>
      </c>
      <c r="P100">
        <f t="shared" si="13"/>
        <v>1.749861966597962E-3</v>
      </c>
    </row>
    <row r="101" spans="1:16" x14ac:dyDescent="0.25">
      <c r="A101" s="2">
        <v>45859</v>
      </c>
      <c r="B101" s="3">
        <v>39.234999999999999</v>
      </c>
      <c r="C101" s="3">
        <v>39.244999999999997</v>
      </c>
      <c r="D101" s="4">
        <v>49858</v>
      </c>
      <c r="E101" s="3">
        <f t="shared" si="7"/>
        <v>39.239999999999995</v>
      </c>
      <c r="F101" s="3">
        <f t="shared" si="8"/>
        <v>2.5484199796121335E-4</v>
      </c>
      <c r="G101" s="11"/>
      <c r="H101" s="3">
        <v>3410.2</v>
      </c>
      <c r="I101" s="3">
        <v>3410.5</v>
      </c>
      <c r="J101" s="4">
        <v>185346</v>
      </c>
      <c r="K101" s="12">
        <f t="shared" si="9"/>
        <v>3410.35</v>
      </c>
      <c r="L101" s="12">
        <f t="shared" si="10"/>
        <v>8.7967510666114003E-5</v>
      </c>
      <c r="N101">
        <f t="shared" si="11"/>
        <v>2.1343050494533999E-2</v>
      </c>
      <c r="O101">
        <f t="shared" si="12"/>
        <v>1.6437172150691515E-2</v>
      </c>
      <c r="P101">
        <f t="shared" si="13"/>
        <v>1.8265852535521633E-2</v>
      </c>
    </row>
    <row r="102" spans="1:16" x14ac:dyDescent="0.25">
      <c r="A102" s="5">
        <v>45860</v>
      </c>
      <c r="B102" s="6">
        <v>39.65</v>
      </c>
      <c r="C102" s="6">
        <v>39.664999999999999</v>
      </c>
      <c r="D102" s="7">
        <v>57469</v>
      </c>
      <c r="E102" s="3">
        <f t="shared" si="7"/>
        <v>39.657499999999999</v>
      </c>
      <c r="F102" s="3">
        <f t="shared" si="8"/>
        <v>3.7823866859990085E-4</v>
      </c>
      <c r="G102" s="11"/>
      <c r="H102" s="6">
        <v>3443.6</v>
      </c>
      <c r="I102" s="6">
        <v>3444.3</v>
      </c>
      <c r="J102" s="7">
        <v>217981</v>
      </c>
      <c r="K102" s="12">
        <f t="shared" si="9"/>
        <v>3443.95</v>
      </c>
      <c r="L102" s="12">
        <f t="shared" si="10"/>
        <v>2.0325498337672523E-4</v>
      </c>
      <c r="N102">
        <f t="shared" si="11"/>
        <v>1.0639653414882932E-2</v>
      </c>
      <c r="O102">
        <f t="shared" si="12"/>
        <v>9.8523611945988687E-3</v>
      </c>
      <c r="P102">
        <f t="shared" si="13"/>
        <v>1.0145826653678146E-2</v>
      </c>
    </row>
    <row r="103" spans="1:16" x14ac:dyDescent="0.25">
      <c r="A103" s="2">
        <v>45861</v>
      </c>
      <c r="B103" s="3">
        <v>39.51</v>
      </c>
      <c r="C103" s="3">
        <v>39.520000000000003</v>
      </c>
      <c r="D103" s="4">
        <v>63665</v>
      </c>
      <c r="E103" s="3">
        <f t="shared" si="7"/>
        <v>39.515000000000001</v>
      </c>
      <c r="F103" s="3">
        <f t="shared" si="8"/>
        <v>2.5306845501721158E-4</v>
      </c>
      <c r="G103" s="11"/>
      <c r="H103" s="3">
        <v>3397.1</v>
      </c>
      <c r="I103" s="3">
        <v>3397.5</v>
      </c>
      <c r="J103" s="4">
        <v>255347</v>
      </c>
      <c r="K103" s="12">
        <f t="shared" si="9"/>
        <v>3397.3</v>
      </c>
      <c r="L103" s="12">
        <f t="shared" si="10"/>
        <v>1.1774055867897769E-4</v>
      </c>
      <c r="N103">
        <f t="shared" si="11"/>
        <v>-3.5932673516988478E-3</v>
      </c>
      <c r="O103">
        <f t="shared" si="12"/>
        <v>-1.3545492820743466E-2</v>
      </c>
      <c r="P103">
        <f t="shared" si="13"/>
        <v>-9.8357719053254761E-3</v>
      </c>
    </row>
    <row r="104" spans="1:16" x14ac:dyDescent="0.25">
      <c r="A104" s="5">
        <v>45862</v>
      </c>
      <c r="B104" s="6">
        <v>39.28</v>
      </c>
      <c r="C104" s="6">
        <v>39.29</v>
      </c>
      <c r="D104" s="7">
        <v>49802</v>
      </c>
      <c r="E104" s="3">
        <f t="shared" si="7"/>
        <v>39.284999999999997</v>
      </c>
      <c r="F104" s="3">
        <f t="shared" si="8"/>
        <v>2.5455008272872625E-4</v>
      </c>
      <c r="G104" s="11"/>
      <c r="H104" s="6">
        <v>3371</v>
      </c>
      <c r="I104" s="6">
        <v>3371.8</v>
      </c>
      <c r="J104" s="7">
        <v>206658</v>
      </c>
      <c r="K104" s="12">
        <f t="shared" si="9"/>
        <v>3371.4</v>
      </c>
      <c r="L104" s="12">
        <f t="shared" si="10"/>
        <v>2.3729014652671941E-4</v>
      </c>
      <c r="N104">
        <f t="shared" si="11"/>
        <v>-5.8205744653929692E-3</v>
      </c>
      <c r="O104">
        <f t="shared" si="12"/>
        <v>-7.6237011744620942E-3</v>
      </c>
      <c r="P104">
        <f t="shared" si="13"/>
        <v>-6.9515804627088987E-3</v>
      </c>
    </row>
    <row r="105" spans="1:16" x14ac:dyDescent="0.25">
      <c r="A105" s="2">
        <v>45863</v>
      </c>
      <c r="B105" s="3">
        <v>38.325000000000003</v>
      </c>
      <c r="C105" s="3">
        <v>38.335000000000001</v>
      </c>
      <c r="D105" s="4">
        <v>67280</v>
      </c>
      <c r="E105" s="3">
        <f t="shared" si="7"/>
        <v>38.33</v>
      </c>
      <c r="F105" s="3">
        <f t="shared" si="8"/>
        <v>2.6089225150007856E-4</v>
      </c>
      <c r="G105" s="11"/>
      <c r="H105" s="3">
        <v>3337.9</v>
      </c>
      <c r="I105" s="3">
        <v>3338.6</v>
      </c>
      <c r="J105" s="4">
        <v>193190</v>
      </c>
      <c r="K105" s="12">
        <f t="shared" si="9"/>
        <v>3338.25</v>
      </c>
      <c r="L105" s="12">
        <f t="shared" si="10"/>
        <v>2.096907062082882E-4</v>
      </c>
      <c r="N105">
        <f t="shared" si="11"/>
        <v>-2.4309532900598119E-2</v>
      </c>
      <c r="O105">
        <f t="shared" si="12"/>
        <v>-9.8327104466987558E-3</v>
      </c>
      <c r="P105">
        <f t="shared" si="13"/>
        <v>-1.522898801427066E-2</v>
      </c>
    </row>
    <row r="106" spans="1:16" x14ac:dyDescent="0.25">
      <c r="A106" s="5">
        <v>45866</v>
      </c>
      <c r="B106" s="6">
        <v>38.325000000000003</v>
      </c>
      <c r="C106" s="6">
        <v>38.33</v>
      </c>
      <c r="D106" s="7">
        <v>45779</v>
      </c>
      <c r="E106" s="3">
        <f t="shared" si="7"/>
        <v>38.327500000000001</v>
      </c>
      <c r="F106" s="3">
        <f t="shared" si="8"/>
        <v>1.3045463440076844E-4</v>
      </c>
      <c r="G106" s="11"/>
      <c r="H106" s="6">
        <v>3313.6</v>
      </c>
      <c r="I106" s="6">
        <v>3314.3</v>
      </c>
      <c r="J106" s="7">
        <v>176453</v>
      </c>
      <c r="K106" s="12">
        <f t="shared" si="9"/>
        <v>3313.95</v>
      </c>
      <c r="L106" s="12">
        <f t="shared" si="10"/>
        <v>2.1122829252109203E-4</v>
      </c>
      <c r="N106">
        <f t="shared" si="11"/>
        <v>-6.5223062874930626E-5</v>
      </c>
      <c r="O106">
        <f t="shared" si="12"/>
        <v>-7.2792630869468189E-3</v>
      </c>
      <c r="P106">
        <f t="shared" si="13"/>
        <v>-4.5902087397354649E-3</v>
      </c>
    </row>
    <row r="107" spans="1:16" x14ac:dyDescent="0.25">
      <c r="A107" s="2">
        <v>45867</v>
      </c>
      <c r="B107" s="3">
        <v>38.375</v>
      </c>
      <c r="C107" s="3">
        <v>38.384999999999998</v>
      </c>
      <c r="D107" s="4">
        <v>41625</v>
      </c>
      <c r="E107" s="3">
        <f t="shared" si="7"/>
        <v>38.379999999999995</v>
      </c>
      <c r="F107" s="3">
        <f t="shared" si="8"/>
        <v>2.6055237102652455E-4</v>
      </c>
      <c r="G107" s="11"/>
      <c r="H107" s="3">
        <v>3325.5</v>
      </c>
      <c r="I107" s="3">
        <v>3330</v>
      </c>
      <c r="J107" s="4">
        <v>109100</v>
      </c>
      <c r="K107" s="12">
        <f t="shared" si="9"/>
        <v>3327.75</v>
      </c>
      <c r="L107" s="12">
        <f t="shared" si="10"/>
        <v>1.3522650439486139E-3</v>
      </c>
      <c r="N107">
        <f t="shared" si="11"/>
        <v>1.3697736612092726E-3</v>
      </c>
      <c r="O107">
        <f t="shared" si="12"/>
        <v>4.1642149096998704E-3</v>
      </c>
      <c r="P107">
        <f t="shared" si="13"/>
        <v>3.1225788275314574E-3</v>
      </c>
    </row>
    <row r="108" spans="1:16" x14ac:dyDescent="0.25">
      <c r="A108" s="5">
        <v>45868</v>
      </c>
      <c r="B108" s="6">
        <v>37.17</v>
      </c>
      <c r="C108" s="6">
        <v>37.18</v>
      </c>
      <c r="D108" s="7">
        <v>71289</v>
      </c>
      <c r="E108" s="3">
        <f t="shared" si="7"/>
        <v>37.174999999999997</v>
      </c>
      <c r="F108" s="3">
        <f t="shared" si="8"/>
        <v>2.6899798251507764E-4</v>
      </c>
      <c r="G108" s="11"/>
      <c r="H108" s="6">
        <v>3327.5</v>
      </c>
      <c r="I108" s="6">
        <v>3328.5</v>
      </c>
      <c r="J108" s="7">
        <v>199903</v>
      </c>
      <c r="K108" s="12">
        <f t="shared" si="9"/>
        <v>3328</v>
      </c>
      <c r="L108" s="12">
        <f t="shared" si="10"/>
        <v>3.0048076923076925E-4</v>
      </c>
      <c r="N108">
        <f t="shared" si="11"/>
        <v>-3.1396560708702448E-2</v>
      </c>
      <c r="O108">
        <f t="shared" si="12"/>
        <v>7.512583577495846E-5</v>
      </c>
      <c r="P108">
        <f t="shared" si="13"/>
        <v>-1.1656036624387281E-2</v>
      </c>
    </row>
    <row r="109" spans="1:16" x14ac:dyDescent="0.25">
      <c r="A109" s="2">
        <v>45869</v>
      </c>
      <c r="B109" s="3">
        <v>36.784999999999997</v>
      </c>
      <c r="C109" s="3">
        <v>36.795000000000002</v>
      </c>
      <c r="D109" s="4">
        <v>66211</v>
      </c>
      <c r="E109" s="3">
        <f t="shared" si="7"/>
        <v>36.79</v>
      </c>
      <c r="F109" s="3">
        <f t="shared" si="8"/>
        <v>2.7181299266118824E-4</v>
      </c>
      <c r="G109" s="11"/>
      <c r="H109" s="3">
        <v>3341.9</v>
      </c>
      <c r="I109" s="3">
        <v>3342.8</v>
      </c>
      <c r="J109" s="4">
        <v>154581</v>
      </c>
      <c r="K109" s="12">
        <f t="shared" si="9"/>
        <v>3342.3500000000004</v>
      </c>
      <c r="L109" s="12">
        <f t="shared" si="10"/>
        <v>2.6927162026720448E-4</v>
      </c>
      <c r="N109">
        <f t="shared" si="11"/>
        <v>-1.0356422326832537E-2</v>
      </c>
      <c r="O109">
        <f t="shared" si="12"/>
        <v>4.3118990384616307E-3</v>
      </c>
      <c r="P109">
        <f t="shared" si="13"/>
        <v>-1.1557603038792183E-3</v>
      </c>
    </row>
    <row r="110" spans="1:16" x14ac:dyDescent="0.25">
      <c r="A110" s="5">
        <v>45870</v>
      </c>
      <c r="B110" s="6">
        <v>37.1</v>
      </c>
      <c r="C110" s="6">
        <v>37.104999999999997</v>
      </c>
      <c r="D110" s="7">
        <v>65039</v>
      </c>
      <c r="E110" s="3">
        <f t="shared" si="7"/>
        <v>37.102499999999999</v>
      </c>
      <c r="F110" s="3">
        <f t="shared" si="8"/>
        <v>1.3476180850334756E-4</v>
      </c>
      <c r="G110" s="11"/>
      <c r="H110" s="6">
        <v>3415.7</v>
      </c>
      <c r="I110" s="6">
        <v>3416</v>
      </c>
      <c r="J110" s="7">
        <v>222301</v>
      </c>
      <c r="K110" s="12">
        <f t="shared" si="9"/>
        <v>3415.85</v>
      </c>
      <c r="L110" s="12">
        <f t="shared" si="10"/>
        <v>8.7825870573995319E-5</v>
      </c>
      <c r="N110">
        <f t="shared" si="11"/>
        <v>8.4941560206577282E-3</v>
      </c>
      <c r="O110">
        <f t="shared" si="12"/>
        <v>2.1990515655152754E-2</v>
      </c>
      <c r="P110">
        <f t="shared" si="13"/>
        <v>1.6959708447878374E-2</v>
      </c>
    </row>
    <row r="111" spans="1:16" x14ac:dyDescent="0.25">
      <c r="A111" s="2">
        <v>45873</v>
      </c>
      <c r="B111" s="3">
        <v>37.44</v>
      </c>
      <c r="C111" s="3">
        <v>37.450000000000003</v>
      </c>
      <c r="D111" s="4">
        <v>44731</v>
      </c>
      <c r="E111" s="3">
        <f t="shared" si="7"/>
        <v>37.445</v>
      </c>
      <c r="F111" s="3">
        <f t="shared" si="8"/>
        <v>2.6705835225010325E-4</v>
      </c>
      <c r="G111" s="11"/>
      <c r="H111" s="3">
        <v>3428</v>
      </c>
      <c r="I111" s="3">
        <v>3428.9</v>
      </c>
      <c r="J111" s="4">
        <v>132941</v>
      </c>
      <c r="K111" s="12">
        <f t="shared" si="9"/>
        <v>3428.45</v>
      </c>
      <c r="L111" s="12">
        <f t="shared" si="10"/>
        <v>2.6250929720430253E-4</v>
      </c>
      <c r="N111">
        <f t="shared" si="11"/>
        <v>9.2311838824876702E-3</v>
      </c>
      <c r="O111">
        <f t="shared" si="12"/>
        <v>3.6886865641054811E-3</v>
      </c>
      <c r="P111">
        <f t="shared" si="13"/>
        <v>5.7546685185541407E-3</v>
      </c>
    </row>
    <row r="112" spans="1:16" x14ac:dyDescent="0.25">
      <c r="A112" s="5">
        <v>45874</v>
      </c>
      <c r="B112" s="6">
        <v>37.835000000000001</v>
      </c>
      <c r="C112" s="6">
        <v>37.844999999999999</v>
      </c>
      <c r="D112" s="7">
        <v>50388</v>
      </c>
      <c r="E112" s="3">
        <f t="shared" si="7"/>
        <v>37.840000000000003</v>
      </c>
      <c r="F112" s="3">
        <f t="shared" si="8"/>
        <v>2.6427061310776978E-4</v>
      </c>
      <c r="G112" s="11"/>
      <c r="H112" s="6">
        <v>3434.8</v>
      </c>
      <c r="I112" s="6">
        <v>3435.5</v>
      </c>
      <c r="J112" s="7">
        <v>150132</v>
      </c>
      <c r="K112" s="12">
        <f t="shared" si="9"/>
        <v>3435.15</v>
      </c>
      <c r="L112" s="12">
        <f t="shared" si="10"/>
        <v>2.0377567209577983E-4</v>
      </c>
      <c r="N112">
        <f t="shared" si="11"/>
        <v>1.0548804913873777E-2</v>
      </c>
      <c r="O112">
        <f t="shared" si="12"/>
        <v>1.9542358791875269E-3</v>
      </c>
      <c r="P112">
        <f t="shared" si="13"/>
        <v>5.15788642007907E-3</v>
      </c>
    </row>
    <row r="113" spans="1:16" x14ac:dyDescent="0.25">
      <c r="A113" s="2">
        <v>45875</v>
      </c>
      <c r="B113" s="3">
        <v>37.93</v>
      </c>
      <c r="C113" s="3">
        <v>37.94</v>
      </c>
      <c r="D113" s="4">
        <v>38956</v>
      </c>
      <c r="E113" s="3">
        <f t="shared" si="7"/>
        <v>37.935000000000002</v>
      </c>
      <c r="F113" s="3">
        <f t="shared" si="8"/>
        <v>2.6360880453401897E-4</v>
      </c>
      <c r="G113" s="11"/>
      <c r="H113" s="3">
        <v>3431.4</v>
      </c>
      <c r="I113" s="3">
        <v>3432.2</v>
      </c>
      <c r="J113" s="4">
        <v>143644</v>
      </c>
      <c r="K113" s="12">
        <f t="shared" si="9"/>
        <v>3431.8</v>
      </c>
      <c r="L113" s="12">
        <f t="shared" si="10"/>
        <v>2.3311381782147186E-4</v>
      </c>
      <c r="N113">
        <f t="shared" si="11"/>
        <v>2.5105708245243274E-3</v>
      </c>
      <c r="O113">
        <f t="shared" si="12"/>
        <v>-9.7521214503004661E-4</v>
      </c>
      <c r="P113">
        <f t="shared" si="13"/>
        <v>3.2412356927678104E-4</v>
      </c>
    </row>
    <row r="114" spans="1:16" x14ac:dyDescent="0.25">
      <c r="A114" s="5">
        <v>45876</v>
      </c>
      <c r="B114" s="6">
        <v>38.520000000000003</v>
      </c>
      <c r="C114" s="6">
        <v>38.53</v>
      </c>
      <c r="D114" s="7">
        <v>86225</v>
      </c>
      <c r="E114" s="3">
        <f t="shared" si="7"/>
        <v>38.525000000000006</v>
      </c>
      <c r="F114" s="3">
        <f t="shared" si="8"/>
        <v>2.5957170668391977E-4</v>
      </c>
      <c r="G114" s="11"/>
      <c r="H114" s="6">
        <v>3482.7</v>
      </c>
      <c r="I114" s="6">
        <v>3483.2</v>
      </c>
      <c r="J114" s="7">
        <v>243375</v>
      </c>
      <c r="K114" s="12">
        <f t="shared" si="9"/>
        <v>3482.95</v>
      </c>
      <c r="L114" s="12">
        <f t="shared" si="10"/>
        <v>1.4355646793666289E-4</v>
      </c>
      <c r="N114">
        <f t="shared" si="11"/>
        <v>1.5552919467510362E-2</v>
      </c>
      <c r="O114">
        <f t="shared" si="12"/>
        <v>1.4904714726965418E-2</v>
      </c>
      <c r="P114">
        <f t="shared" si="13"/>
        <v>1.5146334924473214E-2</v>
      </c>
    </row>
    <row r="115" spans="1:16" x14ac:dyDescent="0.25">
      <c r="A115" s="2">
        <v>45877</v>
      </c>
      <c r="B115" s="3">
        <v>38.5</v>
      </c>
      <c r="C115" s="3">
        <v>38.51</v>
      </c>
      <c r="D115" s="4">
        <v>76568</v>
      </c>
      <c r="E115" s="3">
        <f t="shared" si="7"/>
        <v>38.504999999999995</v>
      </c>
      <c r="F115" s="3">
        <f t="shared" si="8"/>
        <v>2.597065316192186E-4</v>
      </c>
      <c r="G115" s="11"/>
      <c r="H115" s="3">
        <v>3457.6</v>
      </c>
      <c r="I115" s="3">
        <v>3459.4</v>
      </c>
      <c r="J115" s="4">
        <v>312499</v>
      </c>
      <c r="K115" s="12">
        <f t="shared" si="9"/>
        <v>3458.5</v>
      </c>
      <c r="L115" s="12">
        <f t="shared" si="10"/>
        <v>5.2045684545328375E-4</v>
      </c>
      <c r="N115">
        <f t="shared" si="11"/>
        <v>-5.1914341336822822E-4</v>
      </c>
      <c r="O115">
        <f t="shared" si="12"/>
        <v>-7.0199112821027754E-3</v>
      </c>
      <c r="P115">
        <f t="shared" si="13"/>
        <v>-4.5967312000264353E-3</v>
      </c>
    </row>
    <row r="116" spans="1:16" x14ac:dyDescent="0.25">
      <c r="A116" s="5">
        <v>45880</v>
      </c>
      <c r="B116" s="6">
        <v>37.64</v>
      </c>
      <c r="C116" s="6">
        <v>37.65</v>
      </c>
      <c r="D116" s="7">
        <v>67543</v>
      </c>
      <c r="E116" s="3">
        <f t="shared" si="7"/>
        <v>37.644999999999996</v>
      </c>
      <c r="F116" s="3">
        <f t="shared" si="8"/>
        <v>2.6563952716158882E-4</v>
      </c>
      <c r="G116" s="11"/>
      <c r="H116" s="6">
        <v>3393</v>
      </c>
      <c r="I116" s="6">
        <v>3394.8</v>
      </c>
      <c r="J116" s="7">
        <v>216925</v>
      </c>
      <c r="K116" s="12">
        <f t="shared" si="9"/>
        <v>3393.9</v>
      </c>
      <c r="L116" s="12">
        <f t="shared" si="10"/>
        <v>5.3036329885977249E-4</v>
      </c>
      <c r="N116">
        <f t="shared" si="11"/>
        <v>-2.233476171925719E-2</v>
      </c>
      <c r="O116">
        <f t="shared" si="12"/>
        <v>-1.867861789793257E-2</v>
      </c>
      <c r="P116">
        <f t="shared" si="13"/>
        <v>-2.0041456113960871E-2</v>
      </c>
    </row>
    <row r="117" spans="1:16" x14ac:dyDescent="0.25">
      <c r="A117" s="2">
        <v>45881</v>
      </c>
      <c r="B117" s="3">
        <v>37.935000000000002</v>
      </c>
      <c r="C117" s="3">
        <v>37.945</v>
      </c>
      <c r="D117" s="4">
        <v>63049</v>
      </c>
      <c r="E117" s="3">
        <f t="shared" si="7"/>
        <v>37.94</v>
      </c>
      <c r="F117" s="3">
        <f t="shared" si="8"/>
        <v>2.6357406431201929E-4</v>
      </c>
      <c r="G117" s="11"/>
      <c r="H117" s="3">
        <v>3399.2</v>
      </c>
      <c r="I117" s="3">
        <v>3400</v>
      </c>
      <c r="J117" s="4">
        <v>189872</v>
      </c>
      <c r="K117" s="12">
        <f t="shared" si="9"/>
        <v>3399.6</v>
      </c>
      <c r="L117" s="12">
        <f t="shared" si="10"/>
        <v>2.3532180256506115E-4</v>
      </c>
      <c r="N117">
        <f t="shared" si="11"/>
        <v>7.836366051268584E-3</v>
      </c>
      <c r="O117">
        <f t="shared" si="12"/>
        <v>1.6794837797224904E-3</v>
      </c>
      <c r="P117">
        <f t="shared" si="13"/>
        <v>3.9744795078200139E-3</v>
      </c>
    </row>
    <row r="118" spans="1:16" x14ac:dyDescent="0.25">
      <c r="A118" s="5">
        <v>45882</v>
      </c>
      <c r="B118" s="6">
        <v>38.549999999999997</v>
      </c>
      <c r="C118" s="6">
        <v>38.555</v>
      </c>
      <c r="D118" s="7">
        <v>52876</v>
      </c>
      <c r="E118" s="3">
        <f t="shared" si="7"/>
        <v>38.552499999999995</v>
      </c>
      <c r="F118" s="3">
        <f t="shared" si="8"/>
        <v>1.2969327540373669E-4</v>
      </c>
      <c r="G118" s="11"/>
      <c r="H118" s="6">
        <v>3406.8</v>
      </c>
      <c r="I118" s="6">
        <v>3407.3</v>
      </c>
      <c r="J118" s="7">
        <v>132393</v>
      </c>
      <c r="K118" s="12">
        <f t="shared" si="9"/>
        <v>3407.05</v>
      </c>
      <c r="L118" s="12">
        <f t="shared" si="10"/>
        <v>1.4675452370819329E-4</v>
      </c>
      <c r="N118">
        <f t="shared" si="11"/>
        <v>1.6143911439114422E-2</v>
      </c>
      <c r="O118">
        <f t="shared" si="12"/>
        <v>2.1914342863866842E-3</v>
      </c>
      <c r="P118">
        <f t="shared" si="13"/>
        <v>7.3922606217987283E-3</v>
      </c>
    </row>
    <row r="119" spans="1:16" x14ac:dyDescent="0.25">
      <c r="A119" s="2">
        <v>45883</v>
      </c>
      <c r="B119" s="3">
        <v>38.034999999999997</v>
      </c>
      <c r="C119" s="3">
        <v>38.045000000000002</v>
      </c>
      <c r="D119" s="4">
        <v>54425</v>
      </c>
      <c r="E119" s="3">
        <f t="shared" si="7"/>
        <v>38.04</v>
      </c>
      <c r="F119" s="3">
        <f t="shared" si="8"/>
        <v>2.6288117770781062E-4</v>
      </c>
      <c r="G119" s="11"/>
      <c r="H119" s="3">
        <v>3381.7</v>
      </c>
      <c r="I119" s="3">
        <v>3382.3</v>
      </c>
      <c r="J119" s="4">
        <v>162641</v>
      </c>
      <c r="K119" s="12">
        <f t="shared" si="9"/>
        <v>3382</v>
      </c>
      <c r="L119" s="12">
        <f t="shared" si="10"/>
        <v>1.7740981667663033E-4</v>
      </c>
      <c r="N119">
        <f t="shared" si="11"/>
        <v>-1.3293560728876108E-2</v>
      </c>
      <c r="O119">
        <f t="shared" si="12"/>
        <v>-7.3524016377805035E-3</v>
      </c>
      <c r="P119">
        <f t="shared" si="13"/>
        <v>-9.5669859245429371E-3</v>
      </c>
    </row>
    <row r="120" spans="1:16" x14ac:dyDescent="0.25">
      <c r="A120" s="5">
        <v>45884</v>
      </c>
      <c r="B120" s="6">
        <v>38.015000000000001</v>
      </c>
      <c r="C120" s="6">
        <v>38.024999999999999</v>
      </c>
      <c r="D120" s="7">
        <v>34505</v>
      </c>
      <c r="E120" s="3">
        <f t="shared" si="7"/>
        <v>38.019999999999996</v>
      </c>
      <c r="F120" s="3">
        <f t="shared" si="8"/>
        <v>2.6301946344024226E-4</v>
      </c>
      <c r="G120" s="11"/>
      <c r="H120" s="6">
        <v>3381.4</v>
      </c>
      <c r="I120" s="6">
        <v>3383.4</v>
      </c>
      <c r="J120" s="7">
        <v>115486</v>
      </c>
      <c r="K120" s="12">
        <f t="shared" si="9"/>
        <v>3382.4</v>
      </c>
      <c r="L120" s="12">
        <f t="shared" si="10"/>
        <v>5.912961210974456E-4</v>
      </c>
      <c r="N120">
        <f t="shared" si="11"/>
        <v>-5.2576235541546001E-4</v>
      </c>
      <c r="O120">
        <f t="shared" si="12"/>
        <v>1.1827321111779199E-4</v>
      </c>
      <c r="P120">
        <f t="shared" si="13"/>
        <v>-1.2179291468219296E-4</v>
      </c>
    </row>
    <row r="121" spans="1:16" x14ac:dyDescent="0.25">
      <c r="A121" s="2">
        <v>45887</v>
      </c>
      <c r="B121" s="3">
        <v>38.06</v>
      </c>
      <c r="C121" s="3">
        <v>38.07</v>
      </c>
      <c r="D121" s="4">
        <v>36396</v>
      </c>
      <c r="E121" s="3">
        <f t="shared" si="7"/>
        <v>38.064999999999998</v>
      </c>
      <c r="F121" s="3">
        <f t="shared" si="8"/>
        <v>2.6270852489158046E-4</v>
      </c>
      <c r="G121" s="11"/>
      <c r="H121" s="3">
        <v>3377.9</v>
      </c>
      <c r="I121" s="3">
        <v>3378.3</v>
      </c>
      <c r="J121" s="4">
        <v>116076</v>
      </c>
      <c r="K121" s="12">
        <f t="shared" si="9"/>
        <v>3378.1000000000004</v>
      </c>
      <c r="L121" s="12">
        <f t="shared" si="10"/>
        <v>1.1840975696400074E-4</v>
      </c>
      <c r="N121">
        <f t="shared" si="11"/>
        <v>1.183587585481316E-3</v>
      </c>
      <c r="O121">
        <f t="shared" si="12"/>
        <v>-1.2712866603594719E-3</v>
      </c>
      <c r="P121">
        <f t="shared" si="13"/>
        <v>-3.5622516352716907E-4</v>
      </c>
    </row>
    <row r="122" spans="1:16" x14ac:dyDescent="0.25">
      <c r="A122" s="5">
        <v>45888</v>
      </c>
      <c r="B122" s="6">
        <v>37.33</v>
      </c>
      <c r="C122" s="6">
        <v>37.335000000000001</v>
      </c>
      <c r="D122" s="7">
        <v>50237</v>
      </c>
      <c r="E122" s="3">
        <f t="shared" si="7"/>
        <v>37.332499999999996</v>
      </c>
      <c r="F122" s="3">
        <f t="shared" si="8"/>
        <v>1.3393156097241167E-4</v>
      </c>
      <c r="G122" s="11"/>
      <c r="H122" s="6">
        <v>3358.5</v>
      </c>
      <c r="I122" s="6">
        <v>3359.3</v>
      </c>
      <c r="J122" s="7">
        <v>129232</v>
      </c>
      <c r="K122" s="12">
        <f t="shared" si="9"/>
        <v>3358.9</v>
      </c>
      <c r="L122" s="12">
        <f t="shared" si="10"/>
        <v>2.3817321146809428E-4</v>
      </c>
      <c r="N122">
        <f t="shared" si="11"/>
        <v>-1.9243399448312104E-2</v>
      </c>
      <c r="O122">
        <f t="shared" si="12"/>
        <v>-5.6836683342708083E-3</v>
      </c>
      <c r="P122">
        <f t="shared" si="13"/>
        <v>-1.073809744438943E-2</v>
      </c>
    </row>
    <row r="123" spans="1:16" x14ac:dyDescent="0.25">
      <c r="A123" s="2">
        <v>45889</v>
      </c>
      <c r="B123" s="3">
        <v>37.89</v>
      </c>
      <c r="C123" s="3">
        <v>37.895000000000003</v>
      </c>
      <c r="D123" s="4">
        <v>52616</v>
      </c>
      <c r="E123" s="3">
        <f t="shared" si="7"/>
        <v>37.892499999999998</v>
      </c>
      <c r="F123" s="3">
        <f t="shared" si="8"/>
        <v>1.3195223329161596E-4</v>
      </c>
      <c r="G123" s="11"/>
      <c r="H123" s="3">
        <v>3392</v>
      </c>
      <c r="I123" s="3">
        <v>3392.5</v>
      </c>
      <c r="J123" s="4">
        <v>130579</v>
      </c>
      <c r="K123" s="12">
        <f t="shared" si="9"/>
        <v>3392.25</v>
      </c>
      <c r="L123" s="12">
        <f t="shared" si="10"/>
        <v>1.4739479696366717E-4</v>
      </c>
      <c r="N123">
        <f t="shared" si="11"/>
        <v>1.5000334828902506E-2</v>
      </c>
      <c r="O123">
        <f t="shared" si="12"/>
        <v>9.928845753073956E-3</v>
      </c>
      <c r="P123">
        <f t="shared" si="13"/>
        <v>1.1819258018695697E-2</v>
      </c>
    </row>
    <row r="124" spans="1:16" x14ac:dyDescent="0.25">
      <c r="A124" s="5">
        <v>45890</v>
      </c>
      <c r="B124" s="6">
        <v>38.094999999999999</v>
      </c>
      <c r="C124" s="6">
        <v>38.104999999999997</v>
      </c>
      <c r="D124" s="7">
        <v>45967</v>
      </c>
      <c r="E124" s="3">
        <f t="shared" si="7"/>
        <v>38.099999999999994</v>
      </c>
      <c r="F124" s="3">
        <f t="shared" si="8"/>
        <v>2.6246719160099771E-4</v>
      </c>
      <c r="G124" s="11"/>
      <c r="H124" s="6">
        <v>3383</v>
      </c>
      <c r="I124" s="6">
        <v>3383.8</v>
      </c>
      <c r="J124" s="7">
        <v>119576</v>
      </c>
      <c r="K124" s="12">
        <f t="shared" si="9"/>
        <v>3383.4</v>
      </c>
      <c r="L124" s="12">
        <f t="shared" si="10"/>
        <v>2.3644854288590824E-4</v>
      </c>
      <c r="N124">
        <f t="shared" si="11"/>
        <v>5.4760176815991102E-3</v>
      </c>
      <c r="O124">
        <f t="shared" si="12"/>
        <v>-2.608887906256907E-3</v>
      </c>
      <c r="P124">
        <f t="shared" si="13"/>
        <v>4.047841062732164E-4</v>
      </c>
    </row>
    <row r="125" spans="1:16" x14ac:dyDescent="0.25">
      <c r="A125" s="2">
        <v>45891</v>
      </c>
      <c r="B125" s="3">
        <v>38.875</v>
      </c>
      <c r="C125" s="3">
        <v>38.884999999999998</v>
      </c>
      <c r="D125" s="4">
        <v>70315</v>
      </c>
      <c r="E125" s="3">
        <f t="shared" si="7"/>
        <v>38.879999999999995</v>
      </c>
      <c r="F125" s="3">
        <f t="shared" si="8"/>
        <v>2.5720164609048383E-4</v>
      </c>
      <c r="G125" s="11"/>
      <c r="H125" s="3">
        <v>3416.8</v>
      </c>
      <c r="I125" s="3">
        <v>3417.6</v>
      </c>
      <c r="J125" s="4">
        <v>179273</v>
      </c>
      <c r="K125" s="12">
        <f t="shared" si="9"/>
        <v>3417.2</v>
      </c>
      <c r="L125" s="12">
        <f t="shared" si="10"/>
        <v>2.3410979749494533E-4</v>
      </c>
      <c r="N125">
        <f t="shared" si="11"/>
        <v>2.0472440944881987E-2</v>
      </c>
      <c r="O125">
        <f t="shared" si="12"/>
        <v>9.9899509369272277E-3</v>
      </c>
      <c r="P125">
        <f t="shared" si="13"/>
        <v>1.3897329497544072E-2</v>
      </c>
    </row>
    <row r="126" spans="1:16" x14ac:dyDescent="0.25">
      <c r="A126" s="5">
        <v>45894</v>
      </c>
      <c r="B126" s="6">
        <v>38.545000000000002</v>
      </c>
      <c r="C126" s="6">
        <v>38.555</v>
      </c>
      <c r="D126" s="7">
        <v>41605</v>
      </c>
      <c r="E126" s="3">
        <f t="shared" si="7"/>
        <v>38.549999999999997</v>
      </c>
      <c r="F126" s="3">
        <f t="shared" si="8"/>
        <v>2.5940337224378756E-4</v>
      </c>
      <c r="G126" s="11"/>
      <c r="H126" s="6">
        <v>3410.5</v>
      </c>
      <c r="I126" s="6">
        <v>3410.8</v>
      </c>
      <c r="J126" s="7">
        <v>94317</v>
      </c>
      <c r="K126" s="12">
        <f t="shared" si="9"/>
        <v>3410.65</v>
      </c>
      <c r="L126" s="12">
        <f t="shared" si="10"/>
        <v>8.7959773063838831E-5</v>
      </c>
      <c r="N126">
        <f t="shared" si="11"/>
        <v>-8.4876543209876365E-3</v>
      </c>
      <c r="O126">
        <f t="shared" si="12"/>
        <v>-1.9167739669904149E-3</v>
      </c>
      <c r="P126">
        <f t="shared" si="13"/>
        <v>-4.366088681347734E-3</v>
      </c>
    </row>
    <row r="127" spans="1:16" x14ac:dyDescent="0.25">
      <c r="A127" s="2">
        <v>45895</v>
      </c>
      <c r="B127" s="3">
        <v>38.674999999999997</v>
      </c>
      <c r="C127" s="3">
        <v>38.704999999999998</v>
      </c>
      <c r="D127" s="4">
        <v>55047</v>
      </c>
      <c r="E127" s="3">
        <f t="shared" si="7"/>
        <v>38.69</v>
      </c>
      <c r="F127" s="3">
        <f t="shared" si="8"/>
        <v>7.753941586973672E-4</v>
      </c>
      <c r="G127" s="11"/>
      <c r="H127" s="3">
        <v>3443</v>
      </c>
      <c r="I127" s="3">
        <v>3443.3</v>
      </c>
      <c r="J127" s="4">
        <v>168954</v>
      </c>
      <c r="K127" s="12">
        <f t="shared" si="9"/>
        <v>3443.15</v>
      </c>
      <c r="L127" s="12">
        <f t="shared" si="10"/>
        <v>8.7129518028602272E-5</v>
      </c>
      <c r="N127">
        <f t="shared" si="11"/>
        <v>3.6316472114137355E-3</v>
      </c>
      <c r="O127">
        <f t="shared" si="12"/>
        <v>9.5289754152434458E-3</v>
      </c>
      <c r="P127">
        <f t="shared" si="13"/>
        <v>7.3307292188646523E-3</v>
      </c>
    </row>
    <row r="128" spans="1:16" x14ac:dyDescent="0.25">
      <c r="A128" s="5">
        <v>45896</v>
      </c>
      <c r="B128" s="6">
        <v>38.69</v>
      </c>
      <c r="C128" s="6">
        <v>38.695</v>
      </c>
      <c r="D128" s="7">
        <v>37841</v>
      </c>
      <c r="E128" s="3">
        <f t="shared" si="7"/>
        <v>38.692499999999995</v>
      </c>
      <c r="F128" s="3">
        <f t="shared" si="8"/>
        <v>1.2922400982109088E-4</v>
      </c>
      <c r="G128" s="11"/>
      <c r="H128" s="6">
        <v>3451.5</v>
      </c>
      <c r="I128" s="6">
        <v>3452</v>
      </c>
      <c r="J128" s="7">
        <v>147058</v>
      </c>
      <c r="K128" s="12">
        <f t="shared" si="9"/>
        <v>3451.75</v>
      </c>
      <c r="L128" s="12">
        <f t="shared" si="10"/>
        <v>1.4485405953501847E-4</v>
      </c>
      <c r="N128">
        <f t="shared" si="11"/>
        <v>6.4616179891396897E-5</v>
      </c>
      <c r="O128">
        <f t="shared" si="12"/>
        <v>2.4977128501517676E-3</v>
      </c>
      <c r="P128">
        <f t="shared" si="13"/>
        <v>1.5907690077947431E-3</v>
      </c>
    </row>
    <row r="129" spans="1:16" x14ac:dyDescent="0.25">
      <c r="A129" s="2">
        <v>45897</v>
      </c>
      <c r="B129" s="3">
        <v>39.71</v>
      </c>
      <c r="C129" s="3">
        <v>39.715000000000003</v>
      </c>
      <c r="D129" s="4">
        <v>54907</v>
      </c>
      <c r="E129" s="3">
        <f t="shared" si="7"/>
        <v>39.712500000000006</v>
      </c>
      <c r="F129" s="3">
        <f t="shared" si="8"/>
        <v>1.2590494176902882E-4</v>
      </c>
      <c r="G129" s="11"/>
      <c r="H129" s="3">
        <v>3476.8</v>
      </c>
      <c r="I129" s="3">
        <v>3477.1</v>
      </c>
      <c r="J129" s="4">
        <v>151643</v>
      </c>
      <c r="K129" s="12">
        <f t="shared" si="9"/>
        <v>3476.95</v>
      </c>
      <c r="L129" s="12">
        <f t="shared" si="10"/>
        <v>8.6282517723788711E-5</v>
      </c>
      <c r="N129">
        <f t="shared" si="11"/>
        <v>2.6361698003489309E-2</v>
      </c>
      <c r="O129">
        <f t="shared" si="12"/>
        <v>7.3006446005647874E-3</v>
      </c>
      <c r="P129">
        <f t="shared" si="13"/>
        <v>1.4405707553435808E-2</v>
      </c>
    </row>
    <row r="130" spans="1:16" x14ac:dyDescent="0.25">
      <c r="A130" s="5">
        <v>45898</v>
      </c>
      <c r="B130" s="6">
        <v>40.74</v>
      </c>
      <c r="C130" s="6">
        <v>40.75</v>
      </c>
      <c r="D130" s="7">
        <v>67755</v>
      </c>
      <c r="E130" s="3">
        <f t="shared" si="7"/>
        <v>40.745000000000005</v>
      </c>
      <c r="F130" s="3">
        <f t="shared" si="8"/>
        <v>2.454288869799487E-4</v>
      </c>
      <c r="G130" s="11"/>
      <c r="H130" s="6">
        <v>3516</v>
      </c>
      <c r="I130" s="6">
        <v>3517</v>
      </c>
      <c r="J130" s="7">
        <v>180059</v>
      </c>
      <c r="K130" s="12">
        <f t="shared" si="9"/>
        <v>3516.5</v>
      </c>
      <c r="L130" s="12">
        <f t="shared" si="10"/>
        <v>2.8437366699843596E-4</v>
      </c>
      <c r="N130">
        <f t="shared" si="11"/>
        <v>2.5999370475291217E-2</v>
      </c>
      <c r="O130">
        <f t="shared" si="12"/>
        <v>1.1374911919929787E-2</v>
      </c>
      <c r="P130">
        <f t="shared" si="13"/>
        <v>1.6826221272620321E-2</v>
      </c>
    </row>
    <row r="131" spans="1:16" x14ac:dyDescent="0.25">
      <c r="A131" s="2">
        <v>45902</v>
      </c>
      <c r="B131" s="3">
        <v>41.725000000000001</v>
      </c>
      <c r="C131" s="3">
        <v>41.734999999999999</v>
      </c>
      <c r="D131" s="4">
        <v>123433</v>
      </c>
      <c r="E131" s="3">
        <f t="shared" si="7"/>
        <v>41.730000000000004</v>
      </c>
      <c r="F131" s="3">
        <f t="shared" si="8"/>
        <v>2.3963575365439755E-4</v>
      </c>
      <c r="G131" s="11"/>
      <c r="H131" s="3">
        <v>3599.5</v>
      </c>
      <c r="I131" s="3">
        <v>3600.1</v>
      </c>
      <c r="J131" s="4">
        <v>363781</v>
      </c>
      <c r="K131" s="12">
        <f t="shared" si="9"/>
        <v>3599.8</v>
      </c>
      <c r="L131" s="12">
        <f t="shared" si="10"/>
        <v>1.6667592644033252E-4</v>
      </c>
      <c r="N131">
        <f t="shared" si="11"/>
        <v>2.4174745367529837E-2</v>
      </c>
      <c r="O131">
        <f t="shared" si="12"/>
        <v>2.3688326460969744E-2</v>
      </c>
      <c r="P131">
        <f t="shared" si="13"/>
        <v>2.3869640519512063E-2</v>
      </c>
    </row>
    <row r="132" spans="1:16" x14ac:dyDescent="0.25">
      <c r="A132" s="5">
        <v>45903</v>
      </c>
      <c r="B132" s="6">
        <v>41.81</v>
      </c>
      <c r="C132" s="6">
        <v>41.814999999999998</v>
      </c>
      <c r="D132" s="7">
        <v>63634</v>
      </c>
      <c r="E132" s="3">
        <f t="shared" ref="E132:E195" si="14">AVERAGE(B132:C132)</f>
        <v>41.8125</v>
      </c>
      <c r="F132" s="3">
        <f t="shared" ref="F132:F195" si="15">(C132-B132)/E132</f>
        <v>1.1958146487283594E-4</v>
      </c>
      <c r="G132" s="11"/>
      <c r="H132" s="6">
        <v>3619.2</v>
      </c>
      <c r="I132" s="6">
        <v>3620</v>
      </c>
      <c r="J132" s="7">
        <v>215728</v>
      </c>
      <c r="K132" s="12">
        <f t="shared" ref="K132:K195" si="16">AVERAGE(H132:I132)</f>
        <v>3619.6</v>
      </c>
      <c r="L132" s="12">
        <f t="shared" ref="L132:L195" si="17">(I132-H132)/K132</f>
        <v>2.2101889711575366E-4</v>
      </c>
      <c r="N132">
        <f t="shared" si="11"/>
        <v>1.9769949676491372E-3</v>
      </c>
      <c r="O132">
        <f t="shared" si="12"/>
        <v>5.5003055725317829E-3</v>
      </c>
      <c r="P132">
        <f t="shared" si="13"/>
        <v>4.1869813232870675E-3</v>
      </c>
    </row>
    <row r="133" spans="1:16" x14ac:dyDescent="0.25">
      <c r="A133" s="2">
        <v>45904</v>
      </c>
      <c r="B133" s="3">
        <v>41.31</v>
      </c>
      <c r="C133" s="3">
        <v>41.32</v>
      </c>
      <c r="D133" s="4">
        <v>66072</v>
      </c>
      <c r="E133" s="3">
        <f t="shared" si="14"/>
        <v>41.314999999999998</v>
      </c>
      <c r="F133" s="3">
        <f t="shared" si="15"/>
        <v>2.4204284158291204E-4</v>
      </c>
      <c r="G133" s="11"/>
      <c r="H133" s="3">
        <v>3601.7</v>
      </c>
      <c r="I133" s="3">
        <v>3602.7</v>
      </c>
      <c r="J133" s="4">
        <v>229950</v>
      </c>
      <c r="K133" s="12">
        <f t="shared" si="16"/>
        <v>3602.2</v>
      </c>
      <c r="L133" s="12">
        <f t="shared" si="17"/>
        <v>2.7760812836599859E-4</v>
      </c>
      <c r="N133">
        <f t="shared" ref="N133:N196" si="18">E133/E132-1</f>
        <v>-1.1898355754858092E-2</v>
      </c>
      <c r="O133">
        <f t="shared" ref="O133:O196" si="19">K133/K132-1</f>
        <v>-4.8071610122665254E-3</v>
      </c>
      <c r="P133">
        <f t="shared" ref="P133:P196" si="20">N133*$T$5+O133*$U$5</f>
        <v>-7.450424424426675E-3</v>
      </c>
    </row>
    <row r="134" spans="1:16" x14ac:dyDescent="0.25">
      <c r="A134" s="5">
        <v>45905</v>
      </c>
      <c r="B134" s="6">
        <v>41.505000000000003</v>
      </c>
      <c r="C134" s="6">
        <v>41.52</v>
      </c>
      <c r="D134" s="7">
        <v>68285</v>
      </c>
      <c r="E134" s="3">
        <f t="shared" si="14"/>
        <v>41.512500000000003</v>
      </c>
      <c r="F134" s="3">
        <f t="shared" si="15"/>
        <v>3.6133694670281404E-4</v>
      </c>
      <c r="G134" s="11"/>
      <c r="H134" s="6">
        <v>3639.6</v>
      </c>
      <c r="I134" s="6">
        <v>3640.1</v>
      </c>
      <c r="J134" s="7">
        <v>230263</v>
      </c>
      <c r="K134" s="12">
        <f t="shared" si="16"/>
        <v>3639.85</v>
      </c>
      <c r="L134" s="12">
        <f t="shared" si="17"/>
        <v>1.3736829814415429E-4</v>
      </c>
      <c r="N134">
        <f t="shared" si="18"/>
        <v>4.7803461212636567E-3</v>
      </c>
      <c r="O134">
        <f t="shared" si="19"/>
        <v>1.0451946032979942E-2</v>
      </c>
      <c r="P134">
        <f t="shared" si="20"/>
        <v>8.3378407123338542E-3</v>
      </c>
    </row>
    <row r="135" spans="1:16" x14ac:dyDescent="0.25">
      <c r="A135" s="2">
        <v>45908</v>
      </c>
      <c r="B135" s="3">
        <v>41.935000000000002</v>
      </c>
      <c r="C135" s="3">
        <v>41.945</v>
      </c>
      <c r="D135" s="4">
        <v>67937</v>
      </c>
      <c r="E135" s="3">
        <f t="shared" si="14"/>
        <v>41.94</v>
      </c>
      <c r="F135" s="3">
        <f t="shared" si="15"/>
        <v>2.384358607534099E-4</v>
      </c>
      <c r="G135" s="11"/>
      <c r="H135" s="3">
        <v>3677.2</v>
      </c>
      <c r="I135" s="3">
        <v>3678</v>
      </c>
      <c r="J135" s="4">
        <v>220410</v>
      </c>
      <c r="K135" s="12">
        <f t="shared" si="16"/>
        <v>3677.6</v>
      </c>
      <c r="L135" s="12">
        <f t="shared" si="17"/>
        <v>2.1753317380905534E-4</v>
      </c>
      <c r="N135">
        <f t="shared" si="18"/>
        <v>1.0298102981029622E-2</v>
      </c>
      <c r="O135">
        <f t="shared" si="19"/>
        <v>1.0371306509883604E-2</v>
      </c>
      <c r="P135">
        <f t="shared" si="20"/>
        <v>1.0344019682136715E-2</v>
      </c>
    </row>
    <row r="136" spans="1:16" x14ac:dyDescent="0.25">
      <c r="A136" s="5">
        <v>45909</v>
      </c>
      <c r="B136" s="6">
        <v>41.344999999999999</v>
      </c>
      <c r="C136" s="6">
        <v>41.36</v>
      </c>
      <c r="D136" s="7">
        <v>66018</v>
      </c>
      <c r="E136" s="3">
        <f t="shared" si="14"/>
        <v>41.352499999999999</v>
      </c>
      <c r="F136" s="3">
        <f t="shared" si="15"/>
        <v>3.6273502206639427E-4</v>
      </c>
      <c r="G136" s="11"/>
      <c r="H136" s="6">
        <v>3663.5</v>
      </c>
      <c r="I136" s="6">
        <v>3664.1</v>
      </c>
      <c r="J136" s="7">
        <v>257257</v>
      </c>
      <c r="K136" s="12">
        <f t="shared" si="16"/>
        <v>3663.8</v>
      </c>
      <c r="L136" s="12">
        <f t="shared" si="17"/>
        <v>1.6376439761993258E-4</v>
      </c>
      <c r="N136">
        <f t="shared" si="18"/>
        <v>-1.4008106819265564E-2</v>
      </c>
      <c r="O136">
        <f t="shared" si="19"/>
        <v>-3.7524472482052262E-3</v>
      </c>
      <c r="P136">
        <f t="shared" si="20"/>
        <v>-7.5752741054248788E-3</v>
      </c>
    </row>
    <row r="137" spans="1:16" x14ac:dyDescent="0.25">
      <c r="A137" s="2">
        <v>45910</v>
      </c>
      <c r="B137" s="3">
        <v>41.645000000000003</v>
      </c>
      <c r="C137" s="3">
        <v>41.655000000000001</v>
      </c>
      <c r="D137" s="4">
        <v>40523</v>
      </c>
      <c r="E137" s="3">
        <f t="shared" si="14"/>
        <v>41.650000000000006</v>
      </c>
      <c r="F137" s="3">
        <f t="shared" si="15"/>
        <v>2.4009603841531834E-4</v>
      </c>
      <c r="G137" s="11"/>
      <c r="H137" s="3">
        <v>3680.2</v>
      </c>
      <c r="I137" s="3">
        <v>3680.9</v>
      </c>
      <c r="J137" s="4">
        <v>176290</v>
      </c>
      <c r="K137" s="12">
        <f t="shared" si="16"/>
        <v>3680.55</v>
      </c>
      <c r="L137" s="12">
        <f t="shared" si="17"/>
        <v>1.9018896632304216E-4</v>
      </c>
      <c r="N137">
        <f t="shared" si="18"/>
        <v>7.1942446043167241E-3</v>
      </c>
      <c r="O137">
        <f t="shared" si="19"/>
        <v>4.5717561002238671E-3</v>
      </c>
      <c r="P137">
        <f t="shared" si="20"/>
        <v>5.549296298075759E-3</v>
      </c>
    </row>
    <row r="138" spans="1:16" x14ac:dyDescent="0.25">
      <c r="A138" s="5">
        <v>45911</v>
      </c>
      <c r="B138" s="6">
        <v>42.055</v>
      </c>
      <c r="C138" s="6">
        <v>42.064999999999998</v>
      </c>
      <c r="D138" s="7">
        <v>59084</v>
      </c>
      <c r="E138" s="3">
        <f t="shared" si="14"/>
        <v>42.06</v>
      </c>
      <c r="F138" s="3">
        <f t="shared" si="15"/>
        <v>2.377555872562532E-4</v>
      </c>
      <c r="G138" s="11"/>
      <c r="H138" s="6">
        <v>3673</v>
      </c>
      <c r="I138" s="6">
        <v>3673.4</v>
      </c>
      <c r="J138" s="7">
        <v>207139</v>
      </c>
      <c r="K138" s="12">
        <f t="shared" si="16"/>
        <v>3673.2</v>
      </c>
      <c r="L138" s="12">
        <f t="shared" si="17"/>
        <v>1.0889687465972203E-4</v>
      </c>
      <c r="N138">
        <f t="shared" si="18"/>
        <v>9.8439375750298819E-3</v>
      </c>
      <c r="O138">
        <f t="shared" si="19"/>
        <v>-1.9969841463912674E-3</v>
      </c>
      <c r="P138">
        <f t="shared" si="20"/>
        <v>2.4167537762886568E-3</v>
      </c>
    </row>
    <row r="139" spans="1:16" x14ac:dyDescent="0.25">
      <c r="A139" s="2">
        <v>45912</v>
      </c>
      <c r="B139" s="3">
        <v>42.68</v>
      </c>
      <c r="C139" s="3">
        <v>42.69</v>
      </c>
      <c r="D139" s="4">
        <v>70339</v>
      </c>
      <c r="E139" s="3">
        <f t="shared" si="14"/>
        <v>42.685000000000002</v>
      </c>
      <c r="F139" s="3">
        <f t="shared" si="15"/>
        <v>2.3427433524652713E-4</v>
      </c>
      <c r="G139" s="11"/>
      <c r="H139" s="3">
        <v>3680.4</v>
      </c>
      <c r="I139" s="3">
        <v>3681.2</v>
      </c>
      <c r="J139" s="4">
        <v>147566</v>
      </c>
      <c r="K139" s="12">
        <f t="shared" si="16"/>
        <v>3680.8</v>
      </c>
      <c r="L139" s="12">
        <f t="shared" si="17"/>
        <v>2.1734405564000412E-4</v>
      </c>
      <c r="N139">
        <f t="shared" si="18"/>
        <v>1.4859724203518887E-2</v>
      </c>
      <c r="O139">
        <f t="shared" si="19"/>
        <v>2.0690406185344123E-3</v>
      </c>
      <c r="P139">
        <f t="shared" si="20"/>
        <v>6.8368050311573402E-3</v>
      </c>
    </row>
    <row r="140" spans="1:16" x14ac:dyDescent="0.25">
      <c r="A140" s="5">
        <v>45915</v>
      </c>
      <c r="B140" s="6">
        <v>43.195</v>
      </c>
      <c r="C140" s="6">
        <v>43.204999999999998</v>
      </c>
      <c r="D140" s="7">
        <v>46674</v>
      </c>
      <c r="E140" s="3">
        <f t="shared" si="14"/>
        <v>43.2</v>
      </c>
      <c r="F140" s="3">
        <f t="shared" si="15"/>
        <v>2.3148148148143541E-4</v>
      </c>
      <c r="G140" s="11"/>
      <c r="H140" s="6">
        <v>3719.1</v>
      </c>
      <c r="I140" s="6">
        <v>3719.8</v>
      </c>
      <c r="J140" s="7">
        <v>184826</v>
      </c>
      <c r="K140" s="12">
        <f t="shared" si="16"/>
        <v>3719.45</v>
      </c>
      <c r="L140" s="12">
        <f t="shared" si="17"/>
        <v>1.8819986826016559E-4</v>
      </c>
      <c r="N140">
        <f t="shared" si="18"/>
        <v>1.2065128265198455E-2</v>
      </c>
      <c r="O140">
        <f t="shared" si="19"/>
        <v>1.0500434688111238E-2</v>
      </c>
      <c r="P140">
        <f t="shared" si="20"/>
        <v>1.1083678758213466E-2</v>
      </c>
    </row>
    <row r="141" spans="1:16" x14ac:dyDescent="0.25">
      <c r="A141" s="2">
        <v>45916</v>
      </c>
      <c r="B141" s="3">
        <v>42.87</v>
      </c>
      <c r="C141" s="3">
        <v>42.884999999999998</v>
      </c>
      <c r="D141" s="4">
        <v>63715</v>
      </c>
      <c r="E141" s="3">
        <f t="shared" si="14"/>
        <v>42.877499999999998</v>
      </c>
      <c r="F141" s="3">
        <f t="shared" si="15"/>
        <v>3.4983382893127092E-4</v>
      </c>
      <c r="G141" s="11"/>
      <c r="H141" s="3">
        <v>3727.2</v>
      </c>
      <c r="I141" s="3">
        <v>3728</v>
      </c>
      <c r="J141" s="4">
        <v>188740</v>
      </c>
      <c r="K141" s="12">
        <f t="shared" si="16"/>
        <v>3727.6</v>
      </c>
      <c r="L141" s="12">
        <f t="shared" si="17"/>
        <v>2.1461530207108646E-4</v>
      </c>
      <c r="N141">
        <f t="shared" si="18"/>
        <v>-7.4652777777779455E-3</v>
      </c>
      <c r="O141">
        <f t="shared" si="19"/>
        <v>2.1911841804567178E-3</v>
      </c>
      <c r="P141">
        <f t="shared" si="20"/>
        <v>-1.408290028284271E-3</v>
      </c>
    </row>
    <row r="142" spans="1:16" x14ac:dyDescent="0.25">
      <c r="A142" s="5">
        <v>45917</v>
      </c>
      <c r="B142" s="6">
        <v>41.99</v>
      </c>
      <c r="C142" s="6">
        <v>42</v>
      </c>
      <c r="D142" s="7">
        <v>89156</v>
      </c>
      <c r="E142" s="3">
        <f t="shared" si="14"/>
        <v>41.995000000000005</v>
      </c>
      <c r="F142" s="3">
        <f t="shared" si="15"/>
        <v>2.3812358614115988E-4</v>
      </c>
      <c r="G142" s="11"/>
      <c r="H142" s="6">
        <v>3694.2</v>
      </c>
      <c r="I142" s="6">
        <v>3694.9</v>
      </c>
      <c r="J142" s="7">
        <v>251910</v>
      </c>
      <c r="K142" s="12">
        <f t="shared" si="16"/>
        <v>3694.55</v>
      </c>
      <c r="L142" s="12">
        <f t="shared" si="17"/>
        <v>1.8946827083143354E-4</v>
      </c>
      <c r="N142">
        <f t="shared" si="18"/>
        <v>-2.0581890268788872E-2</v>
      </c>
      <c r="O142">
        <f t="shared" si="19"/>
        <v>-8.8662946668096598E-3</v>
      </c>
      <c r="P142">
        <f t="shared" si="20"/>
        <v>-1.323331691489117E-2</v>
      </c>
    </row>
    <row r="143" spans="1:16" x14ac:dyDescent="0.25">
      <c r="A143" s="2">
        <v>45918</v>
      </c>
      <c r="B143" s="3">
        <v>42.1</v>
      </c>
      <c r="C143" s="3">
        <v>42.11</v>
      </c>
      <c r="D143" s="4">
        <v>57628</v>
      </c>
      <c r="E143" s="3">
        <f t="shared" si="14"/>
        <v>42.105000000000004</v>
      </c>
      <c r="F143" s="3">
        <f t="shared" si="15"/>
        <v>2.3750148438423012E-4</v>
      </c>
      <c r="G143" s="11"/>
      <c r="H143" s="3">
        <v>3677.9</v>
      </c>
      <c r="I143" s="3">
        <v>3678.5</v>
      </c>
      <c r="J143" s="4">
        <v>218568</v>
      </c>
      <c r="K143" s="12">
        <f t="shared" si="16"/>
        <v>3678.2</v>
      </c>
      <c r="L143" s="12">
        <f t="shared" si="17"/>
        <v>1.6312326681526537E-4</v>
      </c>
      <c r="N143">
        <f t="shared" si="18"/>
        <v>2.6193594475532045E-3</v>
      </c>
      <c r="O143">
        <f t="shared" si="19"/>
        <v>-4.4254374687040521E-3</v>
      </c>
      <c r="P143">
        <f t="shared" si="20"/>
        <v>-1.799468980912094E-3</v>
      </c>
    </row>
    <row r="144" spans="1:16" x14ac:dyDescent="0.25">
      <c r="A144" s="5">
        <v>45919</v>
      </c>
      <c r="B144" s="6">
        <v>43.35</v>
      </c>
      <c r="C144" s="6">
        <v>43.37</v>
      </c>
      <c r="D144" s="7">
        <v>74040</v>
      </c>
      <c r="E144" s="3">
        <f t="shared" si="14"/>
        <v>43.36</v>
      </c>
      <c r="F144" s="3">
        <f t="shared" si="15"/>
        <v>4.6125461254603372E-4</v>
      </c>
      <c r="G144" s="11"/>
      <c r="H144" s="6">
        <v>3719.3</v>
      </c>
      <c r="I144" s="6">
        <v>3719.8</v>
      </c>
      <c r="J144" s="7">
        <v>181323</v>
      </c>
      <c r="K144" s="12">
        <f t="shared" si="16"/>
        <v>3719.55</v>
      </c>
      <c r="L144" s="12">
        <f t="shared" si="17"/>
        <v>1.3442486322270167E-4</v>
      </c>
      <c r="N144">
        <f t="shared" si="18"/>
        <v>2.9806436290226612E-2</v>
      </c>
      <c r="O144">
        <f t="shared" si="19"/>
        <v>1.1241911804687144E-2</v>
      </c>
      <c r="P144">
        <f t="shared" si="20"/>
        <v>1.8161892163151269E-2</v>
      </c>
    </row>
    <row r="145" spans="1:16" x14ac:dyDescent="0.25">
      <c r="A145" s="2">
        <v>45922</v>
      </c>
      <c r="B145" s="3">
        <v>44.31</v>
      </c>
      <c r="C145" s="3">
        <v>44.32</v>
      </c>
      <c r="D145" s="4">
        <v>75969</v>
      </c>
      <c r="E145" s="3">
        <f t="shared" si="14"/>
        <v>44.314999999999998</v>
      </c>
      <c r="F145" s="3">
        <f t="shared" si="15"/>
        <v>2.256572266726393E-4</v>
      </c>
      <c r="G145" s="11"/>
      <c r="H145" s="3">
        <v>3781</v>
      </c>
      <c r="I145" s="3">
        <v>3781.6</v>
      </c>
      <c r="J145" s="4">
        <v>214740</v>
      </c>
      <c r="K145" s="12">
        <f t="shared" si="16"/>
        <v>3781.3</v>
      </c>
      <c r="L145" s="12">
        <f t="shared" si="17"/>
        <v>1.5867558776079893E-4</v>
      </c>
      <c r="N145">
        <f t="shared" si="18"/>
        <v>2.2024907749077505E-2</v>
      </c>
      <c r="O145">
        <f t="shared" si="19"/>
        <v>1.6601470608003766E-2</v>
      </c>
      <c r="P145">
        <f t="shared" si="20"/>
        <v>1.8623072535962036E-2</v>
      </c>
    </row>
    <row r="146" spans="1:16" x14ac:dyDescent="0.25">
      <c r="A146" s="5">
        <v>45923</v>
      </c>
      <c r="B146" s="6">
        <v>44.26</v>
      </c>
      <c r="C146" s="6">
        <v>44.27</v>
      </c>
      <c r="D146" s="7">
        <v>75307</v>
      </c>
      <c r="E146" s="3">
        <f t="shared" si="14"/>
        <v>44.265000000000001</v>
      </c>
      <c r="F146" s="3">
        <f t="shared" si="15"/>
        <v>2.2591212018536352E-4</v>
      </c>
      <c r="G146" s="11"/>
      <c r="H146" s="6">
        <v>3796.5</v>
      </c>
      <c r="I146" s="6">
        <v>3797.2</v>
      </c>
      <c r="J146" s="7">
        <v>285539</v>
      </c>
      <c r="K146" s="12">
        <f t="shared" si="16"/>
        <v>3796.85</v>
      </c>
      <c r="L146" s="12">
        <f t="shared" si="17"/>
        <v>1.8436335383273454E-4</v>
      </c>
      <c r="N146">
        <f t="shared" si="18"/>
        <v>-1.1282861333633543E-3</v>
      </c>
      <c r="O146">
        <f t="shared" si="19"/>
        <v>4.1123423161346651E-3</v>
      </c>
      <c r="P146">
        <f t="shared" si="20"/>
        <v>2.1588828582970749E-3</v>
      </c>
    </row>
    <row r="147" spans="1:16" x14ac:dyDescent="0.25">
      <c r="A147" s="2">
        <v>45924</v>
      </c>
      <c r="B147" s="3">
        <v>44.115000000000002</v>
      </c>
      <c r="C147" s="3">
        <v>44.125</v>
      </c>
      <c r="D147" s="4">
        <v>60129</v>
      </c>
      <c r="E147" s="3">
        <f t="shared" si="14"/>
        <v>44.120000000000005</v>
      </c>
      <c r="F147" s="3">
        <f t="shared" si="15"/>
        <v>2.2665457842243903E-4</v>
      </c>
      <c r="G147" s="11"/>
      <c r="H147" s="3">
        <v>3768.1</v>
      </c>
      <c r="I147" s="3">
        <v>3768.5</v>
      </c>
      <c r="J147" s="4">
        <v>232516</v>
      </c>
      <c r="K147" s="12">
        <f t="shared" si="16"/>
        <v>3768.3</v>
      </c>
      <c r="L147" s="12">
        <f t="shared" si="17"/>
        <v>1.0614866120003475E-4</v>
      </c>
      <c r="N147">
        <f t="shared" si="18"/>
        <v>-3.2757257426859754E-3</v>
      </c>
      <c r="O147">
        <f t="shared" si="19"/>
        <v>-7.5193910741798708E-3</v>
      </c>
      <c r="P147">
        <f t="shared" si="20"/>
        <v>-5.9375525108109495E-3</v>
      </c>
    </row>
    <row r="148" spans="1:16" x14ac:dyDescent="0.25">
      <c r="A148" s="5">
        <v>45925</v>
      </c>
      <c r="B148" s="6">
        <v>45.47</v>
      </c>
      <c r="C148" s="6">
        <v>45.48</v>
      </c>
      <c r="D148" s="7">
        <v>99665</v>
      </c>
      <c r="E148" s="3">
        <f t="shared" si="14"/>
        <v>45.474999999999994</v>
      </c>
      <c r="F148" s="3">
        <f t="shared" si="15"/>
        <v>2.1990104452991781E-4</v>
      </c>
      <c r="G148" s="11"/>
      <c r="H148" s="6">
        <v>3780.1</v>
      </c>
      <c r="I148" s="6">
        <v>3781.1</v>
      </c>
      <c r="J148" s="7">
        <v>254897</v>
      </c>
      <c r="K148" s="12">
        <f t="shared" si="16"/>
        <v>3780.6</v>
      </c>
      <c r="L148" s="12">
        <f t="shared" si="17"/>
        <v>2.6450827910913614E-4</v>
      </c>
      <c r="N148">
        <f t="shared" si="18"/>
        <v>3.0711695376246295E-2</v>
      </c>
      <c r="O148">
        <f t="shared" si="19"/>
        <v>3.2640713319003201E-3</v>
      </c>
      <c r="P148">
        <f t="shared" si="20"/>
        <v>1.3495252821161201E-2</v>
      </c>
    </row>
    <row r="149" spans="1:16" x14ac:dyDescent="0.25">
      <c r="A149" s="2">
        <v>45926</v>
      </c>
      <c r="B149" s="3">
        <v>46.365000000000002</v>
      </c>
      <c r="C149" s="3">
        <v>46.375</v>
      </c>
      <c r="D149" s="4">
        <v>101291</v>
      </c>
      <c r="E149" s="3">
        <f t="shared" si="14"/>
        <v>46.370000000000005</v>
      </c>
      <c r="F149" s="3">
        <f t="shared" si="15"/>
        <v>2.1565667457403514E-4</v>
      </c>
      <c r="G149" s="11"/>
      <c r="H149" s="3">
        <v>3789.5</v>
      </c>
      <c r="I149" s="3">
        <v>3790.2</v>
      </c>
      <c r="J149" s="4">
        <v>206111</v>
      </c>
      <c r="K149" s="12">
        <f t="shared" si="16"/>
        <v>3789.85</v>
      </c>
      <c r="L149" s="12">
        <f t="shared" si="17"/>
        <v>1.8470388010074755E-4</v>
      </c>
      <c r="N149">
        <f t="shared" si="18"/>
        <v>1.9681143485431818E-2</v>
      </c>
      <c r="O149">
        <f t="shared" si="19"/>
        <v>2.446701581759525E-3</v>
      </c>
      <c r="P149">
        <f t="shared" si="20"/>
        <v>8.8708897992062202E-3</v>
      </c>
    </row>
    <row r="150" spans="1:16" x14ac:dyDescent="0.25">
      <c r="A150" s="5">
        <v>45929</v>
      </c>
      <c r="B150" s="6">
        <v>47.104999999999997</v>
      </c>
      <c r="C150" s="6">
        <v>47.12</v>
      </c>
      <c r="D150" s="7">
        <v>110796</v>
      </c>
      <c r="E150" s="3">
        <f t="shared" si="14"/>
        <v>47.112499999999997</v>
      </c>
      <c r="F150" s="3">
        <f t="shared" si="15"/>
        <v>3.1838684001062495E-4</v>
      </c>
      <c r="G150" s="11"/>
      <c r="H150" s="6">
        <v>3862.8</v>
      </c>
      <c r="I150" s="6">
        <v>3863.5</v>
      </c>
      <c r="J150" s="7">
        <v>251017</v>
      </c>
      <c r="K150" s="12">
        <f t="shared" si="16"/>
        <v>3863.15</v>
      </c>
      <c r="L150" s="12">
        <f t="shared" si="17"/>
        <v>1.8119928037995368E-4</v>
      </c>
      <c r="N150">
        <f t="shared" si="18"/>
        <v>1.6012508087125177E-2</v>
      </c>
      <c r="O150">
        <f t="shared" si="19"/>
        <v>1.9341134873411825E-2</v>
      </c>
      <c r="P150">
        <f t="shared" si="20"/>
        <v>1.8100379582334847E-2</v>
      </c>
    </row>
    <row r="151" spans="1:16" x14ac:dyDescent="0.25">
      <c r="A151" s="2">
        <v>45930</v>
      </c>
      <c r="B151" s="3">
        <v>46.83</v>
      </c>
      <c r="C151" s="3">
        <v>46.844999999999999</v>
      </c>
      <c r="D151" s="4">
        <v>99974</v>
      </c>
      <c r="E151" s="3">
        <f t="shared" si="14"/>
        <v>46.837499999999999</v>
      </c>
      <c r="F151" s="3">
        <f t="shared" si="15"/>
        <v>3.2025620496398333E-4</v>
      </c>
      <c r="G151" s="11"/>
      <c r="H151" s="3">
        <v>3887.2</v>
      </c>
      <c r="I151" s="3">
        <v>3888.6</v>
      </c>
      <c r="J151" s="4">
        <v>302881</v>
      </c>
      <c r="K151" s="12">
        <f t="shared" si="16"/>
        <v>3887.8999999999996</v>
      </c>
      <c r="L151" s="12">
        <f t="shared" si="17"/>
        <v>3.6009156614112789E-4</v>
      </c>
      <c r="N151">
        <f t="shared" si="18"/>
        <v>-5.8370920668612269E-3</v>
      </c>
      <c r="O151">
        <f t="shared" si="19"/>
        <v>6.4066888420071244E-3</v>
      </c>
      <c r="P151">
        <f t="shared" si="20"/>
        <v>1.8427839884945273E-3</v>
      </c>
    </row>
    <row r="152" spans="1:16" x14ac:dyDescent="0.25">
      <c r="A152" s="5">
        <v>45931</v>
      </c>
      <c r="B152" s="6">
        <v>47.414999999999999</v>
      </c>
      <c r="C152" s="6">
        <v>47.44</v>
      </c>
      <c r="D152" s="7">
        <v>94442</v>
      </c>
      <c r="E152" s="3">
        <f t="shared" si="14"/>
        <v>47.427499999999995</v>
      </c>
      <c r="F152" s="3">
        <f t="shared" si="15"/>
        <v>5.2712034157395148E-4</v>
      </c>
      <c r="G152" s="11"/>
      <c r="H152" s="6">
        <v>3892.3</v>
      </c>
      <c r="I152" s="6">
        <v>3892.9</v>
      </c>
      <c r="J152" s="7">
        <v>282711</v>
      </c>
      <c r="K152" s="12">
        <f t="shared" si="16"/>
        <v>3892.6000000000004</v>
      </c>
      <c r="L152" s="12">
        <f t="shared" si="17"/>
        <v>1.5413862200069594E-4</v>
      </c>
      <c r="N152">
        <f t="shared" si="18"/>
        <v>1.2596744061916132E-2</v>
      </c>
      <c r="O152">
        <f t="shared" si="19"/>
        <v>1.2088788291881869E-3</v>
      </c>
      <c r="P152">
        <f t="shared" si="20"/>
        <v>5.4537386313714747E-3</v>
      </c>
    </row>
    <row r="153" spans="1:16" x14ac:dyDescent="0.25">
      <c r="A153" s="2">
        <v>45932</v>
      </c>
      <c r="B153" s="3">
        <v>46.865000000000002</v>
      </c>
      <c r="C153" s="3">
        <v>46.88</v>
      </c>
      <c r="D153" s="4">
        <v>114581</v>
      </c>
      <c r="E153" s="3">
        <f t="shared" si="14"/>
        <v>46.872500000000002</v>
      </c>
      <c r="F153" s="3">
        <f t="shared" si="15"/>
        <v>3.2001706757694954E-4</v>
      </c>
      <c r="G153" s="11"/>
      <c r="H153" s="3">
        <v>3880.4</v>
      </c>
      <c r="I153" s="3">
        <v>3881.3</v>
      </c>
      <c r="J153" s="4">
        <v>273357</v>
      </c>
      <c r="K153" s="12">
        <f t="shared" si="16"/>
        <v>3880.8500000000004</v>
      </c>
      <c r="L153" s="12">
        <f t="shared" si="17"/>
        <v>2.3190795830812602E-4</v>
      </c>
      <c r="N153">
        <f t="shared" si="18"/>
        <v>-1.1702071582942231E-2</v>
      </c>
      <c r="O153">
        <f t="shared" si="19"/>
        <v>-3.0185480141807775E-3</v>
      </c>
      <c r="P153">
        <f t="shared" si="20"/>
        <v>-6.2553566157097593E-3</v>
      </c>
    </row>
    <row r="154" spans="1:16" x14ac:dyDescent="0.25">
      <c r="A154" s="5">
        <v>45933</v>
      </c>
      <c r="B154" s="6">
        <v>47.954999999999998</v>
      </c>
      <c r="C154" s="6">
        <v>47.99</v>
      </c>
      <c r="D154" s="7">
        <v>92319</v>
      </c>
      <c r="E154" s="3">
        <f t="shared" si="14"/>
        <v>47.972499999999997</v>
      </c>
      <c r="F154" s="3">
        <f t="shared" si="15"/>
        <v>7.2958465787698577E-4</v>
      </c>
      <c r="G154" s="11"/>
      <c r="H154" s="6">
        <v>3911.6</v>
      </c>
      <c r="I154" s="6">
        <v>3912.4</v>
      </c>
      <c r="J154" s="7">
        <v>209911</v>
      </c>
      <c r="K154" s="12">
        <f t="shared" si="16"/>
        <v>3912</v>
      </c>
      <c r="L154" s="12">
        <f t="shared" si="17"/>
        <v>2.0449897750515896E-4</v>
      </c>
      <c r="N154">
        <f t="shared" si="18"/>
        <v>2.3467918288975209E-2</v>
      </c>
      <c r="O154">
        <f t="shared" si="19"/>
        <v>8.0265921125526329E-3</v>
      </c>
      <c r="P154">
        <f t="shared" si="20"/>
        <v>1.3782391240761603E-2</v>
      </c>
    </row>
    <row r="155" spans="1:16" x14ac:dyDescent="0.25">
      <c r="A155" s="2">
        <v>45936</v>
      </c>
      <c r="B155" s="3">
        <v>48.395000000000003</v>
      </c>
      <c r="C155" s="3">
        <v>48.405000000000001</v>
      </c>
      <c r="D155" s="4">
        <v>79541</v>
      </c>
      <c r="E155" s="3">
        <f t="shared" si="14"/>
        <v>48.400000000000006</v>
      </c>
      <c r="F155" s="3">
        <f t="shared" si="15"/>
        <v>2.0661157024789276E-4</v>
      </c>
      <c r="G155" s="11"/>
      <c r="H155" s="3">
        <v>3983.7</v>
      </c>
      <c r="I155" s="3">
        <v>3984.6</v>
      </c>
      <c r="J155" s="4">
        <v>272476</v>
      </c>
      <c r="K155" s="12">
        <f t="shared" si="16"/>
        <v>3984.1499999999996</v>
      </c>
      <c r="L155" s="12">
        <f t="shared" si="17"/>
        <v>2.2589510937090496E-4</v>
      </c>
      <c r="N155">
        <f t="shared" si="18"/>
        <v>8.9113554640680714E-3</v>
      </c>
      <c r="O155">
        <f t="shared" si="19"/>
        <v>1.8443251533742266E-2</v>
      </c>
      <c r="P155">
        <f t="shared" si="20"/>
        <v>1.489020962133316E-2</v>
      </c>
    </row>
    <row r="156" spans="1:16" x14ac:dyDescent="0.25">
      <c r="A156" s="5">
        <v>45937</v>
      </c>
      <c r="B156" s="6">
        <v>47.64</v>
      </c>
      <c r="C156" s="6">
        <v>47.67</v>
      </c>
      <c r="D156" s="7">
        <v>101062</v>
      </c>
      <c r="E156" s="3">
        <f t="shared" si="14"/>
        <v>47.655000000000001</v>
      </c>
      <c r="F156" s="3">
        <f t="shared" si="15"/>
        <v>6.2952470884484601E-4</v>
      </c>
      <c r="G156" s="11"/>
      <c r="H156" s="6">
        <v>4007.4</v>
      </c>
      <c r="I156" s="6">
        <v>4008.3</v>
      </c>
      <c r="J156" s="7">
        <v>288405</v>
      </c>
      <c r="K156" s="12">
        <f t="shared" si="16"/>
        <v>4007.8500000000004</v>
      </c>
      <c r="L156" s="12">
        <f t="shared" si="17"/>
        <v>2.245593023691233E-4</v>
      </c>
      <c r="N156">
        <f t="shared" si="18"/>
        <v>-1.5392561983471165E-2</v>
      </c>
      <c r="O156">
        <f t="shared" si="19"/>
        <v>5.9485712134335067E-3</v>
      </c>
      <c r="P156">
        <f t="shared" si="20"/>
        <v>-2.006398097252587E-3</v>
      </c>
    </row>
    <row r="157" spans="1:16" x14ac:dyDescent="0.25">
      <c r="A157" s="2">
        <v>45938</v>
      </c>
      <c r="B157" s="3">
        <v>48.424999999999997</v>
      </c>
      <c r="C157" s="3">
        <v>48.454999999999998</v>
      </c>
      <c r="D157" s="4">
        <v>97283</v>
      </c>
      <c r="E157" s="3">
        <f t="shared" si="14"/>
        <v>48.44</v>
      </c>
      <c r="F157" s="3">
        <f t="shared" si="15"/>
        <v>6.1932287365815727E-4</v>
      </c>
      <c r="G157" s="11"/>
      <c r="H157" s="3">
        <v>4060.2</v>
      </c>
      <c r="I157" s="3">
        <v>4061.5</v>
      </c>
      <c r="J157" s="4">
        <v>334173</v>
      </c>
      <c r="K157" s="12">
        <f t="shared" si="16"/>
        <v>4060.85</v>
      </c>
      <c r="L157" s="12">
        <f t="shared" si="17"/>
        <v>3.2013002203976553E-4</v>
      </c>
      <c r="N157">
        <f t="shared" si="18"/>
        <v>1.6472563214772862E-2</v>
      </c>
      <c r="O157">
        <f t="shared" si="19"/>
        <v>1.322404780618025E-2</v>
      </c>
      <c r="P157">
        <f t="shared" si="20"/>
        <v>1.443494134881524E-2</v>
      </c>
    </row>
    <row r="158" spans="1:16" x14ac:dyDescent="0.25">
      <c r="A158" s="5">
        <v>45939</v>
      </c>
      <c r="B158" s="6">
        <v>47.64</v>
      </c>
      <c r="C158" s="6">
        <v>47.67</v>
      </c>
      <c r="D158" s="7">
        <v>186872</v>
      </c>
      <c r="E158" s="3">
        <f t="shared" si="14"/>
        <v>47.655000000000001</v>
      </c>
      <c r="F158" s="3">
        <f t="shared" si="15"/>
        <v>6.2952470884484601E-4</v>
      </c>
      <c r="G158" s="11"/>
      <c r="H158" s="6">
        <v>3990.6</v>
      </c>
      <c r="I158" s="6">
        <v>3992.4</v>
      </c>
      <c r="J158" s="7">
        <v>448407</v>
      </c>
      <c r="K158" s="12">
        <f t="shared" si="16"/>
        <v>3991.5</v>
      </c>
      <c r="L158" s="12">
        <f t="shared" si="17"/>
        <v>4.5095828635855742E-4</v>
      </c>
      <c r="N158">
        <f t="shared" si="18"/>
        <v>-1.620561519405439E-2</v>
      </c>
      <c r="O158">
        <f t="shared" si="19"/>
        <v>-1.7077705406503552E-2</v>
      </c>
      <c r="P158">
        <f t="shared" si="20"/>
        <v>-1.675263124984213E-2</v>
      </c>
    </row>
    <row r="159" spans="1:16" x14ac:dyDescent="0.25">
      <c r="A159" s="2">
        <v>45940</v>
      </c>
      <c r="B159" s="3">
        <v>47.405000000000001</v>
      </c>
      <c r="C159" s="3">
        <v>47.54</v>
      </c>
      <c r="D159" s="4">
        <v>141909</v>
      </c>
      <c r="E159" s="3">
        <f t="shared" si="14"/>
        <v>47.472499999999997</v>
      </c>
      <c r="F159" s="3">
        <f t="shared" si="15"/>
        <v>2.8437516456895681E-3</v>
      </c>
      <c r="G159" s="11"/>
      <c r="H159" s="3">
        <v>4028.6</v>
      </c>
      <c r="I159" s="3">
        <v>4037</v>
      </c>
      <c r="J159" s="4">
        <v>352500</v>
      </c>
      <c r="K159" s="12">
        <f t="shared" si="16"/>
        <v>4032.8</v>
      </c>
      <c r="L159" s="12">
        <f t="shared" si="17"/>
        <v>2.0829200555445571E-3</v>
      </c>
      <c r="N159">
        <f t="shared" si="18"/>
        <v>-3.8296086454727707E-3</v>
      </c>
      <c r="O159">
        <f t="shared" si="19"/>
        <v>1.0346987348114789E-2</v>
      </c>
      <c r="P159">
        <f t="shared" si="20"/>
        <v>5.0626200645939061E-3</v>
      </c>
    </row>
    <row r="160" spans="1:16" x14ac:dyDescent="0.25">
      <c r="A160" s="5">
        <v>45943</v>
      </c>
      <c r="B160" s="6">
        <v>50.765000000000001</v>
      </c>
      <c r="C160" s="6">
        <v>50.79</v>
      </c>
      <c r="D160" s="7">
        <v>132137</v>
      </c>
      <c r="E160" s="3">
        <f t="shared" si="14"/>
        <v>50.777500000000003</v>
      </c>
      <c r="F160" s="3">
        <f t="shared" si="15"/>
        <v>4.9234405002212742E-4</v>
      </c>
      <c r="G160" s="11"/>
      <c r="H160" s="6">
        <v>4129.3</v>
      </c>
      <c r="I160" s="6">
        <v>4130.2</v>
      </c>
      <c r="J160" s="7">
        <v>296956</v>
      </c>
      <c r="K160" s="12">
        <f t="shared" si="16"/>
        <v>4129.75</v>
      </c>
      <c r="L160" s="12">
        <f t="shared" si="17"/>
        <v>2.179308674858372E-4</v>
      </c>
      <c r="N160">
        <f t="shared" si="18"/>
        <v>6.9619253251882895E-2</v>
      </c>
      <c r="O160">
        <f t="shared" si="19"/>
        <v>2.4040368974409754E-2</v>
      </c>
      <c r="P160">
        <f t="shared" si="20"/>
        <v>4.1030030315129952E-2</v>
      </c>
    </row>
    <row r="161" spans="1:16" x14ac:dyDescent="0.25">
      <c r="A161" s="2">
        <v>45944</v>
      </c>
      <c r="B161" s="3">
        <v>50.3</v>
      </c>
      <c r="C161" s="3">
        <v>50.46</v>
      </c>
      <c r="D161" s="4">
        <v>179251</v>
      </c>
      <c r="E161" s="3">
        <f t="shared" si="14"/>
        <v>50.379999999999995</v>
      </c>
      <c r="F161" s="3">
        <f t="shared" si="15"/>
        <v>3.1758634378722451E-3</v>
      </c>
      <c r="G161" s="11"/>
      <c r="H161" s="3">
        <v>4158.8</v>
      </c>
      <c r="I161" s="3">
        <v>4159.8999999999996</v>
      </c>
      <c r="J161" s="4">
        <v>396022</v>
      </c>
      <c r="K161" s="12">
        <f t="shared" si="16"/>
        <v>4159.3500000000004</v>
      </c>
      <c r="L161" s="12">
        <f t="shared" si="17"/>
        <v>2.6446439948536531E-4</v>
      </c>
      <c r="N161">
        <f t="shared" si="18"/>
        <v>-7.828270395352388E-3</v>
      </c>
      <c r="O161">
        <f t="shared" si="19"/>
        <v>7.1675040862038131E-3</v>
      </c>
      <c r="P161">
        <f t="shared" si="20"/>
        <v>1.5777856448208004E-3</v>
      </c>
    </row>
    <row r="162" spans="1:16" x14ac:dyDescent="0.25">
      <c r="A162" s="5">
        <v>45945</v>
      </c>
      <c r="B162" s="6">
        <v>52.494999999999997</v>
      </c>
      <c r="C162" s="6">
        <v>52.615000000000002</v>
      </c>
      <c r="D162" s="7">
        <v>122064</v>
      </c>
      <c r="E162" s="3">
        <f t="shared" si="14"/>
        <v>52.555</v>
      </c>
      <c r="F162" s="3">
        <f t="shared" si="15"/>
        <v>2.2833222338503388E-3</v>
      </c>
      <c r="G162" s="11"/>
      <c r="H162" s="6">
        <v>4224.6000000000004</v>
      </c>
      <c r="I162" s="6">
        <v>4225.5</v>
      </c>
      <c r="J162" s="7">
        <v>301947</v>
      </c>
      <c r="K162" s="12">
        <f t="shared" si="16"/>
        <v>4225.05</v>
      </c>
      <c r="L162" s="12">
        <f t="shared" si="17"/>
        <v>2.1301523058890099E-4</v>
      </c>
      <c r="N162">
        <f t="shared" si="18"/>
        <v>4.3171893608574985E-2</v>
      </c>
      <c r="O162">
        <f t="shared" si="19"/>
        <v>1.5795737314724612E-2</v>
      </c>
      <c r="P162">
        <f t="shared" si="20"/>
        <v>2.6000278992657257E-2</v>
      </c>
    </row>
    <row r="163" spans="1:16" x14ac:dyDescent="0.25">
      <c r="A163" s="2">
        <v>45946</v>
      </c>
      <c r="B163" s="3">
        <v>53.274999999999999</v>
      </c>
      <c r="C163" s="3">
        <v>53.45</v>
      </c>
      <c r="D163" s="4">
        <v>144130</v>
      </c>
      <c r="E163" s="3">
        <f t="shared" si="14"/>
        <v>53.362499999999997</v>
      </c>
      <c r="F163" s="3">
        <f t="shared" si="15"/>
        <v>3.2794565472008298E-3</v>
      </c>
      <c r="G163" s="11"/>
      <c r="H163" s="3">
        <v>4343.5</v>
      </c>
      <c r="I163" s="3">
        <v>4344.8999999999996</v>
      </c>
      <c r="J163" s="4">
        <v>366807</v>
      </c>
      <c r="K163" s="12">
        <f t="shared" si="16"/>
        <v>4344.2</v>
      </c>
      <c r="L163" s="12">
        <f t="shared" si="17"/>
        <v>3.2226877215589436E-4</v>
      </c>
      <c r="N163">
        <f t="shared" si="18"/>
        <v>1.5364855865283911E-2</v>
      </c>
      <c r="O163">
        <f t="shared" si="19"/>
        <v>2.8200849694086427E-2</v>
      </c>
      <c r="P163">
        <f t="shared" si="20"/>
        <v>2.3416195756633368E-2</v>
      </c>
    </row>
    <row r="164" spans="1:16" x14ac:dyDescent="0.25">
      <c r="A164" s="5">
        <v>45947</v>
      </c>
      <c r="B164" s="6">
        <v>50.555</v>
      </c>
      <c r="C164" s="6">
        <v>50.664999999999999</v>
      </c>
      <c r="D164" s="7">
        <v>180330</v>
      </c>
      <c r="E164" s="3">
        <f t="shared" si="14"/>
        <v>50.61</v>
      </c>
      <c r="F164" s="3">
        <f t="shared" si="15"/>
        <v>2.17348350128432E-3</v>
      </c>
      <c r="G164" s="11"/>
      <c r="H164" s="6">
        <v>4252.2</v>
      </c>
      <c r="I164" s="6">
        <v>4269</v>
      </c>
      <c r="J164" s="7">
        <v>558913</v>
      </c>
      <c r="K164" s="12">
        <f t="shared" si="16"/>
        <v>4260.6000000000004</v>
      </c>
      <c r="L164" s="12">
        <f t="shared" si="17"/>
        <v>3.9431066047036049E-3</v>
      </c>
      <c r="N164">
        <f t="shared" si="18"/>
        <v>-5.1581166549543145E-2</v>
      </c>
      <c r="O164">
        <f t="shared" si="19"/>
        <v>-1.9244049537313956E-2</v>
      </c>
      <c r="P164">
        <f t="shared" si="20"/>
        <v>-3.1297803714981462E-2</v>
      </c>
    </row>
    <row r="165" spans="1:16" x14ac:dyDescent="0.25">
      <c r="A165" s="2">
        <v>45950</v>
      </c>
      <c r="B165" s="3">
        <v>51.365000000000002</v>
      </c>
      <c r="C165" s="3">
        <v>51.484999999999999</v>
      </c>
      <c r="D165" s="4">
        <v>97483</v>
      </c>
      <c r="E165" s="3">
        <f t="shared" si="14"/>
        <v>51.424999999999997</v>
      </c>
      <c r="F165" s="3">
        <f t="shared" si="15"/>
        <v>2.3334953816236742E-3</v>
      </c>
      <c r="G165" s="11"/>
      <c r="H165" s="3">
        <v>4373.3</v>
      </c>
      <c r="I165" s="3">
        <v>4374.7</v>
      </c>
      <c r="J165" s="4">
        <v>329893</v>
      </c>
      <c r="K165" s="12">
        <f t="shared" si="16"/>
        <v>4374</v>
      </c>
      <c r="L165" s="12">
        <f t="shared" si="17"/>
        <v>3.2007315957924927E-4</v>
      </c>
      <c r="N165">
        <f t="shared" si="18"/>
        <v>1.610353685042476E-2</v>
      </c>
      <c r="O165">
        <f t="shared" si="19"/>
        <v>2.6615969581748944E-2</v>
      </c>
      <c r="P165">
        <f t="shared" si="20"/>
        <v>2.2697429784131026E-2</v>
      </c>
    </row>
    <row r="166" spans="1:16" x14ac:dyDescent="0.25">
      <c r="A166" s="5">
        <v>45951</v>
      </c>
      <c r="B166" s="6">
        <v>48.075000000000003</v>
      </c>
      <c r="C166" s="6">
        <v>48.18</v>
      </c>
      <c r="D166" s="7">
        <v>155458</v>
      </c>
      <c r="E166" s="3">
        <f t="shared" si="14"/>
        <v>48.127499999999998</v>
      </c>
      <c r="F166" s="3">
        <f t="shared" si="15"/>
        <v>2.1817048465014154E-3</v>
      </c>
      <c r="G166" s="11"/>
      <c r="H166" s="6">
        <v>4138.1000000000004</v>
      </c>
      <c r="I166" s="6">
        <v>4139</v>
      </c>
      <c r="J166" s="7">
        <v>524508</v>
      </c>
      <c r="K166" s="12">
        <f t="shared" si="16"/>
        <v>4138.55</v>
      </c>
      <c r="L166" s="12">
        <f t="shared" si="17"/>
        <v>2.1746747049078449E-4</v>
      </c>
      <c r="N166">
        <f t="shared" si="18"/>
        <v>-6.4122508507535203E-2</v>
      </c>
      <c r="O166">
        <f t="shared" si="19"/>
        <v>-5.3829446730681241E-2</v>
      </c>
      <c r="P166">
        <f t="shared" si="20"/>
        <v>-5.7666215368615867E-2</v>
      </c>
    </row>
    <row r="167" spans="1:16" x14ac:dyDescent="0.25">
      <c r="A167" s="2">
        <v>45952</v>
      </c>
      <c r="B167" s="3">
        <v>48.14</v>
      </c>
      <c r="C167" s="3">
        <v>48.244999999999997</v>
      </c>
      <c r="D167" s="4">
        <v>112719</v>
      </c>
      <c r="E167" s="3">
        <f t="shared" si="14"/>
        <v>48.192499999999995</v>
      </c>
      <c r="F167" s="3">
        <f t="shared" si="15"/>
        <v>2.1787622555376226E-3</v>
      </c>
      <c r="G167" s="11"/>
      <c r="H167" s="3">
        <v>4111</v>
      </c>
      <c r="I167" s="3">
        <v>4122.3999999999996</v>
      </c>
      <c r="J167" s="4">
        <v>457497</v>
      </c>
      <c r="K167" s="12">
        <f t="shared" si="16"/>
        <v>4116.7</v>
      </c>
      <c r="L167" s="12">
        <f t="shared" si="17"/>
        <v>2.7692083464910333E-3</v>
      </c>
      <c r="N167">
        <f t="shared" si="18"/>
        <v>1.35057919069137E-3</v>
      </c>
      <c r="O167">
        <f t="shared" si="19"/>
        <v>-5.2796269224729686E-3</v>
      </c>
      <c r="P167">
        <f t="shared" si="20"/>
        <v>-2.8081983592795423E-3</v>
      </c>
    </row>
    <row r="168" spans="1:16" x14ac:dyDescent="0.25">
      <c r="A168" s="5">
        <v>45953</v>
      </c>
      <c r="B168" s="6">
        <v>48.5</v>
      </c>
      <c r="C168" s="6">
        <v>48.664999999999999</v>
      </c>
      <c r="D168" s="7">
        <v>67041</v>
      </c>
      <c r="E168" s="3">
        <f t="shared" si="14"/>
        <v>48.582499999999996</v>
      </c>
      <c r="F168" s="3">
        <f t="shared" si="15"/>
        <v>3.3962846704059932E-3</v>
      </c>
      <c r="G168" s="11"/>
      <c r="H168" s="6">
        <v>4140.1000000000004</v>
      </c>
      <c r="I168" s="6">
        <v>4144</v>
      </c>
      <c r="J168" s="7">
        <v>264959</v>
      </c>
      <c r="K168" s="12">
        <f t="shared" si="16"/>
        <v>4142.05</v>
      </c>
      <c r="L168" s="12">
        <f t="shared" si="17"/>
        <v>9.4156275274311898E-4</v>
      </c>
      <c r="N168">
        <f t="shared" si="18"/>
        <v>8.0925455205684838E-3</v>
      </c>
      <c r="O168">
        <f t="shared" si="19"/>
        <v>6.1578448757499959E-3</v>
      </c>
      <c r="P168">
        <f t="shared" si="20"/>
        <v>6.8790101537553787E-3</v>
      </c>
    </row>
    <row r="169" spans="1:16" x14ac:dyDescent="0.25">
      <c r="A169" s="2">
        <v>45954</v>
      </c>
      <c r="B169" s="3">
        <v>48.33</v>
      </c>
      <c r="C169" s="3">
        <v>48.7</v>
      </c>
      <c r="D169" s="4">
        <v>72046</v>
      </c>
      <c r="E169" s="3">
        <f t="shared" si="14"/>
        <v>48.515000000000001</v>
      </c>
      <c r="F169" s="3">
        <f t="shared" si="15"/>
        <v>7.6265072657941777E-3</v>
      </c>
      <c r="G169" s="11"/>
      <c r="H169" s="3">
        <v>4125.1000000000004</v>
      </c>
      <c r="I169" s="3">
        <v>4128.3</v>
      </c>
      <c r="J169" s="4">
        <v>291961</v>
      </c>
      <c r="K169" s="12">
        <f t="shared" si="16"/>
        <v>4126.7000000000007</v>
      </c>
      <c r="L169" s="12">
        <f t="shared" si="17"/>
        <v>7.7543800130850738E-4</v>
      </c>
      <c r="N169">
        <f t="shared" si="18"/>
        <v>-1.3893891833478555E-3</v>
      </c>
      <c r="O169">
        <f t="shared" si="19"/>
        <v>-3.7058944242583935E-3</v>
      </c>
      <c r="P169">
        <f t="shared" si="20"/>
        <v>-2.8424103754282407E-3</v>
      </c>
    </row>
    <row r="170" spans="1:16" x14ac:dyDescent="0.25">
      <c r="A170" s="5">
        <v>45957</v>
      </c>
      <c r="B170" s="6">
        <v>46.704999999999998</v>
      </c>
      <c r="C170" s="6">
        <v>46.865000000000002</v>
      </c>
      <c r="D170" s="7">
        <v>94606</v>
      </c>
      <c r="E170" s="3">
        <f t="shared" si="14"/>
        <v>46.784999999999997</v>
      </c>
      <c r="F170" s="3">
        <f t="shared" si="15"/>
        <v>3.4198995404510785E-3</v>
      </c>
      <c r="G170" s="11"/>
      <c r="H170" s="6">
        <v>3996.5</v>
      </c>
      <c r="I170" s="6">
        <v>3999</v>
      </c>
      <c r="J170" s="7">
        <v>324262</v>
      </c>
      <c r="K170" s="12">
        <f t="shared" si="16"/>
        <v>3997.75</v>
      </c>
      <c r="L170" s="12">
        <f t="shared" si="17"/>
        <v>6.2535176036520538E-4</v>
      </c>
      <c r="N170">
        <f t="shared" si="18"/>
        <v>-3.5659074513037292E-2</v>
      </c>
      <c r="O170">
        <f t="shared" si="19"/>
        <v>-3.1247728208980696E-2</v>
      </c>
      <c r="P170">
        <f t="shared" si="20"/>
        <v>-3.2892070341322036E-2</v>
      </c>
    </row>
    <row r="171" spans="1:16" x14ac:dyDescent="0.25">
      <c r="A171" s="2">
        <v>45958</v>
      </c>
      <c r="B171" s="3">
        <v>47.115000000000002</v>
      </c>
      <c r="C171" s="3">
        <v>47.2</v>
      </c>
      <c r="D171" s="4">
        <v>77521</v>
      </c>
      <c r="E171" s="3">
        <f t="shared" si="14"/>
        <v>47.157499999999999</v>
      </c>
      <c r="F171" s="3">
        <f t="shared" si="15"/>
        <v>1.8024704447861073E-3</v>
      </c>
      <c r="G171" s="11"/>
      <c r="H171" s="3">
        <v>3965.1</v>
      </c>
      <c r="I171" s="3">
        <v>3971.9</v>
      </c>
      <c r="J171" s="4">
        <v>330554</v>
      </c>
      <c r="K171" s="12">
        <f t="shared" si="16"/>
        <v>3968.5</v>
      </c>
      <c r="L171" s="12">
        <f t="shared" si="17"/>
        <v>1.7134937633867158E-3</v>
      </c>
      <c r="N171">
        <f t="shared" si="18"/>
        <v>7.9619536176125383E-3</v>
      </c>
      <c r="O171">
        <f t="shared" si="19"/>
        <v>-7.3166155962729462E-3</v>
      </c>
      <c r="P171">
        <f t="shared" si="20"/>
        <v>-1.6214845980145835E-3</v>
      </c>
    </row>
    <row r="172" spans="1:16" x14ac:dyDescent="0.25">
      <c r="A172" s="5">
        <v>45959</v>
      </c>
      <c r="B172" s="6">
        <v>47.22</v>
      </c>
      <c r="C172" s="6">
        <v>47.54</v>
      </c>
      <c r="D172" s="7">
        <v>74607</v>
      </c>
      <c r="E172" s="3">
        <f t="shared" si="14"/>
        <v>47.379999999999995</v>
      </c>
      <c r="F172" s="3">
        <f t="shared" si="15"/>
        <v>6.7539046010975162E-3</v>
      </c>
      <c r="G172" s="11"/>
      <c r="H172" s="6">
        <v>3940.3</v>
      </c>
      <c r="I172" s="6">
        <v>3942.6</v>
      </c>
      <c r="J172" s="7">
        <v>281102</v>
      </c>
      <c r="K172" s="12">
        <f t="shared" si="16"/>
        <v>3941.45</v>
      </c>
      <c r="L172" s="12">
        <f t="shared" si="17"/>
        <v>5.8354159002390671E-4</v>
      </c>
      <c r="N172">
        <f t="shared" si="18"/>
        <v>4.7182314584106599E-3</v>
      </c>
      <c r="O172">
        <f t="shared" si="19"/>
        <v>-6.8161773970014661E-3</v>
      </c>
      <c r="P172">
        <f t="shared" si="20"/>
        <v>-2.5166930343333343E-3</v>
      </c>
    </row>
    <row r="173" spans="1:16" x14ac:dyDescent="0.25">
      <c r="A173" s="2">
        <v>45960</v>
      </c>
      <c r="B173" s="3">
        <v>48.725000000000001</v>
      </c>
      <c r="C173" s="3">
        <v>48.8</v>
      </c>
      <c r="D173" s="4">
        <v>62166</v>
      </c>
      <c r="E173" s="3">
        <f t="shared" si="14"/>
        <v>48.762500000000003</v>
      </c>
      <c r="F173" s="3">
        <f t="shared" si="15"/>
        <v>1.5380671622659981E-3</v>
      </c>
      <c r="G173" s="11"/>
      <c r="H173" s="3">
        <v>4035.5</v>
      </c>
      <c r="I173" s="3">
        <v>4039.5</v>
      </c>
      <c r="J173" s="4">
        <v>242543</v>
      </c>
      <c r="K173" s="12">
        <f t="shared" si="16"/>
        <v>4037.5</v>
      </c>
      <c r="L173" s="12">
        <f t="shared" si="17"/>
        <v>9.9071207430340559E-4</v>
      </c>
      <c r="N173">
        <f t="shared" si="18"/>
        <v>2.9178978471929184E-2</v>
      </c>
      <c r="O173">
        <f t="shared" si="19"/>
        <v>2.4369204226870833E-2</v>
      </c>
      <c r="P173">
        <f t="shared" si="20"/>
        <v>2.6162061530077066E-2</v>
      </c>
    </row>
    <row r="174" spans="1:16" x14ac:dyDescent="0.25">
      <c r="A174" s="5">
        <v>45961</v>
      </c>
      <c r="B174" s="6">
        <v>48.2</v>
      </c>
      <c r="C174" s="6">
        <v>48.33</v>
      </c>
      <c r="D174" s="7">
        <v>56017</v>
      </c>
      <c r="E174" s="3">
        <f t="shared" si="14"/>
        <v>48.265000000000001</v>
      </c>
      <c r="F174" s="3">
        <f t="shared" si="15"/>
        <v>2.6934631720707644E-3</v>
      </c>
      <c r="G174" s="11"/>
      <c r="H174" s="6">
        <v>4011.2</v>
      </c>
      <c r="I174" s="6">
        <v>4018</v>
      </c>
      <c r="J174" s="7">
        <v>233725</v>
      </c>
      <c r="K174" s="12">
        <f t="shared" si="16"/>
        <v>4014.6</v>
      </c>
      <c r="L174" s="12">
        <f t="shared" si="17"/>
        <v>1.6938175658845669E-3</v>
      </c>
      <c r="N174">
        <f t="shared" si="18"/>
        <v>-1.0202512176365031E-2</v>
      </c>
      <c r="O174">
        <f t="shared" si="19"/>
        <v>-5.6718266253870109E-3</v>
      </c>
      <c r="P174">
        <f t="shared" si="20"/>
        <v>-7.3606528082265678E-3</v>
      </c>
    </row>
    <row r="175" spans="1:16" x14ac:dyDescent="0.25">
      <c r="A175" s="2">
        <v>45964</v>
      </c>
      <c r="B175" s="3">
        <v>47.88</v>
      </c>
      <c r="C175" s="3">
        <v>47.94</v>
      </c>
      <c r="D175" s="4">
        <v>51400</v>
      </c>
      <c r="E175" s="3">
        <f t="shared" si="14"/>
        <v>47.91</v>
      </c>
      <c r="F175" s="3">
        <f t="shared" si="15"/>
        <v>1.252348152786374E-3</v>
      </c>
      <c r="G175" s="11"/>
      <c r="H175" s="3">
        <v>4013.4</v>
      </c>
      <c r="I175" s="3">
        <v>4014</v>
      </c>
      <c r="J175" s="4">
        <v>223800</v>
      </c>
      <c r="K175" s="12">
        <f t="shared" si="16"/>
        <v>4013.7</v>
      </c>
      <c r="L175" s="12">
        <f t="shared" si="17"/>
        <v>1.4948800358768942E-4</v>
      </c>
      <c r="N175">
        <f t="shared" si="18"/>
        <v>-7.3552263545012542E-3</v>
      </c>
      <c r="O175">
        <f t="shared" si="19"/>
        <v>-2.2418173666116648E-4</v>
      </c>
      <c r="P175">
        <f t="shared" si="20"/>
        <v>-2.8822993054263943E-3</v>
      </c>
    </row>
    <row r="176" spans="1:16" x14ac:dyDescent="0.25">
      <c r="A176" s="5">
        <v>45965</v>
      </c>
      <c r="B176" s="6">
        <v>46.84</v>
      </c>
      <c r="C176" s="6">
        <v>46.94</v>
      </c>
      <c r="D176" s="7">
        <v>60177</v>
      </c>
      <c r="E176" s="3">
        <f t="shared" si="14"/>
        <v>46.89</v>
      </c>
      <c r="F176" s="3">
        <f t="shared" si="15"/>
        <v>2.1326508850499962E-3</v>
      </c>
      <c r="G176" s="11"/>
      <c r="H176" s="6">
        <v>3940</v>
      </c>
      <c r="I176" s="6">
        <v>3944.3</v>
      </c>
      <c r="J176" s="7">
        <v>244620</v>
      </c>
      <c r="K176" s="12">
        <f t="shared" si="16"/>
        <v>3942.15</v>
      </c>
      <c r="L176" s="12">
        <f t="shared" si="17"/>
        <v>1.0907753383306525E-3</v>
      </c>
      <c r="N176">
        <f t="shared" si="18"/>
        <v>-2.128991859736995E-2</v>
      </c>
      <c r="O176">
        <f t="shared" si="19"/>
        <v>-1.7826444427834653E-2</v>
      </c>
      <c r="P176">
        <f t="shared" si="20"/>
        <v>-1.9117464472215587E-2</v>
      </c>
    </row>
    <row r="177" spans="1:16" x14ac:dyDescent="0.25">
      <c r="A177" s="2">
        <v>45966</v>
      </c>
      <c r="B177" s="3">
        <v>47.81</v>
      </c>
      <c r="C177" s="3">
        <v>47.95</v>
      </c>
      <c r="D177" s="4">
        <v>46942</v>
      </c>
      <c r="E177" s="3">
        <f t="shared" si="14"/>
        <v>47.88</v>
      </c>
      <c r="F177" s="3">
        <f t="shared" si="15"/>
        <v>2.923976608187146E-3</v>
      </c>
      <c r="G177" s="11"/>
      <c r="H177" s="3">
        <v>3990.3</v>
      </c>
      <c r="I177" s="3">
        <v>3991</v>
      </c>
      <c r="J177" s="4">
        <v>171785</v>
      </c>
      <c r="K177" s="12">
        <f t="shared" si="16"/>
        <v>3990.65</v>
      </c>
      <c r="L177" s="12">
        <f t="shared" si="17"/>
        <v>1.7541002092386404E-4</v>
      </c>
      <c r="N177">
        <f t="shared" si="18"/>
        <v>2.1113243761996303E-2</v>
      </c>
      <c r="O177">
        <f t="shared" si="19"/>
        <v>1.2302931141635831E-2</v>
      </c>
      <c r="P177">
        <f t="shared" si="20"/>
        <v>1.5587000729968808E-2</v>
      </c>
    </row>
    <row r="178" spans="1:16" x14ac:dyDescent="0.25">
      <c r="A178" s="5">
        <v>45967</v>
      </c>
      <c r="B178" s="6">
        <v>47.825000000000003</v>
      </c>
      <c r="C178" s="6">
        <v>47.86</v>
      </c>
      <c r="D178" s="7">
        <v>50143</v>
      </c>
      <c r="E178" s="3">
        <f t="shared" si="14"/>
        <v>47.842500000000001</v>
      </c>
      <c r="F178" s="3">
        <f t="shared" si="15"/>
        <v>7.3156712128330645E-4</v>
      </c>
      <c r="G178" s="11"/>
      <c r="H178" s="6">
        <v>3984.3</v>
      </c>
      <c r="I178" s="6">
        <v>3985.3</v>
      </c>
      <c r="J178" s="7">
        <v>183645</v>
      </c>
      <c r="K178" s="12">
        <f t="shared" si="16"/>
        <v>3984.8</v>
      </c>
      <c r="L178" s="12">
        <f t="shared" si="17"/>
        <v>2.5095362377032721E-4</v>
      </c>
      <c r="N178">
        <f t="shared" si="18"/>
        <v>-7.8320802005016343E-4</v>
      </c>
      <c r="O178">
        <f t="shared" si="19"/>
        <v>-1.4659266034354745E-3</v>
      </c>
      <c r="P178">
        <f t="shared" si="20"/>
        <v>-1.2114412708827986E-3</v>
      </c>
    </row>
    <row r="179" spans="1:16" x14ac:dyDescent="0.25">
      <c r="A179" s="2">
        <v>45968</v>
      </c>
      <c r="B179" s="3">
        <v>48.19</v>
      </c>
      <c r="C179" s="3">
        <v>48.314999999999998</v>
      </c>
      <c r="D179" s="4">
        <v>61360</v>
      </c>
      <c r="E179" s="3">
        <f t="shared" si="14"/>
        <v>48.252499999999998</v>
      </c>
      <c r="F179" s="3">
        <f t="shared" si="15"/>
        <v>2.5905393502927312E-3</v>
      </c>
      <c r="G179" s="11"/>
      <c r="H179" s="3">
        <v>4007.7</v>
      </c>
      <c r="I179" s="3">
        <v>4008.4</v>
      </c>
      <c r="J179" s="4">
        <v>198894</v>
      </c>
      <c r="K179" s="12">
        <f t="shared" si="16"/>
        <v>4008.05</v>
      </c>
      <c r="L179" s="12">
        <f t="shared" si="17"/>
        <v>1.7464851985386231E-4</v>
      </c>
      <c r="N179">
        <f t="shared" si="18"/>
        <v>8.5697862778908451E-3</v>
      </c>
      <c r="O179">
        <f t="shared" si="19"/>
        <v>5.8346717526600589E-3</v>
      </c>
      <c r="P179">
        <f t="shared" si="20"/>
        <v>6.8541936266240163E-3</v>
      </c>
    </row>
    <row r="180" spans="1:16" x14ac:dyDescent="0.25">
      <c r="A180" s="5">
        <v>45971</v>
      </c>
      <c r="B180" s="6">
        <v>50.395000000000003</v>
      </c>
      <c r="C180" s="6">
        <v>50.48</v>
      </c>
      <c r="D180" s="7">
        <v>78080</v>
      </c>
      <c r="E180" s="3">
        <f t="shared" si="14"/>
        <v>50.4375</v>
      </c>
      <c r="F180" s="3">
        <f t="shared" si="15"/>
        <v>1.6852540272613383E-3</v>
      </c>
      <c r="G180" s="11"/>
      <c r="H180" s="6">
        <v>4122.5</v>
      </c>
      <c r="I180" s="6">
        <v>4123.8</v>
      </c>
      <c r="J180" s="7">
        <v>242570</v>
      </c>
      <c r="K180" s="12">
        <f t="shared" si="16"/>
        <v>4123.1499999999996</v>
      </c>
      <c r="L180" s="12">
        <f t="shared" si="17"/>
        <v>3.1529291924867686E-4</v>
      </c>
      <c r="N180">
        <f t="shared" si="18"/>
        <v>4.5282627843117096E-2</v>
      </c>
      <c r="O180">
        <f t="shared" si="19"/>
        <v>2.8717206621673652E-2</v>
      </c>
      <c r="P180">
        <f t="shared" si="20"/>
        <v>3.4892015438961935E-2</v>
      </c>
    </row>
    <row r="181" spans="1:16" x14ac:dyDescent="0.25">
      <c r="A181" s="2">
        <v>45972</v>
      </c>
      <c r="B181" s="3">
        <v>51.055</v>
      </c>
      <c r="C181" s="3">
        <v>51.13</v>
      </c>
      <c r="D181" s="4">
        <v>69857</v>
      </c>
      <c r="E181" s="3">
        <f t="shared" si="14"/>
        <v>51.092500000000001</v>
      </c>
      <c r="F181" s="3">
        <f t="shared" si="15"/>
        <v>1.4679258208152438E-3</v>
      </c>
      <c r="G181" s="11"/>
      <c r="H181" s="3">
        <v>4132.8999999999996</v>
      </c>
      <c r="I181" s="3">
        <v>4133.6000000000004</v>
      </c>
      <c r="J181" s="4">
        <v>239579</v>
      </c>
      <c r="K181" s="12">
        <f t="shared" si="16"/>
        <v>4133.25</v>
      </c>
      <c r="L181" s="12">
        <f t="shared" si="17"/>
        <v>1.6935825319076457E-4</v>
      </c>
      <c r="N181">
        <f t="shared" si="18"/>
        <v>1.298636926889718E-2</v>
      </c>
      <c r="O181">
        <f t="shared" si="19"/>
        <v>2.4495834495472657E-3</v>
      </c>
      <c r="P181">
        <f t="shared" si="20"/>
        <v>6.3772009313761242E-3</v>
      </c>
    </row>
    <row r="182" spans="1:16" x14ac:dyDescent="0.25">
      <c r="A182" s="5">
        <v>45973</v>
      </c>
      <c r="B182" s="6">
        <v>53.17</v>
      </c>
      <c r="C182" s="6">
        <v>53.354999999999997</v>
      </c>
      <c r="D182" s="7">
        <v>101561</v>
      </c>
      <c r="E182" s="3">
        <f t="shared" si="14"/>
        <v>53.262500000000003</v>
      </c>
      <c r="F182" s="3">
        <f t="shared" si="15"/>
        <v>3.4733630603143895E-3</v>
      </c>
      <c r="G182" s="11"/>
      <c r="H182" s="6">
        <v>4200.6000000000004</v>
      </c>
      <c r="I182" s="6">
        <v>4201.3999999999996</v>
      </c>
      <c r="J182" s="7">
        <v>278020</v>
      </c>
      <c r="K182" s="12">
        <f t="shared" si="16"/>
        <v>4201</v>
      </c>
      <c r="L182" s="12">
        <f t="shared" si="17"/>
        <v>1.9043084979749402E-4</v>
      </c>
      <c r="N182">
        <f t="shared" si="18"/>
        <v>4.2471987082252749E-2</v>
      </c>
      <c r="O182">
        <f t="shared" si="19"/>
        <v>1.6391459505231909E-2</v>
      </c>
      <c r="P182">
        <f t="shared" si="20"/>
        <v>2.6113051820292041E-2</v>
      </c>
    </row>
    <row r="183" spans="1:16" x14ac:dyDescent="0.25">
      <c r="A183" s="2">
        <v>45974</v>
      </c>
      <c r="B183" s="3">
        <v>52.21</v>
      </c>
      <c r="C183" s="3">
        <v>52.32</v>
      </c>
      <c r="D183" s="4">
        <v>122388</v>
      </c>
      <c r="E183" s="3">
        <f t="shared" si="14"/>
        <v>52.265000000000001</v>
      </c>
      <c r="F183" s="3">
        <f t="shared" si="15"/>
        <v>2.1046589495838405E-3</v>
      </c>
      <c r="G183" s="11"/>
      <c r="H183" s="3">
        <v>4174.3999999999996</v>
      </c>
      <c r="I183" s="3">
        <v>4175.3999999999996</v>
      </c>
      <c r="J183" s="4">
        <v>302473</v>
      </c>
      <c r="K183" s="12">
        <f t="shared" si="16"/>
        <v>4174.8999999999996</v>
      </c>
      <c r="L183" s="12">
        <f t="shared" si="17"/>
        <v>2.3952669525018565E-4</v>
      </c>
      <c r="N183">
        <f t="shared" si="18"/>
        <v>-1.8727998122506473E-2</v>
      </c>
      <c r="O183">
        <f t="shared" si="19"/>
        <v>-6.2128064746489464E-3</v>
      </c>
      <c r="P183">
        <f t="shared" si="20"/>
        <v>-1.0877880468493917E-2</v>
      </c>
    </row>
    <row r="184" spans="1:16" x14ac:dyDescent="0.25">
      <c r="A184" s="5">
        <v>45975</v>
      </c>
      <c r="B184" s="6">
        <v>50.354999999999997</v>
      </c>
      <c r="C184" s="6">
        <v>50.69</v>
      </c>
      <c r="D184" s="7">
        <v>125985</v>
      </c>
      <c r="E184" s="3">
        <f t="shared" si="14"/>
        <v>50.522499999999994</v>
      </c>
      <c r="F184" s="3">
        <f t="shared" si="15"/>
        <v>6.6307090900094194E-3</v>
      </c>
      <c r="G184" s="11"/>
      <c r="H184" s="6">
        <v>4080</v>
      </c>
      <c r="I184" s="6">
        <v>4091</v>
      </c>
      <c r="J184" s="7">
        <v>332490</v>
      </c>
      <c r="K184" s="12">
        <f t="shared" si="16"/>
        <v>4085.5</v>
      </c>
      <c r="L184" s="12">
        <f t="shared" si="17"/>
        <v>2.6924489046628321E-3</v>
      </c>
      <c r="N184">
        <f t="shared" si="18"/>
        <v>-3.3339711087726154E-2</v>
      </c>
      <c r="O184">
        <f t="shared" si="19"/>
        <v>-2.1413686555366462E-2</v>
      </c>
      <c r="P184">
        <f t="shared" si="20"/>
        <v>-2.5859146797710619E-2</v>
      </c>
    </row>
    <row r="185" spans="1:16" x14ac:dyDescent="0.25">
      <c r="A185" s="2">
        <v>45978</v>
      </c>
      <c r="B185" s="3">
        <v>50.005000000000003</v>
      </c>
      <c r="C185" s="3">
        <v>50.06</v>
      </c>
      <c r="D185" s="4">
        <v>73053</v>
      </c>
      <c r="E185" s="3">
        <f t="shared" si="14"/>
        <v>50.032499999999999</v>
      </c>
      <c r="F185" s="3">
        <f t="shared" si="15"/>
        <v>1.099285464448103E-3</v>
      </c>
      <c r="G185" s="11"/>
      <c r="H185" s="3">
        <v>4041</v>
      </c>
      <c r="I185" s="3">
        <v>4046.9</v>
      </c>
      <c r="J185" s="4">
        <v>231322</v>
      </c>
      <c r="K185" s="12">
        <f t="shared" si="16"/>
        <v>4043.95</v>
      </c>
      <c r="L185" s="12">
        <f t="shared" si="17"/>
        <v>1.4589695718295456E-3</v>
      </c>
      <c r="N185">
        <f t="shared" si="18"/>
        <v>-9.6986491167300182E-3</v>
      </c>
      <c r="O185">
        <f t="shared" si="19"/>
        <v>-1.0170113817158266E-2</v>
      </c>
      <c r="P185">
        <f t="shared" si="20"/>
        <v>-9.9943739823343813E-3</v>
      </c>
    </row>
    <row r="186" spans="1:16" x14ac:dyDescent="0.25">
      <c r="A186" s="5">
        <v>45979</v>
      </c>
      <c r="B186" s="6">
        <v>50.51</v>
      </c>
      <c r="C186" s="6">
        <v>50.66</v>
      </c>
      <c r="D186" s="7">
        <v>75851</v>
      </c>
      <c r="E186" s="3">
        <f t="shared" si="14"/>
        <v>50.584999999999994</v>
      </c>
      <c r="F186" s="3">
        <f t="shared" si="15"/>
        <v>2.9653059207274605E-3</v>
      </c>
      <c r="G186" s="11"/>
      <c r="H186" s="6">
        <v>4066.3</v>
      </c>
      <c r="I186" s="6">
        <v>4068</v>
      </c>
      <c r="J186" s="7">
        <v>229049</v>
      </c>
      <c r="K186" s="12">
        <f t="shared" si="16"/>
        <v>4067.15</v>
      </c>
      <c r="L186" s="12">
        <f t="shared" si="17"/>
        <v>4.1798310856492091E-4</v>
      </c>
      <c r="N186">
        <f t="shared" si="18"/>
        <v>1.104282216559227E-2</v>
      </c>
      <c r="O186">
        <f t="shared" si="19"/>
        <v>5.7369650960077401E-3</v>
      </c>
      <c r="P186">
        <f t="shared" si="20"/>
        <v>7.714738711213592E-3</v>
      </c>
    </row>
    <row r="187" spans="1:16" x14ac:dyDescent="0.25">
      <c r="A187" s="2">
        <v>45980</v>
      </c>
      <c r="B187" s="3">
        <v>50.825000000000003</v>
      </c>
      <c r="C187" s="3">
        <v>51.145000000000003</v>
      </c>
      <c r="D187" s="4">
        <v>98090</v>
      </c>
      <c r="E187" s="3">
        <f t="shared" si="14"/>
        <v>50.984999999999999</v>
      </c>
      <c r="F187" s="3">
        <f t="shared" si="15"/>
        <v>6.2763557909189032E-3</v>
      </c>
      <c r="G187" s="11"/>
      <c r="H187" s="3">
        <v>4071.5</v>
      </c>
      <c r="I187" s="3">
        <v>4082</v>
      </c>
      <c r="J187" s="4">
        <v>228451</v>
      </c>
      <c r="K187" s="12">
        <f t="shared" si="16"/>
        <v>4076.75</v>
      </c>
      <c r="L187" s="12">
        <f t="shared" si="17"/>
        <v>2.5755810388176856E-3</v>
      </c>
      <c r="N187">
        <f t="shared" si="18"/>
        <v>7.9074824552733958E-3</v>
      </c>
      <c r="O187">
        <f t="shared" si="19"/>
        <v>2.3603752013079404E-3</v>
      </c>
      <c r="P187">
        <f t="shared" si="20"/>
        <v>4.4280755226188831E-3</v>
      </c>
    </row>
    <row r="188" spans="1:16" x14ac:dyDescent="0.25">
      <c r="A188" s="5">
        <v>45981</v>
      </c>
      <c r="B188" s="6">
        <v>50.28</v>
      </c>
      <c r="C188" s="6">
        <v>50.435000000000002</v>
      </c>
      <c r="D188" s="7">
        <v>96073</v>
      </c>
      <c r="E188" s="3">
        <f t="shared" si="14"/>
        <v>50.357500000000002</v>
      </c>
      <c r="F188" s="3">
        <f t="shared" si="15"/>
        <v>3.0779923546641738E-3</v>
      </c>
      <c r="G188" s="11"/>
      <c r="H188" s="6">
        <v>4072.1</v>
      </c>
      <c r="I188" s="6">
        <v>4082</v>
      </c>
      <c r="J188" s="7">
        <v>266894</v>
      </c>
      <c r="K188" s="12">
        <f t="shared" si="16"/>
        <v>4077.05</v>
      </c>
      <c r="L188" s="12">
        <f t="shared" si="17"/>
        <v>2.4282262910683191E-3</v>
      </c>
      <c r="N188">
        <f t="shared" si="18"/>
        <v>-1.2307541433755009E-2</v>
      </c>
      <c r="O188">
        <f t="shared" si="19"/>
        <v>7.3588029680493605E-5</v>
      </c>
      <c r="P188">
        <f t="shared" si="20"/>
        <v>-4.5415138960010386E-3</v>
      </c>
    </row>
    <row r="189" spans="1:16" x14ac:dyDescent="0.25">
      <c r="A189" s="2">
        <v>45982</v>
      </c>
      <c r="B189" s="3">
        <v>49.47</v>
      </c>
      <c r="C189" s="3">
        <v>49.975000000000001</v>
      </c>
      <c r="D189" s="4">
        <v>105797</v>
      </c>
      <c r="E189" s="3">
        <f t="shared" si="14"/>
        <v>49.722499999999997</v>
      </c>
      <c r="F189" s="3">
        <f t="shared" si="15"/>
        <v>1.015636784152049E-2</v>
      </c>
      <c r="G189" s="11"/>
      <c r="H189" s="3">
        <v>4055.2</v>
      </c>
      <c r="I189" s="3">
        <v>4065</v>
      </c>
      <c r="J189" s="4">
        <v>253026</v>
      </c>
      <c r="K189" s="12">
        <f t="shared" si="16"/>
        <v>4060.1</v>
      </c>
      <c r="L189" s="12">
        <f t="shared" si="17"/>
        <v>2.4137336518805404E-3</v>
      </c>
      <c r="N189">
        <f t="shared" si="18"/>
        <v>-1.2609839646527399E-2</v>
      </c>
      <c r="O189">
        <f t="shared" si="19"/>
        <v>-4.1574177407684987E-3</v>
      </c>
      <c r="P189">
        <f t="shared" si="20"/>
        <v>-7.3080825269774734E-3</v>
      </c>
    </row>
    <row r="190" spans="1:16" x14ac:dyDescent="0.25">
      <c r="A190" s="5">
        <v>45985</v>
      </c>
      <c r="B190" s="6">
        <v>51.055</v>
      </c>
      <c r="C190" s="6">
        <v>51.234999999999999</v>
      </c>
      <c r="D190" s="7">
        <v>56483</v>
      </c>
      <c r="E190" s="3">
        <f t="shared" si="14"/>
        <v>51.144999999999996</v>
      </c>
      <c r="F190" s="3">
        <f t="shared" si="15"/>
        <v>3.5194056114967198E-3</v>
      </c>
      <c r="G190" s="11"/>
      <c r="H190" s="6">
        <v>4130</v>
      </c>
      <c r="I190" s="6">
        <v>4136.8999999999996</v>
      </c>
      <c r="J190" s="7">
        <v>218177</v>
      </c>
      <c r="K190" s="12">
        <f t="shared" si="16"/>
        <v>4133.45</v>
      </c>
      <c r="L190" s="12">
        <f t="shared" si="17"/>
        <v>1.6693077211529441E-3</v>
      </c>
      <c r="N190">
        <f t="shared" si="18"/>
        <v>2.860877872190648E-2</v>
      </c>
      <c r="O190">
        <f t="shared" si="19"/>
        <v>1.8066057486268772E-2</v>
      </c>
      <c r="P190">
        <f t="shared" si="20"/>
        <v>2.1995887411737802E-2</v>
      </c>
    </row>
    <row r="191" spans="1:16" x14ac:dyDescent="0.25">
      <c r="A191" s="2">
        <v>45986</v>
      </c>
      <c r="B191" s="3">
        <v>50.884999999999998</v>
      </c>
      <c r="C191" s="3">
        <v>51.16</v>
      </c>
      <c r="D191" s="4">
        <v>48792</v>
      </c>
      <c r="E191" s="3">
        <f t="shared" si="14"/>
        <v>51.022499999999994</v>
      </c>
      <c r="F191" s="3">
        <f t="shared" si="15"/>
        <v>5.3897790190601917E-3</v>
      </c>
      <c r="G191" s="11"/>
      <c r="H191" s="3">
        <v>4125.8999999999996</v>
      </c>
      <c r="I191" s="3">
        <v>4129.8999999999996</v>
      </c>
      <c r="J191" s="4">
        <v>129074.999999999</v>
      </c>
      <c r="K191" s="12">
        <f t="shared" si="16"/>
        <v>4127.8999999999996</v>
      </c>
      <c r="L191" s="12">
        <f t="shared" si="17"/>
        <v>9.6901572228009407E-4</v>
      </c>
      <c r="N191">
        <f t="shared" si="18"/>
        <v>-2.3951510411575061E-3</v>
      </c>
      <c r="O191">
        <f t="shared" si="19"/>
        <v>-1.3427040365796561E-3</v>
      </c>
      <c r="P191">
        <f t="shared" si="20"/>
        <v>-1.7350067107298089E-3</v>
      </c>
    </row>
    <row r="192" spans="1:16" x14ac:dyDescent="0.25">
      <c r="A192" s="5">
        <v>45987</v>
      </c>
      <c r="B192" s="6">
        <v>53.67</v>
      </c>
      <c r="C192" s="6">
        <v>53.8</v>
      </c>
      <c r="D192" s="7">
        <v>83948</v>
      </c>
      <c r="E192" s="3">
        <f t="shared" si="14"/>
        <v>53.734999999999999</v>
      </c>
      <c r="F192" s="3">
        <f t="shared" si="15"/>
        <v>2.4192797990135934E-3</v>
      </c>
      <c r="G192" s="11"/>
      <c r="H192" s="6">
        <v>4195.3</v>
      </c>
      <c r="I192" s="6">
        <v>4200</v>
      </c>
      <c r="J192" s="7">
        <v>185497</v>
      </c>
      <c r="K192" s="12">
        <f t="shared" si="16"/>
        <v>4197.6499999999996</v>
      </c>
      <c r="L192" s="12">
        <f t="shared" si="17"/>
        <v>1.1196741033673171E-3</v>
      </c>
      <c r="N192">
        <f t="shared" si="18"/>
        <v>5.3162820324366811E-2</v>
      </c>
      <c r="O192">
        <f t="shared" si="19"/>
        <v>1.6897211657259215E-2</v>
      </c>
      <c r="P192">
        <f t="shared" si="20"/>
        <v>3.0415322496004905E-2</v>
      </c>
    </row>
    <row r="193" spans="1:16" x14ac:dyDescent="0.25">
      <c r="A193" s="2">
        <v>45989</v>
      </c>
      <c r="B193" s="3">
        <v>56.97</v>
      </c>
      <c r="C193" s="3">
        <v>57.244999999999997</v>
      </c>
      <c r="D193" s="4">
        <v>95722</v>
      </c>
      <c r="E193" s="3">
        <f t="shared" si="14"/>
        <v>57.107500000000002</v>
      </c>
      <c r="F193" s="3">
        <f t="shared" si="15"/>
        <v>4.8154795779888557E-3</v>
      </c>
      <c r="G193" s="11"/>
      <c r="H193" s="3">
        <v>4253.8999999999996</v>
      </c>
      <c r="I193" s="3">
        <v>4256.5</v>
      </c>
      <c r="J193" s="4">
        <v>149887</v>
      </c>
      <c r="K193" s="12">
        <f t="shared" si="16"/>
        <v>4255.2</v>
      </c>
      <c r="L193" s="12">
        <f t="shared" si="17"/>
        <v>6.1101710847912298E-4</v>
      </c>
      <c r="N193">
        <f t="shared" si="18"/>
        <v>6.276170093979716E-2</v>
      </c>
      <c r="O193">
        <f t="shared" si="19"/>
        <v>1.3710052052934518E-2</v>
      </c>
      <c r="P193">
        <f t="shared" si="20"/>
        <v>3.1994196476443269E-2</v>
      </c>
    </row>
    <row r="194" spans="1:16" x14ac:dyDescent="0.25">
      <c r="A194" s="5">
        <v>45992</v>
      </c>
      <c r="B194" s="6">
        <v>58.45</v>
      </c>
      <c r="C194" s="6">
        <v>58.54</v>
      </c>
      <c r="D194" s="7">
        <v>138240</v>
      </c>
      <c r="E194" s="3">
        <f t="shared" si="14"/>
        <v>58.495000000000005</v>
      </c>
      <c r="F194" s="3">
        <f t="shared" si="15"/>
        <v>1.5385930421402906E-3</v>
      </c>
      <c r="G194" s="11"/>
      <c r="H194" s="6">
        <v>4263</v>
      </c>
      <c r="I194" s="6">
        <v>4267.5</v>
      </c>
      <c r="J194" s="7">
        <v>223457</v>
      </c>
      <c r="K194" s="12">
        <f t="shared" si="16"/>
        <v>4265.25</v>
      </c>
      <c r="L194" s="12">
        <f t="shared" si="17"/>
        <v>1.0550378055213644E-3</v>
      </c>
      <c r="N194">
        <f t="shared" si="18"/>
        <v>2.4296283325307533E-2</v>
      </c>
      <c r="O194">
        <f t="shared" si="19"/>
        <v>2.3618161308516239E-3</v>
      </c>
      <c r="P194">
        <f t="shared" si="20"/>
        <v>1.0537952410412237E-2</v>
      </c>
    </row>
    <row r="195" spans="1:16" x14ac:dyDescent="0.25">
      <c r="A195" s="2">
        <v>45993</v>
      </c>
      <c r="B195" s="3">
        <v>59.125</v>
      </c>
      <c r="C195" s="3">
        <v>59.2</v>
      </c>
      <c r="D195" s="4">
        <v>107261</v>
      </c>
      <c r="E195" s="3">
        <f t="shared" si="14"/>
        <v>59.162500000000001</v>
      </c>
      <c r="F195" s="3">
        <f t="shared" si="15"/>
        <v>1.2676949080921672E-3</v>
      </c>
      <c r="G195" s="11"/>
      <c r="H195" s="3">
        <v>4237.8</v>
      </c>
      <c r="I195" s="3">
        <v>4238.8999999999996</v>
      </c>
      <c r="J195" s="4">
        <v>212069</v>
      </c>
      <c r="K195" s="12">
        <f t="shared" si="16"/>
        <v>4238.3500000000004</v>
      </c>
      <c r="L195" s="12">
        <f t="shared" si="17"/>
        <v>2.595349605387602E-4</v>
      </c>
      <c r="N195">
        <f t="shared" si="18"/>
        <v>1.141123172920766E-2</v>
      </c>
      <c r="O195">
        <f t="shared" si="19"/>
        <v>-6.3067815485610135E-3</v>
      </c>
      <c r="P195">
        <f t="shared" si="20"/>
        <v>2.9765930144134024E-4</v>
      </c>
    </row>
    <row r="196" spans="1:16" x14ac:dyDescent="0.25">
      <c r="A196" s="5">
        <v>45994</v>
      </c>
      <c r="B196" s="6">
        <v>58.924999999999997</v>
      </c>
      <c r="C196" s="6">
        <v>58.98</v>
      </c>
      <c r="D196" s="7">
        <v>102474</v>
      </c>
      <c r="E196" s="3">
        <f t="shared" ref="E196:E254" si="21">AVERAGE(B196:C196)</f>
        <v>58.952500000000001</v>
      </c>
      <c r="F196" s="3">
        <f t="shared" ref="F196:F254" si="22">(C196-B196)/E196</f>
        <v>9.3295449726474224E-4</v>
      </c>
      <c r="G196" s="11"/>
      <c r="H196" s="6">
        <v>4233.6000000000004</v>
      </c>
      <c r="I196" s="6">
        <v>4235.2</v>
      </c>
      <c r="J196" s="7">
        <v>169613</v>
      </c>
      <c r="K196" s="12">
        <f t="shared" ref="K196:K254" si="23">AVERAGE(H196:I196)</f>
        <v>4234.3999999999996</v>
      </c>
      <c r="L196" s="12">
        <f t="shared" ref="L196:L254" si="24">(I196-H196)/K196</f>
        <v>3.7785754770438656E-4</v>
      </c>
      <c r="N196">
        <f t="shared" si="18"/>
        <v>-3.549545742657978E-3</v>
      </c>
      <c r="O196">
        <f t="shared" si="19"/>
        <v>-9.3196644920801042E-4</v>
      </c>
      <c r="P196">
        <f t="shared" si="20"/>
        <v>-1.9076767245509347E-3</v>
      </c>
    </row>
    <row r="197" spans="1:16" x14ac:dyDescent="0.25">
      <c r="A197" s="2">
        <v>45995</v>
      </c>
      <c r="B197" s="3">
        <v>57.49</v>
      </c>
      <c r="C197" s="3">
        <v>57.6</v>
      </c>
      <c r="D197" s="4">
        <v>97124</v>
      </c>
      <c r="E197" s="3">
        <f t="shared" si="21"/>
        <v>57.545000000000002</v>
      </c>
      <c r="F197" s="3">
        <f t="shared" si="22"/>
        <v>1.9115474845772774E-3</v>
      </c>
      <c r="G197" s="11"/>
      <c r="H197" s="3">
        <v>4237.3999999999996</v>
      </c>
      <c r="I197" s="3">
        <v>4238.6000000000004</v>
      </c>
      <c r="J197" s="4">
        <v>155186</v>
      </c>
      <c r="K197" s="12">
        <f t="shared" si="23"/>
        <v>4238</v>
      </c>
      <c r="L197" s="12">
        <f t="shared" si="24"/>
        <v>2.8315243039186587E-4</v>
      </c>
      <c r="N197">
        <f t="shared" ref="N197:N254" si="25">E197/E196-1</f>
        <v>-2.3875153725456899E-2</v>
      </c>
      <c r="O197">
        <f t="shared" ref="O197:O228" si="26">K197/K196-1</f>
        <v>8.5017948233523377E-4</v>
      </c>
      <c r="P197">
        <f t="shared" ref="P197:P254" si="27">N197*$T$5+O197*$U$5</f>
        <v>-8.3662602001180909E-3</v>
      </c>
    </row>
    <row r="198" spans="1:16" x14ac:dyDescent="0.25">
      <c r="A198" s="5">
        <v>45996</v>
      </c>
      <c r="B198" s="6">
        <v>58.7</v>
      </c>
      <c r="C198" s="6">
        <v>58.99</v>
      </c>
      <c r="D198" s="7">
        <v>102351</v>
      </c>
      <c r="E198" s="3">
        <f t="shared" si="21"/>
        <v>58.844999999999999</v>
      </c>
      <c r="F198" s="3">
        <f t="shared" si="22"/>
        <v>4.9282012065595916E-3</v>
      </c>
      <c r="G198" s="11"/>
      <c r="H198" s="6">
        <v>4227</v>
      </c>
      <c r="I198" s="6">
        <v>4228.1000000000004</v>
      </c>
      <c r="J198" s="7">
        <v>190889</v>
      </c>
      <c r="K198" s="12">
        <f t="shared" si="23"/>
        <v>4227.55</v>
      </c>
      <c r="L198" s="12">
        <f t="shared" si="24"/>
        <v>2.6019798701384104E-4</v>
      </c>
      <c r="N198">
        <f t="shared" si="25"/>
        <v>2.2591015726822539E-2</v>
      </c>
      <c r="O198">
        <f t="shared" si="26"/>
        <v>-2.4657857479942757E-3</v>
      </c>
      <c r="P198">
        <f t="shared" si="27"/>
        <v>6.8742096925961133E-3</v>
      </c>
    </row>
    <row r="199" spans="1:16" x14ac:dyDescent="0.25">
      <c r="A199" s="2">
        <v>45999</v>
      </c>
      <c r="B199" s="3">
        <v>58.46</v>
      </c>
      <c r="C199" s="3">
        <v>58.524999999999999</v>
      </c>
      <c r="D199" s="4">
        <v>60317</v>
      </c>
      <c r="E199" s="3">
        <f t="shared" si="21"/>
        <v>58.4925</v>
      </c>
      <c r="F199" s="3">
        <f t="shared" si="22"/>
        <v>1.1112535795187028E-3</v>
      </c>
      <c r="G199" s="11"/>
      <c r="H199" s="3">
        <v>4219.1000000000004</v>
      </c>
      <c r="I199" s="3">
        <v>4220.3</v>
      </c>
      <c r="J199" s="4">
        <v>143397</v>
      </c>
      <c r="K199" s="12">
        <f t="shared" si="23"/>
        <v>4219.7000000000007</v>
      </c>
      <c r="L199" s="12">
        <f t="shared" si="24"/>
        <v>2.8438040618997037E-4</v>
      </c>
      <c r="N199">
        <f t="shared" si="25"/>
        <v>-5.990313535559455E-3</v>
      </c>
      <c r="O199">
        <f t="shared" si="26"/>
        <v>-1.8568674527797979E-3</v>
      </c>
      <c r="P199">
        <f t="shared" si="27"/>
        <v>-3.3976214714397327E-3</v>
      </c>
    </row>
    <row r="200" spans="1:16" x14ac:dyDescent="0.25">
      <c r="A200" s="5">
        <v>46000</v>
      </c>
      <c r="B200" s="6">
        <v>61.12</v>
      </c>
      <c r="C200" s="6">
        <v>61.22</v>
      </c>
      <c r="D200" s="7">
        <v>115710</v>
      </c>
      <c r="E200" s="3">
        <f t="shared" si="21"/>
        <v>61.17</v>
      </c>
      <c r="F200" s="3">
        <f t="shared" si="22"/>
        <v>1.6347882949158316E-3</v>
      </c>
      <c r="G200" s="11"/>
      <c r="H200" s="6">
        <v>4235.8</v>
      </c>
      <c r="I200" s="6">
        <v>4236.8999999999996</v>
      </c>
      <c r="J200" s="7">
        <v>174421</v>
      </c>
      <c r="K200" s="12">
        <f t="shared" si="23"/>
        <v>4236.3500000000004</v>
      </c>
      <c r="L200" s="12">
        <f t="shared" si="24"/>
        <v>2.5965748816775155E-4</v>
      </c>
      <c r="N200">
        <f t="shared" si="25"/>
        <v>4.5775099371714312E-2</v>
      </c>
      <c r="O200">
        <f t="shared" si="26"/>
        <v>3.9457781358862576E-3</v>
      </c>
      <c r="P200">
        <f t="shared" si="27"/>
        <v>1.9537778975190549E-2</v>
      </c>
    </row>
    <row r="201" spans="1:16" x14ac:dyDescent="0.25">
      <c r="A201" s="2">
        <v>46001</v>
      </c>
      <c r="B201" s="3">
        <v>62.134999999999998</v>
      </c>
      <c r="C201" s="3">
        <v>62.25</v>
      </c>
      <c r="D201" s="4">
        <v>118368</v>
      </c>
      <c r="E201" s="3">
        <f t="shared" si="21"/>
        <v>62.192499999999995</v>
      </c>
      <c r="F201" s="3">
        <f t="shared" si="22"/>
        <v>1.8490975599952085E-3</v>
      </c>
      <c r="G201" s="11"/>
      <c r="H201" s="3">
        <v>4257.7</v>
      </c>
      <c r="I201" s="3">
        <v>4259</v>
      </c>
      <c r="J201" s="4">
        <v>180543</v>
      </c>
      <c r="K201" s="12">
        <f t="shared" si="23"/>
        <v>4258.3500000000004</v>
      </c>
      <c r="L201" s="12">
        <f t="shared" si="24"/>
        <v>3.0528256249490572E-4</v>
      </c>
      <c r="N201">
        <f t="shared" si="25"/>
        <v>1.6715710315513999E-2</v>
      </c>
      <c r="O201">
        <f t="shared" si="26"/>
        <v>5.1931497633574963E-3</v>
      </c>
      <c r="P201">
        <f t="shared" si="27"/>
        <v>9.4882176366146587E-3</v>
      </c>
    </row>
    <row r="202" spans="1:16" x14ac:dyDescent="0.25">
      <c r="A202" s="5">
        <v>46002</v>
      </c>
      <c r="B202" s="6">
        <v>63.965000000000003</v>
      </c>
      <c r="C202" s="6">
        <v>63.99</v>
      </c>
      <c r="D202" s="7">
        <v>131321</v>
      </c>
      <c r="E202" s="3">
        <f t="shared" si="21"/>
        <v>63.977500000000006</v>
      </c>
      <c r="F202" s="3">
        <f t="shared" si="22"/>
        <v>3.9076237739828185E-4</v>
      </c>
      <c r="G202" s="11"/>
      <c r="H202" s="6">
        <v>4309.2</v>
      </c>
      <c r="I202" s="6">
        <v>4310.2</v>
      </c>
      <c r="J202" s="7">
        <v>220543</v>
      </c>
      <c r="K202" s="12">
        <f t="shared" si="23"/>
        <v>4309.7</v>
      </c>
      <c r="L202" s="12">
        <f t="shared" si="24"/>
        <v>2.3203471239297401E-4</v>
      </c>
      <c r="N202">
        <f t="shared" si="25"/>
        <v>2.8701209952968876E-2</v>
      </c>
      <c r="O202">
        <f t="shared" si="26"/>
        <v>1.2058661218546929E-2</v>
      </c>
      <c r="P202">
        <f t="shared" si="27"/>
        <v>1.8262219540048166E-2</v>
      </c>
    </row>
    <row r="203" spans="1:16" x14ac:dyDescent="0.25">
      <c r="A203" s="2">
        <v>46003</v>
      </c>
      <c r="B203" s="3">
        <v>62.07</v>
      </c>
      <c r="C203" s="3">
        <v>62.094999999999999</v>
      </c>
      <c r="D203" s="4">
        <v>187300</v>
      </c>
      <c r="E203" s="3">
        <f t="shared" si="21"/>
        <v>62.082499999999996</v>
      </c>
      <c r="F203" s="3">
        <f t="shared" si="22"/>
        <v>4.0268996899284952E-4</v>
      </c>
      <c r="G203" s="11"/>
      <c r="H203" s="3">
        <v>4329.2</v>
      </c>
      <c r="I203" s="3">
        <v>4330.2</v>
      </c>
      <c r="J203" s="4">
        <v>283739</v>
      </c>
      <c r="K203" s="12">
        <f t="shared" si="23"/>
        <v>4329.7</v>
      </c>
      <c r="L203" s="12">
        <f t="shared" si="24"/>
        <v>2.309628842644987E-4</v>
      </c>
      <c r="N203">
        <f t="shared" si="25"/>
        <v>-2.9619788206791564E-2</v>
      </c>
      <c r="O203">
        <f t="shared" si="26"/>
        <v>4.6406942478594004E-3</v>
      </c>
      <c r="P203">
        <f t="shared" si="27"/>
        <v>-8.1299999782362079E-3</v>
      </c>
    </row>
    <row r="204" spans="1:16" x14ac:dyDescent="0.25">
      <c r="A204" s="5">
        <v>46006</v>
      </c>
      <c r="B204" s="6">
        <v>63.99</v>
      </c>
      <c r="C204" s="6">
        <v>64.155000000000001</v>
      </c>
      <c r="D204" s="7">
        <v>111259</v>
      </c>
      <c r="E204" s="3">
        <f t="shared" si="21"/>
        <v>64.072500000000005</v>
      </c>
      <c r="F204" s="3">
        <f t="shared" si="22"/>
        <v>2.5752077724452635E-3</v>
      </c>
      <c r="G204" s="11"/>
      <c r="H204" s="6">
        <v>4333.8</v>
      </c>
      <c r="I204" s="6">
        <v>4334.8999999999996</v>
      </c>
      <c r="J204" s="7">
        <v>201541</v>
      </c>
      <c r="K204" s="12">
        <f t="shared" si="23"/>
        <v>4334.3500000000004</v>
      </c>
      <c r="L204" s="12">
        <f t="shared" si="24"/>
        <v>2.537866116025365E-4</v>
      </c>
      <c r="N204">
        <f t="shared" si="25"/>
        <v>3.2054121531832847E-2</v>
      </c>
      <c r="O204">
        <f t="shared" si="26"/>
        <v>1.0739774118300183E-3</v>
      </c>
      <c r="P204">
        <f t="shared" si="27"/>
        <v>1.2621916007283769E-2</v>
      </c>
    </row>
    <row r="205" spans="1:16" x14ac:dyDescent="0.25">
      <c r="A205" s="2">
        <v>46007</v>
      </c>
      <c r="B205" s="3">
        <v>63.77</v>
      </c>
      <c r="C205" s="3">
        <v>63.895000000000003</v>
      </c>
      <c r="D205" s="4">
        <v>95023</v>
      </c>
      <c r="E205" s="3">
        <f t="shared" si="21"/>
        <v>63.832500000000003</v>
      </c>
      <c r="F205" s="3">
        <f t="shared" si="22"/>
        <v>1.958250107703756E-3</v>
      </c>
      <c r="G205" s="11"/>
      <c r="H205" s="3">
        <v>4332.1000000000004</v>
      </c>
      <c r="I205" s="3">
        <v>4332.8</v>
      </c>
      <c r="J205" s="4">
        <v>206463</v>
      </c>
      <c r="K205" s="12">
        <f t="shared" si="23"/>
        <v>4332.4500000000007</v>
      </c>
      <c r="L205" s="12">
        <f t="shared" si="24"/>
        <v>1.6157139724631974E-4</v>
      </c>
      <c r="N205">
        <f t="shared" si="25"/>
        <v>-3.7457567599203934E-3</v>
      </c>
      <c r="O205">
        <f t="shared" si="26"/>
        <v>-4.3835869276820372E-4</v>
      </c>
      <c r="P205">
        <f t="shared" si="27"/>
        <v>-1.6712009172023881E-3</v>
      </c>
    </row>
    <row r="206" spans="1:16" x14ac:dyDescent="0.25">
      <c r="A206" s="5">
        <v>46008</v>
      </c>
      <c r="B206" s="6">
        <v>66.349999999999994</v>
      </c>
      <c r="C206" s="6">
        <v>66.53</v>
      </c>
      <c r="D206" s="7">
        <v>145011</v>
      </c>
      <c r="E206" s="3">
        <f t="shared" si="21"/>
        <v>66.44</v>
      </c>
      <c r="F206" s="3">
        <f t="shared" si="22"/>
        <v>2.7092113184829444E-3</v>
      </c>
      <c r="G206" s="11"/>
      <c r="H206" s="6">
        <v>4370.8</v>
      </c>
      <c r="I206" s="6">
        <v>4371.3999999999996</v>
      </c>
      <c r="J206" s="7">
        <v>205686</v>
      </c>
      <c r="K206" s="12">
        <f t="shared" si="23"/>
        <v>4371.1000000000004</v>
      </c>
      <c r="L206" s="12">
        <f t="shared" si="24"/>
        <v>1.3726521928106295E-4</v>
      </c>
      <c r="N206">
        <f t="shared" si="25"/>
        <v>4.0849097246700161E-2</v>
      </c>
      <c r="O206">
        <f t="shared" si="26"/>
        <v>8.9210492908169403E-3</v>
      </c>
      <c r="P206">
        <f t="shared" si="27"/>
        <v>2.0822321791004662E-2</v>
      </c>
    </row>
    <row r="207" spans="1:16" x14ac:dyDescent="0.25">
      <c r="A207" s="2">
        <v>46009</v>
      </c>
      <c r="B207" s="3">
        <v>65.344999999999999</v>
      </c>
      <c r="C207" s="3">
        <v>65.5</v>
      </c>
      <c r="D207" s="4">
        <v>110401</v>
      </c>
      <c r="E207" s="3">
        <f t="shared" si="21"/>
        <v>65.422499999999999</v>
      </c>
      <c r="F207" s="3">
        <f t="shared" si="22"/>
        <v>2.3692154839695997E-3</v>
      </c>
      <c r="G207" s="11"/>
      <c r="H207" s="3">
        <v>4363.3</v>
      </c>
      <c r="I207" s="3">
        <v>4364.5</v>
      </c>
      <c r="J207" s="4">
        <v>228606</v>
      </c>
      <c r="K207" s="12">
        <f t="shared" si="23"/>
        <v>4363.8999999999996</v>
      </c>
      <c r="L207" s="12">
        <f t="shared" si="24"/>
        <v>2.7498338642036209E-4</v>
      </c>
      <c r="N207">
        <f t="shared" si="25"/>
        <v>-1.531456953642385E-2</v>
      </c>
      <c r="O207">
        <f t="shared" si="26"/>
        <v>-1.647182631374422E-3</v>
      </c>
      <c r="P207">
        <f t="shared" si="27"/>
        <v>-6.7417407499053778E-3</v>
      </c>
    </row>
    <row r="208" spans="1:16" x14ac:dyDescent="0.25">
      <c r="A208" s="5">
        <v>46010</v>
      </c>
      <c r="B208" s="6">
        <v>67.37</v>
      </c>
      <c r="C208" s="6">
        <v>67.489999999999995</v>
      </c>
      <c r="D208" s="7">
        <v>94531</v>
      </c>
      <c r="E208" s="3">
        <f t="shared" si="21"/>
        <v>67.430000000000007</v>
      </c>
      <c r="F208" s="3">
        <f t="shared" si="22"/>
        <v>1.7796233130652577E-3</v>
      </c>
      <c r="G208" s="11"/>
      <c r="H208" s="6">
        <v>4368.1000000000004</v>
      </c>
      <c r="I208" s="6">
        <v>4369.3</v>
      </c>
      <c r="J208" s="7">
        <v>161163</v>
      </c>
      <c r="K208" s="12">
        <f t="shared" si="23"/>
        <v>4368.7000000000007</v>
      </c>
      <c r="L208" s="12">
        <f t="shared" si="24"/>
        <v>2.74681255293295E-4</v>
      </c>
      <c r="N208">
        <f t="shared" si="25"/>
        <v>3.0685161832702867E-2</v>
      </c>
      <c r="O208">
        <f t="shared" si="26"/>
        <v>1.0999335456818304E-3</v>
      </c>
      <c r="P208">
        <f t="shared" si="27"/>
        <v>1.2127913217681145E-2</v>
      </c>
    </row>
    <row r="209" spans="1:16" x14ac:dyDescent="0.25">
      <c r="A209" s="2">
        <v>46013</v>
      </c>
      <c r="B209" s="3">
        <v>69.05</v>
      </c>
      <c r="C209" s="3">
        <v>69.12</v>
      </c>
      <c r="D209" s="4">
        <v>97372</v>
      </c>
      <c r="E209" s="3">
        <f t="shared" si="21"/>
        <v>69.085000000000008</v>
      </c>
      <c r="F209" s="3">
        <f t="shared" si="22"/>
        <v>1.0132445538106301E-3</v>
      </c>
      <c r="G209" s="11"/>
      <c r="H209" s="3">
        <v>4479.8</v>
      </c>
      <c r="I209" s="3">
        <v>4480.8999999999996</v>
      </c>
      <c r="J209" s="4">
        <v>198496</v>
      </c>
      <c r="K209" s="12">
        <f t="shared" si="23"/>
        <v>4480.3500000000004</v>
      </c>
      <c r="L209" s="12">
        <f t="shared" si="24"/>
        <v>2.4551653330642787E-4</v>
      </c>
      <c r="N209">
        <f t="shared" si="25"/>
        <v>2.4543971526026942E-2</v>
      </c>
      <c r="O209">
        <f t="shared" si="26"/>
        <v>2.5556801794584194E-2</v>
      </c>
      <c r="P209">
        <f t="shared" si="27"/>
        <v>2.5179266373715564E-2</v>
      </c>
    </row>
    <row r="210" spans="1:16" x14ac:dyDescent="0.25">
      <c r="A210" s="5">
        <v>46014</v>
      </c>
      <c r="B210" s="6">
        <v>71.504999999999995</v>
      </c>
      <c r="C210" s="6">
        <v>71.650000000000006</v>
      </c>
      <c r="D210" s="7">
        <v>127435</v>
      </c>
      <c r="E210" s="3">
        <f t="shared" si="21"/>
        <v>71.577500000000001</v>
      </c>
      <c r="F210" s="3">
        <f t="shared" si="22"/>
        <v>2.0257762565053295E-3</v>
      </c>
      <c r="G210" s="11"/>
      <c r="H210" s="6">
        <v>4512</v>
      </c>
      <c r="I210" s="6">
        <v>4515.5</v>
      </c>
      <c r="J210" s="7">
        <v>241461</v>
      </c>
      <c r="K210" s="12">
        <f t="shared" si="23"/>
        <v>4513.75</v>
      </c>
      <c r="L210" s="12">
        <f t="shared" si="24"/>
        <v>7.7540847410689556E-4</v>
      </c>
      <c r="N210">
        <f t="shared" si="25"/>
        <v>3.6078743576753114E-2</v>
      </c>
      <c r="O210">
        <f t="shared" si="26"/>
        <v>7.4547747385806939E-3</v>
      </c>
      <c r="P210">
        <f t="shared" si="27"/>
        <v>1.8124442162366923E-2</v>
      </c>
    </row>
    <row r="211" spans="1:16" x14ac:dyDescent="0.25">
      <c r="A211" s="2">
        <v>46015</v>
      </c>
      <c r="B211" s="3">
        <v>71.734999999999999</v>
      </c>
      <c r="C211" s="3">
        <v>71.98</v>
      </c>
      <c r="D211" s="4">
        <v>94695</v>
      </c>
      <c r="E211" s="3">
        <f t="shared" si="21"/>
        <v>71.857500000000002</v>
      </c>
      <c r="F211" s="3">
        <f t="shared" si="22"/>
        <v>3.4095257975855623E-3</v>
      </c>
      <c r="G211" s="11"/>
      <c r="H211" s="3">
        <v>4505.2</v>
      </c>
      <c r="I211" s="3">
        <v>4505.6000000000004</v>
      </c>
      <c r="J211" s="4">
        <v>149923</v>
      </c>
      <c r="K211" s="12">
        <f t="shared" si="23"/>
        <v>4505.3999999999996</v>
      </c>
      <c r="L211" s="12">
        <f t="shared" si="24"/>
        <v>8.8782350068927451E-5</v>
      </c>
      <c r="N211">
        <f t="shared" si="25"/>
        <v>3.9118438056651161E-3</v>
      </c>
      <c r="O211">
        <f t="shared" si="26"/>
        <v>-1.8499030739408395E-3</v>
      </c>
      <c r="P211">
        <f t="shared" si="27"/>
        <v>2.9780479050633057E-4</v>
      </c>
    </row>
    <row r="212" spans="1:16" x14ac:dyDescent="0.25">
      <c r="A212" s="5">
        <v>46017</v>
      </c>
      <c r="B212" s="6">
        <v>79.319999999999993</v>
      </c>
      <c r="C212" s="6">
        <v>79.709999999999994</v>
      </c>
      <c r="D212" s="7">
        <v>171043</v>
      </c>
      <c r="E212" s="3">
        <f t="shared" si="21"/>
        <v>79.514999999999986</v>
      </c>
      <c r="F212" s="3">
        <f t="shared" si="22"/>
        <v>4.9047349556687499E-3</v>
      </c>
      <c r="G212" s="11"/>
      <c r="H212" s="6">
        <v>4561</v>
      </c>
      <c r="I212" s="6">
        <v>4562.8999999999996</v>
      </c>
      <c r="J212" s="7">
        <v>179107</v>
      </c>
      <c r="K212" s="12">
        <f t="shared" si="23"/>
        <v>4561.95</v>
      </c>
      <c r="L212" s="12">
        <f t="shared" si="24"/>
        <v>4.1648856300477563E-4</v>
      </c>
      <c r="N212">
        <f t="shared" si="25"/>
        <v>0.10656507671433024</v>
      </c>
      <c r="O212">
        <f t="shared" si="26"/>
        <v>1.2551604740977496E-2</v>
      </c>
      <c r="P212">
        <f t="shared" si="27"/>
        <v>4.7595399156146613E-2</v>
      </c>
    </row>
    <row r="213" spans="1:16" x14ac:dyDescent="0.25">
      <c r="A213" s="2">
        <v>46020</v>
      </c>
      <c r="B213" s="3">
        <v>71.510000000000005</v>
      </c>
      <c r="C213" s="3">
        <v>71.685000000000002</v>
      </c>
      <c r="D213" s="4">
        <v>248836</v>
      </c>
      <c r="E213" s="3">
        <f t="shared" si="21"/>
        <v>71.597499999999997</v>
      </c>
      <c r="F213" s="3">
        <f t="shared" si="22"/>
        <v>2.4442194210691319E-3</v>
      </c>
      <c r="G213" s="11"/>
      <c r="H213" s="3">
        <v>4348</v>
      </c>
      <c r="I213" s="3">
        <v>4350.7</v>
      </c>
      <c r="J213" s="4">
        <v>307775</v>
      </c>
      <c r="K213" s="12">
        <f t="shared" si="23"/>
        <v>4349.3500000000004</v>
      </c>
      <c r="L213" s="12">
        <f t="shared" si="24"/>
        <v>6.2078241576323315E-4</v>
      </c>
      <c r="N213">
        <f t="shared" si="25"/>
        <v>-9.9572407721813416E-2</v>
      </c>
      <c r="O213">
        <f t="shared" si="26"/>
        <v>-4.6602878155174721E-2</v>
      </c>
      <c r="P213">
        <f t="shared" si="27"/>
        <v>-6.6347423968009356E-2</v>
      </c>
    </row>
    <row r="214" spans="1:16" x14ac:dyDescent="0.25">
      <c r="A214" s="5">
        <v>46021</v>
      </c>
      <c r="B214" s="6">
        <v>75.935000000000002</v>
      </c>
      <c r="C214" s="6">
        <v>76.094999999999999</v>
      </c>
      <c r="D214" s="7">
        <v>167114</v>
      </c>
      <c r="E214" s="3">
        <f t="shared" si="21"/>
        <v>76.015000000000001</v>
      </c>
      <c r="F214" s="3">
        <f t="shared" si="22"/>
        <v>2.1048477274221745E-3</v>
      </c>
      <c r="G214" s="11"/>
      <c r="H214" s="6">
        <v>4350.8999999999996</v>
      </c>
      <c r="I214" s="6">
        <v>4356.2</v>
      </c>
      <c r="J214" s="7">
        <v>185585</v>
      </c>
      <c r="K214" s="12">
        <f t="shared" si="23"/>
        <v>4353.5499999999993</v>
      </c>
      <c r="L214" s="12">
        <f t="shared" si="24"/>
        <v>1.2173972964592535E-3</v>
      </c>
      <c r="N214">
        <f t="shared" si="25"/>
        <v>6.1699081671846123E-2</v>
      </c>
      <c r="O214">
        <f t="shared" si="26"/>
        <v>9.6566153563149015E-4</v>
      </c>
      <c r="P214">
        <f t="shared" si="27"/>
        <v>2.3604220081654061E-2</v>
      </c>
    </row>
    <row r="215" spans="1:16" x14ac:dyDescent="0.25">
      <c r="A215" s="2">
        <v>46022</v>
      </c>
      <c r="B215" s="3">
        <v>70.900000000000006</v>
      </c>
      <c r="C215" s="3">
        <v>71</v>
      </c>
      <c r="D215" s="4">
        <v>144777</v>
      </c>
      <c r="E215" s="3">
        <f t="shared" si="21"/>
        <v>70.95</v>
      </c>
      <c r="F215" s="3">
        <f t="shared" si="22"/>
        <v>1.409443269908306E-3</v>
      </c>
      <c r="G215" s="11"/>
      <c r="H215" s="3">
        <v>4327.3999999999996</v>
      </c>
      <c r="I215" s="3">
        <v>4337</v>
      </c>
      <c r="J215" s="4">
        <v>159687</v>
      </c>
      <c r="K215" s="12">
        <f t="shared" si="23"/>
        <v>4332.2</v>
      </c>
      <c r="L215" s="12">
        <f t="shared" si="24"/>
        <v>2.2159641752459176E-3</v>
      </c>
      <c r="N215">
        <f t="shared" si="25"/>
        <v>-6.6631585871209653E-2</v>
      </c>
      <c r="O215">
        <f t="shared" si="26"/>
        <v>-4.9040438263024955E-3</v>
      </c>
      <c r="P215">
        <f t="shared" si="27"/>
        <v>-2.7913164197780366E-2</v>
      </c>
    </row>
    <row r="216" spans="1:16" x14ac:dyDescent="0.25">
      <c r="A216" s="5">
        <v>46024</v>
      </c>
      <c r="B216" s="6">
        <v>72.03</v>
      </c>
      <c r="C216" s="6">
        <v>72.31</v>
      </c>
      <c r="D216" s="7">
        <v>99463</v>
      </c>
      <c r="E216" s="3">
        <f t="shared" si="21"/>
        <v>72.17</v>
      </c>
      <c r="F216" s="3">
        <f t="shared" si="22"/>
        <v>3.8797284190106849E-3</v>
      </c>
      <c r="G216" s="11"/>
      <c r="H216" s="6">
        <v>4340</v>
      </c>
      <c r="I216" s="6">
        <v>4344</v>
      </c>
      <c r="J216" s="7">
        <v>149435</v>
      </c>
      <c r="K216" s="12">
        <f t="shared" si="23"/>
        <v>4342</v>
      </c>
      <c r="L216" s="12">
        <f t="shared" si="24"/>
        <v>9.2123445416858593E-4</v>
      </c>
      <c r="N216">
        <f t="shared" si="25"/>
        <v>1.7195207892882314E-2</v>
      </c>
      <c r="O216">
        <f t="shared" si="26"/>
        <v>2.2621300955634194E-3</v>
      </c>
      <c r="P216">
        <f t="shared" si="27"/>
        <v>7.828478166011215E-3</v>
      </c>
    </row>
    <row r="217" spans="1:16" x14ac:dyDescent="0.25">
      <c r="A217" s="2">
        <v>46027</v>
      </c>
      <c r="B217" s="3">
        <v>76.495000000000005</v>
      </c>
      <c r="C217" s="3">
        <v>76.515000000000001</v>
      </c>
      <c r="D217" s="4">
        <v>131071</v>
      </c>
      <c r="E217" s="3">
        <f t="shared" si="21"/>
        <v>76.504999999999995</v>
      </c>
      <c r="F217" s="3">
        <f t="shared" si="22"/>
        <v>2.614208221684337E-4</v>
      </c>
      <c r="G217" s="11"/>
      <c r="H217" s="3">
        <v>4455</v>
      </c>
      <c r="I217" s="3">
        <v>4461.1000000000004</v>
      </c>
      <c r="J217" s="4">
        <v>207130</v>
      </c>
      <c r="K217" s="12">
        <f t="shared" si="23"/>
        <v>4458.05</v>
      </c>
      <c r="L217" s="12">
        <f t="shared" si="24"/>
        <v>1.3683112571640883E-3</v>
      </c>
      <c r="N217">
        <f t="shared" si="25"/>
        <v>6.0066509630040121E-2</v>
      </c>
      <c r="O217">
        <f t="shared" si="26"/>
        <v>2.6727314601566077E-2</v>
      </c>
      <c r="P217">
        <f t="shared" si="27"/>
        <v>3.915459626686002E-2</v>
      </c>
    </row>
    <row r="218" spans="1:16" x14ac:dyDescent="0.25">
      <c r="A218" s="5">
        <v>46028</v>
      </c>
      <c r="B218" s="6">
        <v>81.03</v>
      </c>
      <c r="C218" s="6">
        <v>81.234999999999999</v>
      </c>
      <c r="D218" s="7">
        <v>136240</v>
      </c>
      <c r="E218" s="3">
        <f t="shared" si="21"/>
        <v>81.132499999999993</v>
      </c>
      <c r="F218" s="3">
        <f t="shared" si="22"/>
        <v>2.5267309647798147E-3</v>
      </c>
      <c r="G218" s="11"/>
      <c r="H218" s="6">
        <v>4505.2</v>
      </c>
      <c r="I218" s="6">
        <v>4506.3999999999996</v>
      </c>
      <c r="J218" s="7">
        <v>167179</v>
      </c>
      <c r="K218" s="12">
        <f t="shared" si="23"/>
        <v>4505.7999999999993</v>
      </c>
      <c r="L218" s="12">
        <f t="shared" si="24"/>
        <v>2.6632340538856989E-4</v>
      </c>
      <c r="N218">
        <f t="shared" si="25"/>
        <v>6.0486242729233419E-2</v>
      </c>
      <c r="O218">
        <f t="shared" si="26"/>
        <v>1.071096107042302E-2</v>
      </c>
      <c r="P218">
        <f t="shared" si="27"/>
        <v>2.9264841708964907E-2</v>
      </c>
    </row>
    <row r="219" spans="1:16" x14ac:dyDescent="0.25">
      <c r="A219" s="2">
        <v>46029</v>
      </c>
      <c r="B219" s="3">
        <v>77.77</v>
      </c>
      <c r="C219" s="3">
        <v>78.064999999999998</v>
      </c>
      <c r="D219" s="4">
        <v>148089</v>
      </c>
      <c r="E219" s="3">
        <f t="shared" si="21"/>
        <v>77.91749999999999</v>
      </c>
      <c r="F219" s="3">
        <f t="shared" si="22"/>
        <v>3.786055764109497E-3</v>
      </c>
      <c r="G219" s="11"/>
      <c r="H219" s="3">
        <v>4466.2</v>
      </c>
      <c r="I219" s="3">
        <v>4467.2</v>
      </c>
      <c r="J219" s="4">
        <v>197060</v>
      </c>
      <c r="K219" s="12">
        <f t="shared" si="23"/>
        <v>4466.7</v>
      </c>
      <c r="L219" s="12">
        <f t="shared" si="24"/>
        <v>2.238789262766696E-4</v>
      </c>
      <c r="N219">
        <f t="shared" si="25"/>
        <v>-3.9626536837888637E-2</v>
      </c>
      <c r="O219">
        <f t="shared" si="26"/>
        <v>-8.6777042922454584E-3</v>
      </c>
      <c r="P219">
        <f t="shared" si="27"/>
        <v>-2.0213971407520431E-2</v>
      </c>
    </row>
    <row r="220" spans="1:16" x14ac:dyDescent="0.25">
      <c r="A220" s="5">
        <v>46030</v>
      </c>
      <c r="B220" s="6">
        <v>76.454999999999998</v>
      </c>
      <c r="C220" s="6">
        <v>76.709999999999994</v>
      </c>
      <c r="D220" s="7">
        <v>121268</v>
      </c>
      <c r="E220" s="3">
        <f t="shared" si="21"/>
        <v>76.582499999999996</v>
      </c>
      <c r="F220" s="3">
        <f t="shared" si="22"/>
        <v>3.329742434629262E-3</v>
      </c>
      <c r="G220" s="11"/>
      <c r="H220" s="6">
        <v>4487.2</v>
      </c>
      <c r="I220" s="6">
        <v>4488.3</v>
      </c>
      <c r="J220" s="7">
        <v>191870</v>
      </c>
      <c r="K220" s="12">
        <f t="shared" si="23"/>
        <v>4487.75</v>
      </c>
      <c r="L220" s="12">
        <f t="shared" si="24"/>
        <v>2.4511169294197843E-4</v>
      </c>
      <c r="N220">
        <f t="shared" si="25"/>
        <v>-1.7133506593512315E-2</v>
      </c>
      <c r="O220">
        <f t="shared" si="26"/>
        <v>4.7126513981239349E-3</v>
      </c>
      <c r="P220">
        <f t="shared" si="27"/>
        <v>-3.4305673698968773E-3</v>
      </c>
    </row>
    <row r="221" spans="1:16" x14ac:dyDescent="0.25">
      <c r="A221" s="2">
        <v>46031</v>
      </c>
      <c r="B221" s="3">
        <v>79.41</v>
      </c>
      <c r="C221" s="3">
        <v>79.849999999999994</v>
      </c>
      <c r="D221" s="4">
        <v>116587</v>
      </c>
      <c r="E221" s="3">
        <f t="shared" si="21"/>
        <v>79.63</v>
      </c>
      <c r="F221" s="3">
        <f t="shared" si="22"/>
        <v>5.5255556950897624E-3</v>
      </c>
      <c r="G221" s="11"/>
      <c r="H221" s="3">
        <v>4517.8</v>
      </c>
      <c r="I221" s="3">
        <v>4518.3999999999996</v>
      </c>
      <c r="J221" s="4">
        <v>198002</v>
      </c>
      <c r="K221" s="12">
        <f t="shared" si="23"/>
        <v>4518.1000000000004</v>
      </c>
      <c r="L221" s="12">
        <f t="shared" si="24"/>
        <v>1.3279918549820814E-4</v>
      </c>
      <c r="N221">
        <f t="shared" si="25"/>
        <v>3.9793686547187734E-2</v>
      </c>
      <c r="O221">
        <f t="shared" si="26"/>
        <v>6.7628544370788024E-3</v>
      </c>
      <c r="P221">
        <f t="shared" si="27"/>
        <v>1.9075192929978141E-2</v>
      </c>
    </row>
    <row r="222" spans="1:16" x14ac:dyDescent="0.25">
      <c r="A222" s="5">
        <v>46034</v>
      </c>
      <c r="B222" s="6">
        <v>84.71</v>
      </c>
      <c r="C222" s="6">
        <v>85.174999999999997</v>
      </c>
      <c r="D222" s="7">
        <v>145956</v>
      </c>
      <c r="E222" s="3">
        <f t="shared" si="21"/>
        <v>84.942499999999995</v>
      </c>
      <c r="F222" s="3">
        <f t="shared" si="22"/>
        <v>5.4742914324396319E-3</v>
      </c>
      <c r="G222" s="11"/>
      <c r="H222" s="6">
        <v>4607.8999999999996</v>
      </c>
      <c r="I222" s="6">
        <v>4609</v>
      </c>
      <c r="J222" s="7">
        <v>281875</v>
      </c>
      <c r="K222" s="12">
        <f t="shared" si="23"/>
        <v>4608.45</v>
      </c>
      <c r="L222" s="12">
        <f t="shared" si="24"/>
        <v>2.3869196801535523E-4</v>
      </c>
      <c r="N222">
        <f t="shared" si="25"/>
        <v>6.6714805977646563E-2</v>
      </c>
      <c r="O222">
        <f t="shared" si="26"/>
        <v>1.9997344016289942E-2</v>
      </c>
      <c r="P222">
        <f t="shared" si="27"/>
        <v>3.741141349174025E-2</v>
      </c>
    </row>
    <row r="223" spans="1:16" x14ac:dyDescent="0.25">
      <c r="A223" s="2">
        <v>46035</v>
      </c>
      <c r="B223" s="3">
        <v>86.71</v>
      </c>
      <c r="C223" s="3">
        <v>86.92</v>
      </c>
      <c r="D223" s="4">
        <v>159191</v>
      </c>
      <c r="E223" s="3">
        <f t="shared" si="21"/>
        <v>86.814999999999998</v>
      </c>
      <c r="F223" s="3">
        <f t="shared" si="22"/>
        <v>2.4189368196741111E-3</v>
      </c>
      <c r="G223" s="11"/>
      <c r="H223" s="3">
        <v>4593.8999999999996</v>
      </c>
      <c r="I223" s="3">
        <v>4595</v>
      </c>
      <c r="J223" s="4">
        <v>249097</v>
      </c>
      <c r="K223" s="12">
        <f t="shared" si="23"/>
        <v>4594.45</v>
      </c>
      <c r="L223" s="12">
        <f t="shared" si="24"/>
        <v>2.3941929937214767E-4</v>
      </c>
      <c r="N223">
        <f t="shared" si="25"/>
        <v>2.2044324101598178E-2</v>
      </c>
      <c r="O223">
        <f t="shared" si="26"/>
        <v>-3.0378977747398395E-3</v>
      </c>
      <c r="P223">
        <f t="shared" si="27"/>
        <v>6.3115731942632487E-3</v>
      </c>
    </row>
    <row r="224" spans="1:16" x14ac:dyDescent="0.25">
      <c r="A224" s="5">
        <v>46036</v>
      </c>
      <c r="B224" s="6">
        <v>92.3</v>
      </c>
      <c r="C224" s="6">
        <v>93.4</v>
      </c>
      <c r="D224" s="7">
        <v>210014</v>
      </c>
      <c r="E224" s="3">
        <f t="shared" si="21"/>
        <v>92.85</v>
      </c>
      <c r="F224" s="3">
        <f t="shared" si="22"/>
        <v>1.1847065158858467E-2</v>
      </c>
      <c r="G224" s="11"/>
      <c r="H224" s="6">
        <v>4625.5</v>
      </c>
      <c r="I224" s="6">
        <v>4634</v>
      </c>
      <c r="J224" s="7">
        <v>290357</v>
      </c>
      <c r="K224" s="12">
        <f t="shared" si="23"/>
        <v>4629.75</v>
      </c>
      <c r="L224" s="12">
        <f t="shared" si="24"/>
        <v>1.8359522652411037E-3</v>
      </c>
      <c r="N224">
        <f t="shared" si="25"/>
        <v>6.9515636698727068E-2</v>
      </c>
      <c r="O224">
        <f t="shared" si="26"/>
        <v>7.6831829707582067E-3</v>
      </c>
      <c r="P224">
        <f t="shared" si="27"/>
        <v>3.0731409476450609E-2</v>
      </c>
    </row>
    <row r="225" spans="1:16" x14ac:dyDescent="0.25">
      <c r="A225" s="2">
        <v>46037</v>
      </c>
      <c r="B225" s="3">
        <v>92.105000000000004</v>
      </c>
      <c r="C225" s="3">
        <v>92.334999999999994</v>
      </c>
      <c r="D225" s="4">
        <v>204941</v>
      </c>
      <c r="E225" s="3">
        <f t="shared" si="21"/>
        <v>92.22</v>
      </c>
      <c r="F225" s="3">
        <f t="shared" si="22"/>
        <v>2.4940360008673798E-3</v>
      </c>
      <c r="G225" s="11"/>
      <c r="H225" s="3">
        <v>4619.8999999999996</v>
      </c>
      <c r="I225" s="3">
        <v>4620.8999999999996</v>
      </c>
      <c r="J225" s="4">
        <v>223238</v>
      </c>
      <c r="K225" s="12">
        <f t="shared" si="23"/>
        <v>4620.3999999999996</v>
      </c>
      <c r="L225" s="12">
        <f t="shared" si="24"/>
        <v>2.1643147779413041E-4</v>
      </c>
      <c r="N225">
        <f t="shared" si="25"/>
        <v>-6.7851373182552521E-3</v>
      </c>
      <c r="O225">
        <f t="shared" si="26"/>
        <v>-2.0195474917652501E-3</v>
      </c>
      <c r="P225">
        <f t="shared" si="27"/>
        <v>-3.7959349247692455E-3</v>
      </c>
    </row>
    <row r="226" spans="1:16" x14ac:dyDescent="0.25">
      <c r="A226" s="5">
        <v>46038</v>
      </c>
      <c r="B226" s="6">
        <v>89.93</v>
      </c>
      <c r="C226" s="6">
        <v>89.984999999999999</v>
      </c>
      <c r="D226" s="7">
        <v>154592</v>
      </c>
      <c r="E226" s="3">
        <f t="shared" si="21"/>
        <v>89.95750000000001</v>
      </c>
      <c r="F226" s="3">
        <f t="shared" si="22"/>
        <v>6.1139982769632998E-4</v>
      </c>
      <c r="G226" s="11"/>
      <c r="H226" s="6">
        <v>4600.3999999999996</v>
      </c>
      <c r="I226" s="6">
        <v>4601.5</v>
      </c>
      <c r="J226" s="7">
        <v>243413</v>
      </c>
      <c r="K226" s="12">
        <f t="shared" si="23"/>
        <v>4600.95</v>
      </c>
      <c r="L226" s="12">
        <f t="shared" si="24"/>
        <v>2.3908105934651841E-4</v>
      </c>
      <c r="N226">
        <f t="shared" si="25"/>
        <v>-2.4533723704185495E-2</v>
      </c>
      <c r="O226">
        <f t="shared" si="26"/>
        <v>-4.2095922430958055E-3</v>
      </c>
      <c r="P226">
        <f t="shared" si="27"/>
        <v>-1.1785471206391345E-2</v>
      </c>
    </row>
    <row r="227" spans="1:16" x14ac:dyDescent="0.25">
      <c r="A227" s="2">
        <v>46042</v>
      </c>
      <c r="B227" s="3">
        <v>94.44</v>
      </c>
      <c r="C227" s="3">
        <v>94.61</v>
      </c>
      <c r="D227" s="4">
        <v>196697</v>
      </c>
      <c r="E227" s="3">
        <f t="shared" si="21"/>
        <v>94.525000000000006</v>
      </c>
      <c r="F227" s="3">
        <f t="shared" si="22"/>
        <v>1.798466014281954E-3</v>
      </c>
      <c r="G227" s="11"/>
      <c r="H227" s="3">
        <v>4768.3</v>
      </c>
      <c r="I227" s="3">
        <v>4769.3999999999996</v>
      </c>
      <c r="J227" s="4">
        <v>406381</v>
      </c>
      <c r="K227" s="12">
        <f t="shared" si="23"/>
        <v>4768.8500000000004</v>
      </c>
      <c r="L227" s="12">
        <f t="shared" si="24"/>
        <v>2.3066357717257919E-4</v>
      </c>
      <c r="N227">
        <f t="shared" si="25"/>
        <v>5.0773976600060999E-2</v>
      </c>
      <c r="O227">
        <f t="shared" si="26"/>
        <v>3.6492463512970197E-2</v>
      </c>
      <c r="P227">
        <f t="shared" si="27"/>
        <v>4.1815938947463382E-2</v>
      </c>
    </row>
    <row r="228" spans="1:16" x14ac:dyDescent="0.25">
      <c r="A228" s="5">
        <v>46043</v>
      </c>
      <c r="B228" s="6">
        <v>92.685000000000002</v>
      </c>
      <c r="C228" s="6">
        <v>93.284999999999997</v>
      </c>
      <c r="D228" s="7">
        <v>126385</v>
      </c>
      <c r="E228" s="3">
        <f t="shared" si="21"/>
        <v>92.984999999999999</v>
      </c>
      <c r="F228" s="3">
        <f t="shared" si="22"/>
        <v>6.4526536538150707E-3</v>
      </c>
      <c r="G228" s="11"/>
      <c r="H228" s="6">
        <v>4835.1000000000004</v>
      </c>
      <c r="I228" s="6">
        <v>4836.7</v>
      </c>
      <c r="J228" s="7">
        <v>390264</v>
      </c>
      <c r="K228" s="12">
        <f t="shared" si="23"/>
        <v>4835.8999999999996</v>
      </c>
      <c r="L228" s="12">
        <f t="shared" si="24"/>
        <v>3.3085878533457153E-4</v>
      </c>
      <c r="N228">
        <f t="shared" si="25"/>
        <v>-1.6291986247024659E-2</v>
      </c>
      <c r="O228">
        <f t="shared" si="26"/>
        <v>1.4059993499480949E-2</v>
      </c>
      <c r="P228">
        <f t="shared" si="27"/>
        <v>2.7462049965799934E-3</v>
      </c>
    </row>
    <row r="229" spans="1:16" x14ac:dyDescent="0.25">
      <c r="A229" s="2">
        <v>46044</v>
      </c>
      <c r="B229" s="3">
        <v>96.004999999999995</v>
      </c>
      <c r="C229" s="3">
        <v>96.415000000000006</v>
      </c>
      <c r="D229" s="4">
        <v>104613</v>
      </c>
      <c r="E229" s="3">
        <f t="shared" si="21"/>
        <v>96.210000000000008</v>
      </c>
      <c r="F229" s="3">
        <f t="shared" si="22"/>
        <v>4.2615112774141021E-3</v>
      </c>
      <c r="G229" s="11"/>
      <c r="H229" s="3">
        <v>4938.3999999999996</v>
      </c>
      <c r="I229" s="3">
        <v>4939.3999999999996</v>
      </c>
      <c r="J229" s="4">
        <v>260253</v>
      </c>
      <c r="K229" s="12">
        <f t="shared" si="23"/>
        <v>4938.8999999999996</v>
      </c>
      <c r="L229" s="12">
        <f t="shared" si="24"/>
        <v>2.0247423515357672E-4</v>
      </c>
      <c r="N229">
        <f t="shared" si="25"/>
        <v>3.468301338925639E-2</v>
      </c>
      <c r="O229">
        <f t="shared" ref="O229:O254" si="28">K229/K228-1</f>
        <v>2.1299034305920284E-2</v>
      </c>
      <c r="P229">
        <f t="shared" si="27"/>
        <v>2.6287951336729391E-2</v>
      </c>
    </row>
    <row r="230" spans="1:16" x14ac:dyDescent="0.25">
      <c r="A230" s="5">
        <v>46045</v>
      </c>
      <c r="B230" s="6">
        <v>103.18</v>
      </c>
      <c r="C230" s="6">
        <v>103.485</v>
      </c>
      <c r="D230" s="7">
        <v>136206</v>
      </c>
      <c r="E230" s="3">
        <f t="shared" si="21"/>
        <v>103.33250000000001</v>
      </c>
      <c r="F230" s="3">
        <f t="shared" si="22"/>
        <v>2.9516367067475634E-3</v>
      </c>
      <c r="G230" s="11"/>
      <c r="H230" s="6">
        <v>4982.3999999999996</v>
      </c>
      <c r="I230" s="6">
        <v>4983.6000000000004</v>
      </c>
      <c r="J230" s="7">
        <v>273667</v>
      </c>
      <c r="K230" s="12">
        <f t="shared" si="23"/>
        <v>4983</v>
      </c>
      <c r="L230" s="12">
        <f t="shared" si="24"/>
        <v>2.408187838652875E-4</v>
      </c>
      <c r="N230">
        <f t="shared" si="25"/>
        <v>7.4030766032636919E-2</v>
      </c>
      <c r="O230">
        <f t="shared" si="28"/>
        <v>8.929113770272723E-3</v>
      </c>
      <c r="P230">
        <f t="shared" si="27"/>
        <v>3.3195943513745711E-2</v>
      </c>
    </row>
    <row r="231" spans="1:16" x14ac:dyDescent="0.25">
      <c r="A231" s="2">
        <v>46048</v>
      </c>
      <c r="B231" s="3">
        <v>103.7</v>
      </c>
      <c r="C231" s="3">
        <v>103.955</v>
      </c>
      <c r="D231" s="4">
        <v>312346</v>
      </c>
      <c r="E231" s="3">
        <f t="shared" si="21"/>
        <v>103.8275</v>
      </c>
      <c r="F231" s="3">
        <f t="shared" si="22"/>
        <v>2.4559967253376556E-3</v>
      </c>
      <c r="G231" s="11"/>
      <c r="H231" s="3">
        <v>5003.6000000000004</v>
      </c>
      <c r="I231" s="3">
        <v>5005</v>
      </c>
      <c r="J231" s="4">
        <v>421790</v>
      </c>
      <c r="K231" s="12">
        <f t="shared" si="23"/>
        <v>5004.3</v>
      </c>
      <c r="L231" s="12">
        <f t="shared" si="24"/>
        <v>2.7975940690998463E-4</v>
      </c>
      <c r="N231">
        <f t="shared" si="25"/>
        <v>4.790361212590355E-3</v>
      </c>
      <c r="O231">
        <f t="shared" si="28"/>
        <v>4.2745334136062851E-3</v>
      </c>
      <c r="P231">
        <f t="shared" si="27"/>
        <v>4.4668097221160965E-3</v>
      </c>
    </row>
    <row r="232" spans="1:16" x14ac:dyDescent="0.25">
      <c r="A232" s="5">
        <v>46049</v>
      </c>
      <c r="B232" s="6">
        <v>112.205</v>
      </c>
      <c r="C232" s="6">
        <v>112.77500000000001</v>
      </c>
      <c r="D232" s="7">
        <v>220647</v>
      </c>
      <c r="E232" s="3">
        <f t="shared" si="21"/>
        <v>112.49000000000001</v>
      </c>
      <c r="F232" s="3">
        <f t="shared" si="22"/>
        <v>5.0671170770735831E-3</v>
      </c>
      <c r="G232" s="11"/>
      <c r="H232" s="6">
        <v>5170.8</v>
      </c>
      <c r="I232" s="6">
        <v>5179.6000000000004</v>
      </c>
      <c r="J232" s="7">
        <v>318894</v>
      </c>
      <c r="K232" s="12">
        <f t="shared" si="23"/>
        <v>5175.2000000000007</v>
      </c>
      <c r="L232" s="12">
        <f t="shared" si="24"/>
        <v>1.7004173751739413E-3</v>
      </c>
      <c r="N232">
        <f t="shared" si="25"/>
        <v>8.3431653463677868E-2</v>
      </c>
      <c r="O232">
        <f t="shared" si="28"/>
        <v>3.4150630457806308E-2</v>
      </c>
      <c r="P232">
        <f t="shared" si="27"/>
        <v>5.2520274749599756E-2</v>
      </c>
    </row>
    <row r="233" spans="1:16" x14ac:dyDescent="0.25">
      <c r="A233" s="2">
        <v>46050</v>
      </c>
      <c r="B233" s="3">
        <v>116.55</v>
      </c>
      <c r="C233" s="3">
        <v>116.69</v>
      </c>
      <c r="D233" s="4">
        <v>174176</v>
      </c>
      <c r="E233" s="3">
        <f t="shared" si="21"/>
        <v>116.62</v>
      </c>
      <c r="F233" s="3">
        <f t="shared" si="22"/>
        <v>1.2004801920768356E-3</v>
      </c>
      <c r="G233" s="11"/>
      <c r="H233" s="3">
        <v>5410.1</v>
      </c>
      <c r="I233" s="3">
        <v>5415.3</v>
      </c>
      <c r="J233" s="4">
        <v>110590</v>
      </c>
      <c r="K233" s="12">
        <f t="shared" si="23"/>
        <v>5412.7000000000007</v>
      </c>
      <c r="L233" s="12">
        <f t="shared" si="24"/>
        <v>9.6070353058544118E-4</v>
      </c>
      <c r="N233">
        <f t="shared" si="25"/>
        <v>3.6714374611076517E-2</v>
      </c>
      <c r="O233">
        <f t="shared" si="28"/>
        <v>4.5891946204977607E-2</v>
      </c>
      <c r="P233">
        <f t="shared" si="27"/>
        <v>4.2470979768823379E-2</v>
      </c>
    </row>
    <row r="234" spans="1:16" x14ac:dyDescent="0.25">
      <c r="A234" s="5">
        <v>46051</v>
      </c>
      <c r="B234" s="6">
        <v>115.74</v>
      </c>
      <c r="C234" s="6">
        <v>115.965</v>
      </c>
      <c r="D234" s="7">
        <v>190647</v>
      </c>
      <c r="E234" s="3">
        <f t="shared" si="21"/>
        <v>115.85249999999999</v>
      </c>
      <c r="F234" s="3">
        <f t="shared" si="22"/>
        <v>1.9421246844048125E-3</v>
      </c>
      <c r="G234" s="11"/>
      <c r="H234" s="6">
        <v>5400</v>
      </c>
      <c r="I234" s="6">
        <v>5420</v>
      </c>
      <c r="J234" s="7">
        <v>557037</v>
      </c>
      <c r="K234" s="12">
        <f t="shared" si="23"/>
        <v>5410</v>
      </c>
      <c r="L234" s="12">
        <f t="shared" si="24"/>
        <v>3.6968576709796672E-3</v>
      </c>
      <c r="N234">
        <f t="shared" si="25"/>
        <v>-6.5812039101356135E-3</v>
      </c>
      <c r="O234">
        <f t="shared" si="28"/>
        <v>-4.9882683318869248E-4</v>
      </c>
      <c r="P234">
        <f t="shared" si="27"/>
        <v>-2.7660505338566186E-3</v>
      </c>
    </row>
    <row r="235" spans="1:16" x14ac:dyDescent="0.25">
      <c r="A235" s="2">
        <v>46052</v>
      </c>
      <c r="B235" s="3">
        <v>85.084999999999994</v>
      </c>
      <c r="C235" s="3">
        <v>85.27</v>
      </c>
      <c r="D235" s="4">
        <v>306578</v>
      </c>
      <c r="E235" s="3">
        <f t="shared" si="21"/>
        <v>85.177499999999995</v>
      </c>
      <c r="F235" s="3">
        <f t="shared" si="22"/>
        <v>2.1719350767515164E-3</v>
      </c>
      <c r="G235" s="11"/>
      <c r="H235" s="3">
        <v>4860.3</v>
      </c>
      <c r="I235" s="3">
        <v>4910.8999999999996</v>
      </c>
      <c r="J235" s="4">
        <v>494035</v>
      </c>
      <c r="K235" s="12">
        <f t="shared" si="23"/>
        <v>4885.6000000000004</v>
      </c>
      <c r="L235" s="12">
        <f t="shared" si="24"/>
        <v>1.0356967414442331E-2</v>
      </c>
      <c r="N235">
        <f t="shared" si="25"/>
        <v>-0.26477633197384609</v>
      </c>
      <c r="O235">
        <f t="shared" si="28"/>
        <v>-9.6931608133086766E-2</v>
      </c>
      <c r="P235">
        <f t="shared" si="27"/>
        <v>-0.15949621586945012</v>
      </c>
    </row>
    <row r="236" spans="1:16" x14ac:dyDescent="0.25">
      <c r="A236" s="5">
        <v>46055</v>
      </c>
      <c r="B236" s="6">
        <v>79</v>
      </c>
      <c r="C236" s="6">
        <v>79.224999999999994</v>
      </c>
      <c r="D236" s="7">
        <v>163748</v>
      </c>
      <c r="E236" s="3">
        <f t="shared" si="21"/>
        <v>79.112499999999997</v>
      </c>
      <c r="F236" s="3">
        <f t="shared" si="22"/>
        <v>2.8440511929214009E-3</v>
      </c>
      <c r="G236" s="11"/>
      <c r="H236" s="6">
        <v>4680.1000000000004</v>
      </c>
      <c r="I236" s="6">
        <v>4703</v>
      </c>
      <c r="J236" s="7">
        <v>377523</v>
      </c>
      <c r="K236" s="12">
        <f t="shared" si="23"/>
        <v>4691.55</v>
      </c>
      <c r="L236" s="12">
        <f t="shared" si="24"/>
        <v>4.8811160490668621E-3</v>
      </c>
      <c r="N236">
        <f t="shared" si="25"/>
        <v>-7.1204249948636611E-2</v>
      </c>
      <c r="O236">
        <f t="shared" si="28"/>
        <v>-3.9718765351236307E-2</v>
      </c>
      <c r="P236">
        <f t="shared" si="27"/>
        <v>-5.1455071075654293E-2</v>
      </c>
    </row>
    <row r="237" spans="1:16" x14ac:dyDescent="0.25">
      <c r="A237" s="2">
        <v>46056</v>
      </c>
      <c r="B237" s="3">
        <v>84.19</v>
      </c>
      <c r="C237" s="3">
        <v>85.2</v>
      </c>
      <c r="D237" s="4">
        <v>123469</v>
      </c>
      <c r="E237" s="3">
        <f t="shared" si="21"/>
        <v>84.694999999999993</v>
      </c>
      <c r="F237" s="3">
        <f t="shared" si="22"/>
        <v>1.1925143160753352E-2</v>
      </c>
      <c r="G237" s="11"/>
      <c r="H237" s="3">
        <v>4956.1000000000004</v>
      </c>
      <c r="I237" s="3">
        <v>4974</v>
      </c>
      <c r="J237" s="4">
        <v>251315</v>
      </c>
      <c r="K237" s="12">
        <f t="shared" si="23"/>
        <v>4965.05</v>
      </c>
      <c r="L237" s="12">
        <f t="shared" si="24"/>
        <v>3.6052003504495698E-3</v>
      </c>
      <c r="N237">
        <f t="shared" si="25"/>
        <v>7.0564070153262604E-2</v>
      </c>
      <c r="O237">
        <f t="shared" si="28"/>
        <v>5.8296298664620494E-2</v>
      </c>
      <c r="P237">
        <f t="shared" si="27"/>
        <v>6.2869146076341448E-2</v>
      </c>
    </row>
    <row r="238" spans="1:16" x14ac:dyDescent="0.25">
      <c r="A238" s="5">
        <v>46057</v>
      </c>
      <c r="B238" s="6">
        <v>87.4</v>
      </c>
      <c r="C238" s="6">
        <v>87.775000000000006</v>
      </c>
      <c r="D238" s="7">
        <v>111380</v>
      </c>
      <c r="E238" s="3">
        <f t="shared" si="21"/>
        <v>87.587500000000006</v>
      </c>
      <c r="F238" s="3">
        <f t="shared" si="22"/>
        <v>4.2814328528614238E-3</v>
      </c>
      <c r="G238" s="11"/>
      <c r="H238" s="6">
        <v>4981.6000000000004</v>
      </c>
      <c r="I238" s="6">
        <v>4987.8999999999996</v>
      </c>
      <c r="J238" s="7">
        <v>239434</v>
      </c>
      <c r="K238" s="12">
        <f t="shared" si="23"/>
        <v>4984.75</v>
      </c>
      <c r="L238" s="12">
        <f t="shared" si="24"/>
        <v>1.2638547570087311E-3</v>
      </c>
      <c r="N238">
        <f t="shared" si="25"/>
        <v>3.4151957022256374E-2</v>
      </c>
      <c r="O238">
        <f t="shared" si="28"/>
        <v>3.9677344639026391E-3</v>
      </c>
      <c r="P238">
        <f t="shared" si="27"/>
        <v>1.5218990988249208E-2</v>
      </c>
    </row>
    <row r="239" spans="1:16" x14ac:dyDescent="0.25">
      <c r="A239" s="2">
        <v>46058</v>
      </c>
      <c r="B239" s="3">
        <v>70.334999999999994</v>
      </c>
      <c r="C239" s="3">
        <v>70.844999999999999</v>
      </c>
      <c r="D239" s="4">
        <v>159865</v>
      </c>
      <c r="E239" s="3">
        <f t="shared" si="21"/>
        <v>70.59</v>
      </c>
      <c r="F239" s="3">
        <f t="shared" si="22"/>
        <v>7.2248193795155843E-3</v>
      </c>
      <c r="G239" s="11"/>
      <c r="H239" s="3">
        <v>4791.1000000000004</v>
      </c>
      <c r="I239" s="3">
        <v>4811</v>
      </c>
      <c r="J239" s="4">
        <v>228995</v>
      </c>
      <c r="K239" s="12">
        <f t="shared" si="23"/>
        <v>4801.05</v>
      </c>
      <c r="L239" s="12">
        <f t="shared" si="24"/>
        <v>4.1449266306328066E-3</v>
      </c>
      <c r="N239">
        <f t="shared" si="25"/>
        <v>-0.19406307977736548</v>
      </c>
      <c r="O239">
        <f t="shared" si="28"/>
        <v>-3.6852399819449322E-2</v>
      </c>
      <c r="P239">
        <f t="shared" si="27"/>
        <v>-9.5453136848666909E-2</v>
      </c>
    </row>
    <row r="240" spans="1:16" x14ac:dyDescent="0.25">
      <c r="A240" s="5">
        <v>46059</v>
      </c>
      <c r="B240" s="6">
        <v>76.41</v>
      </c>
      <c r="C240" s="6">
        <v>77.599999999999994</v>
      </c>
      <c r="D240" s="7">
        <v>105482</v>
      </c>
      <c r="E240" s="3">
        <f t="shared" si="21"/>
        <v>77.004999999999995</v>
      </c>
      <c r="F240" s="3">
        <f t="shared" si="22"/>
        <v>1.5453541977793622E-2</v>
      </c>
      <c r="G240" s="11"/>
      <c r="H240" s="6">
        <v>4976.3</v>
      </c>
      <c r="I240" s="6">
        <v>4996.7</v>
      </c>
      <c r="J240" s="7">
        <v>171364</v>
      </c>
      <c r="K240" s="12">
        <f t="shared" si="23"/>
        <v>4986.5</v>
      </c>
      <c r="L240" s="12">
        <f t="shared" si="24"/>
        <v>4.091045823723982E-3</v>
      </c>
      <c r="N240">
        <f t="shared" si="25"/>
        <v>9.0876894744297942E-2</v>
      </c>
      <c r="O240">
        <f t="shared" si="28"/>
        <v>3.8626967017631575E-2</v>
      </c>
      <c r="P240">
        <f t="shared" si="27"/>
        <v>5.8103279157020821E-2</v>
      </c>
    </row>
    <row r="241" spans="1:16" x14ac:dyDescent="0.25">
      <c r="A241" s="2">
        <v>46062</v>
      </c>
      <c r="B241" s="3">
        <v>83.025000000000006</v>
      </c>
      <c r="C241" s="3">
        <v>83.3</v>
      </c>
      <c r="D241" s="4">
        <v>65250</v>
      </c>
      <c r="E241" s="3">
        <f t="shared" si="21"/>
        <v>83.162499999999994</v>
      </c>
      <c r="F241" s="3">
        <f t="shared" si="22"/>
        <v>3.3067788967382113E-3</v>
      </c>
      <c r="G241" s="11"/>
      <c r="H241" s="3">
        <v>5073.6000000000004</v>
      </c>
      <c r="I241" s="3">
        <v>5093</v>
      </c>
      <c r="J241" s="4">
        <v>118548</v>
      </c>
      <c r="K241" s="12">
        <f t="shared" si="23"/>
        <v>5083.3</v>
      </c>
      <c r="L241" s="12">
        <f t="shared" si="24"/>
        <v>3.8164184683177533E-3</v>
      </c>
      <c r="N241">
        <f t="shared" si="25"/>
        <v>7.9962340107785135E-2</v>
      </c>
      <c r="O241">
        <f t="shared" si="28"/>
        <v>1.9412413516494587E-2</v>
      </c>
      <c r="P241">
        <f t="shared" si="27"/>
        <v>4.1982574311324086E-2</v>
      </c>
    </row>
    <row r="242" spans="1:16" x14ac:dyDescent="0.25">
      <c r="A242" s="5">
        <v>46063</v>
      </c>
      <c r="B242" s="6">
        <v>80.489999999999995</v>
      </c>
      <c r="C242" s="6">
        <v>81.05</v>
      </c>
      <c r="D242" s="7">
        <v>51870</v>
      </c>
      <c r="E242" s="3">
        <f t="shared" si="21"/>
        <v>80.77</v>
      </c>
      <c r="F242" s="3">
        <f t="shared" si="22"/>
        <v>6.9332673022161981E-3</v>
      </c>
      <c r="G242" s="11"/>
      <c r="H242" s="6">
        <v>5042.3</v>
      </c>
      <c r="I242" s="6">
        <v>5049.3</v>
      </c>
      <c r="J242" s="7">
        <v>101828</v>
      </c>
      <c r="K242" s="12">
        <f t="shared" si="23"/>
        <v>5045.8</v>
      </c>
      <c r="L242" s="12">
        <f t="shared" si="24"/>
        <v>1.3872924016013317E-3</v>
      </c>
      <c r="N242">
        <f t="shared" si="25"/>
        <v>-2.8768976401623347E-2</v>
      </c>
      <c r="O242">
        <f t="shared" si="28"/>
        <v>-7.3770975547380324E-3</v>
      </c>
      <c r="P242">
        <f t="shared" si="27"/>
        <v>-1.535098245366971E-2</v>
      </c>
    </row>
    <row r="243" spans="1:16" x14ac:dyDescent="0.25">
      <c r="A243" s="2">
        <v>46064</v>
      </c>
      <c r="B243" s="3">
        <v>83.5</v>
      </c>
      <c r="C243" s="3">
        <v>84.17</v>
      </c>
      <c r="D243" s="4">
        <v>60103</v>
      </c>
      <c r="E243" s="3">
        <f t="shared" si="21"/>
        <v>83.835000000000008</v>
      </c>
      <c r="F243" s="3">
        <f t="shared" si="22"/>
        <v>7.9918888292479472E-3</v>
      </c>
      <c r="G243" s="11"/>
      <c r="H243" s="3">
        <v>5100</v>
      </c>
      <c r="I243" s="3">
        <v>5120</v>
      </c>
      <c r="J243" s="4">
        <v>125367</v>
      </c>
      <c r="K243" s="12">
        <f t="shared" si="23"/>
        <v>5110</v>
      </c>
      <c r="L243" s="12">
        <f t="shared" si="24"/>
        <v>3.9138943248532287E-3</v>
      </c>
      <c r="N243">
        <f t="shared" si="25"/>
        <v>3.7947257645165378E-2</v>
      </c>
      <c r="O243">
        <f t="shared" si="28"/>
        <v>1.2723453168972165E-2</v>
      </c>
      <c r="P243">
        <f t="shared" si="27"/>
        <v>2.2125699462808453E-2</v>
      </c>
    </row>
    <row r="244" spans="1:16" x14ac:dyDescent="0.25">
      <c r="A244" s="5">
        <v>46065</v>
      </c>
      <c r="B244" s="6">
        <v>74.73</v>
      </c>
      <c r="C244" s="6">
        <v>75.45</v>
      </c>
      <c r="D244" s="7">
        <v>85263</v>
      </c>
      <c r="E244" s="3">
        <f t="shared" si="21"/>
        <v>75.09</v>
      </c>
      <c r="F244" s="3">
        <f t="shared" si="22"/>
        <v>9.5884938074310665E-3</v>
      </c>
      <c r="G244" s="11"/>
      <c r="H244" s="6">
        <v>4941.1000000000004</v>
      </c>
      <c r="I244" s="6">
        <v>4947.5</v>
      </c>
      <c r="J244" s="7">
        <v>155554</v>
      </c>
      <c r="K244" s="12">
        <f t="shared" si="23"/>
        <v>4944.3</v>
      </c>
      <c r="L244" s="12">
        <f t="shared" si="24"/>
        <v>1.2944198369839281E-3</v>
      </c>
      <c r="N244">
        <f t="shared" si="25"/>
        <v>-0.1043120415101092</v>
      </c>
      <c r="O244">
        <f t="shared" si="28"/>
        <v>-3.2426614481408933E-2</v>
      </c>
      <c r="P244">
        <f t="shared" si="27"/>
        <v>-5.9222115949054341E-2</v>
      </c>
    </row>
    <row r="245" spans="1:16" x14ac:dyDescent="0.25">
      <c r="A245" s="2">
        <v>46066</v>
      </c>
      <c r="B245" s="3">
        <v>77.27</v>
      </c>
      <c r="C245" s="3">
        <v>77.944999999999993</v>
      </c>
      <c r="D245" s="4">
        <v>55591</v>
      </c>
      <c r="E245" s="3">
        <f t="shared" si="21"/>
        <v>77.607499999999987</v>
      </c>
      <c r="F245" s="3">
        <f t="shared" si="22"/>
        <v>8.69761298843536E-3</v>
      </c>
      <c r="G245" s="11"/>
      <c r="H245" s="3">
        <v>5046</v>
      </c>
      <c r="I245" s="3">
        <v>5066.7</v>
      </c>
      <c r="J245" s="4">
        <v>118886</v>
      </c>
      <c r="K245" s="12">
        <f t="shared" si="23"/>
        <v>5056.3500000000004</v>
      </c>
      <c r="L245" s="12">
        <f t="shared" si="24"/>
        <v>4.0938621733067953E-3</v>
      </c>
      <c r="N245">
        <f t="shared" si="25"/>
        <v>3.3526434944732841E-2</v>
      </c>
      <c r="O245">
        <f t="shared" si="28"/>
        <v>2.26624598021965E-2</v>
      </c>
      <c r="P245">
        <f t="shared" si="27"/>
        <v>2.6712038053433314E-2</v>
      </c>
    </row>
    <row r="246" spans="1:16" x14ac:dyDescent="0.25">
      <c r="A246" s="5">
        <v>46070</v>
      </c>
      <c r="B246" s="6">
        <v>73.415000000000006</v>
      </c>
      <c r="C246" s="6">
        <v>73.56</v>
      </c>
      <c r="D246" s="7">
        <v>71275</v>
      </c>
      <c r="E246" s="3">
        <f t="shared" si="21"/>
        <v>73.487500000000011</v>
      </c>
      <c r="F246" s="3">
        <f t="shared" si="22"/>
        <v>1.9731246810681543E-3</v>
      </c>
      <c r="G246" s="11"/>
      <c r="H246" s="6">
        <v>4880.3</v>
      </c>
      <c r="I246" s="6">
        <v>4897.6000000000004</v>
      </c>
      <c r="J246" s="7">
        <v>161712</v>
      </c>
      <c r="K246" s="12">
        <f t="shared" si="23"/>
        <v>4888.9500000000007</v>
      </c>
      <c r="L246" s="12">
        <f t="shared" si="24"/>
        <v>3.5385921312347597E-3</v>
      </c>
      <c r="N246">
        <f t="shared" si="25"/>
        <v>-5.308765261089432E-2</v>
      </c>
      <c r="O246">
        <f t="shared" si="28"/>
        <v>-3.3106885401524733E-2</v>
      </c>
      <c r="P246">
        <f t="shared" si="27"/>
        <v>-4.0554774343877227E-2</v>
      </c>
    </row>
    <row r="247" spans="1:16" x14ac:dyDescent="0.25">
      <c r="A247" s="2">
        <v>46071</v>
      </c>
      <c r="B247" s="3">
        <v>76.98</v>
      </c>
      <c r="C247" s="3">
        <v>77.465000000000003</v>
      </c>
      <c r="D247" s="4">
        <v>44904</v>
      </c>
      <c r="E247" s="3">
        <f t="shared" si="21"/>
        <v>77.222499999999997</v>
      </c>
      <c r="F247" s="3">
        <f t="shared" si="22"/>
        <v>6.2805529476512604E-3</v>
      </c>
      <c r="G247" s="11"/>
      <c r="H247" s="3">
        <v>4992</v>
      </c>
      <c r="I247" s="3">
        <v>5002.3</v>
      </c>
      <c r="J247" s="4">
        <v>93323</v>
      </c>
      <c r="K247" s="12">
        <f t="shared" si="23"/>
        <v>4997.1499999999996</v>
      </c>
      <c r="L247" s="12">
        <f t="shared" si="24"/>
        <v>2.0611748696757518E-3</v>
      </c>
      <c r="N247">
        <f t="shared" si="25"/>
        <v>5.0824970233032563E-2</v>
      </c>
      <c r="O247">
        <f t="shared" si="28"/>
        <v>2.2131541537548705E-2</v>
      </c>
      <c r="P247">
        <f t="shared" si="27"/>
        <v>3.2827100324653788E-2</v>
      </c>
    </row>
    <row r="248" spans="1:16" x14ac:dyDescent="0.25">
      <c r="A248" s="5">
        <v>46072</v>
      </c>
      <c r="B248" s="6">
        <v>78.44</v>
      </c>
      <c r="C248" s="6">
        <v>78.5</v>
      </c>
      <c r="D248" s="7">
        <v>38902</v>
      </c>
      <c r="E248" s="3">
        <f t="shared" si="21"/>
        <v>78.47</v>
      </c>
      <c r="F248" s="3">
        <f t="shared" si="22"/>
        <v>7.6462342296421907E-4</v>
      </c>
      <c r="G248" s="11"/>
      <c r="H248" s="6">
        <v>5010</v>
      </c>
      <c r="I248" s="6">
        <v>5015.7</v>
      </c>
      <c r="J248" s="7">
        <v>83080</v>
      </c>
      <c r="K248" s="12">
        <f t="shared" si="23"/>
        <v>5012.8500000000004</v>
      </c>
      <c r="L248" s="12">
        <f t="shared" si="24"/>
        <v>1.1370777102845324E-3</v>
      </c>
      <c r="N248">
        <f t="shared" si="25"/>
        <v>1.6154618148855659E-2</v>
      </c>
      <c r="O248">
        <f t="shared" si="28"/>
        <v>3.1417908207680423E-3</v>
      </c>
      <c r="P248">
        <f t="shared" si="27"/>
        <v>7.992359958081164E-3</v>
      </c>
    </row>
    <row r="249" spans="1:16" x14ac:dyDescent="0.25">
      <c r="A249" s="2">
        <v>46073</v>
      </c>
      <c r="B249" s="3">
        <v>84.534999999999997</v>
      </c>
      <c r="C249" s="3">
        <v>84.8</v>
      </c>
      <c r="D249" s="4">
        <v>55397</v>
      </c>
      <c r="E249" s="3">
        <f t="shared" si="21"/>
        <v>84.66749999999999</v>
      </c>
      <c r="F249" s="3">
        <f t="shared" si="22"/>
        <v>3.1298904538341228E-3</v>
      </c>
      <c r="G249" s="11"/>
      <c r="H249" s="3">
        <v>5120</v>
      </c>
      <c r="I249" s="3">
        <v>5133</v>
      </c>
      <c r="J249" s="4">
        <v>127969</v>
      </c>
      <c r="K249" s="12">
        <f t="shared" si="23"/>
        <v>5126.5</v>
      </c>
      <c r="L249" s="12">
        <f t="shared" si="24"/>
        <v>2.5358431678533114E-3</v>
      </c>
      <c r="N249">
        <f t="shared" si="25"/>
        <v>7.8979227730342716E-2</v>
      </c>
      <c r="O249">
        <f t="shared" si="28"/>
        <v>2.2671733644533454E-2</v>
      </c>
      <c r="P249">
        <f t="shared" si="27"/>
        <v>4.3660515415466714E-2</v>
      </c>
    </row>
    <row r="250" spans="1:16" x14ac:dyDescent="0.25">
      <c r="A250" s="5">
        <v>46076</v>
      </c>
      <c r="B250" s="6">
        <v>87.75</v>
      </c>
      <c r="C250" s="6">
        <v>88.28</v>
      </c>
      <c r="D250" s="7">
        <v>62392</v>
      </c>
      <c r="E250" s="3">
        <f t="shared" si="21"/>
        <v>88.015000000000001</v>
      </c>
      <c r="F250" s="3">
        <f t="shared" si="22"/>
        <v>6.0217008464466416E-3</v>
      </c>
      <c r="G250" s="11"/>
      <c r="H250" s="6">
        <v>5244</v>
      </c>
      <c r="I250" s="6">
        <v>5250.7</v>
      </c>
      <c r="J250" s="7">
        <v>134165</v>
      </c>
      <c r="K250" s="12">
        <f t="shared" si="23"/>
        <v>5247.35</v>
      </c>
      <c r="L250" s="12">
        <f t="shared" si="24"/>
        <v>1.2768349738439056E-3</v>
      </c>
      <c r="N250">
        <f t="shared" si="25"/>
        <v>3.9537012430980178E-2</v>
      </c>
      <c r="O250">
        <f t="shared" si="28"/>
        <v>2.3573588218082531E-2</v>
      </c>
      <c r="P250">
        <f t="shared" si="27"/>
        <v>2.9524000904016308E-2</v>
      </c>
    </row>
    <row r="251" spans="1:16" x14ac:dyDescent="0.25">
      <c r="A251" s="2">
        <v>46077</v>
      </c>
      <c r="B251" s="3">
        <v>86.6</v>
      </c>
      <c r="C251" s="3">
        <v>87.25</v>
      </c>
      <c r="D251" s="4">
        <v>66361</v>
      </c>
      <c r="E251" s="3">
        <f t="shared" si="21"/>
        <v>86.924999999999997</v>
      </c>
      <c r="F251" s="3">
        <f t="shared" si="22"/>
        <v>7.4777106701179831E-3</v>
      </c>
      <c r="G251" s="11"/>
      <c r="H251" s="3">
        <v>5158</v>
      </c>
      <c r="I251" s="3">
        <v>5163.5</v>
      </c>
      <c r="J251" s="4">
        <v>141558</v>
      </c>
      <c r="K251" s="12">
        <f t="shared" si="23"/>
        <v>5160.75</v>
      </c>
      <c r="L251" s="12">
        <f t="shared" si="24"/>
        <v>1.0657365692970982E-3</v>
      </c>
      <c r="N251">
        <f t="shared" si="25"/>
        <v>-1.2384252684201624E-2</v>
      </c>
      <c r="O251">
        <f t="shared" si="28"/>
        <v>-1.6503568467893359E-2</v>
      </c>
      <c r="P251">
        <f t="shared" si="27"/>
        <v>-1.4968081559211047E-2</v>
      </c>
    </row>
    <row r="252" spans="1:16" x14ac:dyDescent="0.25">
      <c r="A252" s="5">
        <v>46078</v>
      </c>
      <c r="B252" s="6">
        <v>89.2</v>
      </c>
      <c r="C252" s="6">
        <v>89.185000000000002</v>
      </c>
      <c r="D252" s="7">
        <v>34934</v>
      </c>
      <c r="E252" s="3">
        <f t="shared" si="21"/>
        <v>89.192499999999995</v>
      </c>
      <c r="F252" s="3">
        <f t="shared" si="22"/>
        <v>-1.6817557530062022E-4</v>
      </c>
      <c r="G252" s="11"/>
      <c r="H252" s="6">
        <v>5182.6000000000004</v>
      </c>
      <c r="I252" s="6">
        <v>5191</v>
      </c>
      <c r="J252" s="7">
        <v>107734</v>
      </c>
      <c r="K252" s="12">
        <f t="shared" si="23"/>
        <v>5186.8</v>
      </c>
      <c r="L252" s="12">
        <f t="shared" si="24"/>
        <v>1.6194956427854623E-3</v>
      </c>
      <c r="N252">
        <f t="shared" si="25"/>
        <v>2.6085706068449843E-2</v>
      </c>
      <c r="O252">
        <f t="shared" si="28"/>
        <v>5.0477159327617649E-3</v>
      </c>
      <c r="P252">
        <f t="shared" si="27"/>
        <v>1.2889687787948391E-2</v>
      </c>
    </row>
    <row r="253" spans="1:16" x14ac:dyDescent="0.25">
      <c r="A253" s="2">
        <v>46079</v>
      </c>
      <c r="B253" s="3">
        <v>88.75</v>
      </c>
      <c r="C253" s="3">
        <v>89.49</v>
      </c>
      <c r="D253" s="4">
        <v>56279</v>
      </c>
      <c r="E253" s="3">
        <f t="shared" si="21"/>
        <v>89.12</v>
      </c>
      <c r="F253" s="3">
        <f t="shared" si="22"/>
        <v>8.3034111310591879E-3</v>
      </c>
      <c r="G253" s="11"/>
      <c r="H253" s="3">
        <v>5198.5</v>
      </c>
      <c r="I253" s="3">
        <v>5201.6000000000004</v>
      </c>
      <c r="J253" s="4">
        <v>127518</v>
      </c>
      <c r="K253" s="12">
        <f t="shared" si="23"/>
        <v>5200.05</v>
      </c>
      <c r="L253" s="12">
        <f t="shared" si="24"/>
        <v>5.9614811396051259E-4</v>
      </c>
      <c r="N253">
        <f t="shared" si="25"/>
        <v>-8.1284861395281016E-4</v>
      </c>
      <c r="O253">
        <f t="shared" si="28"/>
        <v>2.5545615793938214E-3</v>
      </c>
      <c r="P253">
        <f t="shared" si="27"/>
        <v>1.2993496608229146E-3</v>
      </c>
    </row>
    <row r="254" spans="1:16" x14ac:dyDescent="0.25">
      <c r="A254" s="5">
        <v>46080</v>
      </c>
      <c r="B254" s="6">
        <v>94.174999999999997</v>
      </c>
      <c r="C254" s="6">
        <v>94.64</v>
      </c>
      <c r="D254" s="7">
        <v>51897</v>
      </c>
      <c r="E254" s="3">
        <f t="shared" si="21"/>
        <v>94.407499999999999</v>
      </c>
      <c r="F254" s="3">
        <f t="shared" si="22"/>
        <v>4.9254561343113987E-3</v>
      </c>
      <c r="G254" s="11"/>
      <c r="H254" s="6">
        <v>5291.9</v>
      </c>
      <c r="I254" s="6">
        <v>5299</v>
      </c>
      <c r="J254" s="7">
        <v>145216</v>
      </c>
      <c r="K254" s="12">
        <f t="shared" si="23"/>
        <v>5295.45</v>
      </c>
      <c r="L254" s="12">
        <f t="shared" si="24"/>
        <v>1.3407736830676079E-3</v>
      </c>
      <c r="N254">
        <f t="shared" si="25"/>
        <v>5.9330116696588719E-2</v>
      </c>
      <c r="O254">
        <f t="shared" si="28"/>
        <v>1.834597744252453E-2</v>
      </c>
      <c r="P254">
        <f t="shared" si="27"/>
        <v>3.3622934246217276E-2</v>
      </c>
    </row>
  </sheetData>
  <mergeCells count="2">
    <mergeCell ref="B1:D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plata</vt:lpstr>
      <vt:lpstr>oro</vt:lpstr>
      <vt:lpstr>solucion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Samuel Gómez Jiménez</cp:lastModifiedBy>
  <dcterms:created xsi:type="dcterms:W3CDTF">2026-03-02T02:56:35Z</dcterms:created>
  <dcterms:modified xsi:type="dcterms:W3CDTF">2026-03-03T01:50:45Z</dcterms:modified>
</cp:coreProperties>
</file>