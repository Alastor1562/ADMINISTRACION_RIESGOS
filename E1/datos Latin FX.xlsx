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1884EB3D-CCB4-43A9-BB3B-C327E422009F}" xr6:coauthVersionLast="47" xr6:coauthVersionMax="47" xr10:uidLastSave="{00000000-0000-0000-0000-000000000000}"/>
  <bookViews>
    <workbookView xWindow="-120" yWindow="-120" windowWidth="29040" windowHeight="15720" activeTab="4" xr2:uid="{37298EDD-9684-4B97-98B1-58410BD453AB}"/>
  </bookViews>
  <sheets>
    <sheet name="USDCOP" sheetId="1" r:id="rId1"/>
    <sheet name="USDCLP" sheetId="2" r:id="rId2"/>
    <sheet name="USDBRL" sheetId="3" r:id="rId3"/>
    <sheet name="USDMXN" sheetId="4" r:id="rId4"/>
    <sheet name="Va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5" l="1"/>
  <c r="I6" i="3"/>
  <c r="I3" i="3"/>
  <c r="I4" i="3"/>
  <c r="F2" i="3"/>
  <c r="I2" i="3"/>
  <c r="I6" i="1"/>
  <c r="I4" i="1"/>
  <c r="I2" i="1"/>
  <c r="F2" i="1"/>
  <c r="J7" i="5"/>
  <c r="J3" i="5"/>
  <c r="G6" i="5"/>
  <c r="F3" i="5"/>
  <c r="R5" i="5" l="1"/>
  <c r="P5" i="5"/>
  <c r="I3" i="4"/>
  <c r="I2" i="4"/>
  <c r="I6" i="4" s="1"/>
  <c r="F2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I4" i="4"/>
  <c r="F4" i="4"/>
  <c r="F3" i="4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I4" i="2"/>
  <c r="F4" i="2"/>
  <c r="F3" i="2"/>
  <c r="I2" i="2" s="1"/>
  <c r="F2" i="2"/>
  <c r="O5" i="5"/>
  <c r="I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Q3" i="5"/>
  <c r="J6" i="5" s="1"/>
  <c r="O3" i="5"/>
  <c r="I3" i="5"/>
  <c r="G259" i="5"/>
  <c r="J5" i="5"/>
  <c r="J9" i="5"/>
  <c r="J10" i="5"/>
  <c r="J11" i="5"/>
  <c r="J14" i="5"/>
  <c r="J17" i="5"/>
  <c r="J18" i="5"/>
  <c r="J19" i="5"/>
  <c r="J22" i="5"/>
  <c r="J25" i="5"/>
  <c r="J26" i="5"/>
  <c r="J27" i="5"/>
  <c r="J29" i="5"/>
  <c r="J30" i="5"/>
  <c r="J33" i="5"/>
  <c r="J34" i="5"/>
  <c r="J35" i="5"/>
  <c r="J37" i="5"/>
  <c r="J38" i="5"/>
  <c r="J41" i="5"/>
  <c r="J42" i="5"/>
  <c r="J43" i="5"/>
  <c r="J44" i="5"/>
  <c r="J45" i="5"/>
  <c r="J46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P3" i="5"/>
  <c r="R3" i="5"/>
  <c r="S2" i="5"/>
  <c r="F4" i="5"/>
  <c r="G4" i="5"/>
  <c r="H4" i="5"/>
  <c r="I4" i="5"/>
  <c r="F5" i="5"/>
  <c r="G5" i="5"/>
  <c r="H5" i="5"/>
  <c r="I5" i="5"/>
  <c r="F6" i="5"/>
  <c r="H6" i="5"/>
  <c r="I6" i="5"/>
  <c r="F7" i="5"/>
  <c r="G7" i="5"/>
  <c r="H7" i="5"/>
  <c r="I7" i="5"/>
  <c r="F8" i="5"/>
  <c r="G8" i="5"/>
  <c r="H8" i="5"/>
  <c r="I8" i="5"/>
  <c r="F9" i="5"/>
  <c r="G9" i="5"/>
  <c r="H9" i="5"/>
  <c r="I9" i="5"/>
  <c r="F10" i="5"/>
  <c r="G10" i="5"/>
  <c r="H10" i="5"/>
  <c r="I10" i="5"/>
  <c r="F11" i="5"/>
  <c r="G11" i="5"/>
  <c r="H11" i="5"/>
  <c r="I11" i="5"/>
  <c r="F12" i="5"/>
  <c r="G12" i="5"/>
  <c r="H12" i="5"/>
  <c r="I12" i="5"/>
  <c r="F13" i="5"/>
  <c r="G13" i="5"/>
  <c r="H13" i="5"/>
  <c r="I13" i="5"/>
  <c r="F14" i="5"/>
  <c r="G14" i="5"/>
  <c r="H14" i="5"/>
  <c r="I14" i="5"/>
  <c r="F15" i="5"/>
  <c r="G15" i="5"/>
  <c r="H15" i="5"/>
  <c r="I15" i="5"/>
  <c r="F16" i="5"/>
  <c r="G16" i="5"/>
  <c r="H16" i="5"/>
  <c r="I16" i="5"/>
  <c r="F17" i="5"/>
  <c r="G17" i="5"/>
  <c r="H17" i="5"/>
  <c r="I17" i="5"/>
  <c r="F18" i="5"/>
  <c r="G18" i="5"/>
  <c r="H18" i="5"/>
  <c r="I18" i="5"/>
  <c r="F19" i="5"/>
  <c r="G19" i="5"/>
  <c r="H19" i="5"/>
  <c r="I19" i="5"/>
  <c r="F20" i="5"/>
  <c r="G20" i="5"/>
  <c r="H20" i="5"/>
  <c r="I20" i="5"/>
  <c r="F21" i="5"/>
  <c r="G21" i="5"/>
  <c r="H21" i="5"/>
  <c r="I21" i="5"/>
  <c r="F22" i="5"/>
  <c r="G22" i="5"/>
  <c r="H22" i="5"/>
  <c r="I22" i="5"/>
  <c r="F23" i="5"/>
  <c r="G23" i="5"/>
  <c r="H23" i="5"/>
  <c r="I23" i="5"/>
  <c r="F24" i="5"/>
  <c r="G24" i="5"/>
  <c r="H24" i="5"/>
  <c r="I24" i="5"/>
  <c r="F25" i="5"/>
  <c r="G25" i="5"/>
  <c r="H25" i="5"/>
  <c r="I25" i="5"/>
  <c r="F26" i="5"/>
  <c r="G26" i="5"/>
  <c r="H26" i="5"/>
  <c r="I26" i="5"/>
  <c r="F27" i="5"/>
  <c r="G27" i="5"/>
  <c r="H27" i="5"/>
  <c r="I27" i="5"/>
  <c r="F28" i="5"/>
  <c r="G28" i="5"/>
  <c r="H28" i="5"/>
  <c r="I28" i="5"/>
  <c r="F29" i="5"/>
  <c r="G29" i="5"/>
  <c r="H29" i="5"/>
  <c r="I29" i="5"/>
  <c r="F30" i="5"/>
  <c r="G30" i="5"/>
  <c r="H30" i="5"/>
  <c r="I30" i="5"/>
  <c r="F31" i="5"/>
  <c r="G31" i="5"/>
  <c r="H31" i="5"/>
  <c r="I31" i="5"/>
  <c r="F32" i="5"/>
  <c r="G32" i="5"/>
  <c r="H32" i="5"/>
  <c r="I32" i="5"/>
  <c r="F33" i="5"/>
  <c r="G33" i="5"/>
  <c r="H33" i="5"/>
  <c r="I33" i="5"/>
  <c r="F34" i="5"/>
  <c r="G34" i="5"/>
  <c r="H34" i="5"/>
  <c r="I34" i="5"/>
  <c r="F35" i="5"/>
  <c r="G35" i="5"/>
  <c r="H35" i="5"/>
  <c r="I35" i="5"/>
  <c r="F36" i="5"/>
  <c r="G36" i="5"/>
  <c r="H36" i="5"/>
  <c r="I36" i="5"/>
  <c r="F37" i="5"/>
  <c r="G37" i="5"/>
  <c r="H37" i="5"/>
  <c r="I37" i="5"/>
  <c r="F38" i="5"/>
  <c r="G38" i="5"/>
  <c r="H38" i="5"/>
  <c r="I38" i="5"/>
  <c r="F39" i="5"/>
  <c r="G39" i="5"/>
  <c r="H39" i="5"/>
  <c r="I39" i="5"/>
  <c r="F40" i="5"/>
  <c r="G40" i="5"/>
  <c r="H40" i="5"/>
  <c r="I40" i="5"/>
  <c r="F41" i="5"/>
  <c r="G41" i="5"/>
  <c r="H41" i="5"/>
  <c r="I41" i="5"/>
  <c r="F42" i="5"/>
  <c r="G42" i="5"/>
  <c r="H42" i="5"/>
  <c r="I42" i="5"/>
  <c r="F43" i="5"/>
  <c r="G43" i="5"/>
  <c r="H43" i="5"/>
  <c r="I43" i="5"/>
  <c r="F44" i="5"/>
  <c r="G44" i="5"/>
  <c r="H44" i="5"/>
  <c r="I44" i="5"/>
  <c r="F45" i="5"/>
  <c r="G45" i="5"/>
  <c r="H45" i="5"/>
  <c r="I45" i="5"/>
  <c r="F46" i="5"/>
  <c r="G46" i="5"/>
  <c r="H46" i="5"/>
  <c r="I46" i="5"/>
  <c r="F47" i="5"/>
  <c r="G47" i="5"/>
  <c r="H47" i="5"/>
  <c r="I47" i="5"/>
  <c r="F48" i="5"/>
  <c r="G48" i="5"/>
  <c r="H48" i="5"/>
  <c r="I48" i="5"/>
  <c r="F49" i="5"/>
  <c r="G49" i="5"/>
  <c r="H49" i="5"/>
  <c r="I49" i="5"/>
  <c r="F50" i="5"/>
  <c r="G50" i="5"/>
  <c r="H50" i="5"/>
  <c r="I50" i="5"/>
  <c r="F51" i="5"/>
  <c r="G51" i="5"/>
  <c r="H51" i="5"/>
  <c r="I51" i="5"/>
  <c r="F52" i="5"/>
  <c r="G52" i="5"/>
  <c r="H52" i="5"/>
  <c r="I52" i="5"/>
  <c r="F53" i="5"/>
  <c r="G53" i="5"/>
  <c r="H53" i="5"/>
  <c r="I53" i="5"/>
  <c r="F54" i="5"/>
  <c r="G54" i="5"/>
  <c r="H54" i="5"/>
  <c r="I54" i="5"/>
  <c r="F55" i="5"/>
  <c r="G55" i="5"/>
  <c r="H55" i="5"/>
  <c r="I55" i="5"/>
  <c r="F56" i="5"/>
  <c r="G56" i="5"/>
  <c r="H56" i="5"/>
  <c r="I56" i="5"/>
  <c r="F57" i="5"/>
  <c r="G57" i="5"/>
  <c r="H57" i="5"/>
  <c r="I57" i="5"/>
  <c r="F58" i="5"/>
  <c r="G58" i="5"/>
  <c r="H58" i="5"/>
  <c r="I58" i="5"/>
  <c r="F59" i="5"/>
  <c r="G59" i="5"/>
  <c r="H59" i="5"/>
  <c r="I59" i="5"/>
  <c r="F60" i="5"/>
  <c r="G60" i="5"/>
  <c r="H60" i="5"/>
  <c r="I60" i="5"/>
  <c r="F61" i="5"/>
  <c r="G61" i="5"/>
  <c r="H61" i="5"/>
  <c r="I61" i="5"/>
  <c r="F62" i="5"/>
  <c r="G62" i="5"/>
  <c r="H62" i="5"/>
  <c r="I62" i="5"/>
  <c r="F63" i="5"/>
  <c r="G63" i="5"/>
  <c r="H63" i="5"/>
  <c r="I63" i="5"/>
  <c r="F64" i="5"/>
  <c r="G64" i="5"/>
  <c r="H64" i="5"/>
  <c r="I64" i="5"/>
  <c r="F65" i="5"/>
  <c r="G65" i="5"/>
  <c r="H65" i="5"/>
  <c r="I65" i="5"/>
  <c r="F66" i="5"/>
  <c r="G66" i="5"/>
  <c r="H66" i="5"/>
  <c r="I66" i="5"/>
  <c r="F67" i="5"/>
  <c r="G67" i="5"/>
  <c r="H67" i="5"/>
  <c r="I67" i="5"/>
  <c r="F68" i="5"/>
  <c r="G68" i="5"/>
  <c r="H68" i="5"/>
  <c r="I68" i="5"/>
  <c r="F69" i="5"/>
  <c r="G69" i="5"/>
  <c r="H69" i="5"/>
  <c r="I69" i="5"/>
  <c r="F70" i="5"/>
  <c r="G70" i="5"/>
  <c r="H70" i="5"/>
  <c r="I70" i="5"/>
  <c r="F71" i="5"/>
  <c r="G71" i="5"/>
  <c r="H71" i="5"/>
  <c r="I71" i="5"/>
  <c r="F72" i="5"/>
  <c r="G72" i="5"/>
  <c r="H72" i="5"/>
  <c r="I72" i="5"/>
  <c r="F73" i="5"/>
  <c r="G73" i="5"/>
  <c r="H73" i="5"/>
  <c r="I73" i="5"/>
  <c r="F74" i="5"/>
  <c r="G74" i="5"/>
  <c r="H74" i="5"/>
  <c r="I74" i="5"/>
  <c r="F75" i="5"/>
  <c r="G75" i="5"/>
  <c r="H75" i="5"/>
  <c r="I75" i="5"/>
  <c r="F76" i="5"/>
  <c r="G76" i="5"/>
  <c r="H76" i="5"/>
  <c r="I76" i="5"/>
  <c r="F77" i="5"/>
  <c r="G77" i="5"/>
  <c r="H77" i="5"/>
  <c r="I77" i="5"/>
  <c r="F78" i="5"/>
  <c r="G78" i="5"/>
  <c r="H78" i="5"/>
  <c r="I78" i="5"/>
  <c r="F79" i="5"/>
  <c r="G79" i="5"/>
  <c r="H79" i="5"/>
  <c r="I79" i="5"/>
  <c r="F80" i="5"/>
  <c r="G80" i="5"/>
  <c r="H80" i="5"/>
  <c r="I80" i="5"/>
  <c r="F81" i="5"/>
  <c r="G81" i="5"/>
  <c r="H81" i="5"/>
  <c r="I81" i="5"/>
  <c r="F82" i="5"/>
  <c r="G82" i="5"/>
  <c r="H82" i="5"/>
  <c r="I82" i="5"/>
  <c r="F83" i="5"/>
  <c r="G83" i="5"/>
  <c r="H83" i="5"/>
  <c r="I83" i="5"/>
  <c r="F84" i="5"/>
  <c r="G84" i="5"/>
  <c r="H84" i="5"/>
  <c r="I84" i="5"/>
  <c r="F85" i="5"/>
  <c r="G85" i="5"/>
  <c r="H85" i="5"/>
  <c r="I85" i="5"/>
  <c r="F86" i="5"/>
  <c r="G86" i="5"/>
  <c r="H86" i="5"/>
  <c r="I86" i="5"/>
  <c r="F87" i="5"/>
  <c r="G87" i="5"/>
  <c r="H87" i="5"/>
  <c r="I87" i="5"/>
  <c r="F88" i="5"/>
  <c r="G88" i="5"/>
  <c r="H88" i="5"/>
  <c r="I88" i="5"/>
  <c r="F89" i="5"/>
  <c r="G89" i="5"/>
  <c r="H89" i="5"/>
  <c r="I89" i="5"/>
  <c r="F90" i="5"/>
  <c r="G90" i="5"/>
  <c r="H90" i="5"/>
  <c r="I90" i="5"/>
  <c r="F91" i="5"/>
  <c r="G91" i="5"/>
  <c r="H91" i="5"/>
  <c r="I91" i="5"/>
  <c r="F92" i="5"/>
  <c r="G92" i="5"/>
  <c r="H92" i="5"/>
  <c r="I92" i="5"/>
  <c r="F93" i="5"/>
  <c r="G93" i="5"/>
  <c r="H93" i="5"/>
  <c r="I93" i="5"/>
  <c r="F94" i="5"/>
  <c r="G94" i="5"/>
  <c r="H94" i="5"/>
  <c r="I94" i="5"/>
  <c r="F95" i="5"/>
  <c r="G95" i="5"/>
  <c r="H95" i="5"/>
  <c r="I95" i="5"/>
  <c r="F96" i="5"/>
  <c r="G96" i="5"/>
  <c r="H96" i="5"/>
  <c r="I96" i="5"/>
  <c r="F97" i="5"/>
  <c r="G97" i="5"/>
  <c r="H97" i="5"/>
  <c r="I97" i="5"/>
  <c r="F98" i="5"/>
  <c r="G98" i="5"/>
  <c r="H98" i="5"/>
  <c r="I98" i="5"/>
  <c r="F99" i="5"/>
  <c r="G99" i="5"/>
  <c r="H99" i="5"/>
  <c r="I99" i="5"/>
  <c r="F100" i="5"/>
  <c r="G100" i="5"/>
  <c r="H100" i="5"/>
  <c r="I100" i="5"/>
  <c r="F101" i="5"/>
  <c r="G101" i="5"/>
  <c r="H101" i="5"/>
  <c r="I101" i="5"/>
  <c r="F102" i="5"/>
  <c r="G102" i="5"/>
  <c r="H102" i="5"/>
  <c r="I102" i="5"/>
  <c r="F103" i="5"/>
  <c r="G103" i="5"/>
  <c r="H103" i="5"/>
  <c r="I103" i="5"/>
  <c r="F104" i="5"/>
  <c r="G104" i="5"/>
  <c r="H104" i="5"/>
  <c r="I104" i="5"/>
  <c r="F105" i="5"/>
  <c r="G105" i="5"/>
  <c r="H105" i="5"/>
  <c r="I105" i="5"/>
  <c r="F106" i="5"/>
  <c r="G106" i="5"/>
  <c r="H106" i="5"/>
  <c r="I106" i="5"/>
  <c r="F107" i="5"/>
  <c r="G107" i="5"/>
  <c r="H107" i="5"/>
  <c r="I107" i="5"/>
  <c r="F108" i="5"/>
  <c r="G108" i="5"/>
  <c r="H108" i="5"/>
  <c r="I108" i="5"/>
  <c r="F109" i="5"/>
  <c r="G109" i="5"/>
  <c r="H109" i="5"/>
  <c r="I109" i="5"/>
  <c r="F110" i="5"/>
  <c r="G110" i="5"/>
  <c r="H110" i="5"/>
  <c r="I110" i="5"/>
  <c r="F111" i="5"/>
  <c r="G111" i="5"/>
  <c r="H111" i="5"/>
  <c r="I111" i="5"/>
  <c r="F112" i="5"/>
  <c r="G112" i="5"/>
  <c r="H112" i="5"/>
  <c r="I112" i="5"/>
  <c r="F113" i="5"/>
  <c r="G113" i="5"/>
  <c r="H113" i="5"/>
  <c r="I113" i="5"/>
  <c r="F114" i="5"/>
  <c r="G114" i="5"/>
  <c r="H114" i="5"/>
  <c r="I114" i="5"/>
  <c r="F115" i="5"/>
  <c r="G115" i="5"/>
  <c r="H115" i="5"/>
  <c r="I115" i="5"/>
  <c r="F116" i="5"/>
  <c r="G116" i="5"/>
  <c r="H116" i="5"/>
  <c r="I116" i="5"/>
  <c r="F117" i="5"/>
  <c r="G117" i="5"/>
  <c r="H117" i="5"/>
  <c r="I117" i="5"/>
  <c r="F118" i="5"/>
  <c r="G118" i="5"/>
  <c r="H118" i="5"/>
  <c r="I118" i="5"/>
  <c r="F119" i="5"/>
  <c r="G119" i="5"/>
  <c r="H119" i="5"/>
  <c r="I119" i="5"/>
  <c r="F120" i="5"/>
  <c r="G120" i="5"/>
  <c r="H120" i="5"/>
  <c r="I120" i="5"/>
  <c r="F121" i="5"/>
  <c r="G121" i="5"/>
  <c r="H121" i="5"/>
  <c r="I121" i="5"/>
  <c r="F122" i="5"/>
  <c r="G122" i="5"/>
  <c r="H122" i="5"/>
  <c r="I122" i="5"/>
  <c r="F123" i="5"/>
  <c r="G123" i="5"/>
  <c r="H123" i="5"/>
  <c r="I123" i="5"/>
  <c r="F124" i="5"/>
  <c r="G124" i="5"/>
  <c r="H124" i="5"/>
  <c r="I124" i="5"/>
  <c r="F125" i="5"/>
  <c r="G125" i="5"/>
  <c r="H125" i="5"/>
  <c r="I125" i="5"/>
  <c r="F126" i="5"/>
  <c r="G126" i="5"/>
  <c r="H126" i="5"/>
  <c r="I126" i="5"/>
  <c r="F127" i="5"/>
  <c r="G127" i="5"/>
  <c r="H127" i="5"/>
  <c r="I127" i="5"/>
  <c r="F128" i="5"/>
  <c r="G128" i="5"/>
  <c r="H128" i="5"/>
  <c r="I128" i="5"/>
  <c r="F129" i="5"/>
  <c r="G129" i="5"/>
  <c r="H129" i="5"/>
  <c r="I129" i="5"/>
  <c r="F130" i="5"/>
  <c r="G130" i="5"/>
  <c r="H130" i="5"/>
  <c r="I130" i="5"/>
  <c r="F131" i="5"/>
  <c r="G131" i="5"/>
  <c r="H131" i="5"/>
  <c r="I131" i="5"/>
  <c r="F132" i="5"/>
  <c r="G132" i="5"/>
  <c r="H132" i="5"/>
  <c r="I132" i="5"/>
  <c r="F133" i="5"/>
  <c r="G133" i="5"/>
  <c r="H133" i="5"/>
  <c r="I133" i="5"/>
  <c r="F134" i="5"/>
  <c r="G134" i="5"/>
  <c r="H134" i="5"/>
  <c r="I134" i="5"/>
  <c r="F135" i="5"/>
  <c r="G135" i="5"/>
  <c r="H135" i="5"/>
  <c r="I135" i="5"/>
  <c r="F136" i="5"/>
  <c r="G136" i="5"/>
  <c r="H136" i="5"/>
  <c r="I136" i="5"/>
  <c r="F137" i="5"/>
  <c r="G137" i="5"/>
  <c r="H137" i="5"/>
  <c r="I137" i="5"/>
  <c r="F138" i="5"/>
  <c r="G138" i="5"/>
  <c r="H138" i="5"/>
  <c r="I138" i="5"/>
  <c r="F139" i="5"/>
  <c r="G139" i="5"/>
  <c r="H139" i="5"/>
  <c r="I139" i="5"/>
  <c r="F140" i="5"/>
  <c r="G140" i="5"/>
  <c r="H140" i="5"/>
  <c r="I140" i="5"/>
  <c r="F141" i="5"/>
  <c r="G141" i="5"/>
  <c r="H141" i="5"/>
  <c r="I141" i="5"/>
  <c r="F142" i="5"/>
  <c r="G142" i="5"/>
  <c r="H142" i="5"/>
  <c r="I142" i="5"/>
  <c r="F143" i="5"/>
  <c r="G143" i="5"/>
  <c r="H143" i="5"/>
  <c r="I143" i="5"/>
  <c r="F144" i="5"/>
  <c r="G144" i="5"/>
  <c r="H144" i="5"/>
  <c r="I144" i="5"/>
  <c r="F145" i="5"/>
  <c r="G145" i="5"/>
  <c r="H145" i="5"/>
  <c r="I145" i="5"/>
  <c r="F146" i="5"/>
  <c r="G146" i="5"/>
  <c r="H146" i="5"/>
  <c r="I146" i="5"/>
  <c r="F147" i="5"/>
  <c r="G147" i="5"/>
  <c r="H147" i="5"/>
  <c r="I147" i="5"/>
  <c r="F148" i="5"/>
  <c r="G148" i="5"/>
  <c r="H148" i="5"/>
  <c r="I148" i="5"/>
  <c r="F149" i="5"/>
  <c r="G149" i="5"/>
  <c r="H149" i="5"/>
  <c r="I149" i="5"/>
  <c r="F150" i="5"/>
  <c r="G150" i="5"/>
  <c r="H150" i="5"/>
  <c r="I150" i="5"/>
  <c r="F151" i="5"/>
  <c r="G151" i="5"/>
  <c r="H151" i="5"/>
  <c r="I151" i="5"/>
  <c r="F152" i="5"/>
  <c r="G152" i="5"/>
  <c r="H152" i="5"/>
  <c r="I152" i="5"/>
  <c r="F153" i="5"/>
  <c r="G153" i="5"/>
  <c r="H153" i="5"/>
  <c r="I153" i="5"/>
  <c r="F154" i="5"/>
  <c r="G154" i="5"/>
  <c r="H154" i="5"/>
  <c r="I154" i="5"/>
  <c r="F155" i="5"/>
  <c r="G155" i="5"/>
  <c r="H155" i="5"/>
  <c r="I155" i="5"/>
  <c r="F156" i="5"/>
  <c r="G156" i="5"/>
  <c r="H156" i="5"/>
  <c r="I156" i="5"/>
  <c r="F157" i="5"/>
  <c r="G157" i="5"/>
  <c r="H157" i="5"/>
  <c r="I157" i="5"/>
  <c r="F158" i="5"/>
  <c r="G158" i="5"/>
  <c r="H158" i="5"/>
  <c r="I158" i="5"/>
  <c r="F159" i="5"/>
  <c r="G159" i="5"/>
  <c r="H159" i="5"/>
  <c r="I159" i="5"/>
  <c r="F160" i="5"/>
  <c r="G160" i="5"/>
  <c r="H160" i="5"/>
  <c r="I160" i="5"/>
  <c r="F161" i="5"/>
  <c r="G161" i="5"/>
  <c r="H161" i="5"/>
  <c r="I161" i="5"/>
  <c r="F162" i="5"/>
  <c r="G162" i="5"/>
  <c r="H162" i="5"/>
  <c r="I162" i="5"/>
  <c r="F163" i="5"/>
  <c r="G163" i="5"/>
  <c r="H163" i="5"/>
  <c r="I163" i="5"/>
  <c r="F164" i="5"/>
  <c r="G164" i="5"/>
  <c r="H164" i="5"/>
  <c r="I164" i="5"/>
  <c r="F165" i="5"/>
  <c r="G165" i="5"/>
  <c r="H165" i="5"/>
  <c r="I165" i="5"/>
  <c r="F166" i="5"/>
  <c r="G166" i="5"/>
  <c r="H166" i="5"/>
  <c r="I166" i="5"/>
  <c r="F167" i="5"/>
  <c r="G167" i="5"/>
  <c r="H167" i="5"/>
  <c r="I167" i="5"/>
  <c r="F168" i="5"/>
  <c r="G168" i="5"/>
  <c r="H168" i="5"/>
  <c r="I168" i="5"/>
  <c r="F169" i="5"/>
  <c r="G169" i="5"/>
  <c r="H169" i="5"/>
  <c r="I169" i="5"/>
  <c r="F170" i="5"/>
  <c r="G170" i="5"/>
  <c r="H170" i="5"/>
  <c r="I170" i="5"/>
  <c r="F171" i="5"/>
  <c r="G171" i="5"/>
  <c r="H171" i="5"/>
  <c r="I171" i="5"/>
  <c r="F172" i="5"/>
  <c r="G172" i="5"/>
  <c r="H172" i="5"/>
  <c r="I172" i="5"/>
  <c r="F173" i="5"/>
  <c r="G173" i="5"/>
  <c r="H173" i="5"/>
  <c r="I173" i="5"/>
  <c r="F174" i="5"/>
  <c r="G174" i="5"/>
  <c r="H174" i="5"/>
  <c r="I174" i="5"/>
  <c r="F175" i="5"/>
  <c r="G175" i="5"/>
  <c r="H175" i="5"/>
  <c r="I175" i="5"/>
  <c r="F176" i="5"/>
  <c r="G176" i="5"/>
  <c r="H176" i="5"/>
  <c r="I176" i="5"/>
  <c r="F177" i="5"/>
  <c r="G177" i="5"/>
  <c r="H177" i="5"/>
  <c r="I177" i="5"/>
  <c r="F178" i="5"/>
  <c r="G178" i="5"/>
  <c r="H178" i="5"/>
  <c r="I178" i="5"/>
  <c r="F179" i="5"/>
  <c r="G179" i="5"/>
  <c r="H179" i="5"/>
  <c r="I179" i="5"/>
  <c r="F180" i="5"/>
  <c r="G180" i="5"/>
  <c r="H180" i="5"/>
  <c r="I180" i="5"/>
  <c r="F181" i="5"/>
  <c r="G181" i="5"/>
  <c r="H181" i="5"/>
  <c r="I181" i="5"/>
  <c r="F182" i="5"/>
  <c r="G182" i="5"/>
  <c r="H182" i="5"/>
  <c r="I182" i="5"/>
  <c r="F183" i="5"/>
  <c r="G183" i="5"/>
  <c r="H183" i="5"/>
  <c r="I183" i="5"/>
  <c r="F184" i="5"/>
  <c r="G184" i="5"/>
  <c r="H184" i="5"/>
  <c r="I184" i="5"/>
  <c r="F185" i="5"/>
  <c r="G185" i="5"/>
  <c r="H185" i="5"/>
  <c r="I185" i="5"/>
  <c r="F186" i="5"/>
  <c r="G186" i="5"/>
  <c r="H186" i="5"/>
  <c r="I186" i="5"/>
  <c r="F187" i="5"/>
  <c r="G187" i="5"/>
  <c r="H187" i="5"/>
  <c r="I187" i="5"/>
  <c r="F188" i="5"/>
  <c r="G188" i="5"/>
  <c r="H188" i="5"/>
  <c r="I188" i="5"/>
  <c r="F189" i="5"/>
  <c r="G189" i="5"/>
  <c r="H189" i="5"/>
  <c r="I189" i="5"/>
  <c r="F190" i="5"/>
  <c r="G190" i="5"/>
  <c r="H190" i="5"/>
  <c r="I190" i="5"/>
  <c r="F191" i="5"/>
  <c r="G191" i="5"/>
  <c r="H191" i="5"/>
  <c r="I191" i="5"/>
  <c r="F192" i="5"/>
  <c r="G192" i="5"/>
  <c r="H192" i="5"/>
  <c r="I192" i="5"/>
  <c r="F193" i="5"/>
  <c r="G193" i="5"/>
  <c r="H193" i="5"/>
  <c r="I193" i="5"/>
  <c r="F194" i="5"/>
  <c r="G194" i="5"/>
  <c r="H194" i="5"/>
  <c r="I194" i="5"/>
  <c r="F195" i="5"/>
  <c r="G195" i="5"/>
  <c r="H195" i="5"/>
  <c r="I195" i="5"/>
  <c r="F196" i="5"/>
  <c r="G196" i="5"/>
  <c r="H196" i="5"/>
  <c r="I196" i="5"/>
  <c r="F197" i="5"/>
  <c r="G197" i="5"/>
  <c r="H197" i="5"/>
  <c r="I197" i="5"/>
  <c r="F198" i="5"/>
  <c r="G198" i="5"/>
  <c r="H198" i="5"/>
  <c r="I198" i="5"/>
  <c r="F199" i="5"/>
  <c r="G199" i="5"/>
  <c r="H199" i="5"/>
  <c r="I199" i="5"/>
  <c r="F200" i="5"/>
  <c r="G200" i="5"/>
  <c r="H200" i="5"/>
  <c r="I200" i="5"/>
  <c r="F201" i="5"/>
  <c r="G201" i="5"/>
  <c r="H201" i="5"/>
  <c r="I201" i="5"/>
  <c r="F202" i="5"/>
  <c r="G202" i="5"/>
  <c r="H202" i="5"/>
  <c r="I202" i="5"/>
  <c r="F203" i="5"/>
  <c r="G203" i="5"/>
  <c r="H203" i="5"/>
  <c r="I203" i="5"/>
  <c r="F204" i="5"/>
  <c r="G204" i="5"/>
  <c r="H204" i="5"/>
  <c r="I204" i="5"/>
  <c r="F205" i="5"/>
  <c r="G205" i="5"/>
  <c r="H205" i="5"/>
  <c r="I205" i="5"/>
  <c r="F206" i="5"/>
  <c r="G206" i="5"/>
  <c r="H206" i="5"/>
  <c r="I206" i="5"/>
  <c r="F207" i="5"/>
  <c r="G207" i="5"/>
  <c r="H207" i="5"/>
  <c r="I207" i="5"/>
  <c r="F208" i="5"/>
  <c r="G208" i="5"/>
  <c r="H208" i="5"/>
  <c r="I208" i="5"/>
  <c r="F209" i="5"/>
  <c r="G209" i="5"/>
  <c r="H209" i="5"/>
  <c r="I209" i="5"/>
  <c r="F210" i="5"/>
  <c r="G210" i="5"/>
  <c r="H210" i="5"/>
  <c r="I210" i="5"/>
  <c r="F211" i="5"/>
  <c r="G211" i="5"/>
  <c r="H211" i="5"/>
  <c r="I211" i="5"/>
  <c r="F212" i="5"/>
  <c r="G212" i="5"/>
  <c r="H212" i="5"/>
  <c r="I212" i="5"/>
  <c r="F213" i="5"/>
  <c r="G213" i="5"/>
  <c r="H213" i="5"/>
  <c r="I213" i="5"/>
  <c r="F214" i="5"/>
  <c r="G214" i="5"/>
  <c r="H214" i="5"/>
  <c r="I214" i="5"/>
  <c r="F215" i="5"/>
  <c r="G215" i="5"/>
  <c r="H215" i="5"/>
  <c r="I215" i="5"/>
  <c r="F216" i="5"/>
  <c r="G216" i="5"/>
  <c r="H216" i="5"/>
  <c r="I216" i="5"/>
  <c r="F217" i="5"/>
  <c r="G217" i="5"/>
  <c r="H217" i="5"/>
  <c r="I217" i="5"/>
  <c r="F218" i="5"/>
  <c r="G218" i="5"/>
  <c r="H218" i="5"/>
  <c r="I218" i="5"/>
  <c r="F219" i="5"/>
  <c r="G219" i="5"/>
  <c r="H219" i="5"/>
  <c r="I219" i="5"/>
  <c r="F220" i="5"/>
  <c r="G220" i="5"/>
  <c r="H220" i="5"/>
  <c r="I220" i="5"/>
  <c r="F221" i="5"/>
  <c r="G221" i="5"/>
  <c r="H221" i="5"/>
  <c r="I221" i="5"/>
  <c r="F222" i="5"/>
  <c r="G222" i="5"/>
  <c r="H222" i="5"/>
  <c r="I222" i="5"/>
  <c r="F223" i="5"/>
  <c r="G223" i="5"/>
  <c r="H223" i="5"/>
  <c r="I223" i="5"/>
  <c r="F224" i="5"/>
  <c r="G224" i="5"/>
  <c r="H224" i="5"/>
  <c r="I224" i="5"/>
  <c r="F225" i="5"/>
  <c r="G225" i="5"/>
  <c r="H225" i="5"/>
  <c r="I225" i="5"/>
  <c r="F226" i="5"/>
  <c r="G226" i="5"/>
  <c r="H226" i="5"/>
  <c r="I226" i="5"/>
  <c r="F227" i="5"/>
  <c r="G227" i="5"/>
  <c r="H227" i="5"/>
  <c r="I227" i="5"/>
  <c r="F228" i="5"/>
  <c r="G228" i="5"/>
  <c r="H228" i="5"/>
  <c r="I228" i="5"/>
  <c r="F229" i="5"/>
  <c r="G229" i="5"/>
  <c r="H229" i="5"/>
  <c r="I229" i="5"/>
  <c r="F230" i="5"/>
  <c r="G230" i="5"/>
  <c r="H230" i="5"/>
  <c r="I230" i="5"/>
  <c r="F231" i="5"/>
  <c r="G231" i="5"/>
  <c r="H231" i="5"/>
  <c r="I231" i="5"/>
  <c r="F232" i="5"/>
  <c r="G232" i="5"/>
  <c r="H232" i="5"/>
  <c r="I232" i="5"/>
  <c r="F233" i="5"/>
  <c r="G233" i="5"/>
  <c r="H233" i="5"/>
  <c r="I233" i="5"/>
  <c r="F234" i="5"/>
  <c r="G234" i="5"/>
  <c r="H234" i="5"/>
  <c r="I234" i="5"/>
  <c r="F235" i="5"/>
  <c r="G235" i="5"/>
  <c r="H235" i="5"/>
  <c r="I235" i="5"/>
  <c r="F236" i="5"/>
  <c r="G236" i="5"/>
  <c r="H236" i="5"/>
  <c r="I236" i="5"/>
  <c r="F237" i="5"/>
  <c r="G237" i="5"/>
  <c r="H237" i="5"/>
  <c r="I237" i="5"/>
  <c r="F238" i="5"/>
  <c r="G238" i="5"/>
  <c r="H238" i="5"/>
  <c r="I238" i="5"/>
  <c r="F239" i="5"/>
  <c r="G239" i="5"/>
  <c r="H239" i="5"/>
  <c r="I239" i="5"/>
  <c r="F240" i="5"/>
  <c r="G240" i="5"/>
  <c r="H240" i="5"/>
  <c r="I240" i="5"/>
  <c r="F241" i="5"/>
  <c r="G241" i="5"/>
  <c r="H241" i="5"/>
  <c r="I241" i="5"/>
  <c r="F242" i="5"/>
  <c r="G242" i="5"/>
  <c r="H242" i="5"/>
  <c r="I242" i="5"/>
  <c r="F243" i="5"/>
  <c r="G243" i="5"/>
  <c r="H243" i="5"/>
  <c r="I243" i="5"/>
  <c r="F244" i="5"/>
  <c r="G244" i="5"/>
  <c r="H244" i="5"/>
  <c r="I244" i="5"/>
  <c r="F245" i="5"/>
  <c r="G245" i="5"/>
  <c r="H245" i="5"/>
  <c r="I245" i="5"/>
  <c r="F246" i="5"/>
  <c r="G246" i="5"/>
  <c r="H246" i="5"/>
  <c r="I246" i="5"/>
  <c r="F247" i="5"/>
  <c r="G247" i="5"/>
  <c r="H247" i="5"/>
  <c r="I247" i="5"/>
  <c r="F248" i="5"/>
  <c r="G248" i="5"/>
  <c r="H248" i="5"/>
  <c r="I248" i="5"/>
  <c r="F249" i="5"/>
  <c r="G249" i="5"/>
  <c r="H249" i="5"/>
  <c r="I249" i="5"/>
  <c r="F250" i="5"/>
  <c r="G250" i="5"/>
  <c r="H250" i="5"/>
  <c r="I250" i="5"/>
  <c r="F251" i="5"/>
  <c r="G251" i="5"/>
  <c r="H251" i="5"/>
  <c r="I251" i="5"/>
  <c r="F252" i="5"/>
  <c r="G252" i="5"/>
  <c r="H252" i="5"/>
  <c r="I252" i="5"/>
  <c r="F253" i="5"/>
  <c r="G253" i="5"/>
  <c r="H253" i="5"/>
  <c r="I253" i="5"/>
  <c r="F254" i="5"/>
  <c r="G254" i="5"/>
  <c r="H254" i="5"/>
  <c r="I254" i="5"/>
  <c r="F255" i="5"/>
  <c r="G255" i="5"/>
  <c r="H255" i="5"/>
  <c r="I255" i="5"/>
  <c r="F256" i="5"/>
  <c r="G256" i="5"/>
  <c r="H256" i="5"/>
  <c r="I256" i="5"/>
  <c r="F257" i="5"/>
  <c r="G257" i="5"/>
  <c r="H257" i="5"/>
  <c r="I257" i="5"/>
  <c r="F258" i="5"/>
  <c r="G258" i="5"/>
  <c r="H258" i="5"/>
  <c r="I258" i="5"/>
  <c r="F259" i="5"/>
  <c r="H259" i="5"/>
  <c r="I259" i="5"/>
  <c r="F260" i="5"/>
  <c r="G260" i="5"/>
  <c r="H260" i="5"/>
  <c r="I260" i="5"/>
  <c r="F261" i="5"/>
  <c r="G261" i="5"/>
  <c r="H261" i="5"/>
  <c r="I261" i="5"/>
  <c r="F262" i="5"/>
  <c r="G262" i="5"/>
  <c r="H262" i="5"/>
  <c r="I262" i="5"/>
  <c r="F263" i="5"/>
  <c r="G263" i="5"/>
  <c r="H263" i="5"/>
  <c r="I263" i="5"/>
  <c r="G3" i="5"/>
  <c r="H3" i="5"/>
  <c r="Q5" i="5" l="1"/>
  <c r="I3" i="2"/>
  <c r="I6" i="2" s="1"/>
  <c r="J21" i="5"/>
  <c r="J13" i="5"/>
  <c r="J4" i="5"/>
  <c r="J36" i="5"/>
  <c r="J28" i="5"/>
  <c r="J20" i="5"/>
  <c r="J12" i="5"/>
  <c r="J8" i="5"/>
  <c r="J40" i="5"/>
  <c r="J32" i="5"/>
  <c r="J24" i="5"/>
  <c r="J16" i="5"/>
  <c r="J47" i="5"/>
  <c r="J39" i="5"/>
  <c r="J31" i="5"/>
  <c r="J23" i="5"/>
  <c r="J15" i="5"/>
</calcChain>
</file>

<file path=xl/sharedStrings.xml><?xml version="1.0" encoding="utf-8"?>
<sst xmlns="http://schemas.openxmlformats.org/spreadsheetml/2006/main" count="48" uniqueCount="15">
  <si>
    <t>Date</t>
  </si>
  <si>
    <t>Bid</t>
  </si>
  <si>
    <t>Ask</t>
  </si>
  <si>
    <t>Mid</t>
  </si>
  <si>
    <t>COP</t>
  </si>
  <si>
    <t>CLP</t>
  </si>
  <si>
    <t>BRL</t>
  </si>
  <si>
    <t>MXN</t>
  </si>
  <si>
    <t>Portafolio</t>
  </si>
  <si>
    <t>Spread</t>
  </si>
  <si>
    <t>mu</t>
  </si>
  <si>
    <t>sigma</t>
  </si>
  <si>
    <t>L-VaR</t>
  </si>
  <si>
    <t>VaR 99%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</si>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</sst>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mm/dd/yy"/>
    <numFmt numFmtId="165" formatCode="#,##0.000000"/>
    <numFmt numFmtId="166" formatCode="0.000%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165" fontId="0" fillId="3" borderId="0" xfId="0" applyNumberFormat="1" applyFill="1" applyAlignment="1">
      <alignment horizontal="right"/>
    </xf>
    <xf numFmtId="164" fontId="0" fillId="0" borderId="0" xfId="0" applyNumberFormat="1"/>
    <xf numFmtId="165" fontId="0" fillId="0" borderId="0" xfId="0" applyNumberFormat="1" applyAlignment="1">
      <alignment horizontal="right"/>
    </xf>
    <xf numFmtId="44" fontId="0" fillId="0" borderId="0" xfId="1" applyFont="1"/>
    <xf numFmtId="44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166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642D-FCEC-4C97-9CE8-DA44E93547CF}">
  <dimension ref="A1:I263"/>
  <sheetViews>
    <sheetView workbookViewId="0">
      <selection activeCell="I7" sqref="I7"/>
    </sheetView>
  </sheetViews>
  <sheetFormatPr baseColWidth="10" defaultRowHeight="15" x14ac:dyDescent="0.25"/>
  <cols>
    <col min="2" max="4" width="11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9</v>
      </c>
    </row>
    <row r="2" spans="1:9" x14ac:dyDescent="0.25">
      <c r="A2" s="2">
        <v>45715</v>
      </c>
      <c r="B2" s="3">
        <v>4123.2</v>
      </c>
      <c r="C2" s="3">
        <v>4124.87</v>
      </c>
      <c r="D2" s="3">
        <v>4124.0349999999999</v>
      </c>
      <c r="F2">
        <f>(C2-B2)/D2</f>
        <v>4.0494321701927186E-4</v>
      </c>
      <c r="H2" t="s">
        <v>10</v>
      </c>
      <c r="I2">
        <f>AVERAGE(F2:F263)</f>
        <v>1.1076954435207207E-3</v>
      </c>
    </row>
    <row r="3" spans="1:9" x14ac:dyDescent="0.25">
      <c r="A3" s="4">
        <v>45716</v>
      </c>
      <c r="B3" s="5">
        <v>4128.8</v>
      </c>
      <c r="C3" s="5">
        <v>4130.05</v>
      </c>
      <c r="D3" s="5">
        <v>4129.4250000000002</v>
      </c>
      <c r="F3">
        <f t="shared" ref="F3:F66" si="0">(C3-B3)/D3</f>
        <v>3.0270558249635238E-4</v>
      </c>
      <c r="H3" t="s">
        <v>11</v>
      </c>
      <c r="I3">
        <f>_xlfn.STDEV.S(F2:F263)</f>
        <v>8.0521956952984758E-4</v>
      </c>
    </row>
    <row r="4" spans="1:9" x14ac:dyDescent="0.25">
      <c r="A4" s="2">
        <v>45719</v>
      </c>
      <c r="B4" s="3">
        <v>4113.1099999999997</v>
      </c>
      <c r="C4" s="3">
        <v>4115.3</v>
      </c>
      <c r="D4" s="3">
        <v>4114.2049999999999</v>
      </c>
      <c r="F4">
        <f t="shared" si="0"/>
        <v>5.3230210939914503E-4</v>
      </c>
      <c r="H4" t="s">
        <v>14</v>
      </c>
      <c r="I4">
        <f>NORMSINV(0.99)</f>
        <v>2.3263478740408408</v>
      </c>
    </row>
    <row r="5" spans="1:9" x14ac:dyDescent="0.25">
      <c r="A5" s="4">
        <v>45720</v>
      </c>
      <c r="B5" s="5">
        <v>4162.55</v>
      </c>
      <c r="C5" s="5">
        <v>4165.3</v>
      </c>
      <c r="D5" s="5">
        <v>4163.9250000000002</v>
      </c>
      <c r="F5">
        <f t="shared" si="0"/>
        <v>6.6043456594439139E-4</v>
      </c>
    </row>
    <row r="6" spans="1:9" x14ac:dyDescent="0.25">
      <c r="A6" s="2">
        <v>45721</v>
      </c>
      <c r="B6" s="3">
        <v>4127.8999999999996</v>
      </c>
      <c r="C6" s="3">
        <v>4130.3</v>
      </c>
      <c r="D6" s="3">
        <v>4129.1000000000004</v>
      </c>
      <c r="F6">
        <f t="shared" si="0"/>
        <v>5.8124046402376918E-4</v>
      </c>
      <c r="H6" t="s">
        <v>12</v>
      </c>
      <c r="I6" s="8">
        <f>0.5*(I2+I3*I4)</f>
        <v>1.4904581386162813E-3</v>
      </c>
    </row>
    <row r="7" spans="1:9" x14ac:dyDescent="0.25">
      <c r="A7" s="4">
        <v>45722</v>
      </c>
      <c r="B7" s="5">
        <v>4110.2</v>
      </c>
      <c r="C7" s="5">
        <v>4112.26</v>
      </c>
      <c r="D7" s="5">
        <v>4111.2299999999996</v>
      </c>
      <c r="F7">
        <f t="shared" si="0"/>
        <v>5.010665907770668E-4</v>
      </c>
    </row>
    <row r="8" spans="1:9" x14ac:dyDescent="0.25">
      <c r="A8" s="2">
        <v>45723</v>
      </c>
      <c r="B8" s="3">
        <v>4115.3500000000004</v>
      </c>
      <c r="C8" s="3">
        <v>4117.16</v>
      </c>
      <c r="D8" s="3">
        <v>4116.2550000000001</v>
      </c>
      <c r="F8">
        <f t="shared" si="0"/>
        <v>4.3972008536873703E-4</v>
      </c>
    </row>
    <row r="9" spans="1:9" x14ac:dyDescent="0.25">
      <c r="A9" s="4">
        <v>45726</v>
      </c>
      <c r="B9" s="5">
        <v>4159.1099999999997</v>
      </c>
      <c r="C9" s="5">
        <v>4161.75</v>
      </c>
      <c r="D9" s="5">
        <v>4160.43</v>
      </c>
      <c r="F9">
        <f t="shared" si="0"/>
        <v>6.3454979413193522E-4</v>
      </c>
    </row>
    <row r="10" spans="1:9" x14ac:dyDescent="0.25">
      <c r="A10" s="2">
        <v>45727</v>
      </c>
      <c r="B10" s="3">
        <v>4133.37</v>
      </c>
      <c r="C10" s="3">
        <v>4135.8</v>
      </c>
      <c r="D10" s="3">
        <v>4134.585</v>
      </c>
      <c r="F10">
        <f t="shared" si="0"/>
        <v>5.8772524932980961E-4</v>
      </c>
    </row>
    <row r="11" spans="1:9" x14ac:dyDescent="0.25">
      <c r="A11" s="4">
        <v>45728</v>
      </c>
      <c r="B11" s="5">
        <v>4104.47</v>
      </c>
      <c r="C11" s="5">
        <v>4105.3</v>
      </c>
      <c r="D11" s="5">
        <v>4104.8850000000002</v>
      </c>
      <c r="F11">
        <f t="shared" si="0"/>
        <v>2.0219811273639265E-4</v>
      </c>
    </row>
    <row r="12" spans="1:9" x14ac:dyDescent="0.25">
      <c r="A12" s="2">
        <v>45729</v>
      </c>
      <c r="B12" s="3">
        <v>4106.57</v>
      </c>
      <c r="C12" s="3">
        <v>4107.6000000000004</v>
      </c>
      <c r="D12" s="3">
        <v>4107.085</v>
      </c>
      <c r="F12">
        <f t="shared" si="0"/>
        <v>2.5078614150928332E-4</v>
      </c>
    </row>
    <row r="13" spans="1:9" x14ac:dyDescent="0.25">
      <c r="A13" s="4">
        <v>45730</v>
      </c>
      <c r="B13" s="5">
        <v>4104.92</v>
      </c>
      <c r="C13" s="5">
        <v>4106.6899999999996</v>
      </c>
      <c r="D13" s="5">
        <v>4105.8050000000003</v>
      </c>
      <c r="F13">
        <f t="shared" si="0"/>
        <v>4.310969468836262E-4</v>
      </c>
    </row>
    <row r="14" spans="1:9" x14ac:dyDescent="0.25">
      <c r="A14" s="2">
        <v>45733</v>
      </c>
      <c r="B14" s="3">
        <v>4071.05</v>
      </c>
      <c r="C14" s="3">
        <v>4073.8</v>
      </c>
      <c r="D14" s="3">
        <v>4072.4250000000002</v>
      </c>
      <c r="F14">
        <f t="shared" si="0"/>
        <v>6.7527333222834054E-4</v>
      </c>
    </row>
    <row r="15" spans="1:9" x14ac:dyDescent="0.25">
      <c r="A15" s="4">
        <v>45734</v>
      </c>
      <c r="B15" s="5">
        <v>4113.97</v>
      </c>
      <c r="C15" s="5">
        <v>4117.3</v>
      </c>
      <c r="D15" s="5">
        <v>4115.6350000000002</v>
      </c>
      <c r="F15">
        <f t="shared" si="0"/>
        <v>8.0910965136605335E-4</v>
      </c>
    </row>
    <row r="16" spans="1:9" x14ac:dyDescent="0.25">
      <c r="A16" s="2">
        <v>45735</v>
      </c>
      <c r="B16" s="3">
        <v>4148.5</v>
      </c>
      <c r="C16" s="3">
        <v>4150.8</v>
      </c>
      <c r="D16" s="3">
        <v>4149.6499999999996</v>
      </c>
      <c r="F16">
        <f t="shared" si="0"/>
        <v>5.5426361259387714E-4</v>
      </c>
    </row>
    <row r="17" spans="1:6" x14ac:dyDescent="0.25">
      <c r="A17" s="4">
        <v>45736</v>
      </c>
      <c r="B17" s="5">
        <v>4181.93</v>
      </c>
      <c r="C17" s="5">
        <v>4184.8</v>
      </c>
      <c r="D17" s="5">
        <v>4183.3649999999998</v>
      </c>
      <c r="F17">
        <f t="shared" si="0"/>
        <v>6.8605058368081462E-4</v>
      </c>
    </row>
    <row r="18" spans="1:6" x14ac:dyDescent="0.25">
      <c r="A18" s="2">
        <v>45737</v>
      </c>
      <c r="B18" s="3">
        <v>4168.33</v>
      </c>
      <c r="C18" s="3">
        <v>4168.92</v>
      </c>
      <c r="D18" s="3">
        <v>4168.625</v>
      </c>
      <c r="F18">
        <f t="shared" si="0"/>
        <v>1.4153347926478048E-4</v>
      </c>
    </row>
    <row r="19" spans="1:6" x14ac:dyDescent="0.25">
      <c r="A19" s="4">
        <v>45740</v>
      </c>
      <c r="B19" s="5">
        <v>4143</v>
      </c>
      <c r="C19" s="5">
        <v>4145.66</v>
      </c>
      <c r="D19" s="5">
        <v>4144.33</v>
      </c>
      <c r="F19">
        <f t="shared" si="0"/>
        <v>6.4184078005367678E-4</v>
      </c>
    </row>
    <row r="20" spans="1:6" x14ac:dyDescent="0.25">
      <c r="A20" s="2">
        <v>45741</v>
      </c>
      <c r="B20" s="3">
        <v>4107.04</v>
      </c>
      <c r="C20" s="3">
        <v>4109.2</v>
      </c>
      <c r="D20" s="3">
        <v>4108.12</v>
      </c>
      <c r="F20">
        <f t="shared" si="0"/>
        <v>5.2578795166642025E-4</v>
      </c>
    </row>
    <row r="21" spans="1:6" x14ac:dyDescent="0.25">
      <c r="A21" s="4">
        <v>45742</v>
      </c>
      <c r="B21" s="5">
        <v>4137.1400000000003</v>
      </c>
      <c r="C21" s="5">
        <v>4139.5</v>
      </c>
      <c r="D21" s="5">
        <v>4138.32</v>
      </c>
      <c r="F21">
        <f t="shared" si="0"/>
        <v>5.7027972703891261E-4</v>
      </c>
    </row>
    <row r="22" spans="1:6" x14ac:dyDescent="0.25">
      <c r="A22" s="2">
        <v>45743</v>
      </c>
      <c r="B22" s="3">
        <v>4155</v>
      </c>
      <c r="C22" s="3">
        <v>4157</v>
      </c>
      <c r="D22" s="3">
        <v>4156</v>
      </c>
      <c r="F22">
        <f t="shared" si="0"/>
        <v>4.8123195380173246E-4</v>
      </c>
    </row>
    <row r="23" spans="1:6" x14ac:dyDescent="0.25">
      <c r="A23" s="4">
        <v>45744</v>
      </c>
      <c r="B23" s="5">
        <v>4188.5</v>
      </c>
      <c r="C23" s="5">
        <v>4190.51</v>
      </c>
      <c r="D23" s="5">
        <v>4189.5050000000001</v>
      </c>
      <c r="F23">
        <f t="shared" si="0"/>
        <v>4.7977028312419203E-4</v>
      </c>
    </row>
    <row r="24" spans="1:6" x14ac:dyDescent="0.25">
      <c r="A24" s="2">
        <v>45747</v>
      </c>
      <c r="B24" s="3">
        <v>4190.54</v>
      </c>
      <c r="C24" s="3">
        <v>4194.3999999999996</v>
      </c>
      <c r="D24" s="3">
        <v>4192.47</v>
      </c>
      <c r="F24">
        <f t="shared" si="0"/>
        <v>9.2069829957034212E-4</v>
      </c>
    </row>
    <row r="25" spans="1:6" x14ac:dyDescent="0.25">
      <c r="A25" s="4">
        <v>45748</v>
      </c>
      <c r="B25" s="5">
        <v>4143.05</v>
      </c>
      <c r="C25" s="5">
        <v>4153.3500000000004</v>
      </c>
      <c r="D25" s="5">
        <v>4148.2</v>
      </c>
      <c r="F25">
        <f t="shared" si="0"/>
        <v>2.4830046767272992E-3</v>
      </c>
    </row>
    <row r="26" spans="1:6" x14ac:dyDescent="0.25">
      <c r="A26" s="2">
        <v>45749</v>
      </c>
      <c r="B26" s="3">
        <v>4141.6499999999996</v>
      </c>
      <c r="C26" s="3">
        <v>4144.22</v>
      </c>
      <c r="D26" s="3">
        <v>4142.9350000000004</v>
      </c>
      <c r="F26">
        <f t="shared" si="0"/>
        <v>6.2033316960092742E-4</v>
      </c>
    </row>
    <row r="27" spans="1:6" x14ac:dyDescent="0.25">
      <c r="A27" s="4">
        <v>45750</v>
      </c>
      <c r="B27" s="5">
        <v>4114.1000000000004</v>
      </c>
      <c r="C27" s="5">
        <v>4116.7</v>
      </c>
      <c r="D27" s="5">
        <v>4115.3999999999996</v>
      </c>
      <c r="F27">
        <f t="shared" si="0"/>
        <v>6.3177333916495466E-4</v>
      </c>
    </row>
    <row r="28" spans="1:6" x14ac:dyDescent="0.25">
      <c r="A28" s="2">
        <v>45751</v>
      </c>
      <c r="B28" s="3">
        <v>4288.24</v>
      </c>
      <c r="C28" s="3">
        <v>4292.6400000000003</v>
      </c>
      <c r="D28" s="3">
        <v>4290.4399999999996</v>
      </c>
      <c r="F28">
        <f t="shared" si="0"/>
        <v>1.0255358424778218E-3</v>
      </c>
    </row>
    <row r="29" spans="1:6" x14ac:dyDescent="0.25">
      <c r="A29" s="4">
        <v>45754</v>
      </c>
      <c r="B29" s="5">
        <v>4367.4399999999996</v>
      </c>
      <c r="C29" s="5">
        <v>4371.51</v>
      </c>
      <c r="D29" s="5">
        <v>4369.4750000000004</v>
      </c>
      <c r="F29">
        <f t="shared" si="0"/>
        <v>9.3146201774826909E-4</v>
      </c>
    </row>
    <row r="30" spans="1:6" x14ac:dyDescent="0.25">
      <c r="A30" s="2">
        <v>45755</v>
      </c>
      <c r="B30" s="3">
        <v>4391.8599999999997</v>
      </c>
      <c r="C30" s="3">
        <v>4394.57</v>
      </c>
      <c r="D30" s="3">
        <v>4393.2150000000001</v>
      </c>
      <c r="F30">
        <f t="shared" si="0"/>
        <v>6.1686031755787876E-4</v>
      </c>
    </row>
    <row r="31" spans="1:6" x14ac:dyDescent="0.25">
      <c r="A31" s="4">
        <v>45756</v>
      </c>
      <c r="B31" s="5">
        <v>4449.5200000000004</v>
      </c>
      <c r="C31" s="5">
        <v>4454.7299999999996</v>
      </c>
      <c r="D31" s="5">
        <v>4452.125</v>
      </c>
      <c r="F31">
        <f t="shared" si="0"/>
        <v>1.1702277002553E-3</v>
      </c>
    </row>
    <row r="32" spans="1:6" x14ac:dyDescent="0.25">
      <c r="A32" s="2">
        <v>45757</v>
      </c>
      <c r="B32" s="3">
        <v>4361.05</v>
      </c>
      <c r="C32" s="3">
        <v>4366.25</v>
      </c>
      <c r="D32" s="3">
        <v>4363.6499999999996</v>
      </c>
      <c r="F32">
        <f t="shared" si="0"/>
        <v>1.191662942719929E-3</v>
      </c>
    </row>
    <row r="33" spans="1:6" x14ac:dyDescent="0.25">
      <c r="A33" s="4">
        <v>45758</v>
      </c>
      <c r="B33" s="5">
        <v>4361.0600000000004</v>
      </c>
      <c r="C33" s="5">
        <v>4365.3100000000004</v>
      </c>
      <c r="D33" s="5">
        <v>4363.1850000000004</v>
      </c>
      <c r="F33">
        <f t="shared" si="0"/>
        <v>9.7405908757020379E-4</v>
      </c>
    </row>
    <row r="34" spans="1:6" x14ac:dyDescent="0.25">
      <c r="A34" s="2">
        <v>45761</v>
      </c>
      <c r="B34" s="3">
        <v>4260.28</v>
      </c>
      <c r="C34" s="3">
        <v>4266.72</v>
      </c>
      <c r="D34" s="3">
        <v>4263.5</v>
      </c>
      <c r="F34">
        <f t="shared" si="0"/>
        <v>1.5104960713030395E-3</v>
      </c>
    </row>
    <row r="35" spans="1:6" x14ac:dyDescent="0.25">
      <c r="A35" s="4">
        <v>45762</v>
      </c>
      <c r="B35" s="5">
        <v>4345.3900000000003</v>
      </c>
      <c r="C35" s="5">
        <v>4349.51</v>
      </c>
      <c r="D35" s="5">
        <v>4347.45</v>
      </c>
      <c r="F35">
        <f t="shared" si="0"/>
        <v>9.4768197449076838E-4</v>
      </c>
    </row>
    <row r="36" spans="1:6" x14ac:dyDescent="0.25">
      <c r="A36" s="2">
        <v>45763</v>
      </c>
      <c r="B36" s="3">
        <v>4309.5</v>
      </c>
      <c r="C36" s="3">
        <v>4312.1000000000004</v>
      </c>
      <c r="D36" s="3">
        <v>4310.8</v>
      </c>
      <c r="F36">
        <f t="shared" si="0"/>
        <v>6.0313630880587453E-4</v>
      </c>
    </row>
    <row r="37" spans="1:6" x14ac:dyDescent="0.25">
      <c r="A37" s="4">
        <v>45764</v>
      </c>
      <c r="B37" s="5">
        <v>4309.62</v>
      </c>
      <c r="C37" s="5">
        <v>4314.62</v>
      </c>
      <c r="D37" s="5">
        <v>4312.12</v>
      </c>
      <c r="F37">
        <f t="shared" si="0"/>
        <v>1.1595224622691391E-3</v>
      </c>
    </row>
    <row r="38" spans="1:6" x14ac:dyDescent="0.25">
      <c r="A38" s="2">
        <v>45765</v>
      </c>
      <c r="B38" s="3">
        <v>4309.62</v>
      </c>
      <c r="C38" s="3">
        <v>4314.62</v>
      </c>
      <c r="D38" s="3">
        <v>4312.1206000000002</v>
      </c>
      <c r="F38">
        <f t="shared" si="0"/>
        <v>1.1595223009300806E-3</v>
      </c>
    </row>
    <row r="39" spans="1:6" x14ac:dyDescent="0.25">
      <c r="A39" s="4">
        <v>45768</v>
      </c>
      <c r="B39" s="5">
        <v>4265.0200000000004</v>
      </c>
      <c r="C39" s="5">
        <v>4268.0200000000004</v>
      </c>
      <c r="D39" s="5">
        <v>4266.5200000000004</v>
      </c>
      <c r="F39">
        <f t="shared" si="0"/>
        <v>7.0314917075274454E-4</v>
      </c>
    </row>
    <row r="40" spans="1:6" x14ac:dyDescent="0.25">
      <c r="A40" s="2">
        <v>45769</v>
      </c>
      <c r="B40" s="3">
        <v>4289.38</v>
      </c>
      <c r="C40" s="3">
        <v>4293.6400000000003</v>
      </c>
      <c r="D40" s="3">
        <v>4291.51</v>
      </c>
      <c r="F40">
        <f t="shared" si="0"/>
        <v>9.9265759604433355E-4</v>
      </c>
    </row>
    <row r="41" spans="1:6" x14ac:dyDescent="0.25">
      <c r="A41" s="4">
        <v>45770</v>
      </c>
      <c r="B41" s="5">
        <v>4306.1099999999997</v>
      </c>
      <c r="C41" s="5">
        <v>4309.43</v>
      </c>
      <c r="D41" s="5">
        <v>4307.7700000000004</v>
      </c>
      <c r="F41">
        <f t="shared" si="0"/>
        <v>7.7070038558247494E-4</v>
      </c>
    </row>
    <row r="42" spans="1:6" x14ac:dyDescent="0.25">
      <c r="A42" s="2">
        <v>45771</v>
      </c>
      <c r="B42" s="3">
        <v>4272.6099999999997</v>
      </c>
      <c r="C42" s="3">
        <v>4275.22</v>
      </c>
      <c r="D42" s="3">
        <v>4273.915</v>
      </c>
      <c r="F42">
        <f t="shared" si="0"/>
        <v>6.1068130741968006E-4</v>
      </c>
    </row>
    <row r="43" spans="1:6" x14ac:dyDescent="0.25">
      <c r="A43" s="4">
        <v>45772</v>
      </c>
      <c r="B43" s="5">
        <v>4243.46</v>
      </c>
      <c r="C43" s="5">
        <v>4247.01</v>
      </c>
      <c r="D43" s="5">
        <v>4245.2349999999997</v>
      </c>
      <c r="F43">
        <f t="shared" si="0"/>
        <v>8.3623168093172279E-4</v>
      </c>
    </row>
    <row r="44" spans="1:6" x14ac:dyDescent="0.25">
      <c r="A44" s="2">
        <v>45775</v>
      </c>
      <c r="B44" s="3">
        <v>4224.55</v>
      </c>
      <c r="C44" s="3">
        <v>4226.45</v>
      </c>
      <c r="D44" s="3">
        <v>4225.5</v>
      </c>
      <c r="F44">
        <f t="shared" si="0"/>
        <v>4.496509288840696E-4</v>
      </c>
    </row>
    <row r="45" spans="1:6" x14ac:dyDescent="0.25">
      <c r="A45" s="4">
        <v>45776</v>
      </c>
      <c r="B45" s="5">
        <v>4202.34</v>
      </c>
      <c r="C45" s="5">
        <v>4205.04</v>
      </c>
      <c r="D45" s="5">
        <v>4203.6899999999996</v>
      </c>
      <c r="F45">
        <f t="shared" si="0"/>
        <v>6.4229284271671275E-4</v>
      </c>
    </row>
    <row r="46" spans="1:6" x14ac:dyDescent="0.25">
      <c r="A46" s="2">
        <v>45777</v>
      </c>
      <c r="B46" s="3">
        <v>4222.42</v>
      </c>
      <c r="C46" s="3">
        <v>4225.53</v>
      </c>
      <c r="D46" s="3">
        <v>4223.9750000000004</v>
      </c>
      <c r="F46">
        <f t="shared" si="0"/>
        <v>7.3627329707199316E-4</v>
      </c>
    </row>
    <row r="47" spans="1:6" x14ac:dyDescent="0.25">
      <c r="A47" s="4">
        <v>45778</v>
      </c>
      <c r="B47" s="5">
        <v>4225.99</v>
      </c>
      <c r="C47" s="5">
        <v>4228.41</v>
      </c>
      <c r="D47" s="5">
        <v>4227.2</v>
      </c>
      <c r="F47">
        <f t="shared" si="0"/>
        <v>5.7248296744891961E-4</v>
      </c>
    </row>
    <row r="48" spans="1:6" x14ac:dyDescent="0.25">
      <c r="A48" s="2">
        <v>45779</v>
      </c>
      <c r="B48" s="3">
        <v>4244.7</v>
      </c>
      <c r="C48" s="3">
        <v>4246.8</v>
      </c>
      <c r="D48" s="3">
        <v>4245.75</v>
      </c>
      <c r="F48">
        <f t="shared" si="0"/>
        <v>4.9461225931822733E-4</v>
      </c>
    </row>
    <row r="49" spans="1:6" x14ac:dyDescent="0.25">
      <c r="A49" s="4">
        <v>45782</v>
      </c>
      <c r="B49" s="5">
        <v>4278.88</v>
      </c>
      <c r="C49" s="5">
        <v>4280.88</v>
      </c>
      <c r="D49" s="5">
        <v>4279.88</v>
      </c>
      <c r="F49">
        <f t="shared" si="0"/>
        <v>4.6730282157443664E-4</v>
      </c>
    </row>
    <row r="50" spans="1:6" x14ac:dyDescent="0.25">
      <c r="A50" s="2">
        <v>45783</v>
      </c>
      <c r="B50" s="3">
        <v>4305.3999999999996</v>
      </c>
      <c r="C50" s="3">
        <v>4309.03</v>
      </c>
      <c r="D50" s="3">
        <v>4307.2150000000001</v>
      </c>
      <c r="F50">
        <f t="shared" si="0"/>
        <v>8.4277195357095221E-4</v>
      </c>
    </row>
    <row r="51" spans="1:6" x14ac:dyDescent="0.25">
      <c r="A51" s="4">
        <v>45784</v>
      </c>
      <c r="B51" s="5">
        <v>4311.6499999999996</v>
      </c>
      <c r="C51" s="5">
        <v>4314.3900000000003</v>
      </c>
      <c r="D51" s="5">
        <v>4313.0200000000004</v>
      </c>
      <c r="F51">
        <f t="shared" si="0"/>
        <v>6.3528571627321248E-4</v>
      </c>
    </row>
    <row r="52" spans="1:6" x14ac:dyDescent="0.25">
      <c r="A52" s="2">
        <v>45785</v>
      </c>
      <c r="B52" s="3">
        <v>4270.71</v>
      </c>
      <c r="C52" s="3">
        <v>4272.3</v>
      </c>
      <c r="D52" s="3">
        <v>4271.5050000000001</v>
      </c>
      <c r="F52">
        <f t="shared" si="0"/>
        <v>3.722341422988257E-4</v>
      </c>
    </row>
    <row r="53" spans="1:6" x14ac:dyDescent="0.25">
      <c r="A53" s="4">
        <v>45786</v>
      </c>
      <c r="B53" s="5">
        <v>4242.6099999999997</v>
      </c>
      <c r="C53" s="5">
        <v>4246.25</v>
      </c>
      <c r="D53" s="5">
        <v>4244.43</v>
      </c>
      <c r="F53">
        <f t="shared" si="0"/>
        <v>8.5759454155218183E-4</v>
      </c>
    </row>
    <row r="54" spans="1:6" x14ac:dyDescent="0.25">
      <c r="A54" s="2">
        <v>45789</v>
      </c>
      <c r="B54" s="3">
        <v>4226.8999999999996</v>
      </c>
      <c r="C54" s="3">
        <v>4228.1000000000004</v>
      </c>
      <c r="D54" s="3">
        <v>4227.5</v>
      </c>
      <c r="F54">
        <f t="shared" si="0"/>
        <v>2.8385570668260855E-4</v>
      </c>
    </row>
    <row r="55" spans="1:6" x14ac:dyDescent="0.25">
      <c r="A55" s="4">
        <v>45790</v>
      </c>
      <c r="B55" s="5">
        <v>4205</v>
      </c>
      <c r="C55" s="5">
        <v>4207.4799999999996</v>
      </c>
      <c r="D55" s="5">
        <v>4206.24</v>
      </c>
      <c r="F55">
        <f t="shared" si="0"/>
        <v>5.8960021301674738E-4</v>
      </c>
    </row>
    <row r="56" spans="1:6" x14ac:dyDescent="0.25">
      <c r="A56" s="2">
        <v>45791</v>
      </c>
      <c r="B56" s="3">
        <v>4196.03</v>
      </c>
      <c r="C56" s="3">
        <v>4199.33</v>
      </c>
      <c r="D56" s="3">
        <v>4197.68</v>
      </c>
      <c r="F56">
        <f t="shared" si="0"/>
        <v>7.8614853919312133E-4</v>
      </c>
    </row>
    <row r="57" spans="1:6" x14ac:dyDescent="0.25">
      <c r="A57" s="4">
        <v>45792</v>
      </c>
      <c r="B57" s="5">
        <v>4211.5</v>
      </c>
      <c r="C57" s="5">
        <v>4214.3</v>
      </c>
      <c r="D57" s="5">
        <v>4212.8999999999996</v>
      </c>
      <c r="F57">
        <f t="shared" si="0"/>
        <v>6.6462531747731545E-4</v>
      </c>
    </row>
    <row r="58" spans="1:6" x14ac:dyDescent="0.25">
      <c r="A58" s="2">
        <v>45793</v>
      </c>
      <c r="B58" s="3">
        <v>4204.68</v>
      </c>
      <c r="C58" s="3">
        <v>4206.68</v>
      </c>
      <c r="D58" s="3">
        <v>4205.68</v>
      </c>
      <c r="F58">
        <f t="shared" si="0"/>
        <v>4.7554735500561143E-4</v>
      </c>
    </row>
    <row r="59" spans="1:6" x14ac:dyDescent="0.25">
      <c r="A59" s="4">
        <v>45796</v>
      </c>
      <c r="B59" s="5">
        <v>4166.55</v>
      </c>
      <c r="C59" s="5">
        <v>4168.6000000000004</v>
      </c>
      <c r="D59" s="5">
        <v>4167.5749999999998</v>
      </c>
      <c r="F59">
        <f t="shared" si="0"/>
        <v>4.9189276737675552E-4</v>
      </c>
    </row>
    <row r="60" spans="1:6" x14ac:dyDescent="0.25">
      <c r="A60" s="2">
        <v>45797</v>
      </c>
      <c r="B60" s="3">
        <v>4172.71</v>
      </c>
      <c r="C60" s="3">
        <v>4175.4799999999996</v>
      </c>
      <c r="D60" s="3">
        <v>4174.0950000000003</v>
      </c>
      <c r="F60">
        <f t="shared" si="0"/>
        <v>6.6361690378382069E-4</v>
      </c>
    </row>
    <row r="61" spans="1:6" x14ac:dyDescent="0.25">
      <c r="A61" s="4">
        <v>45798</v>
      </c>
      <c r="B61" s="5">
        <v>4171.6899999999996</v>
      </c>
      <c r="C61" s="5">
        <v>4173.55</v>
      </c>
      <c r="D61" s="5">
        <v>4172.62</v>
      </c>
      <c r="F61">
        <f t="shared" si="0"/>
        <v>4.4576309369187274E-4</v>
      </c>
    </row>
    <row r="62" spans="1:6" x14ac:dyDescent="0.25">
      <c r="A62" s="2">
        <v>45799</v>
      </c>
      <c r="B62" s="3">
        <v>4178</v>
      </c>
      <c r="C62" s="3">
        <v>4180.32</v>
      </c>
      <c r="D62" s="3">
        <v>4179.16</v>
      </c>
      <c r="F62">
        <f t="shared" si="0"/>
        <v>5.5513548177138689E-4</v>
      </c>
    </row>
    <row r="63" spans="1:6" x14ac:dyDescent="0.25">
      <c r="A63" s="4">
        <v>45800</v>
      </c>
      <c r="B63" s="5">
        <v>4164.5</v>
      </c>
      <c r="C63" s="5">
        <v>4166.95</v>
      </c>
      <c r="D63" s="5">
        <v>4165.7250000000004</v>
      </c>
      <c r="F63">
        <f t="shared" si="0"/>
        <v>5.8813291803943321E-4</v>
      </c>
    </row>
    <row r="64" spans="1:6" x14ac:dyDescent="0.25">
      <c r="A64" s="2">
        <v>45803</v>
      </c>
      <c r="B64" s="3">
        <v>4147.03</v>
      </c>
      <c r="C64" s="3">
        <v>4156.6899999999996</v>
      </c>
      <c r="D64" s="3">
        <v>4151.8599999999997</v>
      </c>
      <c r="F64">
        <f t="shared" si="0"/>
        <v>2.3266680475738234E-3</v>
      </c>
    </row>
    <row r="65" spans="1:6" x14ac:dyDescent="0.25">
      <c r="A65" s="4">
        <v>45804</v>
      </c>
      <c r="B65" s="5">
        <v>4129.1000000000004</v>
      </c>
      <c r="C65" s="5">
        <v>4131.25</v>
      </c>
      <c r="D65" s="5">
        <v>4130.1750000000002</v>
      </c>
      <c r="F65">
        <f t="shared" si="0"/>
        <v>5.2055905621423691E-4</v>
      </c>
    </row>
    <row r="66" spans="1:6" x14ac:dyDescent="0.25">
      <c r="A66" s="2">
        <v>45805</v>
      </c>
      <c r="B66" s="3">
        <v>4129.6000000000004</v>
      </c>
      <c r="C66" s="3">
        <v>4131.93</v>
      </c>
      <c r="D66" s="3">
        <v>4130.7650000000003</v>
      </c>
      <c r="F66">
        <f t="shared" si="0"/>
        <v>5.6406016803181179E-4</v>
      </c>
    </row>
    <row r="67" spans="1:6" x14ac:dyDescent="0.25">
      <c r="A67" s="4">
        <v>45806</v>
      </c>
      <c r="B67" s="5">
        <v>4102</v>
      </c>
      <c r="C67" s="5">
        <v>4102.84</v>
      </c>
      <c r="D67" s="5">
        <v>4102.42</v>
      </c>
      <c r="F67">
        <f t="shared" ref="F67:F130" si="1">(C67-B67)/D67</f>
        <v>2.0475719209640786E-4</v>
      </c>
    </row>
    <row r="68" spans="1:6" x14ac:dyDescent="0.25">
      <c r="A68" s="2">
        <v>45807</v>
      </c>
      <c r="B68" s="3">
        <v>4161.3999999999996</v>
      </c>
      <c r="C68" s="3">
        <v>4164.59</v>
      </c>
      <c r="D68" s="3">
        <v>4162.9949999999999</v>
      </c>
      <c r="F68">
        <f t="shared" si="1"/>
        <v>7.662752417431463E-4</v>
      </c>
    </row>
    <row r="69" spans="1:6" x14ac:dyDescent="0.25">
      <c r="A69" s="4">
        <v>45810</v>
      </c>
      <c r="B69" s="5">
        <v>4150.3</v>
      </c>
      <c r="C69" s="5">
        <v>4160</v>
      </c>
      <c r="D69" s="5">
        <v>4155.1499999999996</v>
      </c>
      <c r="F69">
        <f t="shared" si="1"/>
        <v>2.3344524265068215E-3</v>
      </c>
    </row>
    <row r="70" spans="1:6" x14ac:dyDescent="0.25">
      <c r="A70" s="2">
        <v>45811</v>
      </c>
      <c r="B70" s="3">
        <v>4138.7700000000004</v>
      </c>
      <c r="C70" s="3">
        <v>4142.26</v>
      </c>
      <c r="D70" s="3">
        <v>4140.5150000000003</v>
      </c>
      <c r="F70">
        <f t="shared" si="1"/>
        <v>8.4289031678421193E-4</v>
      </c>
    </row>
    <row r="71" spans="1:6" x14ac:dyDescent="0.25">
      <c r="A71" s="4">
        <v>45812</v>
      </c>
      <c r="B71" s="5">
        <v>4119.03</v>
      </c>
      <c r="C71" s="5">
        <v>4123.09</v>
      </c>
      <c r="D71" s="5">
        <v>4121.0600000000004</v>
      </c>
      <c r="F71">
        <f t="shared" si="1"/>
        <v>9.8518342368235346E-4</v>
      </c>
    </row>
    <row r="72" spans="1:6" x14ac:dyDescent="0.25">
      <c r="A72" s="2">
        <v>45813</v>
      </c>
      <c r="B72" s="3">
        <v>4098.5</v>
      </c>
      <c r="C72" s="3">
        <v>4099</v>
      </c>
      <c r="D72" s="3">
        <v>4098.75</v>
      </c>
      <c r="F72">
        <f t="shared" si="1"/>
        <v>1.2198841110094541E-4</v>
      </c>
    </row>
    <row r="73" spans="1:6" x14ac:dyDescent="0.25">
      <c r="A73" s="4">
        <v>45814</v>
      </c>
      <c r="B73" s="5">
        <v>4134.2299999999996</v>
      </c>
      <c r="C73" s="5">
        <v>4140.3500000000004</v>
      </c>
      <c r="D73" s="5">
        <v>4137.29</v>
      </c>
      <c r="F73">
        <f t="shared" si="1"/>
        <v>1.4792291572504708E-3</v>
      </c>
    </row>
    <row r="74" spans="1:6" x14ac:dyDescent="0.25">
      <c r="A74" s="2">
        <v>45817</v>
      </c>
      <c r="B74" s="3">
        <v>4139.0200000000004</v>
      </c>
      <c r="C74" s="3">
        <v>4144</v>
      </c>
      <c r="D74" s="3">
        <v>4141.51</v>
      </c>
      <c r="F74">
        <f t="shared" si="1"/>
        <v>1.2024599723288276E-3</v>
      </c>
    </row>
    <row r="75" spans="1:6" x14ac:dyDescent="0.25">
      <c r="A75" s="4">
        <v>45818</v>
      </c>
      <c r="B75" s="5">
        <v>4207.66</v>
      </c>
      <c r="C75" s="5">
        <v>4209.8500000000004</v>
      </c>
      <c r="D75" s="5">
        <v>4208.7550000000001</v>
      </c>
      <c r="F75">
        <f t="shared" si="1"/>
        <v>5.203439021754674E-4</v>
      </c>
    </row>
    <row r="76" spans="1:6" x14ac:dyDescent="0.25">
      <c r="A76" s="2">
        <v>45819</v>
      </c>
      <c r="B76" s="3">
        <v>4194.6499999999996</v>
      </c>
      <c r="C76" s="3">
        <v>4195.9799999999996</v>
      </c>
      <c r="D76" s="3">
        <v>4195.3149999999996</v>
      </c>
      <c r="F76">
        <f t="shared" si="1"/>
        <v>3.1702029525790731E-4</v>
      </c>
    </row>
    <row r="77" spans="1:6" x14ac:dyDescent="0.25">
      <c r="A77" s="4">
        <v>45820</v>
      </c>
      <c r="B77" s="5">
        <v>4167.95</v>
      </c>
      <c r="C77" s="5">
        <v>4171.24</v>
      </c>
      <c r="D77" s="5">
        <v>4169.5950000000003</v>
      </c>
      <c r="F77">
        <f t="shared" si="1"/>
        <v>7.8904545885151033E-4</v>
      </c>
    </row>
    <row r="78" spans="1:6" x14ac:dyDescent="0.25">
      <c r="A78" s="2">
        <v>45821</v>
      </c>
      <c r="B78" s="3">
        <v>4137.29</v>
      </c>
      <c r="C78" s="3">
        <v>4142.21</v>
      </c>
      <c r="D78" s="3">
        <v>4139.75</v>
      </c>
      <c r="F78">
        <f t="shared" si="1"/>
        <v>1.1884775650703721E-3</v>
      </c>
    </row>
    <row r="79" spans="1:6" x14ac:dyDescent="0.25">
      <c r="A79" s="4">
        <v>45824</v>
      </c>
      <c r="B79" s="5">
        <v>4081.57</v>
      </c>
      <c r="C79" s="5">
        <v>4083.86</v>
      </c>
      <c r="D79" s="5">
        <v>4082.7150000000001</v>
      </c>
      <c r="F79">
        <f t="shared" si="1"/>
        <v>5.6090126300757301E-4</v>
      </c>
    </row>
    <row r="80" spans="1:6" x14ac:dyDescent="0.25">
      <c r="A80" s="2">
        <v>45825</v>
      </c>
      <c r="B80" s="3">
        <v>4101.62</v>
      </c>
      <c r="C80" s="3">
        <v>4102.45</v>
      </c>
      <c r="D80" s="3">
        <v>4102.0349999999999</v>
      </c>
      <c r="F80">
        <f t="shared" si="1"/>
        <v>2.0233859535570206E-4</v>
      </c>
    </row>
    <row r="81" spans="1:6" x14ac:dyDescent="0.25">
      <c r="A81" s="4">
        <v>45826</v>
      </c>
      <c r="B81" s="5">
        <v>4084.33</v>
      </c>
      <c r="C81" s="5">
        <v>4086.75</v>
      </c>
      <c r="D81" s="5">
        <v>4085.54</v>
      </c>
      <c r="F81">
        <f t="shared" si="1"/>
        <v>5.9233295965773749E-4</v>
      </c>
    </row>
    <row r="82" spans="1:6" x14ac:dyDescent="0.25">
      <c r="A82" s="2">
        <v>45827</v>
      </c>
      <c r="B82" s="3">
        <v>4080</v>
      </c>
      <c r="C82" s="3">
        <v>4085</v>
      </c>
      <c r="D82" s="3">
        <v>4082.5</v>
      </c>
      <c r="F82">
        <f t="shared" si="1"/>
        <v>1.224739742804654E-3</v>
      </c>
    </row>
    <row r="83" spans="1:6" x14ac:dyDescent="0.25">
      <c r="A83" s="4">
        <v>45828</v>
      </c>
      <c r="B83" s="5">
        <v>4082.54</v>
      </c>
      <c r="C83" s="5">
        <v>4085.27</v>
      </c>
      <c r="D83" s="5">
        <v>4083.9050000000002</v>
      </c>
      <c r="F83">
        <f t="shared" si="1"/>
        <v>6.6847784167359866E-4</v>
      </c>
    </row>
    <row r="84" spans="1:6" x14ac:dyDescent="0.25">
      <c r="A84" s="2">
        <v>45831</v>
      </c>
      <c r="B84" s="3">
        <v>4092</v>
      </c>
      <c r="C84" s="3">
        <v>4094</v>
      </c>
      <c r="D84" s="3">
        <v>4093</v>
      </c>
      <c r="F84">
        <f t="shared" si="1"/>
        <v>4.8863913999511361E-4</v>
      </c>
    </row>
    <row r="85" spans="1:6" x14ac:dyDescent="0.25">
      <c r="A85" s="4">
        <v>45832</v>
      </c>
      <c r="B85" s="5">
        <v>4084</v>
      </c>
      <c r="C85" s="5">
        <v>4085.55</v>
      </c>
      <c r="D85" s="5">
        <v>4084.7750000000001</v>
      </c>
      <c r="F85">
        <f t="shared" si="1"/>
        <v>3.7945786487632289E-4</v>
      </c>
    </row>
    <row r="86" spans="1:6" x14ac:dyDescent="0.25">
      <c r="A86" s="2">
        <v>45833</v>
      </c>
      <c r="B86" s="3">
        <v>4069.6</v>
      </c>
      <c r="C86" s="3">
        <v>4070.7</v>
      </c>
      <c r="D86" s="3">
        <v>4070.15</v>
      </c>
      <c r="F86">
        <f t="shared" si="1"/>
        <v>2.7026030981656919E-4</v>
      </c>
    </row>
    <row r="87" spans="1:6" x14ac:dyDescent="0.25">
      <c r="A87" s="4">
        <v>45834</v>
      </c>
      <c r="B87" s="5">
        <v>4040.59</v>
      </c>
      <c r="C87" s="5">
        <v>4042.53</v>
      </c>
      <c r="D87" s="5">
        <v>4041.56</v>
      </c>
      <c r="F87">
        <f t="shared" si="1"/>
        <v>4.8001266837559124E-4</v>
      </c>
    </row>
    <row r="88" spans="1:6" x14ac:dyDescent="0.25">
      <c r="A88" s="2">
        <v>45835</v>
      </c>
      <c r="B88" s="3">
        <v>4059.98</v>
      </c>
      <c r="C88" s="3">
        <v>4063.32</v>
      </c>
      <c r="D88" s="3">
        <v>4061.65</v>
      </c>
      <c r="F88">
        <f t="shared" si="1"/>
        <v>8.2232590203492315E-4</v>
      </c>
    </row>
    <row r="89" spans="1:6" x14ac:dyDescent="0.25">
      <c r="A89" s="4">
        <v>45838</v>
      </c>
      <c r="B89" s="5">
        <v>4082.5</v>
      </c>
      <c r="C89" s="5">
        <v>4087.5</v>
      </c>
      <c r="D89" s="5">
        <v>4085</v>
      </c>
      <c r="F89">
        <f t="shared" si="1"/>
        <v>1.2239902080783353E-3</v>
      </c>
    </row>
    <row r="90" spans="1:6" x14ac:dyDescent="0.25">
      <c r="A90" s="2">
        <v>45839</v>
      </c>
      <c r="B90" s="3">
        <v>4057.27</v>
      </c>
      <c r="C90" s="3">
        <v>4060.48</v>
      </c>
      <c r="D90" s="3">
        <v>4058.875</v>
      </c>
      <c r="F90">
        <f t="shared" si="1"/>
        <v>7.9085953620154268E-4</v>
      </c>
    </row>
    <row r="91" spans="1:6" x14ac:dyDescent="0.25">
      <c r="A91" s="4">
        <v>45840</v>
      </c>
      <c r="B91" s="5">
        <v>4005.96</v>
      </c>
      <c r="C91" s="5">
        <v>4009.72</v>
      </c>
      <c r="D91" s="5">
        <v>4007.84</v>
      </c>
      <c r="F91">
        <f t="shared" si="1"/>
        <v>9.3816120404002236E-4</v>
      </c>
    </row>
    <row r="92" spans="1:6" x14ac:dyDescent="0.25">
      <c r="A92" s="2">
        <v>45841</v>
      </c>
      <c r="B92" s="3">
        <v>3978.6</v>
      </c>
      <c r="C92" s="3">
        <v>3980.05</v>
      </c>
      <c r="D92" s="3">
        <v>3979.3249999999998</v>
      </c>
      <c r="F92">
        <f t="shared" si="1"/>
        <v>3.6438340673362266E-4</v>
      </c>
    </row>
    <row r="93" spans="1:6" x14ac:dyDescent="0.25">
      <c r="A93" s="4">
        <v>45842</v>
      </c>
      <c r="B93" s="5">
        <v>3996.4</v>
      </c>
      <c r="C93" s="5">
        <v>4001.4</v>
      </c>
      <c r="D93" s="5">
        <v>3998.9</v>
      </c>
      <c r="F93">
        <f t="shared" si="1"/>
        <v>1.2503438445572532E-3</v>
      </c>
    </row>
    <row r="94" spans="1:6" x14ac:dyDescent="0.25">
      <c r="A94" s="2">
        <v>45845</v>
      </c>
      <c r="B94" s="3">
        <v>4015.95</v>
      </c>
      <c r="C94" s="3">
        <v>4019.1</v>
      </c>
      <c r="D94" s="3">
        <v>4017.5250000000001</v>
      </c>
      <c r="F94">
        <f t="shared" si="1"/>
        <v>7.8406481602481403E-4</v>
      </c>
    </row>
    <row r="95" spans="1:6" x14ac:dyDescent="0.25">
      <c r="A95" s="4">
        <v>45846</v>
      </c>
      <c r="B95" s="5">
        <v>4064.8</v>
      </c>
      <c r="C95" s="5">
        <v>4067.6</v>
      </c>
      <c r="D95" s="5">
        <v>4066.2</v>
      </c>
      <c r="F95">
        <f t="shared" si="1"/>
        <v>6.8860361025028952E-4</v>
      </c>
    </row>
    <row r="96" spans="1:6" x14ac:dyDescent="0.25">
      <c r="A96" s="2">
        <v>45847</v>
      </c>
      <c r="B96" s="3">
        <v>4032.73</v>
      </c>
      <c r="C96" s="3">
        <v>4035.45</v>
      </c>
      <c r="D96" s="3">
        <v>4034.09</v>
      </c>
      <c r="F96">
        <f t="shared" si="1"/>
        <v>6.7425367307120065E-4</v>
      </c>
    </row>
    <row r="97" spans="1:6" x14ac:dyDescent="0.25">
      <c r="A97" s="4">
        <v>45848</v>
      </c>
      <c r="B97" s="5">
        <v>4026.46</v>
      </c>
      <c r="C97" s="5">
        <v>4029.42</v>
      </c>
      <c r="D97" s="5">
        <v>4027.94</v>
      </c>
      <c r="F97">
        <f t="shared" si="1"/>
        <v>7.3486695432405558E-4</v>
      </c>
    </row>
    <row r="98" spans="1:6" x14ac:dyDescent="0.25">
      <c r="A98" s="2">
        <v>45849</v>
      </c>
      <c r="B98" s="3">
        <v>3997.99</v>
      </c>
      <c r="C98" s="3">
        <v>3999.99</v>
      </c>
      <c r="D98" s="3">
        <v>3998.99</v>
      </c>
      <c r="F98">
        <f t="shared" si="1"/>
        <v>5.0012628188617634E-4</v>
      </c>
    </row>
    <row r="99" spans="1:6" x14ac:dyDescent="0.25">
      <c r="A99" s="4">
        <v>45852</v>
      </c>
      <c r="B99" s="5">
        <v>4021.49</v>
      </c>
      <c r="C99" s="5">
        <v>4023.51</v>
      </c>
      <c r="D99" s="5">
        <v>4022.5</v>
      </c>
      <c r="F99">
        <f t="shared" si="1"/>
        <v>5.0217526413932542E-4</v>
      </c>
    </row>
    <row r="100" spans="1:6" x14ac:dyDescent="0.25">
      <c r="A100" s="2">
        <v>45853</v>
      </c>
      <c r="B100" s="3">
        <v>4017.61</v>
      </c>
      <c r="C100" s="3">
        <v>4018.11</v>
      </c>
      <c r="D100" s="3">
        <v>4017.86</v>
      </c>
      <c r="F100">
        <f t="shared" si="1"/>
        <v>1.244443559506802E-4</v>
      </c>
    </row>
    <row r="101" spans="1:6" x14ac:dyDescent="0.25">
      <c r="A101" s="4">
        <v>45854</v>
      </c>
      <c r="B101" s="5">
        <v>4037.76</v>
      </c>
      <c r="C101" s="5">
        <v>4038.26</v>
      </c>
      <c r="D101" s="5">
        <v>4038.01</v>
      </c>
      <c r="F101">
        <f t="shared" si="1"/>
        <v>1.2382336844138573E-4</v>
      </c>
    </row>
    <row r="102" spans="1:6" x14ac:dyDescent="0.25">
      <c r="A102" s="2">
        <v>45855</v>
      </c>
      <c r="B102" s="3">
        <v>4017.14</v>
      </c>
      <c r="C102" s="3">
        <v>4017.64</v>
      </c>
      <c r="D102" s="3">
        <v>4017.39</v>
      </c>
      <c r="F102">
        <f t="shared" si="1"/>
        <v>1.2445891486761304E-4</v>
      </c>
    </row>
    <row r="103" spans="1:6" x14ac:dyDescent="0.25">
      <c r="A103" s="4">
        <v>45856</v>
      </c>
      <c r="B103" s="5">
        <v>3991.83</v>
      </c>
      <c r="C103" s="5">
        <v>3992.33</v>
      </c>
      <c r="D103" s="5">
        <v>3992.08</v>
      </c>
      <c r="F103">
        <f t="shared" si="1"/>
        <v>1.2524799102222402E-4</v>
      </c>
    </row>
    <row r="104" spans="1:6" x14ac:dyDescent="0.25">
      <c r="A104" s="2">
        <v>45859</v>
      </c>
      <c r="B104" s="3">
        <v>4022.08</v>
      </c>
      <c r="C104" s="3">
        <v>4022.83</v>
      </c>
      <c r="D104" s="3">
        <v>4022.4549999999999</v>
      </c>
      <c r="F104">
        <f t="shared" si="1"/>
        <v>1.8645329779947819E-4</v>
      </c>
    </row>
    <row r="105" spans="1:6" x14ac:dyDescent="0.25">
      <c r="A105" s="4">
        <v>45860</v>
      </c>
      <c r="B105" s="5">
        <v>4060.42</v>
      </c>
      <c r="C105" s="5">
        <v>4061.17</v>
      </c>
      <c r="D105" s="5">
        <v>4060.7950000000001</v>
      </c>
      <c r="F105">
        <f t="shared" si="1"/>
        <v>1.8469289880429816E-4</v>
      </c>
    </row>
    <row r="106" spans="1:6" x14ac:dyDescent="0.25">
      <c r="A106" s="2">
        <v>45861</v>
      </c>
      <c r="B106" s="3">
        <v>4053.94</v>
      </c>
      <c r="C106" s="3">
        <v>4054.74</v>
      </c>
      <c r="D106" s="3">
        <v>4054.34</v>
      </c>
      <c r="F106">
        <f t="shared" si="1"/>
        <v>1.9731941573714271E-4</v>
      </c>
    </row>
    <row r="107" spans="1:6" x14ac:dyDescent="0.25">
      <c r="A107" s="4">
        <v>45862</v>
      </c>
      <c r="B107" s="5">
        <v>4060.61</v>
      </c>
      <c r="C107" s="5">
        <v>4061.41</v>
      </c>
      <c r="D107" s="5">
        <v>4061.01</v>
      </c>
      <c r="F107">
        <f t="shared" si="1"/>
        <v>1.9699532874819985E-4</v>
      </c>
    </row>
    <row r="108" spans="1:6" x14ac:dyDescent="0.25">
      <c r="A108" s="2">
        <v>45863</v>
      </c>
      <c r="B108" s="3">
        <v>4106.33</v>
      </c>
      <c r="C108" s="3">
        <v>4107.33</v>
      </c>
      <c r="D108" s="3">
        <v>4106.83</v>
      </c>
      <c r="F108">
        <f t="shared" si="1"/>
        <v>2.4349680897431839E-4</v>
      </c>
    </row>
    <row r="109" spans="1:6" x14ac:dyDescent="0.25">
      <c r="A109" s="4">
        <v>45866</v>
      </c>
      <c r="B109" s="5">
        <v>4165.03</v>
      </c>
      <c r="C109" s="5">
        <v>4166.9399999999996</v>
      </c>
      <c r="D109" s="5">
        <v>4165.9849999999997</v>
      </c>
      <c r="F109">
        <f t="shared" si="1"/>
        <v>4.5847500651103034E-4</v>
      </c>
    </row>
    <row r="110" spans="1:6" x14ac:dyDescent="0.25">
      <c r="A110" s="2">
        <v>45867</v>
      </c>
      <c r="B110" s="3">
        <v>4160.84</v>
      </c>
      <c r="C110" s="3">
        <v>4161.34</v>
      </c>
      <c r="D110" s="3">
        <v>4161.09</v>
      </c>
      <c r="F110">
        <f t="shared" si="1"/>
        <v>1.2016082324583222E-4</v>
      </c>
    </row>
    <row r="111" spans="1:6" x14ac:dyDescent="0.25">
      <c r="A111" s="4">
        <v>45868</v>
      </c>
      <c r="B111" s="5">
        <v>4183.5</v>
      </c>
      <c r="C111" s="5">
        <v>4184.5</v>
      </c>
      <c r="D111" s="5">
        <v>4184</v>
      </c>
      <c r="F111">
        <f t="shared" si="1"/>
        <v>2.390057361376673E-4</v>
      </c>
    </row>
    <row r="112" spans="1:6" x14ac:dyDescent="0.25">
      <c r="A112" s="2">
        <v>45869</v>
      </c>
      <c r="B112" s="3">
        <v>4164.63</v>
      </c>
      <c r="C112" s="3">
        <v>4165.63</v>
      </c>
      <c r="D112" s="3">
        <v>4165.13</v>
      </c>
      <c r="F112">
        <f t="shared" si="1"/>
        <v>2.4008854465526887E-4</v>
      </c>
    </row>
    <row r="113" spans="1:6" x14ac:dyDescent="0.25">
      <c r="A113" s="4">
        <v>45870</v>
      </c>
      <c r="B113" s="5">
        <v>4119.45</v>
      </c>
      <c r="C113" s="5">
        <v>4120.45</v>
      </c>
      <c r="D113" s="5">
        <v>4119.95</v>
      </c>
      <c r="F113">
        <f t="shared" si="1"/>
        <v>2.4272139224990595E-4</v>
      </c>
    </row>
    <row r="114" spans="1:6" x14ac:dyDescent="0.25">
      <c r="A114" s="2">
        <v>45873</v>
      </c>
      <c r="B114" s="3">
        <v>4098.22</v>
      </c>
      <c r="C114" s="3">
        <v>4099.92</v>
      </c>
      <c r="D114" s="3">
        <v>4099.07</v>
      </c>
      <c r="F114">
        <f t="shared" si="1"/>
        <v>4.1472821883983883E-4</v>
      </c>
    </row>
    <row r="115" spans="1:6" x14ac:dyDescent="0.25">
      <c r="A115" s="4">
        <v>45874</v>
      </c>
      <c r="B115" s="5">
        <v>4095.93</v>
      </c>
      <c r="C115" s="5">
        <v>4096.93</v>
      </c>
      <c r="D115" s="5">
        <v>4096.43</v>
      </c>
      <c r="F115">
        <f t="shared" si="1"/>
        <v>2.4411499769322426E-4</v>
      </c>
    </row>
    <row r="116" spans="1:6" x14ac:dyDescent="0.25">
      <c r="A116" s="2">
        <v>45875</v>
      </c>
      <c r="B116" s="3">
        <v>4043.32</v>
      </c>
      <c r="C116" s="3">
        <v>4044.31</v>
      </c>
      <c r="D116" s="3">
        <v>4043.8150000000001</v>
      </c>
      <c r="F116">
        <f t="shared" si="1"/>
        <v>2.4481832131286466E-4</v>
      </c>
    </row>
    <row r="117" spans="1:6" x14ac:dyDescent="0.25">
      <c r="A117" s="4">
        <v>45876</v>
      </c>
      <c r="B117" s="5">
        <v>4046.11</v>
      </c>
      <c r="C117" s="5">
        <v>4047.83</v>
      </c>
      <c r="D117" s="5">
        <v>4046.97</v>
      </c>
      <c r="F117">
        <f t="shared" si="1"/>
        <v>4.2500932796630565E-4</v>
      </c>
    </row>
    <row r="118" spans="1:6" x14ac:dyDescent="0.25">
      <c r="A118" s="2">
        <v>45877</v>
      </c>
      <c r="B118" s="3">
        <v>4036.74</v>
      </c>
      <c r="C118" s="3">
        <v>4036.99</v>
      </c>
      <c r="D118" s="3">
        <v>4036.8649999999998</v>
      </c>
      <c r="F118">
        <f t="shared" si="1"/>
        <v>6.192924459946023E-5</v>
      </c>
    </row>
    <row r="119" spans="1:6" x14ac:dyDescent="0.25">
      <c r="A119" s="4">
        <v>45880</v>
      </c>
      <c r="B119" s="5">
        <v>4054.39</v>
      </c>
      <c r="C119" s="5">
        <v>4054.89</v>
      </c>
      <c r="D119" s="5">
        <v>4054.64</v>
      </c>
      <c r="F119">
        <f t="shared" si="1"/>
        <v>1.2331551013160231E-4</v>
      </c>
    </row>
    <row r="120" spans="1:6" x14ac:dyDescent="0.25">
      <c r="A120" s="2">
        <v>45881</v>
      </c>
      <c r="B120" s="3">
        <v>4018.07</v>
      </c>
      <c r="C120" s="3">
        <v>4020.01</v>
      </c>
      <c r="D120" s="3">
        <v>4019.04</v>
      </c>
      <c r="F120">
        <f t="shared" si="1"/>
        <v>4.8270233687648157E-4</v>
      </c>
    </row>
    <row r="121" spans="1:6" x14ac:dyDescent="0.25">
      <c r="A121" s="4">
        <v>45882</v>
      </c>
      <c r="B121" s="5">
        <v>4021</v>
      </c>
      <c r="C121" s="5">
        <v>4022</v>
      </c>
      <c r="D121" s="5">
        <v>4021.5</v>
      </c>
      <c r="F121">
        <f t="shared" si="1"/>
        <v>2.486634340420241E-4</v>
      </c>
    </row>
    <row r="122" spans="1:6" x14ac:dyDescent="0.25">
      <c r="A122" s="2">
        <v>45883</v>
      </c>
      <c r="B122" s="3">
        <v>4052.54</v>
      </c>
      <c r="C122" s="3">
        <v>4054.12</v>
      </c>
      <c r="D122" s="3">
        <v>4053.33</v>
      </c>
      <c r="F122">
        <f t="shared" si="1"/>
        <v>3.8980295214056769E-4</v>
      </c>
    </row>
    <row r="123" spans="1:6" x14ac:dyDescent="0.25">
      <c r="A123" s="4">
        <v>45884</v>
      </c>
      <c r="B123" s="5">
        <v>4009.99</v>
      </c>
      <c r="C123" s="5">
        <v>4011.01</v>
      </c>
      <c r="D123" s="5">
        <v>4010.5</v>
      </c>
      <c r="F123">
        <f t="shared" si="1"/>
        <v>2.543323775091476E-4</v>
      </c>
    </row>
    <row r="124" spans="1:6" x14ac:dyDescent="0.25">
      <c r="A124" s="2">
        <v>45887</v>
      </c>
      <c r="B124" s="3">
        <v>4014.2</v>
      </c>
      <c r="C124" s="3">
        <v>4015.2</v>
      </c>
      <c r="D124" s="3">
        <v>4014.7</v>
      </c>
      <c r="F124">
        <f t="shared" si="1"/>
        <v>2.4908461404339057E-4</v>
      </c>
    </row>
    <row r="125" spans="1:6" x14ac:dyDescent="0.25">
      <c r="A125" s="4">
        <v>45888</v>
      </c>
      <c r="B125" s="5">
        <v>4029.45</v>
      </c>
      <c r="C125" s="5">
        <v>4030.45</v>
      </c>
      <c r="D125" s="5">
        <v>4029.95</v>
      </c>
      <c r="F125">
        <f t="shared" si="1"/>
        <v>2.4814203650169356E-4</v>
      </c>
    </row>
    <row r="126" spans="1:6" x14ac:dyDescent="0.25">
      <c r="A126" s="2">
        <v>45889</v>
      </c>
      <c r="B126" s="3">
        <v>4034.72</v>
      </c>
      <c r="C126" s="3">
        <v>4035.22</v>
      </c>
      <c r="D126" s="3">
        <v>4034.97</v>
      </c>
      <c r="F126">
        <f t="shared" si="1"/>
        <v>1.2391665861208385E-4</v>
      </c>
    </row>
    <row r="127" spans="1:6" x14ac:dyDescent="0.25">
      <c r="A127" s="4">
        <v>45890</v>
      </c>
      <c r="B127" s="5">
        <v>4034.17</v>
      </c>
      <c r="C127" s="5">
        <v>4036.02</v>
      </c>
      <c r="D127" s="5">
        <v>4035.0949999999998</v>
      </c>
      <c r="F127">
        <f t="shared" si="1"/>
        <v>4.5847743361678207E-4</v>
      </c>
    </row>
    <row r="128" spans="1:6" x14ac:dyDescent="0.25">
      <c r="A128" s="2">
        <v>45891</v>
      </c>
      <c r="B128" s="3">
        <v>3994.96</v>
      </c>
      <c r="C128" s="3">
        <v>3996.29</v>
      </c>
      <c r="D128" s="3">
        <v>3995.625</v>
      </c>
      <c r="F128">
        <f t="shared" si="1"/>
        <v>3.3286407007662814E-4</v>
      </c>
    </row>
    <row r="129" spans="1:6" x14ac:dyDescent="0.25">
      <c r="A129" s="4">
        <v>45894</v>
      </c>
      <c r="B129" s="5">
        <v>4015.74</v>
      </c>
      <c r="C129" s="5">
        <v>4016.34</v>
      </c>
      <c r="D129" s="5">
        <v>4016.04</v>
      </c>
      <c r="F129">
        <f t="shared" si="1"/>
        <v>1.4940090238154096E-4</v>
      </c>
    </row>
    <row r="130" spans="1:6" x14ac:dyDescent="0.25">
      <c r="A130" s="2">
        <v>45895</v>
      </c>
      <c r="B130" s="3">
        <v>4046.98</v>
      </c>
      <c r="C130" s="3">
        <v>4047.98</v>
      </c>
      <c r="D130" s="3">
        <v>4047.48</v>
      </c>
      <c r="F130">
        <f t="shared" si="1"/>
        <v>2.470673110182138E-4</v>
      </c>
    </row>
    <row r="131" spans="1:6" x14ac:dyDescent="0.25">
      <c r="A131" s="4">
        <v>45896</v>
      </c>
      <c r="B131" s="5">
        <v>4056.64</v>
      </c>
      <c r="C131" s="5">
        <v>4057.45</v>
      </c>
      <c r="D131" s="5">
        <v>4057.0450000000001</v>
      </c>
      <c r="F131">
        <f t="shared" ref="F131:F194" si="2">(C131-B131)/D131</f>
        <v>1.9965270289088374E-4</v>
      </c>
    </row>
    <row r="132" spans="1:6" x14ac:dyDescent="0.25">
      <c r="A132" s="2">
        <v>45897</v>
      </c>
      <c r="B132" s="3">
        <v>4015.38</v>
      </c>
      <c r="C132" s="3">
        <v>4015.88</v>
      </c>
      <c r="D132" s="3">
        <v>4015.63</v>
      </c>
      <c r="F132">
        <f t="shared" si="2"/>
        <v>1.2451346364082347E-4</v>
      </c>
    </row>
    <row r="133" spans="1:6" x14ac:dyDescent="0.25">
      <c r="A133" s="4">
        <v>45898</v>
      </c>
      <c r="B133" s="5">
        <v>4017.57</v>
      </c>
      <c r="C133" s="5">
        <v>4020.48</v>
      </c>
      <c r="D133" s="5">
        <v>4019.0250000000001</v>
      </c>
      <c r="F133">
        <f t="shared" si="2"/>
        <v>7.2405620766226992E-4</v>
      </c>
    </row>
    <row r="134" spans="1:6" x14ac:dyDescent="0.25">
      <c r="A134" s="2">
        <v>45901</v>
      </c>
      <c r="B134" s="3">
        <v>4004.91</v>
      </c>
      <c r="C134" s="3">
        <v>4008.59</v>
      </c>
      <c r="D134" s="3">
        <v>4006.75</v>
      </c>
      <c r="F134">
        <f t="shared" si="2"/>
        <v>9.1845011543028416E-4</v>
      </c>
    </row>
    <row r="135" spans="1:6" x14ac:dyDescent="0.25">
      <c r="A135" s="4">
        <v>45902</v>
      </c>
      <c r="B135" s="5">
        <v>4019.04</v>
      </c>
      <c r="C135" s="5">
        <v>4021.23</v>
      </c>
      <c r="D135" s="5">
        <v>4020.1350000000002</v>
      </c>
      <c r="F135">
        <f t="shared" si="2"/>
        <v>5.4475782529692519E-4</v>
      </c>
    </row>
    <row r="136" spans="1:6" x14ac:dyDescent="0.25">
      <c r="A136" s="2">
        <v>45903</v>
      </c>
      <c r="B136" s="3">
        <v>4007.67</v>
      </c>
      <c r="C136" s="3">
        <v>4010.34</v>
      </c>
      <c r="D136" s="3">
        <v>4009.0050000000001</v>
      </c>
      <c r="F136">
        <f t="shared" si="2"/>
        <v>6.6600066600068411E-4</v>
      </c>
    </row>
    <row r="137" spans="1:6" x14ac:dyDescent="0.25">
      <c r="A137" s="4">
        <v>45904</v>
      </c>
      <c r="B137" s="5">
        <v>3988.79</v>
      </c>
      <c r="C137" s="5">
        <v>3991.27</v>
      </c>
      <c r="D137" s="5">
        <v>3990.03</v>
      </c>
      <c r="F137">
        <f t="shared" si="2"/>
        <v>6.2154921140944257E-4</v>
      </c>
    </row>
    <row r="138" spans="1:6" x14ac:dyDescent="0.25">
      <c r="A138" s="2">
        <v>45905</v>
      </c>
      <c r="B138" s="3">
        <v>3964.07</v>
      </c>
      <c r="C138" s="3">
        <v>3964.57</v>
      </c>
      <c r="D138" s="3">
        <v>3964.32</v>
      </c>
      <c r="F138">
        <f t="shared" si="2"/>
        <v>1.2612503531500988E-4</v>
      </c>
    </row>
    <row r="139" spans="1:6" x14ac:dyDescent="0.25">
      <c r="A139" s="4">
        <v>45908</v>
      </c>
      <c r="B139" s="5">
        <v>3951.34</v>
      </c>
      <c r="C139" s="5">
        <v>3951.84</v>
      </c>
      <c r="D139" s="5">
        <v>3951.59</v>
      </c>
      <c r="F139">
        <f t="shared" si="2"/>
        <v>1.2653134561024803E-4</v>
      </c>
    </row>
    <row r="140" spans="1:6" x14ac:dyDescent="0.25">
      <c r="A140" s="2">
        <v>45909</v>
      </c>
      <c r="B140" s="3">
        <v>3909.35</v>
      </c>
      <c r="C140" s="3">
        <v>3910.35</v>
      </c>
      <c r="D140" s="3">
        <v>3909.85</v>
      </c>
      <c r="F140">
        <f t="shared" si="2"/>
        <v>2.5576428763251786E-4</v>
      </c>
    </row>
    <row r="141" spans="1:6" x14ac:dyDescent="0.25">
      <c r="A141" s="4">
        <v>45910</v>
      </c>
      <c r="B141" s="5">
        <v>3924.04</v>
      </c>
      <c r="C141" s="5">
        <v>3924.54</v>
      </c>
      <c r="D141" s="5">
        <v>3924.29</v>
      </c>
      <c r="F141">
        <f t="shared" si="2"/>
        <v>1.2741158273216302E-4</v>
      </c>
    </row>
    <row r="142" spans="1:6" x14ac:dyDescent="0.25">
      <c r="A142" s="2">
        <v>45911</v>
      </c>
      <c r="B142" s="3">
        <v>3903</v>
      </c>
      <c r="C142" s="3">
        <v>3903.5</v>
      </c>
      <c r="D142" s="3">
        <v>3903.25</v>
      </c>
      <c r="F142">
        <f t="shared" si="2"/>
        <v>1.2809837955549862E-4</v>
      </c>
    </row>
    <row r="143" spans="1:6" x14ac:dyDescent="0.25">
      <c r="A143" s="4">
        <v>45912</v>
      </c>
      <c r="B143" s="5">
        <v>3913.84</v>
      </c>
      <c r="C143" s="5">
        <v>3914.84</v>
      </c>
      <c r="D143" s="5">
        <v>3914.34</v>
      </c>
      <c r="F143">
        <f t="shared" si="2"/>
        <v>2.5547090952753211E-4</v>
      </c>
    </row>
    <row r="144" spans="1:6" x14ac:dyDescent="0.25">
      <c r="A144" s="2">
        <v>45915</v>
      </c>
      <c r="B144" s="3">
        <v>3895.42</v>
      </c>
      <c r="C144" s="3">
        <v>3897.31</v>
      </c>
      <c r="D144" s="3">
        <v>3896.3649999999998</v>
      </c>
      <c r="F144">
        <f t="shared" si="2"/>
        <v>4.8506749239351875E-4</v>
      </c>
    </row>
    <row r="145" spans="1:6" x14ac:dyDescent="0.25">
      <c r="A145" s="4">
        <v>45916</v>
      </c>
      <c r="B145" s="5">
        <v>3875.79</v>
      </c>
      <c r="C145" s="5">
        <v>3879.79</v>
      </c>
      <c r="D145" s="5">
        <v>3877.79</v>
      </c>
      <c r="F145">
        <f t="shared" si="2"/>
        <v>1.0315153734472471E-3</v>
      </c>
    </row>
    <row r="146" spans="1:6" x14ac:dyDescent="0.25">
      <c r="A146" s="2">
        <v>45917</v>
      </c>
      <c r="B146" s="3">
        <v>3881.53</v>
      </c>
      <c r="C146" s="3">
        <v>3885.28</v>
      </c>
      <c r="D146" s="3">
        <v>3883.4050000000002</v>
      </c>
      <c r="F146">
        <f t="shared" si="2"/>
        <v>9.6564741509062271E-4</v>
      </c>
    </row>
    <row r="147" spans="1:6" x14ac:dyDescent="0.25">
      <c r="A147" s="4">
        <v>45918</v>
      </c>
      <c r="B147" s="5">
        <v>3889.9</v>
      </c>
      <c r="C147" s="5">
        <v>3893.65</v>
      </c>
      <c r="D147" s="5">
        <v>3891.7750000000001</v>
      </c>
      <c r="F147">
        <f t="shared" si="2"/>
        <v>9.635706072421967E-4</v>
      </c>
    </row>
    <row r="148" spans="1:6" x14ac:dyDescent="0.25">
      <c r="A148" s="2">
        <v>45919</v>
      </c>
      <c r="B148" s="3">
        <v>3889.9</v>
      </c>
      <c r="C148" s="3">
        <v>3893.65</v>
      </c>
      <c r="D148" s="3">
        <v>3891.7750000000001</v>
      </c>
      <c r="F148">
        <f t="shared" si="2"/>
        <v>9.635706072421967E-4</v>
      </c>
    </row>
    <row r="149" spans="1:6" x14ac:dyDescent="0.25">
      <c r="A149" s="4">
        <v>45922</v>
      </c>
      <c r="B149" s="5">
        <v>3852.27</v>
      </c>
      <c r="C149" s="5">
        <v>3856.27</v>
      </c>
      <c r="D149" s="5">
        <v>3854.27</v>
      </c>
      <c r="F149">
        <f t="shared" si="2"/>
        <v>1.0378100133099134E-3</v>
      </c>
    </row>
    <row r="150" spans="1:6" x14ac:dyDescent="0.25">
      <c r="A150" s="2">
        <v>45923</v>
      </c>
      <c r="B150" s="3">
        <v>3833.91</v>
      </c>
      <c r="C150" s="3">
        <v>3837.91</v>
      </c>
      <c r="D150" s="3">
        <v>3835.91</v>
      </c>
      <c r="F150">
        <f t="shared" si="2"/>
        <v>1.0427773331491094E-3</v>
      </c>
    </row>
    <row r="151" spans="1:6" x14ac:dyDescent="0.25">
      <c r="A151" s="4">
        <v>45924</v>
      </c>
      <c r="B151" s="5">
        <v>3871.8</v>
      </c>
      <c r="C151" s="5">
        <v>3875.8</v>
      </c>
      <c r="D151" s="5">
        <v>3873.8</v>
      </c>
      <c r="F151">
        <f t="shared" si="2"/>
        <v>1.032577830553978E-3</v>
      </c>
    </row>
    <row r="152" spans="1:6" x14ac:dyDescent="0.25">
      <c r="A152" s="2">
        <v>45925</v>
      </c>
      <c r="B152" s="3">
        <v>3901.82</v>
      </c>
      <c r="C152" s="3">
        <v>3905.82</v>
      </c>
      <c r="D152" s="3">
        <v>3903.82</v>
      </c>
      <c r="F152">
        <f t="shared" si="2"/>
        <v>1.0246374064377967E-3</v>
      </c>
    </row>
    <row r="153" spans="1:6" x14ac:dyDescent="0.25">
      <c r="A153" s="4">
        <v>45926</v>
      </c>
      <c r="B153" s="5">
        <v>3912.8</v>
      </c>
      <c r="C153" s="5">
        <v>3915.63</v>
      </c>
      <c r="D153" s="5">
        <v>3914.2150000000001</v>
      </c>
      <c r="F153">
        <f t="shared" si="2"/>
        <v>7.230057623303593E-4</v>
      </c>
    </row>
    <row r="154" spans="1:6" x14ac:dyDescent="0.25">
      <c r="A154" s="2">
        <v>45929</v>
      </c>
      <c r="B154" s="3">
        <v>3897.92</v>
      </c>
      <c r="C154" s="3">
        <v>3900.08</v>
      </c>
      <c r="D154" s="3">
        <v>3899</v>
      </c>
      <c r="F154">
        <f t="shared" si="2"/>
        <v>5.5398820210306599E-4</v>
      </c>
    </row>
    <row r="155" spans="1:6" x14ac:dyDescent="0.25">
      <c r="A155" s="4">
        <v>45930</v>
      </c>
      <c r="B155" s="5">
        <v>3914.02</v>
      </c>
      <c r="C155" s="5">
        <v>3918.02</v>
      </c>
      <c r="D155" s="5">
        <v>3916.02</v>
      </c>
      <c r="F155">
        <f t="shared" si="2"/>
        <v>1.0214452428741426E-3</v>
      </c>
    </row>
    <row r="156" spans="1:6" x14ac:dyDescent="0.25">
      <c r="A156" s="2">
        <v>45931</v>
      </c>
      <c r="B156" s="3">
        <v>3885.57</v>
      </c>
      <c r="C156" s="3">
        <v>3889.57</v>
      </c>
      <c r="D156" s="3">
        <v>3887.57</v>
      </c>
      <c r="F156">
        <f t="shared" si="2"/>
        <v>1.028920379568728E-3</v>
      </c>
    </row>
    <row r="157" spans="1:6" x14ac:dyDescent="0.25">
      <c r="A157" s="4">
        <v>45932</v>
      </c>
      <c r="B157" s="5">
        <v>3896.6</v>
      </c>
      <c r="C157" s="5">
        <v>3900.1</v>
      </c>
      <c r="D157" s="5">
        <v>3898.35</v>
      </c>
      <c r="F157">
        <f t="shared" si="2"/>
        <v>8.9781574255774885E-4</v>
      </c>
    </row>
    <row r="158" spans="1:6" x14ac:dyDescent="0.25">
      <c r="A158" s="2">
        <v>45933</v>
      </c>
      <c r="B158" s="3">
        <v>3878.36</v>
      </c>
      <c r="C158" s="3">
        <v>3881.86</v>
      </c>
      <c r="D158" s="3">
        <v>3880.11</v>
      </c>
      <c r="F158">
        <f t="shared" si="2"/>
        <v>9.0203628247652768E-4</v>
      </c>
    </row>
    <row r="159" spans="1:6" x14ac:dyDescent="0.25">
      <c r="A159" s="4">
        <v>45936</v>
      </c>
      <c r="B159" s="5">
        <v>3851.68</v>
      </c>
      <c r="C159" s="5">
        <v>3855.18</v>
      </c>
      <c r="D159" s="5">
        <v>3853.43</v>
      </c>
      <c r="F159">
        <f t="shared" si="2"/>
        <v>9.0828171265599741E-4</v>
      </c>
    </row>
    <row r="160" spans="1:6" x14ac:dyDescent="0.25">
      <c r="A160" s="2">
        <v>45937</v>
      </c>
      <c r="B160" s="3">
        <v>3869.87</v>
      </c>
      <c r="C160" s="3">
        <v>3872.13</v>
      </c>
      <c r="D160" s="3">
        <v>3871</v>
      </c>
      <c r="F160">
        <f t="shared" si="2"/>
        <v>5.8382846809615558E-4</v>
      </c>
    </row>
    <row r="161" spans="1:6" x14ac:dyDescent="0.25">
      <c r="A161" s="4">
        <v>45938</v>
      </c>
      <c r="B161" s="5">
        <v>3880.21</v>
      </c>
      <c r="C161" s="5">
        <v>3884.21</v>
      </c>
      <c r="D161" s="5">
        <v>3882.21</v>
      </c>
      <c r="F161">
        <f t="shared" si="2"/>
        <v>1.0303409655840359E-3</v>
      </c>
    </row>
    <row r="162" spans="1:6" x14ac:dyDescent="0.25">
      <c r="A162" s="2">
        <v>45939</v>
      </c>
      <c r="B162" s="3">
        <v>3882.59</v>
      </c>
      <c r="C162" s="3">
        <v>3886.59</v>
      </c>
      <c r="D162" s="3">
        <v>3884.59</v>
      </c>
      <c r="F162">
        <f t="shared" si="2"/>
        <v>1.0297096990930831E-3</v>
      </c>
    </row>
    <row r="163" spans="1:6" x14ac:dyDescent="0.25">
      <c r="A163" s="4">
        <v>45940</v>
      </c>
      <c r="B163" s="5">
        <v>3910.13</v>
      </c>
      <c r="C163" s="5">
        <v>3914.13</v>
      </c>
      <c r="D163" s="5">
        <v>3912.13</v>
      </c>
      <c r="F163">
        <f t="shared" si="2"/>
        <v>1.0224609100413329E-3</v>
      </c>
    </row>
    <row r="164" spans="1:6" x14ac:dyDescent="0.25">
      <c r="A164" s="2">
        <v>45943</v>
      </c>
      <c r="B164" s="3">
        <v>3921.53</v>
      </c>
      <c r="C164" s="3">
        <v>3925.53</v>
      </c>
      <c r="D164" s="3">
        <v>3923.53</v>
      </c>
      <c r="F164">
        <f t="shared" si="2"/>
        <v>1.0194901020254719E-3</v>
      </c>
    </row>
    <row r="165" spans="1:6" x14ac:dyDescent="0.25">
      <c r="A165" s="4">
        <v>45944</v>
      </c>
      <c r="B165" s="5">
        <v>3932.12</v>
      </c>
      <c r="C165" s="5">
        <v>3935.62</v>
      </c>
      <c r="D165" s="5">
        <v>3933.87</v>
      </c>
      <c r="F165">
        <f t="shared" si="2"/>
        <v>8.8970911595960219E-4</v>
      </c>
    </row>
    <row r="166" spans="1:6" x14ac:dyDescent="0.25">
      <c r="A166" s="2">
        <v>45945</v>
      </c>
      <c r="B166" s="3">
        <v>3899.19</v>
      </c>
      <c r="C166" s="3">
        <v>3903.19</v>
      </c>
      <c r="D166" s="3">
        <v>3901.19</v>
      </c>
      <c r="F166">
        <f t="shared" si="2"/>
        <v>1.0253281690971216E-3</v>
      </c>
    </row>
    <row r="167" spans="1:6" x14ac:dyDescent="0.25">
      <c r="A167" s="4">
        <v>45946</v>
      </c>
      <c r="B167" s="5">
        <v>3872.57</v>
      </c>
      <c r="C167" s="5">
        <v>3876.57</v>
      </c>
      <c r="D167" s="5">
        <v>3874.57</v>
      </c>
      <c r="F167">
        <f t="shared" si="2"/>
        <v>1.032372624575114E-3</v>
      </c>
    </row>
    <row r="168" spans="1:6" x14ac:dyDescent="0.25">
      <c r="A168" s="2">
        <v>45947</v>
      </c>
      <c r="B168" s="3">
        <v>3801.07</v>
      </c>
      <c r="C168" s="3">
        <v>3805.07</v>
      </c>
      <c r="D168" s="3">
        <v>3803.07</v>
      </c>
      <c r="F168">
        <f t="shared" si="2"/>
        <v>1.0517818499265067E-3</v>
      </c>
    </row>
    <row r="169" spans="1:6" x14ac:dyDescent="0.25">
      <c r="A169" s="4">
        <v>45950</v>
      </c>
      <c r="B169" s="5">
        <v>3880.61</v>
      </c>
      <c r="C169" s="5">
        <v>3884.61</v>
      </c>
      <c r="D169" s="5">
        <v>3882.61</v>
      </c>
      <c r="F169">
        <f t="shared" si="2"/>
        <v>1.0302348162704983E-3</v>
      </c>
    </row>
    <row r="170" spans="1:6" x14ac:dyDescent="0.25">
      <c r="A170" s="2">
        <v>45951</v>
      </c>
      <c r="B170" s="3">
        <v>3863.24</v>
      </c>
      <c r="C170" s="3">
        <v>3865.16</v>
      </c>
      <c r="D170" s="3">
        <v>3864.2</v>
      </c>
      <c r="F170">
        <f t="shared" si="2"/>
        <v>4.9686869209670127E-4</v>
      </c>
    </row>
    <row r="171" spans="1:6" x14ac:dyDescent="0.25">
      <c r="A171" s="4">
        <v>45952</v>
      </c>
      <c r="B171" s="5">
        <v>3896.61</v>
      </c>
      <c r="C171" s="5">
        <v>3899.29</v>
      </c>
      <c r="D171" s="5">
        <v>3897.95</v>
      </c>
      <c r="F171">
        <f t="shared" si="2"/>
        <v>6.8754088687639312E-4</v>
      </c>
    </row>
    <row r="172" spans="1:6" x14ac:dyDescent="0.25">
      <c r="A172" s="2">
        <v>45953</v>
      </c>
      <c r="B172" s="3">
        <v>3897.29</v>
      </c>
      <c r="C172" s="3">
        <v>3904.79</v>
      </c>
      <c r="D172" s="3">
        <v>3901.04</v>
      </c>
      <c r="F172">
        <f t="shared" si="2"/>
        <v>1.9225642392797818E-3</v>
      </c>
    </row>
    <row r="173" spans="1:6" x14ac:dyDescent="0.25">
      <c r="A173" s="4">
        <v>45954</v>
      </c>
      <c r="B173" s="5">
        <v>3852.8</v>
      </c>
      <c r="C173" s="5">
        <v>3860.8</v>
      </c>
      <c r="D173" s="5">
        <v>3856.8</v>
      </c>
      <c r="F173">
        <f t="shared" si="2"/>
        <v>2.0742584526031943E-3</v>
      </c>
    </row>
    <row r="174" spans="1:6" x14ac:dyDescent="0.25">
      <c r="A174" s="2">
        <v>45957</v>
      </c>
      <c r="B174" s="3">
        <v>3843.24</v>
      </c>
      <c r="C174" s="3">
        <v>3851.24</v>
      </c>
      <c r="D174" s="3">
        <v>3847.24</v>
      </c>
      <c r="F174">
        <f t="shared" si="2"/>
        <v>2.0794127738326699E-3</v>
      </c>
    </row>
    <row r="175" spans="1:6" x14ac:dyDescent="0.25">
      <c r="A175" s="4">
        <v>45958</v>
      </c>
      <c r="B175" s="5">
        <v>3878.39</v>
      </c>
      <c r="C175" s="5">
        <v>3885.39</v>
      </c>
      <c r="D175" s="5">
        <v>3881.89</v>
      </c>
      <c r="F175">
        <f t="shared" si="2"/>
        <v>1.8032453263745237E-3</v>
      </c>
    </row>
    <row r="176" spans="1:6" x14ac:dyDescent="0.25">
      <c r="A176" s="2">
        <v>45959</v>
      </c>
      <c r="B176" s="3">
        <v>3870.55</v>
      </c>
      <c r="C176" s="3">
        <v>3877.55</v>
      </c>
      <c r="D176" s="3">
        <v>3874.05</v>
      </c>
      <c r="F176">
        <f t="shared" si="2"/>
        <v>1.8068945935132484E-3</v>
      </c>
    </row>
    <row r="177" spans="1:6" x14ac:dyDescent="0.25">
      <c r="A177" s="4">
        <v>45960</v>
      </c>
      <c r="B177" s="5">
        <v>3870.24</v>
      </c>
      <c r="C177" s="5">
        <v>3878.24</v>
      </c>
      <c r="D177" s="5">
        <v>3874.24</v>
      </c>
      <c r="F177">
        <f t="shared" si="2"/>
        <v>2.0649211200132155E-3</v>
      </c>
    </row>
    <row r="178" spans="1:6" x14ac:dyDescent="0.25">
      <c r="A178" s="2">
        <v>45961</v>
      </c>
      <c r="B178" s="3">
        <v>3856.6</v>
      </c>
      <c r="C178" s="3">
        <v>3864.6</v>
      </c>
      <c r="D178" s="3">
        <v>3860.6</v>
      </c>
      <c r="F178">
        <f t="shared" si="2"/>
        <v>2.0722167538724549E-3</v>
      </c>
    </row>
    <row r="179" spans="1:6" x14ac:dyDescent="0.25">
      <c r="A179" s="4">
        <v>45964</v>
      </c>
      <c r="B179" s="5">
        <v>3854</v>
      </c>
      <c r="C179" s="5">
        <v>3859</v>
      </c>
      <c r="D179" s="5">
        <v>3856.5</v>
      </c>
      <c r="F179">
        <f t="shared" si="2"/>
        <v>1.2965123816932453E-3</v>
      </c>
    </row>
    <row r="180" spans="1:6" x14ac:dyDescent="0.25">
      <c r="A180" s="2">
        <v>45965</v>
      </c>
      <c r="B180" s="3">
        <v>3863.69</v>
      </c>
      <c r="C180" s="3">
        <v>3865.36</v>
      </c>
      <c r="D180" s="3">
        <v>3864.5250000000001</v>
      </c>
      <c r="F180">
        <f t="shared" si="2"/>
        <v>4.3213590286000811E-4</v>
      </c>
    </row>
    <row r="181" spans="1:6" x14ac:dyDescent="0.25">
      <c r="A181" s="4">
        <v>45966</v>
      </c>
      <c r="B181" s="5">
        <v>3839.83</v>
      </c>
      <c r="C181" s="5">
        <v>3847.83</v>
      </c>
      <c r="D181" s="5">
        <v>3843.83</v>
      </c>
      <c r="F181">
        <f t="shared" si="2"/>
        <v>2.0812574957789496E-3</v>
      </c>
    </row>
    <row r="182" spans="1:6" x14ac:dyDescent="0.25">
      <c r="A182" s="2">
        <v>45967</v>
      </c>
      <c r="B182" s="3">
        <v>3804.55</v>
      </c>
      <c r="C182" s="3">
        <v>3812.05</v>
      </c>
      <c r="D182" s="3">
        <v>3808.3</v>
      </c>
      <c r="F182">
        <f t="shared" si="2"/>
        <v>1.9693826641808678E-3</v>
      </c>
    </row>
    <row r="183" spans="1:6" x14ac:dyDescent="0.25">
      <c r="A183" s="4">
        <v>45968</v>
      </c>
      <c r="B183" s="5">
        <v>3786.94</v>
      </c>
      <c r="C183" s="5">
        <v>3789.96</v>
      </c>
      <c r="D183" s="5">
        <v>3788.45</v>
      </c>
      <c r="F183">
        <f t="shared" si="2"/>
        <v>7.9715978830391897E-4</v>
      </c>
    </row>
    <row r="184" spans="1:6" x14ac:dyDescent="0.25">
      <c r="A184" s="2">
        <v>45971</v>
      </c>
      <c r="B184" s="3">
        <v>3757.11</v>
      </c>
      <c r="C184" s="3">
        <v>3761.39</v>
      </c>
      <c r="D184" s="3">
        <v>3759.25</v>
      </c>
      <c r="F184">
        <f t="shared" si="2"/>
        <v>1.1385249717363159E-3</v>
      </c>
    </row>
    <row r="185" spans="1:6" x14ac:dyDescent="0.25">
      <c r="A185" s="4">
        <v>45972</v>
      </c>
      <c r="B185" s="5">
        <v>3728.74</v>
      </c>
      <c r="C185" s="5">
        <v>3736.18</v>
      </c>
      <c r="D185" s="5">
        <v>3732.46</v>
      </c>
      <c r="F185">
        <f t="shared" si="2"/>
        <v>1.9933234381614416E-3</v>
      </c>
    </row>
    <row r="186" spans="1:6" x14ac:dyDescent="0.25">
      <c r="A186" s="2">
        <v>45973</v>
      </c>
      <c r="B186" s="3">
        <v>3715.01</v>
      </c>
      <c r="C186" s="3">
        <v>3719.04</v>
      </c>
      <c r="D186" s="3">
        <v>3717.0250000000001</v>
      </c>
      <c r="F186">
        <f t="shared" si="2"/>
        <v>1.0842004022033065E-3</v>
      </c>
    </row>
    <row r="187" spans="1:6" x14ac:dyDescent="0.25">
      <c r="A187" s="4">
        <v>45974</v>
      </c>
      <c r="B187" s="5">
        <v>3734.12</v>
      </c>
      <c r="C187" s="5">
        <v>3736.88</v>
      </c>
      <c r="D187" s="5">
        <v>3735.5</v>
      </c>
      <c r="F187">
        <f t="shared" si="2"/>
        <v>7.3885691339853257E-4</v>
      </c>
    </row>
    <row r="188" spans="1:6" x14ac:dyDescent="0.25">
      <c r="A188" s="2">
        <v>45975</v>
      </c>
      <c r="B188" s="3">
        <v>3753.3</v>
      </c>
      <c r="C188" s="3">
        <v>3761.3</v>
      </c>
      <c r="D188" s="3">
        <v>3757.3</v>
      </c>
      <c r="F188">
        <f t="shared" si="2"/>
        <v>2.1291885130279723E-3</v>
      </c>
    </row>
    <row r="189" spans="1:6" x14ac:dyDescent="0.25">
      <c r="A189" s="4">
        <v>45978</v>
      </c>
      <c r="B189" s="5">
        <v>3754.5</v>
      </c>
      <c r="C189" s="5">
        <v>3759.5</v>
      </c>
      <c r="D189" s="5">
        <v>3757</v>
      </c>
      <c r="F189">
        <f t="shared" si="2"/>
        <v>1.3308490817141336E-3</v>
      </c>
    </row>
    <row r="190" spans="1:6" x14ac:dyDescent="0.25">
      <c r="A190" s="2">
        <v>45979</v>
      </c>
      <c r="B190" s="3">
        <v>3730.23</v>
      </c>
      <c r="C190" s="3">
        <v>3739.98</v>
      </c>
      <c r="D190" s="3">
        <v>3735.105</v>
      </c>
      <c r="F190">
        <f t="shared" si="2"/>
        <v>2.6103683832181426E-3</v>
      </c>
    </row>
    <row r="191" spans="1:6" x14ac:dyDescent="0.25">
      <c r="A191" s="4">
        <v>45980</v>
      </c>
      <c r="B191" s="5">
        <v>3720.88</v>
      </c>
      <c r="C191" s="5">
        <v>3730.13</v>
      </c>
      <c r="D191" s="5">
        <v>3725.5050000000001</v>
      </c>
      <c r="F191">
        <f t="shared" si="2"/>
        <v>2.4828848706416984E-3</v>
      </c>
    </row>
    <row r="192" spans="1:6" x14ac:dyDescent="0.25">
      <c r="A192" s="2">
        <v>45981</v>
      </c>
      <c r="B192" s="3">
        <v>3739.23</v>
      </c>
      <c r="C192" s="3">
        <v>3748.48</v>
      </c>
      <c r="D192" s="3">
        <v>3743.855</v>
      </c>
      <c r="F192">
        <f t="shared" si="2"/>
        <v>2.4707153455462349E-3</v>
      </c>
    </row>
    <row r="193" spans="1:6" x14ac:dyDescent="0.25">
      <c r="A193" s="4">
        <v>45982</v>
      </c>
      <c r="B193" s="5">
        <v>3812.75</v>
      </c>
      <c r="C193" s="5">
        <v>3822.75</v>
      </c>
      <c r="D193" s="5">
        <v>3817.75</v>
      </c>
      <c r="F193">
        <f t="shared" si="2"/>
        <v>2.6193438543644816E-3</v>
      </c>
    </row>
    <row r="194" spans="1:6" x14ac:dyDescent="0.25">
      <c r="A194" s="2">
        <v>45985</v>
      </c>
      <c r="B194" s="3">
        <v>3800.86</v>
      </c>
      <c r="C194" s="3">
        <v>3803.15</v>
      </c>
      <c r="D194" s="3">
        <v>3802.0050000000001</v>
      </c>
      <c r="F194">
        <f t="shared" si="2"/>
        <v>6.0231377917702991E-4</v>
      </c>
    </row>
    <row r="195" spans="1:6" x14ac:dyDescent="0.25">
      <c r="A195" s="4">
        <v>45986</v>
      </c>
      <c r="B195" s="5">
        <v>3814.02</v>
      </c>
      <c r="C195" s="5">
        <v>3817.08</v>
      </c>
      <c r="D195" s="5">
        <v>3815.55</v>
      </c>
      <c r="F195">
        <f t="shared" ref="F195:F258" si="3">(C195-B195)/D195</f>
        <v>8.0198136572707612E-4</v>
      </c>
    </row>
    <row r="196" spans="1:6" x14ac:dyDescent="0.25">
      <c r="A196" s="2">
        <v>45987</v>
      </c>
      <c r="B196" s="3">
        <v>3750.45</v>
      </c>
      <c r="C196" s="3">
        <v>3760.05</v>
      </c>
      <c r="D196" s="3">
        <v>3755.25</v>
      </c>
      <c r="F196">
        <f t="shared" si="3"/>
        <v>2.5564210105852776E-3</v>
      </c>
    </row>
    <row r="197" spans="1:6" x14ac:dyDescent="0.25">
      <c r="A197" s="4">
        <v>45988</v>
      </c>
      <c r="B197" s="5">
        <v>3724.32</v>
      </c>
      <c r="C197" s="5">
        <v>3730.75</v>
      </c>
      <c r="D197" s="5">
        <v>3727.5349999999999</v>
      </c>
      <c r="F197">
        <f t="shared" si="3"/>
        <v>1.7250005700817932E-3</v>
      </c>
    </row>
    <row r="198" spans="1:6" x14ac:dyDescent="0.25">
      <c r="A198" s="2">
        <v>45989</v>
      </c>
      <c r="B198" s="3">
        <v>3735.57</v>
      </c>
      <c r="C198" s="3">
        <v>3745.57</v>
      </c>
      <c r="D198" s="3">
        <v>3740.57</v>
      </c>
      <c r="F198">
        <f t="shared" si="3"/>
        <v>2.6733893497515085E-3</v>
      </c>
    </row>
    <row r="199" spans="1:6" x14ac:dyDescent="0.25">
      <c r="A199" s="4">
        <v>45992</v>
      </c>
      <c r="B199" s="5">
        <v>3787.06</v>
      </c>
      <c r="C199" s="5">
        <v>3792.96</v>
      </c>
      <c r="D199" s="5">
        <v>3790.01</v>
      </c>
      <c r="F199">
        <f t="shared" si="3"/>
        <v>1.556724124738481E-3</v>
      </c>
    </row>
    <row r="200" spans="1:6" x14ac:dyDescent="0.25">
      <c r="A200" s="2">
        <v>45993</v>
      </c>
      <c r="B200" s="3">
        <v>3818.97</v>
      </c>
      <c r="C200" s="3">
        <v>3828.97</v>
      </c>
      <c r="D200" s="3">
        <v>3823.97</v>
      </c>
      <c r="F200">
        <f t="shared" si="3"/>
        <v>2.6150832773269668E-3</v>
      </c>
    </row>
    <row r="201" spans="1:6" x14ac:dyDescent="0.25">
      <c r="A201" s="4">
        <v>45994</v>
      </c>
      <c r="B201" s="5">
        <v>3767.65</v>
      </c>
      <c r="C201" s="5">
        <v>3777.65</v>
      </c>
      <c r="D201" s="5">
        <v>3772.65</v>
      </c>
      <c r="F201">
        <f t="shared" si="3"/>
        <v>2.6506567001974737E-3</v>
      </c>
    </row>
    <row r="202" spans="1:6" x14ac:dyDescent="0.25">
      <c r="A202" s="2">
        <v>45995</v>
      </c>
      <c r="B202" s="3">
        <v>3751.05</v>
      </c>
      <c r="C202" s="3">
        <v>3761.05</v>
      </c>
      <c r="D202" s="3">
        <v>3756.05</v>
      </c>
      <c r="F202">
        <f t="shared" si="3"/>
        <v>2.6623713741829847E-3</v>
      </c>
    </row>
    <row r="203" spans="1:6" x14ac:dyDescent="0.25">
      <c r="A203" s="4">
        <v>45996</v>
      </c>
      <c r="B203" s="5">
        <v>3821.48</v>
      </c>
      <c r="C203" s="5">
        <v>3831.48</v>
      </c>
      <c r="D203" s="5">
        <v>3826.48</v>
      </c>
      <c r="F203">
        <f t="shared" si="3"/>
        <v>2.6133678994794173E-3</v>
      </c>
    </row>
    <row r="204" spans="1:6" x14ac:dyDescent="0.25">
      <c r="A204" s="2">
        <v>45999</v>
      </c>
      <c r="B204" s="3">
        <v>3837.61</v>
      </c>
      <c r="C204" s="3">
        <v>3847.61</v>
      </c>
      <c r="D204" s="3">
        <v>3842.61</v>
      </c>
      <c r="F204">
        <f t="shared" si="3"/>
        <v>2.6023978493784172E-3</v>
      </c>
    </row>
    <row r="205" spans="1:6" x14ac:dyDescent="0.25">
      <c r="A205" s="4">
        <v>46000</v>
      </c>
      <c r="B205" s="5">
        <v>3858.93</v>
      </c>
      <c r="C205" s="5">
        <v>3868.93</v>
      </c>
      <c r="D205" s="5">
        <v>3863.93</v>
      </c>
      <c r="F205">
        <f t="shared" si="3"/>
        <v>2.5880386031838054E-3</v>
      </c>
    </row>
    <row r="206" spans="1:6" x14ac:dyDescent="0.25">
      <c r="A206" s="2">
        <v>46001</v>
      </c>
      <c r="B206" s="3">
        <v>3847.32</v>
      </c>
      <c r="C206" s="3">
        <v>3857.32</v>
      </c>
      <c r="D206" s="3">
        <v>3852.32</v>
      </c>
      <c r="F206">
        <f t="shared" si="3"/>
        <v>2.5958383519541469E-3</v>
      </c>
    </row>
    <row r="207" spans="1:6" x14ac:dyDescent="0.25">
      <c r="A207" s="4">
        <v>46002</v>
      </c>
      <c r="B207" s="5">
        <v>3804.73</v>
      </c>
      <c r="C207" s="5">
        <v>3814.73</v>
      </c>
      <c r="D207" s="5">
        <v>3809.73</v>
      </c>
      <c r="F207">
        <f t="shared" si="3"/>
        <v>2.6248579295645624E-3</v>
      </c>
    </row>
    <row r="208" spans="1:6" x14ac:dyDescent="0.25">
      <c r="A208" s="2">
        <v>46003</v>
      </c>
      <c r="B208" s="3">
        <v>3801.31</v>
      </c>
      <c r="C208" s="3">
        <v>3807.66</v>
      </c>
      <c r="D208" s="3">
        <v>3804.4850000000001</v>
      </c>
      <c r="F208">
        <f t="shared" si="3"/>
        <v>1.669082674790388E-3</v>
      </c>
    </row>
    <row r="209" spans="1:6" x14ac:dyDescent="0.25">
      <c r="A209" s="4">
        <v>46006</v>
      </c>
      <c r="B209" s="5">
        <v>3814.32</v>
      </c>
      <c r="C209" s="5">
        <v>3824.32</v>
      </c>
      <c r="D209" s="5">
        <v>3819.32</v>
      </c>
      <c r="F209">
        <f t="shared" si="3"/>
        <v>2.6182671260852716E-3</v>
      </c>
    </row>
    <row r="210" spans="1:6" x14ac:dyDescent="0.25">
      <c r="A210" s="2">
        <v>46007</v>
      </c>
      <c r="B210" s="3">
        <v>3848.1</v>
      </c>
      <c r="C210" s="3">
        <v>3858.1</v>
      </c>
      <c r="D210" s="3">
        <v>3853.1</v>
      </c>
      <c r="F210">
        <f t="shared" si="3"/>
        <v>2.5953128649658717E-3</v>
      </c>
    </row>
    <row r="211" spans="1:6" x14ac:dyDescent="0.25">
      <c r="A211" s="4">
        <v>46008</v>
      </c>
      <c r="B211" s="5">
        <v>3868.66</v>
      </c>
      <c r="C211" s="5">
        <v>3878.66</v>
      </c>
      <c r="D211" s="5">
        <v>3873.66</v>
      </c>
      <c r="F211">
        <f t="shared" si="3"/>
        <v>2.581537873742146E-3</v>
      </c>
    </row>
    <row r="212" spans="1:6" x14ac:dyDescent="0.25">
      <c r="A212" s="2">
        <v>46009</v>
      </c>
      <c r="B212" s="3">
        <v>3888.27</v>
      </c>
      <c r="C212" s="3">
        <v>3898.27</v>
      </c>
      <c r="D212" s="3">
        <v>3893.27</v>
      </c>
      <c r="F212">
        <f t="shared" si="3"/>
        <v>2.5685349333593611E-3</v>
      </c>
    </row>
    <row r="213" spans="1:6" x14ac:dyDescent="0.25">
      <c r="A213" s="4">
        <v>46010</v>
      </c>
      <c r="B213" s="5">
        <v>3784.73</v>
      </c>
      <c r="C213" s="5">
        <v>3794.73</v>
      </c>
      <c r="D213" s="5">
        <v>3789.73</v>
      </c>
      <c r="F213">
        <f t="shared" si="3"/>
        <v>2.6387104094486944E-3</v>
      </c>
    </row>
    <row r="214" spans="1:6" x14ac:dyDescent="0.25">
      <c r="A214" s="2">
        <v>46013</v>
      </c>
      <c r="B214" s="3">
        <v>3786.61</v>
      </c>
      <c r="C214" s="3">
        <v>3796.61</v>
      </c>
      <c r="D214" s="3">
        <v>3791.61</v>
      </c>
      <c r="F214">
        <f t="shared" si="3"/>
        <v>2.6374020534812386E-3</v>
      </c>
    </row>
    <row r="215" spans="1:6" x14ac:dyDescent="0.25">
      <c r="A215" s="4">
        <v>46014</v>
      </c>
      <c r="B215" s="5">
        <v>3753.7</v>
      </c>
      <c r="C215" s="5">
        <v>3763.7</v>
      </c>
      <c r="D215" s="5">
        <v>3758.7</v>
      </c>
      <c r="F215">
        <f t="shared" si="3"/>
        <v>2.6604943198446271E-3</v>
      </c>
    </row>
    <row r="216" spans="1:6" x14ac:dyDescent="0.25">
      <c r="A216" s="2">
        <v>46015</v>
      </c>
      <c r="B216" s="3">
        <v>3698.18</v>
      </c>
      <c r="C216" s="3">
        <v>3708.18</v>
      </c>
      <c r="D216" s="3">
        <v>3703.18</v>
      </c>
      <c r="F216">
        <f t="shared" si="3"/>
        <v>2.7003818339913265E-3</v>
      </c>
    </row>
    <row r="217" spans="1:6" x14ac:dyDescent="0.25">
      <c r="A217" s="4">
        <v>46016</v>
      </c>
      <c r="B217" s="5">
        <v>3698.18</v>
      </c>
      <c r="C217" s="5">
        <v>3708.18</v>
      </c>
      <c r="D217" s="5">
        <v>3703.1806999999999</v>
      </c>
      <c r="F217">
        <f t="shared" si="3"/>
        <v>2.7003813235470793E-3</v>
      </c>
    </row>
    <row r="218" spans="1:6" x14ac:dyDescent="0.25">
      <c r="A218" s="2">
        <v>46017</v>
      </c>
      <c r="B218" s="3">
        <v>3718.68</v>
      </c>
      <c r="C218" s="3">
        <v>3728.68</v>
      </c>
      <c r="D218" s="3">
        <v>3723.68</v>
      </c>
      <c r="F218">
        <f t="shared" si="3"/>
        <v>2.6855154041163583E-3</v>
      </c>
    </row>
    <row r="219" spans="1:6" x14ac:dyDescent="0.25">
      <c r="A219" s="4">
        <v>46020</v>
      </c>
      <c r="B219" s="5">
        <v>3696.93</v>
      </c>
      <c r="C219" s="5">
        <v>3704.93</v>
      </c>
      <c r="D219" s="5">
        <v>3700.93</v>
      </c>
      <c r="F219">
        <f t="shared" si="3"/>
        <v>2.1616188363465399E-3</v>
      </c>
    </row>
    <row r="220" spans="1:6" x14ac:dyDescent="0.25">
      <c r="A220" s="2">
        <v>46021</v>
      </c>
      <c r="B220" s="3">
        <v>3766.73</v>
      </c>
      <c r="C220" s="3">
        <v>3774.73</v>
      </c>
      <c r="D220" s="3">
        <v>3770.73</v>
      </c>
      <c r="F220">
        <f t="shared" si="3"/>
        <v>2.1216051003386614E-3</v>
      </c>
    </row>
    <row r="221" spans="1:6" x14ac:dyDescent="0.25">
      <c r="A221" s="4">
        <v>46022</v>
      </c>
      <c r="B221" s="5">
        <v>3773.62</v>
      </c>
      <c r="C221" s="5">
        <v>3781.62</v>
      </c>
      <c r="D221" s="5">
        <v>3777.62</v>
      </c>
      <c r="F221">
        <f t="shared" si="3"/>
        <v>2.1177355054240502E-3</v>
      </c>
    </row>
    <row r="222" spans="1:6" x14ac:dyDescent="0.25">
      <c r="A222" s="2">
        <v>46023</v>
      </c>
      <c r="B222" s="3">
        <v>3773.62</v>
      </c>
      <c r="C222" s="3">
        <v>3781.62</v>
      </c>
      <c r="D222" s="3">
        <v>3777.6208000000001</v>
      </c>
      <c r="F222">
        <f t="shared" si="3"/>
        <v>2.1177350569437777E-3</v>
      </c>
    </row>
    <row r="223" spans="1:6" x14ac:dyDescent="0.25">
      <c r="A223" s="4">
        <v>46024</v>
      </c>
      <c r="B223" s="5">
        <v>3782.38</v>
      </c>
      <c r="C223" s="5">
        <v>3787.38</v>
      </c>
      <c r="D223" s="5">
        <v>3784.88</v>
      </c>
      <c r="F223">
        <f t="shared" si="3"/>
        <v>1.3210458455750248E-3</v>
      </c>
    </row>
    <row r="224" spans="1:6" x14ac:dyDescent="0.25">
      <c r="A224" s="2">
        <v>46027</v>
      </c>
      <c r="B224" s="3">
        <v>3762.45</v>
      </c>
      <c r="C224" s="3">
        <v>3770.45</v>
      </c>
      <c r="D224" s="3">
        <v>3766.45</v>
      </c>
      <c r="F224">
        <f t="shared" si="3"/>
        <v>2.1240159832202738E-3</v>
      </c>
    </row>
    <row r="225" spans="1:6" x14ac:dyDescent="0.25">
      <c r="A225" s="4">
        <v>46028</v>
      </c>
      <c r="B225" s="5">
        <v>3754.55</v>
      </c>
      <c r="C225" s="5">
        <v>3762.55</v>
      </c>
      <c r="D225" s="5">
        <v>3758.55</v>
      </c>
      <c r="F225">
        <f t="shared" si="3"/>
        <v>2.1284803980258344E-3</v>
      </c>
    </row>
    <row r="226" spans="1:6" x14ac:dyDescent="0.25">
      <c r="A226" s="2">
        <v>46029</v>
      </c>
      <c r="B226" s="3">
        <v>3754.13</v>
      </c>
      <c r="C226" s="3">
        <v>3761.63</v>
      </c>
      <c r="D226" s="3">
        <v>3757.88</v>
      </c>
      <c r="F226">
        <f t="shared" si="3"/>
        <v>1.9958061460184995E-3</v>
      </c>
    </row>
    <row r="227" spans="1:6" x14ac:dyDescent="0.25">
      <c r="A227" s="4">
        <v>46030</v>
      </c>
      <c r="B227" s="5">
        <v>3725.93</v>
      </c>
      <c r="C227" s="5">
        <v>3733.93</v>
      </c>
      <c r="D227" s="5">
        <v>3729.93</v>
      </c>
      <c r="F227">
        <f t="shared" si="3"/>
        <v>2.1448123691329328E-3</v>
      </c>
    </row>
    <row r="228" spans="1:6" x14ac:dyDescent="0.25">
      <c r="A228" s="2">
        <v>46031</v>
      </c>
      <c r="B228" s="3">
        <v>3716.95</v>
      </c>
      <c r="C228" s="3">
        <v>3724.95</v>
      </c>
      <c r="D228" s="3">
        <v>3720.95</v>
      </c>
      <c r="F228">
        <f t="shared" si="3"/>
        <v>2.1499885781856784E-3</v>
      </c>
    </row>
    <row r="229" spans="1:6" x14ac:dyDescent="0.25">
      <c r="A229" s="4">
        <v>46034</v>
      </c>
      <c r="B229" s="5">
        <v>3711.39</v>
      </c>
      <c r="C229" s="5">
        <v>3719.39</v>
      </c>
      <c r="D229" s="5">
        <v>3715.39</v>
      </c>
      <c r="F229">
        <f t="shared" si="3"/>
        <v>2.153205989142459E-3</v>
      </c>
    </row>
    <row r="230" spans="1:6" x14ac:dyDescent="0.25">
      <c r="A230" s="2">
        <v>46035</v>
      </c>
      <c r="B230" s="3">
        <v>3654.41</v>
      </c>
      <c r="C230" s="3">
        <v>3661.91</v>
      </c>
      <c r="D230" s="3">
        <v>3658.16</v>
      </c>
      <c r="F230">
        <f t="shared" si="3"/>
        <v>2.050211035055875E-3</v>
      </c>
    </row>
    <row r="231" spans="1:6" x14ac:dyDescent="0.25">
      <c r="A231" s="4">
        <v>46036</v>
      </c>
      <c r="B231" s="5">
        <v>3654.73</v>
      </c>
      <c r="C231" s="5">
        <v>3662.23</v>
      </c>
      <c r="D231" s="5">
        <v>3658.48</v>
      </c>
      <c r="F231">
        <f t="shared" si="3"/>
        <v>2.0500317071570706E-3</v>
      </c>
    </row>
    <row r="232" spans="1:6" x14ac:dyDescent="0.25">
      <c r="A232" s="2">
        <v>46037</v>
      </c>
      <c r="B232" s="3">
        <v>3685.99</v>
      </c>
      <c r="C232" s="3">
        <v>3687.46</v>
      </c>
      <c r="D232" s="3">
        <v>3686.7249999999999</v>
      </c>
      <c r="F232">
        <f t="shared" si="3"/>
        <v>3.9872786823000214E-4</v>
      </c>
    </row>
    <row r="233" spans="1:6" x14ac:dyDescent="0.25">
      <c r="A233" s="4">
        <v>46038</v>
      </c>
      <c r="B233" s="5">
        <v>3695.38</v>
      </c>
      <c r="C233" s="5">
        <v>3703.38</v>
      </c>
      <c r="D233" s="5">
        <v>3699.38</v>
      </c>
      <c r="F233">
        <f t="shared" si="3"/>
        <v>2.1625245311376502E-3</v>
      </c>
    </row>
    <row r="234" spans="1:6" x14ac:dyDescent="0.25">
      <c r="A234" s="2">
        <v>46041</v>
      </c>
      <c r="B234" s="3">
        <v>3663.5</v>
      </c>
      <c r="C234" s="3">
        <v>3669.5</v>
      </c>
      <c r="D234" s="3">
        <v>3666.5</v>
      </c>
      <c r="F234">
        <f t="shared" si="3"/>
        <v>1.636438019909996E-3</v>
      </c>
    </row>
    <row r="235" spans="1:6" x14ac:dyDescent="0.25">
      <c r="A235" s="4">
        <v>46042</v>
      </c>
      <c r="B235" s="5">
        <v>3681.49</v>
      </c>
      <c r="C235" s="5">
        <v>3685.96</v>
      </c>
      <c r="D235" s="5">
        <v>3683.7249999999999</v>
      </c>
      <c r="F235">
        <f t="shared" si="3"/>
        <v>1.2134456290847592E-3</v>
      </c>
    </row>
    <row r="236" spans="1:6" x14ac:dyDescent="0.25">
      <c r="A236" s="2">
        <v>46043</v>
      </c>
      <c r="B236" s="3">
        <v>3671.61</v>
      </c>
      <c r="C236" s="3">
        <v>3679.61</v>
      </c>
      <c r="D236" s="3">
        <v>3675.61</v>
      </c>
      <c r="F236">
        <f t="shared" si="3"/>
        <v>2.1765094773384553E-3</v>
      </c>
    </row>
    <row r="237" spans="1:6" x14ac:dyDescent="0.25">
      <c r="A237" s="4">
        <v>46044</v>
      </c>
      <c r="B237" s="5">
        <v>3624.07</v>
      </c>
      <c r="C237" s="5">
        <v>3632.07</v>
      </c>
      <c r="D237" s="5">
        <v>3628.07</v>
      </c>
      <c r="F237">
        <f t="shared" si="3"/>
        <v>2.2050291201658181E-3</v>
      </c>
    </row>
    <row r="238" spans="1:6" x14ac:dyDescent="0.25">
      <c r="A238" s="2">
        <v>46045</v>
      </c>
      <c r="B238" s="3">
        <v>3625.16</v>
      </c>
      <c r="C238" s="3">
        <v>3633.16</v>
      </c>
      <c r="D238" s="3">
        <v>3629.16</v>
      </c>
      <c r="F238">
        <f t="shared" si="3"/>
        <v>2.2043668507312989E-3</v>
      </c>
    </row>
    <row r="239" spans="1:6" x14ac:dyDescent="0.25">
      <c r="A239" s="4">
        <v>46048</v>
      </c>
      <c r="B239" s="5">
        <v>3670.75</v>
      </c>
      <c r="C239" s="5">
        <v>3678.75</v>
      </c>
      <c r="D239" s="5">
        <v>3674.75</v>
      </c>
      <c r="F239">
        <f t="shared" si="3"/>
        <v>2.1770188448193757E-3</v>
      </c>
    </row>
    <row r="240" spans="1:6" x14ac:dyDescent="0.25">
      <c r="A240" s="2">
        <v>46049</v>
      </c>
      <c r="B240" s="3">
        <v>3669.6</v>
      </c>
      <c r="C240" s="3">
        <v>3677.6</v>
      </c>
      <c r="D240" s="3">
        <v>3673.6</v>
      </c>
      <c r="F240">
        <f t="shared" si="3"/>
        <v>2.1777003484320556E-3</v>
      </c>
    </row>
    <row r="241" spans="1:6" x14ac:dyDescent="0.25">
      <c r="A241" s="4">
        <v>46050</v>
      </c>
      <c r="B241" s="5">
        <v>3667.54</v>
      </c>
      <c r="C241" s="5">
        <v>3675.61</v>
      </c>
      <c r="D241" s="5">
        <v>3671.5749999999998</v>
      </c>
      <c r="F241">
        <f t="shared" si="3"/>
        <v>2.1979668126077129E-3</v>
      </c>
    </row>
    <row r="242" spans="1:6" x14ac:dyDescent="0.25">
      <c r="A242" s="2">
        <v>46051</v>
      </c>
      <c r="B242" s="3">
        <v>3664.49</v>
      </c>
      <c r="C242" s="3">
        <v>3672.49</v>
      </c>
      <c r="D242" s="3">
        <v>3668.49</v>
      </c>
      <c r="F242">
        <f t="shared" si="3"/>
        <v>2.1807337623927013E-3</v>
      </c>
    </row>
    <row r="243" spans="1:6" x14ac:dyDescent="0.25">
      <c r="A243" s="4">
        <v>46052</v>
      </c>
      <c r="B243" s="5">
        <v>3665.54</v>
      </c>
      <c r="C243" s="5">
        <v>3673.54</v>
      </c>
      <c r="D243" s="5">
        <v>3669.54</v>
      </c>
      <c r="F243">
        <f t="shared" si="3"/>
        <v>2.1801097685268454E-3</v>
      </c>
    </row>
    <row r="244" spans="1:6" x14ac:dyDescent="0.25">
      <c r="A244" s="2">
        <v>46055</v>
      </c>
      <c r="B244" s="3">
        <v>3622.16</v>
      </c>
      <c r="C244" s="3">
        <v>3630.16</v>
      </c>
      <c r="D244" s="3">
        <v>3626.16</v>
      </c>
      <c r="F244">
        <f t="shared" si="3"/>
        <v>2.2061905707415007E-3</v>
      </c>
    </row>
    <row r="245" spans="1:6" x14ac:dyDescent="0.25">
      <c r="A245" s="4">
        <v>46056</v>
      </c>
      <c r="B245" s="5">
        <v>3627.27</v>
      </c>
      <c r="C245" s="5">
        <v>3635.27</v>
      </c>
      <c r="D245" s="5">
        <v>3631.27</v>
      </c>
      <c r="F245">
        <f t="shared" si="3"/>
        <v>2.203085972676226E-3</v>
      </c>
    </row>
    <row r="246" spans="1:6" x14ac:dyDescent="0.25">
      <c r="A246" s="2">
        <v>46057</v>
      </c>
      <c r="B246" s="3">
        <v>3643.89</v>
      </c>
      <c r="C246" s="3">
        <v>3650.39</v>
      </c>
      <c r="D246" s="3">
        <v>3647.14</v>
      </c>
      <c r="F246">
        <f t="shared" si="3"/>
        <v>1.782218395784094E-3</v>
      </c>
    </row>
    <row r="247" spans="1:6" x14ac:dyDescent="0.25">
      <c r="A247" s="4">
        <v>46058</v>
      </c>
      <c r="B247" s="5">
        <v>3692.78</v>
      </c>
      <c r="C247" s="5">
        <v>3699.28</v>
      </c>
      <c r="D247" s="5">
        <v>3696.03</v>
      </c>
      <c r="F247">
        <f t="shared" si="3"/>
        <v>1.7586437339523759E-3</v>
      </c>
    </row>
    <row r="248" spans="1:6" x14ac:dyDescent="0.25">
      <c r="A248" s="2">
        <v>46059</v>
      </c>
      <c r="B248" s="3">
        <v>3653.53</v>
      </c>
      <c r="C248" s="3">
        <v>3661.27</v>
      </c>
      <c r="D248" s="3">
        <v>3657.4</v>
      </c>
      <c r="F248">
        <f t="shared" si="3"/>
        <v>2.1162574506479416E-3</v>
      </c>
    </row>
    <row r="249" spans="1:6" x14ac:dyDescent="0.25">
      <c r="A249" s="4">
        <v>46062</v>
      </c>
      <c r="B249" s="5">
        <v>3646.2</v>
      </c>
      <c r="C249" s="5">
        <v>3648.01</v>
      </c>
      <c r="D249" s="5">
        <v>3647.105</v>
      </c>
      <c r="F249">
        <f t="shared" si="3"/>
        <v>4.9628403898445482E-4</v>
      </c>
    </row>
    <row r="250" spans="1:6" x14ac:dyDescent="0.25">
      <c r="A250" s="2">
        <v>46063</v>
      </c>
      <c r="B250" s="3">
        <v>3653.3</v>
      </c>
      <c r="C250" s="3">
        <v>3661.3</v>
      </c>
      <c r="D250" s="3">
        <v>3657.3</v>
      </c>
      <c r="F250">
        <f t="shared" si="3"/>
        <v>2.1874060098980119E-3</v>
      </c>
    </row>
    <row r="251" spans="1:6" x14ac:dyDescent="0.25">
      <c r="A251" s="4">
        <v>46064</v>
      </c>
      <c r="B251" s="5">
        <v>3668.15</v>
      </c>
      <c r="C251" s="5">
        <v>3676.15</v>
      </c>
      <c r="D251" s="5">
        <v>3672.15</v>
      </c>
      <c r="F251">
        <f t="shared" si="3"/>
        <v>2.1785602439987474E-3</v>
      </c>
    </row>
    <row r="252" spans="1:6" x14ac:dyDescent="0.25">
      <c r="A252" s="2">
        <v>46065</v>
      </c>
      <c r="B252" s="3">
        <v>3657.09</v>
      </c>
      <c r="C252" s="3">
        <v>3665.09</v>
      </c>
      <c r="D252" s="3">
        <v>3661.09</v>
      </c>
      <c r="F252">
        <f t="shared" si="3"/>
        <v>2.1851415835174768E-3</v>
      </c>
    </row>
    <row r="253" spans="1:6" x14ac:dyDescent="0.25">
      <c r="A253" s="4">
        <v>46066</v>
      </c>
      <c r="B253" s="5">
        <v>3655</v>
      </c>
      <c r="C253" s="5">
        <v>3656.76</v>
      </c>
      <c r="D253" s="5">
        <v>3655.88</v>
      </c>
      <c r="F253">
        <f t="shared" si="3"/>
        <v>4.8141623904510492E-4</v>
      </c>
    </row>
    <row r="254" spans="1:6" x14ac:dyDescent="0.25">
      <c r="A254" s="2">
        <v>46069</v>
      </c>
      <c r="B254" s="3">
        <v>3657.5</v>
      </c>
      <c r="C254" s="3">
        <v>3662.5</v>
      </c>
      <c r="D254" s="3">
        <v>3660</v>
      </c>
      <c r="F254">
        <f t="shared" si="3"/>
        <v>1.366120218579235E-3</v>
      </c>
    </row>
    <row r="255" spans="1:6" x14ac:dyDescent="0.25">
      <c r="A255" s="4">
        <v>46070</v>
      </c>
      <c r="B255" s="5">
        <v>3663.29</v>
      </c>
      <c r="C255" s="5">
        <v>3671.29</v>
      </c>
      <c r="D255" s="5">
        <v>3667.29</v>
      </c>
      <c r="F255">
        <f t="shared" si="3"/>
        <v>2.1814473357711006E-3</v>
      </c>
    </row>
    <row r="256" spans="1:6" x14ac:dyDescent="0.25">
      <c r="A256" s="2">
        <v>46071</v>
      </c>
      <c r="B256" s="3">
        <v>3660.56</v>
      </c>
      <c r="C256" s="3">
        <v>3668.56</v>
      </c>
      <c r="D256" s="3">
        <v>3664.56</v>
      </c>
      <c r="F256">
        <f t="shared" si="3"/>
        <v>2.1830724561748205E-3</v>
      </c>
    </row>
    <row r="257" spans="1:6" x14ac:dyDescent="0.25">
      <c r="A257" s="4">
        <v>46072</v>
      </c>
      <c r="B257" s="5">
        <v>3693.54</v>
      </c>
      <c r="C257" s="5">
        <v>3701.54</v>
      </c>
      <c r="D257" s="5">
        <v>3697.54</v>
      </c>
      <c r="F257">
        <f t="shared" si="3"/>
        <v>2.1636006642254037E-3</v>
      </c>
    </row>
    <row r="258" spans="1:6" x14ac:dyDescent="0.25">
      <c r="A258" s="2">
        <v>46073</v>
      </c>
      <c r="B258" s="3">
        <v>3683.19</v>
      </c>
      <c r="C258" s="3">
        <v>3685.11</v>
      </c>
      <c r="D258" s="3">
        <v>3684.15</v>
      </c>
      <c r="F258">
        <f t="shared" si="3"/>
        <v>5.2115141891618763E-4</v>
      </c>
    </row>
    <row r="259" spans="1:6" x14ac:dyDescent="0.25">
      <c r="A259" s="4">
        <v>46076</v>
      </c>
      <c r="B259" s="5">
        <v>3681.99</v>
      </c>
      <c r="C259" s="5">
        <v>3685.01</v>
      </c>
      <c r="D259" s="5">
        <v>3683.5</v>
      </c>
      <c r="F259">
        <f t="shared" ref="F259:F263" si="4">(C259-B259)/D259</f>
        <v>8.1987240396374009E-4</v>
      </c>
    </row>
    <row r="260" spans="1:6" x14ac:dyDescent="0.25">
      <c r="A260" s="2">
        <v>46077</v>
      </c>
      <c r="B260" s="3">
        <v>3700.77</v>
      </c>
      <c r="C260" s="3">
        <v>3708.77</v>
      </c>
      <c r="D260" s="3">
        <v>3704.77</v>
      </c>
      <c r="F260">
        <f t="shared" si="4"/>
        <v>2.1593783149831164E-3</v>
      </c>
    </row>
    <row r="261" spans="1:6" x14ac:dyDescent="0.25">
      <c r="A261" s="4">
        <v>46078</v>
      </c>
      <c r="B261" s="5">
        <v>3699.97</v>
      </c>
      <c r="C261" s="5">
        <v>3707.97</v>
      </c>
      <c r="D261" s="5">
        <v>3703.97</v>
      </c>
      <c r="F261">
        <f t="shared" si="4"/>
        <v>2.159844707165555E-3</v>
      </c>
    </row>
    <row r="262" spans="1:6" x14ac:dyDescent="0.25">
      <c r="A262" s="2">
        <v>46079</v>
      </c>
      <c r="B262" s="3">
        <v>3747.48</v>
      </c>
      <c r="C262" s="3">
        <v>3755.48</v>
      </c>
      <c r="D262" s="3">
        <v>3751.48</v>
      </c>
      <c r="F262">
        <f t="shared" si="4"/>
        <v>2.1324917099384776E-3</v>
      </c>
    </row>
    <row r="263" spans="1:6" x14ac:dyDescent="0.25">
      <c r="A263" s="4">
        <v>46080</v>
      </c>
      <c r="B263" s="5">
        <v>3753.82</v>
      </c>
      <c r="C263" s="5">
        <v>3756.77</v>
      </c>
      <c r="D263" s="5">
        <v>3755.2950000000001</v>
      </c>
      <c r="F263">
        <f t="shared" si="4"/>
        <v>7.8555745953375652E-4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0174-B885-4856-9B5A-0A92CABF6BDF}">
  <dimension ref="A1:I263"/>
  <sheetViews>
    <sheetView workbookViewId="0">
      <selection activeCell="F1" sqref="F1:I1048576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9</v>
      </c>
    </row>
    <row r="2" spans="1:9" x14ac:dyDescent="0.25">
      <c r="A2" s="2">
        <v>45715</v>
      </c>
      <c r="B2" s="3">
        <v>951.56</v>
      </c>
      <c r="C2" s="3">
        <v>952.29</v>
      </c>
      <c r="D2" s="3">
        <v>951.92499999999995</v>
      </c>
      <c r="F2">
        <f>(C2-B2)/D2</f>
        <v>7.6686713764216531E-4</v>
      </c>
      <c r="H2" t="s">
        <v>10</v>
      </c>
      <c r="I2">
        <f>AVERAGE(F2:F263)</f>
        <v>8.9207506162618363E-4</v>
      </c>
    </row>
    <row r="3" spans="1:9" x14ac:dyDescent="0.25">
      <c r="A3" s="4">
        <v>45716</v>
      </c>
      <c r="B3" s="5">
        <v>955.63</v>
      </c>
      <c r="C3" s="5">
        <v>956.12</v>
      </c>
      <c r="D3" s="5">
        <v>955.875</v>
      </c>
      <c r="F3">
        <f t="shared" ref="F3:F66" si="0">(C3-B3)/D3</f>
        <v>5.1261932784099293E-4</v>
      </c>
      <c r="H3" t="s">
        <v>11</v>
      </c>
      <c r="I3">
        <f>_xlfn.STDEV.S(F2:F263)</f>
        <v>3.9958073428855581E-4</v>
      </c>
    </row>
    <row r="4" spans="1:9" x14ac:dyDescent="0.25">
      <c r="A4" s="2">
        <v>45719</v>
      </c>
      <c r="B4" s="3">
        <v>952.59</v>
      </c>
      <c r="C4" s="3">
        <v>953.11</v>
      </c>
      <c r="D4" s="3">
        <v>952.85</v>
      </c>
      <c r="F4">
        <f t="shared" si="0"/>
        <v>5.4573122737050094E-4</v>
      </c>
      <c r="H4" t="s">
        <v>14</v>
      </c>
      <c r="I4">
        <f>NORMSINV(0.99)</f>
        <v>2.3263478740408408</v>
      </c>
    </row>
    <row r="5" spans="1:9" x14ac:dyDescent="0.25">
      <c r="A5" s="4">
        <v>45720</v>
      </c>
      <c r="B5" s="5">
        <v>948.78</v>
      </c>
      <c r="C5" s="5">
        <v>949.4</v>
      </c>
      <c r="D5" s="5">
        <v>949.09</v>
      </c>
      <c r="F5">
        <f t="shared" si="0"/>
        <v>6.532573307062602E-4</v>
      </c>
    </row>
    <row r="6" spans="1:9" x14ac:dyDescent="0.25">
      <c r="A6" s="2">
        <v>45721</v>
      </c>
      <c r="B6" s="3">
        <v>935.41</v>
      </c>
      <c r="C6" s="3">
        <v>936.94</v>
      </c>
      <c r="D6" s="3">
        <v>936.17499999999995</v>
      </c>
      <c r="F6">
        <f t="shared" si="0"/>
        <v>1.6343098245521258E-3</v>
      </c>
      <c r="H6" t="s">
        <v>12</v>
      </c>
      <c r="I6" s="8">
        <f>0.5*(I2+I3*I4)</f>
        <v>9.1081942667302178E-4</v>
      </c>
    </row>
    <row r="7" spans="1:9" x14ac:dyDescent="0.25">
      <c r="A7" s="4">
        <v>45722</v>
      </c>
      <c r="B7" s="5">
        <v>926.72</v>
      </c>
      <c r="C7" s="5">
        <v>927.37</v>
      </c>
      <c r="D7" s="5">
        <v>927.04499999999996</v>
      </c>
      <c r="F7">
        <f t="shared" si="0"/>
        <v>7.0115258698334737E-4</v>
      </c>
    </row>
    <row r="8" spans="1:9" x14ac:dyDescent="0.25">
      <c r="A8" s="2">
        <v>45723</v>
      </c>
      <c r="B8" s="3">
        <v>925.92</v>
      </c>
      <c r="C8" s="3">
        <v>926.68</v>
      </c>
      <c r="D8" s="3">
        <v>926.3</v>
      </c>
      <c r="F8">
        <f t="shared" si="0"/>
        <v>8.2046853071358189E-4</v>
      </c>
    </row>
    <row r="9" spans="1:9" x14ac:dyDescent="0.25">
      <c r="A9" s="4">
        <v>45726</v>
      </c>
      <c r="B9" s="5">
        <v>929.06</v>
      </c>
      <c r="C9" s="5">
        <v>929.7</v>
      </c>
      <c r="D9" s="5">
        <v>929.38</v>
      </c>
      <c r="F9">
        <f t="shared" si="0"/>
        <v>6.8863113043114775E-4</v>
      </c>
    </row>
    <row r="10" spans="1:9" x14ac:dyDescent="0.25">
      <c r="A10" s="2">
        <v>45727</v>
      </c>
      <c r="B10" s="3">
        <v>934.05</v>
      </c>
      <c r="C10" s="3">
        <v>934.42</v>
      </c>
      <c r="D10" s="3">
        <v>934.23500000000001</v>
      </c>
      <c r="F10">
        <f t="shared" si="0"/>
        <v>3.960459627395725E-4</v>
      </c>
    </row>
    <row r="11" spans="1:9" x14ac:dyDescent="0.25">
      <c r="A11" s="4">
        <v>45728</v>
      </c>
      <c r="B11" s="5">
        <v>932.7</v>
      </c>
      <c r="C11" s="5">
        <v>933.13</v>
      </c>
      <c r="D11" s="5">
        <v>932.91499999999996</v>
      </c>
      <c r="F11">
        <f t="shared" si="0"/>
        <v>4.6092087703590356E-4</v>
      </c>
    </row>
    <row r="12" spans="1:9" x14ac:dyDescent="0.25">
      <c r="A12" s="2">
        <v>45729</v>
      </c>
      <c r="B12" s="3">
        <v>935.37</v>
      </c>
      <c r="C12" s="3">
        <v>936.13</v>
      </c>
      <c r="D12" s="3">
        <v>935.75</v>
      </c>
      <c r="F12">
        <f t="shared" si="0"/>
        <v>8.121827411167416E-4</v>
      </c>
    </row>
    <row r="13" spans="1:9" x14ac:dyDescent="0.25">
      <c r="A13" s="4">
        <v>45730</v>
      </c>
      <c r="B13" s="5">
        <v>932.34</v>
      </c>
      <c r="C13" s="5">
        <v>933.16</v>
      </c>
      <c r="D13" s="5">
        <v>932.75</v>
      </c>
      <c r="F13">
        <f t="shared" si="0"/>
        <v>8.7912087912081082E-4</v>
      </c>
    </row>
    <row r="14" spans="1:9" x14ac:dyDescent="0.25">
      <c r="A14" s="2">
        <v>45733</v>
      </c>
      <c r="B14" s="3">
        <v>921.5</v>
      </c>
      <c r="C14" s="3">
        <v>922</v>
      </c>
      <c r="D14" s="3">
        <v>921.75</v>
      </c>
      <c r="F14">
        <f t="shared" si="0"/>
        <v>5.4244643341470032E-4</v>
      </c>
    </row>
    <row r="15" spans="1:9" x14ac:dyDescent="0.25">
      <c r="A15" s="4">
        <v>45734</v>
      </c>
      <c r="B15" s="5">
        <v>914.4</v>
      </c>
      <c r="C15" s="5">
        <v>914.9</v>
      </c>
      <c r="D15" s="5">
        <v>914.65</v>
      </c>
      <c r="F15">
        <f t="shared" si="0"/>
        <v>5.4665719127535122E-4</v>
      </c>
    </row>
    <row r="16" spans="1:9" x14ac:dyDescent="0.25">
      <c r="A16" s="2">
        <v>45735</v>
      </c>
      <c r="B16" s="3">
        <v>917.27</v>
      </c>
      <c r="C16" s="3">
        <v>917.86</v>
      </c>
      <c r="D16" s="3">
        <v>917.56500000000005</v>
      </c>
      <c r="F16">
        <f t="shared" si="0"/>
        <v>6.43006217543206E-4</v>
      </c>
    </row>
    <row r="17" spans="1:6" x14ac:dyDescent="0.25">
      <c r="A17" s="4">
        <v>45736</v>
      </c>
      <c r="B17" s="5">
        <v>927.47</v>
      </c>
      <c r="C17" s="5">
        <v>927.92</v>
      </c>
      <c r="D17" s="5">
        <v>927.69500000000005</v>
      </c>
      <c r="F17">
        <f t="shared" si="0"/>
        <v>4.8507321910749954E-4</v>
      </c>
    </row>
    <row r="18" spans="1:6" x14ac:dyDescent="0.25">
      <c r="A18" s="2">
        <v>45737</v>
      </c>
      <c r="B18" s="3">
        <v>932.45</v>
      </c>
      <c r="C18" s="3">
        <v>933.15</v>
      </c>
      <c r="D18" s="3">
        <v>932.8</v>
      </c>
      <c r="F18">
        <f t="shared" si="0"/>
        <v>7.504288164664792E-4</v>
      </c>
    </row>
    <row r="19" spans="1:6" x14ac:dyDescent="0.25">
      <c r="A19" s="4">
        <v>45740</v>
      </c>
      <c r="B19" s="5">
        <v>927.31</v>
      </c>
      <c r="C19" s="5">
        <v>927.98</v>
      </c>
      <c r="D19" s="5">
        <v>927.64499999999998</v>
      </c>
      <c r="F19">
        <f t="shared" si="0"/>
        <v>7.2225905384071796E-4</v>
      </c>
    </row>
    <row r="20" spans="1:6" x14ac:dyDescent="0.25">
      <c r="A20" s="2">
        <v>45741</v>
      </c>
      <c r="B20" s="3">
        <v>919.98</v>
      </c>
      <c r="C20" s="3">
        <v>920.5</v>
      </c>
      <c r="D20" s="3">
        <v>920.24</v>
      </c>
      <c r="F20">
        <f t="shared" si="0"/>
        <v>5.6506998174387312E-4</v>
      </c>
    </row>
    <row r="21" spans="1:6" x14ac:dyDescent="0.25">
      <c r="A21" s="4">
        <v>45742</v>
      </c>
      <c r="B21" s="5">
        <v>924.1</v>
      </c>
      <c r="C21" s="5">
        <v>924.63</v>
      </c>
      <c r="D21" s="5">
        <v>924.36500000000001</v>
      </c>
      <c r="F21">
        <f t="shared" si="0"/>
        <v>5.7336658138286574E-4</v>
      </c>
    </row>
    <row r="22" spans="1:6" x14ac:dyDescent="0.25">
      <c r="A22" s="2">
        <v>45743</v>
      </c>
      <c r="B22" s="3">
        <v>935.75</v>
      </c>
      <c r="C22" s="3">
        <v>936.56</v>
      </c>
      <c r="D22" s="3">
        <v>936.15499999999997</v>
      </c>
      <c r="F22">
        <f t="shared" si="0"/>
        <v>8.6524133289887404E-4</v>
      </c>
    </row>
    <row r="23" spans="1:6" x14ac:dyDescent="0.25">
      <c r="A23" s="4">
        <v>45744</v>
      </c>
      <c r="B23" s="5">
        <v>946.98</v>
      </c>
      <c r="C23" s="5">
        <v>948.12</v>
      </c>
      <c r="D23" s="5">
        <v>947.55</v>
      </c>
      <c r="F23">
        <f t="shared" si="0"/>
        <v>1.203102738641746E-3</v>
      </c>
    </row>
    <row r="24" spans="1:6" x14ac:dyDescent="0.25">
      <c r="A24" s="2">
        <v>45747</v>
      </c>
      <c r="B24" s="3">
        <v>951.65</v>
      </c>
      <c r="C24" s="3">
        <v>952.3</v>
      </c>
      <c r="D24" s="3">
        <v>951.97500000000002</v>
      </c>
      <c r="F24">
        <f t="shared" si="0"/>
        <v>6.8279103968063993E-4</v>
      </c>
    </row>
    <row r="25" spans="1:6" x14ac:dyDescent="0.25">
      <c r="A25" s="4">
        <v>45748</v>
      </c>
      <c r="B25" s="5">
        <v>944.75</v>
      </c>
      <c r="C25" s="5">
        <v>945.43</v>
      </c>
      <c r="D25" s="5">
        <v>945.09</v>
      </c>
      <c r="F25">
        <f t="shared" si="0"/>
        <v>7.1950819498666787E-4</v>
      </c>
    </row>
    <row r="26" spans="1:6" x14ac:dyDescent="0.25">
      <c r="A26" s="2">
        <v>45749</v>
      </c>
      <c r="B26" s="3">
        <v>948.8</v>
      </c>
      <c r="C26" s="3">
        <v>949.58</v>
      </c>
      <c r="D26" s="3">
        <v>949.19</v>
      </c>
      <c r="F26">
        <f t="shared" si="0"/>
        <v>8.2175328437940386E-4</v>
      </c>
    </row>
    <row r="27" spans="1:6" x14ac:dyDescent="0.25">
      <c r="A27" s="4">
        <v>45750</v>
      </c>
      <c r="B27" s="5">
        <v>944.24</v>
      </c>
      <c r="C27" s="5">
        <v>945.26</v>
      </c>
      <c r="D27" s="5">
        <v>944.75</v>
      </c>
      <c r="F27">
        <f t="shared" si="0"/>
        <v>1.0796507012436961E-3</v>
      </c>
    </row>
    <row r="28" spans="1:6" x14ac:dyDescent="0.25">
      <c r="A28" s="2">
        <v>45751</v>
      </c>
      <c r="B28" s="3">
        <v>980.2</v>
      </c>
      <c r="C28" s="3">
        <v>982.12</v>
      </c>
      <c r="D28" s="3">
        <v>981.16</v>
      </c>
      <c r="F28">
        <f t="shared" si="0"/>
        <v>1.9568673814667936E-3</v>
      </c>
    </row>
    <row r="29" spans="1:6" x14ac:dyDescent="0.25">
      <c r="A29" s="4">
        <v>45754</v>
      </c>
      <c r="B29" s="5">
        <v>990.06</v>
      </c>
      <c r="C29" s="5">
        <v>991.51</v>
      </c>
      <c r="D29" s="5">
        <v>990.78499999999997</v>
      </c>
      <c r="F29">
        <f t="shared" si="0"/>
        <v>1.4634860237085195E-3</v>
      </c>
    </row>
    <row r="30" spans="1:6" x14ac:dyDescent="0.25">
      <c r="A30" s="2">
        <v>45755</v>
      </c>
      <c r="B30" s="3">
        <v>992.01</v>
      </c>
      <c r="C30" s="3">
        <v>992.98</v>
      </c>
      <c r="D30" s="3">
        <v>992.495</v>
      </c>
      <c r="F30">
        <f t="shared" si="0"/>
        <v>9.7733489841261389E-4</v>
      </c>
    </row>
    <row r="31" spans="1:6" x14ac:dyDescent="0.25">
      <c r="A31" s="4">
        <v>45756</v>
      </c>
      <c r="B31" s="5">
        <v>1005.58</v>
      </c>
      <c r="C31" s="5">
        <v>1006.72</v>
      </c>
      <c r="D31" s="5">
        <v>1006.15</v>
      </c>
      <c r="F31">
        <f t="shared" si="0"/>
        <v>1.133031854097288E-3</v>
      </c>
    </row>
    <row r="32" spans="1:6" x14ac:dyDescent="0.25">
      <c r="A32" s="2">
        <v>45757</v>
      </c>
      <c r="B32" s="3">
        <v>986.42</v>
      </c>
      <c r="C32" s="3">
        <v>987.72</v>
      </c>
      <c r="D32" s="3">
        <v>987.07</v>
      </c>
      <c r="F32">
        <f t="shared" si="0"/>
        <v>1.3170291873930604E-3</v>
      </c>
    </row>
    <row r="33" spans="1:6" x14ac:dyDescent="0.25">
      <c r="A33" s="4">
        <v>45758</v>
      </c>
      <c r="B33" s="5">
        <v>980.45</v>
      </c>
      <c r="C33" s="5">
        <v>981.35</v>
      </c>
      <c r="D33" s="5">
        <v>980.9</v>
      </c>
      <c r="F33">
        <f t="shared" si="0"/>
        <v>9.175247221938804E-4</v>
      </c>
    </row>
    <row r="34" spans="1:6" x14ac:dyDescent="0.25">
      <c r="A34" s="2">
        <v>45761</v>
      </c>
      <c r="B34" s="3">
        <v>965.01</v>
      </c>
      <c r="C34" s="3">
        <v>965.68</v>
      </c>
      <c r="D34" s="3">
        <v>965.34500000000003</v>
      </c>
      <c r="F34">
        <f t="shared" si="0"/>
        <v>6.9405238541657031E-4</v>
      </c>
    </row>
    <row r="35" spans="1:6" x14ac:dyDescent="0.25">
      <c r="A35" s="4">
        <v>45762</v>
      </c>
      <c r="B35" s="5">
        <v>964.53</v>
      </c>
      <c r="C35" s="5">
        <v>965.28</v>
      </c>
      <c r="D35" s="5">
        <v>964.90499999999997</v>
      </c>
      <c r="F35">
        <f t="shared" si="0"/>
        <v>7.7727859219301387E-4</v>
      </c>
    </row>
    <row r="36" spans="1:6" x14ac:dyDescent="0.25">
      <c r="A36" s="2">
        <v>45763</v>
      </c>
      <c r="B36" s="3">
        <v>966.78</v>
      </c>
      <c r="C36" s="3">
        <v>967.75</v>
      </c>
      <c r="D36" s="3">
        <v>967.26499999999999</v>
      </c>
      <c r="F36">
        <f t="shared" si="0"/>
        <v>1.0028275601826049E-3</v>
      </c>
    </row>
    <row r="37" spans="1:6" x14ac:dyDescent="0.25">
      <c r="A37" s="4">
        <v>45764</v>
      </c>
      <c r="B37" s="5">
        <v>969.64</v>
      </c>
      <c r="C37" s="5">
        <v>970.41</v>
      </c>
      <c r="D37" s="5">
        <v>970.02499999999998</v>
      </c>
      <c r="F37">
        <f t="shared" si="0"/>
        <v>7.9379397438208478E-4</v>
      </c>
    </row>
    <row r="38" spans="1:6" x14ac:dyDescent="0.25">
      <c r="A38" s="2">
        <v>45765</v>
      </c>
      <c r="B38" s="3">
        <v>969.64</v>
      </c>
      <c r="C38" s="3">
        <v>970.41</v>
      </c>
      <c r="D38" s="3">
        <v>970.02515000000005</v>
      </c>
      <c r="F38">
        <f t="shared" si="0"/>
        <v>7.937938516336218E-4</v>
      </c>
    </row>
    <row r="39" spans="1:6" x14ac:dyDescent="0.25">
      <c r="A39" s="4">
        <v>45768</v>
      </c>
      <c r="B39" s="5">
        <v>959.9</v>
      </c>
      <c r="C39" s="5">
        <v>960.5</v>
      </c>
      <c r="D39" s="5">
        <v>960.2</v>
      </c>
      <c r="F39">
        <f t="shared" si="0"/>
        <v>6.248698187877762E-4</v>
      </c>
    </row>
    <row r="40" spans="1:6" x14ac:dyDescent="0.25">
      <c r="A40" s="2">
        <v>45769</v>
      </c>
      <c r="B40" s="3">
        <v>951.2</v>
      </c>
      <c r="C40" s="3">
        <v>952.21</v>
      </c>
      <c r="D40" s="3">
        <v>951.70500000000004</v>
      </c>
      <c r="F40">
        <f t="shared" si="0"/>
        <v>1.0612532244760624E-3</v>
      </c>
    </row>
    <row r="41" spans="1:6" x14ac:dyDescent="0.25">
      <c r="A41" s="4">
        <v>45770</v>
      </c>
      <c r="B41" s="5">
        <v>936.26</v>
      </c>
      <c r="C41" s="5">
        <v>936.94</v>
      </c>
      <c r="D41" s="5">
        <v>936.6</v>
      </c>
      <c r="F41">
        <f t="shared" si="0"/>
        <v>7.2603032244294649E-4</v>
      </c>
    </row>
    <row r="42" spans="1:6" x14ac:dyDescent="0.25">
      <c r="A42" s="2">
        <v>45771</v>
      </c>
      <c r="B42" s="3">
        <v>939.4</v>
      </c>
      <c r="C42" s="3">
        <v>940</v>
      </c>
      <c r="D42" s="3">
        <v>939.7</v>
      </c>
      <c r="F42">
        <f t="shared" si="0"/>
        <v>6.3850164946261864E-4</v>
      </c>
    </row>
    <row r="43" spans="1:6" x14ac:dyDescent="0.25">
      <c r="A43" s="4">
        <v>45772</v>
      </c>
      <c r="B43" s="5">
        <v>935.85</v>
      </c>
      <c r="C43" s="5">
        <v>936.53</v>
      </c>
      <c r="D43" s="5">
        <v>936.19</v>
      </c>
      <c r="F43">
        <f t="shared" si="0"/>
        <v>7.2634828400212556E-4</v>
      </c>
    </row>
    <row r="44" spans="1:6" x14ac:dyDescent="0.25">
      <c r="A44" s="2">
        <v>45775</v>
      </c>
      <c r="B44" s="3">
        <v>937.49</v>
      </c>
      <c r="C44" s="3">
        <v>938.26</v>
      </c>
      <c r="D44" s="3">
        <v>937.875</v>
      </c>
      <c r="F44">
        <f t="shared" si="0"/>
        <v>8.2100493136076961E-4</v>
      </c>
    </row>
    <row r="45" spans="1:6" x14ac:dyDescent="0.25">
      <c r="A45" s="4">
        <v>45776</v>
      </c>
      <c r="B45" s="5">
        <v>948.38</v>
      </c>
      <c r="C45" s="5">
        <v>949.39</v>
      </c>
      <c r="D45" s="5">
        <v>948.88499999999999</v>
      </c>
      <c r="F45">
        <f t="shared" si="0"/>
        <v>1.064407172628918E-3</v>
      </c>
    </row>
    <row r="46" spans="1:6" x14ac:dyDescent="0.25">
      <c r="A46" s="2">
        <v>45777</v>
      </c>
      <c r="B46" s="3">
        <v>956.06</v>
      </c>
      <c r="C46" s="3">
        <v>956.76</v>
      </c>
      <c r="D46" s="3">
        <v>956.41</v>
      </c>
      <c r="F46">
        <f t="shared" si="0"/>
        <v>7.3190368147556543E-4</v>
      </c>
    </row>
    <row r="47" spans="1:6" x14ac:dyDescent="0.25">
      <c r="A47" s="4">
        <v>45778</v>
      </c>
      <c r="B47" s="5">
        <v>945.78</v>
      </c>
      <c r="C47" s="5">
        <v>947.88</v>
      </c>
      <c r="D47" s="5">
        <v>946.83</v>
      </c>
      <c r="F47">
        <f t="shared" si="0"/>
        <v>2.2179271886188889E-3</v>
      </c>
    </row>
    <row r="48" spans="1:6" x14ac:dyDescent="0.25">
      <c r="A48" s="2">
        <v>45779</v>
      </c>
      <c r="B48" s="3">
        <v>938.26</v>
      </c>
      <c r="C48" s="3">
        <v>939.11</v>
      </c>
      <c r="D48" s="3">
        <v>938.68499999999995</v>
      </c>
      <c r="F48">
        <f t="shared" si="0"/>
        <v>9.0552208674904021E-4</v>
      </c>
    </row>
    <row r="49" spans="1:6" x14ac:dyDescent="0.25">
      <c r="A49" s="4">
        <v>45782</v>
      </c>
      <c r="B49" s="5">
        <v>940.38</v>
      </c>
      <c r="C49" s="5">
        <v>941.08</v>
      </c>
      <c r="D49" s="5">
        <v>940.73</v>
      </c>
      <c r="F49">
        <f t="shared" si="0"/>
        <v>7.4410298385301356E-4</v>
      </c>
    </row>
    <row r="50" spans="1:6" x14ac:dyDescent="0.25">
      <c r="A50" s="2">
        <v>45783</v>
      </c>
      <c r="B50" s="3">
        <v>938.04</v>
      </c>
      <c r="C50" s="3">
        <v>938.79</v>
      </c>
      <c r="D50" s="3">
        <v>938.41499999999996</v>
      </c>
      <c r="F50">
        <f t="shared" si="0"/>
        <v>7.9921996131775391E-4</v>
      </c>
    </row>
    <row r="51" spans="1:6" x14ac:dyDescent="0.25">
      <c r="A51" s="4">
        <v>45784</v>
      </c>
      <c r="B51" s="5">
        <v>943.36</v>
      </c>
      <c r="C51" s="5">
        <v>944.35</v>
      </c>
      <c r="D51" s="5">
        <v>943.85500000000002</v>
      </c>
      <c r="F51">
        <f t="shared" si="0"/>
        <v>1.048889924829565E-3</v>
      </c>
    </row>
    <row r="52" spans="1:6" x14ac:dyDescent="0.25">
      <c r="A52" s="2">
        <v>45785</v>
      </c>
      <c r="B52" s="3">
        <v>942.63</v>
      </c>
      <c r="C52" s="3">
        <v>943.32</v>
      </c>
      <c r="D52" s="3">
        <v>942.97500000000002</v>
      </c>
      <c r="F52">
        <f t="shared" si="0"/>
        <v>7.3172671597874237E-4</v>
      </c>
    </row>
    <row r="53" spans="1:6" x14ac:dyDescent="0.25">
      <c r="A53" s="4">
        <v>45786</v>
      </c>
      <c r="B53" s="5">
        <v>931.41</v>
      </c>
      <c r="C53" s="5">
        <v>932.14</v>
      </c>
      <c r="D53" s="5">
        <v>931.77499999999998</v>
      </c>
      <c r="F53">
        <f t="shared" si="0"/>
        <v>7.834509404094531E-4</v>
      </c>
    </row>
    <row r="54" spans="1:6" x14ac:dyDescent="0.25">
      <c r="A54" s="2">
        <v>45789</v>
      </c>
      <c r="B54" s="3">
        <v>939</v>
      </c>
      <c r="C54" s="3">
        <v>939.76</v>
      </c>
      <c r="D54" s="3">
        <v>939.38</v>
      </c>
      <c r="F54">
        <f t="shared" si="0"/>
        <v>8.0904426323744484E-4</v>
      </c>
    </row>
    <row r="55" spans="1:6" x14ac:dyDescent="0.25">
      <c r="A55" s="4">
        <v>45790</v>
      </c>
      <c r="B55" s="5">
        <v>940.1</v>
      </c>
      <c r="C55" s="5">
        <v>940.92</v>
      </c>
      <c r="D55" s="5">
        <v>940.51</v>
      </c>
      <c r="F55">
        <f t="shared" si="0"/>
        <v>8.7186739109625241E-4</v>
      </c>
    </row>
    <row r="56" spans="1:6" x14ac:dyDescent="0.25">
      <c r="A56" s="2">
        <v>45791</v>
      </c>
      <c r="B56" s="3">
        <v>939</v>
      </c>
      <c r="C56" s="3">
        <v>939.49</v>
      </c>
      <c r="D56" s="3">
        <v>939.245</v>
      </c>
      <c r="F56">
        <f t="shared" si="0"/>
        <v>5.2169561722448254E-4</v>
      </c>
    </row>
    <row r="57" spans="1:6" x14ac:dyDescent="0.25">
      <c r="A57" s="4">
        <v>45792</v>
      </c>
      <c r="B57" s="5">
        <v>939.97</v>
      </c>
      <c r="C57" s="5">
        <v>940.75</v>
      </c>
      <c r="D57" s="5">
        <v>940.36</v>
      </c>
      <c r="F57">
        <f t="shared" si="0"/>
        <v>8.2946956484747619E-4</v>
      </c>
    </row>
    <row r="58" spans="1:6" x14ac:dyDescent="0.25">
      <c r="A58" s="2">
        <v>45793</v>
      </c>
      <c r="B58" s="3">
        <v>945.3</v>
      </c>
      <c r="C58" s="3">
        <v>945.9</v>
      </c>
      <c r="D58" s="3">
        <v>945.6</v>
      </c>
      <c r="F58">
        <f t="shared" si="0"/>
        <v>6.3451776649748595E-4</v>
      </c>
    </row>
    <row r="59" spans="1:6" x14ac:dyDescent="0.25">
      <c r="A59" s="4">
        <v>45796</v>
      </c>
      <c r="B59" s="5">
        <v>936.24</v>
      </c>
      <c r="C59" s="5">
        <v>937.03</v>
      </c>
      <c r="D59" s="5">
        <v>936.63499999999999</v>
      </c>
      <c r="F59">
        <f t="shared" si="0"/>
        <v>8.4344488514732376E-4</v>
      </c>
    </row>
    <row r="60" spans="1:6" x14ac:dyDescent="0.25">
      <c r="A60" s="2">
        <v>45797</v>
      </c>
      <c r="B60" s="3">
        <v>939.48</v>
      </c>
      <c r="C60" s="3">
        <v>940.08</v>
      </c>
      <c r="D60" s="3">
        <v>939.78</v>
      </c>
      <c r="F60">
        <f t="shared" si="0"/>
        <v>6.3844729617572489E-4</v>
      </c>
    </row>
    <row r="61" spans="1:6" x14ac:dyDescent="0.25">
      <c r="A61" s="4">
        <v>45798</v>
      </c>
      <c r="B61" s="5">
        <v>943.37</v>
      </c>
      <c r="C61" s="5">
        <v>943.87</v>
      </c>
      <c r="D61" s="5">
        <v>943.62</v>
      </c>
      <c r="F61">
        <f t="shared" si="0"/>
        <v>5.2987431381276359E-4</v>
      </c>
    </row>
    <row r="62" spans="1:6" x14ac:dyDescent="0.25">
      <c r="A62" s="2">
        <v>45799</v>
      </c>
      <c r="B62" s="3">
        <v>946.69</v>
      </c>
      <c r="C62" s="3">
        <v>947.43</v>
      </c>
      <c r="D62" s="3">
        <v>947.06</v>
      </c>
      <c r="F62">
        <f t="shared" si="0"/>
        <v>7.813654889868598E-4</v>
      </c>
    </row>
    <row r="63" spans="1:6" x14ac:dyDescent="0.25">
      <c r="A63" s="4">
        <v>45800</v>
      </c>
      <c r="B63" s="5">
        <v>938.92</v>
      </c>
      <c r="C63" s="5">
        <v>939.71</v>
      </c>
      <c r="D63" s="5">
        <v>939.31500000000005</v>
      </c>
      <c r="F63">
        <f t="shared" si="0"/>
        <v>8.4103841629280622E-4</v>
      </c>
    </row>
    <row r="64" spans="1:6" x14ac:dyDescent="0.25">
      <c r="A64" s="2">
        <v>45803</v>
      </c>
      <c r="B64" s="3">
        <v>936</v>
      </c>
      <c r="C64" s="3">
        <v>937.51</v>
      </c>
      <c r="D64" s="3">
        <v>936.755</v>
      </c>
      <c r="F64">
        <f t="shared" si="0"/>
        <v>1.6119476277148144E-3</v>
      </c>
    </row>
    <row r="65" spans="1:6" x14ac:dyDescent="0.25">
      <c r="A65" s="4">
        <v>45804</v>
      </c>
      <c r="B65" s="5">
        <v>935.91</v>
      </c>
      <c r="C65" s="5">
        <v>936.51</v>
      </c>
      <c r="D65" s="5">
        <v>936.21</v>
      </c>
      <c r="F65">
        <f t="shared" si="0"/>
        <v>6.4088185343034434E-4</v>
      </c>
    </row>
    <row r="66" spans="1:6" x14ac:dyDescent="0.25">
      <c r="A66" s="2">
        <v>45805</v>
      </c>
      <c r="B66" s="3">
        <v>939.62</v>
      </c>
      <c r="C66" s="3">
        <v>940.3</v>
      </c>
      <c r="D66" s="3">
        <v>939.96</v>
      </c>
      <c r="F66">
        <f t="shared" si="0"/>
        <v>7.2343503978887394E-4</v>
      </c>
    </row>
    <row r="67" spans="1:6" x14ac:dyDescent="0.25">
      <c r="A67" s="4">
        <v>45806</v>
      </c>
      <c r="B67" s="5">
        <v>936.93</v>
      </c>
      <c r="C67" s="5">
        <v>937.53</v>
      </c>
      <c r="D67" s="5">
        <v>937.23</v>
      </c>
      <c r="F67">
        <f t="shared" ref="F67:F130" si="1">(C67-B67)/D67</f>
        <v>6.401843730994769E-4</v>
      </c>
    </row>
    <row r="68" spans="1:6" x14ac:dyDescent="0.25">
      <c r="A68" s="2">
        <v>45807</v>
      </c>
      <c r="B68" s="3">
        <v>944.95</v>
      </c>
      <c r="C68" s="3">
        <v>945.58</v>
      </c>
      <c r="D68" s="3">
        <v>945.26499999999999</v>
      </c>
      <c r="F68">
        <f t="shared" si="1"/>
        <v>6.6647977022316009E-4</v>
      </c>
    </row>
    <row r="69" spans="1:6" x14ac:dyDescent="0.25">
      <c r="A69" s="4">
        <v>45810</v>
      </c>
      <c r="B69" s="5">
        <v>938.2</v>
      </c>
      <c r="C69" s="5">
        <v>938.8</v>
      </c>
      <c r="D69" s="5">
        <v>938.5</v>
      </c>
      <c r="F69">
        <f t="shared" si="1"/>
        <v>6.3931806073511891E-4</v>
      </c>
    </row>
    <row r="70" spans="1:6" x14ac:dyDescent="0.25">
      <c r="A70" s="2">
        <v>45811</v>
      </c>
      <c r="B70" s="3">
        <v>940.77</v>
      </c>
      <c r="C70" s="3">
        <v>941.28</v>
      </c>
      <c r="D70" s="3">
        <v>941.02499999999998</v>
      </c>
      <c r="F70">
        <f t="shared" si="1"/>
        <v>5.4196222204510073E-4</v>
      </c>
    </row>
    <row r="71" spans="1:6" x14ac:dyDescent="0.25">
      <c r="A71" s="4">
        <v>45812</v>
      </c>
      <c r="B71" s="5">
        <v>935.91</v>
      </c>
      <c r="C71" s="5">
        <v>936.6</v>
      </c>
      <c r="D71" s="5">
        <v>936.255</v>
      </c>
      <c r="F71">
        <f t="shared" si="1"/>
        <v>7.3697870772391561E-4</v>
      </c>
    </row>
    <row r="72" spans="1:6" x14ac:dyDescent="0.25">
      <c r="A72" s="2">
        <v>45813</v>
      </c>
      <c r="B72" s="3">
        <v>928.89</v>
      </c>
      <c r="C72" s="3">
        <v>929.4</v>
      </c>
      <c r="D72" s="3">
        <v>929.14499999999998</v>
      </c>
      <c r="F72">
        <f t="shared" si="1"/>
        <v>5.488917230356843E-4</v>
      </c>
    </row>
    <row r="73" spans="1:6" x14ac:dyDescent="0.25">
      <c r="A73" s="4">
        <v>45814</v>
      </c>
      <c r="B73" s="5">
        <v>935.47</v>
      </c>
      <c r="C73" s="5">
        <v>936.2</v>
      </c>
      <c r="D73" s="5">
        <v>935.83500000000004</v>
      </c>
      <c r="F73">
        <f t="shared" si="1"/>
        <v>7.800520390881065E-4</v>
      </c>
    </row>
    <row r="74" spans="1:6" x14ac:dyDescent="0.25">
      <c r="A74" s="2">
        <v>45817</v>
      </c>
      <c r="B74" s="3">
        <v>934.91</v>
      </c>
      <c r="C74" s="3">
        <v>935.55</v>
      </c>
      <c r="D74" s="3">
        <v>935.23</v>
      </c>
      <c r="F74">
        <f t="shared" si="1"/>
        <v>6.8432364231257165E-4</v>
      </c>
    </row>
    <row r="75" spans="1:6" x14ac:dyDescent="0.25">
      <c r="A75" s="4">
        <v>45818</v>
      </c>
      <c r="B75" s="5">
        <v>938.5</v>
      </c>
      <c r="C75" s="5">
        <v>939.2</v>
      </c>
      <c r="D75" s="5">
        <v>938.85</v>
      </c>
      <c r="F75">
        <f t="shared" si="1"/>
        <v>7.4559301272838629E-4</v>
      </c>
    </row>
    <row r="76" spans="1:6" x14ac:dyDescent="0.25">
      <c r="A76" s="2">
        <v>45819</v>
      </c>
      <c r="B76" s="3">
        <v>935.92</v>
      </c>
      <c r="C76" s="3">
        <v>936.6</v>
      </c>
      <c r="D76" s="3">
        <v>936.26</v>
      </c>
      <c r="F76">
        <f t="shared" si="1"/>
        <v>7.2629397816852549E-4</v>
      </c>
    </row>
    <row r="77" spans="1:6" x14ac:dyDescent="0.25">
      <c r="A77" s="4">
        <v>45820</v>
      </c>
      <c r="B77" s="5">
        <v>929.07</v>
      </c>
      <c r="C77" s="5">
        <v>929.65</v>
      </c>
      <c r="D77" s="5">
        <v>929.36</v>
      </c>
      <c r="F77">
        <f t="shared" si="1"/>
        <v>6.2408539209770947E-4</v>
      </c>
    </row>
    <row r="78" spans="1:6" x14ac:dyDescent="0.25">
      <c r="A78" s="2">
        <v>45821</v>
      </c>
      <c r="B78" s="3">
        <v>937.84</v>
      </c>
      <c r="C78" s="3">
        <v>938.54</v>
      </c>
      <c r="D78" s="3">
        <v>938.19</v>
      </c>
      <c r="F78">
        <f t="shared" si="1"/>
        <v>7.4611752416880561E-4</v>
      </c>
    </row>
    <row r="79" spans="1:6" x14ac:dyDescent="0.25">
      <c r="A79" s="4">
        <v>45824</v>
      </c>
      <c r="B79" s="5">
        <v>933.77</v>
      </c>
      <c r="C79" s="5">
        <v>934.54</v>
      </c>
      <c r="D79" s="5">
        <v>934.15499999999997</v>
      </c>
      <c r="F79">
        <f t="shared" si="1"/>
        <v>8.2427434419339596E-4</v>
      </c>
    </row>
    <row r="80" spans="1:6" x14ac:dyDescent="0.25">
      <c r="A80" s="2">
        <v>45825</v>
      </c>
      <c r="B80" s="3">
        <v>938.29</v>
      </c>
      <c r="C80" s="3">
        <v>939.1</v>
      </c>
      <c r="D80" s="3">
        <v>938.69500000000005</v>
      </c>
      <c r="F80">
        <f t="shared" si="1"/>
        <v>8.6290009001865257E-4</v>
      </c>
    </row>
    <row r="81" spans="1:6" x14ac:dyDescent="0.25">
      <c r="A81" s="4">
        <v>45826</v>
      </c>
      <c r="B81" s="5">
        <v>943.68</v>
      </c>
      <c r="C81" s="5">
        <v>944.51</v>
      </c>
      <c r="D81" s="5">
        <v>944.09500000000003</v>
      </c>
      <c r="F81">
        <f t="shared" si="1"/>
        <v>8.7914881447316313E-4</v>
      </c>
    </row>
    <row r="82" spans="1:6" x14ac:dyDescent="0.25">
      <c r="A82" s="2">
        <v>45827</v>
      </c>
      <c r="B82" s="3">
        <v>947.51</v>
      </c>
      <c r="C82" s="3">
        <v>948.46</v>
      </c>
      <c r="D82" s="3">
        <v>947.98500000000001</v>
      </c>
      <c r="F82">
        <f t="shared" si="1"/>
        <v>1.0021255610585035E-3</v>
      </c>
    </row>
    <row r="83" spans="1:6" x14ac:dyDescent="0.25">
      <c r="A83" s="4">
        <v>45828</v>
      </c>
      <c r="B83" s="5">
        <v>940.78</v>
      </c>
      <c r="C83" s="5">
        <v>941.68</v>
      </c>
      <c r="D83" s="5">
        <v>941.23</v>
      </c>
      <c r="F83">
        <f t="shared" si="1"/>
        <v>9.5619561637429456E-4</v>
      </c>
    </row>
    <row r="84" spans="1:6" x14ac:dyDescent="0.25">
      <c r="A84" s="2">
        <v>45831</v>
      </c>
      <c r="B84" s="3">
        <v>948.43</v>
      </c>
      <c r="C84" s="3">
        <v>949.19</v>
      </c>
      <c r="D84" s="3">
        <v>948.81</v>
      </c>
      <c r="F84">
        <f t="shared" si="1"/>
        <v>8.0100336210632756E-4</v>
      </c>
    </row>
    <row r="85" spans="1:6" x14ac:dyDescent="0.25">
      <c r="A85" s="4">
        <v>45832</v>
      </c>
      <c r="B85" s="5">
        <v>937.56</v>
      </c>
      <c r="C85" s="5">
        <v>938.22</v>
      </c>
      <c r="D85" s="5">
        <v>937.89</v>
      </c>
      <c r="F85">
        <f t="shared" si="1"/>
        <v>7.0370725778085052E-4</v>
      </c>
    </row>
    <row r="86" spans="1:6" x14ac:dyDescent="0.25">
      <c r="A86" s="2">
        <v>45833</v>
      </c>
      <c r="B86" s="3">
        <v>935.23</v>
      </c>
      <c r="C86" s="3">
        <v>936.08</v>
      </c>
      <c r="D86" s="3">
        <v>935.65499999999997</v>
      </c>
      <c r="F86">
        <f t="shared" si="1"/>
        <v>9.0845450513279231E-4</v>
      </c>
    </row>
    <row r="87" spans="1:6" x14ac:dyDescent="0.25">
      <c r="A87" s="4">
        <v>45834</v>
      </c>
      <c r="B87" s="5">
        <v>928.65</v>
      </c>
      <c r="C87" s="5">
        <v>929.25</v>
      </c>
      <c r="D87" s="5">
        <v>928.95</v>
      </c>
      <c r="F87">
        <f t="shared" si="1"/>
        <v>6.4589052155662058E-4</v>
      </c>
    </row>
    <row r="88" spans="1:6" x14ac:dyDescent="0.25">
      <c r="A88" s="2">
        <v>45835</v>
      </c>
      <c r="B88" s="3">
        <v>935.46</v>
      </c>
      <c r="C88" s="3">
        <v>936.06</v>
      </c>
      <c r="D88" s="3">
        <v>935.76</v>
      </c>
      <c r="F88">
        <f t="shared" si="1"/>
        <v>6.411900487303465E-4</v>
      </c>
    </row>
    <row r="89" spans="1:6" x14ac:dyDescent="0.25">
      <c r="A89" s="4">
        <v>45838</v>
      </c>
      <c r="B89" s="5">
        <v>933.09</v>
      </c>
      <c r="C89" s="5">
        <v>933.76</v>
      </c>
      <c r="D89" s="5">
        <v>933.42499999999995</v>
      </c>
      <c r="F89">
        <f t="shared" si="1"/>
        <v>7.1778664595437136E-4</v>
      </c>
    </row>
    <row r="90" spans="1:6" x14ac:dyDescent="0.25">
      <c r="A90" s="2">
        <v>45839</v>
      </c>
      <c r="B90" s="3">
        <v>924.07</v>
      </c>
      <c r="C90" s="3">
        <v>924.78</v>
      </c>
      <c r="D90" s="3">
        <v>924.42499999999995</v>
      </c>
      <c r="F90">
        <f t="shared" si="1"/>
        <v>7.6804500094645079E-4</v>
      </c>
    </row>
    <row r="91" spans="1:6" x14ac:dyDescent="0.25">
      <c r="A91" s="4">
        <v>45840</v>
      </c>
      <c r="B91" s="5">
        <v>926.18</v>
      </c>
      <c r="C91" s="5">
        <v>926.78</v>
      </c>
      <c r="D91" s="5">
        <v>926.48</v>
      </c>
      <c r="F91">
        <f t="shared" si="1"/>
        <v>6.4761246869875526E-4</v>
      </c>
    </row>
    <row r="92" spans="1:6" x14ac:dyDescent="0.25">
      <c r="A92" s="2">
        <v>45841</v>
      </c>
      <c r="B92" s="3">
        <v>925.82</v>
      </c>
      <c r="C92" s="3">
        <v>926.3</v>
      </c>
      <c r="D92" s="3">
        <v>926.06</v>
      </c>
      <c r="F92">
        <f t="shared" si="1"/>
        <v>5.1832494654763684E-4</v>
      </c>
    </row>
    <row r="93" spans="1:6" x14ac:dyDescent="0.25">
      <c r="A93" s="4">
        <v>45842</v>
      </c>
      <c r="B93" s="5">
        <v>930.05</v>
      </c>
      <c r="C93" s="5">
        <v>931.06</v>
      </c>
      <c r="D93" s="5">
        <v>930.55499999999995</v>
      </c>
      <c r="F93">
        <f t="shared" si="1"/>
        <v>1.0853737823126961E-3</v>
      </c>
    </row>
    <row r="94" spans="1:6" x14ac:dyDescent="0.25">
      <c r="A94" s="2">
        <v>45845</v>
      </c>
      <c r="B94" s="3">
        <v>939.87</v>
      </c>
      <c r="C94" s="3">
        <v>940.44</v>
      </c>
      <c r="D94" s="3">
        <v>940.15499999999997</v>
      </c>
      <c r="F94">
        <f t="shared" si="1"/>
        <v>6.0628300652557294E-4</v>
      </c>
    </row>
    <row r="95" spans="1:6" x14ac:dyDescent="0.25">
      <c r="A95" s="4">
        <v>45846</v>
      </c>
      <c r="B95" s="5">
        <v>949.04</v>
      </c>
      <c r="C95" s="5">
        <v>949.74</v>
      </c>
      <c r="D95" s="5">
        <v>949.39</v>
      </c>
      <c r="F95">
        <f t="shared" si="1"/>
        <v>7.3731553945169577E-4</v>
      </c>
    </row>
    <row r="96" spans="1:6" x14ac:dyDescent="0.25">
      <c r="A96" s="2">
        <v>45847</v>
      </c>
      <c r="B96" s="3">
        <v>949.4</v>
      </c>
      <c r="C96" s="3">
        <v>950.12</v>
      </c>
      <c r="D96" s="3">
        <v>949.76</v>
      </c>
      <c r="F96">
        <f t="shared" si="1"/>
        <v>7.5808625336930096E-4</v>
      </c>
    </row>
    <row r="97" spans="1:6" x14ac:dyDescent="0.25">
      <c r="A97" s="4">
        <v>45848</v>
      </c>
      <c r="B97" s="5">
        <v>950.01</v>
      </c>
      <c r="C97" s="5">
        <v>950.5</v>
      </c>
      <c r="D97" s="5">
        <v>950.255</v>
      </c>
      <c r="F97">
        <f t="shared" si="1"/>
        <v>5.1565106208334508E-4</v>
      </c>
    </row>
    <row r="98" spans="1:6" x14ac:dyDescent="0.25">
      <c r="A98" s="2">
        <v>45849</v>
      </c>
      <c r="B98" s="3">
        <v>953.35</v>
      </c>
      <c r="C98" s="3">
        <v>954.14</v>
      </c>
      <c r="D98" s="3">
        <v>953.745</v>
      </c>
      <c r="F98">
        <f t="shared" si="1"/>
        <v>8.2831364777793189E-4</v>
      </c>
    </row>
    <row r="99" spans="1:6" x14ac:dyDescent="0.25">
      <c r="A99" s="4">
        <v>45852</v>
      </c>
      <c r="B99" s="5">
        <v>966.79</v>
      </c>
      <c r="C99" s="5">
        <v>967.6</v>
      </c>
      <c r="D99" s="5">
        <v>967.19500000000005</v>
      </c>
      <c r="F99">
        <f t="shared" si="1"/>
        <v>8.3747331200022647E-4</v>
      </c>
    </row>
    <row r="100" spans="1:6" x14ac:dyDescent="0.25">
      <c r="A100" s="2">
        <v>45853</v>
      </c>
      <c r="B100" s="3">
        <v>964.98</v>
      </c>
      <c r="C100" s="3">
        <v>965.75</v>
      </c>
      <c r="D100" s="3">
        <v>965.36500000000001</v>
      </c>
      <c r="F100">
        <f t="shared" si="1"/>
        <v>7.9762576849169156E-4</v>
      </c>
    </row>
    <row r="101" spans="1:6" x14ac:dyDescent="0.25">
      <c r="A101" s="4">
        <v>45854</v>
      </c>
      <c r="B101" s="5">
        <v>965.39</v>
      </c>
      <c r="C101" s="5">
        <v>966.29</v>
      </c>
      <c r="D101" s="5">
        <v>965.84</v>
      </c>
      <c r="F101">
        <f t="shared" si="1"/>
        <v>9.3183135923131911E-4</v>
      </c>
    </row>
    <row r="102" spans="1:6" x14ac:dyDescent="0.25">
      <c r="A102" s="2">
        <v>45855</v>
      </c>
      <c r="B102" s="3">
        <v>966.81</v>
      </c>
      <c r="C102" s="3">
        <v>967.56</v>
      </c>
      <c r="D102" s="3">
        <v>967.18499999999995</v>
      </c>
      <c r="F102">
        <f t="shared" si="1"/>
        <v>7.7544626932799833E-4</v>
      </c>
    </row>
    <row r="103" spans="1:6" x14ac:dyDescent="0.25">
      <c r="A103" s="4">
        <v>45856</v>
      </c>
      <c r="B103" s="5">
        <v>960.67</v>
      </c>
      <c r="C103" s="5">
        <v>961.36</v>
      </c>
      <c r="D103" s="5">
        <v>961.01499999999999</v>
      </c>
      <c r="F103">
        <f t="shared" si="1"/>
        <v>7.1799087423198862E-4</v>
      </c>
    </row>
    <row r="104" spans="1:6" x14ac:dyDescent="0.25">
      <c r="A104" s="2">
        <v>45859</v>
      </c>
      <c r="B104" s="3">
        <v>957.7</v>
      </c>
      <c r="C104" s="3">
        <v>958.4</v>
      </c>
      <c r="D104" s="3">
        <v>958.05</v>
      </c>
      <c r="F104">
        <f t="shared" si="1"/>
        <v>7.3065080110634294E-4</v>
      </c>
    </row>
    <row r="105" spans="1:6" x14ac:dyDescent="0.25">
      <c r="A105" s="4">
        <v>45860</v>
      </c>
      <c r="B105" s="5">
        <v>952.9</v>
      </c>
      <c r="C105" s="5">
        <v>953.6</v>
      </c>
      <c r="D105" s="5">
        <v>953.25</v>
      </c>
      <c r="F105">
        <f t="shared" si="1"/>
        <v>7.3432992394444844E-4</v>
      </c>
    </row>
    <row r="106" spans="1:6" x14ac:dyDescent="0.25">
      <c r="A106" s="2">
        <v>45861</v>
      </c>
      <c r="B106" s="3">
        <v>948.9</v>
      </c>
      <c r="C106" s="3">
        <v>949.57</v>
      </c>
      <c r="D106" s="3">
        <v>949.23500000000001</v>
      </c>
      <c r="F106">
        <f t="shared" si="1"/>
        <v>7.058315380280676E-4</v>
      </c>
    </row>
    <row r="107" spans="1:6" x14ac:dyDescent="0.25">
      <c r="A107" s="4">
        <v>45862</v>
      </c>
      <c r="B107" s="5">
        <v>950.7</v>
      </c>
      <c r="C107" s="5">
        <v>951.4</v>
      </c>
      <c r="D107" s="5">
        <v>951.05</v>
      </c>
      <c r="F107">
        <f t="shared" si="1"/>
        <v>7.3602859996838423E-4</v>
      </c>
    </row>
    <row r="108" spans="1:6" x14ac:dyDescent="0.25">
      <c r="A108" s="2">
        <v>45863</v>
      </c>
      <c r="B108" s="3">
        <v>957.54</v>
      </c>
      <c r="C108" s="3">
        <v>958.22</v>
      </c>
      <c r="D108" s="3">
        <v>957.88</v>
      </c>
      <c r="F108">
        <f t="shared" si="1"/>
        <v>7.0990103144450627E-4</v>
      </c>
    </row>
    <row r="109" spans="1:6" x14ac:dyDescent="0.25">
      <c r="A109" s="4">
        <v>45866</v>
      </c>
      <c r="B109" s="5">
        <v>970.07</v>
      </c>
      <c r="C109" s="5">
        <v>972.25</v>
      </c>
      <c r="D109" s="5">
        <v>971.16</v>
      </c>
      <c r="F109">
        <f t="shared" si="1"/>
        <v>2.2447382511635054E-3</v>
      </c>
    </row>
    <row r="110" spans="1:6" x14ac:dyDescent="0.25">
      <c r="A110" s="2">
        <v>45867</v>
      </c>
      <c r="B110" s="3">
        <v>971.48</v>
      </c>
      <c r="C110" s="3">
        <v>972.37</v>
      </c>
      <c r="D110" s="3">
        <v>971.92499999999995</v>
      </c>
      <c r="F110">
        <f t="shared" si="1"/>
        <v>9.1570851660363346E-4</v>
      </c>
    </row>
    <row r="111" spans="1:6" x14ac:dyDescent="0.25">
      <c r="A111" s="4">
        <v>45868</v>
      </c>
      <c r="B111" s="5">
        <v>976.93</v>
      </c>
      <c r="C111" s="5">
        <v>977.77</v>
      </c>
      <c r="D111" s="5">
        <v>977.35</v>
      </c>
      <c r="F111">
        <f t="shared" si="1"/>
        <v>8.594669258710102E-4</v>
      </c>
    </row>
    <row r="112" spans="1:6" x14ac:dyDescent="0.25">
      <c r="A112" s="2">
        <v>45869</v>
      </c>
      <c r="B112" s="3">
        <v>978.63</v>
      </c>
      <c r="C112" s="3">
        <v>979.53</v>
      </c>
      <c r="D112" s="3">
        <v>979.08</v>
      </c>
      <c r="F112">
        <f t="shared" si="1"/>
        <v>9.1923029783059324E-4</v>
      </c>
    </row>
    <row r="113" spans="1:6" x14ac:dyDescent="0.25">
      <c r="A113" s="4">
        <v>45870</v>
      </c>
      <c r="B113" s="5">
        <v>967.4</v>
      </c>
      <c r="C113" s="5">
        <v>968.05</v>
      </c>
      <c r="D113" s="5">
        <v>967.72500000000002</v>
      </c>
      <c r="F113">
        <f t="shared" si="1"/>
        <v>6.7167842103901137E-4</v>
      </c>
    </row>
    <row r="114" spans="1:6" x14ac:dyDescent="0.25">
      <c r="A114" s="2">
        <v>45873</v>
      </c>
      <c r="B114" s="3">
        <v>965.21</v>
      </c>
      <c r="C114" s="3">
        <v>965.85</v>
      </c>
      <c r="D114" s="3">
        <v>965.53</v>
      </c>
      <c r="F114">
        <f t="shared" si="1"/>
        <v>6.6284838378920013E-4</v>
      </c>
    </row>
    <row r="115" spans="1:6" x14ac:dyDescent="0.25">
      <c r="A115" s="4">
        <v>45874</v>
      </c>
      <c r="B115" s="5">
        <v>965.42</v>
      </c>
      <c r="C115" s="5">
        <v>966.11</v>
      </c>
      <c r="D115" s="5">
        <v>965.76499999999999</v>
      </c>
      <c r="F115">
        <f t="shared" si="1"/>
        <v>7.1445952172635642E-4</v>
      </c>
    </row>
    <row r="116" spans="1:6" x14ac:dyDescent="0.25">
      <c r="A116" s="2">
        <v>45875</v>
      </c>
      <c r="B116" s="3">
        <v>974.85</v>
      </c>
      <c r="C116" s="3">
        <v>975.77</v>
      </c>
      <c r="D116" s="3">
        <v>975.31</v>
      </c>
      <c r="F116">
        <f t="shared" si="1"/>
        <v>9.4328982579893481E-4</v>
      </c>
    </row>
    <row r="117" spans="1:6" x14ac:dyDescent="0.25">
      <c r="A117" s="4">
        <v>45876</v>
      </c>
      <c r="B117" s="5">
        <v>972.32</v>
      </c>
      <c r="C117" s="5">
        <v>972.98</v>
      </c>
      <c r="D117" s="5">
        <v>972.65</v>
      </c>
      <c r="F117">
        <f t="shared" si="1"/>
        <v>6.7855857708319352E-4</v>
      </c>
    </row>
    <row r="118" spans="1:6" x14ac:dyDescent="0.25">
      <c r="A118" s="2">
        <v>45877</v>
      </c>
      <c r="B118" s="3">
        <v>962.7</v>
      </c>
      <c r="C118" s="3">
        <v>963.56</v>
      </c>
      <c r="D118" s="3">
        <v>963.13</v>
      </c>
      <c r="F118">
        <f t="shared" si="1"/>
        <v>8.9292203544682439E-4</v>
      </c>
    </row>
    <row r="119" spans="1:6" x14ac:dyDescent="0.25">
      <c r="A119" s="4">
        <v>45880</v>
      </c>
      <c r="B119" s="5">
        <v>969.17</v>
      </c>
      <c r="C119" s="5">
        <v>969.79</v>
      </c>
      <c r="D119" s="5">
        <v>969.48</v>
      </c>
      <c r="F119">
        <f t="shared" si="1"/>
        <v>6.3951809217312845E-4</v>
      </c>
    </row>
    <row r="120" spans="1:6" x14ac:dyDescent="0.25">
      <c r="A120" s="2">
        <v>45881</v>
      </c>
      <c r="B120" s="3">
        <v>963.47</v>
      </c>
      <c r="C120" s="3">
        <v>964.24</v>
      </c>
      <c r="D120" s="3">
        <v>963.85500000000002</v>
      </c>
      <c r="F120">
        <f t="shared" si="1"/>
        <v>7.9887534950794656E-4</v>
      </c>
    </row>
    <row r="121" spans="1:6" x14ac:dyDescent="0.25">
      <c r="A121" s="4">
        <v>45882</v>
      </c>
      <c r="B121" s="5">
        <v>952.46</v>
      </c>
      <c r="C121" s="5">
        <v>953.21</v>
      </c>
      <c r="D121" s="5">
        <v>952.83500000000004</v>
      </c>
      <c r="F121">
        <f t="shared" si="1"/>
        <v>7.8712473828102447E-4</v>
      </c>
    </row>
    <row r="122" spans="1:6" x14ac:dyDescent="0.25">
      <c r="A122" s="2">
        <v>45883</v>
      </c>
      <c r="B122" s="3">
        <v>958.33</v>
      </c>
      <c r="C122" s="3">
        <v>959.16</v>
      </c>
      <c r="D122" s="3">
        <v>958.745</v>
      </c>
      <c r="F122">
        <f t="shared" si="1"/>
        <v>8.6571507543708418E-4</v>
      </c>
    </row>
    <row r="123" spans="1:6" x14ac:dyDescent="0.25">
      <c r="A123" s="4">
        <v>45884</v>
      </c>
      <c r="B123" s="5">
        <v>965</v>
      </c>
      <c r="C123" s="5">
        <v>966</v>
      </c>
      <c r="D123" s="5">
        <v>965.5</v>
      </c>
      <c r="F123">
        <f t="shared" si="1"/>
        <v>1.0357327809425167E-3</v>
      </c>
    </row>
    <row r="124" spans="1:6" x14ac:dyDescent="0.25">
      <c r="A124" s="2">
        <v>45887</v>
      </c>
      <c r="B124" s="3">
        <v>965.98</v>
      </c>
      <c r="C124" s="3">
        <v>966.85</v>
      </c>
      <c r="D124" s="3">
        <v>966.41499999999996</v>
      </c>
      <c r="F124">
        <f t="shared" si="1"/>
        <v>9.002343713622042E-4</v>
      </c>
    </row>
    <row r="125" spans="1:6" x14ac:dyDescent="0.25">
      <c r="A125" s="4">
        <v>45888</v>
      </c>
      <c r="B125" s="5">
        <v>961.85</v>
      </c>
      <c r="C125" s="5">
        <v>962.55</v>
      </c>
      <c r="D125" s="5">
        <v>962.2</v>
      </c>
      <c r="F125">
        <f t="shared" si="1"/>
        <v>7.2749948035744311E-4</v>
      </c>
    </row>
    <row r="126" spans="1:6" x14ac:dyDescent="0.25">
      <c r="A126" s="2">
        <v>45889</v>
      </c>
      <c r="B126" s="3">
        <v>967.1</v>
      </c>
      <c r="C126" s="3">
        <v>967.85</v>
      </c>
      <c r="D126" s="3">
        <v>967.47500000000002</v>
      </c>
      <c r="F126">
        <f t="shared" si="1"/>
        <v>7.7521382981472384E-4</v>
      </c>
    </row>
    <row r="127" spans="1:6" x14ac:dyDescent="0.25">
      <c r="A127" s="4">
        <v>45890</v>
      </c>
      <c r="B127" s="5">
        <v>965.32</v>
      </c>
      <c r="C127" s="5">
        <v>966.03</v>
      </c>
      <c r="D127" s="5">
        <v>965.67499999999995</v>
      </c>
      <c r="F127">
        <f t="shared" si="1"/>
        <v>7.3523701038125946E-4</v>
      </c>
    </row>
    <row r="128" spans="1:6" x14ac:dyDescent="0.25">
      <c r="A128" s="2">
        <v>45891</v>
      </c>
      <c r="B128" s="3">
        <v>962.08</v>
      </c>
      <c r="C128" s="3">
        <v>962.98</v>
      </c>
      <c r="D128" s="3">
        <v>962.53</v>
      </c>
      <c r="F128">
        <f t="shared" si="1"/>
        <v>9.3503579109220213E-4</v>
      </c>
    </row>
    <row r="129" spans="1:6" x14ac:dyDescent="0.25">
      <c r="A129" s="4">
        <v>45894</v>
      </c>
      <c r="B129" s="5">
        <v>960.73</v>
      </c>
      <c r="C129" s="5">
        <v>961.48</v>
      </c>
      <c r="D129" s="5">
        <v>961.10500000000002</v>
      </c>
      <c r="F129">
        <f t="shared" si="1"/>
        <v>7.8035178258358863E-4</v>
      </c>
    </row>
    <row r="130" spans="1:6" x14ac:dyDescent="0.25">
      <c r="A130" s="2">
        <v>45895</v>
      </c>
      <c r="B130" s="3">
        <v>964</v>
      </c>
      <c r="C130" s="3">
        <v>964.85</v>
      </c>
      <c r="D130" s="3">
        <v>964.42499999999995</v>
      </c>
      <c r="F130">
        <f t="shared" si="1"/>
        <v>8.8135417476737201E-4</v>
      </c>
    </row>
    <row r="131" spans="1:6" x14ac:dyDescent="0.25">
      <c r="A131" s="4">
        <v>45896</v>
      </c>
      <c r="B131" s="5">
        <v>969.91</v>
      </c>
      <c r="C131" s="5">
        <v>970.61</v>
      </c>
      <c r="D131" s="5">
        <v>970.26</v>
      </c>
      <c r="F131">
        <f t="shared" ref="F131:F194" si="2">(C131-B131)/D131</f>
        <v>7.2145610454934291E-4</v>
      </c>
    </row>
    <row r="132" spans="1:6" x14ac:dyDescent="0.25">
      <c r="A132" s="2">
        <v>45897</v>
      </c>
      <c r="B132" s="3">
        <v>966.7</v>
      </c>
      <c r="C132" s="3">
        <v>967.13</v>
      </c>
      <c r="D132" s="3">
        <v>966.91499999999996</v>
      </c>
      <c r="F132">
        <f t="shared" si="2"/>
        <v>4.4471334088306625E-4</v>
      </c>
    </row>
    <row r="133" spans="1:6" x14ac:dyDescent="0.25">
      <c r="A133" s="4">
        <v>45898</v>
      </c>
      <c r="B133" s="5">
        <v>962.79</v>
      </c>
      <c r="C133" s="5">
        <v>963.23</v>
      </c>
      <c r="D133" s="5">
        <v>963.01</v>
      </c>
      <c r="F133">
        <f t="shared" si="2"/>
        <v>4.5690075907836326E-4</v>
      </c>
    </row>
    <row r="134" spans="1:6" x14ac:dyDescent="0.25">
      <c r="A134" s="2">
        <v>45901</v>
      </c>
      <c r="B134" s="3">
        <v>967.89</v>
      </c>
      <c r="C134" s="3">
        <v>968.98</v>
      </c>
      <c r="D134" s="3">
        <v>968.43499999999995</v>
      </c>
      <c r="F134">
        <f t="shared" si="2"/>
        <v>1.1255272682214417E-3</v>
      </c>
    </row>
    <row r="135" spans="1:6" x14ac:dyDescent="0.25">
      <c r="A135" s="4">
        <v>45902</v>
      </c>
      <c r="B135" s="5">
        <v>974.45</v>
      </c>
      <c r="C135" s="5">
        <v>975.2</v>
      </c>
      <c r="D135" s="5">
        <v>974.82500000000005</v>
      </c>
      <c r="F135">
        <f t="shared" si="2"/>
        <v>7.6936886107762932E-4</v>
      </c>
    </row>
    <row r="136" spans="1:6" x14ac:dyDescent="0.25">
      <c r="A136" s="2">
        <v>45903</v>
      </c>
      <c r="B136" s="3">
        <v>969.85</v>
      </c>
      <c r="C136" s="3">
        <v>970.6</v>
      </c>
      <c r="D136" s="3">
        <v>970.22500000000002</v>
      </c>
      <c r="F136">
        <f t="shared" si="2"/>
        <v>7.7301656832178098E-4</v>
      </c>
    </row>
    <row r="137" spans="1:6" x14ac:dyDescent="0.25">
      <c r="A137" s="4">
        <v>45904</v>
      </c>
      <c r="B137" s="5">
        <v>970.48</v>
      </c>
      <c r="C137" s="5">
        <v>971.08</v>
      </c>
      <c r="D137" s="5">
        <v>970.78</v>
      </c>
      <c r="F137">
        <f t="shared" si="2"/>
        <v>6.1805970456748466E-4</v>
      </c>
    </row>
    <row r="138" spans="1:6" x14ac:dyDescent="0.25">
      <c r="A138" s="2">
        <v>45905</v>
      </c>
      <c r="B138" s="3">
        <v>963.7</v>
      </c>
      <c r="C138" s="3">
        <v>964.56</v>
      </c>
      <c r="D138" s="3">
        <v>964.13</v>
      </c>
      <c r="F138">
        <f t="shared" si="2"/>
        <v>8.9199589266997182E-4</v>
      </c>
    </row>
    <row r="139" spans="1:6" x14ac:dyDescent="0.25">
      <c r="A139" s="4">
        <v>45908</v>
      </c>
      <c r="B139" s="5">
        <v>967.78</v>
      </c>
      <c r="C139" s="5">
        <v>968.58</v>
      </c>
      <c r="D139" s="5">
        <v>968.18</v>
      </c>
      <c r="F139">
        <f t="shared" si="2"/>
        <v>8.262926315355288E-4</v>
      </c>
    </row>
    <row r="140" spans="1:6" x14ac:dyDescent="0.25">
      <c r="A140" s="2">
        <v>45909</v>
      </c>
      <c r="B140" s="3">
        <v>965.03</v>
      </c>
      <c r="C140" s="3">
        <v>965.75</v>
      </c>
      <c r="D140" s="3">
        <v>965.39</v>
      </c>
      <c r="F140">
        <f t="shared" si="2"/>
        <v>7.4581257315699072E-4</v>
      </c>
    </row>
    <row r="141" spans="1:6" x14ac:dyDescent="0.25">
      <c r="A141" s="4">
        <v>45910</v>
      </c>
      <c r="B141" s="5">
        <v>960.57</v>
      </c>
      <c r="C141" s="5">
        <v>961.42</v>
      </c>
      <c r="D141" s="5">
        <v>960.995</v>
      </c>
      <c r="F141">
        <f t="shared" si="2"/>
        <v>8.8449991935432451E-4</v>
      </c>
    </row>
    <row r="142" spans="1:6" x14ac:dyDescent="0.25">
      <c r="A142" s="2">
        <v>45911</v>
      </c>
      <c r="B142" s="3">
        <v>953.41</v>
      </c>
      <c r="C142" s="3">
        <v>954.16</v>
      </c>
      <c r="D142" s="3">
        <v>953.78499999999997</v>
      </c>
      <c r="F142">
        <f t="shared" si="2"/>
        <v>7.8634073716822973E-4</v>
      </c>
    </row>
    <row r="143" spans="1:6" x14ac:dyDescent="0.25">
      <c r="A143" s="4">
        <v>45912</v>
      </c>
      <c r="B143" s="5">
        <v>955.2</v>
      </c>
      <c r="C143" s="5">
        <v>955.93</v>
      </c>
      <c r="D143" s="5">
        <v>955.56500000000005</v>
      </c>
      <c r="F143">
        <f t="shared" si="2"/>
        <v>7.6394593774353856E-4</v>
      </c>
    </row>
    <row r="144" spans="1:6" x14ac:dyDescent="0.25">
      <c r="A144" s="2">
        <v>45915</v>
      </c>
      <c r="B144" s="3">
        <v>950.84</v>
      </c>
      <c r="C144" s="3">
        <v>951.44</v>
      </c>
      <c r="D144" s="3">
        <v>951.14</v>
      </c>
      <c r="F144">
        <f t="shared" si="2"/>
        <v>6.3082196101522676E-4</v>
      </c>
    </row>
    <row r="145" spans="1:6" x14ac:dyDescent="0.25">
      <c r="A145" s="4">
        <v>45916</v>
      </c>
      <c r="B145" s="5">
        <v>946.86</v>
      </c>
      <c r="C145" s="5">
        <v>947.6</v>
      </c>
      <c r="D145" s="5">
        <v>947.23</v>
      </c>
      <c r="F145">
        <f t="shared" si="2"/>
        <v>7.8122525680142006E-4</v>
      </c>
    </row>
    <row r="146" spans="1:6" x14ac:dyDescent="0.25">
      <c r="A146" s="2">
        <v>45917</v>
      </c>
      <c r="B146" s="3">
        <v>951.2</v>
      </c>
      <c r="C146" s="3">
        <v>951.95</v>
      </c>
      <c r="D146" s="3">
        <v>951.57500000000005</v>
      </c>
      <c r="F146">
        <f t="shared" si="2"/>
        <v>7.8816698631216668E-4</v>
      </c>
    </row>
    <row r="147" spans="1:6" x14ac:dyDescent="0.25">
      <c r="A147" s="4">
        <v>45918</v>
      </c>
      <c r="B147" s="5">
        <v>954.85</v>
      </c>
      <c r="C147" s="5">
        <v>955.86</v>
      </c>
      <c r="D147" s="5">
        <v>955.35500000000002</v>
      </c>
      <c r="F147">
        <f t="shared" si="2"/>
        <v>1.0571986329688868E-3</v>
      </c>
    </row>
    <row r="148" spans="1:6" x14ac:dyDescent="0.25">
      <c r="A148" s="2">
        <v>45919</v>
      </c>
      <c r="B148" s="3">
        <v>954.64</v>
      </c>
      <c r="C148" s="3">
        <v>955.5</v>
      </c>
      <c r="D148" s="3">
        <v>955.07</v>
      </c>
      <c r="F148">
        <f t="shared" si="2"/>
        <v>9.004575580847619E-4</v>
      </c>
    </row>
    <row r="149" spans="1:6" x14ac:dyDescent="0.25">
      <c r="A149" s="4">
        <v>45922</v>
      </c>
      <c r="B149" s="5">
        <v>956.07</v>
      </c>
      <c r="C149" s="5">
        <v>956.43</v>
      </c>
      <c r="D149" s="5">
        <v>956.25</v>
      </c>
      <c r="F149">
        <f t="shared" si="2"/>
        <v>3.7647058823518951E-4</v>
      </c>
    </row>
    <row r="150" spans="1:6" x14ac:dyDescent="0.25">
      <c r="A150" s="2">
        <v>45923</v>
      </c>
      <c r="B150" s="3">
        <v>950.46</v>
      </c>
      <c r="C150" s="3">
        <v>951.32</v>
      </c>
      <c r="D150" s="3">
        <v>950.89</v>
      </c>
      <c r="F150">
        <f t="shared" si="2"/>
        <v>9.0441586303359348E-4</v>
      </c>
    </row>
    <row r="151" spans="1:6" x14ac:dyDescent="0.25">
      <c r="A151" s="4">
        <v>45924</v>
      </c>
      <c r="B151" s="5">
        <v>953.24</v>
      </c>
      <c r="C151" s="5">
        <v>953.77</v>
      </c>
      <c r="D151" s="5">
        <v>953.505</v>
      </c>
      <c r="F151">
        <f t="shared" si="2"/>
        <v>5.5584396516009116E-4</v>
      </c>
    </row>
    <row r="152" spans="1:6" x14ac:dyDescent="0.25">
      <c r="A152" s="2">
        <v>45925</v>
      </c>
      <c r="B152" s="3">
        <v>957.73</v>
      </c>
      <c r="C152" s="3">
        <v>958.25</v>
      </c>
      <c r="D152" s="3">
        <v>957.99</v>
      </c>
      <c r="F152">
        <f t="shared" si="2"/>
        <v>5.4280316078454032E-4</v>
      </c>
    </row>
    <row r="153" spans="1:6" x14ac:dyDescent="0.25">
      <c r="A153" s="4">
        <v>45926</v>
      </c>
      <c r="B153" s="5">
        <v>959.26</v>
      </c>
      <c r="C153" s="5">
        <v>960.18</v>
      </c>
      <c r="D153" s="5">
        <v>959.72</v>
      </c>
      <c r="F153">
        <f t="shared" si="2"/>
        <v>9.5861292877084882E-4</v>
      </c>
    </row>
    <row r="154" spans="1:6" x14ac:dyDescent="0.25">
      <c r="A154" s="2">
        <v>45929</v>
      </c>
      <c r="B154" s="3">
        <v>960.88</v>
      </c>
      <c r="C154" s="3">
        <v>961.53</v>
      </c>
      <c r="D154" s="3">
        <v>961.20500000000004</v>
      </c>
      <c r="F154">
        <f t="shared" si="2"/>
        <v>6.7623451813086412E-4</v>
      </c>
    </row>
    <row r="155" spans="1:6" x14ac:dyDescent="0.25">
      <c r="A155" s="4">
        <v>45930</v>
      </c>
      <c r="B155" s="5">
        <v>961.26</v>
      </c>
      <c r="C155" s="5">
        <v>961.83</v>
      </c>
      <c r="D155" s="5">
        <v>961.54499999999996</v>
      </c>
      <c r="F155">
        <f t="shared" si="2"/>
        <v>5.9279596898746299E-4</v>
      </c>
    </row>
    <row r="156" spans="1:6" x14ac:dyDescent="0.25">
      <c r="A156" s="2">
        <v>45931</v>
      </c>
      <c r="B156" s="3">
        <v>958.49</v>
      </c>
      <c r="C156" s="3">
        <v>958.88</v>
      </c>
      <c r="D156" s="3">
        <v>958.68499999999995</v>
      </c>
      <c r="F156">
        <f t="shared" si="2"/>
        <v>4.0680724116887862E-4</v>
      </c>
    </row>
    <row r="157" spans="1:6" x14ac:dyDescent="0.25">
      <c r="A157" s="4">
        <v>45932</v>
      </c>
      <c r="B157" s="5">
        <v>963.83</v>
      </c>
      <c r="C157" s="5">
        <v>964.55</v>
      </c>
      <c r="D157" s="5">
        <v>964.19</v>
      </c>
      <c r="F157">
        <f t="shared" si="2"/>
        <v>7.4674078760401323E-4</v>
      </c>
    </row>
    <row r="158" spans="1:6" x14ac:dyDescent="0.25">
      <c r="A158" s="2">
        <v>45933</v>
      </c>
      <c r="B158" s="3">
        <v>964.16</v>
      </c>
      <c r="C158" s="3">
        <v>965.4</v>
      </c>
      <c r="D158" s="3">
        <v>964.78</v>
      </c>
      <c r="F158">
        <f t="shared" si="2"/>
        <v>1.285267107527114E-3</v>
      </c>
    </row>
    <row r="159" spans="1:6" x14ac:dyDescent="0.25">
      <c r="A159" s="4">
        <v>45936</v>
      </c>
      <c r="B159" s="5">
        <v>961.96</v>
      </c>
      <c r="C159" s="5">
        <v>962.7</v>
      </c>
      <c r="D159" s="5">
        <v>962.33</v>
      </c>
      <c r="F159">
        <f t="shared" si="2"/>
        <v>7.6896698637682402E-4</v>
      </c>
    </row>
    <row r="160" spans="1:6" x14ac:dyDescent="0.25">
      <c r="A160" s="2">
        <v>45937</v>
      </c>
      <c r="B160" s="3">
        <v>960.51</v>
      </c>
      <c r="C160" s="3">
        <v>961.25</v>
      </c>
      <c r="D160" s="3">
        <v>960.88</v>
      </c>
      <c r="F160">
        <f t="shared" si="2"/>
        <v>7.701273832320468E-4</v>
      </c>
    </row>
    <row r="161" spans="1:6" x14ac:dyDescent="0.25">
      <c r="A161" s="4">
        <v>45938</v>
      </c>
      <c r="B161" s="5">
        <v>949.22</v>
      </c>
      <c r="C161" s="5">
        <v>950.34</v>
      </c>
      <c r="D161" s="5">
        <v>949.78</v>
      </c>
      <c r="F161">
        <f t="shared" si="2"/>
        <v>1.1792204510518273E-3</v>
      </c>
    </row>
    <row r="162" spans="1:6" x14ac:dyDescent="0.25">
      <c r="A162" s="2">
        <v>45939</v>
      </c>
      <c r="B162" s="3">
        <v>948.7</v>
      </c>
      <c r="C162" s="3">
        <v>949.65</v>
      </c>
      <c r="D162" s="3">
        <v>949.17499999999995</v>
      </c>
      <c r="F162">
        <f t="shared" si="2"/>
        <v>1.0008691758631779E-3</v>
      </c>
    </row>
    <row r="163" spans="1:6" x14ac:dyDescent="0.25">
      <c r="A163" s="4">
        <v>45940</v>
      </c>
      <c r="B163" s="5">
        <v>954.44</v>
      </c>
      <c r="C163" s="5">
        <v>955.51</v>
      </c>
      <c r="D163" s="5">
        <v>954.97500000000002</v>
      </c>
      <c r="F163">
        <f t="shared" si="2"/>
        <v>1.120448179271642E-3</v>
      </c>
    </row>
    <row r="164" spans="1:6" x14ac:dyDescent="0.25">
      <c r="A164" s="2">
        <v>45943</v>
      </c>
      <c r="B164" s="3">
        <v>957.81</v>
      </c>
      <c r="C164" s="3">
        <v>959.29</v>
      </c>
      <c r="D164" s="3">
        <v>958.55</v>
      </c>
      <c r="F164">
        <f t="shared" si="2"/>
        <v>1.5439987481091421E-3</v>
      </c>
    </row>
    <row r="165" spans="1:6" x14ac:dyDescent="0.25">
      <c r="A165" s="4">
        <v>45944</v>
      </c>
      <c r="B165" s="5">
        <v>963.91</v>
      </c>
      <c r="C165" s="5">
        <v>964.42</v>
      </c>
      <c r="D165" s="5">
        <v>964.16499999999996</v>
      </c>
      <c r="F165">
        <f t="shared" si="2"/>
        <v>5.2895510623180775E-4</v>
      </c>
    </row>
    <row r="166" spans="1:6" x14ac:dyDescent="0.25">
      <c r="A166" s="2">
        <v>45945</v>
      </c>
      <c r="B166" s="3">
        <v>958.31</v>
      </c>
      <c r="C166" s="3">
        <v>958.91</v>
      </c>
      <c r="D166" s="3">
        <v>958.61</v>
      </c>
      <c r="F166">
        <f t="shared" si="2"/>
        <v>6.2590626010580188E-4</v>
      </c>
    </row>
    <row r="167" spans="1:6" x14ac:dyDescent="0.25">
      <c r="A167" s="4">
        <v>45946</v>
      </c>
      <c r="B167" s="5">
        <v>954.17</v>
      </c>
      <c r="C167" s="5">
        <v>954.68</v>
      </c>
      <c r="D167" s="5">
        <v>954.42499999999995</v>
      </c>
      <c r="F167">
        <f t="shared" si="2"/>
        <v>5.3435314456347111E-4</v>
      </c>
    </row>
    <row r="168" spans="1:6" x14ac:dyDescent="0.25">
      <c r="A168" s="2">
        <v>45947</v>
      </c>
      <c r="B168" s="3">
        <v>961.5</v>
      </c>
      <c r="C168" s="3">
        <v>962.14</v>
      </c>
      <c r="D168" s="3">
        <v>961.82</v>
      </c>
      <c r="F168">
        <f t="shared" si="2"/>
        <v>6.6540516936639525E-4</v>
      </c>
    </row>
    <row r="169" spans="1:6" x14ac:dyDescent="0.25">
      <c r="A169" s="4">
        <v>45950</v>
      </c>
      <c r="B169" s="5">
        <v>951.86</v>
      </c>
      <c r="C169" s="5">
        <v>952.58</v>
      </c>
      <c r="D169" s="5">
        <v>952.22</v>
      </c>
      <c r="F169">
        <f t="shared" si="2"/>
        <v>7.5612778559579436E-4</v>
      </c>
    </row>
    <row r="170" spans="1:6" x14ac:dyDescent="0.25">
      <c r="A170" s="2">
        <v>45951</v>
      </c>
      <c r="B170" s="3">
        <v>948.89</v>
      </c>
      <c r="C170" s="3">
        <v>949.37</v>
      </c>
      <c r="D170" s="3">
        <v>949.13</v>
      </c>
      <c r="F170">
        <f t="shared" si="2"/>
        <v>5.057262967138518E-4</v>
      </c>
    </row>
    <row r="171" spans="1:6" x14ac:dyDescent="0.25">
      <c r="A171" s="4">
        <v>45952</v>
      </c>
      <c r="B171" s="5">
        <v>951.68</v>
      </c>
      <c r="C171" s="5">
        <v>952.42</v>
      </c>
      <c r="D171" s="5">
        <v>952.05</v>
      </c>
      <c r="F171">
        <f t="shared" si="2"/>
        <v>7.7727010136023232E-4</v>
      </c>
    </row>
    <row r="172" spans="1:6" x14ac:dyDescent="0.25">
      <c r="A172" s="2">
        <v>45953</v>
      </c>
      <c r="B172" s="3">
        <v>943.04</v>
      </c>
      <c r="C172" s="3">
        <v>943.58</v>
      </c>
      <c r="D172" s="3">
        <v>943.31</v>
      </c>
      <c r="F172">
        <f t="shared" si="2"/>
        <v>5.7245232214232582E-4</v>
      </c>
    </row>
    <row r="173" spans="1:6" x14ac:dyDescent="0.25">
      <c r="A173" s="4">
        <v>45954</v>
      </c>
      <c r="B173" s="5">
        <v>944.2</v>
      </c>
      <c r="C173" s="5">
        <v>945.08</v>
      </c>
      <c r="D173" s="5">
        <v>944.64</v>
      </c>
      <c r="F173">
        <f t="shared" si="2"/>
        <v>9.3157181571815238E-4</v>
      </c>
    </row>
    <row r="174" spans="1:6" x14ac:dyDescent="0.25">
      <c r="A174" s="2">
        <v>45957</v>
      </c>
      <c r="B174" s="3">
        <v>939.39</v>
      </c>
      <c r="C174" s="3">
        <v>940.5</v>
      </c>
      <c r="D174" s="3">
        <v>939.94500000000005</v>
      </c>
      <c r="F174">
        <f t="shared" si="2"/>
        <v>1.180920160222155E-3</v>
      </c>
    </row>
    <row r="175" spans="1:6" x14ac:dyDescent="0.25">
      <c r="A175" s="4">
        <v>45958</v>
      </c>
      <c r="B175" s="5">
        <v>942.74</v>
      </c>
      <c r="C175" s="5">
        <v>943.48</v>
      </c>
      <c r="D175" s="5">
        <v>943.11</v>
      </c>
      <c r="F175">
        <f t="shared" si="2"/>
        <v>7.8463805918716704E-4</v>
      </c>
    </row>
    <row r="176" spans="1:6" x14ac:dyDescent="0.25">
      <c r="A176" s="2">
        <v>45959</v>
      </c>
      <c r="B176" s="3">
        <v>940.03</v>
      </c>
      <c r="C176" s="3">
        <v>941.01</v>
      </c>
      <c r="D176" s="3">
        <v>940.52</v>
      </c>
      <c r="F176">
        <f t="shared" si="2"/>
        <v>1.0419767788032346E-3</v>
      </c>
    </row>
    <row r="177" spans="1:6" x14ac:dyDescent="0.25">
      <c r="A177" s="4">
        <v>45960</v>
      </c>
      <c r="B177" s="5">
        <v>941.34</v>
      </c>
      <c r="C177" s="5">
        <v>942.45</v>
      </c>
      <c r="D177" s="5">
        <v>941.89499999999998</v>
      </c>
      <c r="F177">
        <f t="shared" si="2"/>
        <v>1.1784753077572485E-3</v>
      </c>
    </row>
    <row r="178" spans="1:6" x14ac:dyDescent="0.25">
      <c r="A178" s="2">
        <v>45961</v>
      </c>
      <c r="B178" s="3">
        <v>941.67</v>
      </c>
      <c r="C178" s="3">
        <v>942.66</v>
      </c>
      <c r="D178" s="3">
        <v>942.16499999999996</v>
      </c>
      <c r="F178">
        <f t="shared" si="2"/>
        <v>1.0507713617041697E-3</v>
      </c>
    </row>
    <row r="179" spans="1:6" x14ac:dyDescent="0.25">
      <c r="A179" s="4">
        <v>45964</v>
      </c>
      <c r="B179" s="5">
        <v>939.76</v>
      </c>
      <c r="C179" s="5">
        <v>940.76</v>
      </c>
      <c r="D179" s="5">
        <v>940.26</v>
      </c>
      <c r="F179">
        <f t="shared" si="2"/>
        <v>1.0635356178078405E-3</v>
      </c>
    </row>
    <row r="180" spans="1:6" x14ac:dyDescent="0.25">
      <c r="A180" s="2">
        <v>45965</v>
      </c>
      <c r="B180" s="3">
        <v>945.18</v>
      </c>
      <c r="C180" s="3">
        <v>945.74</v>
      </c>
      <c r="D180" s="3">
        <v>945.46</v>
      </c>
      <c r="F180">
        <f t="shared" si="2"/>
        <v>5.9230427516770577E-4</v>
      </c>
    </row>
    <row r="181" spans="1:6" x14ac:dyDescent="0.25">
      <c r="A181" s="4">
        <v>45966</v>
      </c>
      <c r="B181" s="5">
        <v>945.53</v>
      </c>
      <c r="C181" s="5">
        <v>946.52</v>
      </c>
      <c r="D181" s="5">
        <v>946.02499999999998</v>
      </c>
      <c r="F181">
        <f t="shared" si="2"/>
        <v>1.0464839724108868E-3</v>
      </c>
    </row>
    <row r="182" spans="1:6" x14ac:dyDescent="0.25">
      <c r="A182" s="2">
        <v>45967</v>
      </c>
      <c r="B182" s="3">
        <v>942.51</v>
      </c>
      <c r="C182" s="3">
        <v>943.25</v>
      </c>
      <c r="D182" s="3">
        <v>942.88</v>
      </c>
      <c r="F182">
        <f t="shared" si="2"/>
        <v>7.8482945867979924E-4</v>
      </c>
    </row>
    <row r="183" spans="1:6" x14ac:dyDescent="0.25">
      <c r="A183" s="4">
        <v>45968</v>
      </c>
      <c r="B183" s="5">
        <v>947.9</v>
      </c>
      <c r="C183" s="5">
        <v>948.2</v>
      </c>
      <c r="D183" s="5">
        <v>948.05</v>
      </c>
      <c r="F183">
        <f t="shared" si="2"/>
        <v>3.1643900638159193E-4</v>
      </c>
    </row>
    <row r="184" spans="1:6" x14ac:dyDescent="0.25">
      <c r="A184" s="2">
        <v>45971</v>
      </c>
      <c r="B184" s="3">
        <v>940.01</v>
      </c>
      <c r="C184" s="3">
        <v>940.56</v>
      </c>
      <c r="D184" s="3">
        <v>940.28499999999997</v>
      </c>
      <c r="F184">
        <f t="shared" si="2"/>
        <v>5.8492903747263284E-4</v>
      </c>
    </row>
    <row r="185" spans="1:6" x14ac:dyDescent="0.25">
      <c r="A185" s="4">
        <v>45972</v>
      </c>
      <c r="B185" s="5">
        <v>934.91</v>
      </c>
      <c r="C185" s="5">
        <v>935.68</v>
      </c>
      <c r="D185" s="5">
        <v>935.29499999999996</v>
      </c>
      <c r="F185">
        <f t="shared" si="2"/>
        <v>8.2326966358205894E-4</v>
      </c>
    </row>
    <row r="186" spans="1:6" x14ac:dyDescent="0.25">
      <c r="A186" s="2">
        <v>45973</v>
      </c>
      <c r="B186" s="3">
        <v>929.28</v>
      </c>
      <c r="C186" s="3">
        <v>930.02</v>
      </c>
      <c r="D186" s="3">
        <v>929.65</v>
      </c>
      <c r="F186">
        <f t="shared" si="2"/>
        <v>7.9599849405691291E-4</v>
      </c>
    </row>
    <row r="187" spans="1:6" x14ac:dyDescent="0.25">
      <c r="A187" s="4">
        <v>45974</v>
      </c>
      <c r="B187" s="5">
        <v>922.88</v>
      </c>
      <c r="C187" s="5">
        <v>923.62</v>
      </c>
      <c r="D187" s="5">
        <v>923.25</v>
      </c>
      <c r="F187">
        <f t="shared" si="2"/>
        <v>8.0151638234498678E-4</v>
      </c>
    </row>
    <row r="188" spans="1:6" x14ac:dyDescent="0.25">
      <c r="A188" s="2">
        <v>45975</v>
      </c>
      <c r="B188" s="3">
        <v>929.78</v>
      </c>
      <c r="C188" s="3">
        <v>930.64</v>
      </c>
      <c r="D188" s="3">
        <v>930.21</v>
      </c>
      <c r="F188">
        <f t="shared" si="2"/>
        <v>9.2452241966869161E-4</v>
      </c>
    </row>
    <row r="189" spans="1:6" x14ac:dyDescent="0.25">
      <c r="A189" s="4">
        <v>45978</v>
      </c>
      <c r="B189" s="5">
        <v>921.42</v>
      </c>
      <c r="C189" s="5">
        <v>922.9</v>
      </c>
      <c r="D189" s="5">
        <v>922.16</v>
      </c>
      <c r="F189">
        <f t="shared" si="2"/>
        <v>1.604927561377655E-3</v>
      </c>
    </row>
    <row r="190" spans="1:6" x14ac:dyDescent="0.25">
      <c r="A190" s="2">
        <v>45979</v>
      </c>
      <c r="B190" s="3">
        <v>933.27</v>
      </c>
      <c r="C190" s="3">
        <v>934.38</v>
      </c>
      <c r="D190" s="3">
        <v>933.82500000000005</v>
      </c>
      <c r="F190">
        <f t="shared" si="2"/>
        <v>1.1886595454180533E-3</v>
      </c>
    </row>
    <row r="191" spans="1:6" x14ac:dyDescent="0.25">
      <c r="A191" s="4">
        <v>45980</v>
      </c>
      <c r="B191" s="5">
        <v>927.93</v>
      </c>
      <c r="C191" s="5">
        <v>929.68</v>
      </c>
      <c r="D191" s="5">
        <v>928.80499999999995</v>
      </c>
      <c r="F191">
        <f t="shared" si="2"/>
        <v>1.8841414505735867E-3</v>
      </c>
    </row>
    <row r="192" spans="1:6" x14ac:dyDescent="0.25">
      <c r="A192" s="2">
        <v>45981</v>
      </c>
      <c r="B192" s="3">
        <v>926.29</v>
      </c>
      <c r="C192" s="3">
        <v>927.36</v>
      </c>
      <c r="D192" s="3">
        <v>926.82500000000005</v>
      </c>
      <c r="F192">
        <f t="shared" si="2"/>
        <v>1.1544790008901895E-3</v>
      </c>
    </row>
    <row r="193" spans="1:6" x14ac:dyDescent="0.25">
      <c r="A193" s="4">
        <v>45982</v>
      </c>
      <c r="B193" s="5">
        <v>939.76</v>
      </c>
      <c r="C193" s="5">
        <v>940.96</v>
      </c>
      <c r="D193" s="5">
        <v>940.36</v>
      </c>
      <c r="F193">
        <f t="shared" si="2"/>
        <v>1.2761070228423641E-3</v>
      </c>
    </row>
    <row r="194" spans="1:6" x14ac:dyDescent="0.25">
      <c r="A194" s="2">
        <v>45985</v>
      </c>
      <c r="B194" s="3">
        <v>940.39</v>
      </c>
      <c r="C194" s="3">
        <v>941.13</v>
      </c>
      <c r="D194" s="3">
        <v>940.76</v>
      </c>
      <c r="F194">
        <f t="shared" si="2"/>
        <v>7.8659806964582796E-4</v>
      </c>
    </row>
    <row r="195" spans="1:6" x14ac:dyDescent="0.25">
      <c r="A195" s="4">
        <v>45986</v>
      </c>
      <c r="B195" s="5">
        <v>935.55</v>
      </c>
      <c r="C195" s="5">
        <v>936.29</v>
      </c>
      <c r="D195" s="5">
        <v>935.92</v>
      </c>
      <c r="F195">
        <f t="shared" ref="F195:F258" si="3">(C195-B195)/D195</f>
        <v>7.9066586887769166E-4</v>
      </c>
    </row>
    <row r="196" spans="1:6" x14ac:dyDescent="0.25">
      <c r="A196" s="2">
        <v>45987</v>
      </c>
      <c r="B196" s="3">
        <v>927.27</v>
      </c>
      <c r="C196" s="3">
        <v>928.61</v>
      </c>
      <c r="D196" s="3">
        <v>927.94</v>
      </c>
      <c r="F196">
        <f t="shared" si="3"/>
        <v>1.4440588831174772E-3</v>
      </c>
    </row>
    <row r="197" spans="1:6" x14ac:dyDescent="0.25">
      <c r="A197" s="4">
        <v>45988</v>
      </c>
      <c r="B197" s="5">
        <v>928.52</v>
      </c>
      <c r="C197" s="5">
        <v>929.72</v>
      </c>
      <c r="D197" s="5">
        <v>929.12</v>
      </c>
      <c r="F197">
        <f t="shared" si="3"/>
        <v>1.2915446874462346E-3</v>
      </c>
    </row>
    <row r="198" spans="1:6" x14ac:dyDescent="0.25">
      <c r="A198" s="2">
        <v>45989</v>
      </c>
      <c r="B198" s="3">
        <v>927.89</v>
      </c>
      <c r="C198" s="3">
        <v>929.89</v>
      </c>
      <c r="D198" s="3">
        <v>928.89</v>
      </c>
      <c r="F198">
        <f t="shared" si="3"/>
        <v>2.1531074723594827E-3</v>
      </c>
    </row>
    <row r="199" spans="1:6" x14ac:dyDescent="0.25">
      <c r="A199" s="4">
        <v>45992</v>
      </c>
      <c r="B199" s="5">
        <v>928.73</v>
      </c>
      <c r="C199" s="5">
        <v>929.28</v>
      </c>
      <c r="D199" s="5">
        <v>929.005</v>
      </c>
      <c r="F199">
        <f t="shared" si="3"/>
        <v>5.920312592504395E-4</v>
      </c>
    </row>
    <row r="200" spans="1:6" x14ac:dyDescent="0.25">
      <c r="A200" s="2">
        <v>45993</v>
      </c>
      <c r="B200" s="3">
        <v>922.7</v>
      </c>
      <c r="C200" s="3">
        <v>924.45</v>
      </c>
      <c r="D200" s="3">
        <v>923.57500000000005</v>
      </c>
      <c r="F200">
        <f t="shared" si="3"/>
        <v>1.8948109249384186E-3</v>
      </c>
    </row>
    <row r="201" spans="1:6" x14ac:dyDescent="0.25">
      <c r="A201" s="4">
        <v>45994</v>
      </c>
      <c r="B201" s="5">
        <v>916.93</v>
      </c>
      <c r="C201" s="5">
        <v>918.75</v>
      </c>
      <c r="D201" s="5">
        <v>917.84</v>
      </c>
      <c r="F201">
        <f t="shared" si="3"/>
        <v>1.9829164124466683E-3</v>
      </c>
    </row>
    <row r="202" spans="1:6" x14ac:dyDescent="0.25">
      <c r="A202" s="2">
        <v>45995</v>
      </c>
      <c r="B202" s="3">
        <v>916.6</v>
      </c>
      <c r="C202" s="3">
        <v>918.54</v>
      </c>
      <c r="D202" s="3">
        <v>917.57</v>
      </c>
      <c r="F202">
        <f t="shared" si="3"/>
        <v>2.1142801094193803E-3</v>
      </c>
    </row>
    <row r="203" spans="1:6" x14ac:dyDescent="0.25">
      <c r="A203" s="4">
        <v>45996</v>
      </c>
      <c r="B203" s="5">
        <v>919.62</v>
      </c>
      <c r="C203" s="5">
        <v>921.51</v>
      </c>
      <c r="D203" s="5">
        <v>920.56500000000005</v>
      </c>
      <c r="F203">
        <f t="shared" si="3"/>
        <v>2.0530869628977706E-3</v>
      </c>
    </row>
    <row r="204" spans="1:6" x14ac:dyDescent="0.25">
      <c r="A204" s="2">
        <v>45999</v>
      </c>
      <c r="B204" s="3">
        <v>922.39</v>
      </c>
      <c r="C204" s="3">
        <v>925.01</v>
      </c>
      <c r="D204" s="3">
        <v>923.7</v>
      </c>
      <c r="F204">
        <f t="shared" si="3"/>
        <v>2.8364187506766314E-3</v>
      </c>
    </row>
    <row r="205" spans="1:6" x14ac:dyDescent="0.25">
      <c r="A205" s="4">
        <v>46000</v>
      </c>
      <c r="B205" s="5">
        <v>927.97</v>
      </c>
      <c r="C205" s="5">
        <v>929.18</v>
      </c>
      <c r="D205" s="5">
        <v>928.57500000000005</v>
      </c>
      <c r="F205">
        <f t="shared" si="3"/>
        <v>1.3030719112617965E-3</v>
      </c>
    </row>
    <row r="206" spans="1:6" x14ac:dyDescent="0.25">
      <c r="A206" s="2">
        <v>46001</v>
      </c>
      <c r="B206" s="3">
        <v>922.86</v>
      </c>
      <c r="C206" s="3">
        <v>923.5</v>
      </c>
      <c r="D206" s="3">
        <v>923.18</v>
      </c>
      <c r="F206">
        <f t="shared" si="3"/>
        <v>6.9325591975561254E-4</v>
      </c>
    </row>
    <row r="207" spans="1:6" x14ac:dyDescent="0.25">
      <c r="A207" s="4">
        <v>46002</v>
      </c>
      <c r="B207" s="5">
        <v>913.71</v>
      </c>
      <c r="C207" s="5">
        <v>914.5</v>
      </c>
      <c r="D207" s="5">
        <v>914.10500000000002</v>
      </c>
      <c r="F207">
        <f t="shared" si="3"/>
        <v>8.6423332111733731E-4</v>
      </c>
    </row>
    <row r="208" spans="1:6" x14ac:dyDescent="0.25">
      <c r="A208" s="2">
        <v>46003</v>
      </c>
      <c r="B208" s="3">
        <v>910.3</v>
      </c>
      <c r="C208" s="3">
        <v>910.9</v>
      </c>
      <c r="D208" s="3">
        <v>910.6</v>
      </c>
      <c r="F208">
        <f t="shared" si="3"/>
        <v>6.5890621568199289E-4</v>
      </c>
    </row>
    <row r="209" spans="1:6" x14ac:dyDescent="0.25">
      <c r="A209" s="4">
        <v>46006</v>
      </c>
      <c r="B209" s="5">
        <v>914.55</v>
      </c>
      <c r="C209" s="5">
        <v>915.19</v>
      </c>
      <c r="D209" s="5">
        <v>914.87</v>
      </c>
      <c r="F209">
        <f t="shared" si="3"/>
        <v>6.9955294194814566E-4</v>
      </c>
    </row>
    <row r="210" spans="1:6" x14ac:dyDescent="0.25">
      <c r="A210" s="2">
        <v>46007</v>
      </c>
      <c r="B210" s="3">
        <v>915.49</v>
      </c>
      <c r="C210" s="3">
        <v>915.91</v>
      </c>
      <c r="D210" s="3">
        <v>915.7</v>
      </c>
      <c r="F210">
        <f t="shared" si="3"/>
        <v>4.5866550180185547E-4</v>
      </c>
    </row>
    <row r="211" spans="1:6" x14ac:dyDescent="0.25">
      <c r="A211" s="4">
        <v>46008</v>
      </c>
      <c r="B211" s="5">
        <v>915.8</v>
      </c>
      <c r="C211" s="5">
        <v>916.14</v>
      </c>
      <c r="D211" s="5">
        <v>915.97</v>
      </c>
      <c r="F211">
        <f t="shared" si="3"/>
        <v>3.7119119621825149E-4</v>
      </c>
    </row>
    <row r="212" spans="1:6" x14ac:dyDescent="0.25">
      <c r="A212" s="2">
        <v>46009</v>
      </c>
      <c r="B212" s="3">
        <v>910.34</v>
      </c>
      <c r="C212" s="3">
        <v>911.62</v>
      </c>
      <c r="D212" s="3">
        <v>910.98</v>
      </c>
      <c r="F212">
        <f t="shared" si="3"/>
        <v>1.405080243254487E-3</v>
      </c>
    </row>
    <row r="213" spans="1:6" x14ac:dyDescent="0.25">
      <c r="A213" s="4">
        <v>46010</v>
      </c>
      <c r="B213" s="5">
        <v>909.28</v>
      </c>
      <c r="C213" s="5">
        <v>910.11</v>
      </c>
      <c r="D213" s="5">
        <v>909.69500000000005</v>
      </c>
      <c r="F213">
        <f t="shared" si="3"/>
        <v>9.1239371437684159E-4</v>
      </c>
    </row>
    <row r="214" spans="1:6" x14ac:dyDescent="0.25">
      <c r="A214" s="2">
        <v>46013</v>
      </c>
      <c r="B214" s="3">
        <v>909.31</v>
      </c>
      <c r="C214" s="3">
        <v>910.05</v>
      </c>
      <c r="D214" s="3">
        <v>909.68</v>
      </c>
      <c r="F214">
        <f t="shared" si="3"/>
        <v>8.1347286958052183E-4</v>
      </c>
    </row>
    <row r="215" spans="1:6" x14ac:dyDescent="0.25">
      <c r="A215" s="4">
        <v>46014</v>
      </c>
      <c r="B215" s="5">
        <v>905.54</v>
      </c>
      <c r="C215" s="5">
        <v>906.24</v>
      </c>
      <c r="D215" s="5">
        <v>905.89</v>
      </c>
      <c r="F215">
        <f t="shared" si="3"/>
        <v>7.7272074975995482E-4</v>
      </c>
    </row>
    <row r="216" spans="1:6" x14ac:dyDescent="0.25">
      <c r="A216" s="2">
        <v>46015</v>
      </c>
      <c r="B216" s="3">
        <v>904.61</v>
      </c>
      <c r="C216" s="3">
        <v>906</v>
      </c>
      <c r="D216" s="3">
        <v>905.30499999999995</v>
      </c>
      <c r="F216">
        <f t="shared" si="3"/>
        <v>1.5353941489332174E-3</v>
      </c>
    </row>
    <row r="217" spans="1:6" x14ac:dyDescent="0.25">
      <c r="A217" s="4">
        <v>46016</v>
      </c>
      <c r="B217" s="5">
        <v>904.61</v>
      </c>
      <c r="C217" s="5">
        <v>906</v>
      </c>
      <c r="D217" s="5">
        <v>905.30510000000004</v>
      </c>
      <c r="F217">
        <f t="shared" si="3"/>
        <v>1.5353939793335818E-3</v>
      </c>
    </row>
    <row r="218" spans="1:6" x14ac:dyDescent="0.25">
      <c r="A218" s="2">
        <v>46017</v>
      </c>
      <c r="B218" s="3">
        <v>902.65</v>
      </c>
      <c r="C218" s="3">
        <v>903.46</v>
      </c>
      <c r="D218" s="3">
        <v>903.05499999999995</v>
      </c>
      <c r="F218">
        <f t="shared" si="3"/>
        <v>8.9695533494644195E-4</v>
      </c>
    </row>
    <row r="219" spans="1:6" x14ac:dyDescent="0.25">
      <c r="A219" s="4">
        <v>46020</v>
      </c>
      <c r="B219" s="5">
        <v>912.83</v>
      </c>
      <c r="C219" s="5">
        <v>913.85</v>
      </c>
      <c r="D219" s="5">
        <v>913.34</v>
      </c>
      <c r="F219">
        <f t="shared" si="3"/>
        <v>1.116780169487794E-3</v>
      </c>
    </row>
    <row r="220" spans="1:6" x14ac:dyDescent="0.25">
      <c r="A220" s="2">
        <v>46021</v>
      </c>
      <c r="B220" s="3">
        <v>900</v>
      </c>
      <c r="C220" s="3">
        <v>901.31</v>
      </c>
      <c r="D220" s="3">
        <v>900.65499999999997</v>
      </c>
      <c r="F220">
        <f t="shared" si="3"/>
        <v>1.4544970049574426E-3</v>
      </c>
    </row>
    <row r="221" spans="1:6" x14ac:dyDescent="0.25">
      <c r="A221" s="4">
        <v>46022</v>
      </c>
      <c r="B221" s="5">
        <v>900.23</v>
      </c>
      <c r="C221" s="5">
        <v>902.92</v>
      </c>
      <c r="D221" s="5">
        <v>901.57500000000005</v>
      </c>
      <c r="F221">
        <f t="shared" si="3"/>
        <v>2.9836674708148968E-3</v>
      </c>
    </row>
    <row r="222" spans="1:6" x14ac:dyDescent="0.25">
      <c r="A222" s="2">
        <v>46023</v>
      </c>
      <c r="B222" s="3">
        <v>900.23</v>
      </c>
      <c r="C222" s="3">
        <v>902.92</v>
      </c>
      <c r="D222" s="3">
        <v>901.57525999999996</v>
      </c>
      <c r="F222">
        <f t="shared" si="3"/>
        <v>2.9836666103725397E-3</v>
      </c>
    </row>
    <row r="223" spans="1:6" x14ac:dyDescent="0.25">
      <c r="A223" s="4">
        <v>46024</v>
      </c>
      <c r="B223" s="5">
        <v>903.18</v>
      </c>
      <c r="C223" s="5">
        <v>904.01</v>
      </c>
      <c r="D223" s="5">
        <v>903.59500000000003</v>
      </c>
      <c r="F223">
        <f t="shared" si="3"/>
        <v>9.1855311284374185E-4</v>
      </c>
    </row>
    <row r="224" spans="1:6" x14ac:dyDescent="0.25">
      <c r="A224" s="2">
        <v>46027</v>
      </c>
      <c r="B224" s="3">
        <v>905.68</v>
      </c>
      <c r="C224" s="3">
        <v>906.24</v>
      </c>
      <c r="D224" s="3">
        <v>905.96</v>
      </c>
      <c r="F224">
        <f t="shared" si="3"/>
        <v>6.1812883571025113E-4</v>
      </c>
    </row>
    <row r="225" spans="1:6" x14ac:dyDescent="0.25">
      <c r="A225" s="4">
        <v>46028</v>
      </c>
      <c r="B225" s="5">
        <v>892.76</v>
      </c>
      <c r="C225" s="5">
        <v>893.33</v>
      </c>
      <c r="D225" s="5">
        <v>893.04499999999996</v>
      </c>
      <c r="F225">
        <f t="shared" si="3"/>
        <v>6.3826570889490453E-4</v>
      </c>
    </row>
    <row r="226" spans="1:6" x14ac:dyDescent="0.25">
      <c r="A226" s="2">
        <v>46029</v>
      </c>
      <c r="B226" s="3">
        <v>896.1</v>
      </c>
      <c r="C226" s="3">
        <v>896.77</v>
      </c>
      <c r="D226" s="3">
        <v>896.43499999999995</v>
      </c>
      <c r="F226">
        <f t="shared" si="3"/>
        <v>7.4740499868920687E-4</v>
      </c>
    </row>
    <row r="227" spans="1:6" x14ac:dyDescent="0.25">
      <c r="A227" s="4">
        <v>46030</v>
      </c>
      <c r="B227" s="5">
        <v>896.12</v>
      </c>
      <c r="C227" s="5">
        <v>896.7</v>
      </c>
      <c r="D227" s="5">
        <v>896.41</v>
      </c>
      <c r="F227">
        <f t="shared" si="3"/>
        <v>6.4702535670066257E-4</v>
      </c>
    </row>
    <row r="228" spans="1:6" x14ac:dyDescent="0.25">
      <c r="A228" s="2">
        <v>46031</v>
      </c>
      <c r="B228" s="3">
        <v>893.67</v>
      </c>
      <c r="C228" s="3">
        <v>894.29</v>
      </c>
      <c r="D228" s="3">
        <v>893.98</v>
      </c>
      <c r="F228">
        <f t="shared" si="3"/>
        <v>6.9352781941430961E-4</v>
      </c>
    </row>
    <row r="229" spans="1:6" x14ac:dyDescent="0.25">
      <c r="A229" s="4">
        <v>46034</v>
      </c>
      <c r="B229" s="5">
        <v>885.45</v>
      </c>
      <c r="C229" s="5">
        <v>886</v>
      </c>
      <c r="D229" s="5">
        <v>885.72500000000002</v>
      </c>
      <c r="F229">
        <f t="shared" si="3"/>
        <v>6.2096023031974314E-4</v>
      </c>
    </row>
    <row r="230" spans="1:6" x14ac:dyDescent="0.25">
      <c r="A230" s="2">
        <v>46035</v>
      </c>
      <c r="B230" s="3">
        <v>885.28</v>
      </c>
      <c r="C230" s="3">
        <v>886.11</v>
      </c>
      <c r="D230" s="3">
        <v>885.69500000000005</v>
      </c>
      <c r="F230">
        <f t="shared" si="3"/>
        <v>9.3711717916443124E-4</v>
      </c>
    </row>
    <row r="231" spans="1:6" x14ac:dyDescent="0.25">
      <c r="A231" s="4">
        <v>46036</v>
      </c>
      <c r="B231" s="5">
        <v>880.4</v>
      </c>
      <c r="C231" s="5">
        <v>881.09</v>
      </c>
      <c r="D231" s="5">
        <v>880.745</v>
      </c>
      <c r="F231">
        <f t="shared" si="3"/>
        <v>7.8342766635070829E-4</v>
      </c>
    </row>
    <row r="232" spans="1:6" x14ac:dyDescent="0.25">
      <c r="A232" s="2">
        <v>46037</v>
      </c>
      <c r="B232" s="3">
        <v>883.57</v>
      </c>
      <c r="C232" s="3">
        <v>884.12</v>
      </c>
      <c r="D232" s="3">
        <v>883.84500000000003</v>
      </c>
      <c r="F232">
        <f t="shared" si="3"/>
        <v>6.2228105606747166E-4</v>
      </c>
    </row>
    <row r="233" spans="1:6" x14ac:dyDescent="0.25">
      <c r="A233" s="4">
        <v>46038</v>
      </c>
      <c r="B233" s="5">
        <v>888.66</v>
      </c>
      <c r="C233" s="5">
        <v>889.09</v>
      </c>
      <c r="D233" s="5">
        <v>888.875</v>
      </c>
      <c r="F233">
        <f t="shared" si="3"/>
        <v>4.8375755871192652E-4</v>
      </c>
    </row>
    <row r="234" spans="1:6" x14ac:dyDescent="0.25">
      <c r="A234" s="2">
        <v>46041</v>
      </c>
      <c r="B234" s="3">
        <v>888.6</v>
      </c>
      <c r="C234" s="3">
        <v>889.43</v>
      </c>
      <c r="D234" s="3">
        <v>889.01499999999999</v>
      </c>
      <c r="F234">
        <f t="shared" si="3"/>
        <v>9.3361754301100343E-4</v>
      </c>
    </row>
    <row r="235" spans="1:6" x14ac:dyDescent="0.25">
      <c r="A235" s="4">
        <v>46042</v>
      </c>
      <c r="B235" s="5">
        <v>884.2</v>
      </c>
      <c r="C235" s="5">
        <v>885.31</v>
      </c>
      <c r="D235" s="5">
        <v>884.755</v>
      </c>
      <c r="F235">
        <f t="shared" si="3"/>
        <v>1.254584602516968E-3</v>
      </c>
    </row>
    <row r="236" spans="1:6" x14ac:dyDescent="0.25">
      <c r="A236" s="2">
        <v>46043</v>
      </c>
      <c r="B236" s="3">
        <v>875.69</v>
      </c>
      <c r="C236" s="3">
        <v>876.47</v>
      </c>
      <c r="D236" s="3">
        <v>876.08</v>
      </c>
      <c r="F236">
        <f t="shared" si="3"/>
        <v>8.9032965026021897E-4</v>
      </c>
    </row>
    <row r="237" spans="1:6" x14ac:dyDescent="0.25">
      <c r="A237" s="4">
        <v>46044</v>
      </c>
      <c r="B237" s="5">
        <v>870.7</v>
      </c>
      <c r="C237" s="5">
        <v>871.26</v>
      </c>
      <c r="D237" s="5">
        <v>870.98</v>
      </c>
      <c r="F237">
        <f t="shared" si="3"/>
        <v>6.4295391398188869E-4</v>
      </c>
    </row>
    <row r="238" spans="1:6" x14ac:dyDescent="0.25">
      <c r="A238" s="2">
        <v>46045</v>
      </c>
      <c r="B238" s="3">
        <v>868.03</v>
      </c>
      <c r="C238" s="3">
        <v>868.82</v>
      </c>
      <c r="D238" s="3">
        <v>868.42499999999995</v>
      </c>
      <c r="F238">
        <f t="shared" si="3"/>
        <v>9.0969283472962822E-4</v>
      </c>
    </row>
    <row r="239" spans="1:6" x14ac:dyDescent="0.25">
      <c r="A239" s="4">
        <v>46048</v>
      </c>
      <c r="B239" s="5">
        <v>859.79</v>
      </c>
      <c r="C239" s="5">
        <v>860.62</v>
      </c>
      <c r="D239" s="5">
        <v>860.20500000000004</v>
      </c>
      <c r="F239">
        <f t="shared" si="3"/>
        <v>9.6488627710841128E-4</v>
      </c>
    </row>
    <row r="240" spans="1:6" x14ac:dyDescent="0.25">
      <c r="A240" s="2">
        <v>46049</v>
      </c>
      <c r="B240" s="3">
        <v>861.01</v>
      </c>
      <c r="C240" s="3">
        <v>861.84</v>
      </c>
      <c r="D240" s="3">
        <v>861.42499999999995</v>
      </c>
      <c r="F240">
        <f t="shared" si="3"/>
        <v>9.6351974925273931E-4</v>
      </c>
    </row>
    <row r="241" spans="1:6" x14ac:dyDescent="0.25">
      <c r="A241" s="4">
        <v>46050</v>
      </c>
      <c r="B241" s="5">
        <v>861.93</v>
      </c>
      <c r="C241" s="5">
        <v>862.98</v>
      </c>
      <c r="D241" s="5">
        <v>862.45500000000004</v>
      </c>
      <c r="F241">
        <f t="shared" si="3"/>
        <v>1.2174548237300128E-3</v>
      </c>
    </row>
    <row r="242" spans="1:6" x14ac:dyDescent="0.25">
      <c r="A242" s="2">
        <v>46051</v>
      </c>
      <c r="B242" s="3">
        <v>865.89</v>
      </c>
      <c r="C242" s="3">
        <v>867.24</v>
      </c>
      <c r="D242" s="3">
        <v>866.56500000000005</v>
      </c>
      <c r="F242">
        <f t="shared" si="3"/>
        <v>1.5578750584203408E-3</v>
      </c>
    </row>
    <row r="243" spans="1:6" x14ac:dyDescent="0.25">
      <c r="A243" s="4">
        <v>46052</v>
      </c>
      <c r="B243" s="5">
        <v>862.7</v>
      </c>
      <c r="C243" s="5">
        <v>863.77</v>
      </c>
      <c r="D243" s="5">
        <v>863.23500000000001</v>
      </c>
      <c r="F243">
        <f t="shared" si="3"/>
        <v>1.2395234206211939E-3</v>
      </c>
    </row>
    <row r="244" spans="1:6" x14ac:dyDescent="0.25">
      <c r="A244" s="2">
        <v>46055</v>
      </c>
      <c r="B244" s="3">
        <v>869.46</v>
      </c>
      <c r="C244" s="3">
        <v>870.25</v>
      </c>
      <c r="D244" s="3">
        <v>869.85500000000002</v>
      </c>
      <c r="F244">
        <f t="shared" si="3"/>
        <v>9.0819734323532495E-4</v>
      </c>
    </row>
    <row r="245" spans="1:6" x14ac:dyDescent="0.25">
      <c r="A245" s="4">
        <v>46056</v>
      </c>
      <c r="B245" s="5">
        <v>858.15</v>
      </c>
      <c r="C245" s="5">
        <v>858.97</v>
      </c>
      <c r="D245" s="5">
        <v>858.56</v>
      </c>
      <c r="F245">
        <f t="shared" si="3"/>
        <v>9.5508758852037141E-4</v>
      </c>
    </row>
    <row r="246" spans="1:6" x14ac:dyDescent="0.25">
      <c r="A246" s="2">
        <v>46057</v>
      </c>
      <c r="B246" s="3">
        <v>857.69</v>
      </c>
      <c r="C246" s="3">
        <v>858.41</v>
      </c>
      <c r="D246" s="3">
        <v>858.05</v>
      </c>
      <c r="F246">
        <f t="shared" si="3"/>
        <v>8.3911193986354368E-4</v>
      </c>
    </row>
    <row r="247" spans="1:6" x14ac:dyDescent="0.25">
      <c r="A247" s="4">
        <v>46058</v>
      </c>
      <c r="B247" s="5">
        <v>867.3</v>
      </c>
      <c r="C247" s="5">
        <v>867.93</v>
      </c>
      <c r="D247" s="5">
        <v>867.61500000000001</v>
      </c>
      <c r="F247">
        <f t="shared" si="3"/>
        <v>7.2612852474887525E-4</v>
      </c>
    </row>
    <row r="248" spans="1:6" x14ac:dyDescent="0.25">
      <c r="A248" s="2">
        <v>46059</v>
      </c>
      <c r="B248" s="3">
        <v>858.11</v>
      </c>
      <c r="C248" s="3">
        <v>858.78</v>
      </c>
      <c r="D248" s="3">
        <v>858.44500000000005</v>
      </c>
      <c r="F248">
        <f t="shared" si="3"/>
        <v>7.8048098596876796E-4</v>
      </c>
    </row>
    <row r="249" spans="1:6" x14ac:dyDescent="0.25">
      <c r="A249" s="4">
        <v>46062</v>
      </c>
      <c r="B249" s="5">
        <v>853.7</v>
      </c>
      <c r="C249" s="5">
        <v>854.31</v>
      </c>
      <c r="D249" s="5">
        <v>854.005</v>
      </c>
      <c r="F249">
        <f t="shared" si="3"/>
        <v>7.1428153230941268E-4</v>
      </c>
    </row>
    <row r="250" spans="1:6" x14ac:dyDescent="0.25">
      <c r="A250" s="2">
        <v>46063</v>
      </c>
      <c r="B250" s="3">
        <v>857.1</v>
      </c>
      <c r="C250" s="3">
        <v>857.66</v>
      </c>
      <c r="D250" s="3">
        <v>857.38</v>
      </c>
      <c r="F250">
        <f t="shared" si="3"/>
        <v>6.531526277729192E-4</v>
      </c>
    </row>
    <row r="251" spans="1:6" x14ac:dyDescent="0.25">
      <c r="A251" s="4">
        <v>46064</v>
      </c>
      <c r="B251" s="5">
        <v>855.17</v>
      </c>
      <c r="C251" s="5">
        <v>856</v>
      </c>
      <c r="D251" s="5">
        <v>855.58500000000004</v>
      </c>
      <c r="F251">
        <f t="shared" si="3"/>
        <v>9.7009648369249214E-4</v>
      </c>
    </row>
    <row r="252" spans="1:6" x14ac:dyDescent="0.25">
      <c r="A252" s="2">
        <v>46065</v>
      </c>
      <c r="B252" s="3">
        <v>854.56</v>
      </c>
      <c r="C252" s="3">
        <v>855.33</v>
      </c>
      <c r="D252" s="3">
        <v>854.94500000000005</v>
      </c>
      <c r="F252">
        <f t="shared" si="3"/>
        <v>9.0064273140388613E-4</v>
      </c>
    </row>
    <row r="253" spans="1:6" x14ac:dyDescent="0.25">
      <c r="A253" s="4">
        <v>46066</v>
      </c>
      <c r="B253" s="5">
        <v>863.9</v>
      </c>
      <c r="C253" s="5">
        <v>864.2</v>
      </c>
      <c r="D253" s="5">
        <v>864.05</v>
      </c>
      <c r="F253">
        <f t="shared" si="3"/>
        <v>3.4720212950647327E-4</v>
      </c>
    </row>
    <row r="254" spans="1:6" x14ac:dyDescent="0.25">
      <c r="A254" s="2">
        <v>46069</v>
      </c>
      <c r="B254" s="3">
        <v>863.56</v>
      </c>
      <c r="C254" s="3">
        <v>864.95</v>
      </c>
      <c r="D254" s="3">
        <v>864.255</v>
      </c>
      <c r="F254">
        <f t="shared" si="3"/>
        <v>1.6083216180410875E-3</v>
      </c>
    </row>
    <row r="255" spans="1:6" x14ac:dyDescent="0.25">
      <c r="A255" s="4">
        <v>46070</v>
      </c>
      <c r="B255" s="5">
        <v>869.51</v>
      </c>
      <c r="C255" s="5">
        <v>870.06</v>
      </c>
      <c r="D255" s="5">
        <v>869.78499999999997</v>
      </c>
      <c r="F255">
        <f t="shared" si="3"/>
        <v>6.3234017602045852E-4</v>
      </c>
    </row>
    <row r="256" spans="1:6" x14ac:dyDescent="0.25">
      <c r="A256" s="2">
        <v>46071</v>
      </c>
      <c r="B256" s="3">
        <v>861.18</v>
      </c>
      <c r="C256" s="3">
        <v>861.91</v>
      </c>
      <c r="D256" s="3">
        <v>861.54499999999996</v>
      </c>
      <c r="F256">
        <f t="shared" si="3"/>
        <v>8.4731499805583952E-4</v>
      </c>
    </row>
    <row r="257" spans="1:6" x14ac:dyDescent="0.25">
      <c r="A257" s="4">
        <v>46072</v>
      </c>
      <c r="B257" s="5">
        <v>864.65</v>
      </c>
      <c r="C257" s="5">
        <v>865.44</v>
      </c>
      <c r="D257" s="5">
        <v>865.04499999999996</v>
      </c>
      <c r="F257">
        <f t="shared" si="3"/>
        <v>9.1324728771344536E-4</v>
      </c>
    </row>
    <row r="258" spans="1:6" x14ac:dyDescent="0.25">
      <c r="A258" s="2">
        <v>46073</v>
      </c>
      <c r="B258" s="3">
        <v>866.67</v>
      </c>
      <c r="C258" s="3">
        <v>867.78</v>
      </c>
      <c r="D258" s="3">
        <v>867.22500000000002</v>
      </c>
      <c r="F258">
        <f t="shared" si="3"/>
        <v>1.2799446510421328E-3</v>
      </c>
    </row>
    <row r="259" spans="1:6" x14ac:dyDescent="0.25">
      <c r="A259" s="4">
        <v>46076</v>
      </c>
      <c r="B259" s="5">
        <v>866.89</v>
      </c>
      <c r="C259" s="5">
        <v>867.72</v>
      </c>
      <c r="D259" s="5">
        <v>867.30499999999995</v>
      </c>
      <c r="F259">
        <f t="shared" ref="F259:F263" si="4">(C259-B259)/D259</f>
        <v>9.5698744962849401E-4</v>
      </c>
    </row>
    <row r="260" spans="1:6" x14ac:dyDescent="0.25">
      <c r="A260" s="2">
        <v>46077</v>
      </c>
      <c r="B260" s="3">
        <v>863.72</v>
      </c>
      <c r="C260" s="3">
        <v>864.55</v>
      </c>
      <c r="D260" s="3">
        <v>864.13499999999999</v>
      </c>
      <c r="F260">
        <f t="shared" si="4"/>
        <v>9.6049807032457576E-4</v>
      </c>
    </row>
    <row r="261" spans="1:6" x14ac:dyDescent="0.25">
      <c r="A261" s="4">
        <v>46078</v>
      </c>
      <c r="B261" s="5">
        <v>857.78</v>
      </c>
      <c r="C261" s="5">
        <v>858.62</v>
      </c>
      <c r="D261" s="5">
        <v>858.2</v>
      </c>
      <c r="F261">
        <f t="shared" si="4"/>
        <v>9.7879282218600767E-4</v>
      </c>
    </row>
    <row r="262" spans="1:6" x14ac:dyDescent="0.25">
      <c r="A262" s="2">
        <v>46079</v>
      </c>
      <c r="B262" s="3">
        <v>864.04</v>
      </c>
      <c r="C262" s="3">
        <v>864.37</v>
      </c>
      <c r="D262" s="3">
        <v>864.20500000000004</v>
      </c>
      <c r="F262">
        <f t="shared" si="4"/>
        <v>3.8185384254897962E-4</v>
      </c>
    </row>
    <row r="263" spans="1:6" x14ac:dyDescent="0.25">
      <c r="A263" s="4">
        <v>46080</v>
      </c>
      <c r="B263" s="5">
        <v>873.71</v>
      </c>
      <c r="C263" s="5">
        <v>874.57</v>
      </c>
      <c r="D263" s="5">
        <v>874.14</v>
      </c>
      <c r="F263">
        <f t="shared" si="4"/>
        <v>9.8382410140253687E-4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E000-801C-498B-8B99-29D305AECC76}">
  <dimension ref="A1:I263"/>
  <sheetViews>
    <sheetView workbookViewId="0">
      <selection activeCell="I7" sqref="I7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9</v>
      </c>
    </row>
    <row r="2" spans="1:9" x14ac:dyDescent="0.25">
      <c r="A2" s="2">
        <v>45715</v>
      </c>
      <c r="B2" s="3">
        <v>5.8287000000000004</v>
      </c>
      <c r="C2" s="3">
        <v>5.8301999999999996</v>
      </c>
      <c r="D2" s="3">
        <v>5.8294499999999996</v>
      </c>
      <c r="F2">
        <f>(C2-B2)/D2</f>
        <v>2.573141548515158E-4</v>
      </c>
      <c r="H2" t="s">
        <v>10</v>
      </c>
      <c r="I2">
        <f>AVERAGE(F2:F263)</f>
        <v>2.3631067443517453E-4</v>
      </c>
    </row>
    <row r="3" spans="1:9" x14ac:dyDescent="0.25">
      <c r="A3" s="4">
        <v>45716</v>
      </c>
      <c r="B3" s="5">
        <v>5.8672000000000004</v>
      </c>
      <c r="C3" s="5">
        <v>5.8697999999999997</v>
      </c>
      <c r="D3" s="5">
        <v>5.8685</v>
      </c>
      <c r="F3">
        <f t="shared" ref="F3:F66" si="0">(C3-B3)/D3</f>
        <v>4.4304336712946572E-4</v>
      </c>
      <c r="H3" t="s">
        <v>11</v>
      </c>
      <c r="I3">
        <f>_xlfn.STDEV.S(F2:F263)</f>
        <v>1.025233558378238E-4</v>
      </c>
    </row>
    <row r="4" spans="1:9" x14ac:dyDescent="0.25">
      <c r="A4" s="2">
        <v>45719</v>
      </c>
      <c r="B4" s="3">
        <v>5.8865999999999996</v>
      </c>
      <c r="C4" s="3">
        <v>5.8887</v>
      </c>
      <c r="D4" s="3">
        <v>5.8876499999999998</v>
      </c>
      <c r="F4">
        <f t="shared" si="0"/>
        <v>3.5667881073101068E-4</v>
      </c>
      <c r="H4" t="s">
        <v>14</v>
      </c>
      <c r="I4">
        <f>NORMSINV(0.99)</f>
        <v>2.3263478740408408</v>
      </c>
    </row>
    <row r="5" spans="1:9" x14ac:dyDescent="0.25">
      <c r="A5" s="4">
        <v>45720</v>
      </c>
      <c r="B5" s="5">
        <v>5.8865999999999996</v>
      </c>
      <c r="C5" s="5">
        <v>5.8887</v>
      </c>
      <c r="D5" s="5">
        <v>5.8876499999999998</v>
      </c>
      <c r="F5">
        <f t="shared" si="0"/>
        <v>3.5667881073101068E-4</v>
      </c>
    </row>
    <row r="6" spans="1:9" x14ac:dyDescent="0.25">
      <c r="A6" s="2">
        <v>45721</v>
      </c>
      <c r="B6" s="3">
        <v>5.8437999999999999</v>
      </c>
      <c r="C6" s="3">
        <v>5.8468</v>
      </c>
      <c r="D6" s="3">
        <v>5.8452999999999999</v>
      </c>
      <c r="F6">
        <f t="shared" si="0"/>
        <v>5.1323285374576394E-4</v>
      </c>
      <c r="H6" t="s">
        <v>12</v>
      </c>
      <c r="I6" s="8">
        <f>0.5*(I2+I3*I4)</f>
        <v>2.3740783266401426E-4</v>
      </c>
    </row>
    <row r="7" spans="1:9" x14ac:dyDescent="0.25">
      <c r="A7" s="4">
        <v>45722</v>
      </c>
      <c r="B7" s="5">
        <v>5.7539999999999996</v>
      </c>
      <c r="C7" s="5">
        <v>5.7553999999999998</v>
      </c>
      <c r="D7" s="5">
        <v>5.7546999999999997</v>
      </c>
      <c r="F7">
        <f t="shared" si="0"/>
        <v>2.4327940639829877E-4</v>
      </c>
    </row>
    <row r="8" spans="1:9" x14ac:dyDescent="0.25">
      <c r="A8" s="2">
        <v>45723</v>
      </c>
      <c r="B8" s="3">
        <v>5.7656999999999998</v>
      </c>
      <c r="C8" s="3">
        <v>5.7671999999999999</v>
      </c>
      <c r="D8" s="3">
        <v>5.7664499999999999</v>
      </c>
      <c r="F8">
        <f t="shared" si="0"/>
        <v>2.6012538043337875E-4</v>
      </c>
    </row>
    <row r="9" spans="1:9" x14ac:dyDescent="0.25">
      <c r="A9" s="4">
        <v>45726</v>
      </c>
      <c r="B9" s="5">
        <v>5.7971000000000004</v>
      </c>
      <c r="C9" s="5">
        <v>5.7984</v>
      </c>
      <c r="D9" s="5">
        <v>5.7977499999999997</v>
      </c>
      <c r="F9">
        <f t="shared" si="0"/>
        <v>2.2422491483758955E-4</v>
      </c>
    </row>
    <row r="10" spans="1:9" x14ac:dyDescent="0.25">
      <c r="A10" s="2">
        <v>45727</v>
      </c>
      <c r="B10" s="3">
        <v>5.8249000000000004</v>
      </c>
      <c r="C10" s="3">
        <v>5.8262</v>
      </c>
      <c r="D10" s="3">
        <v>5.8255499999999998</v>
      </c>
      <c r="F10">
        <f t="shared" si="0"/>
        <v>2.2315489524587975E-4</v>
      </c>
    </row>
    <row r="11" spans="1:9" x14ac:dyDescent="0.25">
      <c r="A11" s="4">
        <v>45728</v>
      </c>
      <c r="B11" s="5">
        <v>5.8208000000000002</v>
      </c>
      <c r="C11" s="5">
        <v>5.8231999999999999</v>
      </c>
      <c r="D11" s="5">
        <v>5.8220000000000001</v>
      </c>
      <c r="F11">
        <f t="shared" si="0"/>
        <v>4.1222947440737473E-4</v>
      </c>
    </row>
    <row r="12" spans="1:9" x14ac:dyDescent="0.25">
      <c r="A12" s="2">
        <v>45729</v>
      </c>
      <c r="B12" s="3">
        <v>5.8040000000000003</v>
      </c>
      <c r="C12" s="3">
        <v>5.806</v>
      </c>
      <c r="D12" s="3">
        <v>5.8049999999999997</v>
      </c>
      <c r="F12">
        <f t="shared" si="0"/>
        <v>3.4453057708867872E-4</v>
      </c>
    </row>
    <row r="13" spans="1:9" x14ac:dyDescent="0.25">
      <c r="A13" s="4">
        <v>45730</v>
      </c>
      <c r="B13" s="5">
        <v>5.7290999999999999</v>
      </c>
      <c r="C13" s="5">
        <v>5.7316000000000003</v>
      </c>
      <c r="D13" s="5">
        <v>5.7303499999999996</v>
      </c>
      <c r="F13">
        <f t="shared" si="0"/>
        <v>4.3627352604996047E-4</v>
      </c>
    </row>
    <row r="14" spans="1:9" x14ac:dyDescent="0.25">
      <c r="A14" s="2">
        <v>45733</v>
      </c>
      <c r="B14" s="3">
        <v>5.6868999999999996</v>
      </c>
      <c r="C14" s="3">
        <v>5.6894</v>
      </c>
      <c r="D14" s="3">
        <v>5.6881500000000003</v>
      </c>
      <c r="F14">
        <f t="shared" si="0"/>
        <v>4.3951020982224286E-4</v>
      </c>
    </row>
    <row r="15" spans="1:9" x14ac:dyDescent="0.25">
      <c r="A15" s="4">
        <v>45734</v>
      </c>
      <c r="B15" s="5">
        <v>5.6708999999999996</v>
      </c>
      <c r="C15" s="5">
        <v>5.6722999999999999</v>
      </c>
      <c r="D15" s="5">
        <v>5.6715999999999998</v>
      </c>
      <c r="F15">
        <f t="shared" si="0"/>
        <v>2.4684392411317618E-4</v>
      </c>
    </row>
    <row r="16" spans="1:9" x14ac:dyDescent="0.25">
      <c r="A16" s="2">
        <v>45735</v>
      </c>
      <c r="B16" s="3">
        <v>5.6494</v>
      </c>
      <c r="C16" s="3">
        <v>5.6506999999999996</v>
      </c>
      <c r="D16" s="3">
        <v>5.6500500000000002</v>
      </c>
      <c r="F16">
        <f t="shared" si="0"/>
        <v>2.3008645941179897E-4</v>
      </c>
    </row>
    <row r="17" spans="1:6" x14ac:dyDescent="0.25">
      <c r="A17" s="4">
        <v>45736</v>
      </c>
      <c r="B17" s="5">
        <v>5.6742999999999997</v>
      </c>
      <c r="C17" s="5">
        <v>5.6756000000000002</v>
      </c>
      <c r="D17" s="5">
        <v>5.6749499999999999</v>
      </c>
      <c r="F17">
        <f t="shared" si="0"/>
        <v>2.2907690816668393E-4</v>
      </c>
    </row>
    <row r="18" spans="1:6" x14ac:dyDescent="0.25">
      <c r="A18" s="2">
        <v>45737</v>
      </c>
      <c r="B18" s="3">
        <v>5.7230999999999996</v>
      </c>
      <c r="C18" s="3">
        <v>5.7244999999999999</v>
      </c>
      <c r="D18" s="3">
        <v>5.7237999999999998</v>
      </c>
      <c r="F18">
        <f t="shared" si="0"/>
        <v>2.4459275306619552E-4</v>
      </c>
    </row>
    <row r="19" spans="1:6" x14ac:dyDescent="0.25">
      <c r="A19" s="4">
        <v>45740</v>
      </c>
      <c r="B19" s="5">
        <v>5.7295999999999996</v>
      </c>
      <c r="C19" s="5">
        <v>5.7310999999999996</v>
      </c>
      <c r="D19" s="5">
        <v>5.7303499999999996</v>
      </c>
      <c r="F19">
        <f t="shared" si="0"/>
        <v>2.6176411562994529E-4</v>
      </c>
    </row>
    <row r="20" spans="1:6" x14ac:dyDescent="0.25">
      <c r="A20" s="2">
        <v>45741</v>
      </c>
      <c r="B20" s="3">
        <v>5.6847000000000003</v>
      </c>
      <c r="C20" s="3">
        <v>5.6856999999999998</v>
      </c>
      <c r="D20" s="3">
        <v>5.6852</v>
      </c>
      <c r="F20">
        <f t="shared" si="0"/>
        <v>1.7589530711310873E-4</v>
      </c>
    </row>
    <row r="21" spans="1:6" x14ac:dyDescent="0.25">
      <c r="A21" s="4">
        <v>45742</v>
      </c>
      <c r="B21" s="5">
        <v>5.7366000000000001</v>
      </c>
      <c r="C21" s="5">
        <v>5.7375999999999996</v>
      </c>
      <c r="D21" s="5">
        <v>5.7370999999999999</v>
      </c>
      <c r="F21">
        <f t="shared" si="0"/>
        <v>1.7430409091691721E-4</v>
      </c>
    </row>
    <row r="22" spans="1:6" x14ac:dyDescent="0.25">
      <c r="A22" s="2">
        <v>45743</v>
      </c>
      <c r="B22" s="3">
        <v>5.7344999999999997</v>
      </c>
      <c r="C22" s="3">
        <v>5.7358000000000002</v>
      </c>
      <c r="D22" s="3">
        <v>5.73515</v>
      </c>
      <c r="F22">
        <f t="shared" si="0"/>
        <v>2.2667236253638056E-4</v>
      </c>
    </row>
    <row r="23" spans="1:6" x14ac:dyDescent="0.25">
      <c r="A23" s="4">
        <v>45744</v>
      </c>
      <c r="B23" s="5">
        <v>5.7667000000000002</v>
      </c>
      <c r="C23" s="5">
        <v>5.7680999999999996</v>
      </c>
      <c r="D23" s="5">
        <v>5.7674000000000003</v>
      </c>
      <c r="F23">
        <f t="shared" si="0"/>
        <v>2.4274369733318335E-4</v>
      </c>
    </row>
    <row r="24" spans="1:6" x14ac:dyDescent="0.25">
      <c r="A24" s="2">
        <v>45747</v>
      </c>
      <c r="B24" s="3">
        <v>5.7268999999999997</v>
      </c>
      <c r="C24" s="3">
        <v>5.7283999999999997</v>
      </c>
      <c r="D24" s="3">
        <v>5.7276499999999997</v>
      </c>
      <c r="F24">
        <f t="shared" si="0"/>
        <v>2.6188751058463017E-4</v>
      </c>
    </row>
    <row r="25" spans="1:6" x14ac:dyDescent="0.25">
      <c r="A25" s="4">
        <v>45748</v>
      </c>
      <c r="B25" s="5">
        <v>5.6913</v>
      </c>
      <c r="C25" s="5">
        <v>5.6920000000000002</v>
      </c>
      <c r="D25" s="5">
        <v>5.6916500000000001</v>
      </c>
      <c r="F25">
        <f t="shared" si="0"/>
        <v>1.2298718297859933E-4</v>
      </c>
    </row>
    <row r="26" spans="1:6" x14ac:dyDescent="0.25">
      <c r="A26" s="2">
        <v>45749</v>
      </c>
      <c r="B26" s="3">
        <v>5.7035</v>
      </c>
      <c r="C26" s="3">
        <v>5.7045000000000003</v>
      </c>
      <c r="D26" s="3">
        <v>5.7039999999999997</v>
      </c>
      <c r="F26">
        <f t="shared" si="0"/>
        <v>1.7531556802249893E-4</v>
      </c>
    </row>
    <row r="27" spans="1:6" x14ac:dyDescent="0.25">
      <c r="A27" s="4">
        <v>45750</v>
      </c>
      <c r="B27" s="5">
        <v>5.5960000000000001</v>
      </c>
      <c r="C27" s="5">
        <v>5.5975000000000001</v>
      </c>
      <c r="D27" s="5">
        <v>5.5967500000000001</v>
      </c>
      <c r="F27">
        <f t="shared" si="0"/>
        <v>2.6801268593381103E-4</v>
      </c>
    </row>
    <row r="28" spans="1:6" x14ac:dyDescent="0.25">
      <c r="A28" s="2">
        <v>45751</v>
      </c>
      <c r="B28" s="3">
        <v>5.8136999999999999</v>
      </c>
      <c r="C28" s="3">
        <v>5.8151000000000002</v>
      </c>
      <c r="D28" s="3">
        <v>5.8144</v>
      </c>
      <c r="F28">
        <f t="shared" si="0"/>
        <v>2.4078150798023697E-4</v>
      </c>
    </row>
    <row r="29" spans="1:6" x14ac:dyDescent="0.25">
      <c r="A29" s="4">
        <v>45754</v>
      </c>
      <c r="B29" s="5">
        <v>5.8735999999999997</v>
      </c>
      <c r="C29" s="5">
        <v>5.8765999999999998</v>
      </c>
      <c r="D29" s="5">
        <v>5.8750999999999998</v>
      </c>
      <c r="F29">
        <f t="shared" si="0"/>
        <v>5.1062960630459287E-4</v>
      </c>
    </row>
    <row r="30" spans="1:6" x14ac:dyDescent="0.25">
      <c r="A30" s="2">
        <v>45755</v>
      </c>
      <c r="B30" s="3">
        <v>5.9459</v>
      </c>
      <c r="C30" s="3">
        <v>5.9469000000000003</v>
      </c>
      <c r="D30" s="3">
        <v>5.9463999999999997</v>
      </c>
      <c r="F30">
        <f t="shared" si="0"/>
        <v>1.6816897618732914E-4</v>
      </c>
    </row>
    <row r="31" spans="1:6" x14ac:dyDescent="0.25">
      <c r="A31" s="4">
        <v>45756</v>
      </c>
      <c r="B31" s="5">
        <v>6.0628000000000002</v>
      </c>
      <c r="C31" s="5">
        <v>6.0636999999999999</v>
      </c>
      <c r="D31" s="5">
        <v>6.06325</v>
      </c>
      <c r="F31">
        <f t="shared" si="0"/>
        <v>1.4843524512426156E-4</v>
      </c>
    </row>
    <row r="32" spans="1:6" x14ac:dyDescent="0.25">
      <c r="A32" s="2">
        <v>45757</v>
      </c>
      <c r="B32" s="3">
        <v>5.9191000000000003</v>
      </c>
      <c r="C32" s="3">
        <v>5.9200999999999997</v>
      </c>
      <c r="D32" s="3">
        <v>5.9196</v>
      </c>
      <c r="F32">
        <f t="shared" si="0"/>
        <v>1.689303331305233E-4</v>
      </c>
    </row>
    <row r="33" spans="1:6" x14ac:dyDescent="0.25">
      <c r="A33" s="4">
        <v>45758</v>
      </c>
      <c r="B33" s="5">
        <v>5.8898000000000001</v>
      </c>
      <c r="C33" s="5">
        <v>5.8916000000000004</v>
      </c>
      <c r="D33" s="5">
        <v>5.8906999999999998</v>
      </c>
      <c r="F33">
        <f t="shared" si="0"/>
        <v>3.0556640127663026E-4</v>
      </c>
    </row>
    <row r="34" spans="1:6" x14ac:dyDescent="0.25">
      <c r="A34" s="2">
        <v>45761</v>
      </c>
      <c r="B34" s="3">
        <v>5.8414000000000001</v>
      </c>
      <c r="C34" s="3">
        <v>5.8429000000000002</v>
      </c>
      <c r="D34" s="3">
        <v>5.8421500000000002</v>
      </c>
      <c r="F34">
        <f t="shared" si="0"/>
        <v>2.5675479061647798E-4</v>
      </c>
    </row>
    <row r="35" spans="1:6" x14ac:dyDescent="0.25">
      <c r="A35" s="4">
        <v>45762</v>
      </c>
      <c r="B35" s="5">
        <v>5.8776999999999999</v>
      </c>
      <c r="C35" s="5">
        <v>5.8788999999999998</v>
      </c>
      <c r="D35" s="5">
        <v>5.8783000000000003</v>
      </c>
      <c r="F35">
        <f t="shared" si="0"/>
        <v>2.0414065290983241E-4</v>
      </c>
    </row>
    <row r="36" spans="1:6" x14ac:dyDescent="0.25">
      <c r="A36" s="2">
        <v>45763</v>
      </c>
      <c r="B36" s="3">
        <v>5.8815</v>
      </c>
      <c r="C36" s="3">
        <v>5.8836000000000004</v>
      </c>
      <c r="D36" s="3">
        <v>5.8825500000000002</v>
      </c>
      <c r="F36">
        <f t="shared" si="0"/>
        <v>3.5698804090070375E-4</v>
      </c>
    </row>
    <row r="37" spans="1:6" x14ac:dyDescent="0.25">
      <c r="A37" s="4">
        <v>45764</v>
      </c>
      <c r="B37" s="5">
        <v>5.8589000000000002</v>
      </c>
      <c r="C37" s="5">
        <v>5.8605</v>
      </c>
      <c r="D37" s="5">
        <v>5.8597000000000001</v>
      </c>
      <c r="F37">
        <f t="shared" si="0"/>
        <v>2.7305152140891578E-4</v>
      </c>
    </row>
    <row r="38" spans="1:6" x14ac:dyDescent="0.25">
      <c r="A38" s="2">
        <v>45765</v>
      </c>
      <c r="B38" s="3">
        <v>5.8589000000000002</v>
      </c>
      <c r="C38" s="3">
        <v>5.8605</v>
      </c>
      <c r="D38" s="3">
        <v>5.859712</v>
      </c>
      <c r="F38">
        <f t="shared" si="0"/>
        <v>2.7305096223156081E-4</v>
      </c>
    </row>
    <row r="39" spans="1:6" x14ac:dyDescent="0.25">
      <c r="A39" s="4">
        <v>45768</v>
      </c>
      <c r="B39" s="5">
        <v>5.8064</v>
      </c>
      <c r="C39" s="5">
        <v>5.8078000000000003</v>
      </c>
      <c r="D39" s="5">
        <v>5.8071000000000002</v>
      </c>
      <c r="F39">
        <f t="shared" si="0"/>
        <v>2.4108419004327286E-4</v>
      </c>
    </row>
    <row r="40" spans="1:6" x14ac:dyDescent="0.25">
      <c r="A40" s="2">
        <v>45769</v>
      </c>
      <c r="B40" s="3">
        <v>5.7521000000000004</v>
      </c>
      <c r="C40" s="3">
        <v>5.7527999999999997</v>
      </c>
      <c r="D40" s="3">
        <v>5.7524499999999996</v>
      </c>
      <c r="F40">
        <f t="shared" si="0"/>
        <v>1.2168728107141423E-4</v>
      </c>
    </row>
    <row r="41" spans="1:6" x14ac:dyDescent="0.25">
      <c r="A41" s="4">
        <v>45770</v>
      </c>
      <c r="B41" s="5">
        <v>5.6928999999999998</v>
      </c>
      <c r="C41" s="5">
        <v>5.694</v>
      </c>
      <c r="D41" s="5">
        <v>5.6934500000000003</v>
      </c>
      <c r="F41">
        <f t="shared" si="0"/>
        <v>1.9320447180533787E-4</v>
      </c>
    </row>
    <row r="42" spans="1:6" x14ac:dyDescent="0.25">
      <c r="A42" s="2">
        <v>45771</v>
      </c>
      <c r="B42" s="3">
        <v>5.6749000000000001</v>
      </c>
      <c r="C42" s="3">
        <v>5.6755000000000004</v>
      </c>
      <c r="D42" s="3">
        <v>5.6752000000000002</v>
      </c>
      <c r="F42">
        <f t="shared" si="0"/>
        <v>1.0572314632090111E-4</v>
      </c>
    </row>
    <row r="43" spans="1:6" x14ac:dyDescent="0.25">
      <c r="A43" s="4">
        <v>45772</v>
      </c>
      <c r="B43" s="5">
        <v>5.6778000000000004</v>
      </c>
      <c r="C43" s="5">
        <v>5.6795999999999998</v>
      </c>
      <c r="D43" s="5">
        <v>5.6787000000000001</v>
      </c>
      <c r="F43">
        <f t="shared" si="0"/>
        <v>3.1697395530655919E-4</v>
      </c>
    </row>
    <row r="44" spans="1:6" x14ac:dyDescent="0.25">
      <c r="A44" s="2">
        <v>45775</v>
      </c>
      <c r="B44" s="3">
        <v>5.6737000000000002</v>
      </c>
      <c r="C44" s="3">
        <v>5.6742999999999997</v>
      </c>
      <c r="D44" s="3">
        <v>5.6740000000000004</v>
      </c>
      <c r="F44">
        <f t="shared" si="0"/>
        <v>1.057455058159129E-4</v>
      </c>
    </row>
    <row r="45" spans="1:6" x14ac:dyDescent="0.25">
      <c r="A45" s="4">
        <v>45776</v>
      </c>
      <c r="B45" s="5">
        <v>5.6451000000000002</v>
      </c>
      <c r="C45" s="5">
        <v>5.6464999999999996</v>
      </c>
      <c r="D45" s="5">
        <v>5.6458000000000004</v>
      </c>
      <c r="F45">
        <f t="shared" si="0"/>
        <v>2.4797194374568733E-4</v>
      </c>
    </row>
    <row r="46" spans="1:6" x14ac:dyDescent="0.25">
      <c r="A46" s="2">
        <v>45777</v>
      </c>
      <c r="B46" s="3">
        <v>5.6604999999999999</v>
      </c>
      <c r="C46" s="3">
        <v>5.6623000000000001</v>
      </c>
      <c r="D46" s="3">
        <v>5.6614000000000004</v>
      </c>
      <c r="F46">
        <f t="shared" si="0"/>
        <v>3.179425583778298E-4</v>
      </c>
    </row>
    <row r="47" spans="1:6" x14ac:dyDescent="0.25">
      <c r="A47" s="4">
        <v>45778</v>
      </c>
      <c r="B47" s="5">
        <v>5.6734999999999998</v>
      </c>
      <c r="C47" s="5">
        <v>5.6755000000000004</v>
      </c>
      <c r="D47" s="5">
        <v>5.6745000000000001</v>
      </c>
      <c r="F47">
        <f t="shared" si="0"/>
        <v>3.5245396070150107E-4</v>
      </c>
    </row>
    <row r="48" spans="1:6" x14ac:dyDescent="0.25">
      <c r="A48" s="2">
        <v>45779</v>
      </c>
      <c r="B48" s="3">
        <v>5.6334999999999997</v>
      </c>
      <c r="C48" s="3">
        <v>5.6345000000000001</v>
      </c>
      <c r="D48" s="3">
        <v>5.6340000000000003</v>
      </c>
      <c r="F48">
        <f t="shared" si="0"/>
        <v>1.7749378771748917E-4</v>
      </c>
    </row>
    <row r="49" spans="1:6" x14ac:dyDescent="0.25">
      <c r="A49" s="4">
        <v>45782</v>
      </c>
      <c r="B49" s="5">
        <v>5.6542000000000003</v>
      </c>
      <c r="C49" s="5">
        <v>5.6557000000000004</v>
      </c>
      <c r="D49" s="5">
        <v>5.6549500000000004</v>
      </c>
      <c r="F49">
        <f t="shared" si="0"/>
        <v>2.6525433469792956E-4</v>
      </c>
    </row>
    <row r="50" spans="1:6" x14ac:dyDescent="0.25">
      <c r="A50" s="2">
        <v>45783</v>
      </c>
      <c r="B50" s="3">
        <v>5.7168000000000001</v>
      </c>
      <c r="C50" s="3">
        <v>5.7182000000000004</v>
      </c>
      <c r="D50" s="3">
        <v>5.7175000000000002</v>
      </c>
      <c r="F50">
        <f t="shared" si="0"/>
        <v>2.4486226497600174E-4</v>
      </c>
    </row>
    <row r="51" spans="1:6" x14ac:dyDescent="0.25">
      <c r="A51" s="4">
        <v>45784</v>
      </c>
      <c r="B51" s="5">
        <v>5.7393999999999998</v>
      </c>
      <c r="C51" s="5">
        <v>5.7408999999999999</v>
      </c>
      <c r="D51" s="5">
        <v>5.7401499999999999</v>
      </c>
      <c r="F51">
        <f t="shared" si="0"/>
        <v>2.6131721296482791E-4</v>
      </c>
    </row>
    <row r="52" spans="1:6" x14ac:dyDescent="0.25">
      <c r="A52" s="2">
        <v>45785</v>
      </c>
      <c r="B52" s="3">
        <v>5.6764000000000001</v>
      </c>
      <c r="C52" s="3">
        <v>5.6779000000000002</v>
      </c>
      <c r="D52" s="3">
        <v>5.6771500000000001</v>
      </c>
      <c r="F52">
        <f t="shared" si="0"/>
        <v>2.6421708075355713E-4</v>
      </c>
    </row>
    <row r="53" spans="1:6" x14ac:dyDescent="0.25">
      <c r="A53" s="4">
        <v>45786</v>
      </c>
      <c r="B53" s="5">
        <v>5.6462000000000003</v>
      </c>
      <c r="C53" s="5">
        <v>5.6475</v>
      </c>
      <c r="D53" s="5">
        <v>5.6468499999999997</v>
      </c>
      <c r="F53">
        <f t="shared" si="0"/>
        <v>2.3021684656040711E-4</v>
      </c>
    </row>
    <row r="54" spans="1:6" x14ac:dyDescent="0.25">
      <c r="A54" s="2">
        <v>45789</v>
      </c>
      <c r="B54" s="3">
        <v>5.6825999999999999</v>
      </c>
      <c r="C54" s="3">
        <v>5.6835000000000004</v>
      </c>
      <c r="D54" s="3">
        <v>5.6830499999999997</v>
      </c>
      <c r="F54">
        <f t="shared" si="0"/>
        <v>1.5836566632364084E-4</v>
      </c>
    </row>
    <row r="55" spans="1:6" x14ac:dyDescent="0.25">
      <c r="A55" s="4">
        <v>45790</v>
      </c>
      <c r="B55" s="5">
        <v>5.6272000000000002</v>
      </c>
      <c r="C55" s="5">
        <v>5.6287000000000003</v>
      </c>
      <c r="D55" s="5">
        <v>5.6279500000000002</v>
      </c>
      <c r="F55">
        <f t="shared" si="0"/>
        <v>2.6652688812090668E-4</v>
      </c>
    </row>
    <row r="56" spans="1:6" x14ac:dyDescent="0.25">
      <c r="A56" s="2">
        <v>45791</v>
      </c>
      <c r="B56" s="3">
        <v>5.6135999999999999</v>
      </c>
      <c r="C56" s="3">
        <v>5.6155999999999997</v>
      </c>
      <c r="D56" s="3">
        <v>5.6146000000000003</v>
      </c>
      <c r="F56">
        <f t="shared" si="0"/>
        <v>3.5621415595051822E-4</v>
      </c>
    </row>
    <row r="57" spans="1:6" x14ac:dyDescent="0.25">
      <c r="A57" s="4">
        <v>45792</v>
      </c>
      <c r="B57" s="5">
        <v>5.6410999999999998</v>
      </c>
      <c r="C57" s="5">
        <v>5.6430999999999996</v>
      </c>
      <c r="D57" s="5">
        <v>5.6421000000000001</v>
      </c>
      <c r="F57">
        <f t="shared" si="0"/>
        <v>3.5447794260998205E-4</v>
      </c>
    </row>
    <row r="58" spans="1:6" x14ac:dyDescent="0.25">
      <c r="A58" s="2">
        <v>45793</v>
      </c>
      <c r="B58" s="3">
        <v>5.6971999999999996</v>
      </c>
      <c r="C58" s="3">
        <v>5.6996000000000002</v>
      </c>
      <c r="D58" s="3">
        <v>5.6984000000000004</v>
      </c>
      <c r="F58">
        <f t="shared" si="0"/>
        <v>4.2117085497694504E-4</v>
      </c>
    </row>
    <row r="59" spans="1:6" x14ac:dyDescent="0.25">
      <c r="A59" s="4">
        <v>45796</v>
      </c>
      <c r="B59" s="5">
        <v>5.6501999999999999</v>
      </c>
      <c r="C59" s="5">
        <v>5.6516999999999999</v>
      </c>
      <c r="D59" s="5">
        <v>5.6509499999999999</v>
      </c>
      <c r="F59">
        <f t="shared" si="0"/>
        <v>2.65442093807246E-4</v>
      </c>
    </row>
    <row r="60" spans="1:6" x14ac:dyDescent="0.25">
      <c r="A60" s="2">
        <v>45797</v>
      </c>
      <c r="B60" s="3">
        <v>5.6673</v>
      </c>
      <c r="C60" s="3">
        <v>5.6688000000000001</v>
      </c>
      <c r="D60" s="3">
        <v>5.66805</v>
      </c>
      <c r="F60">
        <f t="shared" si="0"/>
        <v>2.6464127874666895E-4</v>
      </c>
    </row>
    <row r="61" spans="1:6" x14ac:dyDescent="0.25">
      <c r="A61" s="4">
        <v>45798</v>
      </c>
      <c r="B61" s="5">
        <v>5.6467999999999998</v>
      </c>
      <c r="C61" s="5">
        <v>5.6478000000000002</v>
      </c>
      <c r="D61" s="5">
        <v>5.6473000000000004</v>
      </c>
      <c r="F61">
        <f t="shared" si="0"/>
        <v>1.7707577072235118E-4</v>
      </c>
    </row>
    <row r="62" spans="1:6" x14ac:dyDescent="0.25">
      <c r="A62" s="2">
        <v>45799</v>
      </c>
      <c r="B62" s="3">
        <v>5.6372999999999998</v>
      </c>
      <c r="C62" s="3">
        <v>5.6383999999999999</v>
      </c>
      <c r="D62" s="3">
        <v>5.6378500000000003</v>
      </c>
      <c r="F62">
        <f t="shared" si="0"/>
        <v>1.9510983797016608E-4</v>
      </c>
    </row>
    <row r="63" spans="1:6" x14ac:dyDescent="0.25">
      <c r="A63" s="4">
        <v>45800</v>
      </c>
      <c r="B63" s="5">
        <v>5.6840999999999999</v>
      </c>
      <c r="C63" s="5">
        <v>5.6852999999999998</v>
      </c>
      <c r="D63" s="5">
        <v>5.6847000000000003</v>
      </c>
      <c r="F63">
        <f t="shared" si="0"/>
        <v>2.1109293366402233E-4</v>
      </c>
    </row>
    <row r="64" spans="1:6" x14ac:dyDescent="0.25">
      <c r="A64" s="2">
        <v>45803</v>
      </c>
      <c r="B64" s="3">
        <v>5.6635999999999997</v>
      </c>
      <c r="C64" s="3">
        <v>5.6656000000000004</v>
      </c>
      <c r="D64" s="3">
        <v>5.6646000000000001</v>
      </c>
      <c r="F64">
        <f t="shared" si="0"/>
        <v>3.5306994315585703E-4</v>
      </c>
    </row>
    <row r="65" spans="1:6" x14ac:dyDescent="0.25">
      <c r="A65" s="4">
        <v>45804</v>
      </c>
      <c r="B65" s="5">
        <v>5.6538000000000004</v>
      </c>
      <c r="C65" s="5">
        <v>5.6551</v>
      </c>
      <c r="D65" s="5">
        <v>5.6544499999999998</v>
      </c>
      <c r="F65">
        <f t="shared" si="0"/>
        <v>2.2990741805120477E-4</v>
      </c>
    </row>
    <row r="66" spans="1:6" x14ac:dyDescent="0.25">
      <c r="A66" s="2">
        <v>45805</v>
      </c>
      <c r="B66" s="3">
        <v>5.6973000000000003</v>
      </c>
      <c r="C66" s="3">
        <v>5.6990999999999996</v>
      </c>
      <c r="D66" s="3">
        <v>5.6981999999999999</v>
      </c>
      <c r="F66">
        <f t="shared" si="0"/>
        <v>3.1588922817720643E-4</v>
      </c>
    </row>
    <row r="67" spans="1:6" x14ac:dyDescent="0.25">
      <c r="A67" s="4">
        <v>45806</v>
      </c>
      <c r="B67" s="5">
        <v>5.6447000000000003</v>
      </c>
      <c r="C67" s="5">
        <v>5.6452999999999998</v>
      </c>
      <c r="D67" s="5">
        <v>5.6449999999999996</v>
      </c>
      <c r="F67">
        <f t="shared" ref="F67:F130" si="1">(C67-B67)/D67</f>
        <v>1.0628875110708412E-4</v>
      </c>
    </row>
    <row r="68" spans="1:6" x14ac:dyDescent="0.25">
      <c r="A68" s="2">
        <v>45807</v>
      </c>
      <c r="B68" s="3">
        <v>5.7317</v>
      </c>
      <c r="C68" s="3">
        <v>5.7324000000000002</v>
      </c>
      <c r="D68" s="3">
        <v>5.7320500000000001</v>
      </c>
      <c r="F68">
        <f t="shared" si="1"/>
        <v>1.2212035833604817E-4</v>
      </c>
    </row>
    <row r="69" spans="1:6" x14ac:dyDescent="0.25">
      <c r="A69" s="4">
        <v>45810</v>
      </c>
      <c r="B69" s="5">
        <v>5.6879</v>
      </c>
      <c r="C69" s="5">
        <v>5.6886999999999999</v>
      </c>
      <c r="D69" s="5">
        <v>5.6882999999999999</v>
      </c>
      <c r="F69">
        <f t="shared" si="1"/>
        <v>1.4063955839177116E-4</v>
      </c>
    </row>
    <row r="70" spans="1:6" x14ac:dyDescent="0.25">
      <c r="A70" s="2">
        <v>45811</v>
      </c>
      <c r="B70" s="3">
        <v>5.6425000000000001</v>
      </c>
      <c r="C70" s="3">
        <v>5.6440000000000001</v>
      </c>
      <c r="D70" s="3">
        <v>5.6432500000000001</v>
      </c>
      <c r="F70">
        <f t="shared" si="1"/>
        <v>2.6580427944890918E-4</v>
      </c>
    </row>
    <row r="71" spans="1:6" x14ac:dyDescent="0.25">
      <c r="A71" s="4">
        <v>45812</v>
      </c>
      <c r="B71" s="5">
        <v>5.6292</v>
      </c>
      <c r="C71" s="5">
        <v>5.6310000000000002</v>
      </c>
      <c r="D71" s="5">
        <v>5.6300999999999997</v>
      </c>
      <c r="F71">
        <f t="shared" si="1"/>
        <v>3.1971012948264614E-4</v>
      </c>
    </row>
    <row r="72" spans="1:6" x14ac:dyDescent="0.25">
      <c r="A72" s="2">
        <v>45813</v>
      </c>
      <c r="B72" s="3">
        <v>5.5964</v>
      </c>
      <c r="C72" s="3">
        <v>5.5979000000000001</v>
      </c>
      <c r="D72" s="3">
        <v>5.5971500000000001</v>
      </c>
      <c r="F72">
        <f t="shared" si="1"/>
        <v>2.67993532422761E-4</v>
      </c>
    </row>
    <row r="73" spans="1:6" x14ac:dyDescent="0.25">
      <c r="A73" s="4">
        <v>45814</v>
      </c>
      <c r="B73" s="5">
        <v>5.6097000000000001</v>
      </c>
      <c r="C73" s="5">
        <v>5.6113</v>
      </c>
      <c r="D73" s="5">
        <v>5.6105</v>
      </c>
      <c r="F73">
        <f t="shared" si="1"/>
        <v>2.8517957401297993E-4</v>
      </c>
    </row>
    <row r="74" spans="1:6" x14ac:dyDescent="0.25">
      <c r="A74" s="2">
        <v>45817</v>
      </c>
      <c r="B74" s="3">
        <v>5.5849000000000002</v>
      </c>
      <c r="C74" s="3">
        <v>5.5858999999999996</v>
      </c>
      <c r="D74" s="3">
        <v>5.5853999999999999</v>
      </c>
      <c r="F74">
        <f t="shared" si="1"/>
        <v>1.7903820675322193E-4</v>
      </c>
    </row>
    <row r="75" spans="1:6" x14ac:dyDescent="0.25">
      <c r="A75" s="4">
        <v>45818</v>
      </c>
      <c r="B75" s="5">
        <v>5.5613999999999999</v>
      </c>
      <c r="C75" s="5">
        <v>5.5625</v>
      </c>
      <c r="D75" s="5">
        <v>5.5619500000000004</v>
      </c>
      <c r="F75">
        <f t="shared" si="1"/>
        <v>1.9777236400904375E-4</v>
      </c>
    </row>
    <row r="76" spans="1:6" x14ac:dyDescent="0.25">
      <c r="A76" s="2">
        <v>45819</v>
      </c>
      <c r="B76" s="3">
        <v>5.5437000000000003</v>
      </c>
      <c r="C76" s="3">
        <v>5.5454999999999997</v>
      </c>
      <c r="D76" s="3">
        <v>5.5446</v>
      </c>
      <c r="F76">
        <f t="shared" si="1"/>
        <v>3.2464019045546255E-4</v>
      </c>
    </row>
    <row r="77" spans="1:6" x14ac:dyDescent="0.25">
      <c r="A77" s="4">
        <v>45820</v>
      </c>
      <c r="B77" s="5">
        <v>5.5461999999999998</v>
      </c>
      <c r="C77" s="5">
        <v>5.5477999999999996</v>
      </c>
      <c r="D77" s="5">
        <v>5.5469999999999997</v>
      </c>
      <c r="F77">
        <f t="shared" si="1"/>
        <v>2.8844420407424264E-4</v>
      </c>
    </row>
    <row r="78" spans="1:6" x14ac:dyDescent="0.25">
      <c r="A78" s="2">
        <v>45821</v>
      </c>
      <c r="B78" s="3">
        <v>5.5514999999999999</v>
      </c>
      <c r="C78" s="3">
        <v>5.5526999999999997</v>
      </c>
      <c r="D78" s="3">
        <v>5.5521000000000003</v>
      </c>
      <c r="F78">
        <f t="shared" si="1"/>
        <v>2.1613443561893119E-4</v>
      </c>
    </row>
    <row r="79" spans="1:6" x14ac:dyDescent="0.25">
      <c r="A79" s="4">
        <v>45824</v>
      </c>
      <c r="B79" s="5">
        <v>5.5048000000000004</v>
      </c>
      <c r="C79" s="5">
        <v>5.5063000000000004</v>
      </c>
      <c r="D79" s="5">
        <v>5.5055500000000004</v>
      </c>
      <c r="F79">
        <f t="shared" si="1"/>
        <v>2.7245234354425203E-4</v>
      </c>
    </row>
    <row r="80" spans="1:6" x14ac:dyDescent="0.25">
      <c r="A80" s="2">
        <v>45825</v>
      </c>
      <c r="B80" s="3">
        <v>5.4850000000000003</v>
      </c>
      <c r="C80" s="3">
        <v>5.4865000000000004</v>
      </c>
      <c r="D80" s="3">
        <v>5.4857500000000003</v>
      </c>
      <c r="F80">
        <f t="shared" si="1"/>
        <v>2.7343571981954277E-4</v>
      </c>
    </row>
    <row r="81" spans="1:6" x14ac:dyDescent="0.25">
      <c r="A81" s="4">
        <v>45826</v>
      </c>
      <c r="B81" s="5">
        <v>5.4824999999999999</v>
      </c>
      <c r="C81" s="5">
        <v>5.484</v>
      </c>
      <c r="D81" s="5">
        <v>5.48325</v>
      </c>
      <c r="F81">
        <f t="shared" si="1"/>
        <v>2.7356038845576197E-4</v>
      </c>
    </row>
    <row r="82" spans="1:6" x14ac:dyDescent="0.25">
      <c r="A82" s="2">
        <v>45827</v>
      </c>
      <c r="B82" s="3">
        <v>5.4915000000000003</v>
      </c>
      <c r="C82" s="3">
        <v>5.4924999999999997</v>
      </c>
      <c r="D82" s="3">
        <v>5.492</v>
      </c>
      <c r="F82">
        <f t="shared" si="1"/>
        <v>1.82083029861516E-4</v>
      </c>
    </row>
    <row r="83" spans="1:6" x14ac:dyDescent="0.25">
      <c r="A83" s="4">
        <v>45828</v>
      </c>
      <c r="B83" s="5">
        <v>5.5022000000000002</v>
      </c>
      <c r="C83" s="5">
        <v>5.5034999999999998</v>
      </c>
      <c r="D83" s="5">
        <v>5.5028499999999996</v>
      </c>
      <c r="F83">
        <f t="shared" si="1"/>
        <v>2.3624122045842334E-4</v>
      </c>
    </row>
    <row r="84" spans="1:6" x14ac:dyDescent="0.25">
      <c r="A84" s="2">
        <v>45831</v>
      </c>
      <c r="B84" s="3">
        <v>5.5119999999999996</v>
      </c>
      <c r="C84" s="3">
        <v>5.5134999999999996</v>
      </c>
      <c r="D84" s="3">
        <v>5.5127499999999996</v>
      </c>
      <c r="F84">
        <f t="shared" si="1"/>
        <v>2.7209650355993956E-4</v>
      </c>
    </row>
    <row r="85" spans="1:6" x14ac:dyDescent="0.25">
      <c r="A85" s="4">
        <v>45832</v>
      </c>
      <c r="B85" s="5">
        <v>5.4947999999999997</v>
      </c>
      <c r="C85" s="5">
        <v>5.4960000000000004</v>
      </c>
      <c r="D85" s="5">
        <v>5.4954000000000001</v>
      </c>
      <c r="F85">
        <f t="shared" si="1"/>
        <v>2.1836445026763402E-4</v>
      </c>
    </row>
    <row r="86" spans="1:6" x14ac:dyDescent="0.25">
      <c r="A86" s="2">
        <v>45833</v>
      </c>
      <c r="B86" s="3">
        <v>5.5445000000000002</v>
      </c>
      <c r="C86" s="3">
        <v>5.5460000000000003</v>
      </c>
      <c r="D86" s="3">
        <v>5.5452500000000002</v>
      </c>
      <c r="F86">
        <f t="shared" si="1"/>
        <v>2.7050178080340054E-4</v>
      </c>
    </row>
    <row r="87" spans="1:6" x14ac:dyDescent="0.25">
      <c r="A87" s="4">
        <v>45834</v>
      </c>
      <c r="B87" s="5">
        <v>5.5039999999999996</v>
      </c>
      <c r="C87" s="5">
        <v>5.5054999999999996</v>
      </c>
      <c r="D87" s="5">
        <v>5.5047499999999996</v>
      </c>
      <c r="F87">
        <f t="shared" si="1"/>
        <v>2.7249193878015477E-4</v>
      </c>
    </row>
    <row r="88" spans="1:6" x14ac:dyDescent="0.25">
      <c r="A88" s="2">
        <v>45835</v>
      </c>
      <c r="B88" s="3">
        <v>5.4863999999999997</v>
      </c>
      <c r="C88" s="3">
        <v>5.4877000000000002</v>
      </c>
      <c r="D88" s="3">
        <v>5.48705</v>
      </c>
      <c r="F88">
        <f t="shared" si="1"/>
        <v>2.3692147875461732E-4</v>
      </c>
    </row>
    <row r="89" spans="1:6" x14ac:dyDescent="0.25">
      <c r="A89" s="4">
        <v>45838</v>
      </c>
      <c r="B89" s="5">
        <v>5.4570999999999996</v>
      </c>
      <c r="C89" s="5">
        <v>5.4585999999999997</v>
      </c>
      <c r="D89" s="5">
        <v>5.4578499999999996</v>
      </c>
      <c r="F89">
        <f t="shared" si="1"/>
        <v>2.7483349670658904E-4</v>
      </c>
    </row>
    <row r="90" spans="1:6" x14ac:dyDescent="0.25">
      <c r="A90" s="2">
        <v>45839</v>
      </c>
      <c r="B90" s="3">
        <v>5.4504000000000001</v>
      </c>
      <c r="C90" s="3">
        <v>5.4516</v>
      </c>
      <c r="D90" s="3">
        <v>5.4509999999999996</v>
      </c>
      <c r="F90">
        <f t="shared" si="1"/>
        <v>2.2014309301043256E-4</v>
      </c>
    </row>
    <row r="91" spans="1:6" x14ac:dyDescent="0.25">
      <c r="A91" s="4">
        <v>45840</v>
      </c>
      <c r="B91" s="5">
        <v>5.4446000000000003</v>
      </c>
      <c r="C91" s="5">
        <v>5.4459999999999997</v>
      </c>
      <c r="D91" s="5">
        <v>5.4452999999999996</v>
      </c>
      <c r="F91">
        <f t="shared" si="1"/>
        <v>2.5710245532833856E-4</v>
      </c>
    </row>
    <row r="92" spans="1:6" x14ac:dyDescent="0.25">
      <c r="A92" s="2">
        <v>45841</v>
      </c>
      <c r="B92" s="3">
        <v>5.4104999999999999</v>
      </c>
      <c r="C92" s="3">
        <v>5.4116</v>
      </c>
      <c r="D92" s="3">
        <v>5.4110500000000004</v>
      </c>
      <c r="F92">
        <f t="shared" si="1"/>
        <v>2.0328771680174843E-4</v>
      </c>
    </row>
    <row r="93" spans="1:6" x14ac:dyDescent="0.25">
      <c r="A93" s="4">
        <v>45842</v>
      </c>
      <c r="B93" s="5">
        <v>5.4062999999999999</v>
      </c>
      <c r="C93" s="5">
        <v>5.4071999999999996</v>
      </c>
      <c r="D93" s="5">
        <v>5.4067499999999997</v>
      </c>
      <c r="F93">
        <f t="shared" si="1"/>
        <v>1.6645859342482618E-4</v>
      </c>
    </row>
    <row r="94" spans="1:6" x14ac:dyDescent="0.25">
      <c r="A94" s="2">
        <v>45845</v>
      </c>
      <c r="B94" s="3">
        <v>5.4553000000000003</v>
      </c>
      <c r="C94" s="3">
        <v>5.4568000000000003</v>
      </c>
      <c r="D94" s="3">
        <v>5.4560500000000003</v>
      </c>
      <c r="F94">
        <f t="shared" si="1"/>
        <v>2.7492416675068169E-4</v>
      </c>
    </row>
    <row r="95" spans="1:6" x14ac:dyDescent="0.25">
      <c r="A95" s="4">
        <v>45846</v>
      </c>
      <c r="B95" s="5">
        <v>5.4588999999999999</v>
      </c>
      <c r="C95" s="5">
        <v>5.4603999999999999</v>
      </c>
      <c r="D95" s="5">
        <v>5.4596499999999999</v>
      </c>
      <c r="F95">
        <f t="shared" si="1"/>
        <v>2.7474288644877546E-4</v>
      </c>
    </row>
    <row r="96" spans="1:6" x14ac:dyDescent="0.25">
      <c r="A96" s="2">
        <v>45847</v>
      </c>
      <c r="B96" s="3">
        <v>5.4706999999999999</v>
      </c>
      <c r="C96" s="3">
        <v>5.4722</v>
      </c>
      <c r="D96" s="3">
        <v>5.4714499999999999</v>
      </c>
      <c r="F96">
        <f t="shared" si="1"/>
        <v>2.7415036233540595E-4</v>
      </c>
    </row>
    <row r="97" spans="1:6" x14ac:dyDescent="0.25">
      <c r="A97" s="4">
        <v>45848</v>
      </c>
      <c r="B97" s="5">
        <v>5.5469999999999997</v>
      </c>
      <c r="C97" s="5">
        <v>5.5484999999999998</v>
      </c>
      <c r="D97" s="5">
        <v>5.5477499999999997</v>
      </c>
      <c r="F97">
        <f t="shared" si="1"/>
        <v>2.7037988373666025E-4</v>
      </c>
    </row>
    <row r="98" spans="1:6" x14ac:dyDescent="0.25">
      <c r="A98" s="2">
        <v>45849</v>
      </c>
      <c r="B98" s="3">
        <v>5.5716000000000001</v>
      </c>
      <c r="C98" s="3">
        <v>5.5726000000000004</v>
      </c>
      <c r="D98" s="3">
        <v>5.5720999999999998</v>
      </c>
      <c r="F98">
        <f t="shared" si="1"/>
        <v>1.7946555158743276E-4</v>
      </c>
    </row>
    <row r="99" spans="1:6" x14ac:dyDescent="0.25">
      <c r="A99" s="4">
        <v>45852</v>
      </c>
      <c r="B99" s="5">
        <v>5.5628000000000002</v>
      </c>
      <c r="C99" s="5">
        <v>5.5643000000000002</v>
      </c>
      <c r="D99" s="5">
        <v>5.5635500000000002</v>
      </c>
      <c r="F99">
        <f t="shared" si="1"/>
        <v>2.6961202829129907E-4</v>
      </c>
    </row>
    <row r="100" spans="1:6" x14ac:dyDescent="0.25">
      <c r="A100" s="2">
        <v>45853</v>
      </c>
      <c r="B100" s="3">
        <v>5.5530999999999997</v>
      </c>
      <c r="C100" s="3">
        <v>5.5545</v>
      </c>
      <c r="D100" s="3">
        <v>5.5537999999999998</v>
      </c>
      <c r="F100">
        <f t="shared" si="1"/>
        <v>2.5207965717171846E-4</v>
      </c>
    </row>
    <row r="101" spans="1:6" x14ac:dyDescent="0.25">
      <c r="A101" s="4">
        <v>45854</v>
      </c>
      <c r="B101" s="5">
        <v>5.5720000000000001</v>
      </c>
      <c r="C101" s="5">
        <v>5.5731999999999999</v>
      </c>
      <c r="D101" s="5">
        <v>5.5726000000000004</v>
      </c>
      <c r="F101">
        <f t="shared" si="1"/>
        <v>2.1533933890820583E-4</v>
      </c>
    </row>
    <row r="102" spans="1:6" x14ac:dyDescent="0.25">
      <c r="A102" s="2">
        <v>45855</v>
      </c>
      <c r="B102" s="3">
        <v>5.5617000000000001</v>
      </c>
      <c r="C102" s="3">
        <v>5.5628000000000002</v>
      </c>
      <c r="D102" s="3">
        <v>5.5622499999999997</v>
      </c>
      <c r="F102">
        <f t="shared" si="1"/>
        <v>1.9776169715494645E-4</v>
      </c>
    </row>
    <row r="103" spans="1:6" x14ac:dyDescent="0.25">
      <c r="A103" s="4">
        <v>45856</v>
      </c>
      <c r="B103" s="5">
        <v>5.5430999999999999</v>
      </c>
      <c r="C103" s="5">
        <v>5.5445000000000002</v>
      </c>
      <c r="D103" s="5">
        <v>5.5438000000000001</v>
      </c>
      <c r="F103">
        <f t="shared" si="1"/>
        <v>2.5253436271154982E-4</v>
      </c>
    </row>
    <row r="104" spans="1:6" x14ac:dyDescent="0.25">
      <c r="A104" s="2">
        <v>45859</v>
      </c>
      <c r="B104" s="3">
        <v>5.5583999999999998</v>
      </c>
      <c r="C104" s="3">
        <v>5.5598999999999998</v>
      </c>
      <c r="D104" s="3">
        <v>5.5591499999999998</v>
      </c>
      <c r="F104">
        <f t="shared" si="1"/>
        <v>2.6982542295136069E-4</v>
      </c>
    </row>
    <row r="105" spans="1:6" x14ac:dyDescent="0.25">
      <c r="A105" s="4">
        <v>45860</v>
      </c>
      <c r="B105" s="5">
        <v>5.5652999999999997</v>
      </c>
      <c r="C105" s="5">
        <v>5.5673000000000004</v>
      </c>
      <c r="D105" s="5">
        <v>5.5663</v>
      </c>
      <c r="F105">
        <f t="shared" si="1"/>
        <v>3.5930510392912131E-4</v>
      </c>
    </row>
    <row r="106" spans="1:6" x14ac:dyDescent="0.25">
      <c r="A106" s="2">
        <v>45861</v>
      </c>
      <c r="B106" s="3">
        <v>5.5564</v>
      </c>
      <c r="C106" s="3">
        <v>5.5576999999999996</v>
      </c>
      <c r="D106" s="3">
        <v>5.5570500000000003</v>
      </c>
      <c r="F106">
        <f t="shared" si="1"/>
        <v>2.3393707092785466E-4</v>
      </c>
    </row>
    <row r="107" spans="1:6" x14ac:dyDescent="0.25">
      <c r="A107" s="4">
        <v>45862</v>
      </c>
      <c r="B107" s="5">
        <v>5.5274000000000001</v>
      </c>
      <c r="C107" s="5">
        <v>5.5294999999999996</v>
      </c>
      <c r="D107" s="5">
        <v>5.5284500000000003</v>
      </c>
      <c r="F107">
        <f t="shared" si="1"/>
        <v>3.7985330427145881E-4</v>
      </c>
    </row>
    <row r="108" spans="1:6" x14ac:dyDescent="0.25">
      <c r="A108" s="2">
        <v>45863</v>
      </c>
      <c r="B108" s="3">
        <v>5.5380000000000003</v>
      </c>
      <c r="C108" s="3">
        <v>5.5388999999999999</v>
      </c>
      <c r="D108" s="3">
        <v>5.5384500000000001</v>
      </c>
      <c r="F108">
        <f t="shared" si="1"/>
        <v>1.6250033854231397E-4</v>
      </c>
    </row>
    <row r="109" spans="1:6" x14ac:dyDescent="0.25">
      <c r="A109" s="4">
        <v>45866</v>
      </c>
      <c r="B109" s="5">
        <v>5.5827</v>
      </c>
      <c r="C109" s="5">
        <v>5.5843999999999996</v>
      </c>
      <c r="D109" s="5">
        <v>5.5835499999999998</v>
      </c>
      <c r="F109">
        <f t="shared" si="1"/>
        <v>3.0446579684960119E-4</v>
      </c>
    </row>
    <row r="110" spans="1:6" x14ac:dyDescent="0.25">
      <c r="A110" s="2">
        <v>45867</v>
      </c>
      <c r="B110" s="3">
        <v>5.5922999999999998</v>
      </c>
      <c r="C110" s="3">
        <v>5.5937999999999999</v>
      </c>
      <c r="D110" s="3">
        <v>5.5930499999999999</v>
      </c>
      <c r="F110">
        <f t="shared" si="1"/>
        <v>2.6818998578594094E-4</v>
      </c>
    </row>
    <row r="111" spans="1:6" x14ac:dyDescent="0.25">
      <c r="A111" s="4">
        <v>45868</v>
      </c>
      <c r="B111" s="5">
        <v>5.6039000000000003</v>
      </c>
      <c r="C111" s="5">
        <v>5.6054000000000004</v>
      </c>
      <c r="D111" s="5">
        <v>5.6046500000000004</v>
      </c>
      <c r="F111">
        <f t="shared" si="1"/>
        <v>2.6763491029770938E-4</v>
      </c>
    </row>
    <row r="112" spans="1:6" x14ac:dyDescent="0.25">
      <c r="A112" s="2">
        <v>45869</v>
      </c>
      <c r="B112" s="3">
        <v>5.5979000000000001</v>
      </c>
      <c r="C112" s="3">
        <v>5.5991999999999997</v>
      </c>
      <c r="D112" s="3">
        <v>5.5985500000000004</v>
      </c>
      <c r="F112">
        <f t="shared" si="1"/>
        <v>2.3220298112897709E-4</v>
      </c>
    </row>
    <row r="113" spans="1:6" x14ac:dyDescent="0.25">
      <c r="A113" s="4">
        <v>45870</v>
      </c>
      <c r="B113" s="5">
        <v>5.5484</v>
      </c>
      <c r="C113" s="5">
        <v>5.5495999999999999</v>
      </c>
      <c r="D113" s="5">
        <v>5.5490000000000004</v>
      </c>
      <c r="F113">
        <f t="shared" si="1"/>
        <v>2.1625518111369034E-4</v>
      </c>
    </row>
    <row r="114" spans="1:6" x14ac:dyDescent="0.25">
      <c r="A114" s="2">
        <v>45873</v>
      </c>
      <c r="B114" s="3">
        <v>5.5057</v>
      </c>
      <c r="C114" s="3">
        <v>5.5071000000000003</v>
      </c>
      <c r="D114" s="3">
        <v>5.5064000000000002</v>
      </c>
      <c r="F114">
        <f t="shared" si="1"/>
        <v>2.5424960046496617E-4</v>
      </c>
    </row>
    <row r="115" spans="1:6" x14ac:dyDescent="0.25">
      <c r="A115" s="4">
        <v>45874</v>
      </c>
      <c r="B115" s="5">
        <v>5.5107999999999997</v>
      </c>
      <c r="C115" s="5">
        <v>5.5118999999999998</v>
      </c>
      <c r="D115" s="5">
        <v>5.5113500000000002</v>
      </c>
      <c r="F115">
        <f t="shared" si="1"/>
        <v>1.9958812269228063E-4</v>
      </c>
    </row>
    <row r="116" spans="1:6" x14ac:dyDescent="0.25">
      <c r="A116" s="2">
        <v>45875</v>
      </c>
      <c r="B116" s="3">
        <v>5.4805999999999999</v>
      </c>
      <c r="C116" s="3">
        <v>5.4813999999999998</v>
      </c>
      <c r="D116" s="3">
        <v>5.4809999999999999</v>
      </c>
      <c r="F116">
        <f t="shared" si="1"/>
        <v>1.4595876664840574E-4</v>
      </c>
    </row>
    <row r="117" spans="1:6" x14ac:dyDescent="0.25">
      <c r="A117" s="4">
        <v>45876</v>
      </c>
      <c r="B117" s="5">
        <v>5.4706999999999999</v>
      </c>
      <c r="C117" s="5">
        <v>5.4715999999999996</v>
      </c>
      <c r="D117" s="5">
        <v>5.4711499999999997</v>
      </c>
      <c r="F117">
        <f t="shared" si="1"/>
        <v>1.6449923690625899E-4</v>
      </c>
    </row>
    <row r="118" spans="1:6" x14ac:dyDescent="0.25">
      <c r="A118" s="2">
        <v>45877</v>
      </c>
      <c r="B118" s="3">
        <v>5.4250999999999996</v>
      </c>
      <c r="C118" s="3">
        <v>5.4264999999999999</v>
      </c>
      <c r="D118" s="3">
        <v>5.4257999999999997</v>
      </c>
      <c r="F118">
        <f t="shared" si="1"/>
        <v>2.5802646614329498E-4</v>
      </c>
    </row>
    <row r="119" spans="1:6" x14ac:dyDescent="0.25">
      <c r="A119" s="4">
        <v>45880</v>
      </c>
      <c r="B119" s="5">
        <v>5.4504999999999999</v>
      </c>
      <c r="C119" s="5">
        <v>5.4515000000000002</v>
      </c>
      <c r="D119" s="5">
        <v>5.4509999999999996</v>
      </c>
      <c r="F119">
        <f t="shared" si="1"/>
        <v>1.8345257750877528E-4</v>
      </c>
    </row>
    <row r="120" spans="1:6" x14ac:dyDescent="0.25">
      <c r="A120" s="2">
        <v>45881</v>
      </c>
      <c r="B120" s="3">
        <v>5.4080000000000004</v>
      </c>
      <c r="C120" s="3">
        <v>5.4093999999999998</v>
      </c>
      <c r="D120" s="3">
        <v>5.4086999999999996</v>
      </c>
      <c r="F120">
        <f t="shared" si="1"/>
        <v>2.5884223565725625E-4</v>
      </c>
    </row>
    <row r="121" spans="1:6" x14ac:dyDescent="0.25">
      <c r="A121" s="4">
        <v>45882</v>
      </c>
      <c r="B121" s="5">
        <v>5.3916000000000004</v>
      </c>
      <c r="C121" s="5">
        <v>5.3925000000000001</v>
      </c>
      <c r="D121" s="5">
        <v>5.3920500000000002</v>
      </c>
      <c r="F121">
        <f t="shared" si="1"/>
        <v>1.6691239880929865E-4</v>
      </c>
    </row>
    <row r="122" spans="1:6" x14ac:dyDescent="0.25">
      <c r="A122" s="2">
        <v>45883</v>
      </c>
      <c r="B122" s="3">
        <v>5.3994</v>
      </c>
      <c r="C122" s="3">
        <v>5.4005000000000001</v>
      </c>
      <c r="D122" s="3">
        <v>5.3999499999999996</v>
      </c>
      <c r="F122">
        <f t="shared" si="1"/>
        <v>2.0370558986659154E-4</v>
      </c>
    </row>
    <row r="123" spans="1:6" x14ac:dyDescent="0.25">
      <c r="A123" s="4">
        <v>45884</v>
      </c>
      <c r="B123" s="5">
        <v>5.3933999999999997</v>
      </c>
      <c r="C123" s="5">
        <v>5.3944999999999999</v>
      </c>
      <c r="D123" s="5">
        <v>5.3939500000000002</v>
      </c>
      <c r="F123">
        <f t="shared" si="1"/>
        <v>2.0393218327943361E-4</v>
      </c>
    </row>
    <row r="124" spans="1:6" x14ac:dyDescent="0.25">
      <c r="A124" s="2">
        <v>45887</v>
      </c>
      <c r="B124" s="3">
        <v>5.4153000000000002</v>
      </c>
      <c r="C124" s="3">
        <v>5.4165999999999999</v>
      </c>
      <c r="D124" s="3">
        <v>5.4159499999999996</v>
      </c>
      <c r="F124">
        <f t="shared" si="1"/>
        <v>2.4003175804792048E-4</v>
      </c>
    </row>
    <row r="125" spans="1:6" x14ac:dyDescent="0.25">
      <c r="A125" s="4">
        <v>45888</v>
      </c>
      <c r="B125" s="5">
        <v>5.4798</v>
      </c>
      <c r="C125" s="5">
        <v>5.4812000000000003</v>
      </c>
      <c r="D125" s="5">
        <v>5.4805000000000001</v>
      </c>
      <c r="F125">
        <f t="shared" si="1"/>
        <v>2.5545114496857763E-4</v>
      </c>
    </row>
    <row r="126" spans="1:6" x14ac:dyDescent="0.25">
      <c r="A126" s="2">
        <v>45889</v>
      </c>
      <c r="B126" s="3">
        <v>5.4715999999999996</v>
      </c>
      <c r="C126" s="3">
        <v>5.4725000000000001</v>
      </c>
      <c r="D126" s="3">
        <v>5.4720500000000003</v>
      </c>
      <c r="F126">
        <f t="shared" si="1"/>
        <v>1.6447218135809559E-4</v>
      </c>
    </row>
    <row r="127" spans="1:6" x14ac:dyDescent="0.25">
      <c r="A127" s="4">
        <v>45890</v>
      </c>
      <c r="B127" s="5">
        <v>5.4831000000000003</v>
      </c>
      <c r="C127" s="5">
        <v>5.484</v>
      </c>
      <c r="D127" s="5">
        <v>5.4835500000000001</v>
      </c>
      <c r="F127">
        <f t="shared" si="1"/>
        <v>1.6412725333035693E-4</v>
      </c>
    </row>
    <row r="128" spans="1:6" x14ac:dyDescent="0.25">
      <c r="A128" s="2">
        <v>45891</v>
      </c>
      <c r="B128" s="3">
        <v>5.4191000000000003</v>
      </c>
      <c r="C128" s="3">
        <v>5.4199000000000002</v>
      </c>
      <c r="D128" s="3">
        <v>5.4195000000000002</v>
      </c>
      <c r="F128">
        <f t="shared" si="1"/>
        <v>1.4761509364330877E-4</v>
      </c>
    </row>
    <row r="129" spans="1:6" x14ac:dyDescent="0.25">
      <c r="A129" s="4">
        <v>45894</v>
      </c>
      <c r="B129" s="5">
        <v>5.4059999999999997</v>
      </c>
      <c r="C129" s="5">
        <v>5.4069000000000003</v>
      </c>
      <c r="D129" s="5">
        <v>5.4064500000000004</v>
      </c>
      <c r="F129">
        <f t="shared" si="1"/>
        <v>1.6646783009193961E-4</v>
      </c>
    </row>
    <row r="130" spans="1:6" x14ac:dyDescent="0.25">
      <c r="A130" s="2">
        <v>45895</v>
      </c>
      <c r="B130" s="3">
        <v>5.4290000000000003</v>
      </c>
      <c r="C130" s="3">
        <v>5.4302000000000001</v>
      </c>
      <c r="D130" s="3">
        <v>5.4295999999999998</v>
      </c>
      <c r="F130">
        <f t="shared" si="1"/>
        <v>2.210107558567607E-4</v>
      </c>
    </row>
    <row r="131" spans="1:6" x14ac:dyDescent="0.25">
      <c r="A131" s="4">
        <v>45896</v>
      </c>
      <c r="B131" s="5">
        <v>5.4454000000000002</v>
      </c>
      <c r="C131" s="5">
        <v>5.4466999999999999</v>
      </c>
      <c r="D131" s="5">
        <v>5.4460499999999996</v>
      </c>
      <c r="F131">
        <f t="shared" ref="F131:F194" si="2">(C131-B131)/D131</f>
        <v>2.3870511655229659E-4</v>
      </c>
    </row>
    <row r="132" spans="1:6" x14ac:dyDescent="0.25">
      <c r="A132" s="2">
        <v>45897</v>
      </c>
      <c r="B132" s="3">
        <v>5.4073000000000002</v>
      </c>
      <c r="C132" s="3">
        <v>5.4080000000000004</v>
      </c>
      <c r="D132" s="3">
        <v>5.4076500000000003</v>
      </c>
      <c r="F132">
        <f t="shared" si="2"/>
        <v>1.2944624744577496E-4</v>
      </c>
    </row>
    <row r="133" spans="1:6" x14ac:dyDescent="0.25">
      <c r="A133" s="4">
        <v>45898</v>
      </c>
      <c r="B133" s="5">
        <v>5.4276</v>
      </c>
      <c r="C133" s="5">
        <v>5.4286000000000003</v>
      </c>
      <c r="D133" s="5">
        <v>5.4280999999999997</v>
      </c>
      <c r="F133">
        <f t="shared" si="2"/>
        <v>1.8422652493512169E-4</v>
      </c>
    </row>
    <row r="134" spans="1:6" x14ac:dyDescent="0.25">
      <c r="A134" s="2">
        <v>45901</v>
      </c>
      <c r="B134" s="3">
        <v>5.4404000000000003</v>
      </c>
      <c r="C134" s="3">
        <v>5.4413</v>
      </c>
      <c r="D134" s="3">
        <v>5.4408500000000002</v>
      </c>
      <c r="F134">
        <f t="shared" si="2"/>
        <v>1.6541533032516588E-4</v>
      </c>
    </row>
    <row r="135" spans="1:6" x14ac:dyDescent="0.25">
      <c r="A135" s="4">
        <v>45902</v>
      </c>
      <c r="B135" s="5">
        <v>5.4577999999999998</v>
      </c>
      <c r="C135" s="5">
        <v>5.4584999999999999</v>
      </c>
      <c r="D135" s="5">
        <v>5.4581499999999998</v>
      </c>
      <c r="F135">
        <f t="shared" si="2"/>
        <v>1.2824858239516044E-4</v>
      </c>
    </row>
    <row r="136" spans="1:6" x14ac:dyDescent="0.25">
      <c r="A136" s="2">
        <v>45903</v>
      </c>
      <c r="B136" s="3">
        <v>5.4414999999999996</v>
      </c>
      <c r="C136" s="3">
        <v>5.4424999999999999</v>
      </c>
      <c r="D136" s="3">
        <v>5.4420000000000002</v>
      </c>
      <c r="F136">
        <f t="shared" si="2"/>
        <v>1.837559720691536E-4</v>
      </c>
    </row>
    <row r="137" spans="1:6" x14ac:dyDescent="0.25">
      <c r="A137" s="4">
        <v>45904</v>
      </c>
      <c r="B137" s="5">
        <v>5.4606000000000003</v>
      </c>
      <c r="C137" s="5">
        <v>5.4615</v>
      </c>
      <c r="D137" s="5">
        <v>5.4610500000000002</v>
      </c>
      <c r="F137">
        <f t="shared" si="2"/>
        <v>1.6480347185974836E-4</v>
      </c>
    </row>
    <row r="138" spans="1:6" x14ac:dyDescent="0.25">
      <c r="A138" s="2">
        <v>45905</v>
      </c>
      <c r="B138" s="3">
        <v>5.4081999999999999</v>
      </c>
      <c r="C138" s="3">
        <v>5.4089999999999998</v>
      </c>
      <c r="D138" s="3">
        <v>5.4085999999999999</v>
      </c>
      <c r="F138">
        <f t="shared" si="2"/>
        <v>1.4791258366303884E-4</v>
      </c>
    </row>
    <row r="139" spans="1:6" x14ac:dyDescent="0.25">
      <c r="A139" s="4">
        <v>45908</v>
      </c>
      <c r="B139" s="5">
        <v>5.4375999999999998</v>
      </c>
      <c r="C139" s="5">
        <v>5.4387999999999996</v>
      </c>
      <c r="D139" s="5">
        <v>5.4382000000000001</v>
      </c>
      <c r="F139">
        <f t="shared" si="2"/>
        <v>2.2066124820710304E-4</v>
      </c>
    </row>
    <row r="140" spans="1:6" x14ac:dyDescent="0.25">
      <c r="A140" s="2">
        <v>45909</v>
      </c>
      <c r="B140" s="3">
        <v>5.4240000000000004</v>
      </c>
      <c r="C140" s="3">
        <v>5.4250999999999996</v>
      </c>
      <c r="D140" s="3">
        <v>5.42455</v>
      </c>
      <c r="F140">
        <f t="shared" si="2"/>
        <v>2.0278179756831678E-4</v>
      </c>
    </row>
    <row r="141" spans="1:6" x14ac:dyDescent="0.25">
      <c r="A141" s="4">
        <v>45910</v>
      </c>
      <c r="B141" s="5">
        <v>5.4050000000000002</v>
      </c>
      <c r="C141" s="5">
        <v>5.4063999999999997</v>
      </c>
      <c r="D141" s="5">
        <v>5.4057000000000004</v>
      </c>
      <c r="F141">
        <f t="shared" si="2"/>
        <v>2.5898588526914211E-4</v>
      </c>
    </row>
    <row r="142" spans="1:6" x14ac:dyDescent="0.25">
      <c r="A142" s="2">
        <v>45911</v>
      </c>
      <c r="B142" s="3">
        <v>5.3810000000000002</v>
      </c>
      <c r="C142" s="3">
        <v>5.3821000000000003</v>
      </c>
      <c r="D142" s="3">
        <v>5.3815499999999998</v>
      </c>
      <c r="F142">
        <f t="shared" si="2"/>
        <v>2.0440207746840611E-4</v>
      </c>
    </row>
    <row r="143" spans="1:6" x14ac:dyDescent="0.25">
      <c r="A143" s="4">
        <v>45912</v>
      </c>
      <c r="B143" s="5">
        <v>5.3627000000000002</v>
      </c>
      <c r="C143" s="5">
        <v>5.3639000000000001</v>
      </c>
      <c r="D143" s="5">
        <v>5.3632999999999997</v>
      </c>
      <c r="F143">
        <f t="shared" si="2"/>
        <v>2.2374284489024815E-4</v>
      </c>
    </row>
    <row r="144" spans="1:6" x14ac:dyDescent="0.25">
      <c r="A144" s="2">
        <v>45915</v>
      </c>
      <c r="B144" s="3">
        <v>5.3163999999999998</v>
      </c>
      <c r="C144" s="3">
        <v>5.3173000000000004</v>
      </c>
      <c r="D144" s="3">
        <v>5.3168499999999996</v>
      </c>
      <c r="F144">
        <f t="shared" si="2"/>
        <v>1.6927315985979801E-4</v>
      </c>
    </row>
    <row r="145" spans="1:6" x14ac:dyDescent="0.25">
      <c r="A145" s="4">
        <v>45916</v>
      </c>
      <c r="B145" s="5">
        <v>5.3109999999999999</v>
      </c>
      <c r="C145" s="5">
        <v>5.3129</v>
      </c>
      <c r="D145" s="5">
        <v>5.3119500000000004</v>
      </c>
      <c r="F145">
        <f t="shared" si="2"/>
        <v>3.5768408964693054E-4</v>
      </c>
    </row>
    <row r="146" spans="1:6" x14ac:dyDescent="0.25">
      <c r="A146" s="2">
        <v>45917</v>
      </c>
      <c r="B146" s="3">
        <v>5.3017000000000003</v>
      </c>
      <c r="C146" s="3">
        <v>5.3029000000000002</v>
      </c>
      <c r="D146" s="3">
        <v>5.3022999999999998</v>
      </c>
      <c r="F146">
        <f t="shared" si="2"/>
        <v>2.2631688135335004E-4</v>
      </c>
    </row>
    <row r="147" spans="1:6" x14ac:dyDescent="0.25">
      <c r="A147" s="4">
        <v>45918</v>
      </c>
      <c r="B147" s="5">
        <v>5.3014000000000001</v>
      </c>
      <c r="C147" s="5">
        <v>5.3025000000000002</v>
      </c>
      <c r="D147" s="5">
        <v>5.3019499999999997</v>
      </c>
      <c r="F147">
        <f t="shared" si="2"/>
        <v>2.0747083620179386E-4</v>
      </c>
    </row>
    <row r="148" spans="1:6" x14ac:dyDescent="0.25">
      <c r="A148" s="2">
        <v>45919</v>
      </c>
      <c r="B148" s="3">
        <v>5.3181000000000003</v>
      </c>
      <c r="C148" s="3">
        <v>5.3196000000000003</v>
      </c>
      <c r="D148" s="3">
        <v>5.3188500000000003</v>
      </c>
      <c r="F148">
        <f t="shared" si="2"/>
        <v>2.820158492907408E-4</v>
      </c>
    </row>
    <row r="149" spans="1:6" x14ac:dyDescent="0.25">
      <c r="A149" s="4">
        <v>45922</v>
      </c>
      <c r="B149" s="5">
        <v>5.3540000000000001</v>
      </c>
      <c r="C149" s="5">
        <v>5.3548</v>
      </c>
      <c r="D149" s="5">
        <v>5.3544</v>
      </c>
      <c r="F149">
        <f t="shared" si="2"/>
        <v>1.4940983116687432E-4</v>
      </c>
    </row>
    <row r="150" spans="1:6" x14ac:dyDescent="0.25">
      <c r="A150" s="2">
        <v>45923</v>
      </c>
      <c r="B150" s="3">
        <v>5.2950999999999997</v>
      </c>
      <c r="C150" s="3">
        <v>5.2967000000000004</v>
      </c>
      <c r="D150" s="3">
        <v>5.2958999999999996</v>
      </c>
      <c r="F150">
        <f t="shared" si="2"/>
        <v>3.0212050831788969E-4</v>
      </c>
    </row>
    <row r="151" spans="1:6" x14ac:dyDescent="0.25">
      <c r="A151" s="4">
        <v>45924</v>
      </c>
      <c r="B151" s="5">
        <v>5.3079999999999998</v>
      </c>
      <c r="C151" s="5">
        <v>5.3089000000000004</v>
      </c>
      <c r="D151" s="5">
        <v>5.3084499999999997</v>
      </c>
      <c r="F151">
        <f t="shared" si="2"/>
        <v>1.6954101479726985E-4</v>
      </c>
    </row>
    <row r="152" spans="1:6" x14ac:dyDescent="0.25">
      <c r="A152" s="2">
        <v>45925</v>
      </c>
      <c r="B152" s="3">
        <v>5.3513999999999999</v>
      </c>
      <c r="C152" s="3">
        <v>5.3525999999999998</v>
      </c>
      <c r="D152" s="3">
        <v>5.3520000000000003</v>
      </c>
      <c r="F152">
        <f t="shared" si="2"/>
        <v>2.2421524663674658E-4</v>
      </c>
    </row>
    <row r="153" spans="1:6" x14ac:dyDescent="0.25">
      <c r="A153" s="4">
        <v>45926</v>
      </c>
      <c r="B153" s="5">
        <v>5.3464</v>
      </c>
      <c r="C153" s="5">
        <v>5.3479000000000001</v>
      </c>
      <c r="D153" s="5">
        <v>5.3471500000000001</v>
      </c>
      <c r="F153">
        <f t="shared" si="2"/>
        <v>2.805232694052078E-4</v>
      </c>
    </row>
    <row r="154" spans="1:6" x14ac:dyDescent="0.25">
      <c r="A154" s="2">
        <v>45929</v>
      </c>
      <c r="B154" s="3">
        <v>5.3239000000000001</v>
      </c>
      <c r="C154" s="3">
        <v>5.3249000000000004</v>
      </c>
      <c r="D154" s="3">
        <v>5.3243999999999998</v>
      </c>
      <c r="F154">
        <f t="shared" si="2"/>
        <v>1.8781458943737021E-4</v>
      </c>
    </row>
    <row r="155" spans="1:6" x14ac:dyDescent="0.25">
      <c r="A155" s="4">
        <v>45930</v>
      </c>
      <c r="B155" s="5">
        <v>5.3250999999999999</v>
      </c>
      <c r="C155" s="5">
        <v>5.3259999999999996</v>
      </c>
      <c r="D155" s="5">
        <v>5.3255499999999998</v>
      </c>
      <c r="F155">
        <f t="shared" si="2"/>
        <v>1.689966294560522E-4</v>
      </c>
    </row>
    <row r="156" spans="1:6" x14ac:dyDescent="0.25">
      <c r="A156" s="2">
        <v>45931</v>
      </c>
      <c r="B156" s="3">
        <v>5.3197999999999999</v>
      </c>
      <c r="C156" s="3">
        <v>5.3212999999999999</v>
      </c>
      <c r="D156" s="3">
        <v>5.3205499999999999</v>
      </c>
      <c r="F156">
        <f t="shared" si="2"/>
        <v>2.8192574075989454E-4</v>
      </c>
    </row>
    <row r="157" spans="1:6" x14ac:dyDescent="0.25">
      <c r="A157" s="4">
        <v>45932</v>
      </c>
      <c r="B157" s="5">
        <v>5.3470000000000004</v>
      </c>
      <c r="C157" s="5">
        <v>5.3484999999999996</v>
      </c>
      <c r="D157" s="5">
        <v>5.3477499999999996</v>
      </c>
      <c r="F157">
        <f t="shared" si="2"/>
        <v>2.8049179561482284E-4</v>
      </c>
    </row>
    <row r="158" spans="1:6" x14ac:dyDescent="0.25">
      <c r="A158" s="2">
        <v>45933</v>
      </c>
      <c r="B158" s="3">
        <v>5.3555000000000001</v>
      </c>
      <c r="C158" s="3">
        <v>5.3559999999999999</v>
      </c>
      <c r="D158" s="3">
        <v>5.3557499999999996</v>
      </c>
      <c r="F158">
        <f t="shared" si="2"/>
        <v>9.3357606310922456E-5</v>
      </c>
    </row>
    <row r="159" spans="1:6" x14ac:dyDescent="0.25">
      <c r="A159" s="4">
        <v>45936</v>
      </c>
      <c r="B159" s="5">
        <v>5.3220000000000001</v>
      </c>
      <c r="C159" s="5">
        <v>5.3231000000000002</v>
      </c>
      <c r="D159" s="5">
        <v>5.3225499999999997</v>
      </c>
      <c r="F159">
        <f t="shared" si="2"/>
        <v>2.0666785657252651E-4</v>
      </c>
    </row>
    <row r="160" spans="1:6" x14ac:dyDescent="0.25">
      <c r="A160" s="2">
        <v>45937</v>
      </c>
      <c r="B160" s="3">
        <v>5.3365</v>
      </c>
      <c r="C160" s="3">
        <v>5.3377999999999997</v>
      </c>
      <c r="D160" s="3">
        <v>5.3371500000000003</v>
      </c>
      <c r="F160">
        <f t="shared" si="2"/>
        <v>2.4357569114595519E-4</v>
      </c>
    </row>
    <row r="161" spans="1:6" x14ac:dyDescent="0.25">
      <c r="A161" s="4">
        <v>45938</v>
      </c>
      <c r="B161" s="5">
        <v>5.3468</v>
      </c>
      <c r="C161" s="5">
        <v>5.3479000000000001</v>
      </c>
      <c r="D161" s="5">
        <v>5.3473499999999996</v>
      </c>
      <c r="F161">
        <f t="shared" si="2"/>
        <v>2.057093700618252E-4</v>
      </c>
    </row>
    <row r="162" spans="1:6" x14ac:dyDescent="0.25">
      <c r="A162" s="2">
        <v>45939</v>
      </c>
      <c r="B162" s="3">
        <v>5.3628999999999998</v>
      </c>
      <c r="C162" s="3">
        <v>5.3643000000000001</v>
      </c>
      <c r="D162" s="3">
        <v>5.3635999999999999</v>
      </c>
      <c r="F162">
        <f t="shared" si="2"/>
        <v>2.6101871877102877E-4</v>
      </c>
    </row>
    <row r="163" spans="1:6" x14ac:dyDescent="0.25">
      <c r="A163" s="4">
        <v>45940</v>
      </c>
      <c r="B163" s="5">
        <v>5.4535</v>
      </c>
      <c r="C163" s="5">
        <v>5.4547999999999996</v>
      </c>
      <c r="D163" s="5">
        <v>5.4541500000000003</v>
      </c>
      <c r="F163">
        <f t="shared" si="2"/>
        <v>2.3835061375276345E-4</v>
      </c>
    </row>
    <row r="164" spans="1:6" x14ac:dyDescent="0.25">
      <c r="A164" s="2">
        <v>45943</v>
      </c>
      <c r="B164" s="3">
        <v>5.4518000000000004</v>
      </c>
      <c r="C164" s="3">
        <v>5.4535</v>
      </c>
      <c r="D164" s="3">
        <v>5.4526500000000002</v>
      </c>
      <c r="F164">
        <f t="shared" si="2"/>
        <v>3.117750084820391E-4</v>
      </c>
    </row>
    <row r="165" spans="1:6" x14ac:dyDescent="0.25">
      <c r="A165" s="4">
        <v>45944</v>
      </c>
      <c r="B165" s="5">
        <v>5.5000999999999998</v>
      </c>
      <c r="C165" s="5">
        <v>5.5011000000000001</v>
      </c>
      <c r="D165" s="5">
        <v>5.5006000000000004</v>
      </c>
      <c r="F165">
        <f t="shared" si="2"/>
        <v>1.8179834927104931E-4</v>
      </c>
    </row>
    <row r="166" spans="1:6" x14ac:dyDescent="0.25">
      <c r="A166" s="2">
        <v>45945</v>
      </c>
      <c r="B166" s="3">
        <v>5.4359000000000002</v>
      </c>
      <c r="C166" s="3">
        <v>5.4367000000000001</v>
      </c>
      <c r="D166" s="3">
        <v>5.4363000000000001</v>
      </c>
      <c r="F166">
        <f t="shared" si="2"/>
        <v>1.4715891323140956E-4</v>
      </c>
    </row>
    <row r="167" spans="1:6" x14ac:dyDescent="0.25">
      <c r="A167" s="4">
        <v>45946</v>
      </c>
      <c r="B167" s="5">
        <v>5.4249999999999998</v>
      </c>
      <c r="C167" s="5">
        <v>5.4257999999999997</v>
      </c>
      <c r="D167" s="5">
        <v>5.4253999999999998</v>
      </c>
      <c r="F167">
        <f t="shared" si="2"/>
        <v>1.4745456556196999E-4</v>
      </c>
    </row>
    <row r="168" spans="1:6" x14ac:dyDescent="0.25">
      <c r="A168" s="2">
        <v>45947</v>
      </c>
      <c r="B168" s="3">
        <v>5.4295</v>
      </c>
      <c r="C168" s="3">
        <v>5.4305000000000003</v>
      </c>
      <c r="D168" s="3">
        <v>5.43</v>
      </c>
      <c r="F168">
        <f t="shared" si="2"/>
        <v>1.8416206261516281E-4</v>
      </c>
    </row>
    <row r="169" spans="1:6" x14ac:dyDescent="0.25">
      <c r="A169" s="4">
        <v>45950</v>
      </c>
      <c r="B169" s="5">
        <v>5.3779000000000003</v>
      </c>
      <c r="C169" s="5">
        <v>5.3789999999999996</v>
      </c>
      <c r="D169" s="5">
        <v>5.37845</v>
      </c>
      <c r="F169">
        <f t="shared" si="2"/>
        <v>2.0451988955911326E-4</v>
      </c>
    </row>
    <row r="170" spans="1:6" x14ac:dyDescent="0.25">
      <c r="A170" s="2">
        <v>45951</v>
      </c>
      <c r="B170" s="3">
        <v>5.3852000000000002</v>
      </c>
      <c r="C170" s="3">
        <v>5.3863000000000003</v>
      </c>
      <c r="D170" s="3">
        <v>5.3857499999999998</v>
      </c>
      <c r="F170">
        <f t="shared" si="2"/>
        <v>2.0424267743584477E-4</v>
      </c>
    </row>
    <row r="171" spans="1:6" x14ac:dyDescent="0.25">
      <c r="A171" s="4">
        <v>45952</v>
      </c>
      <c r="B171" s="5">
        <v>5.3933999999999997</v>
      </c>
      <c r="C171" s="5">
        <v>5.3943000000000003</v>
      </c>
      <c r="D171" s="5">
        <v>5.3938499999999996</v>
      </c>
      <c r="F171">
        <f t="shared" si="2"/>
        <v>1.6685669790605359E-4</v>
      </c>
    </row>
    <row r="172" spans="1:6" x14ac:dyDescent="0.25">
      <c r="A172" s="2">
        <v>45953</v>
      </c>
      <c r="B172" s="3">
        <v>5.3792</v>
      </c>
      <c r="C172" s="3">
        <v>5.3868999999999998</v>
      </c>
      <c r="D172" s="3">
        <v>5.3830499999999999</v>
      </c>
      <c r="F172">
        <f t="shared" si="2"/>
        <v>1.4304158423198406E-3</v>
      </c>
    </row>
    <row r="173" spans="1:6" x14ac:dyDescent="0.25">
      <c r="A173" s="4">
        <v>45954</v>
      </c>
      <c r="B173" s="5">
        <v>5.3867000000000003</v>
      </c>
      <c r="C173" s="5">
        <v>5.3875000000000002</v>
      </c>
      <c r="D173" s="5">
        <v>5.3871000000000002</v>
      </c>
      <c r="F173">
        <f t="shared" si="2"/>
        <v>1.4850290508806443E-4</v>
      </c>
    </row>
    <row r="174" spans="1:6" x14ac:dyDescent="0.25">
      <c r="A174" s="2">
        <v>45957</v>
      </c>
      <c r="B174" s="3">
        <v>5.3773</v>
      </c>
      <c r="C174" s="3">
        <v>5.3788</v>
      </c>
      <c r="D174" s="3">
        <v>5.37805</v>
      </c>
      <c r="F174">
        <f t="shared" si="2"/>
        <v>2.7891150138062253E-4</v>
      </c>
    </row>
    <row r="175" spans="1:6" x14ac:dyDescent="0.25">
      <c r="A175" s="4">
        <v>45958</v>
      </c>
      <c r="B175" s="5">
        <v>5.3612000000000002</v>
      </c>
      <c r="C175" s="5">
        <v>5.3616999999999999</v>
      </c>
      <c r="D175" s="5">
        <v>5.3614499999999996</v>
      </c>
      <c r="F175">
        <f t="shared" si="2"/>
        <v>9.325835361697356E-5</v>
      </c>
    </row>
    <row r="176" spans="1:6" x14ac:dyDescent="0.25">
      <c r="A176" s="2">
        <v>45959</v>
      </c>
      <c r="B176" s="3">
        <v>5.3452000000000002</v>
      </c>
      <c r="C176" s="3">
        <v>5.3463000000000003</v>
      </c>
      <c r="D176" s="3">
        <v>5.3457499999999998</v>
      </c>
      <c r="F176">
        <f t="shared" si="2"/>
        <v>2.0577093953142234E-4</v>
      </c>
    </row>
    <row r="177" spans="1:6" x14ac:dyDescent="0.25">
      <c r="A177" s="4">
        <v>45960</v>
      </c>
      <c r="B177" s="5">
        <v>5.3841000000000001</v>
      </c>
      <c r="C177" s="5">
        <v>5.3845999999999998</v>
      </c>
      <c r="D177" s="5">
        <v>5.3843500000000004</v>
      </c>
      <c r="F177">
        <f t="shared" si="2"/>
        <v>9.2861719613272322E-5</v>
      </c>
    </row>
    <row r="178" spans="1:6" x14ac:dyDescent="0.25">
      <c r="A178" s="2">
        <v>45961</v>
      </c>
      <c r="B178" s="3">
        <v>5.3845999999999998</v>
      </c>
      <c r="C178" s="3">
        <v>5.3856999999999999</v>
      </c>
      <c r="D178" s="3">
        <v>5.3851500000000003</v>
      </c>
      <c r="F178">
        <f t="shared" si="2"/>
        <v>2.0426543364624958E-4</v>
      </c>
    </row>
    <row r="179" spans="1:6" x14ac:dyDescent="0.25">
      <c r="A179" s="4">
        <v>45964</v>
      </c>
      <c r="B179" s="5">
        <v>5.3592000000000004</v>
      </c>
      <c r="C179" s="5">
        <v>5.3598999999999997</v>
      </c>
      <c r="D179" s="5">
        <v>5.3595499999999996</v>
      </c>
      <c r="F179">
        <f t="shared" si="2"/>
        <v>1.3060798014744834E-4</v>
      </c>
    </row>
    <row r="180" spans="1:6" x14ac:dyDescent="0.25">
      <c r="A180" s="2">
        <v>45965</v>
      </c>
      <c r="B180" s="3">
        <v>5.3803999999999998</v>
      </c>
      <c r="C180" s="3">
        <v>5.3815</v>
      </c>
      <c r="D180" s="3">
        <v>5.3809500000000003</v>
      </c>
      <c r="F180">
        <f t="shared" si="2"/>
        <v>2.0442486921456264E-4</v>
      </c>
    </row>
    <row r="181" spans="1:6" x14ac:dyDescent="0.25">
      <c r="A181" s="4">
        <v>45966</v>
      </c>
      <c r="B181" s="5">
        <v>5.3628999999999998</v>
      </c>
      <c r="C181" s="5">
        <v>5.3642000000000003</v>
      </c>
      <c r="D181" s="5">
        <v>5.36355</v>
      </c>
      <c r="F181">
        <f t="shared" si="2"/>
        <v>2.4237678403306074E-4</v>
      </c>
    </row>
    <row r="182" spans="1:6" x14ac:dyDescent="0.25">
      <c r="A182" s="2">
        <v>45967</v>
      </c>
      <c r="B182" s="3">
        <v>5.3539000000000003</v>
      </c>
      <c r="C182" s="3">
        <v>5.3552</v>
      </c>
      <c r="D182" s="3">
        <v>5.3545499999999997</v>
      </c>
      <c r="F182">
        <f t="shared" si="2"/>
        <v>2.4278417420691467E-4</v>
      </c>
    </row>
    <row r="183" spans="1:6" x14ac:dyDescent="0.25">
      <c r="A183" s="4">
        <v>45968</v>
      </c>
      <c r="B183" s="5">
        <v>5.3464999999999998</v>
      </c>
      <c r="C183" s="5">
        <v>5.3475999999999999</v>
      </c>
      <c r="D183" s="5">
        <v>5.3470500000000003</v>
      </c>
      <c r="F183">
        <f t="shared" si="2"/>
        <v>2.0572091153067595E-4</v>
      </c>
    </row>
    <row r="184" spans="1:6" x14ac:dyDescent="0.25">
      <c r="A184" s="2">
        <v>45971</v>
      </c>
      <c r="B184" s="3">
        <v>5.3186</v>
      </c>
      <c r="C184" s="3">
        <v>5.3201000000000001</v>
      </c>
      <c r="D184" s="3">
        <v>5.31935</v>
      </c>
      <c r="F184">
        <f t="shared" si="2"/>
        <v>2.8198934080292832E-4</v>
      </c>
    </row>
    <row r="185" spans="1:6" x14ac:dyDescent="0.25">
      <c r="A185" s="4">
        <v>45972</v>
      </c>
      <c r="B185" s="5">
        <v>5.2751000000000001</v>
      </c>
      <c r="C185" s="5">
        <v>5.2760999999999996</v>
      </c>
      <c r="D185" s="5">
        <v>5.2755999999999998</v>
      </c>
      <c r="F185">
        <f t="shared" si="2"/>
        <v>1.8955189930992605E-4</v>
      </c>
    </row>
    <row r="186" spans="1:6" x14ac:dyDescent="0.25">
      <c r="A186" s="2">
        <v>45973</v>
      </c>
      <c r="B186" s="3">
        <v>5.3007999999999997</v>
      </c>
      <c r="C186" s="3">
        <v>5.3018999999999998</v>
      </c>
      <c r="D186" s="3">
        <v>5.3013500000000002</v>
      </c>
      <c r="F186">
        <f t="shared" si="2"/>
        <v>2.074943174851879E-4</v>
      </c>
    </row>
    <row r="187" spans="1:6" x14ac:dyDescent="0.25">
      <c r="A187" s="4">
        <v>45974</v>
      </c>
      <c r="B187" s="5">
        <v>5.282</v>
      </c>
      <c r="C187" s="5">
        <v>5.2831000000000001</v>
      </c>
      <c r="D187" s="5">
        <v>5.2825499999999996</v>
      </c>
      <c r="F187">
        <f t="shared" si="2"/>
        <v>2.0823276637232038E-4</v>
      </c>
    </row>
    <row r="188" spans="1:6" x14ac:dyDescent="0.25">
      <c r="A188" s="2">
        <v>45975</v>
      </c>
      <c r="B188" s="3">
        <v>5.2748999999999997</v>
      </c>
      <c r="C188" s="3">
        <v>5.2759999999999998</v>
      </c>
      <c r="D188" s="3">
        <v>5.2754500000000002</v>
      </c>
      <c r="F188">
        <f t="shared" si="2"/>
        <v>2.0851301784683787E-4</v>
      </c>
    </row>
    <row r="189" spans="1:6" x14ac:dyDescent="0.25">
      <c r="A189" s="4">
        <v>45978</v>
      </c>
      <c r="B189" s="5">
        <v>5.3095999999999997</v>
      </c>
      <c r="C189" s="5">
        <v>5.3106999999999998</v>
      </c>
      <c r="D189" s="5">
        <v>5.3101500000000001</v>
      </c>
      <c r="F189">
        <f t="shared" si="2"/>
        <v>2.0715045714341418E-4</v>
      </c>
    </row>
    <row r="190" spans="1:6" x14ac:dyDescent="0.25">
      <c r="A190" s="2">
        <v>45979</v>
      </c>
      <c r="B190" s="3">
        <v>5.3377999999999997</v>
      </c>
      <c r="C190" s="3">
        <v>5.3388999999999998</v>
      </c>
      <c r="D190" s="3">
        <v>5.3383500000000002</v>
      </c>
      <c r="F190">
        <f t="shared" si="2"/>
        <v>2.0605617840720463E-4</v>
      </c>
    </row>
    <row r="191" spans="1:6" x14ac:dyDescent="0.25">
      <c r="A191" s="4">
        <v>45980</v>
      </c>
      <c r="B191" s="5">
        <v>5.3349000000000002</v>
      </c>
      <c r="C191" s="5">
        <v>5.3357000000000001</v>
      </c>
      <c r="D191" s="5">
        <v>5.3353000000000002</v>
      </c>
      <c r="F191">
        <f t="shared" si="2"/>
        <v>1.4994470788894942E-4</v>
      </c>
    </row>
    <row r="192" spans="1:6" x14ac:dyDescent="0.25">
      <c r="A192" s="2">
        <v>45981</v>
      </c>
      <c r="B192" s="3">
        <v>5.3316999999999997</v>
      </c>
      <c r="C192" s="3">
        <v>5.3327999999999998</v>
      </c>
      <c r="D192" s="3">
        <v>5.3322500000000002</v>
      </c>
      <c r="F192">
        <f t="shared" si="2"/>
        <v>2.0629190304282449E-4</v>
      </c>
    </row>
    <row r="193" spans="1:6" x14ac:dyDescent="0.25">
      <c r="A193" s="4">
        <v>45982</v>
      </c>
      <c r="B193" s="5">
        <v>5.4149000000000003</v>
      </c>
      <c r="C193" s="5">
        <v>5.4164000000000003</v>
      </c>
      <c r="D193" s="5">
        <v>5.4156500000000003</v>
      </c>
      <c r="F193">
        <f t="shared" si="2"/>
        <v>2.7697506301183734E-4</v>
      </c>
    </row>
    <row r="194" spans="1:6" x14ac:dyDescent="0.25">
      <c r="A194" s="2">
        <v>45985</v>
      </c>
      <c r="B194" s="3">
        <v>5.3954000000000004</v>
      </c>
      <c r="C194" s="3">
        <v>5.3962000000000003</v>
      </c>
      <c r="D194" s="3">
        <v>5.3958000000000004</v>
      </c>
      <c r="F194">
        <f t="shared" si="2"/>
        <v>1.4826346417582412E-4</v>
      </c>
    </row>
    <row r="195" spans="1:6" x14ac:dyDescent="0.25">
      <c r="A195" s="4">
        <v>45986</v>
      </c>
      <c r="B195" s="5">
        <v>5.3940000000000001</v>
      </c>
      <c r="C195" s="5">
        <v>5.3955000000000002</v>
      </c>
      <c r="D195" s="5">
        <v>5.3947500000000002</v>
      </c>
      <c r="F195">
        <f t="shared" ref="F195:F258" si="3">(C195-B195)/D195</f>
        <v>2.7804810232171217E-4</v>
      </c>
    </row>
    <row r="196" spans="1:6" x14ac:dyDescent="0.25">
      <c r="A196" s="2">
        <v>45987</v>
      </c>
      <c r="B196" s="3">
        <v>5.3536999999999999</v>
      </c>
      <c r="C196" s="3">
        <v>5.3551000000000002</v>
      </c>
      <c r="D196" s="3">
        <v>5.3544</v>
      </c>
      <c r="F196">
        <f t="shared" si="3"/>
        <v>2.6146720454211299E-4</v>
      </c>
    </row>
    <row r="197" spans="1:6" x14ac:dyDescent="0.25">
      <c r="A197" s="4">
        <v>45988</v>
      </c>
      <c r="B197" s="5">
        <v>5.3479999999999999</v>
      </c>
      <c r="C197" s="5">
        <v>5.3487999999999998</v>
      </c>
      <c r="D197" s="5">
        <v>5.3483999999999998</v>
      </c>
      <c r="F197">
        <f t="shared" si="3"/>
        <v>1.4957744372147034E-4</v>
      </c>
    </row>
    <row r="198" spans="1:6" x14ac:dyDescent="0.25">
      <c r="A198" s="2">
        <v>45989</v>
      </c>
      <c r="B198" s="3">
        <v>5.3423999999999996</v>
      </c>
      <c r="C198" s="3">
        <v>5.3440000000000003</v>
      </c>
      <c r="D198" s="3">
        <v>5.3432000000000004</v>
      </c>
      <c r="F198">
        <f t="shared" si="3"/>
        <v>2.9944602485415327E-4</v>
      </c>
    </row>
    <row r="199" spans="1:6" x14ac:dyDescent="0.25">
      <c r="A199" s="4">
        <v>45992</v>
      </c>
      <c r="B199" s="5">
        <v>5.3456999999999999</v>
      </c>
      <c r="C199" s="5">
        <v>5.3465999999999996</v>
      </c>
      <c r="D199" s="5">
        <v>5.3461499999999997</v>
      </c>
      <c r="F199">
        <f t="shared" si="3"/>
        <v>1.6834544485277796E-4</v>
      </c>
    </row>
    <row r="200" spans="1:6" x14ac:dyDescent="0.25">
      <c r="A200" s="2">
        <v>45993</v>
      </c>
      <c r="B200" s="3">
        <v>5.3400999999999996</v>
      </c>
      <c r="C200" s="3">
        <v>5.3414999999999999</v>
      </c>
      <c r="D200" s="3">
        <v>5.3407999999999998</v>
      </c>
      <c r="F200">
        <f t="shared" si="3"/>
        <v>2.6213301378076131E-4</v>
      </c>
    </row>
    <row r="201" spans="1:6" x14ac:dyDescent="0.25">
      <c r="A201" s="4">
        <v>45994</v>
      </c>
      <c r="B201" s="5">
        <v>5.3005000000000004</v>
      </c>
      <c r="C201" s="5">
        <v>5.3019999999999996</v>
      </c>
      <c r="D201" s="5">
        <v>5.3012499999999996</v>
      </c>
      <c r="F201">
        <f t="shared" si="3"/>
        <v>2.8295213393051994E-4</v>
      </c>
    </row>
    <row r="202" spans="1:6" x14ac:dyDescent="0.25">
      <c r="A202" s="2">
        <v>45995</v>
      </c>
      <c r="B202" s="3">
        <v>5.2927</v>
      </c>
      <c r="C202" s="3">
        <v>5.2938000000000001</v>
      </c>
      <c r="D202" s="3">
        <v>5.2932499999999996</v>
      </c>
      <c r="F202">
        <f t="shared" si="3"/>
        <v>2.0781183582866878E-4</v>
      </c>
    </row>
    <row r="203" spans="1:6" x14ac:dyDescent="0.25">
      <c r="A203" s="4">
        <v>45996</v>
      </c>
      <c r="B203" s="5">
        <v>5.3739999999999997</v>
      </c>
      <c r="C203" s="5">
        <v>5.3756000000000004</v>
      </c>
      <c r="D203" s="5">
        <v>5.3747999999999996</v>
      </c>
      <c r="F203">
        <f t="shared" si="3"/>
        <v>2.9768549527437523E-4</v>
      </c>
    </row>
    <row r="204" spans="1:6" x14ac:dyDescent="0.25">
      <c r="A204" s="2">
        <v>45999</v>
      </c>
      <c r="B204" s="3">
        <v>5.4455</v>
      </c>
      <c r="C204" s="3">
        <v>5.4474999999999998</v>
      </c>
      <c r="D204" s="3">
        <v>5.4465000000000003</v>
      </c>
      <c r="F204">
        <f t="shared" si="3"/>
        <v>3.6720829890751484E-4</v>
      </c>
    </row>
    <row r="205" spans="1:6" x14ac:dyDescent="0.25">
      <c r="A205" s="4">
        <v>46000</v>
      </c>
      <c r="B205" s="5">
        <v>5.4321000000000002</v>
      </c>
      <c r="C205" s="5">
        <v>5.4336000000000002</v>
      </c>
      <c r="D205" s="5">
        <v>5.4328500000000002</v>
      </c>
      <c r="F205">
        <f t="shared" si="3"/>
        <v>2.7609818051300088E-4</v>
      </c>
    </row>
    <row r="206" spans="1:6" x14ac:dyDescent="0.25">
      <c r="A206" s="2">
        <v>46001</v>
      </c>
      <c r="B206" s="3">
        <v>5.4836</v>
      </c>
      <c r="C206" s="3">
        <v>5.4851000000000001</v>
      </c>
      <c r="D206" s="3">
        <v>5.4843500000000001</v>
      </c>
      <c r="F206">
        <f t="shared" si="3"/>
        <v>2.7350552025309414E-4</v>
      </c>
    </row>
    <row r="207" spans="1:6" x14ac:dyDescent="0.25">
      <c r="A207" s="4">
        <v>46002</v>
      </c>
      <c r="B207" s="5">
        <v>5.4069000000000003</v>
      </c>
      <c r="C207" s="5">
        <v>5.4080000000000004</v>
      </c>
      <c r="D207" s="5">
        <v>5.4074499999999999</v>
      </c>
      <c r="F207">
        <f t="shared" si="3"/>
        <v>2.0342305522937817E-4</v>
      </c>
    </row>
    <row r="208" spans="1:6" x14ac:dyDescent="0.25">
      <c r="A208" s="2">
        <v>46003</v>
      </c>
      <c r="B208" s="3">
        <v>5.4165000000000001</v>
      </c>
      <c r="C208" s="3">
        <v>5.4173999999999998</v>
      </c>
      <c r="D208" s="3">
        <v>5.4169499999999999</v>
      </c>
      <c r="F208">
        <f t="shared" si="3"/>
        <v>1.6614515548411539E-4</v>
      </c>
    </row>
    <row r="209" spans="1:6" x14ac:dyDescent="0.25">
      <c r="A209" s="4">
        <v>46006</v>
      </c>
      <c r="B209" s="5">
        <v>5.4020999999999999</v>
      </c>
      <c r="C209" s="5">
        <v>5.4028999999999998</v>
      </c>
      <c r="D209" s="5">
        <v>5.4024999999999999</v>
      </c>
      <c r="F209">
        <f t="shared" si="3"/>
        <v>1.4807959278110354E-4</v>
      </c>
    </row>
    <row r="210" spans="1:6" x14ac:dyDescent="0.25">
      <c r="A210" s="2">
        <v>46007</v>
      </c>
      <c r="B210" s="3">
        <v>5.4663000000000004</v>
      </c>
      <c r="C210" s="3">
        <v>5.4675000000000002</v>
      </c>
      <c r="D210" s="3">
        <v>5.4668999999999999</v>
      </c>
      <c r="F210">
        <f t="shared" si="3"/>
        <v>2.1950282609886184E-4</v>
      </c>
    </row>
    <row r="211" spans="1:6" x14ac:dyDescent="0.25">
      <c r="A211" s="4">
        <v>46008</v>
      </c>
      <c r="B211" s="5">
        <v>5.5225</v>
      </c>
      <c r="C211" s="5">
        <v>5.5236999999999998</v>
      </c>
      <c r="D211" s="5">
        <v>5.5231000000000003</v>
      </c>
      <c r="F211">
        <f t="shared" si="3"/>
        <v>2.1726928717565638E-4</v>
      </c>
    </row>
    <row r="212" spans="1:6" x14ac:dyDescent="0.25">
      <c r="A212" s="2">
        <v>46009</v>
      </c>
      <c r="B212" s="3">
        <v>5.5107999999999997</v>
      </c>
      <c r="C212" s="3">
        <v>5.5124000000000004</v>
      </c>
      <c r="D212" s="3">
        <v>5.5115999999999996</v>
      </c>
      <c r="F212">
        <f t="shared" si="3"/>
        <v>2.9029682850727776E-4</v>
      </c>
    </row>
    <row r="213" spans="1:6" x14ac:dyDescent="0.25">
      <c r="A213" s="4">
        <v>46010</v>
      </c>
      <c r="B213" s="5">
        <v>5.5065</v>
      </c>
      <c r="C213" s="5">
        <v>5.5077999999999996</v>
      </c>
      <c r="D213" s="5">
        <v>5.5071500000000002</v>
      </c>
      <c r="F213">
        <f t="shared" si="3"/>
        <v>2.3605676257222605E-4</v>
      </c>
    </row>
    <row r="214" spans="1:6" x14ac:dyDescent="0.25">
      <c r="A214" s="2">
        <v>46013</v>
      </c>
      <c r="B214" s="3">
        <v>5.5589000000000004</v>
      </c>
      <c r="C214" s="3">
        <v>5.5602</v>
      </c>
      <c r="D214" s="3">
        <v>5.5595499999999998</v>
      </c>
      <c r="F214">
        <f t="shared" si="3"/>
        <v>2.3383187488189419E-4</v>
      </c>
    </row>
    <row r="215" spans="1:6" x14ac:dyDescent="0.25">
      <c r="A215" s="4">
        <v>46014</v>
      </c>
      <c r="B215" s="5">
        <v>5.5438999999999998</v>
      </c>
      <c r="C215" s="5">
        <v>5.5449999999999999</v>
      </c>
      <c r="D215" s="5">
        <v>5.5444500000000003</v>
      </c>
      <c r="F215">
        <f t="shared" si="3"/>
        <v>1.9839659479300938E-4</v>
      </c>
    </row>
    <row r="216" spans="1:6" x14ac:dyDescent="0.25">
      <c r="A216" s="2">
        <v>46015</v>
      </c>
      <c r="B216" s="3">
        <v>5.5278</v>
      </c>
      <c r="C216" s="3">
        <v>5.5286</v>
      </c>
      <c r="D216" s="3">
        <v>5.5282</v>
      </c>
      <c r="F216">
        <f t="shared" si="3"/>
        <v>1.4471256466841139E-4</v>
      </c>
    </row>
    <row r="217" spans="1:6" x14ac:dyDescent="0.25">
      <c r="A217" s="4">
        <v>46016</v>
      </c>
      <c r="B217" s="5">
        <v>5.5278</v>
      </c>
      <c r="C217" s="5">
        <v>5.5286</v>
      </c>
      <c r="D217" s="5">
        <v>5.5282073</v>
      </c>
      <c r="F217">
        <f t="shared" si="3"/>
        <v>1.4471237357541059E-4</v>
      </c>
    </row>
    <row r="218" spans="1:6" x14ac:dyDescent="0.25">
      <c r="A218" s="2">
        <v>46017</v>
      </c>
      <c r="B218" s="3">
        <v>5.5357000000000003</v>
      </c>
      <c r="C218" s="3">
        <v>5.5368000000000004</v>
      </c>
      <c r="D218" s="3">
        <v>5.5362499999999999</v>
      </c>
      <c r="F218">
        <f t="shared" si="3"/>
        <v>1.986904493113752E-4</v>
      </c>
    </row>
    <row r="219" spans="1:6" x14ac:dyDescent="0.25">
      <c r="A219" s="4">
        <v>46020</v>
      </c>
      <c r="B219" s="5">
        <v>5.5659999999999998</v>
      </c>
      <c r="C219" s="5">
        <v>5.5674000000000001</v>
      </c>
      <c r="D219" s="5">
        <v>5.5667</v>
      </c>
      <c r="F219">
        <f t="shared" si="3"/>
        <v>2.5149550002699801E-4</v>
      </c>
    </row>
    <row r="220" spans="1:6" x14ac:dyDescent="0.25">
      <c r="A220" s="2">
        <v>46021</v>
      </c>
      <c r="B220" s="3">
        <v>5.4968000000000004</v>
      </c>
      <c r="C220" s="3">
        <v>5.4977999999999998</v>
      </c>
      <c r="D220" s="3">
        <v>5.4973000000000001</v>
      </c>
      <c r="F220">
        <f t="shared" si="3"/>
        <v>1.8190748185462787E-4</v>
      </c>
    </row>
    <row r="221" spans="1:6" x14ac:dyDescent="0.25">
      <c r="A221" s="4">
        <v>46022</v>
      </c>
      <c r="B221" s="5">
        <v>5.4790000000000001</v>
      </c>
      <c r="C221" s="5">
        <v>5.4805000000000001</v>
      </c>
      <c r="D221" s="5">
        <v>5.4797500000000001</v>
      </c>
      <c r="F221">
        <f t="shared" si="3"/>
        <v>2.7373511565309674E-4</v>
      </c>
    </row>
    <row r="222" spans="1:6" x14ac:dyDescent="0.25">
      <c r="A222" s="2">
        <v>46023</v>
      </c>
      <c r="B222" s="3">
        <v>5.4790000000000001</v>
      </c>
      <c r="C222" s="3">
        <v>5.4805000000000001</v>
      </c>
      <c r="D222" s="3">
        <v>5.4797589999999996</v>
      </c>
      <c r="F222">
        <f t="shared" si="3"/>
        <v>2.7373466606835393E-4</v>
      </c>
    </row>
    <row r="223" spans="1:6" x14ac:dyDescent="0.25">
      <c r="A223" s="4">
        <v>46024</v>
      </c>
      <c r="B223" s="5">
        <v>5.4367000000000001</v>
      </c>
      <c r="C223" s="5">
        <v>5.4381000000000004</v>
      </c>
      <c r="D223" s="5">
        <v>5.4374000000000002</v>
      </c>
      <c r="F223">
        <f t="shared" si="3"/>
        <v>2.5747599955866588E-4</v>
      </c>
    </row>
    <row r="224" spans="1:6" x14ac:dyDescent="0.25">
      <c r="A224" s="2">
        <v>46027</v>
      </c>
      <c r="B224" s="3">
        <v>5.4145000000000003</v>
      </c>
      <c r="C224" s="3">
        <v>5.4150999999999998</v>
      </c>
      <c r="D224" s="3">
        <v>5.4147999999999996</v>
      </c>
      <c r="F224">
        <f t="shared" si="3"/>
        <v>1.1080741670966424E-4</v>
      </c>
    </row>
    <row r="225" spans="1:6" x14ac:dyDescent="0.25">
      <c r="A225" s="4">
        <v>46028</v>
      </c>
      <c r="B225" s="5">
        <v>5.3701999999999996</v>
      </c>
      <c r="C225" s="5">
        <v>5.3712999999999997</v>
      </c>
      <c r="D225" s="5">
        <v>5.3707500000000001</v>
      </c>
      <c r="F225">
        <f t="shared" si="3"/>
        <v>2.0481310803893327E-4</v>
      </c>
    </row>
    <row r="226" spans="1:6" x14ac:dyDescent="0.25">
      <c r="A226" s="2">
        <v>46029</v>
      </c>
      <c r="B226" s="3">
        <v>5.3939000000000004</v>
      </c>
      <c r="C226" s="3">
        <v>5.3948</v>
      </c>
      <c r="D226" s="3">
        <v>5.3943500000000002</v>
      </c>
      <c r="F226">
        <f t="shared" si="3"/>
        <v>1.6684123202974943E-4</v>
      </c>
    </row>
    <row r="227" spans="1:6" x14ac:dyDescent="0.25">
      <c r="A227" s="4">
        <v>46030</v>
      </c>
      <c r="B227" s="5">
        <v>5.3888999999999996</v>
      </c>
      <c r="C227" s="5">
        <v>5.3898000000000001</v>
      </c>
      <c r="D227" s="5">
        <v>5.3893500000000003</v>
      </c>
      <c r="F227">
        <f t="shared" si="3"/>
        <v>1.669960199282969E-4</v>
      </c>
    </row>
    <row r="228" spans="1:6" x14ac:dyDescent="0.25">
      <c r="A228" s="2">
        <v>46031</v>
      </c>
      <c r="B228" s="3">
        <v>5.3540999999999999</v>
      </c>
      <c r="C228" s="3">
        <v>5.3552</v>
      </c>
      <c r="D228" s="3">
        <v>5.3546500000000004</v>
      </c>
      <c r="F228">
        <f t="shared" si="3"/>
        <v>2.0542892626037199E-4</v>
      </c>
    </row>
    <row r="229" spans="1:6" x14ac:dyDescent="0.25">
      <c r="A229" s="4">
        <v>46034</v>
      </c>
      <c r="B229" s="5">
        <v>5.3686999999999996</v>
      </c>
      <c r="C229" s="5">
        <v>5.3700999999999999</v>
      </c>
      <c r="D229" s="5">
        <v>5.3693999999999997</v>
      </c>
      <c r="F229">
        <f t="shared" si="3"/>
        <v>2.6073676760909783E-4</v>
      </c>
    </row>
    <row r="230" spans="1:6" x14ac:dyDescent="0.25">
      <c r="A230" s="2">
        <v>46035</v>
      </c>
      <c r="B230" s="3">
        <v>5.3787000000000003</v>
      </c>
      <c r="C230" s="3">
        <v>5.3798000000000004</v>
      </c>
      <c r="D230" s="3">
        <v>5.3792499999999999</v>
      </c>
      <c r="F230">
        <f t="shared" si="3"/>
        <v>2.0448947343962466E-4</v>
      </c>
    </row>
    <row r="231" spans="1:6" x14ac:dyDescent="0.25">
      <c r="A231" s="4">
        <v>46036</v>
      </c>
      <c r="B231" s="5">
        <v>5.3924000000000003</v>
      </c>
      <c r="C231" s="5">
        <v>5.3930999999999996</v>
      </c>
      <c r="D231" s="5">
        <v>5.3927500000000004</v>
      </c>
      <c r="F231">
        <f t="shared" si="3"/>
        <v>1.2980390338867122E-4</v>
      </c>
    </row>
    <row r="232" spans="1:6" x14ac:dyDescent="0.25">
      <c r="A232" s="2">
        <v>46037</v>
      </c>
      <c r="B232" s="3">
        <v>5.3700999999999999</v>
      </c>
      <c r="C232" s="3">
        <v>5.3705999999999996</v>
      </c>
      <c r="D232" s="3">
        <v>5.3703500000000002</v>
      </c>
      <c r="F232">
        <f t="shared" si="3"/>
        <v>9.3103801428160712E-5</v>
      </c>
    </row>
    <row r="233" spans="1:6" x14ac:dyDescent="0.25">
      <c r="A233" s="4">
        <v>46038</v>
      </c>
      <c r="B233" s="5">
        <v>5.3814000000000002</v>
      </c>
      <c r="C233" s="5">
        <v>5.3826999999999998</v>
      </c>
      <c r="D233" s="5">
        <v>5.3820499999999996</v>
      </c>
      <c r="F233">
        <f t="shared" si="3"/>
        <v>2.415436497244795E-4</v>
      </c>
    </row>
    <row r="234" spans="1:6" x14ac:dyDescent="0.25">
      <c r="A234" s="2">
        <v>46041</v>
      </c>
      <c r="B234" s="3">
        <v>5.3586999999999998</v>
      </c>
      <c r="C234" s="3">
        <v>5.3601999999999999</v>
      </c>
      <c r="D234" s="3">
        <v>5.3594499999999998</v>
      </c>
      <c r="F234">
        <f t="shared" si="3"/>
        <v>2.7987946524364571E-4</v>
      </c>
    </row>
    <row r="235" spans="1:6" x14ac:dyDescent="0.25">
      <c r="A235" s="4">
        <v>46042</v>
      </c>
      <c r="B235" s="5">
        <v>5.3647999999999998</v>
      </c>
      <c r="C235" s="5">
        <v>5.3658999999999999</v>
      </c>
      <c r="D235" s="5">
        <v>5.3653500000000003</v>
      </c>
      <c r="F235">
        <f t="shared" si="3"/>
        <v>2.0501924385177124E-4</v>
      </c>
    </row>
    <row r="236" spans="1:6" x14ac:dyDescent="0.25">
      <c r="A236" s="2">
        <v>46043</v>
      </c>
      <c r="B236" s="3">
        <v>5.3243</v>
      </c>
      <c r="C236" s="3">
        <v>5.3254000000000001</v>
      </c>
      <c r="D236" s="3">
        <v>5.3248499999999996</v>
      </c>
      <c r="F236">
        <f t="shared" si="3"/>
        <v>2.0657858906825561E-4</v>
      </c>
    </row>
    <row r="237" spans="1:6" x14ac:dyDescent="0.25">
      <c r="A237" s="4">
        <v>46044</v>
      </c>
      <c r="B237" s="5">
        <v>5.2953000000000001</v>
      </c>
      <c r="C237" s="5">
        <v>5.2960000000000003</v>
      </c>
      <c r="D237" s="5">
        <v>5.2956500000000002</v>
      </c>
      <c r="F237">
        <f t="shared" si="3"/>
        <v>1.3218396230871469E-4</v>
      </c>
    </row>
    <row r="238" spans="1:6" x14ac:dyDescent="0.25">
      <c r="A238" s="2">
        <v>46045</v>
      </c>
      <c r="B238" s="3">
        <v>5.2831999999999999</v>
      </c>
      <c r="C238" s="3">
        <v>5.2847</v>
      </c>
      <c r="D238" s="3">
        <v>5.2839499999999999</v>
      </c>
      <c r="F238">
        <f t="shared" si="3"/>
        <v>2.8387853783628852E-4</v>
      </c>
    </row>
    <row r="239" spans="1:6" x14ac:dyDescent="0.25">
      <c r="A239" s="4">
        <v>46048</v>
      </c>
      <c r="B239" s="5">
        <v>5.2614999999999998</v>
      </c>
      <c r="C239" s="5">
        <v>5.2625999999999999</v>
      </c>
      <c r="D239" s="5">
        <v>5.2620500000000003</v>
      </c>
      <c r="F239">
        <f t="shared" si="3"/>
        <v>2.0904400376281122E-4</v>
      </c>
    </row>
    <row r="240" spans="1:6" x14ac:dyDescent="0.25">
      <c r="A240" s="2">
        <v>46049</v>
      </c>
      <c r="B240" s="3">
        <v>5.2190000000000003</v>
      </c>
      <c r="C240" s="3">
        <v>5.2196999999999996</v>
      </c>
      <c r="D240" s="3">
        <v>5.2193500000000004</v>
      </c>
      <c r="F240">
        <f t="shared" si="3"/>
        <v>1.3411631716578822E-4</v>
      </c>
    </row>
    <row r="241" spans="1:6" x14ac:dyDescent="0.25">
      <c r="A241" s="4">
        <v>46050</v>
      </c>
      <c r="B241" s="5">
        <v>5.2096</v>
      </c>
      <c r="C241" s="5">
        <v>5.2107999999999999</v>
      </c>
      <c r="D241" s="5">
        <v>5.2102000000000004</v>
      </c>
      <c r="F241">
        <f t="shared" si="3"/>
        <v>2.3031745422438059E-4</v>
      </c>
    </row>
    <row r="242" spans="1:6" x14ac:dyDescent="0.25">
      <c r="A242" s="2">
        <v>46051</v>
      </c>
      <c r="B242" s="3">
        <v>5.2305000000000001</v>
      </c>
      <c r="C242" s="3">
        <v>5.2328000000000001</v>
      </c>
      <c r="D242" s="3">
        <v>5.2316500000000001</v>
      </c>
      <c r="F242">
        <f t="shared" si="3"/>
        <v>4.3963185610657604E-4</v>
      </c>
    </row>
    <row r="243" spans="1:6" x14ac:dyDescent="0.25">
      <c r="A243" s="4">
        <v>46052</v>
      </c>
      <c r="B243" s="5">
        <v>5.2350000000000003</v>
      </c>
      <c r="C243" s="5">
        <v>5.2361000000000004</v>
      </c>
      <c r="D243" s="5">
        <v>5.2355499999999999</v>
      </c>
      <c r="F243">
        <f t="shared" si="3"/>
        <v>2.101020905158199E-4</v>
      </c>
    </row>
    <row r="244" spans="1:6" x14ac:dyDescent="0.25">
      <c r="A244" s="2">
        <v>46055</v>
      </c>
      <c r="B244" s="3">
        <v>5.2621000000000002</v>
      </c>
      <c r="C244" s="3">
        <v>5.2634999999999996</v>
      </c>
      <c r="D244" s="3">
        <v>5.2628000000000004</v>
      </c>
      <c r="F244">
        <f t="shared" si="3"/>
        <v>2.6601808922995396E-4</v>
      </c>
    </row>
    <row r="245" spans="1:6" x14ac:dyDescent="0.25">
      <c r="A245" s="4">
        <v>46056</v>
      </c>
      <c r="B245" s="5">
        <v>5.2152000000000003</v>
      </c>
      <c r="C245" s="5">
        <v>5.2163000000000004</v>
      </c>
      <c r="D245" s="5">
        <v>5.2157499999999999</v>
      </c>
      <c r="F245">
        <f t="shared" si="3"/>
        <v>2.1089967885732654E-4</v>
      </c>
    </row>
    <row r="246" spans="1:6" x14ac:dyDescent="0.25">
      <c r="A246" s="2">
        <v>46057</v>
      </c>
      <c r="B246" s="3">
        <v>5.2493999999999996</v>
      </c>
      <c r="C246" s="3">
        <v>5.2507999999999999</v>
      </c>
      <c r="D246" s="3">
        <v>5.2500999999999998</v>
      </c>
      <c r="F246">
        <f t="shared" si="3"/>
        <v>2.6666158739839052E-4</v>
      </c>
    </row>
    <row r="247" spans="1:6" x14ac:dyDescent="0.25">
      <c r="A247" s="4">
        <v>46058</v>
      </c>
      <c r="B247" s="5">
        <v>5.2732999999999999</v>
      </c>
      <c r="C247" s="5">
        <v>5.2742000000000004</v>
      </c>
      <c r="D247" s="5">
        <v>5.2737499999999997</v>
      </c>
      <c r="F247">
        <f t="shared" si="3"/>
        <v>1.7065655368581504E-4</v>
      </c>
    </row>
    <row r="248" spans="1:6" x14ac:dyDescent="0.25">
      <c r="A248" s="2">
        <v>46059</v>
      </c>
      <c r="B248" s="3">
        <v>5.2267000000000001</v>
      </c>
      <c r="C248" s="3">
        <v>5.2275999999999998</v>
      </c>
      <c r="D248" s="3">
        <v>5.22715</v>
      </c>
      <c r="F248">
        <f t="shared" si="3"/>
        <v>1.7217795548237164E-4</v>
      </c>
    </row>
    <row r="249" spans="1:6" x14ac:dyDescent="0.25">
      <c r="A249" s="4">
        <v>46062</v>
      </c>
      <c r="B249" s="5">
        <v>5.1760999999999999</v>
      </c>
      <c r="C249" s="5">
        <v>5.1772</v>
      </c>
      <c r="D249" s="5">
        <v>5.1766500000000004</v>
      </c>
      <c r="F249">
        <f t="shared" si="3"/>
        <v>2.1249263519845861E-4</v>
      </c>
    </row>
    <row r="250" spans="1:6" x14ac:dyDescent="0.25">
      <c r="A250" s="2">
        <v>46063</v>
      </c>
      <c r="B250" s="3">
        <v>5.2024999999999997</v>
      </c>
      <c r="C250" s="3">
        <v>5.2035</v>
      </c>
      <c r="D250" s="3">
        <v>5.2030000000000003</v>
      </c>
      <c r="F250">
        <f t="shared" si="3"/>
        <v>1.9219680953302593E-4</v>
      </c>
    </row>
    <row r="251" spans="1:6" x14ac:dyDescent="0.25">
      <c r="A251" s="4">
        <v>46064</v>
      </c>
      <c r="B251" s="5">
        <v>5.1862000000000004</v>
      </c>
      <c r="C251" s="5">
        <v>5.1867999999999999</v>
      </c>
      <c r="D251" s="5">
        <v>5.1864999999999997</v>
      </c>
      <c r="F251">
        <f t="shared" si="3"/>
        <v>1.1568495131581796E-4</v>
      </c>
    </row>
    <row r="252" spans="1:6" x14ac:dyDescent="0.25">
      <c r="A252" s="2">
        <v>46065</v>
      </c>
      <c r="B252" s="3">
        <v>5.1688999999999998</v>
      </c>
      <c r="C252" s="3">
        <v>5.1703999999999999</v>
      </c>
      <c r="D252" s="3">
        <v>5.1696499999999999</v>
      </c>
      <c r="F252">
        <f t="shared" si="3"/>
        <v>2.9015503950945555E-4</v>
      </c>
    </row>
    <row r="253" spans="1:6" x14ac:dyDescent="0.25">
      <c r="A253" s="4">
        <v>46066</v>
      </c>
      <c r="B253" s="5">
        <v>5.2370000000000001</v>
      </c>
      <c r="C253" s="5">
        <v>5.2384000000000004</v>
      </c>
      <c r="D253" s="5">
        <v>5.2377000000000002</v>
      </c>
      <c r="F253">
        <f t="shared" si="3"/>
        <v>2.6729289573673368E-4</v>
      </c>
    </row>
    <row r="254" spans="1:6" x14ac:dyDescent="0.25">
      <c r="A254" s="2">
        <v>46069</v>
      </c>
      <c r="B254" s="3">
        <v>5.2218999999999998</v>
      </c>
      <c r="C254" s="3">
        <v>5.2236000000000002</v>
      </c>
      <c r="D254" s="3">
        <v>5.2227499999999996</v>
      </c>
      <c r="F254">
        <f t="shared" si="3"/>
        <v>3.2549901871628528E-4</v>
      </c>
    </row>
    <row r="255" spans="1:6" x14ac:dyDescent="0.25">
      <c r="A255" s="4">
        <v>46070</v>
      </c>
      <c r="B255" s="5">
        <v>5.2218999999999998</v>
      </c>
      <c r="C255" s="5">
        <v>5.2236000000000002</v>
      </c>
      <c r="D255" s="5">
        <v>5.2227499999999996</v>
      </c>
      <c r="F255">
        <f t="shared" si="3"/>
        <v>3.2549901871628528E-4</v>
      </c>
    </row>
    <row r="256" spans="1:6" x14ac:dyDescent="0.25">
      <c r="A256" s="2">
        <v>46071</v>
      </c>
      <c r="B256" s="3">
        <v>5.2046000000000001</v>
      </c>
      <c r="C256" s="3">
        <v>5.2057000000000002</v>
      </c>
      <c r="D256" s="3">
        <v>5.2051499999999997</v>
      </c>
      <c r="F256">
        <f t="shared" si="3"/>
        <v>2.1132916438529168E-4</v>
      </c>
    </row>
    <row r="257" spans="1:6" x14ac:dyDescent="0.25">
      <c r="A257" s="4">
        <v>46072</v>
      </c>
      <c r="B257" s="5">
        <v>5.2156000000000002</v>
      </c>
      <c r="C257" s="5">
        <v>5.2169999999999996</v>
      </c>
      <c r="D257" s="5">
        <v>5.2163000000000004</v>
      </c>
      <c r="F257">
        <f t="shared" si="3"/>
        <v>2.6838947146433329E-4</v>
      </c>
    </row>
    <row r="258" spans="1:6" x14ac:dyDescent="0.25">
      <c r="A258" s="2">
        <v>46073</v>
      </c>
      <c r="B258" s="3">
        <v>5.1860999999999997</v>
      </c>
      <c r="C258" s="3">
        <v>5.1871999999999998</v>
      </c>
      <c r="D258" s="3">
        <v>5.1866500000000002</v>
      </c>
      <c r="F258">
        <f t="shared" si="3"/>
        <v>2.1208294371127817E-4</v>
      </c>
    </row>
    <row r="259" spans="1:6" x14ac:dyDescent="0.25">
      <c r="A259" s="4">
        <v>46076</v>
      </c>
      <c r="B259" s="5">
        <v>5.1536</v>
      </c>
      <c r="C259" s="5">
        <v>5.1547000000000001</v>
      </c>
      <c r="D259" s="5">
        <v>5.1541499999999996</v>
      </c>
      <c r="F259">
        <f t="shared" ref="F259:F263" si="4">(C259-B259)/D259</f>
        <v>2.1342025358208453E-4</v>
      </c>
    </row>
    <row r="260" spans="1:6" x14ac:dyDescent="0.25">
      <c r="A260" s="2">
        <v>46077</v>
      </c>
      <c r="B260" s="3">
        <v>5.1517999999999997</v>
      </c>
      <c r="C260" s="3">
        <v>5.1528999999999998</v>
      </c>
      <c r="D260" s="3">
        <v>5.1523500000000002</v>
      </c>
      <c r="F260">
        <f t="shared" si="4"/>
        <v>2.1349481304649352E-4</v>
      </c>
    </row>
    <row r="261" spans="1:6" x14ac:dyDescent="0.25">
      <c r="A261" s="4">
        <v>46078</v>
      </c>
      <c r="B261" s="5">
        <v>5.1463000000000001</v>
      </c>
      <c r="C261" s="5">
        <v>5.1474000000000002</v>
      </c>
      <c r="D261" s="5">
        <v>5.1468499999999997</v>
      </c>
      <c r="F261">
        <f t="shared" si="4"/>
        <v>2.137229567599796E-4</v>
      </c>
    </row>
    <row r="262" spans="1:6" x14ac:dyDescent="0.25">
      <c r="A262" s="2">
        <v>46079</v>
      </c>
      <c r="B262" s="3">
        <v>5.1412000000000004</v>
      </c>
      <c r="C262" s="3">
        <v>5.1422999999999996</v>
      </c>
      <c r="D262" s="3">
        <v>5.14175</v>
      </c>
      <c r="F262">
        <f t="shared" si="4"/>
        <v>2.1393494432813979E-4</v>
      </c>
    </row>
    <row r="263" spans="1:6" x14ac:dyDescent="0.25">
      <c r="A263" s="4">
        <v>46080</v>
      </c>
      <c r="B263" s="5">
        <v>5.1279000000000003</v>
      </c>
      <c r="C263" s="5">
        <v>5.1288</v>
      </c>
      <c r="D263" s="5">
        <v>5.1283500000000002</v>
      </c>
      <c r="F263">
        <f t="shared" si="4"/>
        <v>1.7549504226499338E-4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1947-4177-4AD3-A440-9ED2370A6827}">
  <dimension ref="A1:I263"/>
  <sheetViews>
    <sheetView workbookViewId="0">
      <selection activeCell="L10" sqref="L10"/>
    </sheetView>
  </sheetViews>
  <sheetFormatPr baseColWidth="10" defaultRowHeight="15" x14ac:dyDescent="0.25"/>
  <cols>
    <col min="9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9</v>
      </c>
    </row>
    <row r="2" spans="1:9" x14ac:dyDescent="0.25">
      <c r="A2" s="2">
        <v>45715</v>
      </c>
      <c r="B2" s="3">
        <v>20.447399999999998</v>
      </c>
      <c r="C2" s="3">
        <v>20.451599999999999</v>
      </c>
      <c r="D2" s="3">
        <v>20.4495</v>
      </c>
      <c r="F2">
        <f>(C2-B2)/D2</f>
        <v>2.0538399471873981E-4</v>
      </c>
      <c r="H2" t="s">
        <v>10</v>
      </c>
      <c r="I2">
        <f>AVERAGE(F2:F263)</f>
        <v>1.8122167491361788E-4</v>
      </c>
    </row>
    <row r="3" spans="1:9" x14ac:dyDescent="0.25">
      <c r="A3" s="4">
        <v>45716</v>
      </c>
      <c r="B3" s="5">
        <v>20.527100000000001</v>
      </c>
      <c r="C3" s="5">
        <v>20.5319</v>
      </c>
      <c r="D3" s="5">
        <v>20.529499999999999</v>
      </c>
      <c r="F3">
        <f t="shared" ref="F3:F66" si="0">(C3-B3)/D3</f>
        <v>2.3380988333858457E-4</v>
      </c>
      <c r="H3" t="s">
        <v>11</v>
      </c>
      <c r="I3">
        <f>_xlfn.STDEV.S(F2:F263)</f>
        <v>3.1513247853720866E-5</v>
      </c>
    </row>
    <row r="4" spans="1:9" x14ac:dyDescent="0.25">
      <c r="A4" s="2">
        <v>45719</v>
      </c>
      <c r="B4" s="3">
        <v>20.405799999999999</v>
      </c>
      <c r="C4" s="3">
        <v>20.4102</v>
      </c>
      <c r="D4" s="3">
        <v>20.408000000000001</v>
      </c>
      <c r="F4">
        <f t="shared" si="0"/>
        <v>2.1560172481381828E-4</v>
      </c>
      <c r="H4" t="s">
        <v>14</v>
      </c>
      <c r="I4">
        <f>NORMSINV(0.99)</f>
        <v>2.3263478740408408</v>
      </c>
    </row>
    <row r="5" spans="1:9" x14ac:dyDescent="0.25">
      <c r="A5" s="4">
        <v>45720</v>
      </c>
      <c r="B5" s="5">
        <v>20.8886</v>
      </c>
      <c r="C5" s="5">
        <v>20.8934</v>
      </c>
      <c r="D5" s="5">
        <v>20.890999999999998</v>
      </c>
      <c r="F5">
        <f t="shared" si="0"/>
        <v>2.2976401321140547E-4</v>
      </c>
    </row>
    <row r="6" spans="1:9" x14ac:dyDescent="0.25">
      <c r="A6" s="2">
        <v>45721</v>
      </c>
      <c r="B6" s="3">
        <v>20.401599999999998</v>
      </c>
      <c r="C6" s="3">
        <v>20.406400000000001</v>
      </c>
      <c r="D6" s="3">
        <v>20.404</v>
      </c>
      <c r="F6">
        <f t="shared" si="0"/>
        <v>2.3524799059022858E-4</v>
      </c>
      <c r="H6" t="s">
        <v>12</v>
      </c>
      <c r="I6" s="8">
        <f>0.5*(I2+I3*I4)</f>
        <v>1.2726622603112175E-4</v>
      </c>
    </row>
    <row r="7" spans="1:9" x14ac:dyDescent="0.25">
      <c r="A7" s="4">
        <v>45722</v>
      </c>
      <c r="B7" s="5">
        <v>20.3064</v>
      </c>
      <c r="C7" s="5">
        <v>20.310600000000001</v>
      </c>
      <c r="D7" s="5">
        <v>20.308499999999999</v>
      </c>
      <c r="F7">
        <f t="shared" si="0"/>
        <v>2.068099564222306E-4</v>
      </c>
    </row>
    <row r="8" spans="1:9" x14ac:dyDescent="0.25">
      <c r="A8" s="2">
        <v>45723</v>
      </c>
      <c r="B8" s="3">
        <v>20.265799999999999</v>
      </c>
      <c r="C8" s="3">
        <v>20.269200000000001</v>
      </c>
      <c r="D8" s="3">
        <v>20.267499999999998</v>
      </c>
      <c r="F8">
        <f t="shared" si="0"/>
        <v>1.6775626002233794E-4</v>
      </c>
    </row>
    <row r="9" spans="1:9" x14ac:dyDescent="0.25">
      <c r="A9" s="4">
        <v>45726</v>
      </c>
      <c r="B9" s="5">
        <v>20.2896</v>
      </c>
      <c r="C9" s="5">
        <v>20.293399999999998</v>
      </c>
      <c r="D9" s="5">
        <v>20.291499999999999</v>
      </c>
      <c r="F9">
        <f t="shared" si="0"/>
        <v>1.8727053199606974E-4</v>
      </c>
    </row>
    <row r="10" spans="1:9" x14ac:dyDescent="0.25">
      <c r="A10" s="2">
        <v>45727</v>
      </c>
      <c r="B10" s="3">
        <v>20.343800000000002</v>
      </c>
      <c r="C10" s="3">
        <v>20.3477</v>
      </c>
      <c r="D10" s="3">
        <v>20.345749999999999</v>
      </c>
      <c r="F10">
        <f t="shared" si="0"/>
        <v>1.9168622439566082E-4</v>
      </c>
    </row>
    <row r="11" spans="1:9" x14ac:dyDescent="0.25">
      <c r="A11" s="4">
        <v>45728</v>
      </c>
      <c r="B11" s="5">
        <v>20.169899999999998</v>
      </c>
      <c r="C11" s="5">
        <v>20.174099999999999</v>
      </c>
      <c r="D11" s="5">
        <v>20.172000000000001</v>
      </c>
      <c r="F11">
        <f t="shared" si="0"/>
        <v>2.082093991672055E-4</v>
      </c>
    </row>
    <row r="12" spans="1:9" x14ac:dyDescent="0.25">
      <c r="A12" s="2">
        <v>45729</v>
      </c>
      <c r="B12" s="3">
        <v>20.091799999999999</v>
      </c>
      <c r="C12" s="3">
        <v>20.095199999999998</v>
      </c>
      <c r="D12" s="3">
        <v>20.093499999999999</v>
      </c>
      <c r="F12">
        <f t="shared" si="0"/>
        <v>1.6920894816727707E-4</v>
      </c>
    </row>
    <row r="13" spans="1:9" x14ac:dyDescent="0.25">
      <c r="A13" s="4">
        <v>45730</v>
      </c>
      <c r="B13" s="5">
        <v>19.8583</v>
      </c>
      <c r="C13" s="5">
        <v>19.861699999999999</v>
      </c>
      <c r="D13" s="5">
        <v>19.86</v>
      </c>
      <c r="F13">
        <f t="shared" si="0"/>
        <v>1.7119838872100613E-4</v>
      </c>
    </row>
    <row r="14" spans="1:9" x14ac:dyDescent="0.25">
      <c r="A14" s="2">
        <v>45733</v>
      </c>
      <c r="B14" s="3">
        <v>19.895499999999998</v>
      </c>
      <c r="C14" s="3">
        <v>19.8995</v>
      </c>
      <c r="D14" s="3">
        <v>19.897500000000001</v>
      </c>
      <c r="F14">
        <f t="shared" si="0"/>
        <v>2.0103028018602013E-4</v>
      </c>
    </row>
    <row r="15" spans="1:9" x14ac:dyDescent="0.25">
      <c r="A15" s="4">
        <v>45734</v>
      </c>
      <c r="B15" s="5">
        <v>19.9819</v>
      </c>
      <c r="C15" s="5">
        <v>19.985600000000002</v>
      </c>
      <c r="D15" s="5">
        <v>19.983750000000001</v>
      </c>
      <c r="F15">
        <f t="shared" si="0"/>
        <v>1.851504347283185E-4</v>
      </c>
    </row>
    <row r="16" spans="1:9" x14ac:dyDescent="0.25">
      <c r="A16" s="2">
        <v>45735</v>
      </c>
      <c r="B16" s="3">
        <v>20.058900000000001</v>
      </c>
      <c r="C16" s="3">
        <v>20.063099999999999</v>
      </c>
      <c r="D16" s="3">
        <v>20.061</v>
      </c>
      <c r="F16">
        <f t="shared" si="0"/>
        <v>2.0936144758473241E-4</v>
      </c>
    </row>
    <row r="17" spans="1:6" x14ac:dyDescent="0.25">
      <c r="A17" s="4">
        <v>45736</v>
      </c>
      <c r="B17" s="5">
        <v>20.142099999999999</v>
      </c>
      <c r="C17" s="5">
        <v>20.145900000000001</v>
      </c>
      <c r="D17" s="5">
        <v>20.143999999999998</v>
      </c>
      <c r="F17">
        <f t="shared" si="0"/>
        <v>1.8864177918992268E-4</v>
      </c>
    </row>
    <row r="18" spans="1:6" x14ac:dyDescent="0.25">
      <c r="A18" s="2">
        <v>45737</v>
      </c>
      <c r="B18" s="3">
        <v>20.189599999999999</v>
      </c>
      <c r="C18" s="3">
        <v>20.194400000000002</v>
      </c>
      <c r="D18" s="3">
        <v>20.192</v>
      </c>
      <c r="F18">
        <f t="shared" si="0"/>
        <v>2.3771790808255864E-4</v>
      </c>
    </row>
    <row r="19" spans="1:6" x14ac:dyDescent="0.25">
      <c r="A19" s="4">
        <v>45740</v>
      </c>
      <c r="B19" s="5">
        <v>20.095099999999999</v>
      </c>
      <c r="C19" s="5">
        <v>20.099900000000002</v>
      </c>
      <c r="D19" s="5">
        <v>20.0975</v>
      </c>
      <c r="F19">
        <f t="shared" si="0"/>
        <v>2.388356760792648E-4</v>
      </c>
    </row>
    <row r="20" spans="1:6" x14ac:dyDescent="0.25">
      <c r="A20" s="2">
        <v>45741</v>
      </c>
      <c r="B20" s="3">
        <v>20.075099999999999</v>
      </c>
      <c r="C20" s="3">
        <v>20.079899999999999</v>
      </c>
      <c r="D20" s="3">
        <v>20.077500000000001</v>
      </c>
      <c r="F20">
        <f t="shared" si="0"/>
        <v>2.3907358983934609E-4</v>
      </c>
    </row>
    <row r="21" spans="1:6" x14ac:dyDescent="0.25">
      <c r="A21" s="4">
        <v>45742</v>
      </c>
      <c r="B21" s="5">
        <v>20.110299999999999</v>
      </c>
      <c r="C21" s="5">
        <v>20.114699999999999</v>
      </c>
      <c r="D21" s="5">
        <v>20.112500000000001</v>
      </c>
      <c r="F21">
        <f t="shared" si="0"/>
        <v>2.1876942200126307E-4</v>
      </c>
    </row>
    <row r="22" spans="1:6" x14ac:dyDescent="0.25">
      <c r="A22" s="2">
        <v>45743</v>
      </c>
      <c r="B22" s="3">
        <v>20.2819</v>
      </c>
      <c r="C22" s="3">
        <v>20.2851</v>
      </c>
      <c r="D22" s="3">
        <v>20.2835</v>
      </c>
      <c r="F22">
        <f t="shared" si="0"/>
        <v>1.5776369955873727E-4</v>
      </c>
    </row>
    <row r="23" spans="1:6" x14ac:dyDescent="0.25">
      <c r="A23" s="4">
        <v>45744</v>
      </c>
      <c r="B23" s="5">
        <v>20.4161</v>
      </c>
      <c r="C23" s="5">
        <v>20.4209</v>
      </c>
      <c r="D23" s="5">
        <v>20.418500000000002</v>
      </c>
      <c r="F23">
        <f t="shared" si="0"/>
        <v>2.350809315081652E-4</v>
      </c>
    </row>
    <row r="24" spans="1:6" x14ac:dyDescent="0.25">
      <c r="A24" s="2">
        <v>45747</v>
      </c>
      <c r="B24" s="3">
        <v>20.456299999999999</v>
      </c>
      <c r="C24" s="3">
        <v>20.4602</v>
      </c>
      <c r="D24" s="3">
        <v>20.45825</v>
      </c>
      <c r="F24">
        <f t="shared" si="0"/>
        <v>1.9063214106786107E-4</v>
      </c>
    </row>
    <row r="25" spans="1:6" x14ac:dyDescent="0.25">
      <c r="A25" s="4">
        <v>45748</v>
      </c>
      <c r="B25" s="5">
        <v>20.397500000000001</v>
      </c>
      <c r="C25" s="5">
        <v>20.401499999999999</v>
      </c>
      <c r="D25" s="5">
        <v>20.3995</v>
      </c>
      <c r="F25">
        <f t="shared" si="0"/>
        <v>1.9608323733413973E-4</v>
      </c>
    </row>
    <row r="26" spans="1:6" x14ac:dyDescent="0.25">
      <c r="A26" s="2">
        <v>45749</v>
      </c>
      <c r="B26" s="3">
        <v>20.426500000000001</v>
      </c>
      <c r="C26" s="3">
        <v>20.4315</v>
      </c>
      <c r="D26" s="3">
        <v>20.428999999999998</v>
      </c>
      <c r="F26">
        <f t="shared" si="0"/>
        <v>2.4475011013750091E-4</v>
      </c>
    </row>
    <row r="27" spans="1:6" x14ac:dyDescent="0.25">
      <c r="A27" s="4">
        <v>45750</v>
      </c>
      <c r="B27" s="5">
        <v>19.89</v>
      </c>
      <c r="C27" s="5">
        <v>19.895499999999998</v>
      </c>
      <c r="D27" s="5">
        <v>19.892749999999999</v>
      </c>
      <c r="F27">
        <f t="shared" si="0"/>
        <v>2.7648263814695502E-4</v>
      </c>
    </row>
    <row r="28" spans="1:6" x14ac:dyDescent="0.25">
      <c r="A28" s="2">
        <v>45751</v>
      </c>
      <c r="B28" s="3">
        <v>20.505299999999998</v>
      </c>
      <c r="C28" s="3">
        <v>20.5107</v>
      </c>
      <c r="D28" s="3">
        <v>20.507999999999999</v>
      </c>
      <c r="F28">
        <f t="shared" si="0"/>
        <v>2.6331187829147775E-4</v>
      </c>
    </row>
    <row r="29" spans="1:6" x14ac:dyDescent="0.25">
      <c r="A29" s="4">
        <v>45754</v>
      </c>
      <c r="B29" s="5">
        <v>20.630199999999999</v>
      </c>
      <c r="C29" s="5">
        <v>20.637799999999999</v>
      </c>
      <c r="D29" s="5">
        <v>20.634</v>
      </c>
      <c r="F29">
        <f t="shared" si="0"/>
        <v>3.6832412523020506E-4</v>
      </c>
    </row>
    <row r="30" spans="1:6" x14ac:dyDescent="0.25">
      <c r="A30" s="2">
        <v>45755</v>
      </c>
      <c r="B30" s="3">
        <v>20.6188</v>
      </c>
      <c r="C30" s="3">
        <v>20.626200000000001</v>
      </c>
      <c r="D30" s="3">
        <v>20.622499999999999</v>
      </c>
      <c r="F30">
        <f t="shared" si="0"/>
        <v>3.5883137349984324E-4</v>
      </c>
    </row>
    <row r="31" spans="1:6" x14ac:dyDescent="0.25">
      <c r="A31" s="4">
        <v>45756</v>
      </c>
      <c r="B31" s="5">
        <v>20.991399999999999</v>
      </c>
      <c r="C31" s="5">
        <v>20.996600000000001</v>
      </c>
      <c r="D31" s="5">
        <v>20.994</v>
      </c>
      <c r="F31">
        <f t="shared" si="0"/>
        <v>2.476898161380438E-4</v>
      </c>
    </row>
    <row r="32" spans="1:6" x14ac:dyDescent="0.25">
      <c r="A32" s="2">
        <v>45757</v>
      </c>
      <c r="B32" s="3">
        <v>20.464500000000001</v>
      </c>
      <c r="C32" s="3">
        <v>20.471</v>
      </c>
      <c r="D32" s="3">
        <v>20.467749999999999</v>
      </c>
      <c r="F32">
        <f t="shared" si="0"/>
        <v>3.1757276691375761E-4</v>
      </c>
    </row>
    <row r="33" spans="1:6" x14ac:dyDescent="0.25">
      <c r="A33" s="4">
        <v>45758</v>
      </c>
      <c r="B33" s="5">
        <v>20.391500000000001</v>
      </c>
      <c r="C33" s="5">
        <v>20.397500000000001</v>
      </c>
      <c r="D33" s="5">
        <v>20.394500000000001</v>
      </c>
      <c r="F33">
        <f t="shared" si="0"/>
        <v>2.9419696486799023E-4</v>
      </c>
    </row>
    <row r="34" spans="1:6" x14ac:dyDescent="0.25">
      <c r="A34" s="2">
        <v>45761</v>
      </c>
      <c r="B34" s="3">
        <v>20.0426</v>
      </c>
      <c r="C34" s="3">
        <v>20.0474</v>
      </c>
      <c r="D34" s="3">
        <v>20.045000000000002</v>
      </c>
      <c r="F34">
        <f t="shared" si="0"/>
        <v>2.3946121227236074E-4</v>
      </c>
    </row>
    <row r="35" spans="1:6" x14ac:dyDescent="0.25">
      <c r="A35" s="4">
        <v>45762</v>
      </c>
      <c r="B35" s="5">
        <v>19.965800000000002</v>
      </c>
      <c r="C35" s="5">
        <v>19.969200000000001</v>
      </c>
      <c r="D35" s="5">
        <v>19.967500000000001</v>
      </c>
      <c r="F35">
        <f t="shared" si="0"/>
        <v>1.7027669963686897E-4</v>
      </c>
    </row>
    <row r="36" spans="1:6" x14ac:dyDescent="0.25">
      <c r="A36" s="2">
        <v>45763</v>
      </c>
      <c r="B36" s="3">
        <v>19.985099999999999</v>
      </c>
      <c r="C36" s="3">
        <v>19.9909</v>
      </c>
      <c r="D36" s="3">
        <v>19.988</v>
      </c>
      <c r="F36">
        <f t="shared" si="0"/>
        <v>2.9017410446271233E-4</v>
      </c>
    </row>
    <row r="37" spans="1:6" x14ac:dyDescent="0.25">
      <c r="A37" s="4">
        <v>45764</v>
      </c>
      <c r="B37" s="5">
        <v>19.8383</v>
      </c>
      <c r="C37" s="5">
        <v>19.842700000000001</v>
      </c>
      <c r="D37" s="5">
        <v>19.840499999999999</v>
      </c>
      <c r="F37">
        <f t="shared" si="0"/>
        <v>2.2176860462187967E-4</v>
      </c>
    </row>
    <row r="38" spans="1:6" x14ac:dyDescent="0.25">
      <c r="A38" s="2">
        <v>45765</v>
      </c>
      <c r="B38" s="3">
        <v>19.8383</v>
      </c>
      <c r="C38" s="3">
        <v>19.842700000000001</v>
      </c>
      <c r="D38" s="3">
        <v>19.840519</v>
      </c>
      <c r="F38">
        <f t="shared" si="0"/>
        <v>2.2176839224822715E-4</v>
      </c>
    </row>
    <row r="39" spans="1:6" x14ac:dyDescent="0.25">
      <c r="A39" s="4">
        <v>45768</v>
      </c>
      <c r="B39" s="5">
        <v>19.6218</v>
      </c>
      <c r="C39" s="5">
        <v>19.6252</v>
      </c>
      <c r="D39" s="5">
        <v>19.6235</v>
      </c>
      <c r="F39">
        <f t="shared" si="0"/>
        <v>1.7326165057197652E-4</v>
      </c>
    </row>
    <row r="40" spans="1:6" x14ac:dyDescent="0.25">
      <c r="A40" s="2">
        <v>45769</v>
      </c>
      <c r="B40" s="3">
        <v>19.622399999999999</v>
      </c>
      <c r="C40" s="3">
        <v>19.6266</v>
      </c>
      <c r="D40" s="3">
        <v>19.624500000000001</v>
      </c>
      <c r="F40">
        <f t="shared" si="0"/>
        <v>2.1401819154632574E-4</v>
      </c>
    </row>
    <row r="41" spans="1:6" x14ac:dyDescent="0.25">
      <c r="A41" s="4">
        <v>45770</v>
      </c>
      <c r="B41" s="5">
        <v>19.6218</v>
      </c>
      <c r="C41" s="5">
        <v>19.627199999999998</v>
      </c>
      <c r="D41" s="5">
        <v>19.624500000000001</v>
      </c>
      <c r="F41">
        <f t="shared" si="0"/>
        <v>2.7516624627369222E-4</v>
      </c>
    </row>
    <row r="42" spans="1:6" x14ac:dyDescent="0.25">
      <c r="A42" s="2">
        <v>45771</v>
      </c>
      <c r="B42" s="3">
        <v>19.595600000000001</v>
      </c>
      <c r="C42" s="3">
        <v>19.599399999999999</v>
      </c>
      <c r="D42" s="3">
        <v>19.5975</v>
      </c>
      <c r="F42">
        <f t="shared" si="0"/>
        <v>1.9390228345443291E-4</v>
      </c>
    </row>
    <row r="43" spans="1:6" x14ac:dyDescent="0.25">
      <c r="A43" s="4">
        <v>45772</v>
      </c>
      <c r="B43" s="5">
        <v>19.557099999999998</v>
      </c>
      <c r="C43" s="5">
        <v>19.5609</v>
      </c>
      <c r="D43" s="5">
        <v>19.559000000000001</v>
      </c>
      <c r="F43">
        <f t="shared" si="0"/>
        <v>1.9428396134780928E-4</v>
      </c>
    </row>
    <row r="44" spans="1:6" x14ac:dyDescent="0.25">
      <c r="A44" s="2">
        <v>45775</v>
      </c>
      <c r="B44" s="3">
        <v>19.582100000000001</v>
      </c>
      <c r="C44" s="3">
        <v>19.5854</v>
      </c>
      <c r="D44" s="3">
        <v>19.583749999999998</v>
      </c>
      <c r="F44">
        <f t="shared" si="0"/>
        <v>1.6850705304139477E-4</v>
      </c>
    </row>
    <row r="45" spans="1:6" x14ac:dyDescent="0.25">
      <c r="A45" s="4">
        <v>45776</v>
      </c>
      <c r="B45" s="5">
        <v>19.611699999999999</v>
      </c>
      <c r="C45" s="5">
        <v>19.6173</v>
      </c>
      <c r="D45" s="5">
        <v>19.6145</v>
      </c>
      <c r="F45">
        <f t="shared" si="0"/>
        <v>2.8550307170721454E-4</v>
      </c>
    </row>
    <row r="46" spans="1:6" x14ac:dyDescent="0.25">
      <c r="A46" s="2">
        <v>45777</v>
      </c>
      <c r="B46" s="3">
        <v>19.572900000000001</v>
      </c>
      <c r="C46" s="3">
        <v>19.577100000000002</v>
      </c>
      <c r="D46" s="3">
        <v>19.574999999999999</v>
      </c>
      <c r="F46">
        <f t="shared" si="0"/>
        <v>2.145593869732245E-4</v>
      </c>
    </row>
    <row r="47" spans="1:6" x14ac:dyDescent="0.25">
      <c r="A47" s="4">
        <v>45778</v>
      </c>
      <c r="B47" s="5">
        <v>19.605499999999999</v>
      </c>
      <c r="C47" s="5">
        <v>19.61</v>
      </c>
      <c r="D47" s="5">
        <v>19.607749999999999</v>
      </c>
      <c r="F47">
        <f t="shared" si="0"/>
        <v>2.2950109013018683E-4</v>
      </c>
    </row>
    <row r="48" spans="1:6" x14ac:dyDescent="0.25">
      <c r="A48" s="2">
        <v>45779</v>
      </c>
      <c r="B48" s="3">
        <v>19.626000000000001</v>
      </c>
      <c r="C48" s="3">
        <v>19.63</v>
      </c>
      <c r="D48" s="3">
        <v>19.628</v>
      </c>
      <c r="F48">
        <f t="shared" si="0"/>
        <v>2.0379050336243035E-4</v>
      </c>
    </row>
    <row r="49" spans="1:6" x14ac:dyDescent="0.25">
      <c r="A49" s="4">
        <v>45782</v>
      </c>
      <c r="B49" s="5">
        <v>19.600100000000001</v>
      </c>
      <c r="C49" s="5">
        <v>19.603899999999999</v>
      </c>
      <c r="D49" s="5">
        <v>19.602</v>
      </c>
      <c r="F49">
        <f t="shared" si="0"/>
        <v>1.9385776961525604E-4</v>
      </c>
    </row>
    <row r="50" spans="1:6" x14ac:dyDescent="0.25">
      <c r="A50" s="2">
        <v>45783</v>
      </c>
      <c r="B50" s="3">
        <v>19.721299999999999</v>
      </c>
      <c r="C50" s="3">
        <v>19.724699999999999</v>
      </c>
      <c r="D50" s="3">
        <v>19.722999999999999</v>
      </c>
      <c r="F50">
        <f t="shared" si="0"/>
        <v>1.7238756781418556E-4</v>
      </c>
    </row>
    <row r="51" spans="1:6" x14ac:dyDescent="0.25">
      <c r="A51" s="4">
        <v>45784</v>
      </c>
      <c r="B51" s="5">
        <v>19.606999999999999</v>
      </c>
      <c r="C51" s="5">
        <v>19.61</v>
      </c>
      <c r="D51" s="5">
        <v>19.608499999999999</v>
      </c>
      <c r="F51">
        <f t="shared" si="0"/>
        <v>1.5299487467170431E-4</v>
      </c>
    </row>
    <row r="52" spans="1:6" x14ac:dyDescent="0.25">
      <c r="A52" s="2">
        <v>45785</v>
      </c>
      <c r="B52" s="3">
        <v>19.545400000000001</v>
      </c>
      <c r="C52" s="3">
        <v>19.549099999999999</v>
      </c>
      <c r="D52" s="3">
        <v>19.547249999999998</v>
      </c>
      <c r="F52">
        <f t="shared" si="0"/>
        <v>1.8928493777889383E-4</v>
      </c>
    </row>
    <row r="53" spans="1:6" x14ac:dyDescent="0.25">
      <c r="A53" s="4">
        <v>45786</v>
      </c>
      <c r="B53" s="5">
        <v>19.478999999999999</v>
      </c>
      <c r="C53" s="5">
        <v>19.483000000000001</v>
      </c>
      <c r="D53" s="5">
        <v>19.481000000000002</v>
      </c>
      <c r="F53">
        <f t="shared" si="0"/>
        <v>2.0532826856944385E-4</v>
      </c>
    </row>
    <row r="54" spans="1:6" x14ac:dyDescent="0.25">
      <c r="A54" s="2">
        <v>45789</v>
      </c>
      <c r="B54" s="3">
        <v>19.639099999999999</v>
      </c>
      <c r="C54" s="3">
        <v>19.642900000000001</v>
      </c>
      <c r="D54" s="3">
        <v>19.640999999999998</v>
      </c>
      <c r="F54">
        <f t="shared" si="0"/>
        <v>1.9347283743199442E-4</v>
      </c>
    </row>
    <row r="55" spans="1:6" x14ac:dyDescent="0.25">
      <c r="A55" s="4">
        <v>45790</v>
      </c>
      <c r="B55" s="5">
        <v>19.4969</v>
      </c>
      <c r="C55" s="5">
        <v>19.5001</v>
      </c>
      <c r="D55" s="5">
        <v>19.4985</v>
      </c>
      <c r="F55">
        <f t="shared" si="0"/>
        <v>1.6411518834780355E-4</v>
      </c>
    </row>
    <row r="56" spans="1:6" x14ac:dyDescent="0.25">
      <c r="A56" s="2">
        <v>45791</v>
      </c>
      <c r="B56" s="3">
        <v>19.357800000000001</v>
      </c>
      <c r="C56" s="3">
        <v>19.3612</v>
      </c>
      <c r="D56" s="3">
        <v>19.359500000000001</v>
      </c>
      <c r="F56">
        <f t="shared" si="0"/>
        <v>1.7562437046407094E-4</v>
      </c>
    </row>
    <row r="57" spans="1:6" x14ac:dyDescent="0.25">
      <c r="A57" s="4">
        <v>45792</v>
      </c>
      <c r="B57" s="5">
        <v>19.4682</v>
      </c>
      <c r="C57" s="5">
        <v>19.471800000000002</v>
      </c>
      <c r="D57" s="5">
        <v>19.47</v>
      </c>
      <c r="F57">
        <f t="shared" si="0"/>
        <v>1.8489984591691156E-4</v>
      </c>
    </row>
    <row r="58" spans="1:6" x14ac:dyDescent="0.25">
      <c r="A58" s="2">
        <v>45793</v>
      </c>
      <c r="B58" s="3">
        <v>19.551400000000001</v>
      </c>
      <c r="C58" s="3">
        <v>19.554600000000001</v>
      </c>
      <c r="D58" s="3">
        <v>19.553000000000001</v>
      </c>
      <c r="F58">
        <f t="shared" si="0"/>
        <v>1.6365775072877038E-4</v>
      </c>
    </row>
    <row r="59" spans="1:6" x14ac:dyDescent="0.25">
      <c r="A59" s="4">
        <v>45796</v>
      </c>
      <c r="B59" s="5">
        <v>19.393699999999999</v>
      </c>
      <c r="C59" s="5">
        <v>19.397300000000001</v>
      </c>
      <c r="D59" s="5">
        <v>19.395499999999998</v>
      </c>
      <c r="F59">
        <f t="shared" si="0"/>
        <v>1.8561006419026414E-4</v>
      </c>
    </row>
    <row r="60" spans="1:6" x14ac:dyDescent="0.25">
      <c r="A60" s="2">
        <v>45797</v>
      </c>
      <c r="B60" s="3">
        <v>19.264399999999998</v>
      </c>
      <c r="C60" s="3">
        <v>19.267600000000002</v>
      </c>
      <c r="D60" s="3">
        <v>19.265999999999998</v>
      </c>
      <c r="F60">
        <f t="shared" si="0"/>
        <v>1.6609571265458324E-4</v>
      </c>
    </row>
    <row r="61" spans="1:6" x14ac:dyDescent="0.25">
      <c r="A61" s="4">
        <v>45798</v>
      </c>
      <c r="B61" s="5">
        <v>19.338000000000001</v>
      </c>
      <c r="C61" s="5">
        <v>19.341000000000001</v>
      </c>
      <c r="D61" s="5">
        <v>19.339500000000001</v>
      </c>
      <c r="F61">
        <f t="shared" si="0"/>
        <v>1.5512293492593468E-4</v>
      </c>
    </row>
    <row r="62" spans="1:6" x14ac:dyDescent="0.25">
      <c r="A62" s="2">
        <v>45799</v>
      </c>
      <c r="B62" s="3">
        <v>19.358000000000001</v>
      </c>
      <c r="C62" s="3">
        <v>19.361999999999998</v>
      </c>
      <c r="D62" s="3">
        <v>19.36</v>
      </c>
      <c r="F62">
        <f t="shared" si="0"/>
        <v>2.0661157024781939E-4</v>
      </c>
    </row>
    <row r="63" spans="1:6" x14ac:dyDescent="0.25">
      <c r="A63" s="4">
        <v>45800</v>
      </c>
      <c r="B63" s="5">
        <v>19.300999999999998</v>
      </c>
      <c r="C63" s="5">
        <v>19.303999999999998</v>
      </c>
      <c r="D63" s="5">
        <v>19.302499999999998</v>
      </c>
      <c r="F63">
        <f t="shared" si="0"/>
        <v>1.5542028234685217E-4</v>
      </c>
    </row>
    <row r="64" spans="1:6" x14ac:dyDescent="0.25">
      <c r="A64" s="2">
        <v>45803</v>
      </c>
      <c r="B64" s="3">
        <v>19.192799999999998</v>
      </c>
      <c r="C64" s="3">
        <v>19.196200000000001</v>
      </c>
      <c r="D64" s="3">
        <v>19.194500000000001</v>
      </c>
      <c r="F64">
        <f t="shared" si="0"/>
        <v>1.771340748653382E-4</v>
      </c>
    </row>
    <row r="65" spans="1:6" x14ac:dyDescent="0.25">
      <c r="A65" s="4">
        <v>45804</v>
      </c>
      <c r="B65" s="5">
        <v>19.198499999999999</v>
      </c>
      <c r="C65" s="5">
        <v>19.201499999999999</v>
      </c>
      <c r="D65" s="5">
        <v>19.2</v>
      </c>
      <c r="F65">
        <f t="shared" si="0"/>
        <v>1.5625000000000594E-4</v>
      </c>
    </row>
    <row r="66" spans="1:6" x14ac:dyDescent="0.25">
      <c r="A66" s="2">
        <v>45805</v>
      </c>
      <c r="B66" s="3">
        <v>19.385999999999999</v>
      </c>
      <c r="C66" s="3">
        <v>19.388999999999999</v>
      </c>
      <c r="D66" s="3">
        <v>19.387499999999999</v>
      </c>
      <c r="F66">
        <f t="shared" si="0"/>
        <v>1.5473887814313934E-4</v>
      </c>
    </row>
    <row r="67" spans="1:6" x14ac:dyDescent="0.25">
      <c r="A67" s="4">
        <v>45806</v>
      </c>
      <c r="B67" s="5">
        <v>19.353999999999999</v>
      </c>
      <c r="C67" s="5">
        <v>19.358000000000001</v>
      </c>
      <c r="D67" s="5">
        <v>19.356000000000002</v>
      </c>
      <c r="F67">
        <f t="shared" ref="F67:F130" si="1">(C67-B67)/D67</f>
        <v>2.0665426741069102E-4</v>
      </c>
    </row>
    <row r="68" spans="1:6" x14ac:dyDescent="0.25">
      <c r="A68" s="2">
        <v>45807</v>
      </c>
      <c r="B68" s="3">
        <v>19.404399999999999</v>
      </c>
      <c r="C68" s="3">
        <v>19.407599999999999</v>
      </c>
      <c r="D68" s="3">
        <v>19.405999999999999</v>
      </c>
      <c r="F68">
        <f t="shared" si="1"/>
        <v>1.6489745439552962E-4</v>
      </c>
    </row>
    <row r="69" spans="1:6" x14ac:dyDescent="0.25">
      <c r="A69" s="4">
        <v>45810</v>
      </c>
      <c r="B69" s="5">
        <v>19.2056</v>
      </c>
      <c r="C69" s="5">
        <v>19.209399999999999</v>
      </c>
      <c r="D69" s="5">
        <v>19.2075</v>
      </c>
      <c r="F69">
        <f t="shared" si="1"/>
        <v>1.9783938565655341E-4</v>
      </c>
    </row>
    <row r="70" spans="1:6" x14ac:dyDescent="0.25">
      <c r="A70" s="2">
        <v>45811</v>
      </c>
      <c r="B70" s="3">
        <v>19.240600000000001</v>
      </c>
      <c r="C70" s="3">
        <v>19.244399999999999</v>
      </c>
      <c r="D70" s="3">
        <v>19.2425</v>
      </c>
      <c r="F70">
        <f t="shared" si="1"/>
        <v>1.9747953748204493E-4</v>
      </c>
    </row>
    <row r="71" spans="1:6" x14ac:dyDescent="0.25">
      <c r="A71" s="4">
        <v>45812</v>
      </c>
      <c r="B71" s="5">
        <v>19.184799999999999</v>
      </c>
      <c r="C71" s="5">
        <v>19.188199999999998</v>
      </c>
      <c r="D71" s="5">
        <v>19.186499999999999</v>
      </c>
      <c r="F71">
        <f t="shared" si="1"/>
        <v>1.7720793266094294E-4</v>
      </c>
    </row>
    <row r="72" spans="1:6" x14ac:dyDescent="0.25">
      <c r="A72" s="2">
        <v>45813</v>
      </c>
      <c r="B72" s="3">
        <v>19.1648</v>
      </c>
      <c r="C72" s="3">
        <v>19.168199999999999</v>
      </c>
      <c r="D72" s="3">
        <v>19.166499999999999</v>
      </c>
      <c r="F72">
        <f t="shared" si="1"/>
        <v>1.7739284689427813E-4</v>
      </c>
    </row>
    <row r="73" spans="1:6" x14ac:dyDescent="0.25">
      <c r="A73" s="4">
        <v>45814</v>
      </c>
      <c r="B73" s="5">
        <v>19.180099999999999</v>
      </c>
      <c r="C73" s="5">
        <v>19.183900000000001</v>
      </c>
      <c r="D73" s="5">
        <v>19.181999999999999</v>
      </c>
      <c r="F73">
        <f t="shared" si="1"/>
        <v>1.9810238765518727E-4</v>
      </c>
    </row>
    <row r="74" spans="1:6" x14ac:dyDescent="0.25">
      <c r="A74" s="2">
        <v>45817</v>
      </c>
      <c r="B74" s="3">
        <v>19.0748</v>
      </c>
      <c r="C74" s="3">
        <v>19.078199999999999</v>
      </c>
      <c r="D74" s="3">
        <v>19.076499999999999</v>
      </c>
      <c r="F74">
        <f t="shared" si="1"/>
        <v>1.7822975912767968E-4</v>
      </c>
    </row>
    <row r="75" spans="1:6" x14ac:dyDescent="0.25">
      <c r="A75" s="4">
        <v>45818</v>
      </c>
      <c r="B75" s="5">
        <v>19.048200000000001</v>
      </c>
      <c r="C75" s="5">
        <v>19.0518</v>
      </c>
      <c r="D75" s="5">
        <v>19.05</v>
      </c>
      <c r="F75">
        <f t="shared" si="1"/>
        <v>1.8897637795268848E-4</v>
      </c>
    </row>
    <row r="76" spans="1:6" x14ac:dyDescent="0.25">
      <c r="A76" s="2">
        <v>45819</v>
      </c>
      <c r="B76" s="3">
        <v>18.9375</v>
      </c>
      <c r="C76" s="3">
        <v>18.9405</v>
      </c>
      <c r="D76" s="3">
        <v>18.939</v>
      </c>
      <c r="F76">
        <f t="shared" si="1"/>
        <v>1.584032947885376E-4</v>
      </c>
    </row>
    <row r="77" spans="1:6" x14ac:dyDescent="0.25">
      <c r="A77" s="4">
        <v>45820</v>
      </c>
      <c r="B77" s="5">
        <v>18.916899999999998</v>
      </c>
      <c r="C77" s="5">
        <v>18.920100000000001</v>
      </c>
      <c r="D77" s="5">
        <v>18.918500000000002</v>
      </c>
      <c r="F77">
        <f t="shared" si="1"/>
        <v>1.6914660253208234E-4</v>
      </c>
    </row>
    <row r="78" spans="1:6" x14ac:dyDescent="0.25">
      <c r="A78" s="2">
        <v>45821</v>
      </c>
      <c r="B78" s="3">
        <v>18.956900000000001</v>
      </c>
      <c r="C78" s="3">
        <v>18.960100000000001</v>
      </c>
      <c r="D78" s="3">
        <v>18.958500000000001</v>
      </c>
      <c r="F78">
        <f t="shared" si="1"/>
        <v>1.6878972492547655E-4</v>
      </c>
    </row>
    <row r="79" spans="1:6" x14ac:dyDescent="0.25">
      <c r="A79" s="4">
        <v>45824</v>
      </c>
      <c r="B79" s="5">
        <v>18.878</v>
      </c>
      <c r="C79" s="5">
        <v>18.881</v>
      </c>
      <c r="D79" s="5">
        <v>18.8795</v>
      </c>
      <c r="F79">
        <f t="shared" si="1"/>
        <v>1.589025133080915E-4</v>
      </c>
    </row>
    <row r="80" spans="1:6" x14ac:dyDescent="0.25">
      <c r="A80" s="2">
        <v>45825</v>
      </c>
      <c r="B80" s="3">
        <v>18.980499999999999</v>
      </c>
      <c r="C80" s="3">
        <v>18.984500000000001</v>
      </c>
      <c r="D80" s="3">
        <v>18.982500000000002</v>
      </c>
      <c r="F80">
        <f t="shared" si="1"/>
        <v>2.1072040036883104E-4</v>
      </c>
    </row>
    <row r="81" spans="1:6" x14ac:dyDescent="0.25">
      <c r="A81" s="4">
        <v>45826</v>
      </c>
      <c r="B81" s="5">
        <v>19.020499999999998</v>
      </c>
      <c r="C81" s="5">
        <v>19.023499999999999</v>
      </c>
      <c r="D81" s="5">
        <v>19.021999999999998</v>
      </c>
      <c r="F81">
        <f t="shared" si="1"/>
        <v>1.5771212280517896E-4</v>
      </c>
    </row>
    <row r="82" spans="1:6" x14ac:dyDescent="0.25">
      <c r="A82" s="2">
        <v>45827</v>
      </c>
      <c r="B82" s="3">
        <v>19.083400000000001</v>
      </c>
      <c r="C82" s="3">
        <v>19.087599999999998</v>
      </c>
      <c r="D82" s="3">
        <v>19.0855</v>
      </c>
      <c r="F82">
        <f t="shared" si="1"/>
        <v>2.2006235099930927E-4</v>
      </c>
    </row>
    <row r="83" spans="1:6" x14ac:dyDescent="0.25">
      <c r="A83" s="4">
        <v>45828</v>
      </c>
      <c r="B83" s="5">
        <v>19.134</v>
      </c>
      <c r="C83" s="5">
        <v>19.137</v>
      </c>
      <c r="D83" s="5">
        <v>19.1355</v>
      </c>
      <c r="F83">
        <f t="shared" si="1"/>
        <v>1.5677667163126719E-4</v>
      </c>
    </row>
    <row r="84" spans="1:6" x14ac:dyDescent="0.25">
      <c r="A84" s="2">
        <v>45831</v>
      </c>
      <c r="B84" s="3">
        <v>19.187899999999999</v>
      </c>
      <c r="C84" s="3">
        <v>19.191099999999999</v>
      </c>
      <c r="D84" s="3">
        <v>19.189499999999999</v>
      </c>
      <c r="F84">
        <f t="shared" si="1"/>
        <v>1.6675786237263336E-4</v>
      </c>
    </row>
    <row r="85" spans="1:6" x14ac:dyDescent="0.25">
      <c r="A85" s="4">
        <v>45832</v>
      </c>
      <c r="B85" s="5">
        <v>19.021000000000001</v>
      </c>
      <c r="C85" s="5">
        <v>19.024000000000001</v>
      </c>
      <c r="D85" s="5">
        <v>19.022500000000001</v>
      </c>
      <c r="F85">
        <f t="shared" si="1"/>
        <v>1.5770797739519588E-4</v>
      </c>
    </row>
    <row r="86" spans="1:6" x14ac:dyDescent="0.25">
      <c r="A86" s="2">
        <v>45833</v>
      </c>
      <c r="B86" s="3">
        <v>18.918900000000001</v>
      </c>
      <c r="C86" s="3">
        <v>18.9221</v>
      </c>
      <c r="D86" s="3">
        <v>18.920500000000001</v>
      </c>
      <c r="F86">
        <f t="shared" si="1"/>
        <v>1.6912872281386049E-4</v>
      </c>
    </row>
    <row r="87" spans="1:6" x14ac:dyDescent="0.25">
      <c r="A87" s="4">
        <v>45834</v>
      </c>
      <c r="B87" s="5">
        <v>18.8901</v>
      </c>
      <c r="C87" s="5">
        <v>18.8934</v>
      </c>
      <c r="D87" s="5">
        <v>18.891749999999998</v>
      </c>
      <c r="F87">
        <f t="shared" si="1"/>
        <v>1.7467942355787127E-4</v>
      </c>
    </row>
    <row r="88" spans="1:6" x14ac:dyDescent="0.25">
      <c r="A88" s="2">
        <v>45835</v>
      </c>
      <c r="B88" s="3">
        <v>18.867000000000001</v>
      </c>
      <c r="C88" s="3">
        <v>18.87</v>
      </c>
      <c r="D88" s="3">
        <v>18.868500000000001</v>
      </c>
      <c r="F88">
        <f t="shared" si="1"/>
        <v>1.5899515064791126E-4</v>
      </c>
    </row>
    <row r="89" spans="1:6" x14ac:dyDescent="0.25">
      <c r="A89" s="4">
        <v>45838</v>
      </c>
      <c r="B89" s="5">
        <v>18.890499999999999</v>
      </c>
      <c r="C89" s="5">
        <v>18.8935</v>
      </c>
      <c r="D89" s="5">
        <v>18.891999999999999</v>
      </c>
      <c r="F89">
        <f t="shared" si="1"/>
        <v>1.5879737455008012E-4</v>
      </c>
    </row>
    <row r="90" spans="1:6" x14ac:dyDescent="0.25">
      <c r="A90" s="2">
        <v>45839</v>
      </c>
      <c r="B90" s="3">
        <v>18.6751</v>
      </c>
      <c r="C90" s="3">
        <v>18.678899999999999</v>
      </c>
      <c r="D90" s="3">
        <v>18.677</v>
      </c>
      <c r="F90">
        <f t="shared" si="1"/>
        <v>2.0345879959298867E-4</v>
      </c>
    </row>
    <row r="91" spans="1:6" x14ac:dyDescent="0.25">
      <c r="A91" s="4">
        <v>45840</v>
      </c>
      <c r="B91" s="5">
        <v>18.769200000000001</v>
      </c>
      <c r="C91" s="5">
        <v>18.772300000000001</v>
      </c>
      <c r="D91" s="5">
        <v>18.77075</v>
      </c>
      <c r="F91">
        <f t="shared" si="1"/>
        <v>1.6515056670617215E-4</v>
      </c>
    </row>
    <row r="92" spans="1:6" x14ac:dyDescent="0.25">
      <c r="A92" s="2">
        <v>45841</v>
      </c>
      <c r="B92" s="3">
        <v>18.6738</v>
      </c>
      <c r="C92" s="3">
        <v>18.677199999999999</v>
      </c>
      <c r="D92" s="3">
        <v>18.6755</v>
      </c>
      <c r="F92">
        <f t="shared" si="1"/>
        <v>1.8205670530905098E-4</v>
      </c>
    </row>
    <row r="93" spans="1:6" x14ac:dyDescent="0.25">
      <c r="A93" s="4">
        <v>45842</v>
      </c>
      <c r="B93" s="5">
        <v>18.638200000000001</v>
      </c>
      <c r="C93" s="5">
        <v>18.6418</v>
      </c>
      <c r="D93" s="5">
        <v>18.64</v>
      </c>
      <c r="F93">
        <f t="shared" si="1"/>
        <v>1.931330472102315E-4</v>
      </c>
    </row>
    <row r="94" spans="1:6" x14ac:dyDescent="0.25">
      <c r="A94" s="2">
        <v>45845</v>
      </c>
      <c r="B94" s="3">
        <v>18.643899999999999</v>
      </c>
      <c r="C94" s="3">
        <v>18.647099999999998</v>
      </c>
      <c r="D94" s="3">
        <v>18.645499999999998</v>
      </c>
      <c r="F94">
        <f t="shared" si="1"/>
        <v>1.7162317985571038E-4</v>
      </c>
    </row>
    <row r="95" spans="1:6" x14ac:dyDescent="0.25">
      <c r="A95" s="4">
        <v>45846</v>
      </c>
      <c r="B95" s="5">
        <v>18.712700000000002</v>
      </c>
      <c r="C95" s="5">
        <v>18.715800000000002</v>
      </c>
      <c r="D95" s="5">
        <v>18.71425</v>
      </c>
      <c r="F95">
        <f t="shared" si="1"/>
        <v>1.65649171086198E-4</v>
      </c>
    </row>
    <row r="96" spans="1:6" x14ac:dyDescent="0.25">
      <c r="A96" s="2">
        <v>45847</v>
      </c>
      <c r="B96" s="3">
        <v>18.563099999999999</v>
      </c>
      <c r="C96" s="3">
        <v>18.566400000000002</v>
      </c>
      <c r="D96" s="3">
        <v>18.56475</v>
      </c>
      <c r="F96">
        <f t="shared" si="1"/>
        <v>1.7775623156805059E-4</v>
      </c>
    </row>
    <row r="97" spans="1:6" x14ac:dyDescent="0.25">
      <c r="A97" s="4">
        <v>45848</v>
      </c>
      <c r="B97" s="5">
        <v>18.674900000000001</v>
      </c>
      <c r="C97" s="5">
        <v>18.678100000000001</v>
      </c>
      <c r="D97" s="5">
        <v>18.676500000000001</v>
      </c>
      <c r="F97">
        <f t="shared" si="1"/>
        <v>1.7133831285303175E-4</v>
      </c>
    </row>
    <row r="98" spans="1:6" x14ac:dyDescent="0.25">
      <c r="A98" s="2">
        <v>45849</v>
      </c>
      <c r="B98" s="3">
        <v>18.697500000000002</v>
      </c>
      <c r="C98" s="3">
        <v>18.700500000000002</v>
      </c>
      <c r="D98" s="3">
        <v>18.699000000000002</v>
      </c>
      <c r="F98">
        <f t="shared" si="1"/>
        <v>1.6043638697257144E-4</v>
      </c>
    </row>
    <row r="99" spans="1:6" x14ac:dyDescent="0.25">
      <c r="A99" s="4">
        <v>45852</v>
      </c>
      <c r="B99" s="5">
        <v>18.753</v>
      </c>
      <c r="C99" s="5">
        <v>18.756</v>
      </c>
      <c r="D99" s="5">
        <v>18.7545</v>
      </c>
      <c r="F99">
        <f t="shared" si="1"/>
        <v>1.5996160921379475E-4</v>
      </c>
    </row>
    <row r="100" spans="1:6" x14ac:dyDescent="0.25">
      <c r="A100" s="2">
        <v>45853</v>
      </c>
      <c r="B100" s="3">
        <v>18.762499999999999</v>
      </c>
      <c r="C100" s="3">
        <v>18.765499999999999</v>
      </c>
      <c r="D100" s="3">
        <v>18.763999999999999</v>
      </c>
      <c r="F100">
        <f t="shared" si="1"/>
        <v>1.5988062246856288E-4</v>
      </c>
    </row>
    <row r="101" spans="1:6" x14ac:dyDescent="0.25">
      <c r="A101" s="4">
        <v>45854</v>
      </c>
      <c r="B101" s="5">
        <v>18.744299999999999</v>
      </c>
      <c r="C101" s="5">
        <v>18.748699999999999</v>
      </c>
      <c r="D101" s="5">
        <v>18.746500000000001</v>
      </c>
      <c r="F101">
        <f t="shared" si="1"/>
        <v>2.3471047928948888E-4</v>
      </c>
    </row>
    <row r="102" spans="1:6" x14ac:dyDescent="0.25">
      <c r="A102" s="2">
        <v>45855</v>
      </c>
      <c r="B102" s="3">
        <v>18.764199999999999</v>
      </c>
      <c r="C102" s="3">
        <v>18.767800000000001</v>
      </c>
      <c r="D102" s="3">
        <v>18.765999999999998</v>
      </c>
      <c r="F102">
        <f t="shared" si="1"/>
        <v>1.918362996910513E-4</v>
      </c>
    </row>
    <row r="103" spans="1:6" x14ac:dyDescent="0.25">
      <c r="A103" s="4">
        <v>45856</v>
      </c>
      <c r="B103" s="5">
        <v>18.709499999999998</v>
      </c>
      <c r="C103" s="5">
        <v>18.712499999999999</v>
      </c>
      <c r="D103" s="5">
        <v>18.710999999999999</v>
      </c>
      <c r="F103">
        <f t="shared" si="1"/>
        <v>1.6033349366683308E-4</v>
      </c>
    </row>
    <row r="104" spans="1:6" x14ac:dyDescent="0.25">
      <c r="A104" s="2">
        <v>45859</v>
      </c>
      <c r="B104" s="3">
        <v>18.658000000000001</v>
      </c>
      <c r="C104" s="3">
        <v>18.661000000000001</v>
      </c>
      <c r="D104" s="3">
        <v>18.659500000000001</v>
      </c>
      <c r="F104">
        <f t="shared" si="1"/>
        <v>1.6077601221898302E-4</v>
      </c>
    </row>
    <row r="105" spans="1:6" x14ac:dyDescent="0.25">
      <c r="A105" s="4">
        <v>45860</v>
      </c>
      <c r="B105" s="5">
        <v>18.6205</v>
      </c>
      <c r="C105" s="5">
        <v>18.6235</v>
      </c>
      <c r="D105" s="5">
        <v>18.622</v>
      </c>
      <c r="F105">
        <f t="shared" si="1"/>
        <v>1.6109977446032185E-4</v>
      </c>
    </row>
    <row r="106" spans="1:6" x14ac:dyDescent="0.25">
      <c r="A106" s="2">
        <v>45861</v>
      </c>
      <c r="B106" s="3">
        <v>18.609000000000002</v>
      </c>
      <c r="C106" s="3">
        <v>18.611999999999998</v>
      </c>
      <c r="D106" s="3">
        <v>18.610499999999998</v>
      </c>
      <c r="F106">
        <f t="shared" si="1"/>
        <v>1.6119932296265879E-4</v>
      </c>
    </row>
    <row r="107" spans="1:6" x14ac:dyDescent="0.25">
      <c r="A107" s="4">
        <v>45862</v>
      </c>
      <c r="B107" s="5">
        <v>18.561</v>
      </c>
      <c r="C107" s="5">
        <v>18.564</v>
      </c>
      <c r="D107" s="5">
        <v>18.5625</v>
      </c>
      <c r="F107">
        <f t="shared" si="1"/>
        <v>1.6161616161616775E-4</v>
      </c>
    </row>
    <row r="108" spans="1:6" x14ac:dyDescent="0.25">
      <c r="A108" s="2">
        <v>45863</v>
      </c>
      <c r="B108" s="3">
        <v>18.561</v>
      </c>
      <c r="C108" s="3">
        <v>18.564</v>
      </c>
      <c r="D108" s="3">
        <v>18.5625</v>
      </c>
      <c r="F108">
        <f t="shared" si="1"/>
        <v>1.6161616161616775E-4</v>
      </c>
    </row>
    <row r="109" spans="1:6" x14ac:dyDescent="0.25">
      <c r="A109" s="4">
        <v>45866</v>
      </c>
      <c r="B109" s="5">
        <v>18.685700000000001</v>
      </c>
      <c r="C109" s="5">
        <v>18.688800000000001</v>
      </c>
      <c r="D109" s="5">
        <v>18.687249999999999</v>
      </c>
      <c r="F109">
        <f t="shared" si="1"/>
        <v>1.6588850686965074E-4</v>
      </c>
    </row>
    <row r="110" spans="1:6" x14ac:dyDescent="0.25">
      <c r="A110" s="2">
        <v>45867</v>
      </c>
      <c r="B110" s="3">
        <v>18.823799999999999</v>
      </c>
      <c r="C110" s="3">
        <v>18.827200000000001</v>
      </c>
      <c r="D110" s="3">
        <v>18.825500000000002</v>
      </c>
      <c r="F110">
        <f t="shared" si="1"/>
        <v>1.8060609279980526E-4</v>
      </c>
    </row>
    <row r="111" spans="1:6" x14ac:dyDescent="0.25">
      <c r="A111" s="4">
        <v>45868</v>
      </c>
      <c r="B111" s="5">
        <v>18.8065</v>
      </c>
      <c r="C111" s="5">
        <v>18.8095</v>
      </c>
      <c r="D111" s="5">
        <v>18.808</v>
      </c>
      <c r="F111">
        <f t="shared" si="1"/>
        <v>1.5950659293918087E-4</v>
      </c>
    </row>
    <row r="112" spans="1:6" x14ac:dyDescent="0.25">
      <c r="A112" s="2">
        <v>45869</v>
      </c>
      <c r="B112" s="3">
        <v>18.826699999999999</v>
      </c>
      <c r="C112" s="3">
        <v>18.830300000000001</v>
      </c>
      <c r="D112" s="3">
        <v>18.828499999999998</v>
      </c>
      <c r="F112">
        <f t="shared" si="1"/>
        <v>1.9119951137914695E-4</v>
      </c>
    </row>
    <row r="113" spans="1:6" x14ac:dyDescent="0.25">
      <c r="A113" s="4">
        <v>45870</v>
      </c>
      <c r="B113" s="5">
        <v>18.905100000000001</v>
      </c>
      <c r="C113" s="5">
        <v>18.9084</v>
      </c>
      <c r="D113" s="5">
        <v>18.906749999999999</v>
      </c>
      <c r="F113">
        <f t="shared" si="1"/>
        <v>1.7454083858936171E-4</v>
      </c>
    </row>
    <row r="114" spans="1:6" x14ac:dyDescent="0.25">
      <c r="A114" s="2">
        <v>45873</v>
      </c>
      <c r="B114" s="3">
        <v>18.834</v>
      </c>
      <c r="C114" s="3">
        <v>18.837</v>
      </c>
      <c r="D114" s="3">
        <v>18.8355</v>
      </c>
      <c r="F114">
        <f t="shared" si="1"/>
        <v>1.5927371187386127E-4</v>
      </c>
    </row>
    <row r="115" spans="1:6" x14ac:dyDescent="0.25">
      <c r="A115" s="4">
        <v>45874</v>
      </c>
      <c r="B115" s="5">
        <v>18.819500000000001</v>
      </c>
      <c r="C115" s="5">
        <v>18.822500000000002</v>
      </c>
      <c r="D115" s="5">
        <v>18.821000000000002</v>
      </c>
      <c r="F115">
        <f t="shared" si="1"/>
        <v>1.5939641889379489E-4</v>
      </c>
    </row>
    <row r="116" spans="1:6" x14ac:dyDescent="0.25">
      <c r="A116" s="2">
        <v>45875</v>
      </c>
      <c r="B116" s="3">
        <v>18.5975</v>
      </c>
      <c r="C116" s="3">
        <v>18.6005</v>
      </c>
      <c r="D116" s="3">
        <v>18.599</v>
      </c>
      <c r="F116">
        <f t="shared" si="1"/>
        <v>1.6129899456960662E-4</v>
      </c>
    </row>
    <row r="117" spans="1:6" x14ac:dyDescent="0.25">
      <c r="A117" s="4">
        <v>45876</v>
      </c>
      <c r="B117" s="5">
        <v>18.696999999999999</v>
      </c>
      <c r="C117" s="5">
        <v>18.701000000000001</v>
      </c>
      <c r="D117" s="5">
        <v>18.699000000000002</v>
      </c>
      <c r="F117">
        <f t="shared" si="1"/>
        <v>2.139151826301586E-4</v>
      </c>
    </row>
    <row r="118" spans="1:6" x14ac:dyDescent="0.25">
      <c r="A118" s="2">
        <v>45877</v>
      </c>
      <c r="B118" s="3">
        <v>18.547499999999999</v>
      </c>
      <c r="C118" s="3">
        <v>18.5505</v>
      </c>
      <c r="D118" s="3">
        <v>18.548999999999999</v>
      </c>
      <c r="F118">
        <f t="shared" si="1"/>
        <v>1.6173378618794079E-4</v>
      </c>
    </row>
    <row r="119" spans="1:6" x14ac:dyDescent="0.25">
      <c r="A119" s="4">
        <v>45880</v>
      </c>
      <c r="B119" s="5">
        <v>18.654299999999999</v>
      </c>
      <c r="C119" s="5">
        <v>18.657699999999998</v>
      </c>
      <c r="D119" s="5">
        <v>18.655999999999999</v>
      </c>
      <c r="F119">
        <f t="shared" si="1"/>
        <v>1.8224699828469027E-4</v>
      </c>
    </row>
    <row r="120" spans="1:6" x14ac:dyDescent="0.25">
      <c r="A120" s="2">
        <v>45881</v>
      </c>
      <c r="B120" s="3">
        <v>18.581</v>
      </c>
      <c r="C120" s="3">
        <v>18.584</v>
      </c>
      <c r="D120" s="3">
        <v>18.5825</v>
      </c>
      <c r="F120">
        <f t="shared" si="1"/>
        <v>1.6144221713978817E-4</v>
      </c>
    </row>
    <row r="121" spans="1:6" x14ac:dyDescent="0.25">
      <c r="A121" s="4">
        <v>45882</v>
      </c>
      <c r="B121" s="5">
        <v>18.6145</v>
      </c>
      <c r="C121" s="5">
        <v>18.6175</v>
      </c>
      <c r="D121" s="5">
        <v>18.616</v>
      </c>
      <c r="F121">
        <f t="shared" si="1"/>
        <v>1.6115169746455275E-4</v>
      </c>
    </row>
    <row r="122" spans="1:6" x14ac:dyDescent="0.25">
      <c r="A122" s="2">
        <v>45883</v>
      </c>
      <c r="B122" s="3">
        <v>18.7774</v>
      </c>
      <c r="C122" s="3">
        <v>18.7806</v>
      </c>
      <c r="D122" s="3">
        <v>18.779</v>
      </c>
      <c r="F122">
        <f t="shared" si="1"/>
        <v>1.7040310985673611E-4</v>
      </c>
    </row>
    <row r="123" spans="1:6" x14ac:dyDescent="0.25">
      <c r="A123" s="4">
        <v>45884</v>
      </c>
      <c r="B123" s="5">
        <v>18.686199999999999</v>
      </c>
      <c r="C123" s="5">
        <v>18.689800000000002</v>
      </c>
      <c r="D123" s="5">
        <v>18.687999999999999</v>
      </c>
      <c r="F123">
        <f t="shared" si="1"/>
        <v>1.9263698630149123E-4</v>
      </c>
    </row>
    <row r="124" spans="1:6" x14ac:dyDescent="0.25">
      <c r="A124" s="2">
        <v>45887</v>
      </c>
      <c r="B124" s="3">
        <v>18.827999999999999</v>
      </c>
      <c r="C124" s="3">
        <v>18.831</v>
      </c>
      <c r="D124" s="3">
        <v>18.829499999999999</v>
      </c>
      <c r="F124">
        <f t="shared" si="1"/>
        <v>1.5932446427149494E-4</v>
      </c>
    </row>
    <row r="125" spans="1:6" x14ac:dyDescent="0.25">
      <c r="A125" s="4">
        <v>45888</v>
      </c>
      <c r="B125" s="5">
        <v>18.795000000000002</v>
      </c>
      <c r="C125" s="5">
        <v>18.797999999999998</v>
      </c>
      <c r="D125" s="5">
        <v>18.796500000000002</v>
      </c>
      <c r="F125">
        <f t="shared" si="1"/>
        <v>1.5960418162937572E-4</v>
      </c>
    </row>
    <row r="126" spans="1:6" x14ac:dyDescent="0.25">
      <c r="A126" s="2">
        <v>45889</v>
      </c>
      <c r="B126" s="3">
        <v>18.7971</v>
      </c>
      <c r="C126" s="3">
        <v>18.800899999999999</v>
      </c>
      <c r="D126" s="3">
        <v>18.798999999999999</v>
      </c>
      <c r="F126">
        <f t="shared" si="1"/>
        <v>2.021384116175461E-4</v>
      </c>
    </row>
    <row r="127" spans="1:6" x14ac:dyDescent="0.25">
      <c r="A127" s="4">
        <v>45890</v>
      </c>
      <c r="B127" s="5">
        <v>18.748699999999999</v>
      </c>
      <c r="C127" s="5">
        <v>18.751799999999999</v>
      </c>
      <c r="D127" s="5">
        <v>18.750250000000001</v>
      </c>
      <c r="F127">
        <f t="shared" si="1"/>
        <v>1.6533112891827472E-4</v>
      </c>
    </row>
    <row r="128" spans="1:6" x14ac:dyDescent="0.25">
      <c r="A128" s="2">
        <v>45891</v>
      </c>
      <c r="B128" s="3">
        <v>18.5885</v>
      </c>
      <c r="C128" s="3">
        <v>18.5915</v>
      </c>
      <c r="D128" s="3">
        <v>18.59</v>
      </c>
      <c r="F128">
        <f t="shared" si="1"/>
        <v>1.6137708445401364E-4</v>
      </c>
    </row>
    <row r="129" spans="1:6" x14ac:dyDescent="0.25">
      <c r="A129" s="4">
        <v>45894</v>
      </c>
      <c r="B129" s="5">
        <v>18.576499999999999</v>
      </c>
      <c r="C129" s="5">
        <v>18.579499999999999</v>
      </c>
      <c r="D129" s="5">
        <v>18.577999999999999</v>
      </c>
      <c r="F129">
        <f t="shared" si="1"/>
        <v>1.6148132199376219E-4</v>
      </c>
    </row>
    <row r="130" spans="1:6" x14ac:dyDescent="0.25">
      <c r="A130" s="2">
        <v>45895</v>
      </c>
      <c r="B130" s="3">
        <v>18.681000000000001</v>
      </c>
      <c r="C130" s="3">
        <v>18.684000000000001</v>
      </c>
      <c r="D130" s="3">
        <v>18.682500000000001</v>
      </c>
      <c r="F130">
        <f t="shared" si="1"/>
        <v>1.6057808109193702E-4</v>
      </c>
    </row>
    <row r="131" spans="1:6" x14ac:dyDescent="0.25">
      <c r="A131" s="4">
        <v>45896</v>
      </c>
      <c r="B131" s="5">
        <v>18.763000000000002</v>
      </c>
      <c r="C131" s="5">
        <v>18.765999999999998</v>
      </c>
      <c r="D131" s="5">
        <v>18.764500000000002</v>
      </c>
      <c r="F131">
        <f t="shared" ref="F131:F194" si="2">(C131-B131)/D131</f>
        <v>1.5987636227965364E-4</v>
      </c>
    </row>
    <row r="132" spans="1:6" x14ac:dyDescent="0.25">
      <c r="A132" s="2">
        <v>45897</v>
      </c>
      <c r="B132" s="3">
        <v>18.627500000000001</v>
      </c>
      <c r="C132" s="3">
        <v>18.630500000000001</v>
      </c>
      <c r="D132" s="3">
        <v>18.629000000000001</v>
      </c>
      <c r="F132">
        <f t="shared" si="2"/>
        <v>1.6103923989479378E-4</v>
      </c>
    </row>
    <row r="133" spans="1:6" x14ac:dyDescent="0.25">
      <c r="A133" s="4">
        <v>45898</v>
      </c>
      <c r="B133" s="5">
        <v>18.643000000000001</v>
      </c>
      <c r="C133" s="5">
        <v>18.646000000000001</v>
      </c>
      <c r="D133" s="5">
        <v>18.644500000000001</v>
      </c>
      <c r="F133">
        <f t="shared" si="2"/>
        <v>1.6090536083027774E-4</v>
      </c>
    </row>
    <row r="134" spans="1:6" x14ac:dyDescent="0.25">
      <c r="A134" s="2">
        <v>45901</v>
      </c>
      <c r="B134" s="3">
        <v>18.613</v>
      </c>
      <c r="C134" s="3">
        <v>18.616</v>
      </c>
      <c r="D134" s="3">
        <v>18.6145</v>
      </c>
      <c r="F134">
        <f t="shared" si="2"/>
        <v>1.6116468344570706E-4</v>
      </c>
    </row>
    <row r="135" spans="1:6" x14ac:dyDescent="0.25">
      <c r="A135" s="4">
        <v>45902</v>
      </c>
      <c r="B135" s="5">
        <v>18.736000000000001</v>
      </c>
      <c r="C135" s="5">
        <v>18.739000000000001</v>
      </c>
      <c r="D135" s="5">
        <v>18.737500000000001</v>
      </c>
      <c r="F135">
        <f t="shared" si="2"/>
        <v>1.6010673782522288E-4</v>
      </c>
    </row>
    <row r="136" spans="1:6" x14ac:dyDescent="0.25">
      <c r="A136" s="2">
        <v>45903</v>
      </c>
      <c r="B136" s="3">
        <v>18.693000000000001</v>
      </c>
      <c r="C136" s="3">
        <v>18.696000000000002</v>
      </c>
      <c r="D136" s="3">
        <v>18.694500000000001</v>
      </c>
      <c r="F136">
        <f t="shared" si="2"/>
        <v>1.604750060178188E-4</v>
      </c>
    </row>
    <row r="137" spans="1:6" x14ac:dyDescent="0.25">
      <c r="A137" s="4">
        <v>45904</v>
      </c>
      <c r="B137" s="5">
        <v>18.738900000000001</v>
      </c>
      <c r="C137" s="5">
        <v>18.742100000000001</v>
      </c>
      <c r="D137" s="5">
        <v>18.740500000000001</v>
      </c>
      <c r="F137">
        <f t="shared" si="2"/>
        <v>1.7075318161199795E-4</v>
      </c>
    </row>
    <row r="138" spans="1:6" x14ac:dyDescent="0.25">
      <c r="A138" s="2">
        <v>45905</v>
      </c>
      <c r="B138" s="3">
        <v>18.682200000000002</v>
      </c>
      <c r="C138" s="3">
        <v>18.685300000000002</v>
      </c>
      <c r="D138" s="3">
        <v>18.68375</v>
      </c>
      <c r="F138">
        <f t="shared" si="2"/>
        <v>1.6591958252491499E-4</v>
      </c>
    </row>
    <row r="139" spans="1:6" x14ac:dyDescent="0.25">
      <c r="A139" s="4">
        <v>45908</v>
      </c>
      <c r="B139" s="5">
        <v>18.657900000000001</v>
      </c>
      <c r="C139" s="5">
        <v>18.661100000000001</v>
      </c>
      <c r="D139" s="5">
        <v>18.659500000000001</v>
      </c>
      <c r="F139">
        <f t="shared" si="2"/>
        <v>1.714944130335565E-4</v>
      </c>
    </row>
    <row r="140" spans="1:6" x14ac:dyDescent="0.25">
      <c r="A140" s="2">
        <v>45909</v>
      </c>
      <c r="B140" s="3">
        <v>18.616499999999998</v>
      </c>
      <c r="C140" s="3">
        <v>18.619499999999999</v>
      </c>
      <c r="D140" s="3">
        <v>18.617999999999999</v>
      </c>
      <c r="F140">
        <f t="shared" si="2"/>
        <v>1.6113438607799515E-4</v>
      </c>
    </row>
    <row r="141" spans="1:6" x14ac:dyDescent="0.25">
      <c r="A141" s="4">
        <v>45910</v>
      </c>
      <c r="B141" s="5">
        <v>18.5745</v>
      </c>
      <c r="C141" s="5">
        <v>18.577500000000001</v>
      </c>
      <c r="D141" s="5">
        <v>18.576000000000001</v>
      </c>
      <c r="F141">
        <f t="shared" si="2"/>
        <v>1.6149870801034202E-4</v>
      </c>
    </row>
    <row r="142" spans="1:6" x14ac:dyDescent="0.25">
      <c r="A142" s="2">
        <v>45911</v>
      </c>
      <c r="B142" s="3">
        <v>18.530999999999999</v>
      </c>
      <c r="C142" s="3">
        <v>18.533999999999999</v>
      </c>
      <c r="D142" s="3">
        <v>18.532499999999999</v>
      </c>
      <c r="F142">
        <f t="shared" si="2"/>
        <v>1.6187778227438898E-4</v>
      </c>
    </row>
    <row r="143" spans="1:6" x14ac:dyDescent="0.25">
      <c r="A143" s="4">
        <v>45912</v>
      </c>
      <c r="B143" s="5">
        <v>18.501000000000001</v>
      </c>
      <c r="C143" s="5">
        <v>18.504999999999999</v>
      </c>
      <c r="D143" s="5">
        <v>18.503</v>
      </c>
      <c r="F143">
        <f t="shared" si="2"/>
        <v>2.1618115981180257E-4</v>
      </c>
    </row>
    <row r="144" spans="1:6" x14ac:dyDescent="0.25">
      <c r="A144" s="2">
        <v>45915</v>
      </c>
      <c r="B144" s="3">
        <v>18.3689</v>
      </c>
      <c r="C144" s="3">
        <v>18.3721</v>
      </c>
      <c r="D144" s="3">
        <v>18.3705</v>
      </c>
      <c r="F144">
        <f t="shared" si="2"/>
        <v>1.7419231920740578E-4</v>
      </c>
    </row>
    <row r="145" spans="1:6" x14ac:dyDescent="0.25">
      <c r="A145" s="4">
        <v>45916</v>
      </c>
      <c r="B145" s="5">
        <v>18.324000000000002</v>
      </c>
      <c r="C145" s="5">
        <v>18.327000000000002</v>
      </c>
      <c r="D145" s="5">
        <v>18.325500000000002</v>
      </c>
      <c r="F145">
        <f t="shared" si="2"/>
        <v>1.6370631087829054E-4</v>
      </c>
    </row>
    <row r="146" spans="1:6" x14ac:dyDescent="0.25">
      <c r="A146" s="2">
        <v>45917</v>
      </c>
      <c r="B146" s="3">
        <v>18.347200000000001</v>
      </c>
      <c r="C146" s="3">
        <v>18.350300000000001</v>
      </c>
      <c r="D146" s="3">
        <v>18.348749999999999</v>
      </c>
      <c r="F146">
        <f t="shared" si="2"/>
        <v>1.6894883847672898E-4</v>
      </c>
    </row>
    <row r="147" spans="1:6" x14ac:dyDescent="0.25">
      <c r="A147" s="4">
        <v>45918</v>
      </c>
      <c r="B147" s="5">
        <v>18.356000000000002</v>
      </c>
      <c r="C147" s="5">
        <v>18.359000000000002</v>
      </c>
      <c r="D147" s="5">
        <v>18.357500000000002</v>
      </c>
      <c r="F147">
        <f t="shared" si="2"/>
        <v>1.6342094511780545E-4</v>
      </c>
    </row>
    <row r="148" spans="1:6" x14ac:dyDescent="0.25">
      <c r="A148" s="2">
        <v>45919</v>
      </c>
      <c r="B148" s="3">
        <v>18.356999999999999</v>
      </c>
      <c r="C148" s="3">
        <v>18.36</v>
      </c>
      <c r="D148" s="3">
        <v>18.358499999999999</v>
      </c>
      <c r="F148">
        <f t="shared" si="2"/>
        <v>1.6341204346760976E-4</v>
      </c>
    </row>
    <row r="149" spans="1:6" x14ac:dyDescent="0.25">
      <c r="A149" s="4">
        <v>45922</v>
      </c>
      <c r="B149" s="5">
        <v>18.395499999999998</v>
      </c>
      <c r="C149" s="5">
        <v>18.398499999999999</v>
      </c>
      <c r="D149" s="5">
        <v>18.396999999999998</v>
      </c>
      <c r="F149">
        <f t="shared" si="2"/>
        <v>1.630700657715994E-4</v>
      </c>
    </row>
    <row r="150" spans="1:6" x14ac:dyDescent="0.25">
      <c r="A150" s="2">
        <v>45923</v>
      </c>
      <c r="B150" s="3">
        <v>18.316500000000001</v>
      </c>
      <c r="C150" s="3">
        <v>18.319500000000001</v>
      </c>
      <c r="D150" s="3">
        <v>18.318000000000001</v>
      </c>
      <c r="F150">
        <f t="shared" si="2"/>
        <v>1.6377333770062853E-4</v>
      </c>
    </row>
    <row r="151" spans="1:6" x14ac:dyDescent="0.25">
      <c r="A151" s="4">
        <v>45924</v>
      </c>
      <c r="B151" s="5">
        <v>18.4055</v>
      </c>
      <c r="C151" s="5">
        <v>18.4085</v>
      </c>
      <c r="D151" s="5">
        <v>18.407</v>
      </c>
      <c r="F151">
        <f t="shared" si="2"/>
        <v>1.6298147443907828E-4</v>
      </c>
    </row>
    <row r="152" spans="1:6" x14ac:dyDescent="0.25">
      <c r="A152" s="2">
        <v>45925</v>
      </c>
      <c r="B152" s="3">
        <v>18.4282</v>
      </c>
      <c r="C152" s="3">
        <v>18.4313</v>
      </c>
      <c r="D152" s="3">
        <v>18.429749999999999</v>
      </c>
      <c r="F152">
        <f t="shared" si="2"/>
        <v>1.6820629688410753E-4</v>
      </c>
    </row>
    <row r="153" spans="1:6" x14ac:dyDescent="0.25">
      <c r="A153" s="4">
        <v>45926</v>
      </c>
      <c r="B153" s="5">
        <v>18.368500000000001</v>
      </c>
      <c r="C153" s="5">
        <v>18.371500000000001</v>
      </c>
      <c r="D153" s="5">
        <v>18.37</v>
      </c>
      <c r="F153">
        <f t="shared" si="2"/>
        <v>1.6330974414807369E-4</v>
      </c>
    </row>
    <row r="154" spans="1:6" x14ac:dyDescent="0.25">
      <c r="A154" s="2">
        <v>45929</v>
      </c>
      <c r="B154" s="3">
        <v>18.331499999999998</v>
      </c>
      <c r="C154" s="3">
        <v>18.334499999999998</v>
      </c>
      <c r="D154" s="3">
        <v>18.332999999999998</v>
      </c>
      <c r="F154">
        <f t="shared" si="2"/>
        <v>1.6363933889707708E-4</v>
      </c>
    </row>
    <row r="155" spans="1:6" x14ac:dyDescent="0.25">
      <c r="A155" s="4">
        <v>45930</v>
      </c>
      <c r="B155" s="5">
        <v>18.331</v>
      </c>
      <c r="C155" s="5">
        <v>18.334</v>
      </c>
      <c r="D155" s="5">
        <v>18.3325</v>
      </c>
      <c r="F155">
        <f t="shared" si="2"/>
        <v>1.636438019910058E-4</v>
      </c>
    </row>
    <row r="156" spans="1:6" x14ac:dyDescent="0.25">
      <c r="A156" s="2">
        <v>45931</v>
      </c>
      <c r="B156" s="3">
        <v>18.3245</v>
      </c>
      <c r="C156" s="3">
        <v>18.327500000000001</v>
      </c>
      <c r="D156" s="3">
        <v>18.326000000000001</v>
      </c>
      <c r="F156">
        <f t="shared" si="2"/>
        <v>1.6370184437411949E-4</v>
      </c>
    </row>
    <row r="157" spans="1:6" x14ac:dyDescent="0.25">
      <c r="A157" s="4">
        <v>45932</v>
      </c>
      <c r="B157" s="5">
        <v>18.493500000000001</v>
      </c>
      <c r="C157" s="5">
        <v>18.496500000000001</v>
      </c>
      <c r="D157" s="5">
        <v>18.495000000000001</v>
      </c>
      <c r="F157">
        <f t="shared" si="2"/>
        <v>1.6220600162206617E-4</v>
      </c>
    </row>
    <row r="158" spans="1:6" x14ac:dyDescent="0.25">
      <c r="A158" s="2">
        <v>45933</v>
      </c>
      <c r="B158" s="3">
        <v>18.4085</v>
      </c>
      <c r="C158" s="3">
        <v>18.4115</v>
      </c>
      <c r="D158" s="3">
        <v>18.41</v>
      </c>
      <c r="F158">
        <f t="shared" si="2"/>
        <v>1.6295491580663301E-4</v>
      </c>
    </row>
    <row r="159" spans="1:6" x14ac:dyDescent="0.25">
      <c r="A159" s="4">
        <v>45936</v>
      </c>
      <c r="B159" s="5">
        <v>18.377500000000001</v>
      </c>
      <c r="C159" s="5">
        <v>18.380500000000001</v>
      </c>
      <c r="D159" s="5">
        <v>18.379000000000001</v>
      </c>
      <c r="F159">
        <f t="shared" si="2"/>
        <v>1.6322977311062156E-4</v>
      </c>
    </row>
    <row r="160" spans="1:6" x14ac:dyDescent="0.25">
      <c r="A160" s="2">
        <v>45937</v>
      </c>
      <c r="B160" s="3">
        <v>18.375</v>
      </c>
      <c r="C160" s="3">
        <v>18.378</v>
      </c>
      <c r="D160" s="3">
        <v>18.3765</v>
      </c>
      <c r="F160">
        <f t="shared" si="2"/>
        <v>1.6325197943025679E-4</v>
      </c>
    </row>
    <row r="161" spans="1:6" x14ac:dyDescent="0.25">
      <c r="A161" s="4">
        <v>45938</v>
      </c>
      <c r="B161" s="5">
        <v>18.359500000000001</v>
      </c>
      <c r="C161" s="5">
        <v>18.362500000000001</v>
      </c>
      <c r="D161" s="5">
        <v>18.361000000000001</v>
      </c>
      <c r="F161">
        <f t="shared" si="2"/>
        <v>1.6338979358423362E-4</v>
      </c>
    </row>
    <row r="162" spans="1:6" x14ac:dyDescent="0.25">
      <c r="A162" s="2">
        <v>45939</v>
      </c>
      <c r="B162" s="3">
        <v>18.363</v>
      </c>
      <c r="C162" s="3">
        <v>18.366</v>
      </c>
      <c r="D162" s="3">
        <v>18.3645</v>
      </c>
      <c r="F162">
        <f t="shared" si="2"/>
        <v>1.6335865392469784E-4</v>
      </c>
    </row>
    <row r="163" spans="1:6" x14ac:dyDescent="0.25">
      <c r="A163" s="4">
        <v>45940</v>
      </c>
      <c r="B163" s="5">
        <v>18.484500000000001</v>
      </c>
      <c r="C163" s="5">
        <v>18.487500000000001</v>
      </c>
      <c r="D163" s="5">
        <v>18.486000000000001</v>
      </c>
      <c r="F163">
        <f t="shared" si="2"/>
        <v>1.6228497241156084E-4</v>
      </c>
    </row>
    <row r="164" spans="1:6" x14ac:dyDescent="0.25">
      <c r="A164" s="2">
        <v>45943</v>
      </c>
      <c r="B164" s="3">
        <v>18.436499999999999</v>
      </c>
      <c r="C164" s="3">
        <v>18.439499999999999</v>
      </c>
      <c r="D164" s="3">
        <v>18.437999999999999</v>
      </c>
      <c r="F164">
        <f t="shared" si="2"/>
        <v>1.6270745200130783E-4</v>
      </c>
    </row>
    <row r="165" spans="1:6" x14ac:dyDescent="0.25">
      <c r="A165" s="4">
        <v>45944</v>
      </c>
      <c r="B165" s="5">
        <v>18.52</v>
      </c>
      <c r="C165" s="5">
        <v>18.523</v>
      </c>
      <c r="D165" s="5">
        <v>18.5215</v>
      </c>
      <c r="F165">
        <f t="shared" si="2"/>
        <v>1.6197392219853218E-4</v>
      </c>
    </row>
    <row r="166" spans="1:6" x14ac:dyDescent="0.25">
      <c r="A166" s="2">
        <v>45945</v>
      </c>
      <c r="B166" s="3">
        <v>18.455200000000001</v>
      </c>
      <c r="C166" s="3">
        <v>18.458300000000001</v>
      </c>
      <c r="D166" s="3">
        <v>18.45675</v>
      </c>
      <c r="F166">
        <f t="shared" si="2"/>
        <v>1.6796023135166706E-4</v>
      </c>
    </row>
    <row r="167" spans="1:6" x14ac:dyDescent="0.25">
      <c r="A167" s="4">
        <v>45946</v>
      </c>
      <c r="B167" s="5">
        <v>18.3675</v>
      </c>
      <c r="C167" s="5">
        <v>18.3705</v>
      </c>
      <c r="D167" s="5">
        <v>18.369</v>
      </c>
      <c r="F167">
        <f t="shared" si="2"/>
        <v>1.6331863465622048E-4</v>
      </c>
    </row>
    <row r="168" spans="1:6" x14ac:dyDescent="0.25">
      <c r="A168" s="2">
        <v>45947</v>
      </c>
      <c r="B168" s="3">
        <v>18.437000000000001</v>
      </c>
      <c r="C168" s="3">
        <v>18.440000000000001</v>
      </c>
      <c r="D168" s="3">
        <v>18.438500000000001</v>
      </c>
      <c r="F168">
        <f t="shared" si="2"/>
        <v>1.6270303983513374E-4</v>
      </c>
    </row>
    <row r="169" spans="1:6" x14ac:dyDescent="0.25">
      <c r="A169" s="4">
        <v>45950</v>
      </c>
      <c r="B169" s="5">
        <v>18.390499999999999</v>
      </c>
      <c r="C169" s="5">
        <v>18.3935</v>
      </c>
      <c r="D169" s="5">
        <v>18.391999999999999</v>
      </c>
      <c r="F169">
        <f t="shared" si="2"/>
        <v>1.6311439756416452E-4</v>
      </c>
    </row>
    <row r="170" spans="1:6" x14ac:dyDescent="0.25">
      <c r="A170" s="2">
        <v>45951</v>
      </c>
      <c r="B170" s="3">
        <v>18.428999999999998</v>
      </c>
      <c r="C170" s="3">
        <v>18.431999999999999</v>
      </c>
      <c r="D170" s="3">
        <v>18.430499999999999</v>
      </c>
      <c r="F170">
        <f t="shared" si="2"/>
        <v>1.6277366322129698E-4</v>
      </c>
    </row>
    <row r="171" spans="1:6" x14ac:dyDescent="0.25">
      <c r="A171" s="4">
        <v>45952</v>
      </c>
      <c r="B171" s="5">
        <v>18.420500000000001</v>
      </c>
      <c r="C171" s="5">
        <v>18.423500000000001</v>
      </c>
      <c r="D171" s="5">
        <v>18.422000000000001</v>
      </c>
      <c r="F171">
        <f t="shared" si="2"/>
        <v>1.628487677776633E-4</v>
      </c>
    </row>
    <row r="172" spans="1:6" x14ac:dyDescent="0.25">
      <c r="A172" s="2">
        <v>45953</v>
      </c>
      <c r="B172" s="3">
        <v>18.408000000000001</v>
      </c>
      <c r="C172" s="3">
        <v>18.411000000000001</v>
      </c>
      <c r="D172" s="3">
        <v>18.409500000000001</v>
      </c>
      <c r="F172">
        <f t="shared" si="2"/>
        <v>1.6295934164426592E-4</v>
      </c>
    </row>
    <row r="173" spans="1:6" x14ac:dyDescent="0.25">
      <c r="A173" s="4">
        <v>45954</v>
      </c>
      <c r="B173" s="5">
        <v>18.388000000000002</v>
      </c>
      <c r="C173" s="5">
        <v>18.390999999999998</v>
      </c>
      <c r="D173" s="5">
        <v>18.389500000000002</v>
      </c>
      <c r="F173">
        <f t="shared" si="2"/>
        <v>1.6313657250042473E-4</v>
      </c>
    </row>
    <row r="174" spans="1:6" x14ac:dyDescent="0.25">
      <c r="A174" s="2">
        <v>45957</v>
      </c>
      <c r="B174" s="3">
        <v>18.393000000000001</v>
      </c>
      <c r="C174" s="3">
        <v>18.396000000000001</v>
      </c>
      <c r="D174" s="3">
        <v>18.394500000000001</v>
      </c>
      <c r="F174">
        <f t="shared" si="2"/>
        <v>1.6309222865531074E-4</v>
      </c>
    </row>
    <row r="175" spans="1:6" x14ac:dyDescent="0.25">
      <c r="A175" s="4">
        <v>45958</v>
      </c>
      <c r="B175" s="5">
        <v>18.411999999999999</v>
      </c>
      <c r="C175" s="5">
        <v>18.414999999999999</v>
      </c>
      <c r="D175" s="5">
        <v>18.413499999999999</v>
      </c>
      <c r="F175">
        <f t="shared" si="2"/>
        <v>1.6292394167323506E-4</v>
      </c>
    </row>
    <row r="176" spans="1:6" x14ac:dyDescent="0.25">
      <c r="A176" s="2">
        <v>45959</v>
      </c>
      <c r="B176" s="3">
        <v>18.419499999999999</v>
      </c>
      <c r="C176" s="3">
        <v>18.422499999999999</v>
      </c>
      <c r="D176" s="3">
        <v>18.420999999999999</v>
      </c>
      <c r="F176">
        <f t="shared" si="2"/>
        <v>1.6285760816460093E-4</v>
      </c>
    </row>
    <row r="177" spans="1:6" x14ac:dyDescent="0.25">
      <c r="A177" s="4">
        <v>45960</v>
      </c>
      <c r="B177" s="5">
        <v>18.544</v>
      </c>
      <c r="C177" s="5">
        <v>18.547000000000001</v>
      </c>
      <c r="D177" s="5">
        <v>18.545500000000001</v>
      </c>
      <c r="F177">
        <f t="shared" si="2"/>
        <v>1.6176430940120857E-4</v>
      </c>
    </row>
    <row r="178" spans="1:6" x14ac:dyDescent="0.25">
      <c r="A178" s="2">
        <v>45961</v>
      </c>
      <c r="B178" s="3">
        <v>18.55</v>
      </c>
      <c r="C178" s="3">
        <v>18.553000000000001</v>
      </c>
      <c r="D178" s="3">
        <v>18.551500000000001</v>
      </c>
      <c r="F178">
        <f t="shared" si="2"/>
        <v>1.6171199094413462E-4</v>
      </c>
    </row>
    <row r="179" spans="1:6" x14ac:dyDescent="0.25">
      <c r="A179" s="4">
        <v>45964</v>
      </c>
      <c r="B179" s="5">
        <v>18.478999999999999</v>
      </c>
      <c r="C179" s="5">
        <v>18.481999999999999</v>
      </c>
      <c r="D179" s="5">
        <v>18.480499999999999</v>
      </c>
      <c r="F179">
        <f t="shared" si="2"/>
        <v>1.6233327020373441E-4</v>
      </c>
    </row>
    <row r="180" spans="1:6" x14ac:dyDescent="0.25">
      <c r="A180" s="2">
        <v>45965</v>
      </c>
      <c r="B180" s="3">
        <v>18.598700000000001</v>
      </c>
      <c r="C180" s="3">
        <v>18.601800000000001</v>
      </c>
      <c r="D180" s="3">
        <v>18.600249999999999</v>
      </c>
      <c r="F180">
        <f t="shared" si="2"/>
        <v>1.6666442655340012E-4</v>
      </c>
    </row>
    <row r="181" spans="1:6" x14ac:dyDescent="0.25">
      <c r="A181" s="4">
        <v>45966</v>
      </c>
      <c r="B181" s="5">
        <v>18.599</v>
      </c>
      <c r="C181" s="5">
        <v>18.602</v>
      </c>
      <c r="D181" s="5">
        <v>18.6005</v>
      </c>
      <c r="F181">
        <f t="shared" si="2"/>
        <v>1.6128598693584116E-4</v>
      </c>
    </row>
    <row r="182" spans="1:6" x14ac:dyDescent="0.25">
      <c r="A182" s="2">
        <v>45967</v>
      </c>
      <c r="B182" s="3">
        <v>18.649999999999999</v>
      </c>
      <c r="C182" s="3">
        <v>18.652999999999999</v>
      </c>
      <c r="D182" s="3">
        <v>18.651499999999999</v>
      </c>
      <c r="F182">
        <f t="shared" si="2"/>
        <v>1.608449722542484E-4</v>
      </c>
    </row>
    <row r="183" spans="1:6" x14ac:dyDescent="0.25">
      <c r="A183" s="4">
        <v>45968</v>
      </c>
      <c r="B183" s="5">
        <v>18.506900000000002</v>
      </c>
      <c r="C183" s="5">
        <v>18.510100000000001</v>
      </c>
      <c r="D183" s="5">
        <v>18.508500000000002</v>
      </c>
      <c r="F183">
        <f t="shared" si="2"/>
        <v>1.7289353540263377E-4</v>
      </c>
    </row>
    <row r="184" spans="1:6" x14ac:dyDescent="0.25">
      <c r="A184" s="2">
        <v>45971</v>
      </c>
      <c r="B184" s="3">
        <v>18.395499999999998</v>
      </c>
      <c r="C184" s="3">
        <v>18.398499999999999</v>
      </c>
      <c r="D184" s="3">
        <v>18.396999999999998</v>
      </c>
      <c r="F184">
        <f t="shared" si="2"/>
        <v>1.630700657715994E-4</v>
      </c>
    </row>
    <row r="185" spans="1:6" x14ac:dyDescent="0.25">
      <c r="A185" s="4">
        <v>45972</v>
      </c>
      <c r="B185" s="5">
        <v>18.347000000000001</v>
      </c>
      <c r="C185" s="5">
        <v>18.350000000000001</v>
      </c>
      <c r="D185" s="5">
        <v>18.348500000000001</v>
      </c>
      <c r="F185">
        <f t="shared" si="2"/>
        <v>1.635011036324557E-4</v>
      </c>
    </row>
    <row r="186" spans="1:6" x14ac:dyDescent="0.25">
      <c r="A186" s="2">
        <v>45973</v>
      </c>
      <c r="B186" s="3">
        <v>18.3</v>
      </c>
      <c r="C186" s="3">
        <v>18.303000000000001</v>
      </c>
      <c r="D186" s="3">
        <v>18.301500000000001</v>
      </c>
      <c r="F186">
        <f t="shared" si="2"/>
        <v>1.6392099008278631E-4</v>
      </c>
    </row>
    <row r="187" spans="1:6" x14ac:dyDescent="0.25">
      <c r="A187" s="4">
        <v>45974</v>
      </c>
      <c r="B187" s="5">
        <v>18.272500000000001</v>
      </c>
      <c r="C187" s="5">
        <v>18.275500000000001</v>
      </c>
      <c r="D187" s="5">
        <v>18.274000000000001</v>
      </c>
      <c r="F187">
        <f t="shared" si="2"/>
        <v>1.6416766991354456E-4</v>
      </c>
    </row>
    <row r="188" spans="1:6" x14ac:dyDescent="0.25">
      <c r="A188" s="2">
        <v>45975</v>
      </c>
      <c r="B188" s="3">
        <v>18.3079</v>
      </c>
      <c r="C188" s="3">
        <v>18.312100000000001</v>
      </c>
      <c r="D188" s="3">
        <v>18.309999999999999</v>
      </c>
      <c r="F188">
        <f t="shared" si="2"/>
        <v>2.2938285090119443E-4</v>
      </c>
    </row>
    <row r="189" spans="1:6" x14ac:dyDescent="0.25">
      <c r="A189" s="4">
        <v>45978</v>
      </c>
      <c r="B189" s="5">
        <v>18.360199999999999</v>
      </c>
      <c r="C189" s="5">
        <v>18.363800000000001</v>
      </c>
      <c r="D189" s="5">
        <v>18.361999999999998</v>
      </c>
      <c r="F189">
        <f t="shared" si="2"/>
        <v>1.960570743928912E-4</v>
      </c>
    </row>
    <row r="190" spans="1:6" x14ac:dyDescent="0.25">
      <c r="A190" s="2">
        <v>45979</v>
      </c>
      <c r="B190" s="3">
        <v>18.398199999999999</v>
      </c>
      <c r="C190" s="3">
        <v>18.401800000000001</v>
      </c>
      <c r="D190" s="3">
        <v>18.399999999999999</v>
      </c>
      <c r="F190">
        <f t="shared" si="2"/>
        <v>1.9565217391316676E-4</v>
      </c>
    </row>
    <row r="191" spans="1:6" x14ac:dyDescent="0.25">
      <c r="A191" s="4">
        <v>45980</v>
      </c>
      <c r="B191" s="5">
        <v>18.353999999999999</v>
      </c>
      <c r="C191" s="5">
        <v>18.356999999999999</v>
      </c>
      <c r="D191" s="5">
        <v>18.355499999999999</v>
      </c>
      <c r="F191">
        <f t="shared" si="2"/>
        <v>1.6343875132794606E-4</v>
      </c>
    </row>
    <row r="192" spans="1:6" x14ac:dyDescent="0.25">
      <c r="A192" s="2">
        <v>45981</v>
      </c>
      <c r="B192" s="3">
        <v>18.318000000000001</v>
      </c>
      <c r="C192" s="3">
        <v>18.321000000000002</v>
      </c>
      <c r="D192" s="3">
        <v>18.319500000000001</v>
      </c>
      <c r="F192">
        <f t="shared" si="2"/>
        <v>1.6375992794563789E-4</v>
      </c>
    </row>
    <row r="193" spans="1:6" x14ac:dyDescent="0.25">
      <c r="A193" s="4">
        <v>45982</v>
      </c>
      <c r="B193" s="5">
        <v>18.5045</v>
      </c>
      <c r="C193" s="5">
        <v>18.5075</v>
      </c>
      <c r="D193" s="5">
        <v>18.506</v>
      </c>
      <c r="F193">
        <f t="shared" si="2"/>
        <v>1.6210958608019635E-4</v>
      </c>
    </row>
    <row r="194" spans="1:6" x14ac:dyDescent="0.25">
      <c r="A194" s="2">
        <v>45985</v>
      </c>
      <c r="B194" s="3">
        <v>18.518999999999998</v>
      </c>
      <c r="C194" s="3">
        <v>18.521999999999998</v>
      </c>
      <c r="D194" s="3">
        <v>18.520499999999998</v>
      </c>
      <c r="F194">
        <f t="shared" si="2"/>
        <v>1.6198266785454572E-4</v>
      </c>
    </row>
    <row r="195" spans="1:6" x14ac:dyDescent="0.25">
      <c r="A195" s="4">
        <v>45986</v>
      </c>
      <c r="B195" s="5">
        <v>18.448</v>
      </c>
      <c r="C195" s="5">
        <v>18.451000000000001</v>
      </c>
      <c r="D195" s="5">
        <v>18.4495</v>
      </c>
      <c r="F195">
        <f t="shared" ref="F195:F258" si="3">(C195-B195)/D195</f>
        <v>1.6260603268381874E-4</v>
      </c>
    </row>
    <row r="196" spans="1:6" x14ac:dyDescent="0.25">
      <c r="A196" s="2">
        <v>45987</v>
      </c>
      <c r="B196" s="3">
        <v>18.348500000000001</v>
      </c>
      <c r="C196" s="3">
        <v>18.351500000000001</v>
      </c>
      <c r="D196" s="3">
        <v>18.350000000000001</v>
      </c>
      <c r="F196">
        <f t="shared" si="3"/>
        <v>1.6348773841962471E-4</v>
      </c>
    </row>
    <row r="197" spans="1:6" x14ac:dyDescent="0.25">
      <c r="A197" s="4">
        <v>45988</v>
      </c>
      <c r="B197" s="5">
        <v>18.337800000000001</v>
      </c>
      <c r="C197" s="5">
        <v>18.341200000000001</v>
      </c>
      <c r="D197" s="5">
        <v>18.339500000000001</v>
      </c>
      <c r="F197">
        <f t="shared" si="3"/>
        <v>1.8539218626457545E-4</v>
      </c>
    </row>
    <row r="198" spans="1:6" x14ac:dyDescent="0.25">
      <c r="A198" s="2">
        <v>45989</v>
      </c>
      <c r="B198" s="3">
        <v>18.3216</v>
      </c>
      <c r="C198" s="3">
        <v>18.325399999999998</v>
      </c>
      <c r="D198" s="3">
        <v>18.323499999999999</v>
      </c>
      <c r="F198">
        <f t="shared" si="3"/>
        <v>2.0738396048780252E-4</v>
      </c>
    </row>
    <row r="199" spans="1:6" x14ac:dyDescent="0.25">
      <c r="A199" s="4">
        <v>45992</v>
      </c>
      <c r="B199" s="5">
        <v>18.259799999999998</v>
      </c>
      <c r="C199" s="5">
        <v>18.263200000000001</v>
      </c>
      <c r="D199" s="5">
        <v>18.261500000000002</v>
      </c>
      <c r="F199">
        <f t="shared" si="3"/>
        <v>1.8618404840800229E-4</v>
      </c>
    </row>
    <row r="200" spans="1:6" x14ac:dyDescent="0.25">
      <c r="A200" s="2">
        <v>45993</v>
      </c>
      <c r="B200" s="3">
        <v>18.284199999999998</v>
      </c>
      <c r="C200" s="3">
        <v>18.287299999999998</v>
      </c>
      <c r="D200" s="3">
        <v>18.28575</v>
      </c>
      <c r="F200">
        <f t="shared" si="3"/>
        <v>1.6953091888491752E-4</v>
      </c>
    </row>
    <row r="201" spans="1:6" x14ac:dyDescent="0.25">
      <c r="A201" s="4">
        <v>45994</v>
      </c>
      <c r="B201" s="5">
        <v>18.253499999999999</v>
      </c>
      <c r="C201" s="5">
        <v>18.256499999999999</v>
      </c>
      <c r="D201" s="5">
        <v>18.254999999999999</v>
      </c>
      <c r="F201">
        <f t="shared" si="3"/>
        <v>1.6433853738702348E-4</v>
      </c>
    </row>
    <row r="202" spans="1:6" x14ac:dyDescent="0.25">
      <c r="A202" s="2">
        <v>45995</v>
      </c>
      <c r="B202" s="3">
        <v>18.226500000000001</v>
      </c>
      <c r="C202" s="3">
        <v>18.229500000000002</v>
      </c>
      <c r="D202" s="3">
        <v>18.228000000000002</v>
      </c>
      <c r="F202">
        <f t="shared" si="3"/>
        <v>1.6458196181699108E-4</v>
      </c>
    </row>
    <row r="203" spans="1:6" x14ac:dyDescent="0.25">
      <c r="A203" s="4">
        <v>45996</v>
      </c>
      <c r="B203" s="5">
        <v>18.1645</v>
      </c>
      <c r="C203" s="5">
        <v>18.1675</v>
      </c>
      <c r="D203" s="5">
        <v>18.166</v>
      </c>
      <c r="F203">
        <f t="shared" si="3"/>
        <v>1.6514367499725387E-4</v>
      </c>
    </row>
    <row r="204" spans="1:6" x14ac:dyDescent="0.25">
      <c r="A204" s="2">
        <v>45999</v>
      </c>
      <c r="B204" s="3">
        <v>18.231000000000002</v>
      </c>
      <c r="C204" s="3">
        <v>18.234000000000002</v>
      </c>
      <c r="D204" s="3">
        <v>18.232500000000002</v>
      </c>
      <c r="F204">
        <f t="shared" si="3"/>
        <v>1.6454134101193547E-4</v>
      </c>
    </row>
    <row r="205" spans="1:6" x14ac:dyDescent="0.25">
      <c r="A205" s="4">
        <v>46000</v>
      </c>
      <c r="B205" s="5">
        <v>18.207000000000001</v>
      </c>
      <c r="C205" s="5">
        <v>18.21</v>
      </c>
      <c r="D205" s="5">
        <v>18.208500000000001</v>
      </c>
      <c r="F205">
        <f t="shared" si="3"/>
        <v>1.6475821731609487E-4</v>
      </c>
    </row>
    <row r="206" spans="1:6" x14ac:dyDescent="0.25">
      <c r="A206" s="2">
        <v>46001</v>
      </c>
      <c r="B206" s="3">
        <v>18.198</v>
      </c>
      <c r="C206" s="3">
        <v>18.201000000000001</v>
      </c>
      <c r="D206" s="3">
        <v>18.1995</v>
      </c>
      <c r="F206">
        <f t="shared" si="3"/>
        <v>1.6483969339817654E-4</v>
      </c>
    </row>
    <row r="207" spans="1:6" x14ac:dyDescent="0.25">
      <c r="A207" s="4">
        <v>46002</v>
      </c>
      <c r="B207" s="5">
        <v>18.044499999999999</v>
      </c>
      <c r="C207" s="5">
        <v>18.047499999999999</v>
      </c>
      <c r="D207" s="5">
        <v>18.045999999999999</v>
      </c>
      <c r="F207">
        <f t="shared" si="3"/>
        <v>1.6624182644353949E-4</v>
      </c>
    </row>
    <row r="208" spans="1:6" x14ac:dyDescent="0.25">
      <c r="A208" s="2">
        <v>46003</v>
      </c>
      <c r="B208" s="3">
        <v>18.061</v>
      </c>
      <c r="C208" s="3">
        <v>18.064</v>
      </c>
      <c r="D208" s="3">
        <v>18.0625</v>
      </c>
      <c r="F208">
        <f t="shared" si="3"/>
        <v>1.6608996539793018E-4</v>
      </c>
    </row>
    <row r="209" spans="1:6" x14ac:dyDescent="0.25">
      <c r="A209" s="4">
        <v>46006</v>
      </c>
      <c r="B209" s="5">
        <v>17.975000000000001</v>
      </c>
      <c r="C209" s="5">
        <v>17.978000000000002</v>
      </c>
      <c r="D209" s="5">
        <v>17.976500000000001</v>
      </c>
      <c r="F209">
        <f t="shared" si="3"/>
        <v>1.6688454370984972E-4</v>
      </c>
    </row>
    <row r="210" spans="1:6" x14ac:dyDescent="0.25">
      <c r="A210" s="2">
        <v>46007</v>
      </c>
      <c r="B210" s="3">
        <v>17.95</v>
      </c>
      <c r="C210" s="3">
        <v>17.952999999999999</v>
      </c>
      <c r="D210" s="3">
        <v>17.951499999999999</v>
      </c>
      <c r="F210">
        <f t="shared" si="3"/>
        <v>1.6711695401499117E-4</v>
      </c>
    </row>
    <row r="211" spans="1:6" x14ac:dyDescent="0.25">
      <c r="A211" s="4">
        <v>46008</v>
      </c>
      <c r="B211" s="5">
        <v>18.010999999999999</v>
      </c>
      <c r="C211" s="5">
        <v>18.013999999999999</v>
      </c>
      <c r="D211" s="5">
        <v>18.012499999999999</v>
      </c>
      <c r="F211">
        <f t="shared" si="3"/>
        <v>1.6655100624566905E-4</v>
      </c>
    </row>
    <row r="212" spans="1:6" x14ac:dyDescent="0.25">
      <c r="A212" s="2">
        <v>46009</v>
      </c>
      <c r="B212" s="3">
        <v>17.985499999999998</v>
      </c>
      <c r="C212" s="3">
        <v>17.988499999999998</v>
      </c>
      <c r="D212" s="3">
        <v>17.986999999999998</v>
      </c>
      <c r="F212">
        <f t="shared" si="3"/>
        <v>1.667871240340309E-4</v>
      </c>
    </row>
    <row r="213" spans="1:6" x14ac:dyDescent="0.25">
      <c r="A213" s="4">
        <v>46010</v>
      </c>
      <c r="B213" s="5">
        <v>18.015499999999999</v>
      </c>
      <c r="C213" s="5">
        <v>18.0185</v>
      </c>
      <c r="D213" s="5">
        <v>18.016999999999999</v>
      </c>
      <c r="F213">
        <f t="shared" si="3"/>
        <v>1.6650940778154599E-4</v>
      </c>
    </row>
    <row r="214" spans="1:6" x14ac:dyDescent="0.25">
      <c r="A214" s="2">
        <v>46013</v>
      </c>
      <c r="B214" s="3">
        <v>17.978000000000002</v>
      </c>
      <c r="C214" s="3">
        <v>17.981000000000002</v>
      </c>
      <c r="D214" s="3">
        <v>17.979500000000002</v>
      </c>
      <c r="F214">
        <f t="shared" si="3"/>
        <v>1.6685669790595474E-4</v>
      </c>
    </row>
    <row r="215" spans="1:6" x14ac:dyDescent="0.25">
      <c r="A215" s="4">
        <v>46014</v>
      </c>
      <c r="B215" s="5">
        <v>17.925999999999998</v>
      </c>
      <c r="C215" s="5">
        <v>17.928999999999998</v>
      </c>
      <c r="D215" s="5">
        <v>17.927499999999998</v>
      </c>
      <c r="F215">
        <f t="shared" si="3"/>
        <v>1.6734067772975115E-4</v>
      </c>
    </row>
    <row r="216" spans="1:6" x14ac:dyDescent="0.25">
      <c r="A216" s="2">
        <v>46015</v>
      </c>
      <c r="B216" s="3">
        <v>17.927499999999998</v>
      </c>
      <c r="C216" s="3">
        <v>17.930499999999999</v>
      </c>
      <c r="D216" s="3">
        <v>17.928999999999998</v>
      </c>
      <c r="F216">
        <f t="shared" si="3"/>
        <v>1.6732667744994779E-4</v>
      </c>
    </row>
    <row r="217" spans="1:6" x14ac:dyDescent="0.25">
      <c r="A217" s="4">
        <v>46016</v>
      </c>
      <c r="B217" s="5">
        <v>17.927499999999998</v>
      </c>
      <c r="C217" s="5">
        <v>17.930499999999999</v>
      </c>
      <c r="D217" s="5">
        <v>17.928999000000001</v>
      </c>
      <c r="F217">
        <f t="shared" si="3"/>
        <v>1.6732668678268728E-4</v>
      </c>
    </row>
    <row r="218" spans="1:6" x14ac:dyDescent="0.25">
      <c r="A218" s="2">
        <v>46017</v>
      </c>
      <c r="B218" s="3">
        <v>17.8889</v>
      </c>
      <c r="C218" s="3">
        <v>17.892099999999999</v>
      </c>
      <c r="D218" s="3">
        <v>17.890499999999999</v>
      </c>
      <c r="F218">
        <f t="shared" si="3"/>
        <v>1.7886587853886967E-4</v>
      </c>
    </row>
    <row r="219" spans="1:6" x14ac:dyDescent="0.25">
      <c r="A219" s="4">
        <v>46020</v>
      </c>
      <c r="B219" s="5">
        <v>17.946999999999999</v>
      </c>
      <c r="C219" s="5">
        <v>17.95</v>
      </c>
      <c r="D219" s="5">
        <v>17.948499999999999</v>
      </c>
      <c r="F219">
        <f t="shared" si="3"/>
        <v>1.6714488675934557E-4</v>
      </c>
    </row>
    <row r="220" spans="1:6" x14ac:dyDescent="0.25">
      <c r="A220" s="2">
        <v>46021</v>
      </c>
      <c r="B220" s="3">
        <v>17.932700000000001</v>
      </c>
      <c r="C220" s="3">
        <v>17.9358</v>
      </c>
      <c r="D220" s="3">
        <v>17.934249999999999</v>
      </c>
      <c r="F220">
        <f t="shared" si="3"/>
        <v>1.7285361807713626E-4</v>
      </c>
    </row>
    <row r="221" spans="1:6" x14ac:dyDescent="0.25">
      <c r="A221" s="4">
        <v>46022</v>
      </c>
      <c r="B221" s="5">
        <v>17.978000000000002</v>
      </c>
      <c r="C221" s="5">
        <v>17.981000000000002</v>
      </c>
      <c r="D221" s="5">
        <v>17.979500000000002</v>
      </c>
      <c r="F221">
        <f t="shared" si="3"/>
        <v>1.6685669790595474E-4</v>
      </c>
    </row>
    <row r="222" spans="1:6" x14ac:dyDescent="0.25">
      <c r="A222" s="2">
        <v>46023</v>
      </c>
      <c r="B222" s="3">
        <v>17.978000000000002</v>
      </c>
      <c r="C222" s="3">
        <v>17.981000000000002</v>
      </c>
      <c r="D222" s="3">
        <v>17.979479999999999</v>
      </c>
      <c r="F222">
        <f t="shared" si="3"/>
        <v>1.6685688351387881E-4</v>
      </c>
    </row>
    <row r="223" spans="1:6" x14ac:dyDescent="0.25">
      <c r="A223" s="4">
        <v>46024</v>
      </c>
      <c r="B223" s="5">
        <v>17.879000000000001</v>
      </c>
      <c r="C223" s="5">
        <v>17.882000000000001</v>
      </c>
      <c r="D223" s="5">
        <v>17.880500000000001</v>
      </c>
      <c r="F223">
        <f t="shared" si="3"/>
        <v>1.6778054304969736E-4</v>
      </c>
    </row>
    <row r="224" spans="1:6" x14ac:dyDescent="0.25">
      <c r="A224" s="2">
        <v>46027</v>
      </c>
      <c r="B224" s="3">
        <v>17.8857</v>
      </c>
      <c r="C224" s="3">
        <v>17.8888</v>
      </c>
      <c r="D224" s="3">
        <v>17.887250000000002</v>
      </c>
      <c r="F224">
        <f t="shared" si="3"/>
        <v>1.73307803044061E-4</v>
      </c>
    </row>
    <row r="225" spans="1:6" x14ac:dyDescent="0.25">
      <c r="A225" s="4">
        <v>46028</v>
      </c>
      <c r="B225" s="5">
        <v>17.970500000000001</v>
      </c>
      <c r="C225" s="5">
        <v>17.973500000000001</v>
      </c>
      <c r="D225" s="5">
        <v>17.972000000000001</v>
      </c>
      <c r="F225">
        <f t="shared" si="3"/>
        <v>1.669263298464341E-4</v>
      </c>
    </row>
    <row r="226" spans="1:6" x14ac:dyDescent="0.25">
      <c r="A226" s="2">
        <v>46029</v>
      </c>
      <c r="B226" s="3">
        <v>17.940000000000001</v>
      </c>
      <c r="C226" s="3">
        <v>17.943000000000001</v>
      </c>
      <c r="D226" s="3">
        <v>17.941500000000001</v>
      </c>
      <c r="F226">
        <f t="shared" si="3"/>
        <v>1.6721009949001553E-4</v>
      </c>
    </row>
    <row r="227" spans="1:6" x14ac:dyDescent="0.25">
      <c r="A227" s="4">
        <v>46030</v>
      </c>
      <c r="B227" s="5">
        <v>17.9755</v>
      </c>
      <c r="C227" s="5">
        <v>17.9785</v>
      </c>
      <c r="D227" s="5">
        <v>17.977</v>
      </c>
      <c r="F227">
        <f t="shared" si="3"/>
        <v>1.6687990209713043E-4</v>
      </c>
    </row>
    <row r="228" spans="1:6" x14ac:dyDescent="0.25">
      <c r="A228" s="2">
        <v>46031</v>
      </c>
      <c r="B228" s="3">
        <v>17.969000000000001</v>
      </c>
      <c r="C228" s="3">
        <v>17.972000000000001</v>
      </c>
      <c r="D228" s="3">
        <v>17.970500000000001</v>
      </c>
      <c r="F228">
        <f t="shared" si="3"/>
        <v>1.6694026320915464E-4</v>
      </c>
    </row>
    <row r="229" spans="1:6" x14ac:dyDescent="0.25">
      <c r="A229" s="4">
        <v>46034</v>
      </c>
      <c r="B229" s="5">
        <v>17.882000000000001</v>
      </c>
      <c r="C229" s="5">
        <v>17.885000000000002</v>
      </c>
      <c r="D229" s="5">
        <v>17.883500000000002</v>
      </c>
      <c r="F229">
        <f t="shared" si="3"/>
        <v>1.677523974613534E-4</v>
      </c>
    </row>
    <row r="230" spans="1:6" x14ac:dyDescent="0.25">
      <c r="A230" s="2">
        <v>46035</v>
      </c>
      <c r="B230" s="3">
        <v>17.854700000000001</v>
      </c>
      <c r="C230" s="3">
        <v>17.857800000000001</v>
      </c>
      <c r="D230" s="3">
        <v>17.856249999999999</v>
      </c>
      <c r="F230">
        <f t="shared" si="3"/>
        <v>1.7360868043401502E-4</v>
      </c>
    </row>
    <row r="231" spans="1:6" x14ac:dyDescent="0.25">
      <c r="A231" s="4">
        <v>46036</v>
      </c>
      <c r="B231" s="5">
        <v>17.8035</v>
      </c>
      <c r="C231" s="5">
        <v>17.8065</v>
      </c>
      <c r="D231" s="5">
        <v>17.805</v>
      </c>
      <c r="F231">
        <f t="shared" si="3"/>
        <v>1.6849199663016647E-4</v>
      </c>
    </row>
    <row r="232" spans="1:6" x14ac:dyDescent="0.25">
      <c r="A232" s="2">
        <v>46037</v>
      </c>
      <c r="B232" s="3">
        <v>17.673999999999999</v>
      </c>
      <c r="C232" s="3">
        <v>17.677</v>
      </c>
      <c r="D232" s="3">
        <v>17.6755</v>
      </c>
      <c r="F232">
        <f t="shared" si="3"/>
        <v>1.6972645752596043E-4</v>
      </c>
    </row>
    <row r="233" spans="1:6" x14ac:dyDescent="0.25">
      <c r="A233" s="4">
        <v>46038</v>
      </c>
      <c r="B233" s="5">
        <v>17.701499999999999</v>
      </c>
      <c r="C233" s="5">
        <v>17.704499999999999</v>
      </c>
      <c r="D233" s="5">
        <v>17.702999999999999</v>
      </c>
      <c r="F233">
        <f t="shared" si="3"/>
        <v>1.6946280291476663E-4</v>
      </c>
    </row>
    <row r="234" spans="1:6" x14ac:dyDescent="0.25">
      <c r="A234" s="2">
        <v>46041</v>
      </c>
      <c r="B234" s="3">
        <v>17.607900000000001</v>
      </c>
      <c r="C234" s="3">
        <v>17.6111</v>
      </c>
      <c r="D234" s="3">
        <v>17.609500000000001</v>
      </c>
      <c r="F234">
        <f t="shared" si="3"/>
        <v>1.8172009426727889E-4</v>
      </c>
    </row>
    <row r="235" spans="1:6" x14ac:dyDescent="0.25">
      <c r="A235" s="4">
        <v>46042</v>
      </c>
      <c r="B235" s="5">
        <v>17.600000000000001</v>
      </c>
      <c r="C235" s="5">
        <v>17.603000000000002</v>
      </c>
      <c r="D235" s="5">
        <v>17.601500000000001</v>
      </c>
      <c r="F235">
        <f t="shared" si="3"/>
        <v>1.7044001931654197E-4</v>
      </c>
    </row>
    <row r="236" spans="1:6" x14ac:dyDescent="0.25">
      <c r="A236" s="2">
        <v>46043</v>
      </c>
      <c r="B236" s="3">
        <v>17.429500000000001</v>
      </c>
      <c r="C236" s="3">
        <v>17.432500000000001</v>
      </c>
      <c r="D236" s="3">
        <v>17.431000000000001</v>
      </c>
      <c r="F236">
        <f t="shared" si="3"/>
        <v>1.7210716539499244E-4</v>
      </c>
    </row>
    <row r="237" spans="1:6" x14ac:dyDescent="0.25">
      <c r="A237" s="4">
        <v>46044</v>
      </c>
      <c r="B237" s="5">
        <v>17.471499999999999</v>
      </c>
      <c r="C237" s="5">
        <v>17.474499999999999</v>
      </c>
      <c r="D237" s="5">
        <v>17.472999999999999</v>
      </c>
      <c r="F237">
        <f t="shared" si="3"/>
        <v>1.716934699250337E-4</v>
      </c>
    </row>
    <row r="238" spans="1:6" x14ac:dyDescent="0.25">
      <c r="A238" s="2">
        <v>46045</v>
      </c>
      <c r="B238" s="3">
        <v>17.459</v>
      </c>
      <c r="C238" s="3">
        <v>17.462</v>
      </c>
      <c r="D238" s="3">
        <v>17.4605</v>
      </c>
      <c r="F238">
        <f t="shared" si="3"/>
        <v>1.7181638555597569E-4</v>
      </c>
    </row>
    <row r="239" spans="1:6" x14ac:dyDescent="0.25">
      <c r="A239" s="4">
        <v>46048</v>
      </c>
      <c r="B239" s="5">
        <v>17.252500000000001</v>
      </c>
      <c r="C239" s="5">
        <v>17.255500000000001</v>
      </c>
      <c r="D239" s="5">
        <v>17.254000000000001</v>
      </c>
      <c r="F239">
        <f t="shared" si="3"/>
        <v>1.7387272516518568E-4</v>
      </c>
    </row>
    <row r="240" spans="1:6" x14ac:dyDescent="0.25">
      <c r="A240" s="2">
        <v>46049</v>
      </c>
      <c r="B240" s="3">
        <v>17.2515</v>
      </c>
      <c r="C240" s="3">
        <v>17.2545</v>
      </c>
      <c r="D240" s="3">
        <v>17.253</v>
      </c>
      <c r="F240">
        <f t="shared" si="3"/>
        <v>1.7388280299079079E-4</v>
      </c>
    </row>
    <row r="241" spans="1:6" x14ac:dyDescent="0.25">
      <c r="A241" s="4">
        <v>46050</v>
      </c>
      <c r="B241" s="5">
        <v>17.215499999999999</v>
      </c>
      <c r="C241" s="5">
        <v>17.218499999999999</v>
      </c>
      <c r="D241" s="5">
        <v>17.216999999999999</v>
      </c>
      <c r="F241">
        <f t="shared" si="3"/>
        <v>1.7424638438753057E-4</v>
      </c>
    </row>
    <row r="242" spans="1:6" x14ac:dyDescent="0.25">
      <c r="A242" s="2">
        <v>46051</v>
      </c>
      <c r="B242" s="3">
        <v>17.327999999999999</v>
      </c>
      <c r="C242" s="3">
        <v>17.331</v>
      </c>
      <c r="D242" s="3">
        <v>17.329499999999999</v>
      </c>
      <c r="F242">
        <f t="shared" si="3"/>
        <v>1.7311520817104439E-4</v>
      </c>
    </row>
    <row r="243" spans="1:6" x14ac:dyDescent="0.25">
      <c r="A243" s="4">
        <v>46052</v>
      </c>
      <c r="B243" s="5">
        <v>17.345500000000001</v>
      </c>
      <c r="C243" s="5">
        <v>17.348500000000001</v>
      </c>
      <c r="D243" s="5">
        <v>17.347000000000001</v>
      </c>
      <c r="F243">
        <f t="shared" si="3"/>
        <v>1.7294056609212623E-4</v>
      </c>
    </row>
    <row r="244" spans="1:6" x14ac:dyDescent="0.25">
      <c r="A244" s="2">
        <v>46055</v>
      </c>
      <c r="B244" s="3">
        <v>17.437899999999999</v>
      </c>
      <c r="C244" s="3">
        <v>17.441099999999999</v>
      </c>
      <c r="D244" s="3">
        <v>17.439499999999999</v>
      </c>
      <c r="F244">
        <f t="shared" si="3"/>
        <v>1.8349149918286923E-4</v>
      </c>
    </row>
    <row r="245" spans="1:6" x14ac:dyDescent="0.25">
      <c r="A245" s="4">
        <v>46056</v>
      </c>
      <c r="B245" s="5">
        <v>17.221</v>
      </c>
      <c r="C245" s="5">
        <v>17.224</v>
      </c>
      <c r="D245" s="5">
        <v>17.2225</v>
      </c>
      <c r="F245">
        <f t="shared" si="3"/>
        <v>1.7419073885905725E-4</v>
      </c>
    </row>
    <row r="246" spans="1:6" x14ac:dyDescent="0.25">
      <c r="A246" s="2">
        <v>46057</v>
      </c>
      <c r="B246" s="3">
        <v>17.271000000000001</v>
      </c>
      <c r="C246" s="3">
        <v>17.274000000000001</v>
      </c>
      <c r="D246" s="3">
        <v>17.272500000000001</v>
      </c>
      <c r="F246">
        <f t="shared" si="3"/>
        <v>1.7368649587495231E-4</v>
      </c>
    </row>
    <row r="247" spans="1:6" x14ac:dyDescent="0.25">
      <c r="A247" s="4">
        <v>46058</v>
      </c>
      <c r="B247" s="5">
        <v>17.430099999999999</v>
      </c>
      <c r="C247" s="5">
        <v>17.433399999999999</v>
      </c>
      <c r="D247" s="5">
        <v>17.431750000000001</v>
      </c>
      <c r="F247">
        <f t="shared" si="3"/>
        <v>1.8930973654391638E-4</v>
      </c>
    </row>
    <row r="248" spans="1:6" x14ac:dyDescent="0.25">
      <c r="A248" s="2">
        <v>46059</v>
      </c>
      <c r="B248" s="3">
        <v>17.3125</v>
      </c>
      <c r="C248" s="3">
        <v>17.3155</v>
      </c>
      <c r="D248" s="3">
        <v>17.314</v>
      </c>
      <c r="F248">
        <f t="shared" si="3"/>
        <v>1.7327018597667284E-4</v>
      </c>
    </row>
    <row r="249" spans="1:6" x14ac:dyDescent="0.25">
      <c r="A249" s="4">
        <v>46062</v>
      </c>
      <c r="B249" s="5">
        <v>17.157499999999999</v>
      </c>
      <c r="C249" s="5">
        <v>17.160499999999999</v>
      </c>
      <c r="D249" s="5">
        <v>17.158999999999999</v>
      </c>
      <c r="F249">
        <f t="shared" si="3"/>
        <v>1.7483536336617016E-4</v>
      </c>
    </row>
    <row r="250" spans="1:6" x14ac:dyDescent="0.25">
      <c r="A250" s="2">
        <v>46063</v>
      </c>
      <c r="B250" s="3">
        <v>17.229500000000002</v>
      </c>
      <c r="C250" s="3">
        <v>17.232500000000002</v>
      </c>
      <c r="D250" s="3">
        <v>17.231000000000002</v>
      </c>
      <c r="F250">
        <f t="shared" si="3"/>
        <v>1.7410481109628653E-4</v>
      </c>
    </row>
    <row r="251" spans="1:6" x14ac:dyDescent="0.25">
      <c r="A251" s="4">
        <v>46064</v>
      </c>
      <c r="B251" s="5">
        <v>17.2315</v>
      </c>
      <c r="C251" s="5">
        <v>17.234500000000001</v>
      </c>
      <c r="D251" s="5">
        <v>17.233000000000001</v>
      </c>
      <c r="F251">
        <f t="shared" si="3"/>
        <v>1.7408460511809397E-4</v>
      </c>
    </row>
    <row r="252" spans="1:6" x14ac:dyDescent="0.25">
      <c r="A252" s="2">
        <v>46065</v>
      </c>
      <c r="B252" s="3">
        <v>17.185199999999998</v>
      </c>
      <c r="C252" s="3">
        <v>17.188300000000002</v>
      </c>
      <c r="D252" s="3">
        <v>17.18675</v>
      </c>
      <c r="F252">
        <f t="shared" si="3"/>
        <v>1.8037150712051046E-4</v>
      </c>
    </row>
    <row r="253" spans="1:6" x14ac:dyDescent="0.25">
      <c r="A253" s="4">
        <v>46066</v>
      </c>
      <c r="B253" s="5">
        <v>17.1845</v>
      </c>
      <c r="C253" s="5">
        <v>17.1875</v>
      </c>
      <c r="D253" s="5">
        <v>17.186</v>
      </c>
      <c r="F253">
        <f t="shared" si="3"/>
        <v>1.7456068893285893E-4</v>
      </c>
    </row>
    <row r="254" spans="1:6" x14ac:dyDescent="0.25">
      <c r="A254" s="2">
        <v>46069</v>
      </c>
      <c r="B254" s="3">
        <v>17.1752</v>
      </c>
      <c r="C254" s="3">
        <v>17.178799999999999</v>
      </c>
      <c r="D254" s="3">
        <v>17.177</v>
      </c>
      <c r="F254">
        <f t="shared" si="3"/>
        <v>2.0958258135871896E-4</v>
      </c>
    </row>
    <row r="255" spans="1:6" x14ac:dyDescent="0.25">
      <c r="A255" s="4">
        <v>46070</v>
      </c>
      <c r="B255" s="5">
        <v>17.208100000000002</v>
      </c>
      <c r="C255" s="5">
        <v>17.2119</v>
      </c>
      <c r="D255" s="5">
        <v>17.21</v>
      </c>
      <c r="F255">
        <f t="shared" si="3"/>
        <v>2.2080185938397727E-4</v>
      </c>
    </row>
    <row r="256" spans="1:6" x14ac:dyDescent="0.25">
      <c r="A256" s="2">
        <v>46071</v>
      </c>
      <c r="B256" s="3">
        <v>17.136500000000002</v>
      </c>
      <c r="C256" s="3">
        <v>17.139500000000002</v>
      </c>
      <c r="D256" s="3">
        <v>17.138000000000002</v>
      </c>
      <c r="F256">
        <f t="shared" si="3"/>
        <v>1.7504959738593262E-4</v>
      </c>
    </row>
    <row r="257" spans="1:6" x14ac:dyDescent="0.25">
      <c r="A257" s="4">
        <v>46072</v>
      </c>
      <c r="B257" s="5">
        <v>17.252500000000001</v>
      </c>
      <c r="C257" s="5">
        <v>17.255500000000001</v>
      </c>
      <c r="D257" s="5">
        <v>17.254000000000001</v>
      </c>
      <c r="F257">
        <f t="shared" si="3"/>
        <v>1.7387272516518568E-4</v>
      </c>
    </row>
    <row r="258" spans="1:6" x14ac:dyDescent="0.25">
      <c r="A258" s="2">
        <v>46073</v>
      </c>
      <c r="B258" s="3">
        <v>17.156500000000001</v>
      </c>
      <c r="C258" s="3">
        <v>17.159500000000001</v>
      </c>
      <c r="D258" s="3">
        <v>17.158000000000001</v>
      </c>
      <c r="F258">
        <f t="shared" si="3"/>
        <v>1.7484555309477291E-4</v>
      </c>
    </row>
    <row r="259" spans="1:6" x14ac:dyDescent="0.25">
      <c r="A259" s="4">
        <v>46076</v>
      </c>
      <c r="B259" s="5">
        <v>17.197500000000002</v>
      </c>
      <c r="C259" s="5">
        <v>17.200500000000002</v>
      </c>
      <c r="D259" s="5">
        <v>17.199000000000002</v>
      </c>
      <c r="F259">
        <f t="shared" ref="F259:F263" si="4">(C259-B259)/D259</f>
        <v>1.7442874585732389E-4</v>
      </c>
    </row>
    <row r="260" spans="1:6" x14ac:dyDescent="0.25">
      <c r="A260" s="2">
        <v>46077</v>
      </c>
      <c r="B260" s="3">
        <v>17.234999999999999</v>
      </c>
      <c r="C260" s="3">
        <v>17.238</v>
      </c>
      <c r="D260" s="3">
        <v>17.236499999999999</v>
      </c>
      <c r="F260">
        <f t="shared" si="4"/>
        <v>1.7404925593943746E-4</v>
      </c>
    </row>
    <row r="261" spans="1:6" x14ac:dyDescent="0.25">
      <c r="A261" s="4">
        <v>46078</v>
      </c>
      <c r="B261" s="5">
        <v>17.162500000000001</v>
      </c>
      <c r="C261" s="5">
        <v>17.165500000000002</v>
      </c>
      <c r="D261" s="5">
        <v>17.164000000000001</v>
      </c>
      <c r="F261">
        <f t="shared" si="4"/>
        <v>1.7478443253321566E-4</v>
      </c>
    </row>
    <row r="262" spans="1:6" x14ac:dyDescent="0.25">
      <c r="A262" s="2">
        <v>46079</v>
      </c>
      <c r="B262" s="3">
        <v>17.220500000000001</v>
      </c>
      <c r="C262" s="3">
        <v>17.223500000000001</v>
      </c>
      <c r="D262" s="3">
        <v>17.222000000000001</v>
      </c>
      <c r="F262">
        <f t="shared" si="4"/>
        <v>1.7419579607479466E-4</v>
      </c>
    </row>
    <row r="263" spans="1:6" x14ac:dyDescent="0.25">
      <c r="A263" s="4">
        <v>46080</v>
      </c>
      <c r="B263" s="5">
        <v>17.204499999999999</v>
      </c>
      <c r="C263" s="5">
        <v>17.2075</v>
      </c>
      <c r="D263" s="5">
        <v>17.206</v>
      </c>
      <c r="F263">
        <f t="shared" si="4"/>
        <v>1.7435778216901742E-4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6431-03C4-4A35-9BC3-FDF214A6CC05}">
  <dimension ref="A1:S263"/>
  <sheetViews>
    <sheetView tabSelected="1" workbookViewId="0">
      <selection activeCell="N14" sqref="N14"/>
    </sheetView>
  </sheetViews>
  <sheetFormatPr baseColWidth="10" defaultRowHeight="15" x14ac:dyDescent="0.25"/>
  <cols>
    <col min="2" max="2" width="11.85546875" bestFit="1" customWidth="1"/>
    <col min="7" max="7" width="12" bestFit="1" customWidth="1"/>
    <col min="10" max="10" width="12" bestFit="1" customWidth="1"/>
    <col min="15" max="18" width="15.140625" bestFit="1" customWidth="1"/>
    <col min="19" max="19" width="16.28515625" bestFit="1" customWidth="1"/>
  </cols>
  <sheetData>
    <row r="1" spans="1:19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J1" t="s">
        <v>8</v>
      </c>
      <c r="O1" s="1" t="s">
        <v>4</v>
      </c>
      <c r="P1" s="1" t="s">
        <v>5</v>
      </c>
      <c r="Q1" s="1" t="s">
        <v>6</v>
      </c>
      <c r="R1" s="1" t="s">
        <v>7</v>
      </c>
    </row>
    <row r="2" spans="1:19" x14ac:dyDescent="0.25">
      <c r="A2" s="2">
        <v>45715</v>
      </c>
      <c r="B2" s="3">
        <v>4124.0349999999999</v>
      </c>
      <c r="C2" s="3">
        <v>951.92499999999995</v>
      </c>
      <c r="D2" s="3">
        <v>5.8294499999999996</v>
      </c>
      <c r="E2" s="3">
        <v>20.4495</v>
      </c>
      <c r="O2" s="6">
        <v>40000000</v>
      </c>
      <c r="P2" s="6">
        <v>40000000</v>
      </c>
      <c r="Q2" s="6">
        <v>50000000</v>
      </c>
      <c r="R2" s="6">
        <v>50000000</v>
      </c>
      <c r="S2" s="7">
        <f>SUM(O2:R2)</f>
        <v>180000000</v>
      </c>
    </row>
    <row r="3" spans="1:19" x14ac:dyDescent="0.25">
      <c r="A3" s="4">
        <v>45716</v>
      </c>
      <c r="B3" s="5">
        <v>4129.4250000000002</v>
      </c>
      <c r="C3" s="5">
        <v>955.875</v>
      </c>
      <c r="D3" s="5">
        <v>5.8685</v>
      </c>
      <c r="E3" s="5">
        <v>20.529499999999999</v>
      </c>
      <c r="F3">
        <f>B3/B2-1</f>
        <v>1.3069724190022391E-3</v>
      </c>
      <c r="G3">
        <f t="shared" ref="G3:H3" si="0">C3/C2-1</f>
        <v>4.149486566693783E-3</v>
      </c>
      <c r="H3">
        <f t="shared" si="0"/>
        <v>6.6987451646383089E-3</v>
      </c>
      <c r="I3">
        <f>E3/E2-1</f>
        <v>3.9120760898798679E-3</v>
      </c>
      <c r="J3">
        <f>SUMPRODUCT(F3:I3,$O$3:$R$3)</f>
        <v>-1.4240493239033492E-4</v>
      </c>
      <c r="O3" s="8">
        <f>-O2/$S$2</f>
        <v>-0.22222222222222221</v>
      </c>
      <c r="P3" s="8">
        <f t="shared" ref="P3:R3" si="1">P2/$S$2</f>
        <v>0.22222222222222221</v>
      </c>
      <c r="Q3" s="8">
        <f>-Q2/$S$2</f>
        <v>-0.27777777777777779</v>
      </c>
      <c r="R3" s="8">
        <f t="shared" si="1"/>
        <v>0.27777777777777779</v>
      </c>
    </row>
    <row r="4" spans="1:19" x14ac:dyDescent="0.25">
      <c r="A4" s="2">
        <v>45719</v>
      </c>
      <c r="B4" s="3">
        <v>4114.2049999999999</v>
      </c>
      <c r="C4" s="3">
        <v>952.85</v>
      </c>
      <c r="D4" s="3">
        <v>5.8876499999999998</v>
      </c>
      <c r="E4" s="3">
        <v>20.408000000000001</v>
      </c>
      <c r="F4">
        <f t="shared" ref="F4:F67" si="2">B4/B3-1</f>
        <v>-3.6857431724756085E-3</v>
      </c>
      <c r="G4">
        <f t="shared" ref="G4:G67" si="3">C4/C3-1</f>
        <v>-3.1646397279978533E-3</v>
      </c>
      <c r="H4">
        <f t="shared" ref="H4:H67" si="4">D4/D3-1</f>
        <v>3.2631848002044883E-3</v>
      </c>
      <c r="I4">
        <f t="shared" ref="I4:I67" si="5">E4/E3-1</f>
        <v>-5.9183126720084855E-3</v>
      </c>
      <c r="J4">
        <f t="shared" ref="J4:J67" si="6">SUMPRODUCT(F4:I4,$O$3:$R$3)</f>
        <v>-2.4346151990641027E-3</v>
      </c>
    </row>
    <row r="5" spans="1:19" x14ac:dyDescent="0.25">
      <c r="A5" s="4">
        <v>45720</v>
      </c>
      <c r="B5" s="5">
        <v>4163.9250000000002</v>
      </c>
      <c r="C5" s="5">
        <v>949.09</v>
      </c>
      <c r="D5" s="5">
        <v>5.8876499999999998</v>
      </c>
      <c r="E5" s="5">
        <v>20.890999999999998</v>
      </c>
      <c r="F5">
        <f t="shared" si="2"/>
        <v>1.2084959305625365E-2</v>
      </c>
      <c r="G5">
        <f t="shared" si="3"/>
        <v>-3.9460565671406433E-3</v>
      </c>
      <c r="H5">
        <f t="shared" si="4"/>
        <v>0</v>
      </c>
      <c r="I5">
        <f t="shared" si="5"/>
        <v>2.366718933751466E-2</v>
      </c>
      <c r="J5">
        <f t="shared" si="6"/>
        <v>3.0117712886949593E-3</v>
      </c>
      <c r="N5" t="s">
        <v>12</v>
      </c>
      <c r="O5" s="10">
        <f>USDCOP!I6</f>
        <v>1.4904581386162813E-3</v>
      </c>
      <c r="P5" s="10">
        <f>USDCLP!I6</f>
        <v>9.1081942667302178E-4</v>
      </c>
      <c r="Q5" s="10">
        <f>USDBRL!I6</f>
        <v>2.3740783266401426E-4</v>
      </c>
      <c r="R5" s="10">
        <f>USDMXN!I6</f>
        <v>1.2726622603112175E-4</v>
      </c>
    </row>
    <row r="6" spans="1:19" x14ac:dyDescent="0.25">
      <c r="A6" s="2">
        <v>45721</v>
      </c>
      <c r="B6" s="3">
        <v>4129.1000000000004</v>
      </c>
      <c r="C6" s="3">
        <v>936.17499999999995</v>
      </c>
      <c r="D6" s="3">
        <v>5.8452999999999999</v>
      </c>
      <c r="E6" s="3">
        <v>20.404</v>
      </c>
      <c r="F6">
        <f t="shared" si="2"/>
        <v>-8.3635031850957109E-3</v>
      </c>
      <c r="G6">
        <f>C6/C5-1</f>
        <v>-1.3607771654953749E-2</v>
      </c>
      <c r="H6">
        <f t="shared" si="4"/>
        <v>-7.1930226830738686E-3</v>
      </c>
      <c r="I6">
        <f t="shared" si="5"/>
        <v>-2.3311473840409658E-2</v>
      </c>
      <c r="J6">
        <f t="shared" si="6"/>
        <v>-5.6427405370061724E-3</v>
      </c>
      <c r="P6" s="9"/>
      <c r="R6" s="9"/>
    </row>
    <row r="7" spans="1:19" x14ac:dyDescent="0.25">
      <c r="A7" s="4">
        <v>45722</v>
      </c>
      <c r="B7" s="5">
        <v>4111.2299999999996</v>
      </c>
      <c r="C7" s="5">
        <v>927.04499999999996</v>
      </c>
      <c r="D7" s="5">
        <v>5.7546999999999997</v>
      </c>
      <c r="E7" s="5">
        <v>20.308499999999999</v>
      </c>
      <c r="F7">
        <f t="shared" si="2"/>
        <v>-4.3278196217094722E-3</v>
      </c>
      <c r="G7">
        <f t="shared" si="3"/>
        <v>-9.7524501295164212E-3</v>
      </c>
      <c r="H7">
        <f t="shared" si="4"/>
        <v>-1.5499632183121559E-2</v>
      </c>
      <c r="I7">
        <f t="shared" si="5"/>
        <v>-4.6804548127818979E-3</v>
      </c>
      <c r="J7">
        <f>SUMPRODUCT(F7:I7,$O$3:$R$3)</f>
        <v>1.7998536011372508E-3</v>
      </c>
      <c r="M7" t="s">
        <v>13</v>
      </c>
      <c r="N7" s="8">
        <f>PERCENTILE(J3:J263,0.01)</f>
        <v>-6.1972116084106129E-3</v>
      </c>
    </row>
    <row r="8" spans="1:19" x14ac:dyDescent="0.25">
      <c r="A8" s="2">
        <v>45723</v>
      </c>
      <c r="B8" s="3">
        <v>4116.2550000000001</v>
      </c>
      <c r="C8" s="3">
        <v>926.3</v>
      </c>
      <c r="D8" s="3">
        <v>5.7664499999999999</v>
      </c>
      <c r="E8" s="3">
        <v>20.267499999999998</v>
      </c>
      <c r="F8">
        <f t="shared" si="2"/>
        <v>1.2222619508031052E-3</v>
      </c>
      <c r="G8">
        <f t="shared" si="3"/>
        <v>-8.0362873431172321E-4</v>
      </c>
      <c r="H8">
        <f t="shared" si="4"/>
        <v>2.041809303699571E-3</v>
      </c>
      <c r="I8">
        <f t="shared" si="5"/>
        <v>-2.0188590984070443E-3</v>
      </c>
      <c r="J8">
        <f>SUMPRODUCT(F8:I8,$O$3:$R$3)</f>
        <v>-1.5781613750551328E-3</v>
      </c>
    </row>
    <row r="9" spans="1:19" x14ac:dyDescent="0.25">
      <c r="A9" s="4">
        <v>45726</v>
      </c>
      <c r="B9" s="5">
        <v>4160.43</v>
      </c>
      <c r="C9" s="5">
        <v>929.38</v>
      </c>
      <c r="D9" s="5">
        <v>5.7977499999999997</v>
      </c>
      <c r="E9" s="5">
        <v>20.291499999999999</v>
      </c>
      <c r="F9">
        <f t="shared" si="2"/>
        <v>1.0731842415010684E-2</v>
      </c>
      <c r="G9">
        <f t="shared" si="3"/>
        <v>3.3250566771025891E-3</v>
      </c>
      <c r="H9">
        <f t="shared" si="4"/>
        <v>5.4279496050428921E-3</v>
      </c>
      <c r="I9">
        <f t="shared" si="5"/>
        <v>1.184161835450892E-3</v>
      </c>
      <c r="J9">
        <f t="shared" si="6"/>
        <v>-2.824782322199577E-3</v>
      </c>
    </row>
    <row r="10" spans="1:19" x14ac:dyDescent="0.25">
      <c r="A10" s="2">
        <v>45727</v>
      </c>
      <c r="B10" s="3">
        <v>4134.585</v>
      </c>
      <c r="C10" s="3">
        <v>934.23500000000001</v>
      </c>
      <c r="D10" s="3">
        <v>5.8255499999999998</v>
      </c>
      <c r="E10" s="3">
        <v>20.345749999999999</v>
      </c>
      <c r="F10">
        <f t="shared" si="2"/>
        <v>-6.2120982686886261E-3</v>
      </c>
      <c r="G10">
        <f t="shared" si="3"/>
        <v>5.2239127160043086E-3</v>
      </c>
      <c r="H10">
        <f t="shared" si="4"/>
        <v>4.7949635634514376E-3</v>
      </c>
      <c r="I10">
        <f t="shared" si="5"/>
        <v>2.6735332528398104E-3</v>
      </c>
      <c r="J10">
        <f t="shared" si="6"/>
        <v>1.952049576984089E-3</v>
      </c>
    </row>
    <row r="11" spans="1:19" x14ac:dyDescent="0.25">
      <c r="A11" s="4">
        <v>45728</v>
      </c>
      <c r="B11" s="5">
        <v>4104.8850000000002</v>
      </c>
      <c r="C11" s="5">
        <v>932.91499999999996</v>
      </c>
      <c r="D11" s="5">
        <v>5.8220000000000001</v>
      </c>
      <c r="E11" s="5">
        <v>20.172000000000001</v>
      </c>
      <c r="F11">
        <f t="shared" si="2"/>
        <v>-7.1833086029189364E-3</v>
      </c>
      <c r="G11">
        <f t="shared" si="3"/>
        <v>-1.4129207319357739E-3</v>
      </c>
      <c r="H11">
        <f t="shared" si="4"/>
        <v>-6.0938452163306067E-4</v>
      </c>
      <c r="I11">
        <f t="shared" si="5"/>
        <v>-8.5398670484007067E-3</v>
      </c>
      <c r="J11">
        <f t="shared" si="6"/>
        <v>-9.2060339721697685E-4</v>
      </c>
    </row>
    <row r="12" spans="1:19" x14ac:dyDescent="0.25">
      <c r="A12" s="2">
        <v>45729</v>
      </c>
      <c r="B12" s="3">
        <v>4107.085</v>
      </c>
      <c r="C12" s="3">
        <v>935.75</v>
      </c>
      <c r="D12" s="3">
        <v>5.8049999999999997</v>
      </c>
      <c r="E12" s="3">
        <v>20.093499999999999</v>
      </c>
      <c r="F12">
        <f t="shared" si="2"/>
        <v>5.3594680484336799E-4</v>
      </c>
      <c r="G12">
        <f t="shared" si="3"/>
        <v>3.0388620613883699E-3</v>
      </c>
      <c r="H12">
        <f t="shared" si="4"/>
        <v>-2.9199587770526447E-3</v>
      </c>
      <c r="I12">
        <f t="shared" si="5"/>
        <v>-3.8915328177673292E-3</v>
      </c>
      <c r="J12">
        <f t="shared" si="6"/>
        <v>2.8632171236703252E-4</v>
      </c>
    </row>
    <row r="13" spans="1:19" x14ac:dyDescent="0.25">
      <c r="A13" s="4">
        <v>45730</v>
      </c>
      <c r="B13" s="5">
        <v>4105.8050000000003</v>
      </c>
      <c r="C13" s="5">
        <v>932.75</v>
      </c>
      <c r="D13" s="5">
        <v>5.7303499999999996</v>
      </c>
      <c r="E13" s="5">
        <v>19.86</v>
      </c>
      <c r="F13">
        <f t="shared" si="2"/>
        <v>-3.1165656420539811E-4</v>
      </c>
      <c r="G13">
        <f t="shared" si="3"/>
        <v>-3.2059845044082325E-3</v>
      </c>
      <c r="H13">
        <f t="shared" si="4"/>
        <v>-1.2859603789836416E-2</v>
      </c>
      <c r="I13">
        <f t="shared" si="5"/>
        <v>-1.1620673352078947E-2</v>
      </c>
      <c r="J13">
        <f t="shared" si="6"/>
        <v>-2.9903664289022188E-4</v>
      </c>
    </row>
    <row r="14" spans="1:19" x14ac:dyDescent="0.25">
      <c r="A14" s="2">
        <v>45733</v>
      </c>
      <c r="B14" s="3">
        <v>4072.4250000000002</v>
      </c>
      <c r="C14" s="3">
        <v>921.75</v>
      </c>
      <c r="D14" s="3">
        <v>5.6881500000000003</v>
      </c>
      <c r="E14" s="3">
        <v>19.897500000000001</v>
      </c>
      <c r="F14">
        <f t="shared" si="2"/>
        <v>-8.1299525915137227E-3</v>
      </c>
      <c r="G14">
        <f t="shared" si="3"/>
        <v>-1.1793084963816702E-2</v>
      </c>
      <c r="H14">
        <f t="shared" si="4"/>
        <v>-7.3642971197220852E-3</v>
      </c>
      <c r="I14">
        <f t="shared" si="5"/>
        <v>1.8882175226586639E-3</v>
      </c>
      <c r="J14">
        <f t="shared" si="6"/>
        <v>1.7561135401495459E-3</v>
      </c>
    </row>
    <row r="15" spans="1:19" x14ac:dyDescent="0.25">
      <c r="A15" s="4">
        <v>45734</v>
      </c>
      <c r="B15" s="5">
        <v>4115.6350000000002</v>
      </c>
      <c r="C15" s="5">
        <v>914.65</v>
      </c>
      <c r="D15" s="5">
        <v>5.6715999999999998</v>
      </c>
      <c r="E15" s="5">
        <v>19.983750000000001</v>
      </c>
      <c r="F15">
        <f t="shared" si="2"/>
        <v>1.0610385703849756E-2</v>
      </c>
      <c r="G15">
        <f t="shared" si="3"/>
        <v>-7.7027393544887302E-3</v>
      </c>
      <c r="H15">
        <f t="shared" si="4"/>
        <v>-2.9095575890228931E-3</v>
      </c>
      <c r="I15">
        <f t="shared" si="5"/>
        <v>4.3347154165096491E-3</v>
      </c>
      <c r="J15">
        <f t="shared" si="6"/>
        <v>-2.0572852892050682E-3</v>
      </c>
    </row>
    <row r="16" spans="1:19" x14ac:dyDescent="0.25">
      <c r="A16" s="2">
        <v>45735</v>
      </c>
      <c r="B16" s="3">
        <v>4149.6499999999996</v>
      </c>
      <c r="C16" s="3">
        <v>917.56500000000005</v>
      </c>
      <c r="D16" s="3">
        <v>5.6500500000000002</v>
      </c>
      <c r="E16" s="3">
        <v>20.061</v>
      </c>
      <c r="F16">
        <f t="shared" si="2"/>
        <v>8.2648242616265577E-3</v>
      </c>
      <c r="G16">
        <f t="shared" si="3"/>
        <v>3.1870114251353332E-3</v>
      </c>
      <c r="H16">
        <f t="shared" si="4"/>
        <v>-3.799633260455515E-3</v>
      </c>
      <c r="I16">
        <f t="shared" si="5"/>
        <v>3.8656408331769754E-3</v>
      </c>
      <c r="J16">
        <f t="shared" si="6"/>
        <v>1.0008399512331976E-3</v>
      </c>
    </row>
    <row r="17" spans="1:10" x14ac:dyDescent="0.25">
      <c r="A17" s="4">
        <v>45736</v>
      </c>
      <c r="B17" s="5">
        <v>4183.3649999999998</v>
      </c>
      <c r="C17" s="5">
        <v>927.69500000000005</v>
      </c>
      <c r="D17" s="5">
        <v>5.6749499999999999</v>
      </c>
      <c r="E17" s="5">
        <v>20.143999999999998</v>
      </c>
      <c r="F17">
        <f t="shared" si="2"/>
        <v>8.1247816080873836E-3</v>
      </c>
      <c r="G17">
        <f t="shared" si="3"/>
        <v>1.1040089802902164E-2</v>
      </c>
      <c r="H17">
        <f t="shared" si="4"/>
        <v>4.4070406456580002E-3</v>
      </c>
      <c r="I17">
        <f t="shared" si="5"/>
        <v>4.1373809879865497E-3</v>
      </c>
      <c r="J17">
        <f t="shared" si="6"/>
        <v>5.7294080505010392E-4</v>
      </c>
    </row>
    <row r="18" spans="1:10" x14ac:dyDescent="0.25">
      <c r="A18" s="2">
        <v>45737</v>
      </c>
      <c r="B18" s="3">
        <v>4168.625</v>
      </c>
      <c r="C18" s="3">
        <v>932.8</v>
      </c>
      <c r="D18" s="3">
        <v>5.7237999999999998</v>
      </c>
      <c r="E18" s="3">
        <v>20.192</v>
      </c>
      <c r="F18">
        <f t="shared" si="2"/>
        <v>-3.5234793043398271E-3</v>
      </c>
      <c r="G18">
        <f t="shared" si="3"/>
        <v>5.5028861856536437E-3</v>
      </c>
      <c r="H18">
        <f t="shared" si="4"/>
        <v>8.6080053568753367E-3</v>
      </c>
      <c r="I18">
        <f t="shared" si="5"/>
        <v>2.3828435266084469E-3</v>
      </c>
      <c r="J18">
        <f t="shared" si="6"/>
        <v>2.7664737825774585E-4</v>
      </c>
    </row>
    <row r="19" spans="1:10" x14ac:dyDescent="0.25">
      <c r="A19" s="4">
        <v>45740</v>
      </c>
      <c r="B19" s="5">
        <v>4144.33</v>
      </c>
      <c r="C19" s="5">
        <v>927.64499999999998</v>
      </c>
      <c r="D19" s="5">
        <v>5.7303499999999996</v>
      </c>
      <c r="E19" s="5">
        <v>20.0975</v>
      </c>
      <c r="F19">
        <f t="shared" si="2"/>
        <v>-5.8280608114186228E-3</v>
      </c>
      <c r="G19">
        <f t="shared" si="3"/>
        <v>-5.5263722126929204E-3</v>
      </c>
      <c r="H19">
        <f t="shared" si="4"/>
        <v>1.144344666130781E-3</v>
      </c>
      <c r="I19">
        <f t="shared" si="5"/>
        <v>-4.6800713153724027E-3</v>
      </c>
      <c r="J19">
        <f t="shared" si="6"/>
        <v>-1.550851417367395E-3</v>
      </c>
    </row>
    <row r="20" spans="1:10" x14ac:dyDescent="0.25">
      <c r="A20" s="2">
        <v>45741</v>
      </c>
      <c r="B20" s="3">
        <v>4108.12</v>
      </c>
      <c r="C20" s="3">
        <v>920.24</v>
      </c>
      <c r="D20" s="3">
        <v>5.6852</v>
      </c>
      <c r="E20" s="3">
        <v>20.077500000000001</v>
      </c>
      <c r="F20">
        <f t="shared" si="2"/>
        <v>-8.7372385886259618E-3</v>
      </c>
      <c r="G20">
        <f t="shared" si="3"/>
        <v>-7.982579542820778E-3</v>
      </c>
      <c r="H20">
        <f t="shared" si="4"/>
        <v>-7.8790998804609824E-3</v>
      </c>
      <c r="I20">
        <f t="shared" si="5"/>
        <v>-9.9514865032956923E-4</v>
      </c>
      <c r="J20">
        <f t="shared" si="6"/>
        <v>2.0799106852154334E-3</v>
      </c>
    </row>
    <row r="21" spans="1:10" x14ac:dyDescent="0.25">
      <c r="A21" s="4">
        <v>45742</v>
      </c>
      <c r="B21" s="5">
        <v>4138.32</v>
      </c>
      <c r="C21" s="5">
        <v>924.36500000000001</v>
      </c>
      <c r="D21" s="5">
        <v>5.7370999999999999</v>
      </c>
      <c r="E21" s="5">
        <v>20.112500000000001</v>
      </c>
      <c r="F21">
        <f t="shared" si="2"/>
        <v>7.351294509410522E-3</v>
      </c>
      <c r="G21">
        <f t="shared" si="3"/>
        <v>4.4825262974876878E-3</v>
      </c>
      <c r="H21">
        <f t="shared" si="4"/>
        <v>9.1289664391753789E-3</v>
      </c>
      <c r="I21">
        <f t="shared" si="5"/>
        <v>1.7432449259120464E-3</v>
      </c>
      <c r="J21">
        <f t="shared" si="6"/>
        <v>-2.6890933563337776E-3</v>
      </c>
    </row>
    <row r="22" spans="1:10" x14ac:dyDescent="0.25">
      <c r="A22" s="2">
        <v>45743</v>
      </c>
      <c r="B22" s="3">
        <v>4156</v>
      </c>
      <c r="C22" s="3">
        <v>936.15499999999997</v>
      </c>
      <c r="D22" s="3">
        <v>5.73515</v>
      </c>
      <c r="E22" s="3">
        <v>20.2835</v>
      </c>
      <c r="F22">
        <f t="shared" si="2"/>
        <v>4.2722650737498924E-3</v>
      </c>
      <c r="G22">
        <f t="shared" si="3"/>
        <v>1.2754701876423136E-2</v>
      </c>
      <c r="H22">
        <f t="shared" si="4"/>
        <v>-3.3989297728820311E-4</v>
      </c>
      <c r="I22">
        <f t="shared" si="5"/>
        <v>8.5021752641392112E-3</v>
      </c>
      <c r="J22">
        <f t="shared" si="6"/>
        <v>4.3411160232127797E-3</v>
      </c>
    </row>
    <row r="23" spans="1:10" x14ac:dyDescent="0.25">
      <c r="A23" s="4">
        <v>45744</v>
      </c>
      <c r="B23" s="5">
        <v>4189.5050000000001</v>
      </c>
      <c r="C23" s="5">
        <v>947.55</v>
      </c>
      <c r="D23" s="5">
        <v>5.7674000000000003</v>
      </c>
      <c r="E23" s="5">
        <v>20.418500000000002</v>
      </c>
      <c r="F23">
        <f t="shared" si="2"/>
        <v>8.0618383060635512E-3</v>
      </c>
      <c r="G23">
        <f t="shared" si="3"/>
        <v>1.217212961528813E-2</v>
      </c>
      <c r="H23">
        <f t="shared" si="4"/>
        <v>5.6232182244579931E-3</v>
      </c>
      <c r="I23">
        <f t="shared" si="5"/>
        <v>6.6556560751349636E-3</v>
      </c>
      <c r="J23">
        <f t="shared" si="6"/>
        <v>1.2001863605712868E-3</v>
      </c>
    </row>
    <row r="24" spans="1:10" x14ac:dyDescent="0.25">
      <c r="A24" s="2">
        <v>45747</v>
      </c>
      <c r="B24" s="3">
        <v>4192.47</v>
      </c>
      <c r="C24" s="3">
        <v>951.97500000000002</v>
      </c>
      <c r="D24" s="3">
        <v>5.7276499999999997</v>
      </c>
      <c r="E24" s="3">
        <v>20.45825</v>
      </c>
      <c r="F24">
        <f t="shared" si="2"/>
        <v>7.0772084052883599E-4</v>
      </c>
      <c r="G24">
        <f t="shared" si="3"/>
        <v>4.6699382618331509E-3</v>
      </c>
      <c r="H24">
        <f t="shared" si="4"/>
        <v>-6.8921871207130447E-3</v>
      </c>
      <c r="I24">
        <f t="shared" si="5"/>
        <v>1.9467639640520229E-3</v>
      </c>
      <c r="J24">
        <f t="shared" si="6"/>
        <v>3.3357569505023665E-3</v>
      </c>
    </row>
    <row r="25" spans="1:10" x14ac:dyDescent="0.25">
      <c r="A25" s="4">
        <v>45748</v>
      </c>
      <c r="B25" s="5">
        <v>4148.2</v>
      </c>
      <c r="C25" s="5">
        <v>945.09</v>
      </c>
      <c r="D25" s="5">
        <v>5.6916500000000001</v>
      </c>
      <c r="E25" s="5">
        <v>20.3995</v>
      </c>
      <c r="F25">
        <f t="shared" si="2"/>
        <v>-1.0559407699995527E-2</v>
      </c>
      <c r="G25">
        <f t="shared" si="3"/>
        <v>-7.2323327818482053E-3</v>
      </c>
      <c r="H25">
        <f t="shared" si="4"/>
        <v>-6.2853002540308456E-3</v>
      </c>
      <c r="I25">
        <f t="shared" si="5"/>
        <v>-2.8717021250596053E-3</v>
      </c>
      <c r="J25">
        <f t="shared" si="6"/>
        <v>1.6875716843025271E-3</v>
      </c>
    </row>
    <row r="26" spans="1:10" x14ac:dyDescent="0.25">
      <c r="A26" s="2">
        <v>45749</v>
      </c>
      <c r="B26" s="3">
        <v>4142.9350000000004</v>
      </c>
      <c r="C26" s="3">
        <v>949.19</v>
      </c>
      <c r="D26" s="3">
        <v>5.7039999999999997</v>
      </c>
      <c r="E26" s="3">
        <v>20.428999999999998</v>
      </c>
      <c r="F26">
        <f t="shared" si="2"/>
        <v>-1.2692252061133891E-3</v>
      </c>
      <c r="G26">
        <f t="shared" si="3"/>
        <v>4.3382111756553599E-3</v>
      </c>
      <c r="H26">
        <f t="shared" si="4"/>
        <v>2.1698452996934403E-3</v>
      </c>
      <c r="I26">
        <f t="shared" si="5"/>
        <v>1.4461138753401048E-3</v>
      </c>
      <c r="J26">
        <f t="shared" si="6"/>
        <v>1.0450604669615731E-3</v>
      </c>
    </row>
    <row r="27" spans="1:10" x14ac:dyDescent="0.25">
      <c r="A27" s="4">
        <v>45750</v>
      </c>
      <c r="B27" s="5">
        <v>4115.3999999999996</v>
      </c>
      <c r="C27" s="5">
        <v>944.75</v>
      </c>
      <c r="D27" s="5">
        <v>5.5967500000000001</v>
      </c>
      <c r="E27" s="5">
        <v>19.892749999999999</v>
      </c>
      <c r="F27">
        <f t="shared" si="2"/>
        <v>-6.6462544065983842E-3</v>
      </c>
      <c r="G27">
        <f t="shared" si="3"/>
        <v>-4.6776725418515852E-3</v>
      </c>
      <c r="H27">
        <f t="shared" si="4"/>
        <v>-1.880259467040668E-2</v>
      </c>
      <c r="I27">
        <f t="shared" si="5"/>
        <v>-2.6249449312252149E-2</v>
      </c>
      <c r="J27">
        <f t="shared" si="6"/>
        <v>-1.6311080972355643E-3</v>
      </c>
    </row>
    <row r="28" spans="1:10" x14ac:dyDescent="0.25">
      <c r="A28" s="2">
        <v>45751</v>
      </c>
      <c r="B28" s="3">
        <v>4290.4399999999996</v>
      </c>
      <c r="C28" s="3">
        <v>981.16</v>
      </c>
      <c r="D28" s="3">
        <v>5.8144</v>
      </c>
      <c r="E28" s="3">
        <v>20.507999999999999</v>
      </c>
      <c r="F28">
        <f t="shared" si="2"/>
        <v>4.2532925110560393E-2</v>
      </c>
      <c r="G28">
        <f t="shared" si="3"/>
        <v>3.8539296110081889E-2</v>
      </c>
      <c r="H28">
        <f t="shared" si="4"/>
        <v>3.8888640728994561E-2</v>
      </c>
      <c r="I28">
        <f t="shared" si="5"/>
        <v>3.092835329454191E-2</v>
      </c>
      <c r="J28">
        <f t="shared" si="6"/>
        <v>-3.0986640652320707E-3</v>
      </c>
    </row>
    <row r="29" spans="1:10" x14ac:dyDescent="0.25">
      <c r="A29" s="4">
        <v>45754</v>
      </c>
      <c r="B29" s="5">
        <v>4369.4750000000004</v>
      </c>
      <c r="C29" s="5">
        <v>990.78499999999997</v>
      </c>
      <c r="D29" s="5">
        <v>5.8750999999999998</v>
      </c>
      <c r="E29" s="5">
        <v>20.634</v>
      </c>
      <c r="F29">
        <f t="shared" si="2"/>
        <v>1.8421187570505815E-2</v>
      </c>
      <c r="G29">
        <f t="shared" si="3"/>
        <v>9.8098169513636257E-3</v>
      </c>
      <c r="H29">
        <f t="shared" si="4"/>
        <v>1.0439598238855208E-2</v>
      </c>
      <c r="I29">
        <f t="shared" si="5"/>
        <v>6.1439438267993918E-3</v>
      </c>
      <c r="J29">
        <f t="shared" si="6"/>
        <v>-3.1068752520471022E-3</v>
      </c>
    </row>
    <row r="30" spans="1:10" x14ac:dyDescent="0.25">
      <c r="A30" s="2">
        <v>45755</v>
      </c>
      <c r="B30" s="3">
        <v>4393.2150000000001</v>
      </c>
      <c r="C30" s="3">
        <v>992.495</v>
      </c>
      <c r="D30" s="3">
        <v>5.9463999999999997</v>
      </c>
      <c r="E30" s="3">
        <v>20.622499999999999</v>
      </c>
      <c r="F30">
        <f t="shared" si="2"/>
        <v>5.4331470027864093E-3</v>
      </c>
      <c r="G30">
        <f t="shared" si="3"/>
        <v>1.7259042072699238E-3</v>
      </c>
      <c r="H30">
        <f t="shared" si="4"/>
        <v>1.2135963643171932E-2</v>
      </c>
      <c r="I30">
        <f t="shared" si="5"/>
        <v>-5.573325579142363E-4</v>
      </c>
      <c r="J30">
        <f t="shared" si="6"/>
        <v>-4.3497473437498213E-3</v>
      </c>
    </row>
    <row r="31" spans="1:10" x14ac:dyDescent="0.25">
      <c r="A31" s="4">
        <v>45756</v>
      </c>
      <c r="B31" s="5">
        <v>4452.125</v>
      </c>
      <c r="C31" s="5">
        <v>1006.15</v>
      </c>
      <c r="D31" s="5">
        <v>6.06325</v>
      </c>
      <c r="E31" s="5">
        <v>20.994</v>
      </c>
      <c r="F31">
        <f t="shared" si="2"/>
        <v>1.3409314135547579E-2</v>
      </c>
      <c r="G31">
        <f t="shared" si="3"/>
        <v>1.3758255709096723E-2</v>
      </c>
      <c r="H31">
        <f t="shared" si="4"/>
        <v>1.9650544867482855E-2</v>
      </c>
      <c r="I31">
        <f t="shared" si="5"/>
        <v>1.801430476421384E-2</v>
      </c>
      <c r="J31">
        <f t="shared" si="6"/>
        <v>-3.7696856789713913E-4</v>
      </c>
    </row>
    <row r="32" spans="1:10" x14ac:dyDescent="0.25">
      <c r="A32" s="2">
        <v>45757</v>
      </c>
      <c r="B32" s="3">
        <v>4363.6499999999996</v>
      </c>
      <c r="C32" s="3">
        <v>987.07</v>
      </c>
      <c r="D32" s="3">
        <v>5.9196</v>
      </c>
      <c r="E32" s="3">
        <v>20.467749999999999</v>
      </c>
      <c r="F32">
        <f t="shared" si="2"/>
        <v>-1.9872532779290908E-2</v>
      </c>
      <c r="G32">
        <f t="shared" si="3"/>
        <v>-1.8963375242259994E-2</v>
      </c>
      <c r="H32">
        <f t="shared" si="4"/>
        <v>-2.3691914402341974E-2</v>
      </c>
      <c r="I32">
        <f t="shared" si="5"/>
        <v>-2.5066685719729476E-2</v>
      </c>
      <c r="J32">
        <f t="shared" si="6"/>
        <v>-1.7984591326743703E-4</v>
      </c>
    </row>
    <row r="33" spans="1:10" x14ac:dyDescent="0.25">
      <c r="A33" s="4">
        <v>45758</v>
      </c>
      <c r="B33" s="5">
        <v>4363.1850000000004</v>
      </c>
      <c r="C33" s="5">
        <v>980.9</v>
      </c>
      <c r="D33" s="5">
        <v>5.8906999999999998</v>
      </c>
      <c r="E33" s="5">
        <v>20.394500000000001</v>
      </c>
      <c r="F33">
        <f t="shared" si="2"/>
        <v>-1.0656216699300725E-4</v>
      </c>
      <c r="G33">
        <f t="shared" si="3"/>
        <v>-6.2508231432422123E-3</v>
      </c>
      <c r="H33">
        <f t="shared" si="4"/>
        <v>-4.882086627474802E-3</v>
      </c>
      <c r="I33">
        <f t="shared" si="5"/>
        <v>-3.578800796374737E-3</v>
      </c>
      <c r="J33">
        <f t="shared" si="6"/>
        <v>-1.0033674860831386E-3</v>
      </c>
    </row>
    <row r="34" spans="1:10" x14ac:dyDescent="0.25">
      <c r="A34" s="2">
        <v>45761</v>
      </c>
      <c r="B34" s="3">
        <v>4263.5</v>
      </c>
      <c r="C34" s="3">
        <v>965.34500000000003</v>
      </c>
      <c r="D34" s="3">
        <v>5.8421500000000002</v>
      </c>
      <c r="E34" s="3">
        <v>20.045000000000002</v>
      </c>
      <c r="F34">
        <f t="shared" si="2"/>
        <v>-2.2846842386926136E-2</v>
      </c>
      <c r="G34">
        <f t="shared" si="3"/>
        <v>-1.5857885615251255E-2</v>
      </c>
      <c r="H34">
        <f t="shared" si="4"/>
        <v>-8.2418048788768239E-3</v>
      </c>
      <c r="I34">
        <f t="shared" si="5"/>
        <v>-1.713697320355978E-2</v>
      </c>
      <c r="J34">
        <f t="shared" si="6"/>
        <v>-9.1777858537307007E-4</v>
      </c>
    </row>
    <row r="35" spans="1:10" x14ac:dyDescent="0.25">
      <c r="A35" s="4">
        <v>45762</v>
      </c>
      <c r="B35" s="5">
        <v>4347.45</v>
      </c>
      <c r="C35" s="5">
        <v>964.90499999999997</v>
      </c>
      <c r="D35" s="5">
        <v>5.8783000000000003</v>
      </c>
      <c r="E35" s="5">
        <v>19.967500000000001</v>
      </c>
      <c r="F35">
        <f t="shared" si="2"/>
        <v>1.9690395215198775E-2</v>
      </c>
      <c r="G35">
        <f t="shared" si="3"/>
        <v>-4.5579559639308265E-4</v>
      </c>
      <c r="H35">
        <f t="shared" si="4"/>
        <v>6.1877904538569783E-3</v>
      </c>
      <c r="I35">
        <f t="shared" si="5"/>
        <v>-3.8663008231479834E-3</v>
      </c>
      <c r="J35">
        <f t="shared" si="6"/>
        <v>-7.2697344239662344E-3</v>
      </c>
    </row>
    <row r="36" spans="1:10" x14ac:dyDescent="0.25">
      <c r="A36" s="2">
        <v>45763</v>
      </c>
      <c r="B36" s="3">
        <v>4310.8</v>
      </c>
      <c r="C36" s="3">
        <v>967.26499999999999</v>
      </c>
      <c r="D36" s="3">
        <v>5.8825500000000002</v>
      </c>
      <c r="E36" s="3">
        <v>19.988</v>
      </c>
      <c r="F36">
        <f t="shared" si="2"/>
        <v>-8.4302292148269453E-3</v>
      </c>
      <c r="G36">
        <f t="shared" si="3"/>
        <v>2.4458366367674511E-3</v>
      </c>
      <c r="H36">
        <f t="shared" si="4"/>
        <v>7.2299814572240884E-4</v>
      </c>
      <c r="I36">
        <f t="shared" si="5"/>
        <v>1.0266683360460327E-3</v>
      </c>
      <c r="J36">
        <f t="shared" si="6"/>
        <v>2.5012563532219832E-3</v>
      </c>
    </row>
    <row r="37" spans="1:10" x14ac:dyDescent="0.25">
      <c r="A37" s="4">
        <v>45764</v>
      </c>
      <c r="B37" s="5">
        <v>4312.12</v>
      </c>
      <c r="C37" s="5">
        <v>970.02499999999998</v>
      </c>
      <c r="D37" s="5">
        <v>5.8597000000000001</v>
      </c>
      <c r="E37" s="5">
        <v>19.840499999999999</v>
      </c>
      <c r="F37">
        <f t="shared" si="2"/>
        <v>3.0620766447064796E-4</v>
      </c>
      <c r="G37">
        <f t="shared" si="3"/>
        <v>2.8534062537153293E-3</v>
      </c>
      <c r="H37">
        <f t="shared" si="4"/>
        <v>-3.8843698736092946E-3</v>
      </c>
      <c r="I37">
        <f t="shared" si="5"/>
        <v>-7.3794276565940509E-3</v>
      </c>
      <c r="J37">
        <f t="shared" si="6"/>
        <v>-4.0480525321917008E-4</v>
      </c>
    </row>
    <row r="38" spans="1:10" x14ac:dyDescent="0.25">
      <c r="A38" s="2">
        <v>45765</v>
      </c>
      <c r="B38" s="3">
        <v>4312.1206000000002</v>
      </c>
      <c r="C38" s="3">
        <v>970.02515000000005</v>
      </c>
      <c r="D38" s="3">
        <v>5.859712</v>
      </c>
      <c r="E38" s="3">
        <v>19.840519</v>
      </c>
      <c r="F38">
        <f t="shared" si="2"/>
        <v>1.3914269558767955E-7</v>
      </c>
      <c r="G38">
        <f t="shared" si="3"/>
        <v>1.54635189986152E-7</v>
      </c>
      <c r="H38">
        <f t="shared" si="4"/>
        <v>2.0478864104500616E-6</v>
      </c>
      <c r="I38">
        <f t="shared" si="5"/>
        <v>9.5763715646235426E-7</v>
      </c>
      <c r="J38">
        <f t="shared" si="6"/>
        <v>-2.9940423846359147E-7</v>
      </c>
    </row>
    <row r="39" spans="1:10" x14ac:dyDescent="0.25">
      <c r="A39" s="4">
        <v>45768</v>
      </c>
      <c r="B39" s="5">
        <v>4266.5200000000004</v>
      </c>
      <c r="C39" s="5">
        <v>960.2</v>
      </c>
      <c r="D39" s="5">
        <v>5.8071000000000002</v>
      </c>
      <c r="E39" s="5">
        <v>19.6235</v>
      </c>
      <c r="F39">
        <f t="shared" si="2"/>
        <v>-1.0574982527158383E-2</v>
      </c>
      <c r="G39">
        <f t="shared" si="3"/>
        <v>-1.0128758001789917E-2</v>
      </c>
      <c r="H39">
        <f t="shared" si="4"/>
        <v>-8.9785982655802288E-3</v>
      </c>
      <c r="I39">
        <f t="shared" si="5"/>
        <v>-1.093817152666221E-2</v>
      </c>
      <c r="J39">
        <f t="shared" si="6"/>
        <v>-4.4516490021866964E-4</v>
      </c>
    </row>
    <row r="40" spans="1:10" x14ac:dyDescent="0.25">
      <c r="A40" s="2">
        <v>45769</v>
      </c>
      <c r="B40" s="3">
        <v>4291.51</v>
      </c>
      <c r="C40" s="3">
        <v>951.70500000000004</v>
      </c>
      <c r="D40" s="3">
        <v>5.7524499999999996</v>
      </c>
      <c r="E40" s="3">
        <v>19.624500000000001</v>
      </c>
      <c r="F40">
        <f t="shared" si="2"/>
        <v>5.857232592370254E-3</v>
      </c>
      <c r="G40">
        <f t="shared" si="3"/>
        <v>-8.8471151843365625E-3</v>
      </c>
      <c r="H40">
        <f t="shared" si="4"/>
        <v>-9.4108935613301803E-3</v>
      </c>
      <c r="I40">
        <f t="shared" si="5"/>
        <v>5.0959308991904706E-5</v>
      </c>
      <c r="J40">
        <f t="shared" si="6"/>
        <v>-6.3934037528982424E-4</v>
      </c>
    </row>
    <row r="41" spans="1:10" x14ac:dyDescent="0.25">
      <c r="A41" s="4">
        <v>45770</v>
      </c>
      <c r="B41" s="5">
        <v>4307.7700000000004</v>
      </c>
      <c r="C41" s="5">
        <v>936.6</v>
      </c>
      <c r="D41" s="5">
        <v>5.6934500000000003</v>
      </c>
      <c r="E41" s="5">
        <v>19.624500000000001</v>
      </c>
      <c r="F41">
        <f t="shared" si="2"/>
        <v>3.7888761764508505E-3</v>
      </c>
      <c r="G41">
        <f t="shared" si="3"/>
        <v>-1.5871514807634712E-2</v>
      </c>
      <c r="H41">
        <f t="shared" si="4"/>
        <v>-1.0256499404601382E-2</v>
      </c>
      <c r="I41">
        <f t="shared" si="5"/>
        <v>0</v>
      </c>
      <c r="J41">
        <f t="shared" si="6"/>
        <v>-1.519948161851963E-3</v>
      </c>
    </row>
    <row r="42" spans="1:10" x14ac:dyDescent="0.25">
      <c r="A42" s="2">
        <v>45771</v>
      </c>
      <c r="B42" s="3">
        <v>4273.915</v>
      </c>
      <c r="C42" s="3">
        <v>939.7</v>
      </c>
      <c r="D42" s="3">
        <v>5.6752000000000002</v>
      </c>
      <c r="E42" s="3">
        <v>19.5975</v>
      </c>
      <c r="F42">
        <f t="shared" si="2"/>
        <v>-7.8590546849066634E-3</v>
      </c>
      <c r="G42">
        <f t="shared" si="3"/>
        <v>3.3098441170189563E-3</v>
      </c>
      <c r="H42">
        <f t="shared" si="4"/>
        <v>-3.2054378276792361E-3</v>
      </c>
      <c r="I42">
        <f t="shared" si="5"/>
        <v>-1.3758312313689736E-3</v>
      </c>
      <c r="J42">
        <f t="shared" si="6"/>
        <v>2.9902015660696552E-3</v>
      </c>
    </row>
    <row r="43" spans="1:10" x14ac:dyDescent="0.25">
      <c r="A43" s="4">
        <v>45772</v>
      </c>
      <c r="B43" s="5">
        <v>4245.2349999999997</v>
      </c>
      <c r="C43" s="5">
        <v>936.19</v>
      </c>
      <c r="D43" s="5">
        <v>5.6787000000000001</v>
      </c>
      <c r="E43" s="5">
        <v>19.559000000000001</v>
      </c>
      <c r="F43">
        <f t="shared" si="2"/>
        <v>-6.7104750562424487E-3</v>
      </c>
      <c r="G43">
        <f t="shared" si="3"/>
        <v>-3.7352346493562116E-3</v>
      </c>
      <c r="H43">
        <f t="shared" si="4"/>
        <v>6.1671835353815929E-4</v>
      </c>
      <c r="I43">
        <f t="shared" si="5"/>
        <v>-1.9645362928945032E-3</v>
      </c>
      <c r="J43">
        <f t="shared" si="6"/>
        <v>-5.5850644701020409E-5</v>
      </c>
    </row>
    <row r="44" spans="1:10" x14ac:dyDescent="0.25">
      <c r="A44" s="2">
        <v>45775</v>
      </c>
      <c r="B44" s="3">
        <v>4225.5</v>
      </c>
      <c r="C44" s="3">
        <v>937.875</v>
      </c>
      <c r="D44" s="3">
        <v>5.6740000000000004</v>
      </c>
      <c r="E44" s="3">
        <v>19.583749999999998</v>
      </c>
      <c r="F44">
        <f t="shared" si="2"/>
        <v>-4.6487414713201058E-3</v>
      </c>
      <c r="G44">
        <f t="shared" si="3"/>
        <v>1.799848321387687E-3</v>
      </c>
      <c r="H44">
        <f t="shared" si="4"/>
        <v>-8.2765421663399952E-4</v>
      </c>
      <c r="I44">
        <f t="shared" si="5"/>
        <v>1.265402116672476E-3</v>
      </c>
      <c r="J44">
        <f t="shared" si="6"/>
        <v>2.0144244909646417E-3</v>
      </c>
    </row>
    <row r="45" spans="1:10" x14ac:dyDescent="0.25">
      <c r="A45" s="4">
        <v>45776</v>
      </c>
      <c r="B45" s="5">
        <v>4203.6899999999996</v>
      </c>
      <c r="C45" s="5">
        <v>948.88499999999999</v>
      </c>
      <c r="D45" s="5">
        <v>5.6458000000000004</v>
      </c>
      <c r="E45" s="5">
        <v>19.6145</v>
      </c>
      <c r="F45">
        <f t="shared" si="2"/>
        <v>-5.1615193468229625E-3</v>
      </c>
      <c r="G45">
        <f t="shared" si="3"/>
        <v>1.1739304278288731E-2</v>
      </c>
      <c r="H45">
        <f t="shared" si="4"/>
        <v>-4.9700387733521145E-3</v>
      </c>
      <c r="I45">
        <f t="shared" si="5"/>
        <v>1.57017935788617E-3</v>
      </c>
      <c r="J45">
        <f t="shared" si="6"/>
        <v>5.5724658420354557E-3</v>
      </c>
    </row>
    <row r="46" spans="1:10" x14ac:dyDescent="0.25">
      <c r="A46" s="2">
        <v>45777</v>
      </c>
      <c r="B46" s="3">
        <v>4223.9750000000004</v>
      </c>
      <c r="C46" s="3">
        <v>956.41</v>
      </c>
      <c r="D46" s="3">
        <v>5.6614000000000004</v>
      </c>
      <c r="E46" s="3">
        <v>19.574999999999999</v>
      </c>
      <c r="F46">
        <f t="shared" si="2"/>
        <v>4.8255223387072554E-3</v>
      </c>
      <c r="G46">
        <f t="shared" si="3"/>
        <v>7.9303603703293479E-3</v>
      </c>
      <c r="H46">
        <f t="shared" si="4"/>
        <v>2.7631159445959952E-3</v>
      </c>
      <c r="I46">
        <f t="shared" si="5"/>
        <v>-2.0138163093630368E-3</v>
      </c>
      <c r="J46">
        <f t="shared" si="6"/>
        <v>-6.3696161907259962E-4</v>
      </c>
    </row>
    <row r="47" spans="1:10" x14ac:dyDescent="0.25">
      <c r="A47" s="4">
        <v>45778</v>
      </c>
      <c r="B47" s="5">
        <v>4227.2</v>
      </c>
      <c r="C47" s="5">
        <v>946.83</v>
      </c>
      <c r="D47" s="5">
        <v>5.6745000000000001</v>
      </c>
      <c r="E47" s="5">
        <v>19.607749999999999</v>
      </c>
      <c r="F47">
        <f t="shared" si="2"/>
        <v>7.6349883699577958E-4</v>
      </c>
      <c r="G47">
        <f t="shared" si="3"/>
        <v>-1.0016624669336283E-2</v>
      </c>
      <c r="H47">
        <f t="shared" si="4"/>
        <v>2.3139152859716905E-3</v>
      </c>
      <c r="I47">
        <f t="shared" si="5"/>
        <v>1.6730523627075389E-3</v>
      </c>
      <c r="J47">
        <f t="shared" si="6"/>
        <v>-2.5736004800916111E-3</v>
      </c>
    </row>
    <row r="48" spans="1:10" x14ac:dyDescent="0.25">
      <c r="A48" s="2">
        <v>45779</v>
      </c>
      <c r="B48" s="3">
        <v>4245.75</v>
      </c>
      <c r="C48" s="3">
        <v>938.68499999999995</v>
      </c>
      <c r="D48" s="3">
        <v>5.6340000000000003</v>
      </c>
      <c r="E48" s="3">
        <v>19.628</v>
      </c>
      <c r="F48">
        <f t="shared" si="2"/>
        <v>4.3882475397427623E-3</v>
      </c>
      <c r="G48">
        <f t="shared" si="3"/>
        <v>-8.6023890244290024E-3</v>
      </c>
      <c r="H48">
        <f t="shared" si="4"/>
        <v>-7.1371927042029881E-3</v>
      </c>
      <c r="I48">
        <f t="shared" si="5"/>
        <v>1.0327549055857421E-3</v>
      </c>
      <c r="J48">
        <f t="shared" si="6"/>
        <v>-6.1737823376352267E-4</v>
      </c>
    </row>
    <row r="49" spans="1:10" x14ac:dyDescent="0.25">
      <c r="A49" s="4">
        <v>45782</v>
      </c>
      <c r="B49" s="5">
        <v>4279.88</v>
      </c>
      <c r="C49" s="5">
        <v>940.73</v>
      </c>
      <c r="D49" s="5">
        <v>5.6549500000000004</v>
      </c>
      <c r="E49" s="5">
        <v>19.602</v>
      </c>
      <c r="F49">
        <f t="shared" si="2"/>
        <v>8.038626862156395E-3</v>
      </c>
      <c r="G49">
        <f t="shared" si="3"/>
        <v>2.1785796087079312E-3</v>
      </c>
      <c r="H49">
        <f t="shared" si="4"/>
        <v>3.7184948526800543E-3</v>
      </c>
      <c r="I49">
        <f t="shared" si="5"/>
        <v>-1.3246382718564709E-3</v>
      </c>
      <c r="J49">
        <f t="shared" si="6"/>
        <v>-2.7031030353598046E-3</v>
      </c>
    </row>
    <row r="50" spans="1:10" x14ac:dyDescent="0.25">
      <c r="A50" s="2">
        <v>45783</v>
      </c>
      <c r="B50" s="3">
        <v>4307.2150000000001</v>
      </c>
      <c r="C50" s="3">
        <v>938.41499999999996</v>
      </c>
      <c r="D50" s="3">
        <v>5.7175000000000002</v>
      </c>
      <c r="E50" s="3">
        <v>19.722999999999999</v>
      </c>
      <c r="F50">
        <f t="shared" si="2"/>
        <v>6.3868613138686747E-3</v>
      </c>
      <c r="G50">
        <f t="shared" si="3"/>
        <v>-2.4608548680280506E-3</v>
      </c>
      <c r="H50">
        <f t="shared" si="4"/>
        <v>1.1061105756903222E-2</v>
      </c>
      <c r="I50">
        <f t="shared" si="5"/>
        <v>6.1728395061728669E-3</v>
      </c>
      <c r="J50">
        <f t="shared" si="6"/>
        <v>-3.3240108878465928E-3</v>
      </c>
    </row>
    <row r="51" spans="1:10" x14ac:dyDescent="0.25">
      <c r="A51" s="4">
        <v>45784</v>
      </c>
      <c r="B51" s="5">
        <v>4313.0200000000004</v>
      </c>
      <c r="C51" s="5">
        <v>943.85500000000002</v>
      </c>
      <c r="D51" s="5">
        <v>5.7401499999999999</v>
      </c>
      <c r="E51" s="5">
        <v>19.608499999999999</v>
      </c>
      <c r="F51">
        <f t="shared" si="2"/>
        <v>1.3477386199667318E-3</v>
      </c>
      <c r="G51">
        <f t="shared" si="3"/>
        <v>5.7970087860914621E-3</v>
      </c>
      <c r="H51">
        <f t="shared" si="4"/>
        <v>3.96152164407515E-3</v>
      </c>
      <c r="I51">
        <f t="shared" si="5"/>
        <v>-5.8054048572732109E-3</v>
      </c>
      <c r="J51">
        <f t="shared" si="6"/>
        <v>-1.7243084356801603E-3</v>
      </c>
    </row>
    <row r="52" spans="1:10" x14ac:dyDescent="0.25">
      <c r="A52" s="2">
        <v>45785</v>
      </c>
      <c r="B52" s="3">
        <v>4271.5050000000001</v>
      </c>
      <c r="C52" s="3">
        <v>942.97500000000002</v>
      </c>
      <c r="D52" s="3">
        <v>5.6771500000000001</v>
      </c>
      <c r="E52" s="3">
        <v>19.547249999999998</v>
      </c>
      <c r="F52">
        <f t="shared" si="2"/>
        <v>-9.6255060259401448E-3</v>
      </c>
      <c r="G52">
        <f t="shared" si="3"/>
        <v>-9.3234659984853252E-4</v>
      </c>
      <c r="H52">
        <f t="shared" si="4"/>
        <v>-1.0975322944522303E-2</v>
      </c>
      <c r="I52">
        <f t="shared" si="5"/>
        <v>-3.1236453578805667E-3</v>
      </c>
      <c r="J52">
        <f t="shared" si="6"/>
        <v>4.112834757643063E-3</v>
      </c>
    </row>
    <row r="53" spans="1:10" x14ac:dyDescent="0.25">
      <c r="A53" s="4">
        <v>45786</v>
      </c>
      <c r="B53" s="5">
        <v>4244.43</v>
      </c>
      <c r="C53" s="5">
        <v>931.77499999999998</v>
      </c>
      <c r="D53" s="5">
        <v>5.6468499999999997</v>
      </c>
      <c r="E53" s="5">
        <v>19.481000000000002</v>
      </c>
      <c r="F53">
        <f t="shared" si="2"/>
        <v>-6.3385153476350764E-3</v>
      </c>
      <c r="G53">
        <f t="shared" si="3"/>
        <v>-1.1877303215885981E-2</v>
      </c>
      <c r="H53">
        <f t="shared" si="4"/>
        <v>-5.3371850312217139E-3</v>
      </c>
      <c r="I53">
        <f t="shared" si="5"/>
        <v>-3.3892235480692534E-3</v>
      </c>
      <c r="J53">
        <f t="shared" si="6"/>
        <v>-6.8974133651340645E-4</v>
      </c>
    </row>
    <row r="54" spans="1:10" x14ac:dyDescent="0.25">
      <c r="A54" s="2">
        <v>45789</v>
      </c>
      <c r="B54" s="3">
        <v>4227.5</v>
      </c>
      <c r="C54" s="3">
        <v>939.38</v>
      </c>
      <c r="D54" s="3">
        <v>5.6830499999999997</v>
      </c>
      <c r="E54" s="3">
        <v>19.640999999999998</v>
      </c>
      <c r="F54">
        <f t="shared" si="2"/>
        <v>-3.988757029801504E-3</v>
      </c>
      <c r="G54">
        <f t="shared" si="3"/>
        <v>8.1618416463202781E-3</v>
      </c>
      <c r="H54">
        <f t="shared" si="4"/>
        <v>6.4106537272992092E-3</v>
      </c>
      <c r="I54">
        <f t="shared" si="5"/>
        <v>8.2131307427748546E-3</v>
      </c>
      <c r="J54">
        <f t="shared" si="6"/>
        <v>3.2008210989925194E-3</v>
      </c>
    </row>
    <row r="55" spans="1:10" x14ac:dyDescent="0.25">
      <c r="A55" s="4">
        <v>45790</v>
      </c>
      <c r="B55" s="5">
        <v>4206.24</v>
      </c>
      <c r="C55" s="5">
        <v>940.51</v>
      </c>
      <c r="D55" s="5">
        <v>5.6279500000000002</v>
      </c>
      <c r="E55" s="5">
        <v>19.4985</v>
      </c>
      <c r="F55">
        <f t="shared" si="2"/>
        <v>-5.0289769367238835E-3</v>
      </c>
      <c r="G55">
        <f t="shared" si="3"/>
        <v>1.2029210756030473E-3</v>
      </c>
      <c r="H55">
        <f t="shared" si="4"/>
        <v>-9.6954980160299797E-3</v>
      </c>
      <c r="I55">
        <f t="shared" si="5"/>
        <v>-7.2552314036962162E-3</v>
      </c>
      <c r="J55">
        <f t="shared" si="6"/>
        <v>2.0627180617209186E-3</v>
      </c>
    </row>
    <row r="56" spans="1:10" x14ac:dyDescent="0.25">
      <c r="A56" s="2">
        <v>45791</v>
      </c>
      <c r="B56" s="3">
        <v>4197.68</v>
      </c>
      <c r="C56" s="3">
        <v>939.245</v>
      </c>
      <c r="D56" s="3">
        <v>5.6146000000000003</v>
      </c>
      <c r="E56" s="3">
        <v>19.359500000000001</v>
      </c>
      <c r="F56">
        <f t="shared" si="2"/>
        <v>-2.0350717029935517E-3</v>
      </c>
      <c r="G56">
        <f t="shared" si="3"/>
        <v>-1.345014938703426E-3</v>
      </c>
      <c r="H56">
        <f t="shared" si="4"/>
        <v>-2.3720893042760149E-3</v>
      </c>
      <c r="I56">
        <f t="shared" si="5"/>
        <v>-7.1287534938584418E-3</v>
      </c>
      <c r="J56">
        <f t="shared" si="6"/>
        <v>-1.1679496605973129E-3</v>
      </c>
    </row>
    <row r="57" spans="1:10" x14ac:dyDescent="0.25">
      <c r="A57" s="4">
        <v>45792</v>
      </c>
      <c r="B57" s="5">
        <v>4212.8999999999996</v>
      </c>
      <c r="C57" s="5">
        <v>940.36</v>
      </c>
      <c r="D57" s="5">
        <v>5.6421000000000001</v>
      </c>
      <c r="E57" s="5">
        <v>19.47</v>
      </c>
      <c r="F57">
        <f t="shared" si="2"/>
        <v>3.6258123534902431E-3</v>
      </c>
      <c r="G57">
        <f t="shared" si="3"/>
        <v>1.1871237004190682E-3</v>
      </c>
      <c r="H57">
        <f t="shared" si="4"/>
        <v>4.8979446443200292E-3</v>
      </c>
      <c r="I57">
        <f t="shared" si="5"/>
        <v>5.7077920400836479E-3</v>
      </c>
      <c r="J57">
        <f t="shared" si="6"/>
        <v>-3.1697320185925556E-4</v>
      </c>
    </row>
    <row r="58" spans="1:10" x14ac:dyDescent="0.25">
      <c r="A58" s="2">
        <v>45793</v>
      </c>
      <c r="B58" s="3">
        <v>4205.68</v>
      </c>
      <c r="C58" s="3">
        <v>945.6</v>
      </c>
      <c r="D58" s="3">
        <v>5.6984000000000004</v>
      </c>
      <c r="E58" s="3">
        <v>19.553000000000001</v>
      </c>
      <c r="F58">
        <f t="shared" si="2"/>
        <v>-1.7137838543519468E-3</v>
      </c>
      <c r="G58">
        <f t="shared" si="3"/>
        <v>5.5723339997448829E-3</v>
      </c>
      <c r="H58">
        <f t="shared" si="4"/>
        <v>9.9785540844721243E-3</v>
      </c>
      <c r="I58">
        <f t="shared" si="5"/>
        <v>4.2629686697484015E-3</v>
      </c>
      <c r="J58">
        <f t="shared" si="6"/>
        <v>3.1474685709372398E-5</v>
      </c>
    </row>
    <row r="59" spans="1:10" x14ac:dyDescent="0.25">
      <c r="A59" s="4">
        <v>45796</v>
      </c>
      <c r="B59" s="5">
        <v>4167.5749999999998</v>
      </c>
      <c r="C59" s="5">
        <v>936.63499999999999</v>
      </c>
      <c r="D59" s="5">
        <v>5.6509499999999999</v>
      </c>
      <c r="E59" s="5">
        <v>19.395499999999998</v>
      </c>
      <c r="F59">
        <f t="shared" si="2"/>
        <v>-9.0603659812444892E-3</v>
      </c>
      <c r="G59">
        <f t="shared" si="3"/>
        <v>-9.4807529610829722E-3</v>
      </c>
      <c r="H59">
        <f t="shared" si="4"/>
        <v>-8.3268987786045967E-3</v>
      </c>
      <c r="I59">
        <f t="shared" si="5"/>
        <v>-8.0550299186826768E-3</v>
      </c>
      <c r="J59">
        <f t="shared" si="6"/>
        <v>-1.7900201096907303E-5</v>
      </c>
    </row>
    <row r="60" spans="1:10" x14ac:dyDescent="0.25">
      <c r="A60" s="2">
        <v>45797</v>
      </c>
      <c r="B60" s="3">
        <v>4174.0950000000003</v>
      </c>
      <c r="C60" s="3">
        <v>939.78</v>
      </c>
      <c r="D60" s="3">
        <v>5.66805</v>
      </c>
      <c r="E60" s="3">
        <v>19.265999999999998</v>
      </c>
      <c r="F60">
        <f t="shared" si="2"/>
        <v>1.564458947949543E-3</v>
      </c>
      <c r="G60">
        <f t="shared" si="3"/>
        <v>3.3577647642890618E-3</v>
      </c>
      <c r="H60">
        <f t="shared" si="4"/>
        <v>3.0260398694024193E-3</v>
      </c>
      <c r="I60">
        <f t="shared" si="5"/>
        <v>-6.6768064757288803E-3</v>
      </c>
      <c r="J60">
        <f t="shared" si="6"/>
        <v>-2.2967226922388016E-3</v>
      </c>
    </row>
    <row r="61" spans="1:10" x14ac:dyDescent="0.25">
      <c r="A61" s="4">
        <v>45798</v>
      </c>
      <c r="B61" s="5">
        <v>4172.62</v>
      </c>
      <c r="C61" s="5">
        <v>943.62</v>
      </c>
      <c r="D61" s="5">
        <v>5.6473000000000004</v>
      </c>
      <c r="E61" s="5">
        <v>19.339500000000001</v>
      </c>
      <c r="F61">
        <f t="shared" si="2"/>
        <v>-3.533700119427996E-4</v>
      </c>
      <c r="G61">
        <f t="shared" si="3"/>
        <v>4.0860626955245838E-3</v>
      </c>
      <c r="H61">
        <f t="shared" si="4"/>
        <v>-3.6608710226619934E-3</v>
      </c>
      <c r="I61">
        <f t="shared" si="5"/>
        <v>3.8150109000312238E-3</v>
      </c>
      <c r="J61">
        <f t="shared" si="6"/>
        <v>3.0631744690742015E-3</v>
      </c>
    </row>
    <row r="62" spans="1:10" x14ac:dyDescent="0.25">
      <c r="A62" s="2">
        <v>45799</v>
      </c>
      <c r="B62" s="3">
        <v>4179.16</v>
      </c>
      <c r="C62" s="3">
        <v>947.06</v>
      </c>
      <c r="D62" s="3">
        <v>5.6378500000000003</v>
      </c>
      <c r="E62" s="3">
        <v>19.36</v>
      </c>
      <c r="F62">
        <f t="shared" si="2"/>
        <v>1.5673605552386505E-3</v>
      </c>
      <c r="G62">
        <f t="shared" si="3"/>
        <v>3.6455352790316642E-3</v>
      </c>
      <c r="H62">
        <f t="shared" si="4"/>
        <v>-1.673366033325685E-3</v>
      </c>
      <c r="I62">
        <f t="shared" si="5"/>
        <v>1.0600067219936893E-3</v>
      </c>
      <c r="J62">
        <f t="shared" si="6"/>
        <v>1.2210868150982737E-3</v>
      </c>
    </row>
    <row r="63" spans="1:10" x14ac:dyDescent="0.25">
      <c r="A63" s="4">
        <v>45800</v>
      </c>
      <c r="B63" s="5">
        <v>4165.7250000000004</v>
      </c>
      <c r="C63" s="5">
        <v>939.31500000000005</v>
      </c>
      <c r="D63" s="5">
        <v>5.6847000000000003</v>
      </c>
      <c r="E63" s="5">
        <v>19.302499999999998</v>
      </c>
      <c r="F63">
        <f t="shared" si="2"/>
        <v>-3.2147608610341161E-3</v>
      </c>
      <c r="G63">
        <f t="shared" si="3"/>
        <v>-8.1779401516269834E-3</v>
      </c>
      <c r="H63">
        <f t="shared" si="4"/>
        <v>8.3099053717285987E-3</v>
      </c>
      <c r="I63">
        <f t="shared" si="5"/>
        <v>-2.9700413223141542E-3</v>
      </c>
      <c r="J63">
        <f t="shared" si="6"/>
        <v>-4.2362472573658468E-3</v>
      </c>
    </row>
    <row r="64" spans="1:10" x14ac:dyDescent="0.25">
      <c r="A64" s="2">
        <v>45803</v>
      </c>
      <c r="B64" s="3">
        <v>4151.8599999999997</v>
      </c>
      <c r="C64" s="3">
        <v>936.755</v>
      </c>
      <c r="D64" s="3">
        <v>5.6646000000000001</v>
      </c>
      <c r="E64" s="3">
        <v>19.194500000000001</v>
      </c>
      <c r="F64">
        <f t="shared" si="2"/>
        <v>-3.3283522075990835E-3</v>
      </c>
      <c r="G64">
        <f t="shared" si="3"/>
        <v>-2.7253903110245892E-3</v>
      </c>
      <c r="H64">
        <f t="shared" si="4"/>
        <v>-3.5358066388727627E-3</v>
      </c>
      <c r="I64">
        <f t="shared" si="5"/>
        <v>-5.5951301644863172E-3</v>
      </c>
      <c r="J64">
        <f t="shared" si="6"/>
        <v>-4.3804278009832191E-4</v>
      </c>
    </row>
    <row r="65" spans="1:10" x14ac:dyDescent="0.25">
      <c r="A65" s="4">
        <v>45804</v>
      </c>
      <c r="B65" s="5">
        <v>4130.1750000000002</v>
      </c>
      <c r="C65" s="5">
        <v>936.21</v>
      </c>
      <c r="D65" s="5">
        <v>5.6544499999999998</v>
      </c>
      <c r="E65" s="5">
        <v>19.2</v>
      </c>
      <c r="F65">
        <f t="shared" si="2"/>
        <v>-5.2229603117637247E-3</v>
      </c>
      <c r="G65">
        <f t="shared" si="3"/>
        <v>-5.8179566695659712E-4</v>
      </c>
      <c r="H65">
        <f t="shared" si="4"/>
        <v>-1.7918299615153899E-3</v>
      </c>
      <c r="I65">
        <f t="shared" si="5"/>
        <v>2.8654041522302443E-4</v>
      </c>
      <c r="J65">
        <f t="shared" si="6"/>
        <v>1.6086950257178101E-3</v>
      </c>
    </row>
    <row r="66" spans="1:10" x14ac:dyDescent="0.25">
      <c r="A66" s="2">
        <v>45805</v>
      </c>
      <c r="B66" s="3">
        <v>4130.7650000000003</v>
      </c>
      <c r="C66" s="3">
        <v>939.96</v>
      </c>
      <c r="D66" s="3">
        <v>5.6981999999999999</v>
      </c>
      <c r="E66" s="3">
        <v>19.387499999999999</v>
      </c>
      <c r="F66">
        <f t="shared" si="2"/>
        <v>1.4285108984490869E-4</v>
      </c>
      <c r="G66">
        <f t="shared" si="3"/>
        <v>4.0055115839394695E-3</v>
      </c>
      <c r="H66">
        <f t="shared" si="4"/>
        <v>7.7372688767254338E-3</v>
      </c>
      <c r="I66">
        <f t="shared" si="5"/>
        <v>9.765625E-3</v>
      </c>
      <c r="J66">
        <f t="shared" si="6"/>
        <v>1.4218012551528375E-3</v>
      </c>
    </row>
    <row r="67" spans="1:10" x14ac:dyDescent="0.25">
      <c r="A67" s="4">
        <v>45806</v>
      </c>
      <c r="B67" s="5">
        <v>4102.42</v>
      </c>
      <c r="C67" s="5">
        <v>937.23</v>
      </c>
      <c r="D67" s="5">
        <v>5.6449999999999996</v>
      </c>
      <c r="E67" s="5">
        <v>19.356000000000002</v>
      </c>
      <c r="F67">
        <f t="shared" si="2"/>
        <v>-6.8619250913571905E-3</v>
      </c>
      <c r="G67">
        <f t="shared" si="3"/>
        <v>-2.9043789097408235E-3</v>
      </c>
      <c r="H67">
        <f t="shared" si="4"/>
        <v>-9.3362816327964282E-3</v>
      </c>
      <c r="I67">
        <f t="shared" si="5"/>
        <v>-1.6247582205027866E-3</v>
      </c>
      <c r="J67">
        <f t="shared" si="6"/>
        <v>3.0215445437740932E-3</v>
      </c>
    </row>
    <row r="68" spans="1:10" x14ac:dyDescent="0.25">
      <c r="A68" s="2">
        <v>45807</v>
      </c>
      <c r="B68" s="3">
        <v>4162.9949999999999</v>
      </c>
      <c r="C68" s="3">
        <v>945.26499999999999</v>
      </c>
      <c r="D68" s="3">
        <v>5.7320500000000001</v>
      </c>
      <c r="E68" s="3">
        <v>19.405999999999999</v>
      </c>
      <c r="F68">
        <f t="shared" ref="F68:F131" si="7">B68/B67-1</f>
        <v>1.476567489433056E-2</v>
      </c>
      <c r="G68">
        <f t="shared" ref="G68:G131" si="8">C68/C67-1</f>
        <v>8.573135729756709E-3</v>
      </c>
      <c r="H68">
        <f t="shared" ref="H68:H131" si="9">D68/D67-1</f>
        <v>1.542072630646607E-2</v>
      </c>
      <c r="I68">
        <f t="shared" ref="I68:I131" si="10">E68/E67-1</f>
        <v>2.5831783426326638E-3</v>
      </c>
      <c r="J68">
        <f t="shared" ref="J68:J131" si="11">SUMPRODUCT(F68:I68,$O$3:$R$3)</f>
        <v>-4.9421053598590241E-3</v>
      </c>
    </row>
    <row r="69" spans="1:10" x14ac:dyDescent="0.25">
      <c r="A69" s="4">
        <v>45810</v>
      </c>
      <c r="B69" s="5">
        <v>4155.1499999999996</v>
      </c>
      <c r="C69" s="5">
        <v>938.5</v>
      </c>
      <c r="D69" s="5">
        <v>5.6882999999999999</v>
      </c>
      <c r="E69" s="5">
        <v>19.2075</v>
      </c>
      <c r="F69">
        <f t="shared" si="7"/>
        <v>-1.8844605866690234E-3</v>
      </c>
      <c r="G69">
        <f t="shared" si="8"/>
        <v>-7.1567232469201825E-3</v>
      </c>
      <c r="H69">
        <f t="shared" si="9"/>
        <v>-7.6325223960014288E-3</v>
      </c>
      <c r="I69">
        <f t="shared" si="10"/>
        <v>-1.0228795217973818E-2</v>
      </c>
      <c r="J69">
        <f t="shared" si="11"/>
        <v>-1.8928008194925875E-3</v>
      </c>
    </row>
    <row r="70" spans="1:10" x14ac:dyDescent="0.25">
      <c r="A70" s="2">
        <v>45811</v>
      </c>
      <c r="B70" s="3">
        <v>4140.5150000000003</v>
      </c>
      <c r="C70" s="3">
        <v>941.02499999999998</v>
      </c>
      <c r="D70" s="3">
        <v>5.6432500000000001</v>
      </c>
      <c r="E70" s="3">
        <v>19.2425</v>
      </c>
      <c r="F70">
        <f t="shared" si="7"/>
        <v>-3.5221351816419055E-3</v>
      </c>
      <c r="G70">
        <f t="shared" si="8"/>
        <v>2.6904635055939874E-3</v>
      </c>
      <c r="H70">
        <f t="shared" si="9"/>
        <v>-7.919765131937484E-3</v>
      </c>
      <c r="I70">
        <f t="shared" si="10"/>
        <v>1.8222048678901981E-3</v>
      </c>
      <c r="J70">
        <f t="shared" si="11"/>
        <v>4.0866802637823324E-3</v>
      </c>
    </row>
    <row r="71" spans="1:10" x14ac:dyDescent="0.25">
      <c r="A71" s="4">
        <v>45812</v>
      </c>
      <c r="B71" s="5">
        <v>4121.0600000000004</v>
      </c>
      <c r="C71" s="5">
        <v>936.255</v>
      </c>
      <c r="D71" s="5">
        <v>5.6300999999999997</v>
      </c>
      <c r="E71" s="5">
        <v>19.186499999999999</v>
      </c>
      <c r="F71">
        <f t="shared" si="7"/>
        <v>-4.6986908633346314E-3</v>
      </c>
      <c r="G71">
        <f t="shared" si="8"/>
        <v>-5.0689407826571831E-3</v>
      </c>
      <c r="H71">
        <f t="shared" si="9"/>
        <v>-2.3302175165020866E-3</v>
      </c>
      <c r="I71">
        <f t="shared" si="10"/>
        <v>-2.9102247628947087E-3</v>
      </c>
      <c r="J71">
        <f t="shared" si="11"/>
        <v>-2.4339088384740652E-4</v>
      </c>
    </row>
    <row r="72" spans="1:10" x14ac:dyDescent="0.25">
      <c r="A72" s="2">
        <v>45813</v>
      </c>
      <c r="B72" s="3">
        <v>4098.75</v>
      </c>
      <c r="C72" s="3">
        <v>929.14499999999998</v>
      </c>
      <c r="D72" s="3">
        <v>5.5971500000000001</v>
      </c>
      <c r="E72" s="3">
        <v>19.166499999999999</v>
      </c>
      <c r="F72">
        <f t="shared" si="7"/>
        <v>-5.4136557099387916E-3</v>
      </c>
      <c r="G72">
        <f t="shared" si="8"/>
        <v>-7.5940849448067338E-3</v>
      </c>
      <c r="H72">
        <f t="shared" si="9"/>
        <v>-5.8524715369175917E-3</v>
      </c>
      <c r="I72">
        <f t="shared" si="10"/>
        <v>-1.0423996038880778E-3</v>
      </c>
      <c r="J72">
        <f t="shared" si="11"/>
        <v>8.5159126253754483E-4</v>
      </c>
    </row>
    <row r="73" spans="1:10" x14ac:dyDescent="0.25">
      <c r="A73" s="4">
        <v>45814</v>
      </c>
      <c r="B73" s="5">
        <v>4137.29</v>
      </c>
      <c r="C73" s="5">
        <v>935.83500000000004</v>
      </c>
      <c r="D73" s="5">
        <v>5.6105</v>
      </c>
      <c r="E73" s="5">
        <v>19.181999999999999</v>
      </c>
      <c r="F73">
        <f t="shared" si="7"/>
        <v>9.4028667276608857E-3</v>
      </c>
      <c r="G73">
        <f t="shared" si="8"/>
        <v>7.2001678962918536E-3</v>
      </c>
      <c r="H73">
        <f t="shared" si="9"/>
        <v>2.3851424385625819E-3</v>
      </c>
      <c r="I73">
        <f t="shared" si="10"/>
        <v>8.087026843710543E-4</v>
      </c>
      <c r="J73">
        <f t="shared" si="11"/>
        <v>-9.2738856091298708E-4</v>
      </c>
    </row>
    <row r="74" spans="1:10" x14ac:dyDescent="0.25">
      <c r="A74" s="2">
        <v>45817</v>
      </c>
      <c r="B74" s="3">
        <v>4141.51</v>
      </c>
      <c r="C74" s="3">
        <v>935.23</v>
      </c>
      <c r="D74" s="3">
        <v>5.5853999999999999</v>
      </c>
      <c r="E74" s="3">
        <v>19.076499999999999</v>
      </c>
      <c r="F74">
        <f t="shared" si="7"/>
        <v>1.0199913469928212E-3</v>
      </c>
      <c r="G74">
        <f t="shared" si="8"/>
        <v>-6.4648148444979014E-4</v>
      </c>
      <c r="H74">
        <f t="shared" si="9"/>
        <v>-4.4737545673291246E-3</v>
      </c>
      <c r="I74">
        <f t="shared" si="10"/>
        <v>-5.4999478677927316E-3</v>
      </c>
      <c r="J74">
        <f t="shared" si="11"/>
        <v>-6.5538099044936001E-4</v>
      </c>
    </row>
    <row r="75" spans="1:10" x14ac:dyDescent="0.25">
      <c r="A75" s="4">
        <v>45818</v>
      </c>
      <c r="B75" s="5">
        <v>4208.7550000000001</v>
      </c>
      <c r="C75" s="5">
        <v>938.85</v>
      </c>
      <c r="D75" s="5">
        <v>5.5619500000000004</v>
      </c>
      <c r="E75" s="5">
        <v>19.05</v>
      </c>
      <c r="F75">
        <f t="shared" si="7"/>
        <v>1.6236831493827042E-2</v>
      </c>
      <c r="G75">
        <f t="shared" si="8"/>
        <v>3.8707056018305597E-3</v>
      </c>
      <c r="H75">
        <f t="shared" si="9"/>
        <v>-4.1984459483652703E-3</v>
      </c>
      <c r="I75">
        <f t="shared" si="10"/>
        <v>-1.3891437108483062E-3</v>
      </c>
      <c r="J75">
        <f t="shared" si="11"/>
        <v>-1.9676662433556172E-3</v>
      </c>
    </row>
    <row r="76" spans="1:10" x14ac:dyDescent="0.25">
      <c r="A76" s="2">
        <v>45819</v>
      </c>
      <c r="B76" s="3">
        <v>4195.3149999999996</v>
      </c>
      <c r="C76" s="3">
        <v>936.26</v>
      </c>
      <c r="D76" s="3">
        <v>5.5446</v>
      </c>
      <c r="E76" s="3">
        <v>18.939</v>
      </c>
      <c r="F76">
        <f t="shared" si="7"/>
        <v>-3.1933433996516047E-3</v>
      </c>
      <c r="G76">
        <f t="shared" si="8"/>
        <v>-2.7586941470948423E-3</v>
      </c>
      <c r="H76">
        <f t="shared" si="9"/>
        <v>-3.1194095595969973E-3</v>
      </c>
      <c r="I76">
        <f t="shared" si="10"/>
        <v>-5.8267716535433944E-3</v>
      </c>
      <c r="J76">
        <f t="shared" si="11"/>
        <v>-6.5545630330582979E-4</v>
      </c>
    </row>
    <row r="77" spans="1:10" x14ac:dyDescent="0.25">
      <c r="A77" s="4">
        <v>45820</v>
      </c>
      <c r="B77" s="5">
        <v>4169.5950000000003</v>
      </c>
      <c r="C77" s="5">
        <v>929.36</v>
      </c>
      <c r="D77" s="5">
        <v>5.5469999999999997</v>
      </c>
      <c r="E77" s="5">
        <v>18.918500000000002</v>
      </c>
      <c r="F77">
        <f t="shared" si="7"/>
        <v>-6.130648115814763E-3</v>
      </c>
      <c r="G77">
        <f t="shared" si="8"/>
        <v>-7.3697477196504879E-3</v>
      </c>
      <c r="H77">
        <f t="shared" si="9"/>
        <v>4.328535872739625E-4</v>
      </c>
      <c r="I77">
        <f t="shared" si="10"/>
        <v>-1.0824225143881705E-3</v>
      </c>
      <c r="J77">
        <f t="shared" si="11"/>
        <v>-6.9626549575853129E-4</v>
      </c>
    </row>
    <row r="78" spans="1:10" x14ac:dyDescent="0.25">
      <c r="A78" s="2">
        <v>45821</v>
      </c>
      <c r="B78" s="3">
        <v>4139.75</v>
      </c>
      <c r="C78" s="3">
        <v>938.19</v>
      </c>
      <c r="D78" s="3">
        <v>5.5521000000000003</v>
      </c>
      <c r="E78" s="3">
        <v>18.958500000000001</v>
      </c>
      <c r="F78">
        <f t="shared" si="7"/>
        <v>-7.1577695195816915E-3</v>
      </c>
      <c r="G78">
        <f t="shared" si="8"/>
        <v>9.5011620900404825E-3</v>
      </c>
      <c r="H78">
        <f t="shared" si="9"/>
        <v>9.1941590048683075E-4</v>
      </c>
      <c r="I78">
        <f t="shared" si="10"/>
        <v>2.1143325316488326E-3</v>
      </c>
      <c r="J78">
        <f t="shared" si="11"/>
        <v>4.0339060885721499E-3</v>
      </c>
    </row>
    <row r="79" spans="1:10" x14ac:dyDescent="0.25">
      <c r="A79" s="4">
        <v>45824</v>
      </c>
      <c r="B79" s="5">
        <v>4082.7150000000001</v>
      </c>
      <c r="C79" s="5">
        <v>934.15499999999997</v>
      </c>
      <c r="D79" s="5">
        <v>5.5055500000000004</v>
      </c>
      <c r="E79" s="5">
        <v>18.8795</v>
      </c>
      <c r="F79">
        <f t="shared" si="7"/>
        <v>-1.3777402017029927E-2</v>
      </c>
      <c r="G79">
        <f t="shared" si="8"/>
        <v>-4.3008345857449282E-3</v>
      </c>
      <c r="H79">
        <f t="shared" si="9"/>
        <v>-8.3842149817185962E-3</v>
      </c>
      <c r="I79">
        <f t="shared" si="10"/>
        <v>-4.1669963340982275E-3</v>
      </c>
      <c r="J79">
        <f t="shared" si="11"/>
        <v>3.2773534979578796E-3</v>
      </c>
    </row>
    <row r="80" spans="1:10" x14ac:dyDescent="0.25">
      <c r="A80" s="2">
        <v>45825</v>
      </c>
      <c r="B80" s="3">
        <v>4102.0349999999999</v>
      </c>
      <c r="C80" s="3">
        <v>938.69500000000005</v>
      </c>
      <c r="D80" s="3">
        <v>5.4857500000000003</v>
      </c>
      <c r="E80" s="3">
        <v>18.982500000000002</v>
      </c>
      <c r="F80">
        <f t="shared" si="7"/>
        <v>4.7321451534088066E-3</v>
      </c>
      <c r="G80">
        <f t="shared" si="8"/>
        <v>4.860007172257319E-3</v>
      </c>
      <c r="H80">
        <f t="shared" si="9"/>
        <v>-3.5963709347840433E-3</v>
      </c>
      <c r="I80">
        <f t="shared" si="10"/>
        <v>5.4556529569109724E-3</v>
      </c>
      <c r="J80">
        <f t="shared" si="11"/>
        <v>2.5428648629927295E-3</v>
      </c>
    </row>
    <row r="81" spans="1:10" x14ac:dyDescent="0.25">
      <c r="A81" s="4">
        <v>45826</v>
      </c>
      <c r="B81" s="5">
        <v>4085.54</v>
      </c>
      <c r="C81" s="5">
        <v>944.09500000000003</v>
      </c>
      <c r="D81" s="5">
        <v>5.48325</v>
      </c>
      <c r="E81" s="5">
        <v>19.021999999999998</v>
      </c>
      <c r="F81">
        <f t="shared" si="7"/>
        <v>-4.0211748558947047E-3</v>
      </c>
      <c r="G81">
        <f t="shared" si="8"/>
        <v>5.7526672667904677E-3</v>
      </c>
      <c r="H81">
        <f t="shared" si="9"/>
        <v>-4.5572619969924677E-4</v>
      </c>
      <c r="I81">
        <f t="shared" si="10"/>
        <v>2.0808639536413764E-3</v>
      </c>
      <c r="J81">
        <f t="shared" si="11"/>
        <v>2.876573292080211E-3</v>
      </c>
    </row>
    <row r="82" spans="1:10" x14ac:dyDescent="0.25">
      <c r="A82" s="2">
        <v>45827</v>
      </c>
      <c r="B82" s="3">
        <v>4082.5</v>
      </c>
      <c r="C82" s="3">
        <v>947.98500000000001</v>
      </c>
      <c r="D82" s="3">
        <v>5.492</v>
      </c>
      <c r="E82" s="3">
        <v>19.0855</v>
      </c>
      <c r="F82">
        <f t="shared" si="7"/>
        <v>-7.4408768485922927E-4</v>
      </c>
      <c r="G82">
        <f t="shared" si="8"/>
        <v>4.1203480581932794E-3</v>
      </c>
      <c r="H82">
        <f t="shared" si="9"/>
        <v>1.5957689326584479E-3</v>
      </c>
      <c r="I82">
        <f t="shared" si="10"/>
        <v>3.3382399327095413E-3</v>
      </c>
      <c r="J82">
        <f t="shared" si="11"/>
        <v>1.56500544291475E-3</v>
      </c>
    </row>
    <row r="83" spans="1:10" x14ac:dyDescent="0.25">
      <c r="A83" s="4">
        <v>45828</v>
      </c>
      <c r="B83" s="5">
        <v>4083.9050000000002</v>
      </c>
      <c r="C83" s="5">
        <v>941.23</v>
      </c>
      <c r="D83" s="5">
        <v>5.5028499999999996</v>
      </c>
      <c r="E83" s="5">
        <v>19.1355</v>
      </c>
      <c r="F83">
        <f t="shared" si="7"/>
        <v>3.4415186772807083E-4</v>
      </c>
      <c r="G83">
        <f t="shared" si="8"/>
        <v>-7.1256401736314867E-3</v>
      </c>
      <c r="H83">
        <f t="shared" si="9"/>
        <v>1.9756008739983955E-3</v>
      </c>
      <c r="I83">
        <f t="shared" si="10"/>
        <v>2.6197898928506103E-3</v>
      </c>
      <c r="J83">
        <f t="shared" si="11"/>
        <v>-1.4810123928431754E-3</v>
      </c>
    </row>
    <row r="84" spans="1:10" x14ac:dyDescent="0.25">
      <c r="A84" s="2">
        <v>45831</v>
      </c>
      <c r="B84" s="3">
        <v>4093</v>
      </c>
      <c r="C84" s="3">
        <v>948.81</v>
      </c>
      <c r="D84" s="3">
        <v>5.5127499999999996</v>
      </c>
      <c r="E84" s="3">
        <v>19.189499999999999</v>
      </c>
      <c r="F84">
        <f t="shared" si="7"/>
        <v>2.2270351538540289E-3</v>
      </c>
      <c r="G84">
        <f t="shared" si="8"/>
        <v>8.0532919690192717E-3</v>
      </c>
      <c r="H84">
        <f t="shared" si="9"/>
        <v>1.7990677557992996E-3</v>
      </c>
      <c r="I84">
        <f t="shared" si="10"/>
        <v>2.8219800893625191E-3</v>
      </c>
      <c r="J84">
        <f t="shared" si="11"/>
        <v>1.5788660515820593E-3</v>
      </c>
    </row>
    <row r="85" spans="1:10" x14ac:dyDescent="0.25">
      <c r="A85" s="4">
        <v>45832</v>
      </c>
      <c r="B85" s="5">
        <v>4084.7750000000001</v>
      </c>
      <c r="C85" s="5">
        <v>937.89</v>
      </c>
      <c r="D85" s="5">
        <v>5.4954000000000001</v>
      </c>
      <c r="E85" s="5">
        <v>19.022500000000001</v>
      </c>
      <c r="F85">
        <f t="shared" si="7"/>
        <v>-2.0095284632298815E-3</v>
      </c>
      <c r="G85">
        <f t="shared" si="8"/>
        <v>-1.1509153571315656E-2</v>
      </c>
      <c r="H85">
        <f t="shared" si="9"/>
        <v>-3.1472495578430681E-3</v>
      </c>
      <c r="I85">
        <f t="shared" si="10"/>
        <v>-8.7026759425726796E-3</v>
      </c>
      <c r="J85">
        <f t="shared" si="11"/>
        <v>-3.6542017975550638E-3</v>
      </c>
    </row>
    <row r="86" spans="1:10" x14ac:dyDescent="0.25">
      <c r="A86" s="2">
        <v>45833</v>
      </c>
      <c r="B86" s="3">
        <v>4070.15</v>
      </c>
      <c r="C86" s="3">
        <v>935.65499999999997</v>
      </c>
      <c r="D86" s="3">
        <v>5.5452500000000002</v>
      </c>
      <c r="E86" s="3">
        <v>18.920500000000001</v>
      </c>
      <c r="F86">
        <f t="shared" si="7"/>
        <v>-3.58036856375199E-3</v>
      </c>
      <c r="G86">
        <f t="shared" si="8"/>
        <v>-2.3830086683939156E-3</v>
      </c>
      <c r="H86">
        <f t="shared" si="9"/>
        <v>9.0712232048621999E-3</v>
      </c>
      <c r="I86">
        <f t="shared" si="10"/>
        <v>-5.3620712314365049E-3</v>
      </c>
      <c r="J86">
        <f t="shared" si="11"/>
        <v>-3.7431684777811795E-3</v>
      </c>
    </row>
    <row r="87" spans="1:10" x14ac:dyDescent="0.25">
      <c r="A87" s="4">
        <v>45834</v>
      </c>
      <c r="B87" s="5">
        <v>4041.56</v>
      </c>
      <c r="C87" s="5">
        <v>928.95</v>
      </c>
      <c r="D87" s="5">
        <v>5.5047499999999996</v>
      </c>
      <c r="E87" s="5">
        <v>18.891749999999998</v>
      </c>
      <c r="F87">
        <f t="shared" si="7"/>
        <v>-7.0243111433240246E-3</v>
      </c>
      <c r="G87">
        <f t="shared" si="8"/>
        <v>-7.1661028904883572E-3</v>
      </c>
      <c r="H87">
        <f t="shared" si="9"/>
        <v>-7.3035480816916465E-3</v>
      </c>
      <c r="I87">
        <f t="shared" si="10"/>
        <v>-1.5195158690310961E-3</v>
      </c>
      <c r="J87">
        <f t="shared" si="11"/>
        <v>1.5751663374803015E-3</v>
      </c>
    </row>
    <row r="88" spans="1:10" x14ac:dyDescent="0.25">
      <c r="A88" s="2">
        <v>45835</v>
      </c>
      <c r="B88" s="3">
        <v>4061.65</v>
      </c>
      <c r="C88" s="3">
        <v>935.76</v>
      </c>
      <c r="D88" s="3">
        <v>5.48705</v>
      </c>
      <c r="E88" s="3">
        <v>18.868500000000001</v>
      </c>
      <c r="F88">
        <f t="shared" si="7"/>
        <v>4.9708528390028928E-3</v>
      </c>
      <c r="G88">
        <f t="shared" si="8"/>
        <v>7.3308574196673248E-3</v>
      </c>
      <c r="H88">
        <f t="shared" si="9"/>
        <v>-3.2154048776056321E-3</v>
      </c>
      <c r="I88">
        <f t="shared" si="10"/>
        <v>-1.2306959387032856E-3</v>
      </c>
      <c r="J88">
        <f t="shared" si="11"/>
        <v>1.0757535009538589E-3</v>
      </c>
    </row>
    <row r="89" spans="1:10" x14ac:dyDescent="0.25">
      <c r="A89" s="4">
        <v>45838</v>
      </c>
      <c r="B89" s="5">
        <v>4085</v>
      </c>
      <c r="C89" s="5">
        <v>933.42499999999995</v>
      </c>
      <c r="D89" s="5">
        <v>5.4578499999999996</v>
      </c>
      <c r="E89" s="5">
        <v>18.891999999999999</v>
      </c>
      <c r="F89">
        <f t="shared" si="7"/>
        <v>5.7488951534474531E-3</v>
      </c>
      <c r="G89">
        <f t="shared" si="8"/>
        <v>-2.4952979396426489E-3</v>
      </c>
      <c r="H89">
        <f t="shared" si="9"/>
        <v>-5.3216209074092857E-3</v>
      </c>
      <c r="I89">
        <f t="shared" si="10"/>
        <v>1.2454620134085825E-3</v>
      </c>
      <c r="J89">
        <f t="shared" si="11"/>
        <v>-7.8532093483923483E-6</v>
      </c>
    </row>
    <row r="90" spans="1:10" x14ac:dyDescent="0.25">
      <c r="A90" s="2">
        <v>45839</v>
      </c>
      <c r="B90" s="3">
        <v>4058.875</v>
      </c>
      <c r="C90" s="3">
        <v>924.42499999999995</v>
      </c>
      <c r="D90" s="3">
        <v>5.4509999999999996</v>
      </c>
      <c r="E90" s="3">
        <v>18.677</v>
      </c>
      <c r="F90">
        <f t="shared" si="7"/>
        <v>-6.3953488372092693E-3</v>
      </c>
      <c r="G90">
        <f t="shared" si="8"/>
        <v>-9.6419101695369713E-3</v>
      </c>
      <c r="H90">
        <f t="shared" si="9"/>
        <v>-1.2550729682934136E-3</v>
      </c>
      <c r="I90">
        <f t="shared" si="10"/>
        <v>-1.1380478509421921E-2</v>
      </c>
      <c r="J90">
        <f t="shared" si="11"/>
        <v>-3.5340707241640753E-3</v>
      </c>
    </row>
    <row r="91" spans="1:10" x14ac:dyDescent="0.25">
      <c r="A91" s="4">
        <v>45840</v>
      </c>
      <c r="B91" s="5">
        <v>4007.84</v>
      </c>
      <c r="C91" s="5">
        <v>926.48</v>
      </c>
      <c r="D91" s="5">
        <v>5.4452999999999996</v>
      </c>
      <c r="E91" s="5">
        <v>18.77075</v>
      </c>
      <c r="F91">
        <f t="shared" si="7"/>
        <v>-1.2573681130855219E-2</v>
      </c>
      <c r="G91">
        <f t="shared" si="8"/>
        <v>2.2230034886552286E-3</v>
      </c>
      <c r="H91">
        <f t="shared" si="9"/>
        <v>-1.0456796917996947E-3</v>
      </c>
      <c r="I91">
        <f t="shared" si="10"/>
        <v>5.0195427531187775E-3</v>
      </c>
      <c r="J91">
        <f t="shared" si="11"/>
        <v>4.9729361501463414E-3</v>
      </c>
    </row>
    <row r="92" spans="1:10" x14ac:dyDescent="0.25">
      <c r="A92" s="2">
        <v>45841</v>
      </c>
      <c r="B92" s="3">
        <v>3979.3249999999998</v>
      </c>
      <c r="C92" s="3">
        <v>926.06</v>
      </c>
      <c r="D92" s="3">
        <v>5.4110500000000004</v>
      </c>
      <c r="E92" s="3">
        <v>18.6755</v>
      </c>
      <c r="F92">
        <f t="shared" si="7"/>
        <v>-7.1148049822349346E-3</v>
      </c>
      <c r="G92">
        <f t="shared" si="8"/>
        <v>-4.5332872808923064E-4</v>
      </c>
      <c r="H92">
        <f t="shared" si="9"/>
        <v>-6.289827924999436E-3</v>
      </c>
      <c r="I92">
        <f t="shared" si="10"/>
        <v>-5.0743843479882367E-3</v>
      </c>
      <c r="J92">
        <f t="shared" si="11"/>
        <v>1.8179512723132671E-3</v>
      </c>
    </row>
    <row r="93" spans="1:10" x14ac:dyDescent="0.25">
      <c r="A93" s="4">
        <v>45842</v>
      </c>
      <c r="B93" s="5">
        <v>3998.9</v>
      </c>
      <c r="C93" s="5">
        <v>930.55499999999995</v>
      </c>
      <c r="D93" s="5">
        <v>5.4067499999999997</v>
      </c>
      <c r="E93" s="5">
        <v>18.64</v>
      </c>
      <c r="F93">
        <f t="shared" si="7"/>
        <v>4.9191759909030797E-3</v>
      </c>
      <c r="G93">
        <f t="shared" si="8"/>
        <v>4.8538971556919552E-3</v>
      </c>
      <c r="H93">
        <f t="shared" si="9"/>
        <v>-7.9467016567957849E-4</v>
      </c>
      <c r="I93">
        <f t="shared" si="10"/>
        <v>-1.900886187786055E-3</v>
      </c>
      <c r="J93">
        <f t="shared" si="11"/>
        <v>-3.2178863618760438E-4</v>
      </c>
    </row>
    <row r="94" spans="1:10" x14ac:dyDescent="0.25">
      <c r="A94" s="2">
        <v>45845</v>
      </c>
      <c r="B94" s="3">
        <v>4017.5250000000001</v>
      </c>
      <c r="C94" s="3">
        <v>940.15499999999997</v>
      </c>
      <c r="D94" s="3">
        <v>5.4560500000000003</v>
      </c>
      <c r="E94" s="3">
        <v>18.645499999999998</v>
      </c>
      <c r="F94">
        <f t="shared" si="7"/>
        <v>4.6575308209757527E-3</v>
      </c>
      <c r="G94">
        <f t="shared" si="8"/>
        <v>1.0316424069506835E-2</v>
      </c>
      <c r="H94">
        <f t="shared" si="9"/>
        <v>9.11823183982996E-3</v>
      </c>
      <c r="I94">
        <f t="shared" si="10"/>
        <v>2.9506437768223037E-4</v>
      </c>
      <c r="J94">
        <f t="shared" si="11"/>
        <v>-1.1933480175896846E-3</v>
      </c>
    </row>
    <row r="95" spans="1:10" x14ac:dyDescent="0.25">
      <c r="A95" s="4">
        <v>45846</v>
      </c>
      <c r="B95" s="5">
        <v>4066.2</v>
      </c>
      <c r="C95" s="5">
        <v>949.39</v>
      </c>
      <c r="D95" s="5">
        <v>5.4596499999999999</v>
      </c>
      <c r="E95" s="5">
        <v>18.71425</v>
      </c>
      <c r="F95">
        <f t="shared" si="7"/>
        <v>1.2115668228573462E-2</v>
      </c>
      <c r="G95">
        <f t="shared" si="8"/>
        <v>9.8228483601108252E-3</v>
      </c>
      <c r="H95">
        <f t="shared" si="9"/>
        <v>6.5981800020153969E-4</v>
      </c>
      <c r="I95">
        <f t="shared" si="10"/>
        <v>3.687216754713063E-3</v>
      </c>
      <c r="J95">
        <f t="shared" si="11"/>
        <v>3.3142857215039275E-4</v>
      </c>
    </row>
    <row r="96" spans="1:10" x14ac:dyDescent="0.25">
      <c r="A96" s="2">
        <v>45847</v>
      </c>
      <c r="B96" s="3">
        <v>4034.09</v>
      </c>
      <c r="C96" s="3">
        <v>949.76</v>
      </c>
      <c r="D96" s="3">
        <v>5.4714499999999999</v>
      </c>
      <c r="E96" s="3">
        <v>18.56475</v>
      </c>
      <c r="F96">
        <f t="shared" si="7"/>
        <v>-7.8968078304066935E-3</v>
      </c>
      <c r="G96">
        <f t="shared" si="8"/>
        <v>3.8972392799596633E-4</v>
      </c>
      <c r="H96">
        <f t="shared" si="9"/>
        <v>2.1613107067302018E-3</v>
      </c>
      <c r="I96">
        <f t="shared" si="10"/>
        <v>-7.9885648636733864E-3</v>
      </c>
      <c r="J96">
        <f t="shared" si="11"/>
        <v>-9.7795837880040588E-4</v>
      </c>
    </row>
    <row r="97" spans="1:10" x14ac:dyDescent="0.25">
      <c r="A97" s="4">
        <v>45848</v>
      </c>
      <c r="B97" s="5">
        <v>4027.94</v>
      </c>
      <c r="C97" s="5">
        <v>950.255</v>
      </c>
      <c r="D97" s="5">
        <v>5.5477499999999997</v>
      </c>
      <c r="E97" s="5">
        <v>18.676500000000001</v>
      </c>
      <c r="F97">
        <f t="shared" si="7"/>
        <v>-1.5245073858044522E-3</v>
      </c>
      <c r="G97">
        <f t="shared" si="8"/>
        <v>5.2118429919145726E-4</v>
      </c>
      <c r="H97">
        <f t="shared" si="9"/>
        <v>1.3945115097460326E-2</v>
      </c>
      <c r="I97">
        <f t="shared" si="10"/>
        <v>6.019472387185365E-3</v>
      </c>
      <c r="J97">
        <f t="shared" si="11"/>
        <v>-1.7469692672995093E-3</v>
      </c>
    </row>
    <row r="98" spans="1:10" x14ac:dyDescent="0.25">
      <c r="A98" s="2">
        <v>45849</v>
      </c>
      <c r="B98" s="3">
        <v>3998.99</v>
      </c>
      <c r="C98" s="3">
        <v>953.745</v>
      </c>
      <c r="D98" s="3">
        <v>5.5720999999999998</v>
      </c>
      <c r="E98" s="3">
        <v>18.699000000000002</v>
      </c>
      <c r="F98">
        <f t="shared" si="7"/>
        <v>-7.1872967323247661E-3</v>
      </c>
      <c r="G98">
        <f t="shared" si="8"/>
        <v>3.6726983809609592E-3</v>
      </c>
      <c r="H98">
        <f t="shared" si="9"/>
        <v>4.3891667793249933E-3</v>
      </c>
      <c r="I98">
        <f t="shared" si="10"/>
        <v>1.2047225122480132E-3</v>
      </c>
      <c r="J98">
        <f t="shared" si="11"/>
        <v>1.5287643954309997E-3</v>
      </c>
    </row>
    <row r="99" spans="1:10" x14ac:dyDescent="0.25">
      <c r="A99" s="4">
        <v>45852</v>
      </c>
      <c r="B99" s="5">
        <v>4022.5</v>
      </c>
      <c r="C99" s="5">
        <v>967.19500000000005</v>
      </c>
      <c r="D99" s="5">
        <v>5.5635500000000002</v>
      </c>
      <c r="E99" s="5">
        <v>18.7545</v>
      </c>
      <c r="F99">
        <f t="shared" si="7"/>
        <v>5.878984443572044E-3</v>
      </c>
      <c r="G99">
        <f t="shared" si="8"/>
        <v>1.4102301977992004E-2</v>
      </c>
      <c r="H99">
        <f t="shared" si="9"/>
        <v>-1.5344304660719343E-3</v>
      </c>
      <c r="I99">
        <f t="shared" si="10"/>
        <v>2.9680731589922793E-3</v>
      </c>
      <c r="J99">
        <f t="shared" si="11"/>
        <v>3.0780993479444948E-3</v>
      </c>
    </row>
    <row r="100" spans="1:10" x14ac:dyDescent="0.25">
      <c r="A100" s="2">
        <v>45853</v>
      </c>
      <c r="B100" s="3">
        <v>4017.86</v>
      </c>
      <c r="C100" s="3">
        <v>965.36500000000001</v>
      </c>
      <c r="D100" s="3">
        <v>5.5537999999999998</v>
      </c>
      <c r="E100" s="3">
        <v>18.763999999999999</v>
      </c>
      <c r="F100">
        <f t="shared" si="7"/>
        <v>-1.1535114978247218E-3</v>
      </c>
      <c r="G100">
        <f t="shared" si="8"/>
        <v>-1.8920693345189088E-3</v>
      </c>
      <c r="H100">
        <f t="shared" si="9"/>
        <v>-1.7524781838934578E-3</v>
      </c>
      <c r="I100">
        <f t="shared" si="10"/>
        <v>5.0654509584369123E-4</v>
      </c>
      <c r="J100">
        <f t="shared" si="11"/>
        <v>4.6338250288383324E-4</v>
      </c>
    </row>
    <row r="101" spans="1:10" x14ac:dyDescent="0.25">
      <c r="A101" s="4">
        <v>45854</v>
      </c>
      <c r="B101" s="5">
        <v>4038.01</v>
      </c>
      <c r="C101" s="5">
        <v>965.84</v>
      </c>
      <c r="D101" s="5">
        <v>5.5726000000000004</v>
      </c>
      <c r="E101" s="5">
        <v>18.746500000000001</v>
      </c>
      <c r="F101">
        <f t="shared" si="7"/>
        <v>5.0151075448123805E-3</v>
      </c>
      <c r="G101">
        <f t="shared" si="8"/>
        <v>4.9204187017348744E-4</v>
      </c>
      <c r="H101">
        <f t="shared" si="9"/>
        <v>3.3850696820196813E-3</v>
      </c>
      <c r="I101">
        <f t="shared" si="10"/>
        <v>-9.3263696439982446E-4</v>
      </c>
      <c r="J101">
        <f t="shared" si="11"/>
        <v>-2.2044886628140611E-3</v>
      </c>
    </row>
    <row r="102" spans="1:10" x14ac:dyDescent="0.25">
      <c r="A102" s="2">
        <v>45855</v>
      </c>
      <c r="B102" s="3">
        <v>4017.39</v>
      </c>
      <c r="C102" s="3">
        <v>967.18499999999995</v>
      </c>
      <c r="D102" s="3">
        <v>5.5622499999999997</v>
      </c>
      <c r="E102" s="3">
        <v>18.765999999999998</v>
      </c>
      <c r="F102">
        <f t="shared" si="7"/>
        <v>-5.106475714522829E-3</v>
      </c>
      <c r="G102">
        <f t="shared" si="8"/>
        <v>1.3925701979622396E-3</v>
      </c>
      <c r="H102">
        <f t="shared" si="9"/>
        <v>-1.8573017980836326E-3</v>
      </c>
      <c r="I102">
        <f t="shared" si="10"/>
        <v>1.0401941695781236E-3</v>
      </c>
      <c r="J102">
        <f t="shared" si="11"/>
        <v>2.2490924160138361E-3</v>
      </c>
    </row>
    <row r="103" spans="1:10" x14ac:dyDescent="0.25">
      <c r="A103" s="4">
        <v>45856</v>
      </c>
      <c r="B103" s="5">
        <v>3992.08</v>
      </c>
      <c r="C103" s="5">
        <v>961.01499999999999</v>
      </c>
      <c r="D103" s="5">
        <v>5.5438000000000001</v>
      </c>
      <c r="E103" s="5">
        <v>18.710999999999999</v>
      </c>
      <c r="F103">
        <f t="shared" si="7"/>
        <v>-6.3001102705985135E-3</v>
      </c>
      <c r="G103">
        <f t="shared" si="8"/>
        <v>-6.379337975671584E-3</v>
      </c>
      <c r="H103">
        <f t="shared" si="9"/>
        <v>-3.3170030113712778E-3</v>
      </c>
      <c r="I103">
        <f t="shared" si="10"/>
        <v>-2.9308323563892458E-3</v>
      </c>
      <c r="J103">
        <f t="shared" si="11"/>
        <v>8.9663469700993403E-5</v>
      </c>
    </row>
    <row r="104" spans="1:10" x14ac:dyDescent="0.25">
      <c r="A104" s="2">
        <v>45859</v>
      </c>
      <c r="B104" s="3">
        <v>4022.4549999999999</v>
      </c>
      <c r="C104" s="3">
        <v>958.05</v>
      </c>
      <c r="D104" s="3">
        <v>5.5591499999999998</v>
      </c>
      <c r="E104" s="3">
        <v>18.659500000000001</v>
      </c>
      <c r="F104">
        <f t="shared" si="7"/>
        <v>7.6088154546001263E-3</v>
      </c>
      <c r="G104">
        <f t="shared" si="8"/>
        <v>-3.0852796262285098E-3</v>
      </c>
      <c r="H104">
        <f t="shared" si="9"/>
        <v>2.7688589054439827E-3</v>
      </c>
      <c r="I104">
        <f t="shared" si="10"/>
        <v>-2.7523916412803828E-3</v>
      </c>
      <c r="J104">
        <f t="shared" si="11"/>
        <v>-3.9101462809409101E-3</v>
      </c>
    </row>
    <row r="105" spans="1:10" x14ac:dyDescent="0.25">
      <c r="A105" s="4">
        <v>45860</v>
      </c>
      <c r="B105" s="5">
        <v>4060.7950000000001</v>
      </c>
      <c r="C105" s="5">
        <v>953.25</v>
      </c>
      <c r="D105" s="5">
        <v>5.5663</v>
      </c>
      <c r="E105" s="5">
        <v>18.622</v>
      </c>
      <c r="F105">
        <f t="shared" si="7"/>
        <v>9.5314925835092712E-3</v>
      </c>
      <c r="G105">
        <f t="shared" si="8"/>
        <v>-5.0101769218725556E-3</v>
      </c>
      <c r="H105">
        <f t="shared" si="9"/>
        <v>1.2861678494013873E-3</v>
      </c>
      <c r="I105">
        <f t="shared" si="10"/>
        <v>-2.0097001527372704E-3</v>
      </c>
      <c r="J105">
        <f t="shared" si="11"/>
        <v>-4.1470010017900334E-3</v>
      </c>
    </row>
    <row r="106" spans="1:10" x14ac:dyDescent="0.25">
      <c r="A106" s="2">
        <v>45861</v>
      </c>
      <c r="B106" s="3">
        <v>4054.34</v>
      </c>
      <c r="C106" s="3">
        <v>949.23500000000001</v>
      </c>
      <c r="D106" s="3">
        <v>5.5570500000000003</v>
      </c>
      <c r="E106" s="3">
        <v>18.610499999999998</v>
      </c>
      <c r="F106">
        <f t="shared" si="7"/>
        <v>-1.5895902157089248E-3</v>
      </c>
      <c r="G106">
        <f t="shared" si="8"/>
        <v>-4.2119066351953283E-3</v>
      </c>
      <c r="H106">
        <f t="shared" si="9"/>
        <v>-1.661786105671581E-3</v>
      </c>
      <c r="I106">
        <f t="shared" si="10"/>
        <v>-6.1754913543132783E-4</v>
      </c>
      <c r="J106">
        <f t="shared" si="11"/>
        <v>-2.9267115704135268E-4</v>
      </c>
    </row>
    <row r="107" spans="1:10" x14ac:dyDescent="0.25">
      <c r="A107" s="4">
        <v>45862</v>
      </c>
      <c r="B107" s="5">
        <v>4061.01</v>
      </c>
      <c r="C107" s="5">
        <v>951.05</v>
      </c>
      <c r="D107" s="5">
        <v>5.5284500000000003</v>
      </c>
      <c r="E107" s="5">
        <v>18.5625</v>
      </c>
      <c r="F107">
        <f t="shared" si="7"/>
        <v>1.6451506287089579E-3</v>
      </c>
      <c r="G107">
        <f t="shared" si="8"/>
        <v>1.912066032120574E-3</v>
      </c>
      <c r="H107">
        <f t="shared" si="9"/>
        <v>-5.1466155604142916E-3</v>
      </c>
      <c r="I107">
        <f t="shared" si="10"/>
        <v>-2.5791891674054046E-3</v>
      </c>
      <c r="J107">
        <f t="shared" si="11"/>
        <v>7.7248853214949449E-4</v>
      </c>
    </row>
    <row r="108" spans="1:10" x14ac:dyDescent="0.25">
      <c r="A108" s="2">
        <v>45863</v>
      </c>
      <c r="B108" s="3">
        <v>4106.83</v>
      </c>
      <c r="C108" s="3">
        <v>957.88</v>
      </c>
      <c r="D108" s="3">
        <v>5.5384500000000001</v>
      </c>
      <c r="E108" s="3">
        <v>18.5625</v>
      </c>
      <c r="F108">
        <f t="shared" si="7"/>
        <v>1.1282907454057023E-2</v>
      </c>
      <c r="G108">
        <f t="shared" si="8"/>
        <v>7.1815361968350366E-3</v>
      </c>
      <c r="H108">
        <f t="shared" si="9"/>
        <v>1.8088252584358422E-3</v>
      </c>
      <c r="I108">
        <f t="shared" si="10"/>
        <v>0</v>
      </c>
      <c r="J108">
        <f t="shared" si="11"/>
        <v>-1.4138672956148419E-3</v>
      </c>
    </row>
    <row r="109" spans="1:10" x14ac:dyDescent="0.25">
      <c r="A109" s="4">
        <v>45866</v>
      </c>
      <c r="B109" s="5">
        <v>4165.9849999999997</v>
      </c>
      <c r="C109" s="5">
        <v>971.16</v>
      </c>
      <c r="D109" s="5">
        <v>5.5835499999999998</v>
      </c>
      <c r="E109" s="5">
        <v>18.687249999999999</v>
      </c>
      <c r="F109">
        <f t="shared" si="7"/>
        <v>1.4404053734875744E-2</v>
      </c>
      <c r="G109">
        <f t="shared" si="8"/>
        <v>1.3863949555267929E-2</v>
      </c>
      <c r="H109">
        <f t="shared" si="9"/>
        <v>8.1430725202900067E-3</v>
      </c>
      <c r="I109">
        <f t="shared" si="10"/>
        <v>6.7205387205386824E-3</v>
      </c>
      <c r="J109">
        <f t="shared" si="11"/>
        <v>-5.151714287326603E-4</v>
      </c>
    </row>
    <row r="110" spans="1:10" x14ac:dyDescent="0.25">
      <c r="A110" s="2">
        <v>45867</v>
      </c>
      <c r="B110" s="3">
        <v>4161.09</v>
      </c>
      <c r="C110" s="3">
        <v>971.92499999999995</v>
      </c>
      <c r="D110" s="3">
        <v>5.5930499999999999</v>
      </c>
      <c r="E110" s="3">
        <v>18.825500000000002</v>
      </c>
      <c r="F110">
        <f t="shared" si="7"/>
        <v>-1.1749922287285219E-3</v>
      </c>
      <c r="G110">
        <f t="shared" si="8"/>
        <v>7.8771778079822496E-4</v>
      </c>
      <c r="H110">
        <f t="shared" si="9"/>
        <v>1.701426511806936E-3</v>
      </c>
      <c r="I110">
        <f t="shared" si="10"/>
        <v>7.3980922821712536E-3</v>
      </c>
      <c r="J110">
        <f t="shared" si="11"/>
        <v>2.0185649383293656E-3</v>
      </c>
    </row>
    <row r="111" spans="1:10" x14ac:dyDescent="0.25">
      <c r="A111" s="4">
        <v>45868</v>
      </c>
      <c r="B111" s="5">
        <v>4184</v>
      </c>
      <c r="C111" s="5">
        <v>977.35</v>
      </c>
      <c r="D111" s="5">
        <v>5.6046500000000004</v>
      </c>
      <c r="E111" s="5">
        <v>18.808</v>
      </c>
      <c r="F111">
        <f t="shared" si="7"/>
        <v>5.5057689211239769E-3</v>
      </c>
      <c r="G111">
        <f t="shared" si="8"/>
        <v>5.5817064073875322E-3</v>
      </c>
      <c r="H111">
        <f t="shared" si="9"/>
        <v>2.0740025567447251E-3</v>
      </c>
      <c r="I111">
        <f t="shared" si="10"/>
        <v>-9.2959018352778422E-4</v>
      </c>
      <c r="J111">
        <f t="shared" si="11"/>
        <v>-8.1745631979490685E-4</v>
      </c>
    </row>
    <row r="112" spans="1:10" x14ac:dyDescent="0.25">
      <c r="A112" s="2">
        <v>45869</v>
      </c>
      <c r="B112" s="3">
        <v>4165.13</v>
      </c>
      <c r="C112" s="3">
        <v>979.08</v>
      </c>
      <c r="D112" s="3">
        <v>5.5985500000000004</v>
      </c>
      <c r="E112" s="3">
        <v>18.828499999999998</v>
      </c>
      <c r="F112">
        <f t="shared" si="7"/>
        <v>-4.5100382409177797E-3</v>
      </c>
      <c r="G112">
        <f t="shared" si="8"/>
        <v>1.7700925973296311E-3</v>
      </c>
      <c r="H112">
        <f t="shared" si="9"/>
        <v>-1.0883819685439944E-3</v>
      </c>
      <c r="I112">
        <f t="shared" si="10"/>
        <v>1.0899617184176869E-3</v>
      </c>
      <c r="J112">
        <f t="shared" si="11"/>
        <v>2.0006800993221142E-3</v>
      </c>
    </row>
    <row r="113" spans="1:10" x14ac:dyDescent="0.25">
      <c r="A113" s="4">
        <v>45870</v>
      </c>
      <c r="B113" s="5">
        <v>4119.95</v>
      </c>
      <c r="C113" s="5">
        <v>967.72500000000002</v>
      </c>
      <c r="D113" s="5">
        <v>5.5490000000000004</v>
      </c>
      <c r="E113" s="5">
        <v>18.906749999999999</v>
      </c>
      <c r="F113">
        <f t="shared" si="7"/>
        <v>-1.0847200447525074E-2</v>
      </c>
      <c r="G113">
        <f t="shared" si="8"/>
        <v>-1.1597622257629614E-2</v>
      </c>
      <c r="H113">
        <f t="shared" si="9"/>
        <v>-8.8505059345723724E-3</v>
      </c>
      <c r="I113">
        <f t="shared" si="10"/>
        <v>4.1559338237247001E-3</v>
      </c>
      <c r="J113">
        <f t="shared" si="11"/>
        <v>3.4461395306148446E-3</v>
      </c>
    </row>
    <row r="114" spans="1:10" x14ac:dyDescent="0.25">
      <c r="A114" s="2">
        <v>45873</v>
      </c>
      <c r="B114" s="3">
        <v>4099.07</v>
      </c>
      <c r="C114" s="3">
        <v>965.53</v>
      </c>
      <c r="D114" s="3">
        <v>5.5064000000000002</v>
      </c>
      <c r="E114" s="3">
        <v>18.8355</v>
      </c>
      <c r="F114">
        <f t="shared" si="7"/>
        <v>-5.0680226701780295E-3</v>
      </c>
      <c r="G114">
        <f t="shared" si="8"/>
        <v>-2.2682063602780245E-3</v>
      </c>
      <c r="H114">
        <f t="shared" si="9"/>
        <v>-7.6770589295368508E-3</v>
      </c>
      <c r="I114">
        <f t="shared" si="10"/>
        <v>-3.768495378634551E-3</v>
      </c>
      <c r="J114">
        <f t="shared" si="11"/>
        <v>1.7078934996728622E-3</v>
      </c>
    </row>
    <row r="115" spans="1:10" x14ac:dyDescent="0.25">
      <c r="A115" s="4">
        <v>45874</v>
      </c>
      <c r="B115" s="5">
        <v>4096.43</v>
      </c>
      <c r="C115" s="5">
        <v>965.76499999999999</v>
      </c>
      <c r="D115" s="5">
        <v>5.5113500000000002</v>
      </c>
      <c r="E115" s="5">
        <v>18.821000000000002</v>
      </c>
      <c r="F115">
        <f t="shared" si="7"/>
        <v>-6.4404852808064295E-4</v>
      </c>
      <c r="G115">
        <f t="shared" si="8"/>
        <v>2.4338964092263105E-4</v>
      </c>
      <c r="H115">
        <f t="shared" si="9"/>
        <v>8.9895394450101307E-4</v>
      </c>
      <c r="I115">
        <f t="shared" si="10"/>
        <v>-7.698229407235857E-4</v>
      </c>
      <c r="J115">
        <f t="shared" si="11"/>
        <v>-2.6634065278388326E-4</v>
      </c>
    </row>
    <row r="116" spans="1:10" x14ac:dyDescent="0.25">
      <c r="A116" s="2">
        <v>45875</v>
      </c>
      <c r="B116" s="3">
        <v>4043.8150000000001</v>
      </c>
      <c r="C116" s="3">
        <v>975.31</v>
      </c>
      <c r="D116" s="3">
        <v>5.4809999999999999</v>
      </c>
      <c r="E116" s="3">
        <v>18.599</v>
      </c>
      <c r="F116">
        <f t="shared" si="7"/>
        <v>-1.2844110603623227E-2</v>
      </c>
      <c r="G116">
        <f t="shared" si="8"/>
        <v>9.8833567172138537E-3</v>
      </c>
      <c r="H116">
        <f t="shared" si="9"/>
        <v>-5.5068177488274417E-3</v>
      </c>
      <c r="I116">
        <f t="shared" si="10"/>
        <v>-1.179533499814045E-2</v>
      </c>
      <c r="J116">
        <f t="shared" si="11"/>
        <v>3.3037379464879598E-3</v>
      </c>
    </row>
    <row r="117" spans="1:10" x14ac:dyDescent="0.25">
      <c r="A117" s="4">
        <v>45876</v>
      </c>
      <c r="B117" s="5">
        <v>4046.97</v>
      </c>
      <c r="C117" s="5">
        <v>972.65</v>
      </c>
      <c r="D117" s="5">
        <v>5.4711499999999997</v>
      </c>
      <c r="E117" s="5">
        <v>18.699000000000002</v>
      </c>
      <c r="F117">
        <f t="shared" si="7"/>
        <v>7.80203842163818E-4</v>
      </c>
      <c r="G117">
        <f t="shared" si="8"/>
        <v>-2.7273379745926807E-3</v>
      </c>
      <c r="H117">
        <f t="shared" si="9"/>
        <v>-1.7971173143587205E-3</v>
      </c>
      <c r="I117">
        <f t="shared" si="10"/>
        <v>5.376633152320176E-3</v>
      </c>
      <c r="J117">
        <f t="shared" si="11"/>
        <v>1.2132547259093604E-3</v>
      </c>
    </row>
    <row r="118" spans="1:10" x14ac:dyDescent="0.25">
      <c r="A118" s="2">
        <v>45877</v>
      </c>
      <c r="B118" s="3">
        <v>4036.8649999999998</v>
      </c>
      <c r="C118" s="3">
        <v>963.13</v>
      </c>
      <c r="D118" s="3">
        <v>5.4257999999999997</v>
      </c>
      <c r="E118" s="3">
        <v>18.548999999999999</v>
      </c>
      <c r="F118">
        <f t="shared" si="7"/>
        <v>-2.4969298018023833E-3</v>
      </c>
      <c r="G118">
        <f t="shared" si="8"/>
        <v>-9.7876934148973804E-3</v>
      </c>
      <c r="H118">
        <f t="shared" si="9"/>
        <v>-8.2889337707794386E-3</v>
      </c>
      <c r="I118">
        <f t="shared" si="10"/>
        <v>-8.021819348628334E-3</v>
      </c>
      <c r="J118">
        <f t="shared" si="11"/>
        <v>-1.5459712412013594E-3</v>
      </c>
    </row>
    <row r="119" spans="1:10" x14ac:dyDescent="0.25">
      <c r="A119" s="4">
        <v>45880</v>
      </c>
      <c r="B119" s="5">
        <v>4054.64</v>
      </c>
      <c r="C119" s="5">
        <v>969.48</v>
      </c>
      <c r="D119" s="5">
        <v>5.4509999999999996</v>
      </c>
      <c r="E119" s="5">
        <v>18.655999999999999</v>
      </c>
      <c r="F119">
        <f t="shared" si="7"/>
        <v>4.4031692910215803E-3</v>
      </c>
      <c r="G119">
        <f t="shared" si="8"/>
        <v>6.5930871221953069E-3</v>
      </c>
      <c r="H119">
        <f t="shared" si="9"/>
        <v>4.6444763905784114E-3</v>
      </c>
      <c r="I119">
        <f t="shared" si="10"/>
        <v>5.7685050407030314E-3</v>
      </c>
      <c r="J119">
        <f t="shared" si="11"/>
        <v>7.9887858751766672E-4</v>
      </c>
    </row>
    <row r="120" spans="1:10" x14ac:dyDescent="0.25">
      <c r="A120" s="2">
        <v>45881</v>
      </c>
      <c r="B120" s="3">
        <v>4019.04</v>
      </c>
      <c r="C120" s="3">
        <v>963.85500000000002</v>
      </c>
      <c r="D120" s="3">
        <v>5.4086999999999996</v>
      </c>
      <c r="E120" s="3">
        <v>18.5825</v>
      </c>
      <c r="F120">
        <f t="shared" si="7"/>
        <v>-8.780064321370018E-3</v>
      </c>
      <c r="G120">
        <f t="shared" si="8"/>
        <v>-5.8020794652803298E-3</v>
      </c>
      <c r="H120">
        <f t="shared" si="9"/>
        <v>-7.760044028618629E-3</v>
      </c>
      <c r="I120">
        <f t="shared" si="10"/>
        <v>-3.9397512864494111E-3</v>
      </c>
      <c r="J120">
        <f t="shared" si="11"/>
        <v>1.7229668408447133E-3</v>
      </c>
    </row>
    <row r="121" spans="1:10" x14ac:dyDescent="0.25">
      <c r="A121" s="4">
        <v>45882</v>
      </c>
      <c r="B121" s="5">
        <v>4021.5</v>
      </c>
      <c r="C121" s="5">
        <v>952.83500000000004</v>
      </c>
      <c r="D121" s="5">
        <v>5.3920500000000002</v>
      </c>
      <c r="E121" s="5">
        <v>18.616</v>
      </c>
      <c r="F121">
        <f t="shared" si="7"/>
        <v>6.120864684102667E-4</v>
      </c>
      <c r="G121">
        <f t="shared" si="8"/>
        <v>-1.1433255002049059E-2</v>
      </c>
      <c r="H121">
        <f t="shared" si="9"/>
        <v>-3.0783737312106707E-3</v>
      </c>
      <c r="I121">
        <f t="shared" si="10"/>
        <v>1.8027714247275117E-3</v>
      </c>
      <c r="J121">
        <f t="shared" si="11"/>
        <v>-1.3208688945636881E-3</v>
      </c>
    </row>
    <row r="122" spans="1:10" x14ac:dyDescent="0.25">
      <c r="A122" s="2">
        <v>45883</v>
      </c>
      <c r="B122" s="3">
        <v>4053.33</v>
      </c>
      <c r="C122" s="3">
        <v>958.745</v>
      </c>
      <c r="D122" s="3">
        <v>5.3999499999999996</v>
      </c>
      <c r="E122" s="3">
        <v>18.779</v>
      </c>
      <c r="F122">
        <f t="shared" si="7"/>
        <v>7.914957105557674E-3</v>
      </c>
      <c r="G122">
        <f t="shared" si="8"/>
        <v>6.2025429376544317E-3</v>
      </c>
      <c r="H122">
        <f t="shared" si="9"/>
        <v>1.4651199451043428E-3</v>
      </c>
      <c r="I122">
        <f t="shared" si="10"/>
        <v>8.7559088955737607E-3</v>
      </c>
      <c r="J122">
        <f t="shared" si="11"/>
        <v>1.6446826711518957E-3</v>
      </c>
    </row>
    <row r="123" spans="1:10" x14ac:dyDescent="0.25">
      <c r="A123" s="4">
        <v>45884</v>
      </c>
      <c r="B123" s="5">
        <v>4010.5</v>
      </c>
      <c r="C123" s="5">
        <v>965.5</v>
      </c>
      <c r="D123" s="5">
        <v>5.3939500000000002</v>
      </c>
      <c r="E123" s="5">
        <v>18.687999999999999</v>
      </c>
      <c r="F123">
        <f t="shared" si="7"/>
        <v>-1.0566620531760273E-2</v>
      </c>
      <c r="G123">
        <f t="shared" si="8"/>
        <v>7.0456690778049058E-3</v>
      </c>
      <c r="H123">
        <f t="shared" si="9"/>
        <v>-1.1111213992720526E-3</v>
      </c>
      <c r="I123">
        <f t="shared" si="10"/>
        <v>-4.8458384365515084E-3</v>
      </c>
      <c r="J123">
        <f t="shared" si="11"/>
        <v>2.8764207362146346E-3</v>
      </c>
    </row>
    <row r="124" spans="1:10" x14ac:dyDescent="0.25">
      <c r="A124" s="2">
        <v>45887</v>
      </c>
      <c r="B124" s="3">
        <v>4014.7</v>
      </c>
      <c r="C124" s="3">
        <v>966.41499999999996</v>
      </c>
      <c r="D124" s="3">
        <v>5.4159499999999996</v>
      </c>
      <c r="E124" s="3">
        <v>18.829499999999999</v>
      </c>
      <c r="F124">
        <f t="shared" si="7"/>
        <v>1.0472509662136087E-3</v>
      </c>
      <c r="G124">
        <f t="shared" si="8"/>
        <v>9.476954945624172E-4</v>
      </c>
      <c r="H124">
        <f t="shared" si="9"/>
        <v>4.0786436655881886E-3</v>
      </c>
      <c r="I124">
        <f t="shared" si="10"/>
        <v>7.571703767123239E-3</v>
      </c>
      <c r="J124">
        <f t="shared" si="11"/>
        <v>9.4817103450391561E-4</v>
      </c>
    </row>
    <row r="125" spans="1:10" x14ac:dyDescent="0.25">
      <c r="A125" s="4">
        <v>45888</v>
      </c>
      <c r="B125" s="5">
        <v>4029.95</v>
      </c>
      <c r="C125" s="5">
        <v>962.2</v>
      </c>
      <c r="D125" s="5">
        <v>5.4805000000000001</v>
      </c>
      <c r="E125" s="5">
        <v>18.796500000000002</v>
      </c>
      <c r="F125">
        <f t="shared" si="7"/>
        <v>3.7985403641616067E-3</v>
      </c>
      <c r="G125">
        <f t="shared" si="8"/>
        <v>-4.3614803164271354E-3</v>
      </c>
      <c r="H125">
        <f t="shared" si="9"/>
        <v>1.1918499986152131E-2</v>
      </c>
      <c r="I125">
        <f t="shared" si="10"/>
        <v>-1.7525691069862903E-3</v>
      </c>
      <c r="J125">
        <f t="shared" si="11"/>
        <v>-5.610857121558171E-3</v>
      </c>
    </row>
    <row r="126" spans="1:10" x14ac:dyDescent="0.25">
      <c r="A126" s="2">
        <v>45889</v>
      </c>
      <c r="B126" s="3">
        <v>4034.97</v>
      </c>
      <c r="C126" s="3">
        <v>967.47500000000002</v>
      </c>
      <c r="D126" s="3">
        <v>5.4720500000000003</v>
      </c>
      <c r="E126" s="3">
        <v>18.798999999999999</v>
      </c>
      <c r="F126">
        <f t="shared" si="7"/>
        <v>1.2456730232384139E-3</v>
      </c>
      <c r="G126">
        <f t="shared" si="8"/>
        <v>5.4822282269797462E-3</v>
      </c>
      <c r="H126">
        <f t="shared" si="9"/>
        <v>-1.5418301249885413E-3</v>
      </c>
      <c r="I126">
        <f t="shared" si="10"/>
        <v>1.3300348469114098E-4</v>
      </c>
      <c r="J126">
        <f t="shared" si="11"/>
        <v>1.4066882701868745E-3</v>
      </c>
    </row>
    <row r="127" spans="1:10" x14ac:dyDescent="0.25">
      <c r="A127" s="4">
        <v>45890</v>
      </c>
      <c r="B127" s="5">
        <v>4035.0949999999998</v>
      </c>
      <c r="C127" s="5">
        <v>965.67499999999995</v>
      </c>
      <c r="D127" s="5">
        <v>5.4835500000000001</v>
      </c>
      <c r="E127" s="5">
        <v>18.750250000000001</v>
      </c>
      <c r="F127">
        <f t="shared" si="7"/>
        <v>3.0979164653111013E-5</v>
      </c>
      <c r="G127">
        <f t="shared" si="8"/>
        <v>-1.8605131915554463E-3</v>
      </c>
      <c r="H127">
        <f t="shared" si="9"/>
        <v>2.1015889840187985E-3</v>
      </c>
      <c r="I127">
        <f t="shared" si="10"/>
        <v>-2.5932230437788473E-3</v>
      </c>
      <c r="J127">
        <f t="shared" si="11"/>
        <v>-1.7244460868790254E-3</v>
      </c>
    </row>
    <row r="128" spans="1:10" x14ac:dyDescent="0.25">
      <c r="A128" s="2">
        <v>45891</v>
      </c>
      <c r="B128" s="3">
        <v>3995.625</v>
      </c>
      <c r="C128" s="3">
        <v>962.53</v>
      </c>
      <c r="D128" s="3">
        <v>5.4195000000000002</v>
      </c>
      <c r="E128" s="3">
        <v>18.59</v>
      </c>
      <c r="F128">
        <f t="shared" si="7"/>
        <v>-9.7816780026244166E-3</v>
      </c>
      <c r="G128">
        <f t="shared" si="8"/>
        <v>-3.2567892924637576E-3</v>
      </c>
      <c r="H128">
        <f t="shared" si="9"/>
        <v>-1.1680389528681223E-2</v>
      </c>
      <c r="I128">
        <f t="shared" si="10"/>
        <v>-8.5465527126306062E-3</v>
      </c>
      <c r="J128">
        <f t="shared" si="11"/>
        <v>2.3204854956053182E-3</v>
      </c>
    </row>
    <row r="129" spans="1:10" x14ac:dyDescent="0.25">
      <c r="A129" s="4">
        <v>45894</v>
      </c>
      <c r="B129" s="5">
        <v>4016.04</v>
      </c>
      <c r="C129" s="5">
        <v>961.10500000000002</v>
      </c>
      <c r="D129" s="5">
        <v>5.4064500000000004</v>
      </c>
      <c r="E129" s="5">
        <v>18.577999999999999</v>
      </c>
      <c r="F129">
        <f t="shared" si="7"/>
        <v>5.1093383388081115E-3</v>
      </c>
      <c r="G129">
        <f t="shared" si="8"/>
        <v>-1.4804733358959599E-3</v>
      </c>
      <c r="H129">
        <f t="shared" si="9"/>
        <v>-2.4079712150566479E-3</v>
      </c>
      <c r="I129">
        <f t="shared" si="10"/>
        <v>-6.4550833781606975E-4</v>
      </c>
      <c r="J129">
        <f t="shared" si="11"/>
        <v>-9.748295729229662E-4</v>
      </c>
    </row>
    <row r="130" spans="1:10" x14ac:dyDescent="0.25">
      <c r="A130" s="2">
        <v>45895</v>
      </c>
      <c r="B130" s="3">
        <v>4047.48</v>
      </c>
      <c r="C130" s="3">
        <v>964.42499999999995</v>
      </c>
      <c r="D130" s="3">
        <v>5.4295999999999998</v>
      </c>
      <c r="E130" s="3">
        <v>18.682500000000001</v>
      </c>
      <c r="F130">
        <f t="shared" si="7"/>
        <v>7.8286072847879584E-3</v>
      </c>
      <c r="G130">
        <f t="shared" si="8"/>
        <v>3.4543572242367038E-3</v>
      </c>
      <c r="H130">
        <f t="shared" si="9"/>
        <v>4.2819225184731469E-3</v>
      </c>
      <c r="I130">
        <f t="shared" si="10"/>
        <v>5.6249327161159712E-3</v>
      </c>
      <c r="J130">
        <f t="shared" si="11"/>
        <v>-5.9899718077727226E-4</v>
      </c>
    </row>
    <row r="131" spans="1:10" x14ac:dyDescent="0.25">
      <c r="A131" s="4">
        <v>45896</v>
      </c>
      <c r="B131" s="5">
        <v>4057.0450000000001</v>
      </c>
      <c r="C131" s="5">
        <v>970.26</v>
      </c>
      <c r="D131" s="5">
        <v>5.4460499999999996</v>
      </c>
      <c r="E131" s="5">
        <v>18.764500000000002</v>
      </c>
      <c r="F131">
        <f t="shared" si="7"/>
        <v>2.3631988298893347E-3</v>
      </c>
      <c r="G131">
        <f t="shared" si="8"/>
        <v>6.0502371879618266E-3</v>
      </c>
      <c r="H131">
        <f t="shared" si="9"/>
        <v>3.0296891115366709E-3</v>
      </c>
      <c r="I131">
        <f t="shared" si="10"/>
        <v>4.3891342165127689E-3</v>
      </c>
      <c r="J131">
        <f t="shared" si="11"/>
        <v>1.1969654976205809E-3</v>
      </c>
    </row>
    <row r="132" spans="1:10" x14ac:dyDescent="0.25">
      <c r="A132" s="2">
        <v>45897</v>
      </c>
      <c r="B132" s="3">
        <v>4015.63</v>
      </c>
      <c r="C132" s="3">
        <v>966.91499999999996</v>
      </c>
      <c r="D132" s="3">
        <v>5.4076500000000003</v>
      </c>
      <c r="E132" s="3">
        <v>18.629000000000001</v>
      </c>
      <c r="F132">
        <f t="shared" ref="F132:F195" si="12">B132/B131-1</f>
        <v>-1.0208168753366054E-2</v>
      </c>
      <c r="G132">
        <f t="shared" ref="G132:G195" si="13">C132/C131-1</f>
        <v>-3.4475295281677365E-3</v>
      </c>
      <c r="H132">
        <f t="shared" ref="H132:H195" si="14">D132/D131-1</f>
        <v>-7.0509819043158561E-3</v>
      </c>
      <c r="I132">
        <f t="shared" ref="I132:I195" si="15">E132/E131-1</f>
        <v>-7.2210823629726972E-3</v>
      </c>
      <c r="J132">
        <f t="shared" ref="J132:J195" si="16">SUMPRODUCT(F132:I132,$O$3:$R$3)</f>
        <v>1.4551141448616144E-3</v>
      </c>
    </row>
    <row r="133" spans="1:10" x14ac:dyDescent="0.25">
      <c r="A133" s="4">
        <v>45898</v>
      </c>
      <c r="B133" s="5">
        <v>4019.0250000000001</v>
      </c>
      <c r="C133" s="5">
        <v>963.01</v>
      </c>
      <c r="D133" s="5">
        <v>5.4280999999999997</v>
      </c>
      <c r="E133" s="5">
        <v>18.644500000000001</v>
      </c>
      <c r="F133">
        <f t="shared" si="12"/>
        <v>8.4544641812112076E-4</v>
      </c>
      <c r="G133">
        <f t="shared" si="13"/>
        <v>-4.0386176654617634E-3</v>
      </c>
      <c r="H133">
        <f t="shared" si="14"/>
        <v>3.7816796575220746E-3</v>
      </c>
      <c r="I133">
        <f t="shared" si="15"/>
        <v>8.3203607278981018E-4</v>
      </c>
      <c r="J133">
        <f t="shared" si="16"/>
        <v>-1.9046930143329366E-3</v>
      </c>
    </row>
    <row r="134" spans="1:10" x14ac:dyDescent="0.25">
      <c r="A134" s="2">
        <v>45901</v>
      </c>
      <c r="B134" s="3">
        <v>4006.75</v>
      </c>
      <c r="C134" s="3">
        <v>968.43499999999995</v>
      </c>
      <c r="D134" s="3">
        <v>5.4408500000000002</v>
      </c>
      <c r="E134" s="3">
        <v>18.6145</v>
      </c>
      <c r="F134">
        <f t="shared" si="12"/>
        <v>-3.0542233501906768E-3</v>
      </c>
      <c r="G134">
        <f t="shared" si="13"/>
        <v>5.633378677272205E-3</v>
      </c>
      <c r="H134">
        <f t="shared" si="14"/>
        <v>2.3488881929221161E-3</v>
      </c>
      <c r="I134">
        <f t="shared" si="15"/>
        <v>-1.6090536083027684E-3</v>
      </c>
      <c r="J134">
        <f t="shared" si="16"/>
        <v>8.3114995020706114E-4</v>
      </c>
    </row>
    <row r="135" spans="1:10" x14ac:dyDescent="0.25">
      <c r="A135" s="4">
        <v>45902</v>
      </c>
      <c r="B135" s="5">
        <v>4020.1350000000002</v>
      </c>
      <c r="C135" s="5">
        <v>974.82500000000005</v>
      </c>
      <c r="D135" s="5">
        <v>5.4581499999999998</v>
      </c>
      <c r="E135" s="5">
        <v>18.737500000000001</v>
      </c>
      <c r="F135">
        <f t="shared" si="12"/>
        <v>3.340612716041802E-3</v>
      </c>
      <c r="G135">
        <f t="shared" si="13"/>
        <v>6.598274535720039E-3</v>
      </c>
      <c r="H135">
        <f t="shared" si="14"/>
        <v>3.1796502384737746E-3</v>
      </c>
      <c r="I135">
        <f t="shared" si="15"/>
        <v>6.6077520212737273E-3</v>
      </c>
      <c r="J135">
        <f t="shared" si="16"/>
        <v>1.6761753440395948E-3</v>
      </c>
    </row>
    <row r="136" spans="1:10" x14ac:dyDescent="0.25">
      <c r="A136" s="2">
        <v>45903</v>
      </c>
      <c r="B136" s="3">
        <v>4009.0050000000001</v>
      </c>
      <c r="C136" s="3">
        <v>970.22500000000002</v>
      </c>
      <c r="D136" s="3">
        <v>5.4420000000000002</v>
      </c>
      <c r="E136" s="3">
        <v>18.694500000000001</v>
      </c>
      <c r="F136">
        <f t="shared" si="12"/>
        <v>-2.7685637422624199E-3</v>
      </c>
      <c r="G136">
        <f t="shared" si="13"/>
        <v>-4.7187956812762E-3</v>
      </c>
      <c r="H136">
        <f t="shared" si="14"/>
        <v>-2.958878008116228E-3</v>
      </c>
      <c r="I136">
        <f t="shared" si="15"/>
        <v>-2.2948632421614379E-3</v>
      </c>
      <c r="J136">
        <f t="shared" si="16"/>
        <v>-2.4893632923784278E-4</v>
      </c>
    </row>
    <row r="137" spans="1:10" x14ac:dyDescent="0.25">
      <c r="A137" s="4">
        <v>45904</v>
      </c>
      <c r="B137" s="5">
        <v>3990.03</v>
      </c>
      <c r="C137" s="5">
        <v>970.78</v>
      </c>
      <c r="D137" s="5">
        <v>5.4610500000000002</v>
      </c>
      <c r="E137" s="5">
        <v>18.740500000000001</v>
      </c>
      <c r="F137">
        <f t="shared" si="12"/>
        <v>-4.7330946207350122E-3</v>
      </c>
      <c r="G137">
        <f t="shared" si="13"/>
        <v>5.720322605580197E-4</v>
      </c>
      <c r="H137">
        <f t="shared" si="14"/>
        <v>3.5005512679162631E-3</v>
      </c>
      <c r="I137">
        <f t="shared" si="15"/>
        <v>2.4606167589398265E-3</v>
      </c>
      <c r="J137">
        <f t="shared" si="16"/>
        <v>8.9004638779388568E-4</v>
      </c>
    </row>
    <row r="138" spans="1:10" x14ac:dyDescent="0.25">
      <c r="A138" s="2">
        <v>45905</v>
      </c>
      <c r="B138" s="3">
        <v>3964.32</v>
      </c>
      <c r="C138" s="3">
        <v>964.13</v>
      </c>
      <c r="D138" s="3">
        <v>5.4085999999999999</v>
      </c>
      <c r="E138" s="3">
        <v>18.68375</v>
      </c>
      <c r="F138">
        <f t="shared" si="12"/>
        <v>-6.4435605747324987E-3</v>
      </c>
      <c r="G138">
        <f t="shared" si="13"/>
        <v>-6.8501617256226943E-3</v>
      </c>
      <c r="H138">
        <f t="shared" si="14"/>
        <v>-9.6043801100521575E-3</v>
      </c>
      <c r="I138">
        <f t="shared" si="15"/>
        <v>-3.0282009551506617E-3</v>
      </c>
      <c r="J138">
        <f t="shared" si="16"/>
        <v>1.7363606206081497E-3</v>
      </c>
    </row>
    <row r="139" spans="1:10" x14ac:dyDescent="0.25">
      <c r="A139" s="4">
        <v>45908</v>
      </c>
      <c r="B139" s="5">
        <v>3951.59</v>
      </c>
      <c r="C139" s="5">
        <v>968.18</v>
      </c>
      <c r="D139" s="5">
        <v>5.4382000000000001</v>
      </c>
      <c r="E139" s="5">
        <v>18.659500000000001</v>
      </c>
      <c r="F139">
        <f t="shared" si="12"/>
        <v>-3.2111433991202087E-3</v>
      </c>
      <c r="G139">
        <f t="shared" si="13"/>
        <v>4.2006783317602991E-3</v>
      </c>
      <c r="H139">
        <f t="shared" si="14"/>
        <v>5.4727655955331134E-3</v>
      </c>
      <c r="I139">
        <f t="shared" si="15"/>
        <v>-1.2979193149126322E-3</v>
      </c>
      <c r="J139">
        <f t="shared" si="16"/>
        <v>-2.3367431270592784E-4</v>
      </c>
    </row>
    <row r="140" spans="1:10" x14ac:dyDescent="0.25">
      <c r="A140" s="2">
        <v>45909</v>
      </c>
      <c r="B140" s="3">
        <v>3909.85</v>
      </c>
      <c r="C140" s="3">
        <v>965.39</v>
      </c>
      <c r="D140" s="3">
        <v>5.42455</v>
      </c>
      <c r="E140" s="3">
        <v>18.617999999999999</v>
      </c>
      <c r="F140">
        <f t="shared" si="12"/>
        <v>-1.0562836731543568E-2</v>
      </c>
      <c r="G140">
        <f t="shared" si="13"/>
        <v>-2.8816955524798571E-3</v>
      </c>
      <c r="H140">
        <f t="shared" si="14"/>
        <v>-2.5100216983561241E-3</v>
      </c>
      <c r="I140">
        <f t="shared" si="15"/>
        <v>-2.224068169029314E-3</v>
      </c>
      <c r="J140">
        <f t="shared" si="16"/>
        <v>1.7863517979382721E-3</v>
      </c>
    </row>
    <row r="141" spans="1:10" x14ac:dyDescent="0.25">
      <c r="A141" s="4">
        <v>45910</v>
      </c>
      <c r="B141" s="5">
        <v>3924.29</v>
      </c>
      <c r="C141" s="5">
        <v>960.995</v>
      </c>
      <c r="D141" s="5">
        <v>5.4057000000000004</v>
      </c>
      <c r="E141" s="5">
        <v>18.576000000000001</v>
      </c>
      <c r="F141">
        <f t="shared" si="12"/>
        <v>3.6932363134136725E-3</v>
      </c>
      <c r="G141">
        <f t="shared" si="13"/>
        <v>-4.5525642486455853E-3</v>
      </c>
      <c r="H141">
        <f t="shared" si="14"/>
        <v>-3.4749426219685686E-3</v>
      </c>
      <c r="I141">
        <f t="shared" si="15"/>
        <v>-2.2558814050916975E-3</v>
      </c>
      <c r="J141">
        <f t="shared" si="16"/>
        <v>-1.4937720091029263E-3</v>
      </c>
    </row>
    <row r="142" spans="1:10" x14ac:dyDescent="0.25">
      <c r="A142" s="2">
        <v>45911</v>
      </c>
      <c r="B142" s="3">
        <v>3903.25</v>
      </c>
      <c r="C142" s="3">
        <v>953.78499999999997</v>
      </c>
      <c r="D142" s="3">
        <v>5.3815499999999998</v>
      </c>
      <c r="E142" s="3">
        <v>18.532499999999999</v>
      </c>
      <c r="F142">
        <f t="shared" si="12"/>
        <v>-5.36147940136944E-3</v>
      </c>
      <c r="G142">
        <f t="shared" si="13"/>
        <v>-7.5026404924063428E-3</v>
      </c>
      <c r="H142">
        <f t="shared" si="14"/>
        <v>-4.4675065208946707E-3</v>
      </c>
      <c r="I142">
        <f t="shared" si="15"/>
        <v>-2.3417312661500045E-3</v>
      </c>
      <c r="J142">
        <f t="shared" si="16"/>
        <v>1.1467955053198438E-4</v>
      </c>
    </row>
    <row r="143" spans="1:10" x14ac:dyDescent="0.25">
      <c r="A143" s="4">
        <v>45912</v>
      </c>
      <c r="B143" s="5">
        <v>3914.34</v>
      </c>
      <c r="C143" s="5">
        <v>955.56500000000005</v>
      </c>
      <c r="D143" s="5">
        <v>5.3632999999999997</v>
      </c>
      <c r="E143" s="5">
        <v>18.503</v>
      </c>
      <c r="F143">
        <f t="shared" si="12"/>
        <v>2.841222058540982E-3</v>
      </c>
      <c r="G143">
        <f t="shared" si="13"/>
        <v>1.8662486828793234E-3</v>
      </c>
      <c r="H143">
        <f t="shared" si="14"/>
        <v>-3.3912162852709482E-3</v>
      </c>
      <c r="I143">
        <f t="shared" si="15"/>
        <v>-1.5917981923646574E-3</v>
      </c>
      <c r="J143">
        <f t="shared" si="16"/>
        <v>2.8317760899360112E-4</v>
      </c>
    </row>
    <row r="144" spans="1:10" x14ac:dyDescent="0.25">
      <c r="A144" s="2">
        <v>45915</v>
      </c>
      <c r="B144" s="3">
        <v>3896.3649999999998</v>
      </c>
      <c r="C144" s="3">
        <v>951.14</v>
      </c>
      <c r="D144" s="3">
        <v>5.3168499999999996</v>
      </c>
      <c r="E144" s="3">
        <v>18.3705</v>
      </c>
      <c r="F144">
        <f t="shared" si="12"/>
        <v>-4.5920895987574539E-3</v>
      </c>
      <c r="G144">
        <f t="shared" si="13"/>
        <v>-4.6307681842679971E-3</v>
      </c>
      <c r="H144">
        <f t="shared" si="14"/>
        <v>-8.6607126209610197E-3</v>
      </c>
      <c r="I144">
        <f t="shared" si="15"/>
        <v>-7.161000918769922E-3</v>
      </c>
      <c r="J144">
        <f t="shared" si="16"/>
        <v>4.0799134271740645E-4</v>
      </c>
    </row>
    <row r="145" spans="1:10" x14ac:dyDescent="0.25">
      <c r="A145" s="4">
        <v>45916</v>
      </c>
      <c r="B145" s="5">
        <v>3877.79</v>
      </c>
      <c r="C145" s="5">
        <v>947.23</v>
      </c>
      <c r="D145" s="5">
        <v>5.3119500000000004</v>
      </c>
      <c r="E145" s="5">
        <v>18.325500000000002</v>
      </c>
      <c r="F145">
        <f t="shared" si="12"/>
        <v>-4.7672638472011641E-3</v>
      </c>
      <c r="G145">
        <f t="shared" si="13"/>
        <v>-4.110856445948996E-3</v>
      </c>
      <c r="H145">
        <f t="shared" si="14"/>
        <v>-9.2159831479154963E-4</v>
      </c>
      <c r="I145">
        <f t="shared" si="15"/>
        <v>-2.4495794888542699E-3</v>
      </c>
      <c r="J145">
        <f t="shared" si="16"/>
        <v>-2.7857090362805174E-4</v>
      </c>
    </row>
    <row r="146" spans="1:10" x14ac:dyDescent="0.25">
      <c r="A146" s="2">
        <v>45917</v>
      </c>
      <c r="B146" s="3">
        <v>3883.4050000000002</v>
      </c>
      <c r="C146" s="3">
        <v>951.57500000000005</v>
      </c>
      <c r="D146" s="3">
        <v>5.3022999999999998</v>
      </c>
      <c r="E146" s="3">
        <v>18.348749999999999</v>
      </c>
      <c r="F146">
        <f t="shared" si="12"/>
        <v>1.4479897054766599E-3</v>
      </c>
      <c r="G146">
        <f t="shared" si="13"/>
        <v>4.5870591091921042E-3</v>
      </c>
      <c r="H146">
        <f t="shared" si="14"/>
        <v>-1.8166586658384665E-3</v>
      </c>
      <c r="I146">
        <f t="shared" si="15"/>
        <v>1.2687239093065461E-3</v>
      </c>
      <c r="J146">
        <f t="shared" si="16"/>
        <v>1.5546216939214912E-3</v>
      </c>
    </row>
    <row r="147" spans="1:10" x14ac:dyDescent="0.25">
      <c r="A147" s="4">
        <v>45918</v>
      </c>
      <c r="B147" s="5">
        <v>3891.7750000000001</v>
      </c>
      <c r="C147" s="5">
        <v>955.35500000000002</v>
      </c>
      <c r="D147" s="5">
        <v>5.3019499999999997</v>
      </c>
      <c r="E147" s="5">
        <v>18.357500000000002</v>
      </c>
      <c r="F147">
        <f t="shared" si="12"/>
        <v>2.1553250304822136E-3</v>
      </c>
      <c r="G147">
        <f t="shared" si="13"/>
        <v>3.9723616110132198E-3</v>
      </c>
      <c r="H147">
        <f t="shared" si="14"/>
        <v>-6.6009090394780756E-5</v>
      </c>
      <c r="I147">
        <f t="shared" si="15"/>
        <v>4.7687172150712165E-4</v>
      </c>
      <c r="J147">
        <f t="shared" si="16"/>
        <v>5.545861323129743E-4</v>
      </c>
    </row>
    <row r="148" spans="1:10" x14ac:dyDescent="0.25">
      <c r="A148" s="2">
        <v>45919</v>
      </c>
      <c r="B148" s="3">
        <v>3891.7750000000001</v>
      </c>
      <c r="C148" s="3">
        <v>955.07</v>
      </c>
      <c r="D148" s="3">
        <v>5.3188500000000003</v>
      </c>
      <c r="E148" s="3">
        <v>18.358499999999999</v>
      </c>
      <c r="F148">
        <f t="shared" si="12"/>
        <v>0</v>
      </c>
      <c r="G148">
        <f t="shared" si="13"/>
        <v>-2.9831842613470272E-4</v>
      </c>
      <c r="H148">
        <f t="shared" si="14"/>
        <v>3.1875064834636646E-3</v>
      </c>
      <c r="I148">
        <f t="shared" si="15"/>
        <v>5.4473648372521666E-5</v>
      </c>
      <c r="J148">
        <f t="shared" si="16"/>
        <v>-9.3657988222191802E-4</v>
      </c>
    </row>
    <row r="149" spans="1:10" x14ac:dyDescent="0.25">
      <c r="A149" s="4">
        <v>45922</v>
      </c>
      <c r="B149" s="5">
        <v>3854.27</v>
      </c>
      <c r="C149" s="5">
        <v>956.25</v>
      </c>
      <c r="D149" s="5">
        <v>5.3544</v>
      </c>
      <c r="E149" s="5">
        <v>18.396999999999998</v>
      </c>
      <c r="F149">
        <f t="shared" si="12"/>
        <v>-9.6369908332316623E-3</v>
      </c>
      <c r="G149">
        <f t="shared" si="13"/>
        <v>1.2355115331859068E-3</v>
      </c>
      <c r="H149">
        <f t="shared" si="14"/>
        <v>6.683775628190336E-3</v>
      </c>
      <c r="I149">
        <f t="shared" si="15"/>
        <v>2.0971212245008974E-3</v>
      </c>
      <c r="J149">
        <f t="shared" si="16"/>
        <v>1.1420409692901715E-3</v>
      </c>
    </row>
    <row r="150" spans="1:10" x14ac:dyDescent="0.25">
      <c r="A150" s="2">
        <v>45923</v>
      </c>
      <c r="B150" s="3">
        <v>3835.91</v>
      </c>
      <c r="C150" s="3">
        <v>950.89</v>
      </c>
      <c r="D150" s="3">
        <v>5.2958999999999996</v>
      </c>
      <c r="E150" s="3">
        <v>18.318000000000001</v>
      </c>
      <c r="F150">
        <f t="shared" si="12"/>
        <v>-4.7635479610925735E-3</v>
      </c>
      <c r="G150">
        <f t="shared" si="13"/>
        <v>-5.6052287581699334E-3</v>
      </c>
      <c r="H150">
        <f t="shared" si="14"/>
        <v>-1.092559390407899E-2</v>
      </c>
      <c r="I150">
        <f t="shared" si="15"/>
        <v>-4.2941783986517601E-3</v>
      </c>
      <c r="J150">
        <f t="shared" si="16"/>
        <v>1.6550196854903728E-3</v>
      </c>
    </row>
    <row r="151" spans="1:10" x14ac:dyDescent="0.25">
      <c r="A151" s="4">
        <v>45924</v>
      </c>
      <c r="B151" s="5">
        <v>3873.8</v>
      </c>
      <c r="C151" s="5">
        <v>953.505</v>
      </c>
      <c r="D151" s="5">
        <v>5.3084499999999997</v>
      </c>
      <c r="E151" s="5">
        <v>18.407</v>
      </c>
      <c r="F151">
        <f t="shared" si="12"/>
        <v>9.8777082882550715E-3</v>
      </c>
      <c r="G151">
        <f t="shared" si="13"/>
        <v>2.7500552114334553E-3</v>
      </c>
      <c r="H151">
        <f t="shared" si="14"/>
        <v>2.3697577371173395E-3</v>
      </c>
      <c r="I151">
        <f t="shared" si="15"/>
        <v>4.8586090184516983E-3</v>
      </c>
      <c r="J151">
        <f t="shared" si="16"/>
        <v>-8.9257532781192566E-4</v>
      </c>
    </row>
    <row r="152" spans="1:10" x14ac:dyDescent="0.25">
      <c r="A152" s="2">
        <v>45925</v>
      </c>
      <c r="B152" s="3">
        <v>3903.82</v>
      </c>
      <c r="C152" s="3">
        <v>957.99</v>
      </c>
      <c r="D152" s="3">
        <v>5.3520000000000003</v>
      </c>
      <c r="E152" s="3">
        <v>18.429749999999999</v>
      </c>
      <c r="F152">
        <f t="shared" si="12"/>
        <v>7.7494966183075942E-3</v>
      </c>
      <c r="G152">
        <f t="shared" si="13"/>
        <v>4.7036984598927134E-3</v>
      </c>
      <c r="H152">
        <f t="shared" si="14"/>
        <v>8.2039013271295591E-3</v>
      </c>
      <c r="I152">
        <f t="shared" si="15"/>
        <v>1.2359428478294632E-3</v>
      </c>
      <c r="J152">
        <f t="shared" si="16"/>
        <v>-2.6123880572311111E-3</v>
      </c>
    </row>
    <row r="153" spans="1:10" x14ac:dyDescent="0.25">
      <c r="A153" s="4">
        <v>45926</v>
      </c>
      <c r="B153" s="5">
        <v>3914.2150000000001</v>
      </c>
      <c r="C153" s="5">
        <v>959.72</v>
      </c>
      <c r="D153" s="5">
        <v>5.3471500000000001</v>
      </c>
      <c r="E153" s="5">
        <v>18.37</v>
      </c>
      <c r="F153">
        <f t="shared" si="12"/>
        <v>2.6627764599802539E-3</v>
      </c>
      <c r="G153">
        <f t="shared" si="13"/>
        <v>1.8058643618410475E-3</v>
      </c>
      <c r="H153">
        <f t="shared" si="14"/>
        <v>-9.0620328849033704E-4</v>
      </c>
      <c r="I153">
        <f t="shared" si="15"/>
        <v>-3.2420407222016889E-3</v>
      </c>
      <c r="J153">
        <f t="shared" si="16"/>
        <v>-8.39268642284088E-4</v>
      </c>
    </row>
    <row r="154" spans="1:10" x14ac:dyDescent="0.25">
      <c r="A154" s="2">
        <v>45929</v>
      </c>
      <c r="B154" s="3">
        <v>3899</v>
      </c>
      <c r="C154" s="3">
        <v>961.20500000000004</v>
      </c>
      <c r="D154" s="3">
        <v>5.3243999999999998</v>
      </c>
      <c r="E154" s="3">
        <v>18.332999999999998</v>
      </c>
      <c r="F154">
        <f t="shared" si="12"/>
        <v>-3.8871140190306352E-3</v>
      </c>
      <c r="G154">
        <f t="shared" si="13"/>
        <v>1.547326303505292E-3</v>
      </c>
      <c r="H154">
        <f t="shared" si="14"/>
        <v>-4.2546029193122337E-3</v>
      </c>
      <c r="I154">
        <f t="shared" si="15"/>
        <v>-2.0141535111596331E-3</v>
      </c>
      <c r="J154">
        <f t="shared" si="16"/>
        <v>1.8300004628281506E-3</v>
      </c>
    </row>
    <row r="155" spans="1:10" x14ac:dyDescent="0.25">
      <c r="A155" s="4">
        <v>45930</v>
      </c>
      <c r="B155" s="5">
        <v>3916.02</v>
      </c>
      <c r="C155" s="5">
        <v>961.54499999999996</v>
      </c>
      <c r="D155" s="5">
        <v>5.3255499999999998</v>
      </c>
      <c r="E155" s="5">
        <v>18.3325</v>
      </c>
      <c r="F155">
        <f t="shared" si="12"/>
        <v>4.3652218517569175E-3</v>
      </c>
      <c r="G155">
        <f t="shared" si="13"/>
        <v>3.5372267102218302E-4</v>
      </c>
      <c r="H155">
        <f t="shared" si="14"/>
        <v>2.1598677785283904E-4</v>
      </c>
      <c r="I155">
        <f t="shared" si="15"/>
        <v>-2.7273223149437698E-5</v>
      </c>
      <c r="J155">
        <f t="shared" si="16"/>
        <v>-9.590164848861289E-4</v>
      </c>
    </row>
    <row r="156" spans="1:10" x14ac:dyDescent="0.25">
      <c r="A156" s="2">
        <v>45931</v>
      </c>
      <c r="B156" s="3">
        <v>3887.57</v>
      </c>
      <c r="C156" s="3">
        <v>958.68499999999995</v>
      </c>
      <c r="D156" s="3">
        <v>5.3205499999999999</v>
      </c>
      <c r="E156" s="3">
        <v>18.326000000000001</v>
      </c>
      <c r="F156">
        <f t="shared" si="12"/>
        <v>-7.2650292899423263E-3</v>
      </c>
      <c r="G156">
        <f t="shared" si="13"/>
        <v>-2.9743797742175504E-3</v>
      </c>
      <c r="H156">
        <f t="shared" si="14"/>
        <v>-9.3887016364502252E-4</v>
      </c>
      <c r="I156">
        <f t="shared" si="15"/>
        <v>-3.5456157098046059E-4</v>
      </c>
      <c r="J156">
        <f t="shared" si="16"/>
        <v>1.115785612567884E-3</v>
      </c>
    </row>
    <row r="157" spans="1:10" x14ac:dyDescent="0.25">
      <c r="A157" s="4">
        <v>45932</v>
      </c>
      <c r="B157" s="5">
        <v>3898.35</v>
      </c>
      <c r="C157" s="5">
        <v>964.19</v>
      </c>
      <c r="D157" s="5">
        <v>5.3477499999999996</v>
      </c>
      <c r="E157" s="5">
        <v>18.495000000000001</v>
      </c>
      <c r="F157">
        <f t="shared" si="12"/>
        <v>2.7729404229377419E-3</v>
      </c>
      <c r="G157">
        <f t="shared" si="13"/>
        <v>5.7422406734226605E-3</v>
      </c>
      <c r="H157">
        <f t="shared" si="14"/>
        <v>5.1122534324459235E-3</v>
      </c>
      <c r="I157">
        <f t="shared" si="15"/>
        <v>9.2218705664084411E-3</v>
      </c>
      <c r="J157">
        <f t="shared" si="16"/>
        <v>1.8014048150973476E-3</v>
      </c>
    </row>
    <row r="158" spans="1:10" x14ac:dyDescent="0.25">
      <c r="A158" s="2">
        <v>45933</v>
      </c>
      <c r="B158" s="3">
        <v>3880.11</v>
      </c>
      <c r="C158" s="3">
        <v>964.78</v>
      </c>
      <c r="D158" s="3">
        <v>5.3557499999999996</v>
      </c>
      <c r="E158" s="3">
        <v>18.41</v>
      </c>
      <c r="F158">
        <f t="shared" si="12"/>
        <v>-4.6789026126438094E-3</v>
      </c>
      <c r="G158">
        <f t="shared" si="13"/>
        <v>6.1191258984205632E-4</v>
      </c>
      <c r="H158">
        <f t="shared" si="14"/>
        <v>1.4959562432799167E-3</v>
      </c>
      <c r="I158">
        <f t="shared" si="15"/>
        <v>-4.5958367126250899E-3</v>
      </c>
      <c r="J158">
        <f t="shared" si="16"/>
        <v>-5.1642799831008723E-4</v>
      </c>
    </row>
    <row r="159" spans="1:10" x14ac:dyDescent="0.25">
      <c r="A159" s="4">
        <v>45936</v>
      </c>
      <c r="B159" s="5">
        <v>3853.43</v>
      </c>
      <c r="C159" s="5">
        <v>962.33</v>
      </c>
      <c r="D159" s="5">
        <v>5.3225499999999997</v>
      </c>
      <c r="E159" s="5">
        <v>18.379000000000001</v>
      </c>
      <c r="F159">
        <f t="shared" si="12"/>
        <v>-6.8760937189925597E-3</v>
      </c>
      <c r="G159">
        <f t="shared" si="13"/>
        <v>-2.5394390430978353E-3</v>
      </c>
      <c r="H159">
        <f t="shared" si="14"/>
        <v>-6.1989450590487216E-3</v>
      </c>
      <c r="I159">
        <f t="shared" si="15"/>
        <v>-1.6838674633350426E-3</v>
      </c>
      <c r="J159">
        <f t="shared" si="16"/>
        <v>2.217889260119294E-3</v>
      </c>
    </row>
    <row r="160" spans="1:10" x14ac:dyDescent="0.25">
      <c r="A160" s="2">
        <v>45937</v>
      </c>
      <c r="B160" s="3">
        <v>3871</v>
      </c>
      <c r="C160" s="3">
        <v>960.88</v>
      </c>
      <c r="D160" s="3">
        <v>5.3371500000000003</v>
      </c>
      <c r="E160" s="3">
        <v>18.3765</v>
      </c>
      <c r="F160">
        <f t="shared" si="12"/>
        <v>4.5595741975330562E-3</v>
      </c>
      <c r="G160">
        <f t="shared" si="13"/>
        <v>-1.5067596354680912E-3</v>
      </c>
      <c r="H160">
        <f t="shared" si="14"/>
        <v>2.7430460963260295E-3</v>
      </c>
      <c r="I160">
        <f t="shared" si="15"/>
        <v>-1.3602481092556129E-4</v>
      </c>
      <c r="J160">
        <f t="shared" si="16"/>
        <v>-2.1478161037923639E-3</v>
      </c>
    </row>
    <row r="161" spans="1:10" x14ac:dyDescent="0.25">
      <c r="A161" s="4">
        <v>45938</v>
      </c>
      <c r="B161" s="5">
        <v>3882.21</v>
      </c>
      <c r="C161" s="5">
        <v>949.78</v>
      </c>
      <c r="D161" s="5">
        <v>5.3473499999999996</v>
      </c>
      <c r="E161" s="5">
        <v>18.361000000000001</v>
      </c>
      <c r="F161">
        <f t="shared" si="12"/>
        <v>2.8958925342288389E-3</v>
      </c>
      <c r="G161">
        <f t="shared" si="13"/>
        <v>-1.1551910748480609E-2</v>
      </c>
      <c r="H161">
        <f t="shared" si="14"/>
        <v>1.9111323459148899E-3</v>
      </c>
      <c r="I161">
        <f t="shared" si="15"/>
        <v>-8.4346856038963747E-4</v>
      </c>
      <c r="J161">
        <f t="shared" si="16"/>
        <v>-3.9757898701311351E-3</v>
      </c>
    </row>
    <row r="162" spans="1:10" x14ac:dyDescent="0.25">
      <c r="A162" s="2">
        <v>45939</v>
      </c>
      <c r="B162" s="3">
        <v>3884.59</v>
      </c>
      <c r="C162" s="3">
        <v>949.17499999999995</v>
      </c>
      <c r="D162" s="3">
        <v>5.3635999999999999</v>
      </c>
      <c r="E162" s="3">
        <v>18.3645</v>
      </c>
      <c r="F162">
        <f t="shared" si="12"/>
        <v>6.1305287452251278E-4</v>
      </c>
      <c r="G162">
        <f t="shared" si="13"/>
        <v>-6.3698961864855352E-4</v>
      </c>
      <c r="H162">
        <f t="shared" si="14"/>
        <v>3.0388884213676803E-3</v>
      </c>
      <c r="I162">
        <f t="shared" si="15"/>
        <v>1.9062142584824748E-4</v>
      </c>
      <c r="J162">
        <f t="shared" si="16"/>
        <v>-1.0689724972378573E-3</v>
      </c>
    </row>
    <row r="163" spans="1:10" x14ac:dyDescent="0.25">
      <c r="A163" s="4">
        <v>45940</v>
      </c>
      <c r="B163" s="5">
        <v>3912.13</v>
      </c>
      <c r="C163" s="5">
        <v>954.97500000000002</v>
      </c>
      <c r="D163" s="5">
        <v>5.4541500000000003</v>
      </c>
      <c r="E163" s="5">
        <v>18.486000000000001</v>
      </c>
      <c r="F163">
        <f t="shared" si="12"/>
        <v>7.0895512782558345E-3</v>
      </c>
      <c r="G163">
        <f t="shared" si="13"/>
        <v>6.1105697052703523E-3</v>
      </c>
      <c r="H163">
        <f t="shared" si="14"/>
        <v>1.6882317846222739E-2</v>
      </c>
      <c r="I163">
        <f t="shared" si="15"/>
        <v>6.6160254839500166E-3</v>
      </c>
      <c r="J163">
        <f t="shared" si="16"/>
        <v>-3.0692993390725302E-3</v>
      </c>
    </row>
    <row r="164" spans="1:10" x14ac:dyDescent="0.25">
      <c r="A164" s="2">
        <v>45943</v>
      </c>
      <c r="B164" s="3">
        <v>3923.53</v>
      </c>
      <c r="C164" s="3">
        <v>958.55</v>
      </c>
      <c r="D164" s="3">
        <v>5.4526500000000002</v>
      </c>
      <c r="E164" s="3">
        <v>18.437999999999999</v>
      </c>
      <c r="F164">
        <f t="shared" si="12"/>
        <v>2.9140135936178702E-3</v>
      </c>
      <c r="G164">
        <f t="shared" si="13"/>
        <v>3.743553496164731E-3</v>
      </c>
      <c r="H164">
        <f t="shared" si="14"/>
        <v>-2.7501993894563093E-4</v>
      </c>
      <c r="I164">
        <f t="shared" si="15"/>
        <v>-2.5965595585849544E-3</v>
      </c>
      <c r="J164">
        <f t="shared" si="16"/>
        <v>-4.6052991600050965E-4</v>
      </c>
    </row>
    <row r="165" spans="1:10" x14ac:dyDescent="0.25">
      <c r="A165" s="4">
        <v>45944</v>
      </c>
      <c r="B165" s="5">
        <v>3933.87</v>
      </c>
      <c r="C165" s="5">
        <v>964.16499999999996</v>
      </c>
      <c r="D165" s="5">
        <v>5.5006000000000004</v>
      </c>
      <c r="E165" s="5">
        <v>18.5215</v>
      </c>
      <c r="F165">
        <f t="shared" si="12"/>
        <v>2.6353819137356904E-3</v>
      </c>
      <c r="G165">
        <f t="shared" si="13"/>
        <v>5.8578060612384242E-3</v>
      </c>
      <c r="H165">
        <f t="shared" si="14"/>
        <v>8.7938892098338162E-3</v>
      </c>
      <c r="I165">
        <f t="shared" si="15"/>
        <v>4.5286907473696125E-3</v>
      </c>
      <c r="J165">
        <f t="shared" si="16"/>
        <v>-4.6868309568389344E-4</v>
      </c>
    </row>
    <row r="166" spans="1:10" x14ac:dyDescent="0.25">
      <c r="A166" s="2">
        <v>45945</v>
      </c>
      <c r="B166" s="3">
        <v>3901.19</v>
      </c>
      <c r="C166" s="3">
        <v>958.61</v>
      </c>
      <c r="D166" s="3">
        <v>5.4363000000000001</v>
      </c>
      <c r="E166" s="3">
        <v>18.45675</v>
      </c>
      <c r="F166">
        <f t="shared" si="12"/>
        <v>-8.3073411170170308E-3</v>
      </c>
      <c r="G166">
        <f t="shared" si="13"/>
        <v>-5.7614619904269304E-3</v>
      </c>
      <c r="H166">
        <f t="shared" si="14"/>
        <v>-1.1689633858124604E-2</v>
      </c>
      <c r="I166">
        <f t="shared" si="15"/>
        <v>-3.4959371541182227E-3</v>
      </c>
      <c r="J166">
        <f t="shared" si="16"/>
        <v>2.8417777792440172E-3</v>
      </c>
    </row>
    <row r="167" spans="1:10" x14ac:dyDescent="0.25">
      <c r="A167" s="4">
        <v>45946</v>
      </c>
      <c r="B167" s="5">
        <v>3874.57</v>
      </c>
      <c r="C167" s="5">
        <v>954.42499999999995</v>
      </c>
      <c r="D167" s="5">
        <v>5.4253999999999998</v>
      </c>
      <c r="E167" s="5">
        <v>18.369</v>
      </c>
      <c r="F167">
        <f t="shared" si="12"/>
        <v>-6.8235589653413697E-3</v>
      </c>
      <c r="G167">
        <f t="shared" si="13"/>
        <v>-4.3656961642378755E-3</v>
      </c>
      <c r="H167">
        <f t="shared" si="14"/>
        <v>-2.0050401927782513E-3</v>
      </c>
      <c r="I167">
        <f t="shared" si="15"/>
        <v>-4.7543581616481534E-3</v>
      </c>
      <c r="J167">
        <f t="shared" si="16"/>
        <v>-2.175077022186409E-4</v>
      </c>
    </row>
    <row r="168" spans="1:10" x14ac:dyDescent="0.25">
      <c r="A168" s="2">
        <v>45947</v>
      </c>
      <c r="B168" s="3">
        <v>3803.07</v>
      </c>
      <c r="C168" s="3">
        <v>961.82</v>
      </c>
      <c r="D168" s="3">
        <v>5.43</v>
      </c>
      <c r="E168" s="3">
        <v>18.438500000000001</v>
      </c>
      <c r="F168">
        <f t="shared" si="12"/>
        <v>-1.8453660664280114E-2</v>
      </c>
      <c r="G168">
        <f t="shared" si="13"/>
        <v>7.7481205961704713E-3</v>
      </c>
      <c r="H168">
        <f t="shared" si="14"/>
        <v>8.4786375198131481E-4</v>
      </c>
      <c r="I168">
        <f t="shared" si="15"/>
        <v>3.7835483695356498E-3</v>
      </c>
      <c r="J168">
        <f t="shared" si="16"/>
        <v>6.6380860071985574E-3</v>
      </c>
    </row>
    <row r="169" spans="1:10" x14ac:dyDescent="0.25">
      <c r="A169" s="4">
        <v>45950</v>
      </c>
      <c r="B169" s="5">
        <v>3882.61</v>
      </c>
      <c r="C169" s="5">
        <v>952.22</v>
      </c>
      <c r="D169" s="5">
        <v>5.37845</v>
      </c>
      <c r="E169" s="5">
        <v>18.391999999999999</v>
      </c>
      <c r="F169">
        <f t="shared" si="12"/>
        <v>2.0914682085788616E-2</v>
      </c>
      <c r="G169">
        <f t="shared" si="13"/>
        <v>-9.9810775404961527E-3</v>
      </c>
      <c r="H169">
        <f t="shared" si="14"/>
        <v>-9.4935543278084067E-3</v>
      </c>
      <c r="I169">
        <f t="shared" si="15"/>
        <v>-2.5218971174445493E-3</v>
      </c>
      <c r="J169">
        <f t="shared" si="16"/>
        <v>-4.9291529140733197E-3</v>
      </c>
    </row>
    <row r="170" spans="1:10" x14ac:dyDescent="0.25">
      <c r="A170" s="2">
        <v>45951</v>
      </c>
      <c r="B170" s="3">
        <v>3864.2</v>
      </c>
      <c r="C170" s="3">
        <v>949.13</v>
      </c>
      <c r="D170" s="3">
        <v>5.3857499999999998</v>
      </c>
      <c r="E170" s="3">
        <v>18.430499999999999</v>
      </c>
      <c r="F170">
        <f t="shared" si="12"/>
        <v>-4.7416557418850092E-3</v>
      </c>
      <c r="G170">
        <f t="shared" si="13"/>
        <v>-3.2450484131818502E-3</v>
      </c>
      <c r="H170">
        <f t="shared" si="14"/>
        <v>1.3572683579841094E-3</v>
      </c>
      <c r="I170">
        <f t="shared" si="15"/>
        <v>2.0933014354067581E-3</v>
      </c>
      <c r="J170">
        <f t="shared" si="16"/>
        <v>5.3703303899588217E-4</v>
      </c>
    </row>
    <row r="171" spans="1:10" x14ac:dyDescent="0.25">
      <c r="A171" s="4">
        <v>45952</v>
      </c>
      <c r="B171" s="5">
        <v>3897.95</v>
      </c>
      <c r="C171" s="5">
        <v>952.05</v>
      </c>
      <c r="D171" s="5">
        <v>5.3938499999999996</v>
      </c>
      <c r="E171" s="5">
        <v>18.422000000000001</v>
      </c>
      <c r="F171">
        <f t="shared" si="12"/>
        <v>8.7340199782619532E-3</v>
      </c>
      <c r="G171">
        <f t="shared" si="13"/>
        <v>3.0765016383424992E-3</v>
      </c>
      <c r="H171">
        <f t="shared" si="14"/>
        <v>1.5039688065727752E-3</v>
      </c>
      <c r="I171">
        <f t="shared" si="15"/>
        <v>-4.6119204579353479E-4</v>
      </c>
      <c r="J171">
        <f t="shared" si="16"/>
        <v>-1.8031043123060758E-3</v>
      </c>
    </row>
    <row r="172" spans="1:10" x14ac:dyDescent="0.25">
      <c r="A172" s="2">
        <v>45953</v>
      </c>
      <c r="B172" s="3">
        <v>3901.04</v>
      </c>
      <c r="C172" s="3">
        <v>943.31</v>
      </c>
      <c r="D172" s="3">
        <v>5.3830499999999999</v>
      </c>
      <c r="E172" s="3">
        <v>18.409500000000001</v>
      </c>
      <c r="F172">
        <f t="shared" si="12"/>
        <v>7.9272438076438689E-4</v>
      </c>
      <c r="G172">
        <f t="shared" si="13"/>
        <v>-9.180190116065301E-3</v>
      </c>
      <c r="H172">
        <f t="shared" si="14"/>
        <v>-2.0022803748713791E-3</v>
      </c>
      <c r="I172">
        <f t="shared" si="15"/>
        <v>-6.785365324069037E-4</v>
      </c>
      <c r="J172">
        <f t="shared" si="16"/>
        <v>-1.8484965986109098E-3</v>
      </c>
    </row>
    <row r="173" spans="1:10" x14ac:dyDescent="0.25">
      <c r="A173" s="4">
        <v>45954</v>
      </c>
      <c r="B173" s="5">
        <v>3856.8</v>
      </c>
      <c r="C173" s="5">
        <v>944.64</v>
      </c>
      <c r="D173" s="5">
        <v>5.3871000000000002</v>
      </c>
      <c r="E173" s="5">
        <v>18.389500000000002</v>
      </c>
      <c r="F173">
        <f t="shared" si="12"/>
        <v>-1.1340565592764973E-2</v>
      </c>
      <c r="G173">
        <f t="shared" si="13"/>
        <v>1.4099288674984667E-3</v>
      </c>
      <c r="H173">
        <f t="shared" si="14"/>
        <v>7.5236157940206105E-4</v>
      </c>
      <c r="I173">
        <f t="shared" si="15"/>
        <v>-1.0863956109616879E-3</v>
      </c>
      <c r="J173">
        <f t="shared" si="16"/>
        <v>2.322677327179723E-3</v>
      </c>
    </row>
    <row r="174" spans="1:10" x14ac:dyDescent="0.25">
      <c r="A174" s="2">
        <v>45957</v>
      </c>
      <c r="B174" s="3">
        <v>3847.24</v>
      </c>
      <c r="C174" s="3">
        <v>939.94500000000005</v>
      </c>
      <c r="D174" s="3">
        <v>5.37805</v>
      </c>
      <c r="E174" s="3">
        <v>18.394500000000001</v>
      </c>
      <c r="F174">
        <f t="shared" si="12"/>
        <v>-2.4787388508609176E-3</v>
      </c>
      <c r="G174">
        <f t="shared" si="13"/>
        <v>-4.9701473577234978E-3</v>
      </c>
      <c r="H174">
        <f t="shared" si="14"/>
        <v>-1.6799391138089259E-3</v>
      </c>
      <c r="I174">
        <f t="shared" si="15"/>
        <v>2.7189428750107325E-4</v>
      </c>
      <c r="J174">
        <f t="shared" si="16"/>
        <v>-1.1470390050017997E-5</v>
      </c>
    </row>
    <row r="175" spans="1:10" x14ac:dyDescent="0.25">
      <c r="A175" s="4">
        <v>45958</v>
      </c>
      <c r="B175" s="5">
        <v>3881.89</v>
      </c>
      <c r="C175" s="5">
        <v>943.11</v>
      </c>
      <c r="D175" s="5">
        <v>5.3614499999999996</v>
      </c>
      <c r="E175" s="5">
        <v>18.413499999999999</v>
      </c>
      <c r="F175">
        <f t="shared" si="12"/>
        <v>9.0064565766627691E-3</v>
      </c>
      <c r="G175">
        <f t="shared" si="13"/>
        <v>3.3672182946873352E-3</v>
      </c>
      <c r="H175">
        <f t="shared" si="14"/>
        <v>-3.0866206152788678E-3</v>
      </c>
      <c r="I175">
        <f t="shared" si="15"/>
        <v>1.0329174481502612E-3</v>
      </c>
      <c r="J175">
        <f t="shared" si="16"/>
        <v>-1.0884793393089369E-4</v>
      </c>
    </row>
    <row r="176" spans="1:10" x14ac:dyDescent="0.25">
      <c r="A176" s="2">
        <v>45959</v>
      </c>
      <c r="B176" s="3">
        <v>3874.05</v>
      </c>
      <c r="C176" s="3">
        <v>940.52</v>
      </c>
      <c r="D176" s="3">
        <v>5.3457499999999998</v>
      </c>
      <c r="E176" s="3">
        <v>18.420999999999999</v>
      </c>
      <c r="F176">
        <f t="shared" si="12"/>
        <v>-2.0196347655393465E-3</v>
      </c>
      <c r="G176">
        <f t="shared" si="13"/>
        <v>-2.7462332071550577E-3</v>
      </c>
      <c r="H176">
        <f t="shared" si="14"/>
        <v>-2.9283123035745984E-3</v>
      </c>
      <c r="I176">
        <f t="shared" si="15"/>
        <v>4.0730985418302446E-4</v>
      </c>
      <c r="J176">
        <f t="shared" si="16"/>
        <v>7.6509539012918171E-4</v>
      </c>
    </row>
    <row r="177" spans="1:10" x14ac:dyDescent="0.25">
      <c r="A177" s="4">
        <v>45960</v>
      </c>
      <c r="B177" s="5">
        <v>3874.24</v>
      </c>
      <c r="C177" s="5">
        <v>941.89499999999998</v>
      </c>
      <c r="D177" s="5">
        <v>5.3843500000000004</v>
      </c>
      <c r="E177" s="5">
        <v>18.545500000000001</v>
      </c>
      <c r="F177">
        <f t="shared" si="12"/>
        <v>4.9044281823729108E-5</v>
      </c>
      <c r="G177">
        <f t="shared" si="13"/>
        <v>1.4619572151575166E-3</v>
      </c>
      <c r="H177">
        <f t="shared" si="14"/>
        <v>7.220689332647634E-3</v>
      </c>
      <c r="I177">
        <f t="shared" si="15"/>
        <v>6.7585907388307831E-3</v>
      </c>
      <c r="J177">
        <f t="shared" si="16"/>
        <v>1.8561993134727181E-4</v>
      </c>
    </row>
    <row r="178" spans="1:10" x14ac:dyDescent="0.25">
      <c r="A178" s="2">
        <v>45961</v>
      </c>
      <c r="B178" s="3">
        <v>3860.6</v>
      </c>
      <c r="C178" s="3">
        <v>942.16499999999996</v>
      </c>
      <c r="D178" s="3">
        <v>5.3851500000000003</v>
      </c>
      <c r="E178" s="3">
        <v>18.551500000000001</v>
      </c>
      <c r="F178">
        <f t="shared" si="12"/>
        <v>-3.5206905096224483E-3</v>
      </c>
      <c r="G178">
        <f t="shared" si="13"/>
        <v>2.8665615594092309E-4</v>
      </c>
      <c r="H178">
        <f t="shared" si="14"/>
        <v>1.4857875138130083E-4</v>
      </c>
      <c r="I178">
        <f t="shared" si="15"/>
        <v>3.2352861880236006E-4</v>
      </c>
      <c r="J178">
        <f t="shared" si="16"/>
        <v>8.9467422218659901E-4</v>
      </c>
    </row>
    <row r="179" spans="1:10" x14ac:dyDescent="0.25">
      <c r="A179" s="4">
        <v>45964</v>
      </c>
      <c r="B179" s="5">
        <v>3856.5</v>
      </c>
      <c r="C179" s="5">
        <v>940.26</v>
      </c>
      <c r="D179" s="5">
        <v>5.3595499999999996</v>
      </c>
      <c r="E179" s="5">
        <v>18.480499999999999</v>
      </c>
      <c r="F179">
        <f t="shared" si="12"/>
        <v>-1.0620110863596155E-3</v>
      </c>
      <c r="G179">
        <f t="shared" si="13"/>
        <v>-2.0219388323701182E-3</v>
      </c>
      <c r="H179">
        <f t="shared" si="14"/>
        <v>-4.7538137284942605E-3</v>
      </c>
      <c r="I179">
        <f t="shared" si="15"/>
        <v>-3.8271837856778124E-3</v>
      </c>
      <c r="J179">
        <f t="shared" si="16"/>
        <v>4.407992944667938E-5</v>
      </c>
    </row>
    <row r="180" spans="1:10" x14ac:dyDescent="0.25">
      <c r="A180" s="2">
        <v>45965</v>
      </c>
      <c r="B180" s="3">
        <v>3864.5250000000001</v>
      </c>
      <c r="C180" s="3">
        <v>945.46</v>
      </c>
      <c r="D180" s="3">
        <v>5.3809500000000003</v>
      </c>
      <c r="E180" s="3">
        <v>18.600249999999999</v>
      </c>
      <c r="F180">
        <f t="shared" si="12"/>
        <v>2.080902372617599E-3</v>
      </c>
      <c r="G180">
        <f t="shared" si="13"/>
        <v>5.5303852126007413E-3</v>
      </c>
      <c r="H180">
        <f t="shared" si="14"/>
        <v>3.9928725359406059E-3</v>
      </c>
      <c r="I180">
        <f t="shared" si="15"/>
        <v>6.4798030356321146E-3</v>
      </c>
      <c r="J180">
        <f t="shared" si="16"/>
        <v>1.4573657699105617E-3</v>
      </c>
    </row>
    <row r="181" spans="1:10" x14ac:dyDescent="0.25">
      <c r="A181" s="4">
        <v>45966</v>
      </c>
      <c r="B181" s="5">
        <v>3843.83</v>
      </c>
      <c r="C181" s="5">
        <v>946.02499999999998</v>
      </c>
      <c r="D181" s="5">
        <v>5.36355</v>
      </c>
      <c r="E181" s="5">
        <v>18.6005</v>
      </c>
      <c r="F181">
        <f t="shared" si="12"/>
        <v>-5.3551212632859668E-3</v>
      </c>
      <c r="G181">
        <f t="shared" si="13"/>
        <v>5.9759270619585969E-4</v>
      </c>
      <c r="H181">
        <f t="shared" si="14"/>
        <v>-3.2336297493937849E-3</v>
      </c>
      <c r="I181">
        <f t="shared" si="15"/>
        <v>1.344067956088324E-5</v>
      </c>
      <c r="J181">
        <f t="shared" si="16"/>
        <v>2.2247893345944806E-3</v>
      </c>
    </row>
    <row r="182" spans="1:10" x14ac:dyDescent="0.25">
      <c r="A182" s="2">
        <v>45967</v>
      </c>
      <c r="B182" s="3">
        <v>3808.3</v>
      </c>
      <c r="C182" s="3">
        <v>942.88</v>
      </c>
      <c r="D182" s="3">
        <v>5.3545499999999997</v>
      </c>
      <c r="E182" s="3">
        <v>18.651499999999999</v>
      </c>
      <c r="F182">
        <f t="shared" si="12"/>
        <v>-9.2433848531281448E-3</v>
      </c>
      <c r="G182">
        <f t="shared" si="13"/>
        <v>-3.3244364578103314E-3</v>
      </c>
      <c r="H182">
        <f t="shared" si="14"/>
        <v>-1.677993120228316E-3</v>
      </c>
      <c r="I182">
        <f t="shared" si="15"/>
        <v>2.7418617779091381E-3</v>
      </c>
      <c r="J182">
        <f t="shared" si="16"/>
        <v>2.5430593373310289E-3</v>
      </c>
    </row>
    <row r="183" spans="1:10" x14ac:dyDescent="0.25">
      <c r="A183" s="4">
        <v>45968</v>
      </c>
      <c r="B183" s="5">
        <v>3788.45</v>
      </c>
      <c r="C183" s="5">
        <v>948.05</v>
      </c>
      <c r="D183" s="5">
        <v>5.3470500000000003</v>
      </c>
      <c r="E183" s="5">
        <v>18.508500000000002</v>
      </c>
      <c r="F183">
        <f t="shared" si="12"/>
        <v>-5.2122994511988319E-3</v>
      </c>
      <c r="G183">
        <f t="shared" si="13"/>
        <v>5.4832004072629115E-3</v>
      </c>
      <c r="H183">
        <f t="shared" si="14"/>
        <v>-1.4006779281170445E-3</v>
      </c>
      <c r="I183">
        <f t="shared" si="15"/>
        <v>-7.6669436774520205E-3</v>
      </c>
      <c r="J183">
        <f t="shared" si="16"/>
        <v>6.3614837150956054E-4</v>
      </c>
    </row>
    <row r="184" spans="1:10" x14ac:dyDescent="0.25">
      <c r="A184" s="2">
        <v>45971</v>
      </c>
      <c r="B184" s="3">
        <v>3759.25</v>
      </c>
      <c r="C184" s="3">
        <v>940.28499999999997</v>
      </c>
      <c r="D184" s="3">
        <v>5.31935</v>
      </c>
      <c r="E184" s="3">
        <v>18.396999999999998</v>
      </c>
      <c r="F184">
        <f t="shared" si="12"/>
        <v>-7.7076376882365683E-3</v>
      </c>
      <c r="G184">
        <f t="shared" si="13"/>
        <v>-8.1904962818416527E-3</v>
      </c>
      <c r="H184">
        <f t="shared" si="14"/>
        <v>-5.1804265903629965E-3</v>
      </c>
      <c r="I184">
        <f t="shared" si="15"/>
        <v>-6.0242591241863597E-3</v>
      </c>
      <c r="J184">
        <f t="shared" si="16"/>
        <v>-3.4169983575206412E-4</v>
      </c>
    </row>
    <row r="185" spans="1:10" x14ac:dyDescent="0.25">
      <c r="A185" s="4">
        <v>45972</v>
      </c>
      <c r="B185" s="5">
        <v>3732.46</v>
      </c>
      <c r="C185" s="5">
        <v>935.29499999999996</v>
      </c>
      <c r="D185" s="5">
        <v>5.2755999999999998</v>
      </c>
      <c r="E185" s="5">
        <v>18.348500000000001</v>
      </c>
      <c r="F185">
        <f t="shared" si="12"/>
        <v>-7.1264214936489489E-3</v>
      </c>
      <c r="G185">
        <f t="shared" si="13"/>
        <v>-5.3069016308885386E-3</v>
      </c>
      <c r="H185">
        <f t="shared" si="14"/>
        <v>-8.2246891067517813E-3</v>
      </c>
      <c r="I185">
        <f t="shared" si="15"/>
        <v>-2.6362993966405623E-3</v>
      </c>
      <c r="J185">
        <f t="shared" si="16"/>
        <v>1.9566682223109855E-3</v>
      </c>
    </row>
    <row r="186" spans="1:10" x14ac:dyDescent="0.25">
      <c r="A186" s="2">
        <v>45973</v>
      </c>
      <c r="B186" s="3">
        <v>3717.0250000000001</v>
      </c>
      <c r="C186" s="3">
        <v>929.65</v>
      </c>
      <c r="D186" s="3">
        <v>5.3013500000000002</v>
      </c>
      <c r="E186" s="3">
        <v>18.301500000000001</v>
      </c>
      <c r="F186">
        <f t="shared" si="12"/>
        <v>-4.1353423747341189E-3</v>
      </c>
      <c r="G186">
        <f t="shared" si="13"/>
        <v>-6.0355288972997467E-3</v>
      </c>
      <c r="H186">
        <f t="shared" si="14"/>
        <v>4.8809614072333751E-3</v>
      </c>
      <c r="I186">
        <f t="shared" si="15"/>
        <v>-2.5615172902417882E-3</v>
      </c>
      <c r="J186">
        <f t="shared" si="16"/>
        <v>-2.4896188654243514E-3</v>
      </c>
    </row>
    <row r="187" spans="1:10" x14ac:dyDescent="0.25">
      <c r="A187" s="4">
        <v>45974</v>
      </c>
      <c r="B187" s="5">
        <v>3735.5</v>
      </c>
      <c r="C187" s="5">
        <v>923.25</v>
      </c>
      <c r="D187" s="5">
        <v>5.2825499999999996</v>
      </c>
      <c r="E187" s="5">
        <v>18.274000000000001</v>
      </c>
      <c r="F187">
        <f t="shared" si="12"/>
        <v>4.9703728115899626E-3</v>
      </c>
      <c r="G187">
        <f t="shared" si="13"/>
        <v>-6.8843112999515954E-3</v>
      </c>
      <c r="H187">
        <f t="shared" si="14"/>
        <v>-3.5462665170193919E-3</v>
      </c>
      <c r="I187">
        <f t="shared" si="15"/>
        <v>-1.5026090757588317E-3</v>
      </c>
      <c r="J187">
        <f t="shared" si="16"/>
        <v>-2.0666916244368575E-3</v>
      </c>
    </row>
    <row r="188" spans="1:10" x14ac:dyDescent="0.25">
      <c r="A188" s="2">
        <v>45975</v>
      </c>
      <c r="B188" s="3">
        <v>3757.3</v>
      </c>
      <c r="C188" s="3">
        <v>930.21</v>
      </c>
      <c r="D188" s="3">
        <v>5.2754500000000002</v>
      </c>
      <c r="E188" s="3">
        <v>18.309999999999999</v>
      </c>
      <c r="F188">
        <f t="shared" si="12"/>
        <v>5.8358988087270358E-3</v>
      </c>
      <c r="G188">
        <f t="shared" si="13"/>
        <v>7.5385865150283671E-3</v>
      </c>
      <c r="H188">
        <f t="shared" si="14"/>
        <v>-1.3440478556756563E-3</v>
      </c>
      <c r="I188">
        <f t="shared" si="15"/>
        <v>1.9700120389622988E-3</v>
      </c>
      <c r="J188">
        <f t="shared" si="16"/>
        <v>1.2989472387997278E-3</v>
      </c>
    </row>
    <row r="189" spans="1:10" x14ac:dyDescent="0.25">
      <c r="A189" s="4">
        <v>45978</v>
      </c>
      <c r="B189" s="5">
        <v>3757</v>
      </c>
      <c r="C189" s="5">
        <v>922.16</v>
      </c>
      <c r="D189" s="5">
        <v>5.3101500000000001</v>
      </c>
      <c r="E189" s="5">
        <v>18.361999999999998</v>
      </c>
      <c r="F189">
        <f t="shared" si="12"/>
        <v>-7.9844569238596286E-5</v>
      </c>
      <c r="G189">
        <f t="shared" si="13"/>
        <v>-8.653959858526683E-3</v>
      </c>
      <c r="H189">
        <f t="shared" si="14"/>
        <v>6.5776379266224705E-3</v>
      </c>
      <c r="I189">
        <f t="shared" si="15"/>
        <v>2.8399781540142666E-3</v>
      </c>
      <c r="J189">
        <f t="shared" si="16"/>
        <v>-2.9435977788996315E-3</v>
      </c>
    </row>
    <row r="190" spans="1:10" x14ac:dyDescent="0.25">
      <c r="A190" s="2">
        <v>45979</v>
      </c>
      <c r="B190" s="3">
        <v>3735.105</v>
      </c>
      <c r="C190" s="3">
        <v>933.82500000000005</v>
      </c>
      <c r="D190" s="3">
        <v>5.3383500000000002</v>
      </c>
      <c r="E190" s="3">
        <v>18.399999999999999</v>
      </c>
      <c r="F190">
        <f t="shared" si="12"/>
        <v>-5.8277881288262279E-3</v>
      </c>
      <c r="G190">
        <f t="shared" si="13"/>
        <v>1.2649648650993495E-2</v>
      </c>
      <c r="H190">
        <f t="shared" si="14"/>
        <v>5.3105844467671304E-3</v>
      </c>
      <c r="I190">
        <f t="shared" si="15"/>
        <v>2.0694913408125792E-3</v>
      </c>
      <c r="J190">
        <f t="shared" si="16"/>
        <v>3.2057934216392289E-3</v>
      </c>
    </row>
    <row r="191" spans="1:10" x14ac:dyDescent="0.25">
      <c r="A191" s="4">
        <v>45980</v>
      </c>
      <c r="B191" s="5">
        <v>3725.5050000000001</v>
      </c>
      <c r="C191" s="5">
        <v>928.80499999999995</v>
      </c>
      <c r="D191" s="5">
        <v>5.3353000000000002</v>
      </c>
      <c r="E191" s="5">
        <v>18.355499999999999</v>
      </c>
      <c r="F191">
        <f t="shared" si="12"/>
        <v>-2.5702088696301084E-3</v>
      </c>
      <c r="G191">
        <f t="shared" si="13"/>
        <v>-5.3757395657645368E-3</v>
      </c>
      <c r="H191">
        <f t="shared" si="14"/>
        <v>-5.7133758558358672E-4</v>
      </c>
      <c r="I191">
        <f t="shared" si="15"/>
        <v>-2.4184782608694944E-3</v>
      </c>
      <c r="J191">
        <f t="shared" si="16"/>
        <v>-1.1365458978315141E-3</v>
      </c>
    </row>
    <row r="192" spans="1:10" x14ac:dyDescent="0.25">
      <c r="A192" s="2">
        <v>45981</v>
      </c>
      <c r="B192" s="3">
        <v>3743.855</v>
      </c>
      <c r="C192" s="3">
        <v>926.82500000000005</v>
      </c>
      <c r="D192" s="3">
        <v>5.3322500000000002</v>
      </c>
      <c r="E192" s="3">
        <v>18.319500000000001</v>
      </c>
      <c r="F192">
        <f t="shared" si="12"/>
        <v>4.9255067433811028E-3</v>
      </c>
      <c r="G192">
        <f t="shared" si="13"/>
        <v>-2.1317714697917101E-3</v>
      </c>
      <c r="H192">
        <f t="shared" si="14"/>
        <v>-5.7166419882670461E-4</v>
      </c>
      <c r="I192">
        <f t="shared" si="15"/>
        <v>-1.9612650159351874E-3</v>
      </c>
      <c r="J192">
        <f t="shared" si="16"/>
        <v>-1.9542842743463145E-3</v>
      </c>
    </row>
    <row r="193" spans="1:10" x14ac:dyDescent="0.25">
      <c r="A193" s="4">
        <v>45982</v>
      </c>
      <c r="B193" s="5">
        <v>3817.75</v>
      </c>
      <c r="C193" s="5">
        <v>940.36</v>
      </c>
      <c r="D193" s="5">
        <v>5.4156500000000003</v>
      </c>
      <c r="E193" s="5">
        <v>18.506</v>
      </c>
      <c r="F193">
        <f t="shared" si="12"/>
        <v>1.9737676806393489E-2</v>
      </c>
      <c r="G193">
        <f t="shared" si="13"/>
        <v>1.4603619885091623E-2</v>
      </c>
      <c r="H193">
        <f t="shared" si="14"/>
        <v>1.5640677012518145E-2</v>
      </c>
      <c r="I193">
        <f t="shared" si="15"/>
        <v>1.0180408853953438E-2</v>
      </c>
      <c r="J193">
        <f t="shared" si="16"/>
        <v>-2.6576426932239453E-3</v>
      </c>
    </row>
    <row r="194" spans="1:10" x14ac:dyDescent="0.25">
      <c r="A194" s="2">
        <v>45985</v>
      </c>
      <c r="B194" s="3">
        <v>3802.0050000000001</v>
      </c>
      <c r="C194" s="3">
        <v>940.76</v>
      </c>
      <c r="D194" s="3">
        <v>5.3958000000000004</v>
      </c>
      <c r="E194" s="3">
        <v>18.520499999999998</v>
      </c>
      <c r="F194">
        <f t="shared" si="12"/>
        <v>-4.1241568986968291E-3</v>
      </c>
      <c r="G194">
        <f t="shared" si="13"/>
        <v>4.2536900761414032E-4</v>
      </c>
      <c r="H194">
        <f t="shared" si="14"/>
        <v>-3.6653033338565066E-3</v>
      </c>
      <c r="I194">
        <f t="shared" si="15"/>
        <v>7.8352966605410579E-4</v>
      </c>
      <c r="J194">
        <f t="shared" si="16"/>
        <v>2.246792701377608E-3</v>
      </c>
    </row>
    <row r="195" spans="1:10" x14ac:dyDescent="0.25">
      <c r="A195" s="4">
        <v>45986</v>
      </c>
      <c r="B195" s="5">
        <v>3815.55</v>
      </c>
      <c r="C195" s="5">
        <v>935.92</v>
      </c>
      <c r="D195" s="5">
        <v>5.3947500000000002</v>
      </c>
      <c r="E195" s="5">
        <v>18.4495</v>
      </c>
      <c r="F195">
        <f t="shared" si="12"/>
        <v>3.5625939471410906E-3</v>
      </c>
      <c r="G195">
        <f t="shared" si="13"/>
        <v>-5.1447765636294385E-3</v>
      </c>
      <c r="H195">
        <f t="shared" si="14"/>
        <v>-1.9459579673086758E-4</v>
      </c>
      <c r="I195">
        <f t="shared" si="15"/>
        <v>-3.8335898058906581E-3</v>
      </c>
      <c r="J195">
        <f t="shared" si="16"/>
        <v>-2.9458028938267261E-3</v>
      </c>
    </row>
    <row r="196" spans="1:10" x14ac:dyDescent="0.25">
      <c r="A196" s="2">
        <v>45987</v>
      </c>
      <c r="B196" s="3">
        <v>3755.25</v>
      </c>
      <c r="C196" s="3">
        <v>927.94</v>
      </c>
      <c r="D196" s="3">
        <v>5.3544</v>
      </c>
      <c r="E196" s="3">
        <v>18.350000000000001</v>
      </c>
      <c r="F196">
        <f t="shared" ref="F196:F259" si="17">B196/B195-1</f>
        <v>-1.5803750442269227E-2</v>
      </c>
      <c r="G196">
        <f t="shared" ref="G196:G258" si="18">C196/C195-1</f>
        <v>-8.5263697751943868E-3</v>
      </c>
      <c r="H196">
        <f t="shared" ref="H196:H259" si="19">D196/D195-1</f>
        <v>-7.4794939524538417E-3</v>
      </c>
      <c r="I196">
        <f t="shared" ref="I196:I259" si="20">E196/E195-1</f>
        <v>-5.3931000840130583E-3</v>
      </c>
      <c r="J196">
        <f t="shared" ref="J196:J259" si="21">SUMPRODUCT(F196:I196,$O$3:$R$3)</f>
        <v>2.196749556139071E-3</v>
      </c>
    </row>
    <row r="197" spans="1:10" x14ac:dyDescent="0.25">
      <c r="A197" s="4">
        <v>45988</v>
      </c>
      <c r="B197" s="5">
        <v>3727.5349999999999</v>
      </c>
      <c r="C197" s="5">
        <v>929.12</v>
      </c>
      <c r="D197" s="5">
        <v>5.3483999999999998</v>
      </c>
      <c r="E197" s="5">
        <v>18.339500000000001</v>
      </c>
      <c r="F197">
        <f t="shared" si="17"/>
        <v>-7.3803341987883631E-3</v>
      </c>
      <c r="G197">
        <f t="shared" si="18"/>
        <v>1.2716339418497036E-3</v>
      </c>
      <c r="H197">
        <f t="shared" si="19"/>
        <v>-1.1205737337517396E-3</v>
      </c>
      <c r="I197">
        <f t="shared" si="20"/>
        <v>-5.7220708446870105E-4</v>
      </c>
      <c r="J197">
        <f t="shared" si="21"/>
        <v>2.0749836560537476E-3</v>
      </c>
    </row>
    <row r="198" spans="1:10" x14ac:dyDescent="0.25">
      <c r="A198" s="2">
        <v>45989</v>
      </c>
      <c r="B198" s="3">
        <v>3740.57</v>
      </c>
      <c r="C198" s="3">
        <v>928.89</v>
      </c>
      <c r="D198" s="3">
        <v>5.3432000000000004</v>
      </c>
      <c r="E198" s="3">
        <v>18.323499999999999</v>
      </c>
      <c r="F198">
        <f t="shared" si="17"/>
        <v>3.4969490561458372E-3</v>
      </c>
      <c r="G198">
        <f t="shared" si="18"/>
        <v>-2.4754606509391763E-4</v>
      </c>
      <c r="H198">
        <f t="shared" si="19"/>
        <v>-9.7225338418960305E-4</v>
      </c>
      <c r="I198">
        <f t="shared" si="20"/>
        <v>-8.7243381771595629E-4</v>
      </c>
      <c r="J198">
        <f t="shared" si="21"/>
        <v>-8.0438236958837702E-4</v>
      </c>
    </row>
    <row r="199" spans="1:10" x14ac:dyDescent="0.25">
      <c r="A199" s="4">
        <v>45992</v>
      </c>
      <c r="B199" s="5">
        <v>3790.01</v>
      </c>
      <c r="C199" s="5">
        <v>929.005</v>
      </c>
      <c r="D199" s="5">
        <v>5.3461499999999997</v>
      </c>
      <c r="E199" s="5">
        <v>18.261500000000002</v>
      </c>
      <c r="F199">
        <f t="shared" si="17"/>
        <v>1.3217236945171518E-2</v>
      </c>
      <c r="G199">
        <f t="shared" si="18"/>
        <v>1.238036796606945E-4</v>
      </c>
      <c r="H199">
        <f t="shared" si="19"/>
        <v>5.5210360832447236E-4</v>
      </c>
      <c r="I199">
        <f t="shared" si="20"/>
        <v>-3.3836330395392578E-3</v>
      </c>
      <c r="J199">
        <f t="shared" si="21"/>
        <v>-4.0029120167423306E-3</v>
      </c>
    </row>
    <row r="200" spans="1:10" x14ac:dyDescent="0.25">
      <c r="A200" s="2">
        <v>45993</v>
      </c>
      <c r="B200" s="3">
        <v>3823.97</v>
      </c>
      <c r="C200" s="3">
        <v>923.57500000000005</v>
      </c>
      <c r="D200" s="3">
        <v>5.3407999999999998</v>
      </c>
      <c r="E200" s="3">
        <v>18.28575</v>
      </c>
      <c r="F200">
        <f t="shared" si="17"/>
        <v>8.9603985213757564E-3</v>
      </c>
      <c r="G200">
        <f t="shared" si="18"/>
        <v>-5.844963159509331E-3</v>
      </c>
      <c r="H200">
        <f t="shared" si="19"/>
        <v>-1.0007201444030001E-3</v>
      </c>
      <c r="I200">
        <f t="shared" si="20"/>
        <v>1.3279303452617963E-3</v>
      </c>
      <c r="J200">
        <f t="shared" si="21"/>
        <v>-2.6432330152897981E-3</v>
      </c>
    </row>
    <row r="201" spans="1:10" x14ac:dyDescent="0.25">
      <c r="A201" s="4">
        <v>45994</v>
      </c>
      <c r="B201" s="5">
        <v>3772.65</v>
      </c>
      <c r="C201" s="5">
        <v>917.84</v>
      </c>
      <c r="D201" s="5">
        <v>5.3012499999999996</v>
      </c>
      <c r="E201" s="5">
        <v>18.254999999999999</v>
      </c>
      <c r="F201">
        <f t="shared" si="17"/>
        <v>-1.3420607379241889E-2</v>
      </c>
      <c r="G201">
        <f t="shared" si="18"/>
        <v>-6.2095660882982573E-3</v>
      </c>
      <c r="H201">
        <f t="shared" si="19"/>
        <v>-7.4052576393049963E-3</v>
      </c>
      <c r="I201">
        <f t="shared" si="20"/>
        <v>-1.6816373405521556E-3</v>
      </c>
      <c r="J201">
        <f t="shared" si="21"/>
        <v>3.1923481476410411E-3</v>
      </c>
    </row>
    <row r="202" spans="1:10" x14ac:dyDescent="0.25">
      <c r="A202" s="2">
        <v>45995</v>
      </c>
      <c r="B202" s="3">
        <v>3756.05</v>
      </c>
      <c r="C202" s="3">
        <v>917.57</v>
      </c>
      <c r="D202" s="3">
        <v>5.2932499999999996</v>
      </c>
      <c r="E202" s="3">
        <v>18.228000000000002</v>
      </c>
      <c r="F202">
        <f t="shared" si="17"/>
        <v>-4.4000901223277822E-3</v>
      </c>
      <c r="G202">
        <f t="shared" si="18"/>
        <v>-2.9416891833000669E-4</v>
      </c>
      <c r="H202">
        <f t="shared" si="19"/>
        <v>-1.5090780476302301E-3</v>
      </c>
      <c r="I202">
        <f t="shared" si="20"/>
        <v>-1.4790468364830334E-3</v>
      </c>
      <c r="J202">
        <f t="shared" si="21"/>
        <v>9.2076893731817141E-4</v>
      </c>
    </row>
    <row r="203" spans="1:10" x14ac:dyDescent="0.25">
      <c r="A203" s="4">
        <v>45996</v>
      </c>
      <c r="B203" s="5">
        <v>3826.48</v>
      </c>
      <c r="C203" s="5">
        <v>920.56500000000005</v>
      </c>
      <c r="D203" s="5">
        <v>5.3747999999999996</v>
      </c>
      <c r="E203" s="5">
        <v>18.166</v>
      </c>
      <c r="F203">
        <f t="shared" si="17"/>
        <v>1.8751081588370688E-2</v>
      </c>
      <c r="G203">
        <f t="shared" si="18"/>
        <v>3.264056148304828E-3</v>
      </c>
      <c r="H203">
        <f t="shared" si="19"/>
        <v>1.5406413828933152E-2</v>
      </c>
      <c r="I203">
        <f t="shared" si="20"/>
        <v>-3.4013605442178019E-3</v>
      </c>
      <c r="J203">
        <f t="shared" si="21"/>
        <v>-8.6659429792232331E-3</v>
      </c>
    </row>
    <row r="204" spans="1:10" x14ac:dyDescent="0.25">
      <c r="A204" s="2">
        <v>45999</v>
      </c>
      <c r="B204" s="3">
        <v>3842.61</v>
      </c>
      <c r="C204" s="3">
        <v>923.7</v>
      </c>
      <c r="D204" s="3">
        <v>5.4465000000000003</v>
      </c>
      <c r="E204" s="3">
        <v>18.232500000000002</v>
      </c>
      <c r="F204">
        <f t="shared" si="17"/>
        <v>4.2153624218603802E-3</v>
      </c>
      <c r="G204">
        <f t="shared" si="18"/>
        <v>3.4055172638542963E-3</v>
      </c>
      <c r="H204">
        <f t="shared" si="19"/>
        <v>1.3340031256977136E-2</v>
      </c>
      <c r="I204">
        <f t="shared" si="20"/>
        <v>3.6606847957723065E-3</v>
      </c>
      <c r="J204">
        <f t="shared" si="21"/>
        <v>-2.8686729410026934E-3</v>
      </c>
    </row>
    <row r="205" spans="1:10" x14ac:dyDescent="0.25">
      <c r="A205" s="4">
        <v>46000</v>
      </c>
      <c r="B205" s="5">
        <v>3863.93</v>
      </c>
      <c r="C205" s="5">
        <v>928.57500000000005</v>
      </c>
      <c r="D205" s="5">
        <v>5.4328500000000002</v>
      </c>
      <c r="E205" s="5">
        <v>18.208500000000001</v>
      </c>
      <c r="F205">
        <f t="shared" si="17"/>
        <v>5.5483122148747288E-3</v>
      </c>
      <c r="G205">
        <f t="shared" si="18"/>
        <v>5.2776875608964158E-3</v>
      </c>
      <c r="H205">
        <f t="shared" si="19"/>
        <v>-2.5061966400441449E-3</v>
      </c>
      <c r="I205">
        <f t="shared" si="20"/>
        <v>-1.3163307280954495E-3</v>
      </c>
      <c r="J205">
        <f t="shared" si="21"/>
        <v>2.7037949687945697E-4</v>
      </c>
    </row>
    <row r="206" spans="1:10" x14ac:dyDescent="0.25">
      <c r="A206" s="2">
        <v>46001</v>
      </c>
      <c r="B206" s="3">
        <v>3852.32</v>
      </c>
      <c r="C206" s="3">
        <v>923.18</v>
      </c>
      <c r="D206" s="3">
        <v>5.4843500000000001</v>
      </c>
      <c r="E206" s="3">
        <v>18.1995</v>
      </c>
      <c r="F206">
        <f t="shared" si="17"/>
        <v>-3.0047128182962846E-3</v>
      </c>
      <c r="G206">
        <f t="shared" si="18"/>
        <v>-5.8099776539322079E-3</v>
      </c>
      <c r="H206">
        <f t="shared" si="19"/>
        <v>9.4793708642793018E-3</v>
      </c>
      <c r="I206">
        <f t="shared" si="20"/>
        <v>-4.942746519482899E-4</v>
      </c>
      <c r="J206">
        <f t="shared" si="21"/>
        <v>-3.3938492735378699E-3</v>
      </c>
    </row>
    <row r="207" spans="1:10" x14ac:dyDescent="0.25">
      <c r="A207" s="4">
        <v>46002</v>
      </c>
      <c r="B207" s="5">
        <v>3809.73</v>
      </c>
      <c r="C207" s="5">
        <v>914.10500000000002</v>
      </c>
      <c r="D207" s="5">
        <v>5.4074499999999999</v>
      </c>
      <c r="E207" s="5">
        <v>18.045999999999999</v>
      </c>
      <c r="F207">
        <f t="shared" si="17"/>
        <v>-1.1055675540972754E-2</v>
      </c>
      <c r="G207">
        <f t="shared" si="18"/>
        <v>-9.8301522996597779E-3</v>
      </c>
      <c r="H207">
        <f t="shared" si="19"/>
        <v>-1.4021716338308177E-2</v>
      </c>
      <c r="I207">
        <f t="shared" si="20"/>
        <v>-8.4342976455398233E-3</v>
      </c>
      <c r="J207">
        <f t="shared" si="21"/>
        <v>1.8243992460607599E-3</v>
      </c>
    </row>
    <row r="208" spans="1:10" x14ac:dyDescent="0.25">
      <c r="A208" s="2">
        <v>46003</v>
      </c>
      <c r="B208" s="3">
        <v>3804.4850000000001</v>
      </c>
      <c r="C208" s="3">
        <v>910.6</v>
      </c>
      <c r="D208" s="3">
        <v>5.4169499999999999</v>
      </c>
      <c r="E208" s="3">
        <v>18.0625</v>
      </c>
      <c r="F208">
        <f t="shared" si="17"/>
        <v>-1.3767379840565752E-3</v>
      </c>
      <c r="G208">
        <f t="shared" si="18"/>
        <v>-3.8343516335650474E-3</v>
      </c>
      <c r="H208">
        <f t="shared" si="19"/>
        <v>1.7568354769808003E-3</v>
      </c>
      <c r="I208">
        <f t="shared" si="20"/>
        <v>9.1433004543950425E-4</v>
      </c>
      <c r="J208">
        <f t="shared" si="21"/>
        <v>-7.8016565309668717E-4</v>
      </c>
    </row>
    <row r="209" spans="1:10" x14ac:dyDescent="0.25">
      <c r="A209" s="4">
        <v>46006</v>
      </c>
      <c r="B209" s="5">
        <v>3819.32</v>
      </c>
      <c r="C209" s="5">
        <v>914.87</v>
      </c>
      <c r="D209" s="5">
        <v>5.4024999999999999</v>
      </c>
      <c r="E209" s="5">
        <v>17.976500000000001</v>
      </c>
      <c r="F209">
        <f t="shared" si="17"/>
        <v>3.8993451150417524E-3</v>
      </c>
      <c r="G209">
        <f t="shared" si="18"/>
        <v>4.6892159016034274E-3</v>
      </c>
      <c r="H209">
        <f t="shared" si="19"/>
        <v>-2.6675527741626404E-3</v>
      </c>
      <c r="I209">
        <f t="shared" si="20"/>
        <v>-4.7612456747404552E-3</v>
      </c>
      <c r="J209">
        <f t="shared" si="21"/>
        <v>-4.0605451981346526E-4</v>
      </c>
    </row>
    <row r="210" spans="1:10" x14ac:dyDescent="0.25">
      <c r="A210" s="2">
        <v>46007</v>
      </c>
      <c r="B210" s="3">
        <v>3853.1</v>
      </c>
      <c r="C210" s="3">
        <v>915.7</v>
      </c>
      <c r="D210" s="3">
        <v>5.4668999999999999</v>
      </c>
      <c r="E210" s="3">
        <v>17.951499999999999</v>
      </c>
      <c r="F210">
        <f t="shared" si="17"/>
        <v>8.8445063519160261E-3</v>
      </c>
      <c r="G210">
        <f t="shared" si="18"/>
        <v>9.072327215888798E-4</v>
      </c>
      <c r="H210">
        <f t="shared" si="19"/>
        <v>1.1920407218880102E-2</v>
      </c>
      <c r="I210">
        <f t="shared" si="20"/>
        <v>-1.3907045309154986E-3</v>
      </c>
      <c r="J210">
        <f t="shared" si="21"/>
        <v>-5.4613696261270328E-3</v>
      </c>
    </row>
    <row r="211" spans="1:10" x14ac:dyDescent="0.25">
      <c r="A211" s="4">
        <v>46008</v>
      </c>
      <c r="B211" s="5">
        <v>3873.66</v>
      </c>
      <c r="C211" s="5">
        <v>915.97</v>
      </c>
      <c r="D211" s="5">
        <v>5.5231000000000003</v>
      </c>
      <c r="E211" s="5">
        <v>18.012499999999999</v>
      </c>
      <c r="F211">
        <f t="shared" si="17"/>
        <v>5.3359632503697796E-3</v>
      </c>
      <c r="G211">
        <f t="shared" si="18"/>
        <v>2.948563940154969E-4</v>
      </c>
      <c r="H211">
        <f t="shared" si="19"/>
        <v>1.0280049022297844E-2</v>
      </c>
      <c r="I211">
        <f t="shared" si="20"/>
        <v>3.3980447316379614E-3</v>
      </c>
      <c r="J211">
        <f t="shared" si="21"/>
        <v>-3.0319138265953636E-3</v>
      </c>
    </row>
    <row r="212" spans="1:10" x14ac:dyDescent="0.25">
      <c r="A212" s="2">
        <v>46009</v>
      </c>
      <c r="B212" s="3">
        <v>3893.27</v>
      </c>
      <c r="C212" s="3">
        <v>910.98</v>
      </c>
      <c r="D212" s="3">
        <v>5.5115999999999996</v>
      </c>
      <c r="E212" s="3">
        <v>17.986999999999998</v>
      </c>
      <c r="F212">
        <f t="shared" si="17"/>
        <v>5.0623957704083455E-3</v>
      </c>
      <c r="G212">
        <f t="shared" si="18"/>
        <v>-5.4477766739084998E-3</v>
      </c>
      <c r="H212">
        <f t="shared" si="19"/>
        <v>-2.0821640021003729E-3</v>
      </c>
      <c r="I212">
        <f t="shared" si="20"/>
        <v>-1.4156835530881873E-3</v>
      </c>
      <c r="J212">
        <f t="shared" si="21"/>
        <v>-2.1504604184559139E-3</v>
      </c>
    </row>
    <row r="213" spans="1:10" x14ac:dyDescent="0.25">
      <c r="A213" s="4">
        <v>46010</v>
      </c>
      <c r="B213" s="5">
        <v>3789.73</v>
      </c>
      <c r="C213" s="5">
        <v>909.69500000000005</v>
      </c>
      <c r="D213" s="5">
        <v>5.5071500000000002</v>
      </c>
      <c r="E213" s="5">
        <v>18.016999999999999</v>
      </c>
      <c r="F213">
        <f t="shared" si="17"/>
        <v>-2.6594610700002796E-2</v>
      </c>
      <c r="G213">
        <f t="shared" si="18"/>
        <v>-1.410568837954651E-3</v>
      </c>
      <c r="H213">
        <f t="shared" si="19"/>
        <v>-8.0738805428537397E-4</v>
      </c>
      <c r="I213">
        <f t="shared" si="20"/>
        <v>1.6678712403404017E-3</v>
      </c>
      <c r="J213">
        <f t="shared" si="21"/>
        <v>6.284025773406747E-3</v>
      </c>
    </row>
    <row r="214" spans="1:10" x14ac:dyDescent="0.25">
      <c r="A214" s="2">
        <v>46013</v>
      </c>
      <c r="B214" s="3">
        <v>3791.61</v>
      </c>
      <c r="C214" s="3">
        <v>909.68</v>
      </c>
      <c r="D214" s="3">
        <v>5.5595499999999998</v>
      </c>
      <c r="E214" s="3">
        <v>17.979500000000002</v>
      </c>
      <c r="F214">
        <f t="shared" si="17"/>
        <v>4.9607755697644862E-4</v>
      </c>
      <c r="G214">
        <f t="shared" si="18"/>
        <v>-1.6489043030976092E-5</v>
      </c>
      <c r="H214">
        <f t="shared" si="19"/>
        <v>9.5149033529138283E-3</v>
      </c>
      <c r="I214">
        <f t="shared" si="20"/>
        <v>-2.0813675972691792E-3</v>
      </c>
      <c r="J214">
        <f t="shared" si="21"/>
        <v>-3.3350900639413741E-3</v>
      </c>
    </row>
    <row r="215" spans="1:10" x14ac:dyDescent="0.25">
      <c r="A215" s="4">
        <v>46014</v>
      </c>
      <c r="B215" s="5">
        <v>3758.7</v>
      </c>
      <c r="C215" s="5">
        <v>905.89</v>
      </c>
      <c r="D215" s="5">
        <v>5.5444500000000003</v>
      </c>
      <c r="E215" s="5">
        <v>17.927499999999998</v>
      </c>
      <c r="F215">
        <f t="shared" si="17"/>
        <v>-8.6796901580068475E-3</v>
      </c>
      <c r="G215">
        <f t="shared" si="18"/>
        <v>-4.16630023744613E-3</v>
      </c>
      <c r="H215">
        <f t="shared" si="19"/>
        <v>-2.7160471620903959E-3</v>
      </c>
      <c r="I215">
        <f t="shared" si="20"/>
        <v>-2.8921827637032882E-3</v>
      </c>
      <c r="J215">
        <f t="shared" si="21"/>
        <v>9.5404898189880053E-4</v>
      </c>
    </row>
    <row r="216" spans="1:10" x14ac:dyDescent="0.25">
      <c r="A216" s="2">
        <v>46015</v>
      </c>
      <c r="B216" s="3">
        <v>3703.18</v>
      </c>
      <c r="C216" s="3">
        <v>905.30499999999995</v>
      </c>
      <c r="D216" s="3">
        <v>5.5282</v>
      </c>
      <c r="E216" s="3">
        <v>17.928999999999998</v>
      </c>
      <c r="F216">
        <f t="shared" si="17"/>
        <v>-1.4771064463777406E-2</v>
      </c>
      <c r="G216">
        <f t="shared" si="18"/>
        <v>-6.4577376944219278E-4</v>
      </c>
      <c r="H216">
        <f t="shared" si="19"/>
        <v>-2.9308587867147295E-3</v>
      </c>
      <c r="I216">
        <f t="shared" si="20"/>
        <v>8.367033886491626E-5</v>
      </c>
      <c r="J216">
        <f t="shared" si="21"/>
        <v>3.9763226891799484E-3</v>
      </c>
    </row>
    <row r="217" spans="1:10" x14ac:dyDescent="0.25">
      <c r="A217" s="4">
        <v>46016</v>
      </c>
      <c r="B217" s="5">
        <v>3703.1806999999999</v>
      </c>
      <c r="C217" s="5">
        <v>905.30510000000004</v>
      </c>
      <c r="D217" s="5">
        <v>5.5282073</v>
      </c>
      <c r="E217" s="5">
        <v>17.928999000000001</v>
      </c>
      <c r="F217">
        <f t="shared" si="17"/>
        <v>1.8902672849208102E-7</v>
      </c>
      <c r="G217">
        <f t="shared" si="18"/>
        <v>1.1046001091585822E-7</v>
      </c>
      <c r="H217">
        <f t="shared" si="19"/>
        <v>1.3205021525131144E-6</v>
      </c>
      <c r="I217">
        <f t="shared" si="20"/>
        <v>-5.577555906022269E-8</v>
      </c>
      <c r="J217">
        <f t="shared" si="21"/>
        <v>-3.9975863489842095E-7</v>
      </c>
    </row>
    <row r="218" spans="1:10" x14ac:dyDescent="0.25">
      <c r="A218" s="2">
        <v>46017</v>
      </c>
      <c r="B218" s="3">
        <v>3723.68</v>
      </c>
      <c r="C218" s="3">
        <v>903.05499999999995</v>
      </c>
      <c r="D218" s="3">
        <v>5.5362499999999999</v>
      </c>
      <c r="E218" s="3">
        <v>17.890499999999999</v>
      </c>
      <c r="F218">
        <f t="shared" si="17"/>
        <v>5.5355926865787719E-3</v>
      </c>
      <c r="G218">
        <f t="shared" si="18"/>
        <v>-2.4854604265458491E-3</v>
      </c>
      <c r="H218">
        <f t="shared" si="19"/>
        <v>1.4548477586937558E-3</v>
      </c>
      <c r="I218">
        <f t="shared" si="20"/>
        <v>-2.1473033714822787E-3</v>
      </c>
      <c r="J218">
        <f t="shared" si="21"/>
        <v>-2.7830537835210364E-3</v>
      </c>
    </row>
    <row r="219" spans="1:10" x14ac:dyDescent="0.25">
      <c r="A219" s="4">
        <v>46020</v>
      </c>
      <c r="B219" s="5">
        <v>3700.93</v>
      </c>
      <c r="C219" s="5">
        <v>913.34</v>
      </c>
      <c r="D219" s="5">
        <v>5.5667</v>
      </c>
      <c r="E219" s="5">
        <v>17.948499999999999</v>
      </c>
      <c r="F219">
        <f t="shared" si="17"/>
        <v>-6.1095475443647684E-3</v>
      </c>
      <c r="G219">
        <f t="shared" si="18"/>
        <v>1.1389118049288438E-2</v>
      </c>
      <c r="H219">
        <f t="shared" si="19"/>
        <v>5.5001128923006792E-3</v>
      </c>
      <c r="I219">
        <f t="shared" si="20"/>
        <v>3.2419440485174089E-3</v>
      </c>
      <c r="J219">
        <f t="shared" si="21"/>
        <v>3.2613232308720255E-3</v>
      </c>
    </row>
    <row r="220" spans="1:10" x14ac:dyDescent="0.25">
      <c r="A220" s="2">
        <v>46021</v>
      </c>
      <c r="B220" s="3">
        <v>3770.73</v>
      </c>
      <c r="C220" s="3">
        <v>900.65499999999997</v>
      </c>
      <c r="D220" s="3">
        <v>5.4973000000000001</v>
      </c>
      <c r="E220" s="3">
        <v>17.934249999999999</v>
      </c>
      <c r="F220">
        <f t="shared" si="17"/>
        <v>1.8860124347123586E-2</v>
      </c>
      <c r="G220">
        <f t="shared" si="18"/>
        <v>-1.3888584754855882E-2</v>
      </c>
      <c r="H220">
        <f t="shared" si="19"/>
        <v>-1.2466991215621448E-2</v>
      </c>
      <c r="I220">
        <f t="shared" si="20"/>
        <v>-7.9393821210693716E-4</v>
      </c>
      <c r="J220">
        <f t="shared" si="21"/>
        <v>-4.0349761883525168E-3</v>
      </c>
    </row>
    <row r="221" spans="1:10" x14ac:dyDescent="0.25">
      <c r="A221" s="4">
        <v>46022</v>
      </c>
      <c r="B221" s="5">
        <v>3777.62</v>
      </c>
      <c r="C221" s="5">
        <v>901.57500000000005</v>
      </c>
      <c r="D221" s="5">
        <v>5.4797500000000001</v>
      </c>
      <c r="E221" s="5">
        <v>17.979500000000002</v>
      </c>
      <c r="F221">
        <f t="shared" si="17"/>
        <v>1.8272323926666889E-3</v>
      </c>
      <c r="G221">
        <f t="shared" si="18"/>
        <v>1.0214788126419183E-3</v>
      </c>
      <c r="H221">
        <f t="shared" si="19"/>
        <v>-3.1924763065505068E-3</v>
      </c>
      <c r="I221">
        <f t="shared" si="20"/>
        <v>2.5231052316101454E-3</v>
      </c>
      <c r="J221">
        <f t="shared" si="21"/>
        <v>1.4086051872613432E-3</v>
      </c>
    </row>
    <row r="222" spans="1:10" x14ac:dyDescent="0.25">
      <c r="A222" s="2">
        <v>46023</v>
      </c>
      <c r="B222" s="3">
        <v>3777.6208000000001</v>
      </c>
      <c r="C222" s="3">
        <v>901.57525999999996</v>
      </c>
      <c r="D222" s="3">
        <v>5.4797589999999996</v>
      </c>
      <c r="E222" s="3">
        <v>17.979479999999999</v>
      </c>
      <c r="F222">
        <f t="shared" si="17"/>
        <v>2.1177355069568193E-7</v>
      </c>
      <c r="G222">
        <f t="shared" si="18"/>
        <v>2.8838421650689838E-7</v>
      </c>
      <c r="H222">
        <f t="shared" si="19"/>
        <v>1.6424106938917049E-6</v>
      </c>
      <c r="I222">
        <f t="shared" si="20"/>
        <v>-1.1123779861677008E-6</v>
      </c>
      <c r="J222">
        <f t="shared" si="21"/>
        <v>-7.4819448539178683E-7</v>
      </c>
    </row>
    <row r="223" spans="1:10" x14ac:dyDescent="0.25">
      <c r="A223" s="4">
        <v>46024</v>
      </c>
      <c r="B223" s="5">
        <v>3784.88</v>
      </c>
      <c r="C223" s="5">
        <v>903.59500000000003</v>
      </c>
      <c r="D223" s="5">
        <v>5.4374000000000002</v>
      </c>
      <c r="E223" s="5">
        <v>17.880500000000001</v>
      </c>
      <c r="F223">
        <f t="shared" si="17"/>
        <v>1.9216327906708131E-3</v>
      </c>
      <c r="G223">
        <f t="shared" si="18"/>
        <v>2.2402344980052558E-3</v>
      </c>
      <c r="H223">
        <f t="shared" si="19"/>
        <v>-7.7300844799925716E-3</v>
      </c>
      <c r="I223">
        <f t="shared" si="20"/>
        <v>-5.5051647767342393E-3</v>
      </c>
      <c r="J223">
        <f t="shared" si="21"/>
        <v>6.8883363031274625E-4</v>
      </c>
    </row>
    <row r="224" spans="1:10" x14ac:dyDescent="0.25">
      <c r="A224" s="2">
        <v>46027</v>
      </c>
      <c r="B224" s="3">
        <v>3766.45</v>
      </c>
      <c r="C224" s="3">
        <v>905.96</v>
      </c>
      <c r="D224" s="3">
        <v>5.4147999999999996</v>
      </c>
      <c r="E224" s="3">
        <v>17.887250000000002</v>
      </c>
      <c r="F224">
        <f t="shared" si="17"/>
        <v>-4.8693749867896319E-3</v>
      </c>
      <c r="G224">
        <f t="shared" si="18"/>
        <v>2.6173230263557556E-3</v>
      </c>
      <c r="H224">
        <f t="shared" si="19"/>
        <v>-4.1563982785891573E-3</v>
      </c>
      <c r="I224">
        <f t="shared" si="20"/>
        <v>3.7750622186183413E-4</v>
      </c>
      <c r="J224">
        <f t="shared" si="21"/>
        <v>2.9231285863798059E-3</v>
      </c>
    </row>
    <row r="225" spans="1:10" x14ac:dyDescent="0.25">
      <c r="A225" s="4">
        <v>46028</v>
      </c>
      <c r="B225" s="5">
        <v>3758.55</v>
      </c>
      <c r="C225" s="5">
        <v>893.04499999999996</v>
      </c>
      <c r="D225" s="5">
        <v>5.3707500000000001</v>
      </c>
      <c r="E225" s="5">
        <v>17.972000000000001</v>
      </c>
      <c r="F225">
        <f t="shared" si="17"/>
        <v>-2.0974657834299526E-3</v>
      </c>
      <c r="G225">
        <f t="shared" si="18"/>
        <v>-1.4255596273566207E-2</v>
      </c>
      <c r="H225">
        <f t="shared" si="19"/>
        <v>-8.1351111767746787E-3</v>
      </c>
      <c r="I225">
        <f t="shared" si="20"/>
        <v>4.7380117122530763E-3</v>
      </c>
      <c r="J225">
        <f t="shared" si="21"/>
        <v>8.7406069358854257E-4</v>
      </c>
    </row>
    <row r="226" spans="1:10" x14ac:dyDescent="0.25">
      <c r="A226" s="2">
        <v>46029</v>
      </c>
      <c r="B226" s="3">
        <v>3757.88</v>
      </c>
      <c r="C226" s="3">
        <v>896.43499999999995</v>
      </c>
      <c r="D226" s="3">
        <v>5.3943500000000002</v>
      </c>
      <c r="E226" s="3">
        <v>17.941500000000001</v>
      </c>
      <c r="F226">
        <f t="shared" si="17"/>
        <v>-1.7826023333467056E-4</v>
      </c>
      <c r="G226">
        <f t="shared" si="18"/>
        <v>3.7960013213220734E-3</v>
      </c>
      <c r="H226">
        <f t="shared" si="19"/>
        <v>4.3941721361075992E-3</v>
      </c>
      <c r="I226">
        <f t="shared" si="20"/>
        <v>-1.6970843534386271E-3</v>
      </c>
      <c r="J226">
        <f t="shared" si="21"/>
        <v>-8.0884645717245332E-4</v>
      </c>
    </row>
    <row r="227" spans="1:10" x14ac:dyDescent="0.25">
      <c r="A227" s="4">
        <v>46030</v>
      </c>
      <c r="B227" s="5">
        <v>3729.93</v>
      </c>
      <c r="C227" s="5">
        <v>896.41</v>
      </c>
      <c r="D227" s="5">
        <v>5.3893500000000003</v>
      </c>
      <c r="E227" s="5">
        <v>17.977</v>
      </c>
      <c r="F227">
        <f t="shared" si="17"/>
        <v>-7.4377042374956792E-3</v>
      </c>
      <c r="G227">
        <f t="shared" si="18"/>
        <v>-2.7888246219687218E-5</v>
      </c>
      <c r="H227">
        <f t="shared" si="19"/>
        <v>-9.2689573349891141E-4</v>
      </c>
      <c r="I227">
        <f t="shared" si="20"/>
        <v>1.9786528439651452E-3</v>
      </c>
      <c r="J227">
        <f t="shared" si="21"/>
        <v>2.4537226029124584E-3</v>
      </c>
    </row>
    <row r="228" spans="1:10" x14ac:dyDescent="0.25">
      <c r="A228" s="2">
        <v>46031</v>
      </c>
      <c r="B228" s="3">
        <v>3720.95</v>
      </c>
      <c r="C228" s="3">
        <v>893.98</v>
      </c>
      <c r="D228" s="3">
        <v>5.3546500000000004</v>
      </c>
      <c r="E228" s="3">
        <v>17.970500000000001</v>
      </c>
      <c r="F228">
        <f t="shared" si="17"/>
        <v>-2.4075518843517107E-3</v>
      </c>
      <c r="G228">
        <f t="shared" si="18"/>
        <v>-2.7108131323835272E-3</v>
      </c>
      <c r="H228">
        <f t="shared" si="19"/>
        <v>-6.4386243238980789E-3</v>
      </c>
      <c r="I228">
        <f t="shared" si="20"/>
        <v>-3.615731212104345E-4</v>
      </c>
      <c r="J228">
        <f t="shared" si="21"/>
        <v>1.6206783900728308E-3</v>
      </c>
    </row>
    <row r="229" spans="1:10" x14ac:dyDescent="0.25">
      <c r="A229" s="4">
        <v>46034</v>
      </c>
      <c r="B229" s="5">
        <v>3715.39</v>
      </c>
      <c r="C229" s="5">
        <v>885.72500000000002</v>
      </c>
      <c r="D229" s="5">
        <v>5.3693999999999997</v>
      </c>
      <c r="E229" s="5">
        <v>17.883500000000002</v>
      </c>
      <c r="F229">
        <f t="shared" si="17"/>
        <v>-1.4942420618390129E-3</v>
      </c>
      <c r="G229">
        <f t="shared" si="18"/>
        <v>-9.2339873375243409E-3</v>
      </c>
      <c r="H229">
        <f t="shared" si="19"/>
        <v>2.754615147581907E-3</v>
      </c>
      <c r="I229">
        <f t="shared" si="20"/>
        <v>-4.8412676330652493E-3</v>
      </c>
      <c r="J229">
        <f t="shared" si="21"/>
        <v>-3.8299108336653938E-3</v>
      </c>
    </row>
    <row r="230" spans="1:10" x14ac:dyDescent="0.25">
      <c r="A230" s="2">
        <v>46035</v>
      </c>
      <c r="B230" s="3">
        <v>3658.16</v>
      </c>
      <c r="C230" s="3">
        <v>885.69500000000005</v>
      </c>
      <c r="D230" s="3">
        <v>5.3792499999999999</v>
      </c>
      <c r="E230" s="3">
        <v>17.856249999999999</v>
      </c>
      <c r="F230">
        <f t="shared" si="17"/>
        <v>-1.5403497344827821E-2</v>
      </c>
      <c r="G230">
        <f t="shared" si="18"/>
        <v>-3.3870558017401464E-5</v>
      </c>
      <c r="H230">
        <f t="shared" si="19"/>
        <v>1.834469400677996E-3</v>
      </c>
      <c r="I230">
        <f t="shared" si="20"/>
        <v>-1.5237509436073493E-3</v>
      </c>
      <c r="J230">
        <f t="shared" si="21"/>
        <v>2.4826336347674965E-3</v>
      </c>
    </row>
    <row r="231" spans="1:10" x14ac:dyDescent="0.25">
      <c r="A231" s="4">
        <v>46036</v>
      </c>
      <c r="B231" s="5">
        <v>3658.48</v>
      </c>
      <c r="C231" s="5">
        <v>880.745</v>
      </c>
      <c r="D231" s="5">
        <v>5.3927500000000004</v>
      </c>
      <c r="E231" s="5">
        <v>17.805</v>
      </c>
      <c r="F231">
        <f t="shared" si="17"/>
        <v>8.7475670829118002E-5</v>
      </c>
      <c r="G231">
        <f t="shared" si="18"/>
        <v>-5.5888313697153302E-3</v>
      </c>
      <c r="H231">
        <f t="shared" si="19"/>
        <v>2.509643537667916E-3</v>
      </c>
      <c r="I231">
        <f t="shared" si="20"/>
        <v>-2.8701435071752934E-3</v>
      </c>
      <c r="J231">
        <f t="shared" si="21"/>
        <v>-2.7557868547996578E-3</v>
      </c>
    </row>
    <row r="232" spans="1:10" x14ac:dyDescent="0.25">
      <c r="A232" s="2">
        <v>46037</v>
      </c>
      <c r="B232" s="3">
        <v>3686.7249999999999</v>
      </c>
      <c r="C232" s="3">
        <v>883.84500000000003</v>
      </c>
      <c r="D232" s="3">
        <v>5.3703500000000002</v>
      </c>
      <c r="E232" s="3">
        <v>17.6755</v>
      </c>
      <c r="F232">
        <f t="shared" si="17"/>
        <v>7.7204194091535783E-3</v>
      </c>
      <c r="G232">
        <f t="shared" si="18"/>
        <v>3.5197474865029665E-3</v>
      </c>
      <c r="H232">
        <f t="shared" si="19"/>
        <v>-4.1537249084419026E-3</v>
      </c>
      <c r="I232">
        <f t="shared" si="20"/>
        <v>-7.2732378545352638E-3</v>
      </c>
      <c r="J232">
        <f t="shared" si="21"/>
        <v>-1.8000140233927361E-3</v>
      </c>
    </row>
    <row r="233" spans="1:10" x14ac:dyDescent="0.25">
      <c r="A233" s="4">
        <v>46038</v>
      </c>
      <c r="B233" s="5">
        <v>3699.38</v>
      </c>
      <c r="C233" s="5">
        <v>888.875</v>
      </c>
      <c r="D233" s="5">
        <v>5.3820499999999996</v>
      </c>
      <c r="E233" s="5">
        <v>17.702999999999999</v>
      </c>
      <c r="F233">
        <f t="shared" si="17"/>
        <v>3.4325858315986668E-3</v>
      </c>
      <c r="G233">
        <f t="shared" si="18"/>
        <v>5.6910431127630279E-3</v>
      </c>
      <c r="H233">
        <f t="shared" si="19"/>
        <v>2.1786289534200254E-3</v>
      </c>
      <c r="I233">
        <f t="shared" si="20"/>
        <v>1.5558258606545028E-3</v>
      </c>
      <c r="J233">
        <f t="shared" si="21"/>
        <v>3.2887853671276853E-4</v>
      </c>
    </row>
    <row r="234" spans="1:10" x14ac:dyDescent="0.25">
      <c r="A234" s="2">
        <v>46041</v>
      </c>
      <c r="B234" s="3">
        <v>3666.5</v>
      </c>
      <c r="C234" s="3">
        <v>889.01499999999999</v>
      </c>
      <c r="D234" s="3">
        <v>5.3594499999999998</v>
      </c>
      <c r="E234" s="3">
        <v>17.609500000000001</v>
      </c>
      <c r="F234">
        <f t="shared" si="17"/>
        <v>-8.8879758229757355E-3</v>
      </c>
      <c r="G234">
        <f t="shared" si="18"/>
        <v>1.5750246097590015E-4</v>
      </c>
      <c r="H234">
        <f t="shared" si="19"/>
        <v>-4.1991434490574742E-3</v>
      </c>
      <c r="I234">
        <f t="shared" si="20"/>
        <v>-5.2815906908433297E-3</v>
      </c>
      <c r="J234">
        <f t="shared" si="21"/>
        <v>1.7094264959376256E-3</v>
      </c>
    </row>
    <row r="235" spans="1:10" x14ac:dyDescent="0.25">
      <c r="A235" s="4">
        <v>46042</v>
      </c>
      <c r="B235" s="5">
        <v>3683.7249999999999</v>
      </c>
      <c r="C235" s="5">
        <v>884.755</v>
      </c>
      <c r="D235" s="5">
        <v>5.3653500000000003</v>
      </c>
      <c r="E235" s="5">
        <v>17.601500000000001</v>
      </c>
      <c r="F235">
        <f t="shared" si="17"/>
        <v>4.6979408154916857E-3</v>
      </c>
      <c r="G235">
        <f t="shared" si="18"/>
        <v>-4.7918201605147148E-3</v>
      </c>
      <c r="H235">
        <f t="shared" si="19"/>
        <v>1.1008592299583952E-3</v>
      </c>
      <c r="I235">
        <f t="shared" si="20"/>
        <v>-4.5430023566817024E-4</v>
      </c>
      <c r="J235">
        <f t="shared" si="21"/>
        <v>-2.5408245128976906E-3</v>
      </c>
    </row>
    <row r="236" spans="1:10" x14ac:dyDescent="0.25">
      <c r="A236" s="2">
        <v>46043</v>
      </c>
      <c r="B236" s="3">
        <v>3675.61</v>
      </c>
      <c r="C236" s="3">
        <v>876.08</v>
      </c>
      <c r="D236" s="3">
        <v>5.3248499999999996</v>
      </c>
      <c r="E236" s="3">
        <v>17.431000000000001</v>
      </c>
      <c r="F236">
        <f t="shared" si="17"/>
        <v>-2.2029331722643875E-3</v>
      </c>
      <c r="G236">
        <f t="shared" si="18"/>
        <v>-9.804974258410426E-3</v>
      </c>
      <c r="H236">
        <f t="shared" si="19"/>
        <v>-7.548435796360109E-3</v>
      </c>
      <c r="I236">
        <f t="shared" si="20"/>
        <v>-9.6866744311564501E-3</v>
      </c>
      <c r="J236">
        <f t="shared" si="21"/>
        <v>-2.2832976399203256E-3</v>
      </c>
    </row>
    <row r="237" spans="1:10" x14ac:dyDescent="0.25">
      <c r="A237" s="4">
        <v>46044</v>
      </c>
      <c r="B237" s="5">
        <v>3628.07</v>
      </c>
      <c r="C237" s="5">
        <v>870.98</v>
      </c>
      <c r="D237" s="5">
        <v>5.2956500000000002</v>
      </c>
      <c r="E237" s="5">
        <v>17.472999999999999</v>
      </c>
      <c r="F237">
        <f t="shared" si="17"/>
        <v>-1.2933907569083747E-2</v>
      </c>
      <c r="G237">
        <f t="shared" si="18"/>
        <v>-5.8213861747785645E-3</v>
      </c>
      <c r="H237">
        <f t="shared" si="19"/>
        <v>-5.4837225461749073E-3</v>
      </c>
      <c r="I237">
        <f t="shared" si="20"/>
        <v>2.4095003155297778E-3</v>
      </c>
      <c r="J237">
        <f t="shared" si="21"/>
        <v>3.7731222158746752E-3</v>
      </c>
    </row>
    <row r="238" spans="1:10" x14ac:dyDescent="0.25">
      <c r="A238" s="2">
        <v>46045</v>
      </c>
      <c r="B238" s="3">
        <v>3629.16</v>
      </c>
      <c r="C238" s="3">
        <v>868.42499999999995</v>
      </c>
      <c r="D238" s="3">
        <v>5.2839499999999999</v>
      </c>
      <c r="E238" s="3">
        <v>17.4605</v>
      </c>
      <c r="F238">
        <f t="shared" si="17"/>
        <v>3.0043521762257441E-4</v>
      </c>
      <c r="G238">
        <f t="shared" si="18"/>
        <v>-2.9334772325427805E-3</v>
      </c>
      <c r="H238">
        <f t="shared" si="19"/>
        <v>-2.2093605128737925E-3</v>
      </c>
      <c r="I238">
        <f t="shared" si="20"/>
        <v>-7.1538945802085419E-4</v>
      </c>
      <c r="J238">
        <f t="shared" si="21"/>
        <v>-3.0365525146648485E-4</v>
      </c>
    </row>
    <row r="239" spans="1:10" x14ac:dyDescent="0.25">
      <c r="A239" s="4">
        <v>46048</v>
      </c>
      <c r="B239" s="5">
        <v>3674.75</v>
      </c>
      <c r="C239" s="5">
        <v>860.20500000000004</v>
      </c>
      <c r="D239" s="5">
        <v>5.2620500000000003</v>
      </c>
      <c r="E239" s="5">
        <v>17.254000000000001</v>
      </c>
      <c r="F239">
        <f t="shared" si="17"/>
        <v>1.2562135590604928E-2</v>
      </c>
      <c r="G239">
        <f t="shared" si="18"/>
        <v>-9.4654115208566703E-3</v>
      </c>
      <c r="H239">
        <f t="shared" si="19"/>
        <v>-4.1446266524095554E-3</v>
      </c>
      <c r="I239">
        <f t="shared" si="20"/>
        <v>-1.1826694539102456E-2</v>
      </c>
      <c r="J239">
        <f t="shared" si="21"/>
        <v>-7.0289182155172727E-3</v>
      </c>
    </row>
    <row r="240" spans="1:10" x14ac:dyDescent="0.25">
      <c r="A240" s="2">
        <v>46049</v>
      </c>
      <c r="B240" s="3">
        <v>3673.6</v>
      </c>
      <c r="C240" s="3">
        <v>861.42499999999995</v>
      </c>
      <c r="D240" s="3">
        <v>5.2193500000000004</v>
      </c>
      <c r="E240" s="3">
        <v>17.253</v>
      </c>
      <c r="F240">
        <f t="shared" si="17"/>
        <v>-3.1294645894286433E-4</v>
      </c>
      <c r="G240">
        <f t="shared" si="18"/>
        <v>1.4182665759905344E-3</v>
      </c>
      <c r="H240">
        <f t="shared" si="19"/>
        <v>-8.1147081460647419E-3</v>
      </c>
      <c r="I240">
        <f t="shared" si="20"/>
        <v>-5.7957575055112009E-5</v>
      </c>
      <c r="J240">
        <f t="shared" si="21"/>
        <v>2.6227002774878746E-3</v>
      </c>
    </row>
    <row r="241" spans="1:10" x14ac:dyDescent="0.25">
      <c r="A241" s="4">
        <v>46050</v>
      </c>
      <c r="B241" s="5">
        <v>3671.5749999999998</v>
      </c>
      <c r="C241" s="5">
        <v>862.45500000000004</v>
      </c>
      <c r="D241" s="5">
        <v>5.2102000000000004</v>
      </c>
      <c r="E241" s="5">
        <v>17.216999999999999</v>
      </c>
      <c r="F241">
        <f t="shared" si="17"/>
        <v>-5.5123040069693374E-4</v>
      </c>
      <c r="G241">
        <f t="shared" si="18"/>
        <v>1.1956931828076556E-3</v>
      </c>
      <c r="H241">
        <f t="shared" si="19"/>
        <v>-1.7530918600975332E-3</v>
      </c>
      <c r="I241">
        <f t="shared" si="20"/>
        <v>-2.0865936358894777E-3</v>
      </c>
      <c r="J241">
        <f t="shared" si="21"/>
        <v>2.9556585861436864E-4</v>
      </c>
    </row>
    <row r="242" spans="1:10" x14ac:dyDescent="0.25">
      <c r="A242" s="2">
        <v>46051</v>
      </c>
      <c r="B242" s="3">
        <v>3668.49</v>
      </c>
      <c r="C242" s="3">
        <v>866.56500000000005</v>
      </c>
      <c r="D242" s="3">
        <v>5.2316500000000001</v>
      </c>
      <c r="E242" s="3">
        <v>17.329499999999999</v>
      </c>
      <c r="F242">
        <f t="shared" si="17"/>
        <v>-8.4023886206874288E-4</v>
      </c>
      <c r="G242">
        <f t="shared" si="18"/>
        <v>4.7654660243143798E-3</v>
      </c>
      <c r="H242">
        <f t="shared" si="19"/>
        <v>4.1169244942611538E-3</v>
      </c>
      <c r="I242">
        <f t="shared" si="20"/>
        <v>6.5342394145322391E-3</v>
      </c>
      <c r="J242">
        <f t="shared" si="21"/>
        <v>1.9171885637159953E-3</v>
      </c>
    </row>
    <row r="243" spans="1:10" x14ac:dyDescent="0.25">
      <c r="A243" s="4">
        <v>46052</v>
      </c>
      <c r="B243" s="5">
        <v>3669.54</v>
      </c>
      <c r="C243" s="5">
        <v>863.23500000000001</v>
      </c>
      <c r="D243" s="5">
        <v>5.2355499999999999</v>
      </c>
      <c r="E243" s="5">
        <v>17.347000000000001</v>
      </c>
      <c r="F243">
        <f t="shared" si="17"/>
        <v>2.8622130631417164E-4</v>
      </c>
      <c r="G243">
        <f t="shared" si="18"/>
        <v>-3.8427584774368695E-3</v>
      </c>
      <c r="H243">
        <f t="shared" si="19"/>
        <v>7.4546271252851071E-4</v>
      </c>
      <c r="I243">
        <f t="shared" si="20"/>
        <v>1.0098387143311349E-3</v>
      </c>
      <c r="J243">
        <f t="shared" si="21"/>
        <v>-8.4411328477728017E-4</v>
      </c>
    </row>
    <row r="244" spans="1:10" x14ac:dyDescent="0.25">
      <c r="A244" s="2">
        <v>46055</v>
      </c>
      <c r="B244" s="3">
        <v>3626.16</v>
      </c>
      <c r="C244" s="3">
        <v>869.85500000000002</v>
      </c>
      <c r="D244" s="3">
        <v>5.2628000000000004</v>
      </c>
      <c r="E244" s="3">
        <v>17.439499999999999</v>
      </c>
      <c r="F244">
        <f t="shared" si="17"/>
        <v>-1.1821645219836863E-2</v>
      </c>
      <c r="G244">
        <f t="shared" si="18"/>
        <v>7.6688271444045331E-3</v>
      </c>
      <c r="H244">
        <f t="shared" si="19"/>
        <v>5.2048017877779351E-3</v>
      </c>
      <c r="I244">
        <f t="shared" si="20"/>
        <v>5.3323341211735098E-3</v>
      </c>
      <c r="J244">
        <f t="shared" si="21"/>
        <v>4.3666417291079703E-3</v>
      </c>
    </row>
    <row r="245" spans="1:10" x14ac:dyDescent="0.25">
      <c r="A245" s="4">
        <v>46056</v>
      </c>
      <c r="B245" s="5">
        <v>3631.27</v>
      </c>
      <c r="C245" s="5">
        <v>858.56</v>
      </c>
      <c r="D245" s="5">
        <v>5.2157499999999999</v>
      </c>
      <c r="E245" s="5">
        <v>17.2225</v>
      </c>
      <c r="F245">
        <f t="shared" si="17"/>
        <v>1.4092042270612559E-3</v>
      </c>
      <c r="G245">
        <f t="shared" si="18"/>
        <v>-1.2984922774485486E-2</v>
      </c>
      <c r="H245">
        <f t="shared" si="19"/>
        <v>-8.9401079273391248E-3</v>
      </c>
      <c r="I245">
        <f t="shared" si="20"/>
        <v>-1.2443017288339631E-2</v>
      </c>
      <c r="J245">
        <f t="shared" si="21"/>
        <v>-4.1717252672883046E-3</v>
      </c>
    </row>
    <row r="246" spans="1:10" x14ac:dyDescent="0.25">
      <c r="A246" s="2">
        <v>46057</v>
      </c>
      <c r="B246" s="3">
        <v>3647.14</v>
      </c>
      <c r="C246" s="3">
        <v>858.05</v>
      </c>
      <c r="D246" s="3">
        <v>5.2500999999999998</v>
      </c>
      <c r="E246" s="3">
        <v>17.272500000000001</v>
      </c>
      <c r="F246">
        <f t="shared" si="17"/>
        <v>4.3703717982963575E-3</v>
      </c>
      <c r="G246">
        <f t="shared" si="18"/>
        <v>-5.9401789042112796E-4</v>
      </c>
      <c r="H246">
        <f t="shared" si="19"/>
        <v>6.5858217897714066E-3</v>
      </c>
      <c r="I246">
        <f t="shared" si="20"/>
        <v>2.9031789809841335E-3</v>
      </c>
      <c r="J246">
        <f t="shared" si="21"/>
        <v>-2.1261540443781282E-3</v>
      </c>
    </row>
    <row r="247" spans="1:10" x14ac:dyDescent="0.25">
      <c r="A247" s="4">
        <v>46058</v>
      </c>
      <c r="B247" s="5">
        <v>3696.03</v>
      </c>
      <c r="C247" s="5">
        <v>867.61500000000001</v>
      </c>
      <c r="D247" s="5">
        <v>5.2737499999999997</v>
      </c>
      <c r="E247" s="5">
        <v>17.431750000000001</v>
      </c>
      <c r="F247">
        <f t="shared" si="17"/>
        <v>1.3405024210751515E-2</v>
      </c>
      <c r="G247">
        <f t="shared" si="18"/>
        <v>1.1147369034438581E-2</v>
      </c>
      <c r="H247">
        <f t="shared" si="19"/>
        <v>4.5046761014075898E-3</v>
      </c>
      <c r="I247">
        <f t="shared" si="20"/>
        <v>9.2198581560283266E-3</v>
      </c>
      <c r="J247">
        <f t="shared" si="21"/>
        <v>8.0807164265844214E-4</v>
      </c>
    </row>
    <row r="248" spans="1:10" x14ac:dyDescent="0.25">
      <c r="A248" s="2">
        <v>46059</v>
      </c>
      <c r="B248" s="3">
        <v>3657.4</v>
      </c>
      <c r="C248" s="3">
        <v>858.44500000000005</v>
      </c>
      <c r="D248" s="3">
        <v>5.22715</v>
      </c>
      <c r="E248" s="3">
        <v>17.314</v>
      </c>
      <c r="F248">
        <f t="shared" si="17"/>
        <v>-1.045175499116624E-2</v>
      </c>
      <c r="G248">
        <f t="shared" si="18"/>
        <v>-1.0569204082455874E-2</v>
      </c>
      <c r="H248">
        <f t="shared" si="19"/>
        <v>-8.8362171130599299E-3</v>
      </c>
      <c r="I248">
        <f t="shared" si="20"/>
        <v>-6.7549155994092169E-3</v>
      </c>
      <c r="J248">
        <f t="shared" si="21"/>
        <v>5.5203951128305717E-4</v>
      </c>
    </row>
    <row r="249" spans="1:10" x14ac:dyDescent="0.25">
      <c r="A249" s="4">
        <v>46062</v>
      </c>
      <c r="B249" s="5">
        <v>3647.105</v>
      </c>
      <c r="C249" s="5">
        <v>854.005</v>
      </c>
      <c r="D249" s="5">
        <v>5.1766500000000004</v>
      </c>
      <c r="E249" s="5">
        <v>17.158999999999999</v>
      </c>
      <c r="F249">
        <f t="shared" si="17"/>
        <v>-2.8148411439821164E-3</v>
      </c>
      <c r="G249">
        <f t="shared" si="18"/>
        <v>-5.172142653285916E-3</v>
      </c>
      <c r="H249">
        <f t="shared" si="19"/>
        <v>-9.66109639095869E-3</v>
      </c>
      <c r="I249">
        <f t="shared" si="20"/>
        <v>-8.9522929421278485E-3</v>
      </c>
      <c r="J249">
        <f t="shared" si="21"/>
        <v>-3.2695493294783266E-4</v>
      </c>
    </row>
    <row r="250" spans="1:10" x14ac:dyDescent="0.25">
      <c r="A250" s="2">
        <v>46063</v>
      </c>
      <c r="B250" s="3">
        <v>3657.3</v>
      </c>
      <c r="C250" s="3">
        <v>857.38</v>
      </c>
      <c r="D250" s="3">
        <v>5.2030000000000003</v>
      </c>
      <c r="E250" s="3">
        <v>17.231000000000002</v>
      </c>
      <c r="F250">
        <f t="shared" si="17"/>
        <v>2.7953678328427323E-3</v>
      </c>
      <c r="G250">
        <f t="shared" si="18"/>
        <v>3.9519674943355732E-3</v>
      </c>
      <c r="H250">
        <f t="shared" si="19"/>
        <v>5.0901644886172104E-3</v>
      </c>
      <c r="I250">
        <f t="shared" si="20"/>
        <v>4.1960487207881592E-3</v>
      </c>
      <c r="J250">
        <f t="shared" si="21"/>
        <v>8.6566559347836004E-6</v>
      </c>
    </row>
    <row r="251" spans="1:10" x14ac:dyDescent="0.25">
      <c r="A251" s="4">
        <v>46064</v>
      </c>
      <c r="B251" s="5">
        <v>3672.15</v>
      </c>
      <c r="C251" s="5">
        <v>855.58500000000004</v>
      </c>
      <c r="D251" s="5">
        <v>5.1864999999999997</v>
      </c>
      <c r="E251" s="5">
        <v>17.233000000000001</v>
      </c>
      <c r="F251">
        <f t="shared" si="17"/>
        <v>4.0603724058732027E-3</v>
      </c>
      <c r="G251">
        <f t="shared" si="18"/>
        <v>-2.0935874408080091E-3</v>
      </c>
      <c r="H251">
        <f t="shared" si="19"/>
        <v>-3.1712473572940159E-3</v>
      </c>
      <c r="I251">
        <f t="shared" si="20"/>
        <v>1.160698740640953E-4</v>
      </c>
      <c r="J251">
        <f t="shared" si="21"/>
        <v>-4.5440295721857168E-4</v>
      </c>
    </row>
    <row r="252" spans="1:10" x14ac:dyDescent="0.25">
      <c r="A252" s="2">
        <v>46065</v>
      </c>
      <c r="B252" s="3">
        <v>3661.09</v>
      </c>
      <c r="C252" s="3">
        <v>854.94500000000005</v>
      </c>
      <c r="D252" s="3">
        <v>5.1696499999999999</v>
      </c>
      <c r="E252" s="3">
        <v>17.18675</v>
      </c>
      <c r="F252">
        <f t="shared" si="17"/>
        <v>-3.0118595373282986E-3</v>
      </c>
      <c r="G252">
        <f t="shared" si="18"/>
        <v>-7.4802620429292865E-4</v>
      </c>
      <c r="H252">
        <f t="shared" si="19"/>
        <v>-3.2488190494552871E-3</v>
      </c>
      <c r="I252">
        <f t="shared" si="20"/>
        <v>-2.683804328903916E-3</v>
      </c>
      <c r="J252">
        <f t="shared" si="21"/>
        <v>6.6002260749435204E-4</v>
      </c>
    </row>
    <row r="253" spans="1:10" x14ac:dyDescent="0.25">
      <c r="A253" s="4">
        <v>46066</v>
      </c>
      <c r="B253" s="5">
        <v>3655.88</v>
      </c>
      <c r="C253" s="5">
        <v>864.05</v>
      </c>
      <c r="D253" s="5">
        <v>5.2377000000000002</v>
      </c>
      <c r="E253" s="5">
        <v>17.186</v>
      </c>
      <c r="F253">
        <f t="shared" si="17"/>
        <v>-1.4230734562657998E-3</v>
      </c>
      <c r="G253">
        <f t="shared" si="18"/>
        <v>1.0649807882378237E-2</v>
      </c>
      <c r="H253">
        <f t="shared" si="19"/>
        <v>1.3163366959078493E-2</v>
      </c>
      <c r="I253">
        <f t="shared" si="20"/>
        <v>-4.3638267851697776E-5</v>
      </c>
      <c r="J253">
        <f t="shared" si="21"/>
        <v>-9.8575004333748971E-4</v>
      </c>
    </row>
    <row r="254" spans="1:10" x14ac:dyDescent="0.25">
      <c r="A254" s="2">
        <v>46069</v>
      </c>
      <c r="B254" s="3">
        <v>3660</v>
      </c>
      <c r="C254" s="3">
        <v>864.255</v>
      </c>
      <c r="D254" s="3">
        <v>5.2227499999999996</v>
      </c>
      <c r="E254" s="3">
        <v>17.177</v>
      </c>
      <c r="F254">
        <f t="shared" si="17"/>
        <v>1.1269516504917032E-3</v>
      </c>
      <c r="G254">
        <f t="shared" si="18"/>
        <v>2.372547884961218E-4</v>
      </c>
      <c r="H254">
        <f t="shared" si="19"/>
        <v>-2.8543062794739171E-3</v>
      </c>
      <c r="I254">
        <f t="shared" si="20"/>
        <v>-5.2368206679853646E-4</v>
      </c>
      <c r="J254">
        <f t="shared" si="21"/>
        <v>4.4968520085525432E-4</v>
      </c>
    </row>
    <row r="255" spans="1:10" x14ac:dyDescent="0.25">
      <c r="A255" s="4">
        <v>46070</v>
      </c>
      <c r="B255" s="5">
        <v>3667.29</v>
      </c>
      <c r="C255" s="5">
        <v>869.78499999999997</v>
      </c>
      <c r="D255" s="5">
        <v>5.2227499999999996</v>
      </c>
      <c r="E255" s="5">
        <v>17.21</v>
      </c>
      <c r="F255">
        <f t="shared" si="17"/>
        <v>1.9918032786885309E-3</v>
      </c>
      <c r="G255">
        <f t="shared" si="18"/>
        <v>6.3985744947960832E-3</v>
      </c>
      <c r="H255">
        <f t="shared" si="19"/>
        <v>0</v>
      </c>
      <c r="I255">
        <f t="shared" si="20"/>
        <v>1.9211736624555886E-3</v>
      </c>
      <c r="J255">
        <f t="shared" si="21"/>
        <v>1.512941843150453E-3</v>
      </c>
    </row>
    <row r="256" spans="1:10" x14ac:dyDescent="0.25">
      <c r="A256" s="2">
        <v>46071</v>
      </c>
      <c r="B256" s="3">
        <v>3664.56</v>
      </c>
      <c r="C256" s="3">
        <v>861.54499999999996</v>
      </c>
      <c r="D256" s="3">
        <v>5.2051499999999997</v>
      </c>
      <c r="E256" s="3">
        <v>17.138000000000002</v>
      </c>
      <c r="F256">
        <f t="shared" si="17"/>
        <v>-7.4441890333187821E-4</v>
      </c>
      <c r="G256">
        <f t="shared" si="18"/>
        <v>-9.4736055461982493E-3</v>
      </c>
      <c r="H256">
        <f t="shared" si="19"/>
        <v>-3.369872193767609E-3</v>
      </c>
      <c r="I256">
        <f t="shared" si="20"/>
        <v>-4.1836141778035518E-3</v>
      </c>
      <c r="J256">
        <f t="shared" si="21"/>
        <v>-2.1658586939802887E-3</v>
      </c>
    </row>
    <row r="257" spans="1:10" x14ac:dyDescent="0.25">
      <c r="A257" s="4">
        <v>46072</v>
      </c>
      <c r="B257" s="5">
        <v>3697.54</v>
      </c>
      <c r="C257" s="5">
        <v>865.04499999999996</v>
      </c>
      <c r="D257" s="5">
        <v>5.2163000000000004</v>
      </c>
      <c r="E257" s="5">
        <v>17.254000000000001</v>
      </c>
      <c r="F257">
        <f t="shared" si="17"/>
        <v>8.9997162005805986E-3</v>
      </c>
      <c r="G257">
        <f t="shared" si="18"/>
        <v>4.0624691687607406E-3</v>
      </c>
      <c r="H257">
        <f t="shared" si="19"/>
        <v>2.1421092571780598E-3</v>
      </c>
      <c r="I257">
        <f t="shared" si="20"/>
        <v>6.7685844322558086E-3</v>
      </c>
      <c r="J257">
        <f t="shared" si="21"/>
        <v>1.8796598600607302E-4</v>
      </c>
    </row>
    <row r="258" spans="1:10" x14ac:dyDescent="0.25">
      <c r="A258" s="2">
        <v>46073</v>
      </c>
      <c r="B258" s="3">
        <v>3684.15</v>
      </c>
      <c r="C258" s="3">
        <v>867.22500000000002</v>
      </c>
      <c r="D258" s="3">
        <v>5.1866500000000002</v>
      </c>
      <c r="E258" s="3">
        <v>17.158000000000001</v>
      </c>
      <c r="F258">
        <f t="shared" si="17"/>
        <v>-3.6213266117471887E-3</v>
      </c>
      <c r="G258">
        <f t="shared" si="18"/>
        <v>2.5201001103989373E-3</v>
      </c>
      <c r="H258">
        <f t="shared" si="19"/>
        <v>-5.6841055920864303E-3</v>
      </c>
      <c r="I258">
        <f t="shared" si="20"/>
        <v>-5.5639272052857569E-3</v>
      </c>
      <c r="J258">
        <f t="shared" si="21"/>
        <v>1.3981443790326592E-3</v>
      </c>
    </row>
    <row r="259" spans="1:10" x14ac:dyDescent="0.25">
      <c r="A259" s="4">
        <v>46076</v>
      </c>
      <c r="B259" s="5">
        <v>3683.5</v>
      </c>
      <c r="C259" s="5">
        <v>867.30499999999995</v>
      </c>
      <c r="D259" s="5">
        <v>5.1541499999999996</v>
      </c>
      <c r="E259" s="5">
        <v>17.199000000000002</v>
      </c>
      <c r="F259">
        <f t="shared" si="17"/>
        <v>-1.7643146994561487E-4</v>
      </c>
      <c r="G259">
        <f>C259/C258-1</f>
        <v>9.2248263138028364E-5</v>
      </c>
      <c r="H259">
        <f t="shared" si="19"/>
        <v>-6.2660869732873437E-3</v>
      </c>
      <c r="I259">
        <f t="shared" si="20"/>
        <v>2.3895558922950588E-3</v>
      </c>
      <c r="J259">
        <f t="shared" si="21"/>
        <v>2.4640518477914769E-3</v>
      </c>
    </row>
    <row r="260" spans="1:10" x14ac:dyDescent="0.25">
      <c r="A260" s="2">
        <v>46077</v>
      </c>
      <c r="B260" s="3">
        <v>3704.77</v>
      </c>
      <c r="C260" s="3">
        <v>864.13499999999999</v>
      </c>
      <c r="D260" s="3">
        <v>5.1523500000000002</v>
      </c>
      <c r="E260" s="3">
        <v>17.236499999999999</v>
      </c>
      <c r="F260">
        <f t="shared" ref="F260:F263" si="22">B260/B259-1</f>
        <v>5.7743993484458134E-3</v>
      </c>
      <c r="G260">
        <f t="shared" ref="G260:G263" si="23">C260/C259-1</f>
        <v>-3.6550002594242237E-3</v>
      </c>
      <c r="H260">
        <f t="shared" ref="H260:H263" si="24">D260/D259-1</f>
        <v>-3.4923314222512492E-4</v>
      </c>
      <c r="I260">
        <f t="shared" ref="I260:I263" si="25">E260/E259-1</f>
        <v>2.1803593232163632E-3</v>
      </c>
      <c r="J260">
        <f t="shared" ref="J260:J263" si="26">SUMPRODUCT(F260:I260,$O$3:$R$3)</f>
        <v>-1.3927575613484839E-3</v>
      </c>
    </row>
    <row r="261" spans="1:10" x14ac:dyDescent="0.25">
      <c r="A261" s="4">
        <v>46078</v>
      </c>
      <c r="B261" s="5">
        <v>3703.97</v>
      </c>
      <c r="C261" s="5">
        <v>858.2</v>
      </c>
      <c r="D261" s="5">
        <v>5.1468499999999997</v>
      </c>
      <c r="E261" s="5">
        <v>17.164000000000001</v>
      </c>
      <c r="F261">
        <f t="shared" si="22"/>
        <v>-2.1593783149831403E-4</v>
      </c>
      <c r="G261">
        <f t="shared" si="23"/>
        <v>-6.8681398161166696E-3</v>
      </c>
      <c r="H261">
        <f t="shared" si="24"/>
        <v>-1.0674740652324433E-3</v>
      </c>
      <c r="I261">
        <f t="shared" si="25"/>
        <v>-4.206190351869421E-3</v>
      </c>
      <c r="J261">
        <f t="shared" si="26"/>
        <v>-2.3501327428699062E-3</v>
      </c>
    </row>
    <row r="262" spans="1:10" x14ac:dyDescent="0.25">
      <c r="A262" s="2">
        <v>46079</v>
      </c>
      <c r="B262" s="3">
        <v>3751.48</v>
      </c>
      <c r="C262" s="3">
        <v>864.20500000000004</v>
      </c>
      <c r="D262" s="3">
        <v>5.14175</v>
      </c>
      <c r="E262" s="3">
        <v>17.222000000000001</v>
      </c>
      <c r="F262">
        <f t="shared" si="22"/>
        <v>1.2826777754679553E-2</v>
      </c>
      <c r="G262">
        <f t="shared" si="23"/>
        <v>6.9972034490795032E-3</v>
      </c>
      <c r="H262">
        <f t="shared" si="24"/>
        <v>-9.908973449779257E-4</v>
      </c>
      <c r="I262">
        <f t="shared" si="25"/>
        <v>3.3791656956421168E-3</v>
      </c>
      <c r="J262">
        <f t="shared" si="26"/>
        <v>-8.1554556627776924E-5</v>
      </c>
    </row>
    <row r="263" spans="1:10" x14ac:dyDescent="0.25">
      <c r="A263" s="4">
        <v>46080</v>
      </c>
      <c r="B263" s="5">
        <v>3755.2950000000001</v>
      </c>
      <c r="C263" s="5">
        <v>874.14</v>
      </c>
      <c r="D263" s="5">
        <v>5.1283500000000002</v>
      </c>
      <c r="E263" s="5">
        <v>17.206</v>
      </c>
      <c r="F263">
        <f t="shared" si="22"/>
        <v>1.0169319841768498E-3</v>
      </c>
      <c r="G263">
        <f t="shared" si="23"/>
        <v>1.1496114926435208E-2</v>
      </c>
      <c r="H263">
        <f t="shared" si="24"/>
        <v>-2.6061165945446829E-3</v>
      </c>
      <c r="I263">
        <f t="shared" si="25"/>
        <v>-9.2904424573225786E-4</v>
      </c>
      <c r="J263">
        <f t="shared" si="26"/>
        <v>2.7945607507275311E-3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USDCOP</vt:lpstr>
      <vt:lpstr>USDCLP</vt:lpstr>
      <vt:lpstr>USDBRL</vt:lpstr>
      <vt:lpstr>USDMXN</vt:lpstr>
      <vt:lpstr>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Samuel Gómez Jiménez</cp:lastModifiedBy>
  <dcterms:created xsi:type="dcterms:W3CDTF">2026-03-02T02:03:36Z</dcterms:created>
  <dcterms:modified xsi:type="dcterms:W3CDTF">2026-03-03T01:42:20Z</dcterms:modified>
</cp:coreProperties>
</file>