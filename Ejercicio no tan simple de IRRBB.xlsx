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"/>
    </mc:Choice>
  </mc:AlternateContent>
  <xr:revisionPtr revIDLastSave="0" documentId="13_ncr:1_{8FFE59A8-278E-4675-B827-02AC16846DF3}" xr6:coauthVersionLast="47" xr6:coauthVersionMax="47" xr10:uidLastSave="{00000000-0000-0000-0000-000000000000}"/>
  <bookViews>
    <workbookView xWindow="-23148" yWindow="-108" windowWidth="23256" windowHeight="12456" xr2:uid="{637D9833-9F85-4F4B-A174-2A3F6A082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J30" i="1"/>
  <c r="I13" i="1"/>
  <c r="H22" i="1"/>
  <c r="H21" i="1"/>
  <c r="D22" i="1"/>
  <c r="D21" i="1"/>
  <c r="I17" i="1"/>
  <c r="I15" i="1"/>
  <c r="I14" i="1"/>
  <c r="I12" i="1"/>
  <c r="I16" i="1" s="1"/>
  <c r="I10" i="1"/>
  <c r="I7" i="1"/>
  <c r="I8" i="1"/>
  <c r="I9" i="1"/>
  <c r="I6" i="1"/>
  <c r="H23" i="1"/>
  <c r="D23" i="1"/>
  <c r="D17" i="1"/>
  <c r="D10" i="1" l="1"/>
</calcChain>
</file>

<file path=xl/sharedStrings.xml><?xml version="1.0" encoding="utf-8"?>
<sst xmlns="http://schemas.openxmlformats.org/spreadsheetml/2006/main" count="45" uniqueCount="38">
  <si>
    <t>Efectivo</t>
  </si>
  <si>
    <t>Bonos gubernamentales</t>
  </si>
  <si>
    <t>Préstamos a empresas</t>
  </si>
  <si>
    <t>Hipotecas</t>
  </si>
  <si>
    <t>Importe (mdp)</t>
  </si>
  <si>
    <t>Tasa</t>
  </si>
  <si>
    <t>TIIEF + 3%</t>
  </si>
  <si>
    <t>Plazo o repreciación</t>
  </si>
  <si>
    <t>NA</t>
  </si>
  <si>
    <t>Fija a 10 años</t>
  </si>
  <si>
    <t>Fija a 20 años</t>
  </si>
  <si>
    <t>Mensual</t>
  </si>
  <si>
    <t xml:space="preserve">Duración </t>
  </si>
  <si>
    <t>Total activos</t>
  </si>
  <si>
    <t>Préstamos interbancarios</t>
  </si>
  <si>
    <t>Bonos emitidos TV</t>
  </si>
  <si>
    <t>Bonos emitidos TF</t>
  </si>
  <si>
    <t>Depósitos a la vista</t>
  </si>
  <si>
    <t>Capital Tier 1</t>
  </si>
  <si>
    <t>TIIEF + 0.5%</t>
  </si>
  <si>
    <t>TIIEF + 1.5%</t>
  </si>
  <si>
    <t>Total pasivos y capital</t>
  </si>
  <si>
    <t>Calcular el gap de TASAS utilizando la siguiente plantilla</t>
  </si>
  <si>
    <t>Activos Sensibles</t>
  </si>
  <si>
    <t>Pasivos Sensibles</t>
  </si>
  <si>
    <t>a 1 mes</t>
  </si>
  <si>
    <t>a 3 meses</t>
  </si>
  <si>
    <t>a 6 meses</t>
  </si>
  <si>
    <t>a 1 año</t>
  </si>
  <si>
    <t>más de 1 año</t>
  </si>
  <si>
    <t>GAP de Tasas</t>
  </si>
  <si>
    <t>Calculen el impacto en el Margen Financiero (NII) para los próximos 12 meses tras la subida de +100 bps en la TIIEF</t>
  </si>
  <si>
    <r>
      <rPr>
        <sz val="11"/>
        <color theme="1"/>
        <rFont val="Aptos Narrow"/>
        <family val="2"/>
        <scheme val="minor"/>
      </rPr>
      <t xml:space="preserve">¿El banco es </t>
    </r>
    <r>
      <rPr>
        <b/>
        <sz val="11"/>
        <color theme="1"/>
        <rFont val="Aptos Narrow"/>
        <family val="2"/>
        <scheme val="minor"/>
      </rPr>
      <t>Asset Sensitive</t>
    </r>
    <r>
      <rPr>
        <sz val="11"/>
        <color theme="1"/>
        <rFont val="Aptos Narrow"/>
        <family val="2"/>
        <scheme val="minor"/>
      </rPr>
      <t xml:space="preserve"> o </t>
    </r>
    <r>
      <rPr>
        <b/>
        <sz val="11"/>
        <color theme="1"/>
        <rFont val="Aptos Narrow"/>
        <family val="2"/>
        <scheme val="minor"/>
      </rPr>
      <t>Liability Sensitive</t>
    </r>
    <r>
      <rPr>
        <sz val="11"/>
        <color theme="1"/>
        <rFont val="Aptos Narrow"/>
        <family val="2"/>
        <scheme val="minor"/>
      </rPr>
      <t>? ¿El NII sube o baja?</t>
    </r>
  </si>
  <si>
    <t>Calculen el impacto en el valor económico ante el choque de +100 bps utilizando la aproximación de la duración.</t>
  </si>
  <si>
    <t>¿Qué efecto tiene en el capital Tier 1 del banco el choque de +100 bp? ¿Es mayor o menor al 15% de límite establecido por la regulación?</t>
  </si>
  <si>
    <t>¿Cómo cubrirías tu balance con derivados de tasa (swap payer o receiver, caps o floors, a qué plazo, qué nocional)?</t>
  </si>
  <si>
    <t>LIABILITY SENSITIVE, NII baja</t>
  </si>
  <si>
    <t>IMPACTO ECONÓMICO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</si>
</sst>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9" fontId="0" fillId="0" borderId="0" xfId="1" applyFont="1"/>
    <xf numFmtId="0" fontId="1" fillId="0" borderId="2" xfId="0" applyFont="1" applyBorder="1"/>
    <xf numFmtId="0" fontId="0" fillId="2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7BED-63EC-4B42-9DC4-1B20F8B6E96A}">
  <dimension ref="C5:L34"/>
  <sheetViews>
    <sheetView tabSelected="1" zoomScale="85" zoomScaleNormal="85" workbookViewId="0">
      <selection activeCell="L10" sqref="L10"/>
    </sheetView>
  </sheetViews>
  <sheetFormatPr baseColWidth="10" defaultRowHeight="15" x14ac:dyDescent="0.25"/>
  <cols>
    <col min="3" max="3" width="21.7109375" bestFit="1" customWidth="1"/>
    <col min="4" max="4" width="12.28515625" bestFit="1" customWidth="1"/>
    <col min="6" max="6" width="17.28515625" bestFit="1" customWidth="1"/>
  </cols>
  <sheetData>
    <row r="5" spans="3:9" x14ac:dyDescent="0.25">
      <c r="D5" s="1" t="s">
        <v>4</v>
      </c>
      <c r="E5" s="1" t="s">
        <v>5</v>
      </c>
      <c r="F5" s="1" t="s">
        <v>7</v>
      </c>
      <c r="G5" s="1" t="s">
        <v>12</v>
      </c>
      <c r="I5" s="1" t="s">
        <v>37</v>
      </c>
    </row>
    <row r="6" spans="3:9" x14ac:dyDescent="0.25">
      <c r="C6" t="s">
        <v>0</v>
      </c>
      <c r="D6" s="1">
        <v>200</v>
      </c>
      <c r="E6" s="2">
        <v>0</v>
      </c>
      <c r="F6" s="1" t="s">
        <v>8</v>
      </c>
      <c r="G6" s="1">
        <v>0</v>
      </c>
      <c r="I6">
        <f>-D6*G6*0.01</f>
        <v>0</v>
      </c>
    </row>
    <row r="7" spans="3:9" x14ac:dyDescent="0.25">
      <c r="C7" t="s">
        <v>1</v>
      </c>
      <c r="D7" s="1">
        <v>800</v>
      </c>
      <c r="E7" s="3">
        <v>9.5000000000000001E-2</v>
      </c>
      <c r="F7" s="1" t="s">
        <v>9</v>
      </c>
      <c r="G7" s="1">
        <v>6.8</v>
      </c>
      <c r="I7">
        <f t="shared" ref="I7:I9" si="0">-D7*G7*0.01</f>
        <v>-54.4</v>
      </c>
    </row>
    <row r="8" spans="3:9" x14ac:dyDescent="0.25">
      <c r="C8" t="s">
        <v>2</v>
      </c>
      <c r="D8" s="1">
        <v>1200</v>
      </c>
      <c r="E8" s="1" t="s">
        <v>6</v>
      </c>
      <c r="F8" s="1" t="s">
        <v>11</v>
      </c>
      <c r="G8" s="1">
        <v>0.08</v>
      </c>
      <c r="I8">
        <f t="shared" si="0"/>
        <v>-0.96</v>
      </c>
    </row>
    <row r="9" spans="3:9" x14ac:dyDescent="0.25">
      <c r="C9" t="s">
        <v>3</v>
      </c>
      <c r="D9" s="1">
        <v>2500</v>
      </c>
      <c r="E9" s="2">
        <v>0.11</v>
      </c>
      <c r="F9" s="1" t="s">
        <v>10</v>
      </c>
      <c r="G9" s="1">
        <v>8.4</v>
      </c>
      <c r="I9">
        <f t="shared" si="0"/>
        <v>-210</v>
      </c>
    </row>
    <row r="10" spans="3:9" x14ac:dyDescent="0.25">
      <c r="C10" s="4" t="s">
        <v>13</v>
      </c>
      <c r="D10" s="5">
        <f>SUM(D6:D9)</f>
        <v>4700</v>
      </c>
      <c r="I10" s="4">
        <f>SUM(I6:I9)</f>
        <v>-265.36</v>
      </c>
    </row>
    <row r="12" spans="3:9" x14ac:dyDescent="0.25">
      <c r="C12" t="s">
        <v>17</v>
      </c>
      <c r="D12" s="1">
        <v>200</v>
      </c>
      <c r="E12" s="2">
        <v>0</v>
      </c>
      <c r="F12" s="1" t="s">
        <v>8</v>
      </c>
      <c r="G12" s="1">
        <v>0</v>
      </c>
      <c r="I12">
        <f>-D12*G12*0.01</f>
        <v>0</v>
      </c>
    </row>
    <row r="13" spans="3:9" x14ac:dyDescent="0.25">
      <c r="C13" t="s">
        <v>14</v>
      </c>
      <c r="D13" s="1">
        <v>1500</v>
      </c>
      <c r="E13" s="1" t="s">
        <v>19</v>
      </c>
      <c r="F13" s="1" t="s">
        <v>11</v>
      </c>
      <c r="G13" s="1">
        <v>0.08</v>
      </c>
      <c r="I13">
        <f>-D13*G13*0.01</f>
        <v>-1.2</v>
      </c>
    </row>
    <row r="14" spans="3:9" x14ac:dyDescent="0.25">
      <c r="C14" t="s">
        <v>15</v>
      </c>
      <c r="D14" s="1">
        <v>1000</v>
      </c>
      <c r="E14" s="1" t="s">
        <v>20</v>
      </c>
      <c r="F14" s="1" t="s">
        <v>11</v>
      </c>
      <c r="G14" s="1">
        <v>0.08</v>
      </c>
      <c r="I14">
        <f t="shared" ref="I13:I15" si="1">-D14*G14*0.01</f>
        <v>-0.8</v>
      </c>
    </row>
    <row r="15" spans="3:9" x14ac:dyDescent="0.25">
      <c r="C15" t="s">
        <v>16</v>
      </c>
      <c r="D15" s="1">
        <v>1500</v>
      </c>
      <c r="E15" s="2">
        <v>0.1</v>
      </c>
      <c r="F15" s="1" t="s">
        <v>9</v>
      </c>
      <c r="G15" s="1">
        <v>7.2</v>
      </c>
      <c r="I15">
        <f t="shared" si="1"/>
        <v>-108</v>
      </c>
    </row>
    <row r="16" spans="3:9" x14ac:dyDescent="0.25">
      <c r="C16" t="s">
        <v>18</v>
      </c>
      <c r="D16" s="1">
        <v>500</v>
      </c>
      <c r="E16" s="1" t="s">
        <v>8</v>
      </c>
      <c r="F16" s="1" t="s">
        <v>8</v>
      </c>
      <c r="G16" s="1" t="s">
        <v>8</v>
      </c>
      <c r="I16" s="10">
        <f>SUM(I12:I15)</f>
        <v>-110</v>
      </c>
    </row>
    <row r="17" spans="3:12" x14ac:dyDescent="0.25">
      <c r="C17" s="4" t="s">
        <v>21</v>
      </c>
      <c r="D17" s="5">
        <f>SUM(D12:D16)</f>
        <v>4700</v>
      </c>
      <c r="I17" s="11">
        <f>I10-I16</f>
        <v>-155.36000000000001</v>
      </c>
    </row>
    <row r="19" spans="3:12" x14ac:dyDescent="0.25">
      <c r="C19" t="s">
        <v>22</v>
      </c>
    </row>
    <row r="20" spans="3:12" x14ac:dyDescent="0.25">
      <c r="C20" s="6"/>
      <c r="D20" s="6" t="s">
        <v>25</v>
      </c>
      <c r="E20" s="6" t="s">
        <v>26</v>
      </c>
      <c r="F20" s="6" t="s">
        <v>27</v>
      </c>
      <c r="G20" s="6" t="s">
        <v>28</v>
      </c>
      <c r="H20" s="6" t="s">
        <v>29</v>
      </c>
    </row>
    <row r="21" spans="3:12" x14ac:dyDescent="0.25">
      <c r="C21" s="6" t="s">
        <v>23</v>
      </c>
      <c r="D21" s="6">
        <f>D8</f>
        <v>1200</v>
      </c>
      <c r="E21" s="6"/>
      <c r="F21" s="6"/>
      <c r="G21" s="6"/>
      <c r="H21" s="6">
        <f>D7+D9</f>
        <v>3300</v>
      </c>
    </row>
    <row r="22" spans="3:12" x14ac:dyDescent="0.25">
      <c r="C22" s="6" t="s">
        <v>24</v>
      </c>
      <c r="D22" s="6">
        <f>D13+D14</f>
        <v>2500</v>
      </c>
      <c r="E22" s="6"/>
      <c r="F22" s="6"/>
      <c r="G22" s="6"/>
      <c r="H22" s="6">
        <f>D15</f>
        <v>1500</v>
      </c>
    </row>
    <row r="23" spans="3:12" x14ac:dyDescent="0.25">
      <c r="C23" s="1" t="s">
        <v>30</v>
      </c>
      <c r="D23">
        <f>D21-D22</f>
        <v>-1300</v>
      </c>
      <c r="H23">
        <f>H21-H22</f>
        <v>1800</v>
      </c>
    </row>
    <row r="25" spans="3:12" x14ac:dyDescent="0.25">
      <c r="C25" t="s">
        <v>31</v>
      </c>
    </row>
    <row r="26" spans="3:12" x14ac:dyDescent="0.25">
      <c r="C26" s="7" t="s">
        <v>32</v>
      </c>
    </row>
    <row r="27" spans="3:12" x14ac:dyDescent="0.25">
      <c r="C27" t="s">
        <v>36</v>
      </c>
    </row>
    <row r="30" spans="3:12" x14ac:dyDescent="0.25">
      <c r="C30" s="8" t="s">
        <v>33</v>
      </c>
      <c r="J30">
        <f>D21*0.01-D22*0.01</f>
        <v>-13</v>
      </c>
    </row>
    <row r="31" spans="3:12" x14ac:dyDescent="0.25">
      <c r="C31" t="s">
        <v>34</v>
      </c>
      <c r="L31" s="9">
        <f>I17/D16</f>
        <v>-0.31072000000000005</v>
      </c>
    </row>
    <row r="34" spans="3:3" x14ac:dyDescent="0.25">
      <c r="C3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GOMEZ JIMENEZ, SAMUEL</cp:lastModifiedBy>
  <dcterms:created xsi:type="dcterms:W3CDTF">2026-03-25T22:54:12Z</dcterms:created>
  <dcterms:modified xsi:type="dcterms:W3CDTF">2026-05-15T22:52:34Z</dcterms:modified>
</cp:coreProperties>
</file>