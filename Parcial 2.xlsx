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8CC3FCA8-311A-4282-8CEF-E0DEA678BBFF}" xr6:coauthVersionLast="47" xr6:coauthVersionMax="47" xr10:uidLastSave="{00000000-0000-0000-0000-000000000000}"/>
  <bookViews>
    <workbookView xWindow="-108" yWindow="-108" windowWidth="23256" windowHeight="12456" activeTab="3" xr2:uid="{F02342CE-70EC-4EE2-91AC-B3E77160F1EA}"/>
  </bookViews>
  <sheets>
    <sheet name="Datos" sheetId="1" r:id="rId1"/>
    <sheet name="LCR" sheetId="2" r:id="rId2"/>
    <sheet name="NSFT" sheetId="3" r:id="rId3"/>
    <sheet name="NI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D13" i="4"/>
  <c r="K4" i="4"/>
  <c r="D30" i="4"/>
  <c r="D29" i="4"/>
  <c r="C2" i="2"/>
  <c r="C2" i="3"/>
  <c r="E11" i="3"/>
  <c r="E10" i="3"/>
  <c r="E9" i="3"/>
  <c r="G32" i="2"/>
  <c r="G33" i="2"/>
  <c r="G34" i="2"/>
  <c r="G35" i="2"/>
  <c r="G31" i="2"/>
  <c r="G18" i="2"/>
  <c r="G19" i="2"/>
  <c r="G20" i="2"/>
  <c r="G21" i="2"/>
  <c r="G22" i="2"/>
  <c r="G17" i="2"/>
  <c r="G25" i="2"/>
  <c r="G26" i="2"/>
  <c r="G27" i="2"/>
  <c r="G28" i="2"/>
  <c r="G29" i="2"/>
  <c r="G24" i="2"/>
  <c r="F11" i="2"/>
  <c r="F9" i="2"/>
  <c r="F8" i="2"/>
  <c r="F7" i="2"/>
  <c r="G29" i="4"/>
  <c r="G32" i="4"/>
  <c r="G20" i="4"/>
  <c r="H20" i="4" s="1"/>
  <c r="G19" i="4"/>
  <c r="E19" i="4"/>
  <c r="E18" i="4"/>
  <c r="E13" i="4"/>
  <c r="E16" i="4"/>
  <c r="D33" i="4"/>
  <c r="E33" i="4" s="1"/>
  <c r="D32" i="4"/>
  <c r="D20" i="4"/>
  <c r="E20" i="4" s="1"/>
  <c r="C37" i="4"/>
  <c r="C36" i="4"/>
  <c r="C26" i="4"/>
  <c r="C27" i="4"/>
  <c r="C28" i="4"/>
  <c r="C29" i="4"/>
  <c r="E29" i="4" s="1"/>
  <c r="C30" i="4"/>
  <c r="E30" i="4" s="1"/>
  <c r="C31" i="4"/>
  <c r="E31" i="4" s="1"/>
  <c r="C32" i="4"/>
  <c r="K5" i="4" s="1"/>
  <c r="C33" i="4"/>
  <c r="C34" i="4"/>
  <c r="E34" i="4" s="1"/>
  <c r="C25" i="4"/>
  <c r="C11" i="4"/>
  <c r="C12" i="4"/>
  <c r="E12" i="4" s="1"/>
  <c r="C13" i="4"/>
  <c r="C14" i="4"/>
  <c r="E14" i="4" s="1"/>
  <c r="C15" i="4"/>
  <c r="E15" i="4" s="1"/>
  <c r="C16" i="4"/>
  <c r="C17" i="4"/>
  <c r="C18" i="4"/>
  <c r="C19" i="4"/>
  <c r="C20" i="4"/>
  <c r="C21" i="4"/>
  <c r="C22" i="4"/>
  <c r="C10" i="4"/>
  <c r="E8" i="3"/>
  <c r="E7" i="3"/>
  <c r="F34" i="2"/>
  <c r="F27" i="2"/>
  <c r="F26" i="2"/>
  <c r="F25" i="2"/>
  <c r="F24" i="2"/>
  <c r="F19" i="2"/>
  <c r="F18" i="2"/>
  <c r="F17" i="2"/>
  <c r="E10" i="2"/>
  <c r="E27" i="3" s="1"/>
  <c r="E9" i="2"/>
  <c r="E8" i="2"/>
  <c r="E7" i="2"/>
  <c r="E24" i="3" s="1"/>
  <c r="C4" i="1"/>
  <c r="C10" i="1"/>
  <c r="C17" i="1"/>
  <c r="C20" i="1"/>
  <c r="C30" i="1"/>
  <c r="K6" i="4" l="1"/>
  <c r="E22" i="4"/>
  <c r="H32" i="4"/>
  <c r="E32" i="4"/>
  <c r="C16" i="1"/>
  <c r="C27" i="1"/>
  <c r="C31" i="1" s="1"/>
  <c r="E26" i="3"/>
  <c r="H14" i="4"/>
  <c r="H15" i="4"/>
  <c r="H16" i="4"/>
  <c r="H27" i="4"/>
  <c r="H31" i="4"/>
  <c r="H34" i="4"/>
  <c r="H37" i="4"/>
  <c r="H26" i="4"/>
  <c r="H18" i="4"/>
  <c r="H12" i="4"/>
  <c r="G33" i="4"/>
  <c r="H33" i="4" s="1"/>
  <c r="G30" i="4"/>
  <c r="H30" i="4" s="1"/>
  <c r="H29" i="4"/>
  <c r="H19" i="4"/>
  <c r="G13" i="4"/>
  <c r="H13" i="4" s="1"/>
  <c r="H38" i="4" l="1"/>
  <c r="G5" i="4" s="1"/>
  <c r="H22" i="4"/>
  <c r="G4" i="4" s="1"/>
  <c r="G6" i="4" l="1"/>
  <c r="G7" i="4" s="1"/>
  <c r="E27" i="4"/>
  <c r="E26" i="4"/>
  <c r="E37" i="4"/>
  <c r="E38" i="4" l="1"/>
  <c r="D5" i="4" s="1"/>
  <c r="C38" i="4" l="1"/>
  <c r="E29" i="3"/>
  <c r="E30" i="3"/>
  <c r="E28" i="3"/>
  <c r="F35" i="2"/>
  <c r="F8" i="3"/>
  <c r="F7" i="3"/>
  <c r="F32" i="2"/>
  <c r="F33" i="2"/>
  <c r="F31" i="2"/>
  <c r="F20" i="2"/>
  <c r="F22" i="2"/>
  <c r="F21" i="2"/>
  <c r="C24" i="4" l="1"/>
  <c r="D4" i="4"/>
  <c r="D6" i="4" s="1"/>
  <c r="D7" i="4" s="1"/>
  <c r="E29" i="2"/>
  <c r="F29" i="2" s="1"/>
  <c r="E28" i="2"/>
  <c r="F28" i="2" s="1"/>
  <c r="C35" i="4"/>
  <c r="C39" i="4" s="1"/>
  <c r="F10" i="2"/>
  <c r="E25" i="3"/>
  <c r="F29" i="3" l="1"/>
  <c r="F30" i="3"/>
  <c r="F31" i="3"/>
  <c r="F32" i="3"/>
  <c r="F28" i="3"/>
  <c r="E13" i="3"/>
  <c r="F13" i="3" s="1"/>
  <c r="E14" i="3"/>
  <c r="F14" i="3" s="1"/>
  <c r="E24" i="2"/>
  <c r="E18" i="2"/>
  <c r="E25" i="2" l="1"/>
  <c r="E15" i="3"/>
  <c r="F15" i="3" s="1"/>
  <c r="E16" i="3"/>
  <c r="F16" i="3" s="1"/>
  <c r="E17" i="3"/>
  <c r="F17" i="3" s="1"/>
  <c r="F11" i="3"/>
  <c r="F9" i="3" l="1"/>
  <c r="F10" i="3"/>
  <c r="F26" i="3"/>
  <c r="F27" i="3"/>
  <c r="F24" i="3"/>
  <c r="F25" i="3"/>
  <c r="E12" i="3"/>
  <c r="F12" i="3" s="1"/>
  <c r="G36" i="2" l="1"/>
  <c r="F18" i="3"/>
  <c r="F33" i="3"/>
</calcChain>
</file>

<file path=xl/sharedStrings.xml><?xml version="1.0" encoding="utf-8"?>
<sst xmlns="http://schemas.openxmlformats.org/spreadsheetml/2006/main" count="158" uniqueCount="105">
  <si>
    <t>cifras en millones de pesos</t>
  </si>
  <si>
    <t>Efectivo y reservas en el banco central</t>
  </si>
  <si>
    <t xml:space="preserve">   Bonos gubernamentales &lt; 1 año (Nivel 1 para HQLA)</t>
  </si>
  <si>
    <t xml:space="preserve">   Bonos corporativos calif AA- o superior tasa fija (Nivel 2A para HQLA)</t>
  </si>
  <si>
    <t xml:space="preserve">   Bonos corporativos calif BBB- a A+ tasa fija (nivel 2B para HQLA)</t>
  </si>
  <si>
    <t>Cartera de crédito</t>
  </si>
  <si>
    <t xml:space="preserve">    Hipotecario</t>
  </si>
  <si>
    <t xml:space="preserve">    PYMES</t>
  </si>
  <si>
    <t>Activos Fijos</t>
  </si>
  <si>
    <t>Otros activos</t>
  </si>
  <si>
    <t>TOTAL ACTIVO</t>
  </si>
  <si>
    <t>Depósitos a la vista</t>
  </si>
  <si>
    <t>Depósitos a plazo</t>
  </si>
  <si>
    <t xml:space="preserve">    De empresas</t>
  </si>
  <si>
    <t>Bonos emitidos con vencimiento &lt; 1 año</t>
  </si>
  <si>
    <t>Bonos emitidos con vencimiento 1-5 años</t>
  </si>
  <si>
    <t>Bonos emitidos con vencimiento 5-10 años</t>
  </si>
  <si>
    <t>TOTAL PASIVO</t>
  </si>
  <si>
    <t xml:space="preserve">TOTAL CAPITAL </t>
  </si>
  <si>
    <t>TOTAL PASIVO Y CAPITAL</t>
  </si>
  <si>
    <t>HQLA</t>
  </si>
  <si>
    <t>TOTAL</t>
  </si>
  <si>
    <t>Ponderación</t>
  </si>
  <si>
    <t>Monto</t>
  </si>
  <si>
    <t>Monto Factorizado</t>
  </si>
  <si>
    <t>Descripción</t>
  </si>
  <si>
    <t>SALIDAS NETAS DE EFECTIVO</t>
  </si>
  <si>
    <t>Fondeo mayorista garantizado con HQLA Nivel 2A contraparte no financiera</t>
  </si>
  <si>
    <t>Fondeo mayorista garantizado con HQLA Nivel 2A contraparte financiera</t>
  </si>
  <si>
    <t>Fondeo mayorista sin colateral (sin garantía)</t>
  </si>
  <si>
    <t>Depósitos minoristas core (vista)</t>
  </si>
  <si>
    <t>Depósitos minoristas menos estables (vista)</t>
  </si>
  <si>
    <t>Depósitos minoristas core (plazo)</t>
  </si>
  <si>
    <t>Depósitos minoristas menos estables (plazo)</t>
  </si>
  <si>
    <t>Depósitos operacionales de empresas (vista)</t>
  </si>
  <si>
    <t>Depósitos no operacionales de empresas (vista)</t>
  </si>
  <si>
    <t>Depósitos operacionales de empresas (plazo)</t>
  </si>
  <si>
    <t>Depósitos no operacionales de empresas (plazo)</t>
  </si>
  <si>
    <t>Depósitos no operacioneles de financieras (plazo)</t>
  </si>
  <si>
    <t>Depósitos no operacioneles de financieras (vista)</t>
  </si>
  <si>
    <t>VISTA</t>
  </si>
  <si>
    <t>PLAZO</t>
  </si>
  <si>
    <t>FONDEO MAYORISTA</t>
  </si>
  <si>
    <t>Factor</t>
  </si>
  <si>
    <t>Ponderaciones</t>
  </si>
  <si>
    <t>LCR</t>
  </si>
  <si>
    <t>Depósitos operacioneles de financieras (vista)</t>
  </si>
  <si>
    <t>Depósitos operacioneles de financieras (plazo)</t>
  </si>
  <si>
    <t>ASF</t>
  </si>
  <si>
    <t>Capital Tier 1 y Tier 2</t>
  </si>
  <si>
    <t>Pasivos con plazo residual mayor a 1 año</t>
  </si>
  <si>
    <t>Depósitos minoristas estables (core)</t>
  </si>
  <si>
    <t>Depósitos minoristas menos estables (volátiles)</t>
  </si>
  <si>
    <t>Depósitos operacionales de empresas no financieras</t>
  </si>
  <si>
    <t>Depósitos no operacionales de empresas no financieras</t>
  </si>
  <si>
    <t>Depósitos operacionales de empresas financieras</t>
  </si>
  <si>
    <t>Depósitos no operacionales de empresas financieras</t>
  </si>
  <si>
    <t>Fondeo mayorista contrapartes no financieras con colateral</t>
  </si>
  <si>
    <t>Fondeo mayorista contrapartes financieras con colateral</t>
  </si>
  <si>
    <t>Fondeo mayorista sin colateral</t>
  </si>
  <si>
    <t>Fondeo mayorista garantizado con HQLA Nivel 1 contraparte no financiera</t>
  </si>
  <si>
    <t>Fondeo mayorista garantizado con HQLA Nivel 1 contraparte financiera</t>
  </si>
  <si>
    <t>RSF</t>
  </si>
  <si>
    <t>Efectivo y depósitos en el banco central</t>
  </si>
  <si>
    <t>HQLA nivel 1</t>
  </si>
  <si>
    <t>HQLA nivel 2A</t>
  </si>
  <si>
    <t>HQLA nivel 2B</t>
  </si>
  <si>
    <t>Hipotecarios</t>
  </si>
  <si>
    <t xml:space="preserve">Créditos a consumo </t>
  </si>
  <si>
    <t>Créditos PYME</t>
  </si>
  <si>
    <t>Créditos a empresas no financieras (corporativos) largo plazo</t>
  </si>
  <si>
    <t>Créditos a instituciones financieras (largo plazo)</t>
  </si>
  <si>
    <t>TIIE Fondeo</t>
  </si>
  <si>
    <t>Tasa</t>
  </si>
  <si>
    <t>Ingresos</t>
  </si>
  <si>
    <t>NII</t>
  </si>
  <si>
    <t>Total Ingresos</t>
  </si>
  <si>
    <t>Total Egresos</t>
  </si>
  <si>
    <t>ROE</t>
  </si>
  <si>
    <t>Banco de Occidente</t>
  </si>
  <si>
    <t>Títulos de deuda</t>
  </si>
  <si>
    <t xml:space="preserve">   Bonos gubernamentales 1-5 años tasa revisable (Nivel 1 para HQLA)</t>
  </si>
  <si>
    <t xml:space="preserve">   Bonos gubernamentales 1-5 años tasa fija (Nivel 2A para HQLA)</t>
  </si>
  <si>
    <t xml:space="preserve">   Consumo (tarjetas de crédito, de nómina, personales)*</t>
  </si>
  <si>
    <t xml:space="preserve">    Minoristas (retail)***</t>
  </si>
  <si>
    <t xml:space="preserve">    De empresas****</t>
  </si>
  <si>
    <t xml:space="preserve">    Minoristas (retail)*****</t>
  </si>
  <si>
    <t>Fondeo mayorista******</t>
  </si>
  <si>
    <t>Capital Tier 1</t>
  </si>
  <si>
    <t>Capital Tier 2</t>
  </si>
  <si>
    <t>Cambio en TIIE</t>
  </si>
  <si>
    <t>Delta Ingreso</t>
  </si>
  <si>
    <t>Delta Tasa</t>
  </si>
  <si>
    <t>Delta NII</t>
  </si>
  <si>
    <t>Delta ROE</t>
  </si>
  <si>
    <t>Total Activos Variables</t>
  </si>
  <si>
    <t>Total Pasivos Variables</t>
  </si>
  <si>
    <t>Egresos</t>
  </si>
  <si>
    <t>Delta Egresos</t>
  </si>
  <si>
    <t>Nivel 1 para HQLA</t>
  </si>
  <si>
    <t>Nivel 2A para HQLA</t>
  </si>
  <si>
    <t>Nivel 2B para HQLA</t>
  </si>
  <si>
    <t>Brecha</t>
  </si>
  <si>
    <t xml:space="preserve">   Consumo (tarjetas de crédito, personales)*</t>
  </si>
  <si>
    <t>NSFT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</si>
</sst>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%"/>
    <numFmt numFmtId="165" formatCode="0.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4" borderId="0" xfId="0" applyFill="1"/>
    <xf numFmtId="9" fontId="0" fillId="4" borderId="0" xfId="0" applyNumberForma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0" fillId="6" borderId="0" xfId="0" applyFill="1"/>
    <xf numFmtId="0" fontId="0" fillId="4" borderId="1" xfId="0" applyFill="1" applyBorder="1"/>
    <xf numFmtId="9" fontId="0" fillId="4" borderId="1" xfId="0" applyNumberFormat="1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0" fontId="3" fillId="4" borderId="1" xfId="0" applyFont="1" applyFill="1" applyBorder="1"/>
    <xf numFmtId="9" fontId="0" fillId="4" borderId="1" xfId="0" applyNumberFormat="1" applyFill="1" applyBorder="1"/>
    <xf numFmtId="44" fontId="0" fillId="4" borderId="1" xfId="1" applyFont="1" applyFill="1" applyBorder="1"/>
    <xf numFmtId="9" fontId="5" fillId="4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2" fontId="0" fillId="8" borderId="0" xfId="2" applyNumberFormat="1" applyFont="1" applyFill="1" applyAlignment="1">
      <alignment horizontal="left"/>
    </xf>
    <xf numFmtId="0" fontId="3" fillId="7" borderId="1" xfId="0" applyFont="1" applyFill="1" applyBorder="1"/>
    <xf numFmtId="2" fontId="0" fillId="8" borderId="0" xfId="0" applyNumberFormat="1" applyFill="1" applyAlignment="1">
      <alignment horizontal="left"/>
    </xf>
    <xf numFmtId="0" fontId="3" fillId="9" borderId="0" xfId="0" applyFont="1" applyFill="1"/>
    <xf numFmtId="0" fontId="0" fillId="9" borderId="0" xfId="0" applyFill="1"/>
    <xf numFmtId="44" fontId="3" fillId="10" borderId="1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4" fontId="3" fillId="10" borderId="1" xfId="1" applyFont="1" applyFill="1" applyBorder="1"/>
    <xf numFmtId="44" fontId="0" fillId="10" borderId="1" xfId="1" applyFont="1" applyFill="1" applyBorder="1"/>
    <xf numFmtId="0" fontId="0" fillId="4" borderId="0" xfId="0" applyFill="1" applyAlignment="1">
      <alignment horizontal="right"/>
    </xf>
    <xf numFmtId="10" fontId="0" fillId="4" borderId="0" xfId="0" applyNumberFormat="1" applyFill="1"/>
    <xf numFmtId="3" fontId="3" fillId="4" borderId="0" xfId="0" applyNumberFormat="1" applyFont="1" applyFill="1"/>
    <xf numFmtId="0" fontId="7" fillId="4" borderId="0" xfId="0" applyFont="1" applyFill="1"/>
    <xf numFmtId="44" fontId="0" fillId="4" borderId="1" xfId="0" applyNumberFormat="1" applyFill="1" applyBorder="1"/>
    <xf numFmtId="10" fontId="0" fillId="4" borderId="1" xfId="2" applyNumberFormat="1" applyFont="1" applyFill="1" applyBorder="1"/>
    <xf numFmtId="165" fontId="0" fillId="4" borderId="1" xfId="2" applyNumberFormat="1" applyFont="1" applyFill="1" applyBorder="1"/>
    <xf numFmtId="0" fontId="3" fillId="11" borderId="1" xfId="0" applyFont="1" applyFill="1" applyBorder="1" applyAlignment="1">
      <alignment horizontal="center"/>
    </xf>
    <xf numFmtId="0" fontId="0" fillId="2" borderId="1" xfId="0" applyFill="1" applyBorder="1"/>
    <xf numFmtId="10" fontId="0" fillId="2" borderId="1" xfId="2" applyNumberFormat="1" applyFont="1" applyFill="1" applyBorder="1"/>
    <xf numFmtId="0" fontId="3" fillId="11" borderId="2" xfId="0" applyFont="1" applyFill="1" applyBorder="1" applyAlignment="1">
      <alignment horizontal="center"/>
    </xf>
    <xf numFmtId="0" fontId="0" fillId="2" borderId="2" xfId="0" applyFill="1" applyBorder="1"/>
    <xf numFmtId="10" fontId="0" fillId="2" borderId="2" xfId="2" applyNumberFormat="1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3" fontId="3" fillId="4" borderId="1" xfId="0" applyNumberFormat="1" applyFont="1" applyFill="1" applyBorder="1"/>
    <xf numFmtId="3" fontId="0" fillId="4" borderId="1" xfId="0" applyNumberForma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0" fontId="3" fillId="11" borderId="1" xfId="0" applyFont="1" applyFill="1" applyBorder="1" applyAlignment="1">
      <alignment horizontal="righ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right"/>
    </xf>
    <xf numFmtId="0" fontId="3" fillId="12" borderId="1" xfId="0" applyFont="1" applyFill="1" applyBorder="1" applyAlignment="1">
      <alignment horizontal="center"/>
    </xf>
    <xf numFmtId="44" fontId="0" fillId="13" borderId="1" xfId="1" applyFont="1" applyFill="1" applyBorder="1" applyAlignment="1">
      <alignment horizontal="center"/>
    </xf>
    <xf numFmtId="44" fontId="0" fillId="13" borderId="1" xfId="1" applyFont="1" applyFill="1" applyBorder="1"/>
    <xf numFmtId="9" fontId="0" fillId="13" borderId="1" xfId="0" applyNumberFormat="1" applyFill="1" applyBorder="1"/>
    <xf numFmtId="164" fontId="5" fillId="13" borderId="1" xfId="0" applyNumberFormat="1" applyFont="1" applyFill="1" applyBorder="1"/>
    <xf numFmtId="164" fontId="0" fillId="13" borderId="1" xfId="0" applyNumberFormat="1" applyFill="1" applyBorder="1"/>
    <xf numFmtId="10" fontId="0" fillId="13" borderId="2" xfId="0" applyNumberFormat="1" applyFill="1" applyBorder="1"/>
    <xf numFmtId="10" fontId="0" fillId="13" borderId="2" xfId="2" applyNumberFormat="1" applyFont="1" applyFill="1" applyBorder="1"/>
    <xf numFmtId="10" fontId="0" fillId="13" borderId="1" xfId="2" applyNumberFormat="1" applyFont="1" applyFill="1" applyBorder="1"/>
    <xf numFmtId="10" fontId="0" fillId="13" borderId="1" xfId="0" applyNumberFormat="1" applyFill="1" applyBorder="1"/>
    <xf numFmtId="0" fontId="2" fillId="2" borderId="1" xfId="0" applyFont="1" applyFill="1" applyBorder="1" applyAlignment="1">
      <alignment horizontal="left"/>
    </xf>
    <xf numFmtId="44" fontId="0" fillId="4" borderId="0" xfId="0" applyNumberFormat="1" applyFill="1"/>
    <xf numFmtId="0" fontId="3" fillId="5" borderId="3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A783-E051-4194-AEE1-FFE3EF74AC8E}">
  <dimension ref="B2:D31"/>
  <sheetViews>
    <sheetView zoomScaleNormal="100" workbookViewId="0">
      <selection activeCell="E13" sqref="E13"/>
    </sheetView>
  </sheetViews>
  <sheetFormatPr baseColWidth="10" defaultColWidth="11.44140625" defaultRowHeight="14.4" x14ac:dyDescent="0.3"/>
  <cols>
    <col min="1" max="1" width="11.44140625" style="1"/>
    <col min="2" max="2" width="64.44140625" style="1" customWidth="1"/>
    <col min="3" max="3" width="18.5546875" style="1" bestFit="1" customWidth="1"/>
    <col min="4" max="16384" width="11.44140625" style="1"/>
  </cols>
  <sheetData>
    <row r="2" spans="2:4" x14ac:dyDescent="0.3">
      <c r="B2" s="38" t="s">
        <v>0</v>
      </c>
      <c r="C2" s="39" t="s">
        <v>79</v>
      </c>
    </row>
    <row r="3" spans="2:4" x14ac:dyDescent="0.3">
      <c r="B3" s="11" t="s">
        <v>1</v>
      </c>
      <c r="C3" s="11">
        <v>1094</v>
      </c>
    </row>
    <row r="4" spans="2:4" x14ac:dyDescent="0.3">
      <c r="B4" s="11" t="s">
        <v>80</v>
      </c>
      <c r="C4" s="40">
        <f>SUM(C5:C9)</f>
        <v>2900</v>
      </c>
    </row>
    <row r="5" spans="2:4" x14ac:dyDescent="0.3">
      <c r="B5" s="8" t="s">
        <v>2</v>
      </c>
      <c r="C5" s="41">
        <v>400</v>
      </c>
      <c r="D5" s="28"/>
    </row>
    <row r="6" spans="2:4" x14ac:dyDescent="0.3">
      <c r="B6" s="8" t="s">
        <v>81</v>
      </c>
      <c r="C6" s="41">
        <v>0</v>
      </c>
      <c r="D6" s="28"/>
    </row>
    <row r="7" spans="2:4" x14ac:dyDescent="0.3">
      <c r="B7" s="8" t="s">
        <v>82</v>
      </c>
      <c r="C7" s="41">
        <v>1500</v>
      </c>
      <c r="D7" s="28"/>
    </row>
    <row r="8" spans="2:4" x14ac:dyDescent="0.3">
      <c r="B8" s="8" t="s">
        <v>3</v>
      </c>
      <c r="C8" s="41">
        <v>1000</v>
      </c>
      <c r="D8" s="28"/>
    </row>
    <row r="9" spans="2:4" x14ac:dyDescent="0.3">
      <c r="B9" s="8" t="s">
        <v>4</v>
      </c>
      <c r="C9" s="41">
        <v>0</v>
      </c>
    </row>
    <row r="10" spans="2:4" x14ac:dyDescent="0.3">
      <c r="B10" s="11" t="s">
        <v>5</v>
      </c>
      <c r="C10" s="40">
        <f>SUM(C11:C13)</f>
        <v>17449</v>
      </c>
    </row>
    <row r="11" spans="2:4" x14ac:dyDescent="0.3">
      <c r="B11" s="8" t="s">
        <v>6</v>
      </c>
      <c r="C11" s="41">
        <v>7538</v>
      </c>
    </row>
    <row r="12" spans="2:4" x14ac:dyDescent="0.3">
      <c r="B12" s="8" t="s">
        <v>103</v>
      </c>
      <c r="C12" s="41">
        <v>5714</v>
      </c>
    </row>
    <row r="13" spans="2:4" x14ac:dyDescent="0.3">
      <c r="B13" s="8" t="s">
        <v>7</v>
      </c>
      <c r="C13" s="41">
        <v>4197</v>
      </c>
    </row>
    <row r="14" spans="2:4" x14ac:dyDescent="0.3">
      <c r="B14" s="11" t="s">
        <v>8</v>
      </c>
      <c r="C14" s="40">
        <v>1028</v>
      </c>
    </row>
    <row r="15" spans="2:4" x14ac:dyDescent="0.3">
      <c r="B15" s="11" t="s">
        <v>9</v>
      </c>
      <c r="C15" s="40">
        <v>37</v>
      </c>
    </row>
    <row r="16" spans="2:4" x14ac:dyDescent="0.3">
      <c r="B16" s="42" t="s">
        <v>10</v>
      </c>
      <c r="C16" s="43">
        <f>C3+C4+C10+C14+C15</f>
        <v>22508</v>
      </c>
    </row>
    <row r="17" spans="2:3" x14ac:dyDescent="0.3">
      <c r="B17" s="11" t="s">
        <v>11</v>
      </c>
      <c r="C17" s="40">
        <f t="shared" ref="C17" si="0">C18+C19</f>
        <v>7817</v>
      </c>
    </row>
    <row r="18" spans="2:3" x14ac:dyDescent="0.3">
      <c r="B18" s="8" t="s">
        <v>84</v>
      </c>
      <c r="C18" s="41">
        <v>3839</v>
      </c>
    </row>
    <row r="19" spans="2:3" x14ac:dyDescent="0.3">
      <c r="B19" s="8" t="s">
        <v>85</v>
      </c>
      <c r="C19" s="41">
        <v>3978</v>
      </c>
    </row>
    <row r="20" spans="2:3" x14ac:dyDescent="0.3">
      <c r="B20" s="11" t="s">
        <v>12</v>
      </c>
      <c r="C20" s="40">
        <f t="shared" ref="C20" si="1">C21+C22</f>
        <v>3124</v>
      </c>
    </row>
    <row r="21" spans="2:3" x14ac:dyDescent="0.3">
      <c r="B21" s="8" t="s">
        <v>86</v>
      </c>
      <c r="C21" s="41">
        <v>2179</v>
      </c>
    </row>
    <row r="22" spans="2:3" x14ac:dyDescent="0.3">
      <c r="B22" s="8" t="s">
        <v>13</v>
      </c>
      <c r="C22" s="41">
        <v>945</v>
      </c>
    </row>
    <row r="23" spans="2:3" x14ac:dyDescent="0.3">
      <c r="B23" s="11" t="s">
        <v>87</v>
      </c>
      <c r="C23" s="40">
        <v>1016</v>
      </c>
    </row>
    <row r="24" spans="2:3" x14ac:dyDescent="0.3">
      <c r="B24" s="11" t="s">
        <v>14</v>
      </c>
      <c r="C24" s="40">
        <v>3000</v>
      </c>
    </row>
    <row r="25" spans="2:3" x14ac:dyDescent="0.3">
      <c r="B25" s="11" t="s">
        <v>15</v>
      </c>
      <c r="C25" s="40">
        <v>2000</v>
      </c>
    </row>
    <row r="26" spans="2:3" x14ac:dyDescent="0.3">
      <c r="B26" s="11" t="s">
        <v>16</v>
      </c>
      <c r="C26" s="40">
        <v>0</v>
      </c>
    </row>
    <row r="27" spans="2:3" x14ac:dyDescent="0.3">
      <c r="B27" s="42" t="s">
        <v>17</v>
      </c>
      <c r="C27" s="43">
        <f t="shared" ref="C27" si="2">C17+C20+C23+C24+C25+C26</f>
        <v>16957</v>
      </c>
    </row>
    <row r="28" spans="2:3" x14ac:dyDescent="0.3">
      <c r="B28" s="11" t="s">
        <v>88</v>
      </c>
      <c r="C28" s="41">
        <v>5551</v>
      </c>
    </row>
    <row r="29" spans="2:3" x14ac:dyDescent="0.3">
      <c r="B29" s="11" t="s">
        <v>89</v>
      </c>
      <c r="C29" s="41">
        <v>0</v>
      </c>
    </row>
    <row r="30" spans="2:3" x14ac:dyDescent="0.3">
      <c r="B30" s="42" t="s">
        <v>18</v>
      </c>
      <c r="C30" s="43">
        <f t="shared" ref="C30" si="3">C28+C29</f>
        <v>5551</v>
      </c>
    </row>
    <row r="31" spans="2:3" x14ac:dyDescent="0.3">
      <c r="B31" s="11" t="s">
        <v>19</v>
      </c>
      <c r="C31" s="40">
        <f t="shared" ref="C31" si="4">C27+C30</f>
        <v>22508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2D3C-F038-4B5C-8158-58DAF77F45AE}">
  <dimension ref="B2:I41"/>
  <sheetViews>
    <sheetView zoomScaleNormal="100" workbookViewId="0">
      <selection activeCell="D29" sqref="D29"/>
    </sheetView>
  </sheetViews>
  <sheetFormatPr baseColWidth="10" defaultColWidth="11.44140625" defaultRowHeight="14.4" x14ac:dyDescent="0.3"/>
  <cols>
    <col min="1" max="2" width="11.44140625" style="1"/>
    <col min="3" max="3" width="69.109375" style="1" bestFit="1" customWidth="1"/>
    <col min="4" max="4" width="17.33203125" style="1" customWidth="1"/>
    <col min="5" max="5" width="14.44140625" style="1" bestFit="1" customWidth="1"/>
    <col min="6" max="7" width="17.5546875" style="1" bestFit="1" customWidth="1"/>
    <col min="8" max="16384" width="11.44140625" style="1"/>
  </cols>
  <sheetData>
    <row r="2" spans="2:7" x14ac:dyDescent="0.3">
      <c r="B2" s="4" t="s">
        <v>45</v>
      </c>
      <c r="C2" s="16">
        <f>F11/G36</f>
        <v>1.699083368232071</v>
      </c>
    </row>
    <row r="4" spans="2:7" x14ac:dyDescent="0.3">
      <c r="B4" s="5" t="s">
        <v>20</v>
      </c>
      <c r="C4" s="7"/>
    </row>
    <row r="6" spans="2:7" x14ac:dyDescent="0.3">
      <c r="C6" s="15" t="s">
        <v>25</v>
      </c>
      <c r="D6" s="15" t="s">
        <v>22</v>
      </c>
      <c r="E6" s="15" t="s">
        <v>23</v>
      </c>
      <c r="F6" s="15" t="s">
        <v>24</v>
      </c>
    </row>
    <row r="7" spans="2:7" x14ac:dyDescent="0.3">
      <c r="C7" s="8" t="s">
        <v>1</v>
      </c>
      <c r="D7" s="9">
        <v>1</v>
      </c>
      <c r="E7" s="48">
        <f>Datos!C3</f>
        <v>1094</v>
      </c>
      <c r="F7" s="10">
        <f>E7*D7</f>
        <v>1094</v>
      </c>
    </row>
    <row r="8" spans="2:7" x14ac:dyDescent="0.3">
      <c r="C8" s="8" t="s">
        <v>99</v>
      </c>
      <c r="D8" s="9">
        <v>1</v>
      </c>
      <c r="E8" s="48">
        <f>Datos!C5+Datos!C6</f>
        <v>400</v>
      </c>
      <c r="F8" s="10">
        <f>E8*D8</f>
        <v>400</v>
      </c>
    </row>
    <row r="9" spans="2:7" x14ac:dyDescent="0.3">
      <c r="C9" s="8" t="s">
        <v>100</v>
      </c>
      <c r="D9" s="9">
        <v>0.85</v>
      </c>
      <c r="E9" s="48">
        <f>Datos!C7+Datos!C8</f>
        <v>2500</v>
      </c>
      <c r="F9" s="10">
        <f>E9*D9</f>
        <v>2125</v>
      </c>
    </row>
    <row r="10" spans="2:7" x14ac:dyDescent="0.3">
      <c r="C10" s="8" t="s">
        <v>101</v>
      </c>
      <c r="D10" s="9">
        <v>0.5</v>
      </c>
      <c r="E10" s="48">
        <f>Datos!C9</f>
        <v>0</v>
      </c>
      <c r="F10" s="10">
        <f t="shared" ref="F8:F10" si="0">E10*D10</f>
        <v>0</v>
      </c>
    </row>
    <row r="11" spans="2:7" x14ac:dyDescent="0.3">
      <c r="E11" s="21" t="s">
        <v>21</v>
      </c>
      <c r="F11" s="21">
        <f>SUM(F7:F10)</f>
        <v>3619</v>
      </c>
    </row>
    <row r="13" spans="2:7" x14ac:dyDescent="0.3">
      <c r="B13" s="6" t="s">
        <v>26</v>
      </c>
      <c r="C13" s="7"/>
    </row>
    <row r="15" spans="2:7" x14ac:dyDescent="0.3">
      <c r="C15" s="17" t="s">
        <v>25</v>
      </c>
      <c r="D15" s="15" t="s">
        <v>43</v>
      </c>
      <c r="E15" s="15" t="s">
        <v>44</v>
      </c>
      <c r="F15" s="15" t="s">
        <v>23</v>
      </c>
      <c r="G15" s="15" t="s">
        <v>24</v>
      </c>
    </row>
    <row r="16" spans="2:7" x14ac:dyDescent="0.3">
      <c r="C16" s="57" t="s">
        <v>40</v>
      </c>
      <c r="D16" s="57"/>
      <c r="E16" s="57"/>
      <c r="F16" s="57"/>
      <c r="G16" s="57"/>
    </row>
    <row r="17" spans="3:9" x14ac:dyDescent="0.3">
      <c r="C17" s="17" t="s">
        <v>30</v>
      </c>
      <c r="D17" s="9">
        <v>0.03</v>
      </c>
      <c r="E17" s="50">
        <v>0.8</v>
      </c>
      <c r="F17" s="49">
        <f>E17*Datos!C18</f>
        <v>3071.2000000000003</v>
      </c>
      <c r="G17" s="13">
        <f>F17*D17</f>
        <v>92.13600000000001</v>
      </c>
    </row>
    <row r="18" spans="3:9" x14ac:dyDescent="0.3">
      <c r="C18" s="17" t="s">
        <v>31</v>
      </c>
      <c r="D18" s="9">
        <v>0.1</v>
      </c>
      <c r="E18" s="50">
        <f>1-E17</f>
        <v>0.19999999999999996</v>
      </c>
      <c r="F18" s="49">
        <f>E18*Datos!C18</f>
        <v>767.79999999999984</v>
      </c>
      <c r="G18" s="13">
        <f t="shared" ref="G18:G22" si="1">F18*D18</f>
        <v>76.779999999999987</v>
      </c>
      <c r="I18" s="58"/>
    </row>
    <row r="19" spans="3:9" x14ac:dyDescent="0.3">
      <c r="C19" s="17" t="s">
        <v>34</v>
      </c>
      <c r="D19" s="9">
        <v>0.25</v>
      </c>
      <c r="E19" s="50">
        <v>0.6</v>
      </c>
      <c r="F19" s="49">
        <f>E19*Datos!C19</f>
        <v>2386.7999999999997</v>
      </c>
      <c r="G19" s="13">
        <f t="shared" si="1"/>
        <v>596.69999999999993</v>
      </c>
      <c r="I19" s="58"/>
    </row>
    <row r="20" spans="3:9" x14ac:dyDescent="0.3">
      <c r="C20" s="17" t="s">
        <v>35</v>
      </c>
      <c r="D20" s="9">
        <v>0.4</v>
      </c>
      <c r="E20" s="50">
        <v>0.4</v>
      </c>
      <c r="F20" s="49">
        <f>E20*Datos!$C$19</f>
        <v>1591.2</v>
      </c>
      <c r="G20" s="13">
        <f t="shared" si="1"/>
        <v>636.48</v>
      </c>
      <c r="I20" s="58"/>
    </row>
    <row r="21" spans="3:9" x14ac:dyDescent="0.3">
      <c r="C21" s="17" t="s">
        <v>46</v>
      </c>
      <c r="D21" s="14">
        <v>1</v>
      </c>
      <c r="E21" s="51">
        <v>0</v>
      </c>
      <c r="F21" s="49">
        <f>E21*Datos!$C$19</f>
        <v>0</v>
      </c>
      <c r="G21" s="13">
        <f t="shared" si="1"/>
        <v>0</v>
      </c>
    </row>
    <row r="22" spans="3:9" x14ac:dyDescent="0.3">
      <c r="C22" s="17" t="s">
        <v>39</v>
      </c>
      <c r="D22" s="9">
        <v>1</v>
      </c>
      <c r="E22" s="52">
        <v>0</v>
      </c>
      <c r="F22" s="49">
        <f>E22*Datos!$C$19</f>
        <v>0</v>
      </c>
      <c r="G22" s="13">
        <f t="shared" si="1"/>
        <v>0</v>
      </c>
    </row>
    <row r="23" spans="3:9" x14ac:dyDescent="0.3">
      <c r="C23" s="57" t="s">
        <v>41</v>
      </c>
      <c r="D23" s="57"/>
      <c r="E23" s="57"/>
      <c r="F23" s="57"/>
      <c r="G23" s="57"/>
    </row>
    <row r="24" spans="3:9" x14ac:dyDescent="0.3">
      <c r="C24" s="17" t="s">
        <v>32</v>
      </c>
      <c r="D24" s="9">
        <v>0.03</v>
      </c>
      <c r="E24" s="50">
        <f>E17</f>
        <v>0.8</v>
      </c>
      <c r="F24" s="49">
        <f>E24*Datos!C21</f>
        <v>1743.2</v>
      </c>
      <c r="G24" s="13">
        <f>F24*D24</f>
        <v>52.295999999999999</v>
      </c>
    </row>
    <row r="25" spans="3:9" x14ac:dyDescent="0.3">
      <c r="C25" s="17" t="s">
        <v>33</v>
      </c>
      <c r="D25" s="9">
        <v>0.1</v>
      </c>
      <c r="E25" s="50">
        <f t="shared" ref="E25:E29" si="2">E18</f>
        <v>0.19999999999999996</v>
      </c>
      <c r="F25" s="49">
        <f>E25*Datos!C21</f>
        <v>435.7999999999999</v>
      </c>
      <c r="G25" s="13">
        <f t="shared" ref="G25:G29" si="3">F25*D25</f>
        <v>43.579999999999991</v>
      </c>
      <c r="I25" s="58"/>
    </row>
    <row r="26" spans="3:9" x14ac:dyDescent="0.3">
      <c r="C26" s="17" t="s">
        <v>36</v>
      </c>
      <c r="D26" s="9">
        <v>0.25</v>
      </c>
      <c r="E26" s="50">
        <v>0</v>
      </c>
      <c r="F26" s="49">
        <f>E26*Datos!$C$22</f>
        <v>0</v>
      </c>
      <c r="G26" s="13">
        <f t="shared" si="3"/>
        <v>0</v>
      </c>
    </row>
    <row r="27" spans="3:9" x14ac:dyDescent="0.3">
      <c r="C27" s="17" t="s">
        <v>37</v>
      </c>
      <c r="D27" s="9">
        <v>0.4</v>
      </c>
      <c r="E27" s="50">
        <v>1</v>
      </c>
      <c r="F27" s="49">
        <f>E27*Datos!$C$22</f>
        <v>945</v>
      </c>
      <c r="G27" s="13">
        <f t="shared" si="3"/>
        <v>378</v>
      </c>
    </row>
    <row r="28" spans="3:9" x14ac:dyDescent="0.3">
      <c r="C28" s="17" t="s">
        <v>47</v>
      </c>
      <c r="D28" s="14">
        <v>1</v>
      </c>
      <c r="E28" s="52">
        <f t="shared" si="2"/>
        <v>0</v>
      </c>
      <c r="F28" s="49">
        <f>E28*Datos!$C$22</f>
        <v>0</v>
      </c>
      <c r="G28" s="13">
        <f t="shared" si="3"/>
        <v>0</v>
      </c>
    </row>
    <row r="29" spans="3:9" x14ac:dyDescent="0.3">
      <c r="C29" s="17" t="s">
        <v>38</v>
      </c>
      <c r="D29" s="14">
        <v>1</v>
      </c>
      <c r="E29" s="52">
        <f t="shared" si="2"/>
        <v>0</v>
      </c>
      <c r="F29" s="49">
        <f>E29*Datos!$C$22</f>
        <v>0</v>
      </c>
      <c r="G29" s="13">
        <f t="shared" si="3"/>
        <v>0</v>
      </c>
    </row>
    <row r="30" spans="3:9" x14ac:dyDescent="0.3">
      <c r="C30" s="57" t="s">
        <v>42</v>
      </c>
      <c r="D30" s="57"/>
      <c r="E30" s="57"/>
      <c r="F30" s="57"/>
      <c r="G30" s="57"/>
    </row>
    <row r="31" spans="3:9" x14ac:dyDescent="0.3">
      <c r="C31" s="17" t="s">
        <v>60</v>
      </c>
      <c r="D31" s="9">
        <v>0</v>
      </c>
      <c r="E31" s="50">
        <v>0</v>
      </c>
      <c r="F31" s="49">
        <f>E31*Datos!$C$23</f>
        <v>0</v>
      </c>
      <c r="G31" s="13">
        <f>F31*D31</f>
        <v>0</v>
      </c>
    </row>
    <row r="32" spans="3:9" x14ac:dyDescent="0.3">
      <c r="C32" s="17" t="s">
        <v>61</v>
      </c>
      <c r="D32" s="9">
        <v>0</v>
      </c>
      <c r="E32" s="50">
        <v>0</v>
      </c>
      <c r="F32" s="49">
        <f>E32*Datos!$C$23</f>
        <v>0</v>
      </c>
      <c r="G32" s="13">
        <f t="shared" ref="G32:G35" si="4">F32*D32</f>
        <v>0</v>
      </c>
    </row>
    <row r="33" spans="3:7" x14ac:dyDescent="0.3">
      <c r="C33" s="17" t="s">
        <v>27</v>
      </c>
      <c r="D33" s="9">
        <v>0.15</v>
      </c>
      <c r="E33" s="50">
        <v>0</v>
      </c>
      <c r="F33" s="49">
        <f>E33*Datos!$C$23</f>
        <v>0</v>
      </c>
      <c r="G33" s="13">
        <f t="shared" si="4"/>
        <v>0</v>
      </c>
    </row>
    <row r="34" spans="3:7" x14ac:dyDescent="0.3">
      <c r="C34" s="17" t="s">
        <v>28</v>
      </c>
      <c r="D34" s="9">
        <v>0.25</v>
      </c>
      <c r="E34" s="52">
        <v>1</v>
      </c>
      <c r="F34" s="49">
        <f>Datos!C23</f>
        <v>1016</v>
      </c>
      <c r="G34" s="13">
        <f t="shared" si="4"/>
        <v>254</v>
      </c>
    </row>
    <row r="35" spans="3:7" x14ac:dyDescent="0.3">
      <c r="C35" s="17" t="s">
        <v>29</v>
      </c>
      <c r="D35" s="9">
        <v>1</v>
      </c>
      <c r="E35" s="52">
        <v>0</v>
      </c>
      <c r="F35" s="49">
        <f>E35*Datos!$C$23</f>
        <v>0</v>
      </c>
      <c r="G35" s="13">
        <f t="shared" si="4"/>
        <v>0</v>
      </c>
    </row>
    <row r="36" spans="3:7" x14ac:dyDescent="0.3">
      <c r="F36" s="22" t="s">
        <v>21</v>
      </c>
      <c r="G36" s="23">
        <f>SUM(G17:G22,G24:G29,G32:G35)</f>
        <v>2129.9719999999998</v>
      </c>
    </row>
    <row r="39" spans="3:7" x14ac:dyDescent="0.3">
      <c r="D39" s="2"/>
    </row>
    <row r="40" spans="3:7" x14ac:dyDescent="0.3">
      <c r="D40" s="2"/>
    </row>
    <row r="41" spans="3:7" x14ac:dyDescent="0.3">
      <c r="D41" s="2"/>
    </row>
  </sheetData>
  <mergeCells count="3">
    <mergeCell ref="C16:G16"/>
    <mergeCell ref="C23:G23"/>
    <mergeCell ref="C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C802-D912-4A96-99A0-C72425847DC3}">
  <dimension ref="B2:F33"/>
  <sheetViews>
    <sheetView topLeftCell="A7" workbookViewId="0">
      <selection activeCell="F28" sqref="F28"/>
    </sheetView>
  </sheetViews>
  <sheetFormatPr baseColWidth="10" defaultColWidth="11.44140625" defaultRowHeight="14.4" x14ac:dyDescent="0.3"/>
  <cols>
    <col min="1" max="1" width="11.44140625" style="1"/>
    <col min="2" max="2" width="12" style="1" customWidth="1"/>
    <col min="3" max="3" width="57" style="1" bestFit="1" customWidth="1"/>
    <col min="4" max="4" width="15.6640625" style="1" customWidth="1"/>
    <col min="5" max="5" width="17" style="1" customWidth="1"/>
    <col min="6" max="6" width="17.5546875" style="1" bestFit="1" customWidth="1"/>
    <col min="7" max="16384" width="11.44140625" style="1"/>
  </cols>
  <sheetData>
    <row r="2" spans="2:6" x14ac:dyDescent="0.3">
      <c r="B2" s="4" t="s">
        <v>104</v>
      </c>
      <c r="C2" s="18">
        <f>F18/F33</f>
        <v>1.4158799604770331</v>
      </c>
    </row>
    <row r="4" spans="2:6" x14ac:dyDescent="0.3">
      <c r="B4" s="19" t="s">
        <v>48</v>
      </c>
      <c r="C4" s="20"/>
    </row>
    <row r="6" spans="2:6" x14ac:dyDescent="0.3">
      <c r="C6" s="17" t="s">
        <v>25</v>
      </c>
      <c r="D6" s="15" t="s">
        <v>43</v>
      </c>
      <c r="E6" s="15" t="s">
        <v>23</v>
      </c>
      <c r="F6" s="15" t="s">
        <v>24</v>
      </c>
    </row>
    <row r="7" spans="2:6" x14ac:dyDescent="0.3">
      <c r="C7" s="17" t="s">
        <v>49</v>
      </c>
      <c r="D7" s="12">
        <v>1</v>
      </c>
      <c r="E7" s="49">
        <f>Datos!C30</f>
        <v>5551</v>
      </c>
      <c r="F7" s="13">
        <f>D7*E7</f>
        <v>5551</v>
      </c>
    </row>
    <row r="8" spans="2:6" x14ac:dyDescent="0.3">
      <c r="C8" s="17" t="s">
        <v>50</v>
      </c>
      <c r="D8" s="12">
        <v>1</v>
      </c>
      <c r="E8" s="49">
        <f>Datos!C25+Datos!C26</f>
        <v>2000</v>
      </c>
      <c r="F8" s="13">
        <f t="shared" ref="F8:F17" si="0">D8*E8</f>
        <v>2000</v>
      </c>
    </row>
    <row r="9" spans="2:6" x14ac:dyDescent="0.3">
      <c r="C9" s="17" t="s">
        <v>51</v>
      </c>
      <c r="D9" s="12">
        <v>0.95</v>
      </c>
      <c r="E9" s="13">
        <f>LCR!F17+LCR!F24</f>
        <v>4814.4000000000005</v>
      </c>
      <c r="F9" s="13">
        <f t="shared" si="0"/>
        <v>4573.68</v>
      </c>
    </row>
    <row r="10" spans="2:6" x14ac:dyDescent="0.3">
      <c r="C10" s="17" t="s">
        <v>52</v>
      </c>
      <c r="D10" s="12">
        <v>0.9</v>
      </c>
      <c r="E10" s="13">
        <f>LCR!F18+LCR!F25</f>
        <v>1203.5999999999997</v>
      </c>
      <c r="F10" s="13">
        <f t="shared" si="0"/>
        <v>1083.2399999999998</v>
      </c>
    </row>
    <row r="11" spans="2:6" x14ac:dyDescent="0.3">
      <c r="C11" s="17" t="s">
        <v>53</v>
      </c>
      <c r="D11" s="12">
        <v>0.75</v>
      </c>
      <c r="E11" s="13">
        <f>LCR!F19+LCR!F26</f>
        <v>2386.7999999999997</v>
      </c>
      <c r="F11" s="13">
        <f t="shared" si="0"/>
        <v>1790.1</v>
      </c>
    </row>
    <row r="12" spans="2:6" x14ac:dyDescent="0.3">
      <c r="C12" s="17" t="s">
        <v>54</v>
      </c>
      <c r="D12" s="12">
        <v>0</v>
      </c>
      <c r="E12" s="13">
        <f>LCR!F20+LCR!F27</f>
        <v>2536.1999999999998</v>
      </c>
      <c r="F12" s="13">
        <f t="shared" si="0"/>
        <v>0</v>
      </c>
    </row>
    <row r="13" spans="2:6" x14ac:dyDescent="0.3">
      <c r="C13" s="17" t="s">
        <v>55</v>
      </c>
      <c r="D13" s="12">
        <v>0.5</v>
      </c>
      <c r="E13" s="13">
        <f>LCR!F21+LCR!F28</f>
        <v>0</v>
      </c>
      <c r="F13" s="13">
        <f t="shared" si="0"/>
        <v>0</v>
      </c>
    </row>
    <row r="14" spans="2:6" x14ac:dyDescent="0.3">
      <c r="C14" s="17" t="s">
        <v>56</v>
      </c>
      <c r="D14" s="12">
        <v>0</v>
      </c>
      <c r="E14" s="13">
        <f>LCR!F22+LCR!F29</f>
        <v>0</v>
      </c>
      <c r="F14" s="13">
        <f t="shared" si="0"/>
        <v>0</v>
      </c>
    </row>
    <row r="15" spans="2:6" x14ac:dyDescent="0.3">
      <c r="C15" s="17" t="s">
        <v>57</v>
      </c>
      <c r="D15" s="12">
        <v>0.6</v>
      </c>
      <c r="E15" s="13">
        <f>LCR!F31+LCR!F33</f>
        <v>0</v>
      </c>
      <c r="F15" s="13">
        <f t="shared" si="0"/>
        <v>0</v>
      </c>
    </row>
    <row r="16" spans="2:6" x14ac:dyDescent="0.3">
      <c r="C16" s="17" t="s">
        <v>58</v>
      </c>
      <c r="D16" s="12">
        <v>0.4</v>
      </c>
      <c r="E16" s="13">
        <f>LCR!F32+LCR!F34</f>
        <v>1016</v>
      </c>
      <c r="F16" s="13">
        <f t="shared" si="0"/>
        <v>406.40000000000003</v>
      </c>
    </row>
    <row r="17" spans="2:6" x14ac:dyDescent="0.3">
      <c r="C17" s="17" t="s">
        <v>59</v>
      </c>
      <c r="D17" s="12">
        <v>0</v>
      </c>
      <c r="E17" s="13">
        <f>LCR!F35</f>
        <v>0</v>
      </c>
      <c r="F17" s="13">
        <f t="shared" si="0"/>
        <v>0</v>
      </c>
    </row>
    <row r="18" spans="2:6" x14ac:dyDescent="0.3">
      <c r="E18" s="22" t="s">
        <v>21</v>
      </c>
      <c r="F18" s="24">
        <f>SUM(F7:F17)</f>
        <v>15404.42</v>
      </c>
    </row>
    <row r="21" spans="2:6" x14ac:dyDescent="0.3">
      <c r="B21" s="19" t="s">
        <v>62</v>
      </c>
      <c r="C21" s="20"/>
    </row>
    <row r="23" spans="2:6" x14ac:dyDescent="0.3">
      <c r="C23" s="17" t="s">
        <v>25</v>
      </c>
      <c r="D23" s="15" t="s">
        <v>43</v>
      </c>
      <c r="E23" s="15" t="s">
        <v>23</v>
      </c>
      <c r="F23" s="15" t="s">
        <v>24</v>
      </c>
    </row>
    <row r="24" spans="2:6" x14ac:dyDescent="0.3">
      <c r="C24" s="17" t="s">
        <v>63</v>
      </c>
      <c r="D24" s="12">
        <v>0</v>
      </c>
      <c r="E24" s="13">
        <f>LCR!E7</f>
        <v>1094</v>
      </c>
      <c r="F24" s="13">
        <f>E24*D24</f>
        <v>0</v>
      </c>
    </row>
    <row r="25" spans="2:6" x14ac:dyDescent="0.3">
      <c r="C25" s="17" t="s">
        <v>64</v>
      </c>
      <c r="D25" s="12">
        <v>0.05</v>
      </c>
      <c r="E25" s="13">
        <f>LCR!E8</f>
        <v>400</v>
      </c>
      <c r="F25" s="13">
        <f t="shared" ref="F25:F32" si="1">E25*D25</f>
        <v>20</v>
      </c>
    </row>
    <row r="26" spans="2:6" x14ac:dyDescent="0.3">
      <c r="C26" s="17" t="s">
        <v>65</v>
      </c>
      <c r="D26" s="12">
        <v>0.15</v>
      </c>
      <c r="E26" s="13">
        <f>LCR!E9</f>
        <v>2500</v>
      </c>
      <c r="F26" s="13">
        <f t="shared" si="1"/>
        <v>375</v>
      </c>
    </row>
    <row r="27" spans="2:6" x14ac:dyDescent="0.3">
      <c r="C27" s="17" t="s">
        <v>66</v>
      </c>
      <c r="D27" s="12">
        <v>0.5</v>
      </c>
      <c r="E27" s="13">
        <f>LCR!E10</f>
        <v>0</v>
      </c>
      <c r="F27" s="13">
        <f t="shared" si="1"/>
        <v>0</v>
      </c>
    </row>
    <row r="28" spans="2:6" x14ac:dyDescent="0.3">
      <c r="C28" s="17" t="s">
        <v>67</v>
      </c>
      <c r="D28" s="12">
        <v>0.65</v>
      </c>
      <c r="E28" s="49">
        <f>Datos!C11</f>
        <v>7538</v>
      </c>
      <c r="F28" s="13">
        <f t="shared" si="1"/>
        <v>4899.7</v>
      </c>
    </row>
    <row r="29" spans="2:6" x14ac:dyDescent="0.3">
      <c r="C29" s="17" t="s">
        <v>68</v>
      </c>
      <c r="D29" s="12">
        <v>0.5</v>
      </c>
      <c r="E29" s="49">
        <f>Datos!C12</f>
        <v>5714</v>
      </c>
      <c r="F29" s="13">
        <f t="shared" si="1"/>
        <v>2857</v>
      </c>
    </row>
    <row r="30" spans="2:6" x14ac:dyDescent="0.3">
      <c r="C30" s="17" t="s">
        <v>69</v>
      </c>
      <c r="D30" s="12">
        <v>0.65</v>
      </c>
      <c r="E30" s="49">
        <f>Datos!C13</f>
        <v>4197</v>
      </c>
      <c r="F30" s="13">
        <f t="shared" si="1"/>
        <v>2728.05</v>
      </c>
    </row>
    <row r="31" spans="2:6" x14ac:dyDescent="0.3">
      <c r="C31" s="17" t="s">
        <v>70</v>
      </c>
      <c r="D31" s="12">
        <v>0.65</v>
      </c>
      <c r="E31" s="49">
        <v>0</v>
      </c>
      <c r="F31" s="13">
        <f t="shared" si="1"/>
        <v>0</v>
      </c>
    </row>
    <row r="32" spans="2:6" x14ac:dyDescent="0.3">
      <c r="C32" s="17" t="s">
        <v>71</v>
      </c>
      <c r="D32" s="12">
        <v>1</v>
      </c>
      <c r="E32" s="49">
        <v>0</v>
      </c>
      <c r="F32" s="13">
        <f t="shared" si="1"/>
        <v>0</v>
      </c>
    </row>
    <row r="33" spans="5:6" x14ac:dyDescent="0.3">
      <c r="E33" s="22" t="s">
        <v>21</v>
      </c>
      <c r="F33" s="24">
        <f>SUM(F24:F32)</f>
        <v>10879.75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A5E9-5D30-4F13-97E2-A9249CD91134}">
  <dimension ref="B2:K39"/>
  <sheetViews>
    <sheetView tabSelected="1" topLeftCell="A4" zoomScaleNormal="100" workbookViewId="0">
      <selection activeCell="F23" sqref="F23"/>
    </sheetView>
  </sheetViews>
  <sheetFormatPr baseColWidth="10" defaultColWidth="11.44140625" defaultRowHeight="14.4" x14ac:dyDescent="0.3"/>
  <cols>
    <col min="1" max="1" width="11.44140625" style="1"/>
    <col min="2" max="2" width="64.109375" style="1" bestFit="1" customWidth="1"/>
    <col min="3" max="3" width="18.5546875" style="1" bestFit="1" customWidth="1"/>
    <col min="4" max="4" width="14" style="1" customWidth="1"/>
    <col min="5" max="5" width="17.33203125" style="1" bestFit="1" customWidth="1"/>
    <col min="6" max="6" width="14" style="1" bestFit="1" customWidth="1"/>
    <col min="7" max="7" width="14.88671875" style="1" customWidth="1"/>
    <col min="8" max="8" width="13.44140625" style="1" bestFit="1" customWidth="1"/>
    <col min="9" max="10" width="11.44140625" style="1"/>
    <col min="11" max="11" width="12.33203125" style="1" bestFit="1" customWidth="1"/>
    <col min="12" max="16384" width="11.44140625" style="1"/>
  </cols>
  <sheetData>
    <row r="2" spans="2:11" x14ac:dyDescent="0.3">
      <c r="C2" s="44" t="s">
        <v>72</v>
      </c>
      <c r="D2" s="56">
        <v>6.7500000000000004E-2</v>
      </c>
      <c r="F2" s="45" t="s">
        <v>90</v>
      </c>
      <c r="G2" s="55">
        <v>5.0000000000000001E-3</v>
      </c>
    </row>
    <row r="3" spans="2:11" x14ac:dyDescent="0.3">
      <c r="C3" s="25"/>
      <c r="D3" s="26"/>
    </row>
    <row r="4" spans="2:11" x14ac:dyDescent="0.3">
      <c r="C4" s="44" t="s">
        <v>76</v>
      </c>
      <c r="D4" s="13">
        <f>E22</f>
        <v>4432.0425500000001</v>
      </c>
      <c r="F4" s="46" t="s">
        <v>76</v>
      </c>
      <c r="G4" s="13">
        <f>H22</f>
        <v>40.126899999999999</v>
      </c>
      <c r="I4" s="59" t="s">
        <v>95</v>
      </c>
      <c r="J4" s="60"/>
      <c r="K4" s="13">
        <f>C20+C19*0.67+C13</f>
        <v>8025.38</v>
      </c>
    </row>
    <row r="5" spans="2:11" x14ac:dyDescent="0.3">
      <c r="C5" s="44" t="s">
        <v>77</v>
      </c>
      <c r="D5" s="13">
        <f>E38</f>
        <v>585.59300000000007</v>
      </c>
      <c r="F5" s="46" t="s">
        <v>77</v>
      </c>
      <c r="G5" s="13">
        <f>H38</f>
        <v>40.620000000000005</v>
      </c>
      <c r="I5" s="59" t="s">
        <v>96</v>
      </c>
      <c r="J5" s="60"/>
      <c r="K5" s="13">
        <f>C29+C30+C32+C33</f>
        <v>8124</v>
      </c>
    </row>
    <row r="6" spans="2:11" x14ac:dyDescent="0.3">
      <c r="C6" s="44" t="s">
        <v>75</v>
      </c>
      <c r="D6" s="29">
        <f>D4-D5</f>
        <v>3846.4495500000003</v>
      </c>
      <c r="F6" s="46" t="s">
        <v>93</v>
      </c>
      <c r="G6" s="29">
        <f>G4-G5</f>
        <v>-0.49310000000000542</v>
      </c>
      <c r="I6" s="59" t="s">
        <v>102</v>
      </c>
      <c r="J6" s="60"/>
      <c r="K6" s="13">
        <f>ABS(K4-K5)</f>
        <v>98.619999999999891</v>
      </c>
    </row>
    <row r="7" spans="2:11" x14ac:dyDescent="0.3">
      <c r="C7" s="44" t="s">
        <v>78</v>
      </c>
      <c r="D7" s="31">
        <f>D6/C36</f>
        <v>0.69292912087912095</v>
      </c>
      <c r="F7" s="46" t="s">
        <v>94</v>
      </c>
      <c r="G7" s="30">
        <f>G6/C36</f>
        <v>-8.8830841289858661E-5</v>
      </c>
    </row>
    <row r="9" spans="2:11" x14ac:dyDescent="0.3">
      <c r="B9" s="38" t="s">
        <v>0</v>
      </c>
      <c r="C9" s="39" t="s">
        <v>79</v>
      </c>
      <c r="D9" s="35" t="s">
        <v>73</v>
      </c>
      <c r="E9" s="32" t="s">
        <v>74</v>
      </c>
      <c r="G9" s="47" t="s">
        <v>92</v>
      </c>
      <c r="H9" s="47" t="s">
        <v>91</v>
      </c>
    </row>
    <row r="10" spans="2:11" x14ac:dyDescent="0.3">
      <c r="B10" s="11" t="s">
        <v>1</v>
      </c>
      <c r="C10" s="11">
        <f>Datos!C3</f>
        <v>1094</v>
      </c>
      <c r="D10" s="36"/>
      <c r="E10" s="33"/>
      <c r="G10" s="33"/>
      <c r="H10" s="33"/>
    </row>
    <row r="11" spans="2:11" x14ac:dyDescent="0.3">
      <c r="B11" s="11" t="s">
        <v>80</v>
      </c>
      <c r="C11" s="11">
        <f>Datos!C4</f>
        <v>2900</v>
      </c>
      <c r="D11" s="36"/>
      <c r="E11" s="33"/>
      <c r="G11" s="33"/>
      <c r="H11" s="33"/>
    </row>
    <row r="12" spans="2:11" x14ac:dyDescent="0.3">
      <c r="B12" s="8" t="s">
        <v>2</v>
      </c>
      <c r="C12" s="11">
        <f>Datos!C5</f>
        <v>400</v>
      </c>
      <c r="D12" s="53">
        <v>7.1800000000000003E-2</v>
      </c>
      <c r="E12" s="13">
        <f>C12*D12</f>
        <v>28.720000000000002</v>
      </c>
      <c r="G12" s="55">
        <v>0</v>
      </c>
      <c r="H12" s="13">
        <f>C12*G12</f>
        <v>0</v>
      </c>
      <c r="I12" s="28"/>
    </row>
    <row r="13" spans="2:11" x14ac:dyDescent="0.3">
      <c r="B13" s="8" t="s">
        <v>81</v>
      </c>
      <c r="C13" s="11">
        <f>Datos!C6</f>
        <v>0</v>
      </c>
      <c r="D13" s="53">
        <f>D2+0.0019</f>
        <v>6.9400000000000003E-2</v>
      </c>
      <c r="E13" s="13">
        <f t="shared" ref="E13:E16" si="0">C13*D13</f>
        <v>0</v>
      </c>
      <c r="G13" s="55">
        <f>G2</f>
        <v>5.0000000000000001E-3</v>
      </c>
      <c r="H13" s="13">
        <f t="shared" ref="H13:H16" si="1">C13*G13</f>
        <v>0</v>
      </c>
      <c r="I13" s="28"/>
    </row>
    <row r="14" spans="2:11" x14ac:dyDescent="0.3">
      <c r="B14" s="8" t="s">
        <v>82</v>
      </c>
      <c r="C14" s="11">
        <f>Datos!C7</f>
        <v>1500</v>
      </c>
      <c r="D14" s="53">
        <v>8.3199999999999996E-2</v>
      </c>
      <c r="E14" s="13">
        <f t="shared" si="0"/>
        <v>124.8</v>
      </c>
      <c r="G14" s="55">
        <v>0</v>
      </c>
      <c r="H14" s="13">
        <f t="shared" si="1"/>
        <v>0</v>
      </c>
      <c r="I14" s="28"/>
    </row>
    <row r="15" spans="2:11" x14ac:dyDescent="0.3">
      <c r="B15" s="8" t="s">
        <v>3</v>
      </c>
      <c r="C15" s="11">
        <f>Datos!C8</f>
        <v>1000</v>
      </c>
      <c r="D15" s="53">
        <v>9.7000000000000003E-2</v>
      </c>
      <c r="E15" s="13">
        <f t="shared" si="0"/>
        <v>97</v>
      </c>
      <c r="G15" s="55">
        <v>0</v>
      </c>
      <c r="H15" s="13">
        <f t="shared" si="1"/>
        <v>0</v>
      </c>
      <c r="I15" s="28"/>
    </row>
    <row r="16" spans="2:11" x14ac:dyDescent="0.3">
      <c r="B16" s="8" t="s">
        <v>4</v>
      </c>
      <c r="C16" s="11">
        <f>Datos!C9</f>
        <v>0</v>
      </c>
      <c r="D16" s="53">
        <v>0</v>
      </c>
      <c r="E16" s="13">
        <f t="shared" si="0"/>
        <v>0</v>
      </c>
      <c r="G16" s="55">
        <v>0</v>
      </c>
      <c r="H16" s="13">
        <f t="shared" si="1"/>
        <v>0</v>
      </c>
      <c r="I16" s="28"/>
    </row>
    <row r="17" spans="2:9" x14ac:dyDescent="0.3">
      <c r="B17" s="11" t="s">
        <v>5</v>
      </c>
      <c r="C17" s="11">
        <f>Datos!C10</f>
        <v>17449</v>
      </c>
      <c r="D17" s="36"/>
      <c r="E17" s="33">
        <v>0</v>
      </c>
      <c r="G17" s="34"/>
      <c r="H17" s="33"/>
      <c r="I17" s="28"/>
    </row>
    <row r="18" spans="2:9" x14ac:dyDescent="0.3">
      <c r="B18" s="8" t="s">
        <v>6</v>
      </c>
      <c r="C18" s="11">
        <f>Datos!C11</f>
        <v>7538</v>
      </c>
      <c r="D18" s="54">
        <v>0.1086</v>
      </c>
      <c r="E18" s="13">
        <f>C18*D18</f>
        <v>818.6268</v>
      </c>
      <c r="G18" s="55">
        <v>0</v>
      </c>
      <c r="H18" s="13">
        <f>C18*G18</f>
        <v>0</v>
      </c>
      <c r="I18" s="28"/>
    </row>
    <row r="19" spans="2:9" x14ac:dyDescent="0.3">
      <c r="B19" s="8" t="s">
        <v>83</v>
      </c>
      <c r="C19" s="11">
        <f>Datos!C12</f>
        <v>5714</v>
      </c>
      <c r="D19" s="54">
        <f>0.67*(D2+0.48)+0.33*(0.21)</f>
        <v>0.43612499999999998</v>
      </c>
      <c r="E19" s="13">
        <f t="shared" ref="E19:E20" si="2">C19*D19</f>
        <v>2492.0182500000001</v>
      </c>
      <c r="G19" s="55">
        <f>G2*0.67</f>
        <v>3.3500000000000001E-3</v>
      </c>
      <c r="H19" s="13">
        <f t="shared" ref="H19" si="3">C19*G19</f>
        <v>19.1419</v>
      </c>
      <c r="I19" s="28"/>
    </row>
    <row r="20" spans="2:9" x14ac:dyDescent="0.3">
      <c r="B20" s="8" t="s">
        <v>7</v>
      </c>
      <c r="C20" s="11">
        <f>Datos!C13</f>
        <v>4197</v>
      </c>
      <c r="D20" s="54">
        <f>D2+0.14</f>
        <v>0.20750000000000002</v>
      </c>
      <c r="E20" s="13">
        <f t="shared" si="2"/>
        <v>870.87750000000005</v>
      </c>
      <c r="G20" s="55">
        <f>G2</f>
        <v>5.0000000000000001E-3</v>
      </c>
      <c r="H20" s="13">
        <f>C20*G20</f>
        <v>20.984999999999999</v>
      </c>
      <c r="I20" s="28"/>
    </row>
    <row r="21" spans="2:9" x14ac:dyDescent="0.3">
      <c r="B21" s="11" t="s">
        <v>8</v>
      </c>
      <c r="C21" s="11">
        <f>Datos!C14</f>
        <v>1028</v>
      </c>
      <c r="D21" s="36"/>
      <c r="E21" s="33"/>
      <c r="G21" s="33"/>
      <c r="H21" s="33"/>
      <c r="I21" s="28"/>
    </row>
    <row r="22" spans="2:9" x14ac:dyDescent="0.3">
      <c r="B22" s="11" t="s">
        <v>9</v>
      </c>
      <c r="C22" s="11">
        <f>Datos!C15</f>
        <v>37</v>
      </c>
      <c r="D22" s="35" t="s">
        <v>21</v>
      </c>
      <c r="E22" s="13">
        <f>SUM(E12:E20)</f>
        <v>4432.0425500000001</v>
      </c>
      <c r="G22" s="47" t="s">
        <v>21</v>
      </c>
      <c r="H22" s="13">
        <f>SUM(H12:H20)</f>
        <v>40.126899999999999</v>
      </c>
      <c r="I22" s="28"/>
    </row>
    <row r="23" spans="2:9" x14ac:dyDescent="0.3">
      <c r="B23" s="3"/>
      <c r="C23" s="27"/>
      <c r="I23" s="28"/>
    </row>
    <row r="24" spans="2:9" x14ac:dyDescent="0.3">
      <c r="B24" s="42" t="s">
        <v>10</v>
      </c>
      <c r="C24" s="43">
        <f>C10+C11+C17+C21+C22</f>
        <v>22508</v>
      </c>
      <c r="D24" s="35" t="s">
        <v>73</v>
      </c>
      <c r="E24" s="32" t="s">
        <v>97</v>
      </c>
      <c r="G24" s="47" t="s">
        <v>92</v>
      </c>
      <c r="H24" s="47" t="s">
        <v>98</v>
      </c>
      <c r="I24" s="28"/>
    </row>
    <row r="25" spans="2:9" x14ac:dyDescent="0.3">
      <c r="B25" s="11" t="s">
        <v>11</v>
      </c>
      <c r="C25" s="40">
        <f>Datos!C17</f>
        <v>7817</v>
      </c>
      <c r="D25" s="36"/>
      <c r="E25" s="33"/>
      <c r="G25" s="33"/>
      <c r="H25" s="33"/>
      <c r="I25" s="28"/>
    </row>
    <row r="26" spans="2:9" x14ac:dyDescent="0.3">
      <c r="B26" s="8" t="s">
        <v>84</v>
      </c>
      <c r="C26" s="40">
        <f>Datos!C18</f>
        <v>3839</v>
      </c>
      <c r="D26" s="54">
        <v>0</v>
      </c>
      <c r="E26" s="13">
        <f>C26*D26</f>
        <v>0</v>
      </c>
      <c r="G26" s="55">
        <v>0</v>
      </c>
      <c r="H26" s="13">
        <f>C26*G26</f>
        <v>0</v>
      </c>
      <c r="I26" s="28"/>
    </row>
    <row r="27" spans="2:9" x14ac:dyDescent="0.3">
      <c r="B27" s="8" t="s">
        <v>85</v>
      </c>
      <c r="C27" s="40">
        <f>Datos!C19</f>
        <v>3978</v>
      </c>
      <c r="D27" s="54">
        <v>0</v>
      </c>
      <c r="E27" s="13">
        <f>C27*D27</f>
        <v>0</v>
      </c>
      <c r="G27" s="55">
        <v>0</v>
      </c>
      <c r="H27" s="13">
        <f>C27*G27</f>
        <v>0</v>
      </c>
      <c r="I27" s="28"/>
    </row>
    <row r="28" spans="2:9" x14ac:dyDescent="0.3">
      <c r="B28" s="11" t="s">
        <v>12</v>
      </c>
      <c r="C28" s="40">
        <f>Datos!C20</f>
        <v>3124</v>
      </c>
      <c r="D28" s="37"/>
      <c r="E28" s="33"/>
      <c r="G28" s="34"/>
      <c r="H28" s="33"/>
      <c r="I28" s="28"/>
    </row>
    <row r="29" spans="2:9" x14ac:dyDescent="0.3">
      <c r="B29" s="8" t="s">
        <v>86</v>
      </c>
      <c r="C29" s="40">
        <f>Datos!C21</f>
        <v>2179</v>
      </c>
      <c r="D29" s="54">
        <f>0.5*(0.03)+0.5*(0.04)</f>
        <v>3.5000000000000003E-2</v>
      </c>
      <c r="E29" s="13">
        <f>C29*D29</f>
        <v>76.265000000000001</v>
      </c>
      <c r="G29" s="55">
        <f>G2</f>
        <v>5.0000000000000001E-3</v>
      </c>
      <c r="H29" s="13">
        <f>C29*G29</f>
        <v>10.895</v>
      </c>
      <c r="I29" s="28"/>
    </row>
    <row r="30" spans="2:9" x14ac:dyDescent="0.3">
      <c r="B30" s="8" t="s">
        <v>13</v>
      </c>
      <c r="C30" s="40">
        <f>Datos!C22</f>
        <v>945</v>
      </c>
      <c r="D30" s="54">
        <f>0.8*(0.03)+0.2*(0.04)</f>
        <v>3.2000000000000001E-2</v>
      </c>
      <c r="E30" s="13">
        <f t="shared" ref="E30:E34" si="4">C30*D30</f>
        <v>30.240000000000002</v>
      </c>
      <c r="G30" s="55">
        <f>G2</f>
        <v>5.0000000000000001E-3</v>
      </c>
      <c r="H30" s="13">
        <f t="shared" ref="H30:H31" si="5">C30*G30</f>
        <v>4.7250000000000005</v>
      </c>
      <c r="I30" s="28"/>
    </row>
    <row r="31" spans="2:9" x14ac:dyDescent="0.3">
      <c r="B31" s="11" t="s">
        <v>87</v>
      </c>
      <c r="C31" s="40">
        <f>Datos!C23</f>
        <v>1016</v>
      </c>
      <c r="D31" s="54">
        <v>6.8000000000000005E-2</v>
      </c>
      <c r="E31" s="13">
        <f t="shared" si="4"/>
        <v>69.088000000000008</v>
      </c>
      <c r="G31" s="55">
        <v>0</v>
      </c>
      <c r="H31" s="13">
        <f t="shared" si="5"/>
        <v>0</v>
      </c>
      <c r="I31" s="28"/>
    </row>
    <row r="32" spans="2:9" x14ac:dyDescent="0.3">
      <c r="B32" s="11" t="s">
        <v>14</v>
      </c>
      <c r="C32" s="40">
        <f>Datos!C24</f>
        <v>3000</v>
      </c>
      <c r="D32" s="54">
        <f>D2+0.0125</f>
        <v>0.08</v>
      </c>
      <c r="E32" s="13">
        <f t="shared" si="4"/>
        <v>240</v>
      </c>
      <c r="G32" s="55">
        <f>G2</f>
        <v>5.0000000000000001E-3</v>
      </c>
      <c r="H32" s="13">
        <f t="shared" ref="H32" si="6">C32*G32</f>
        <v>15</v>
      </c>
      <c r="I32" s="28"/>
    </row>
    <row r="33" spans="2:9" x14ac:dyDescent="0.3">
      <c r="B33" s="11" t="s">
        <v>15</v>
      </c>
      <c r="C33" s="40">
        <f>Datos!C25</f>
        <v>2000</v>
      </c>
      <c r="D33" s="54">
        <f>D2+0.0175</f>
        <v>8.5000000000000006E-2</v>
      </c>
      <c r="E33" s="13">
        <f t="shared" si="4"/>
        <v>170</v>
      </c>
      <c r="G33" s="55">
        <f>G2</f>
        <v>5.0000000000000001E-3</v>
      </c>
      <c r="H33" s="13">
        <f>C33*G33</f>
        <v>10</v>
      </c>
      <c r="I33" s="28"/>
    </row>
    <row r="34" spans="2:9" x14ac:dyDescent="0.3">
      <c r="B34" s="11" t="s">
        <v>16</v>
      </c>
      <c r="C34" s="40">
        <f>Datos!C26</f>
        <v>0</v>
      </c>
      <c r="D34" s="54">
        <v>0</v>
      </c>
      <c r="E34" s="13">
        <f t="shared" si="4"/>
        <v>0</v>
      </c>
      <c r="G34" s="55">
        <v>0</v>
      </c>
      <c r="H34" s="13">
        <f>C34*G34</f>
        <v>0</v>
      </c>
      <c r="I34" s="28"/>
    </row>
    <row r="35" spans="2:9" x14ac:dyDescent="0.3">
      <c r="B35" s="42" t="s">
        <v>17</v>
      </c>
      <c r="C35" s="43">
        <f t="shared" ref="C35" si="7">C25+C28+C31+C32+C33+C34</f>
        <v>16957</v>
      </c>
      <c r="D35" s="37"/>
      <c r="E35" s="33"/>
      <c r="G35" s="34"/>
      <c r="H35" s="33"/>
      <c r="I35" s="28"/>
    </row>
    <row r="36" spans="2:9" x14ac:dyDescent="0.3">
      <c r="B36" s="11" t="s">
        <v>88</v>
      </c>
      <c r="C36" s="41">
        <f>Datos!C28</f>
        <v>5551</v>
      </c>
      <c r="D36" s="37"/>
      <c r="E36" s="33"/>
      <c r="G36" s="34"/>
      <c r="H36" s="33"/>
      <c r="I36" s="28"/>
    </row>
    <row r="37" spans="2:9" x14ac:dyDescent="0.3">
      <c r="B37" s="11" t="s">
        <v>89</v>
      </c>
      <c r="C37" s="41">
        <f>Datos!C29</f>
        <v>0</v>
      </c>
      <c r="D37" s="54">
        <v>0</v>
      </c>
      <c r="E37" s="13">
        <f>C37*D37</f>
        <v>0</v>
      </c>
      <c r="G37" s="55">
        <v>0</v>
      </c>
      <c r="H37" s="13">
        <f>C37*G37</f>
        <v>0</v>
      </c>
      <c r="I37" s="28"/>
    </row>
    <row r="38" spans="2:9" x14ac:dyDescent="0.3">
      <c r="B38" s="42" t="s">
        <v>18</v>
      </c>
      <c r="C38" s="43">
        <f t="shared" ref="C38" si="8">C36+C37</f>
        <v>5551</v>
      </c>
      <c r="D38" s="35" t="s">
        <v>21</v>
      </c>
      <c r="E38" s="8">
        <f>SUM(E26:E37)</f>
        <v>585.59300000000007</v>
      </c>
      <c r="G38" s="47" t="s">
        <v>21</v>
      </c>
      <c r="H38" s="8">
        <f>SUM(H26:H37)</f>
        <v>40.620000000000005</v>
      </c>
    </row>
    <row r="39" spans="2:9" x14ac:dyDescent="0.3">
      <c r="B39" s="11" t="s">
        <v>19</v>
      </c>
      <c r="C39" s="40">
        <f t="shared" ref="C39" si="9">C35+C38</f>
        <v>22508</v>
      </c>
    </row>
  </sheetData>
  <mergeCells count="3">
    <mergeCell ref="I4:J4"/>
    <mergeCell ref="I5:J5"/>
    <mergeCell ref="I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LCR</vt:lpstr>
      <vt:lpstr>NSFT</vt:lpstr>
      <vt:lpstr>NII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Gómez Jiménez</dc:creator>
  <cp:lastModifiedBy>Samuel Gómez Jiménez</cp:lastModifiedBy>
  <dcterms:created xsi:type="dcterms:W3CDTF">2026-04-09T22:38:36Z</dcterms:created>
  <dcterms:modified xsi:type="dcterms:W3CDTF">2026-04-16T01:40:06Z</dcterms:modified>
</cp:coreProperties>
</file>