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EA35A443-5C20-4AF1-8384-5A44A15E397E}" xr6:coauthVersionLast="47" xr6:coauthVersionMax="47" xr10:uidLastSave="{00000000-0000-0000-0000-000000000000}"/>
  <bookViews>
    <workbookView xWindow="-108" yWindow="-108" windowWidth="23256" windowHeight="12456" firstSheet="1" activeTab="5" xr2:uid="{410C7B72-0984-422A-8031-895922235232}"/>
  </bookViews>
  <sheets>
    <sheet name="escala credit risk rating" sheetId="2" r:id="rId1"/>
    <sheet name="factores LCR y NSFR" sheetId="5" r:id="rId2"/>
    <sheet name="notas importantes" sheetId="3" r:id="rId3"/>
    <sheet name="balances (banking book)" sheetId="1" r:id="rId4"/>
    <sheet name="Preguntas" sheetId="4" r:id="rId5"/>
    <sheet name="NII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6" l="1"/>
  <c r="H15" i="6" l="1"/>
  <c r="H14" i="6"/>
  <c r="H13" i="6"/>
  <c r="H29" i="6"/>
  <c r="C79" i="4" s="1"/>
  <c r="H26" i="6"/>
  <c r="H25" i="6"/>
  <c r="H24" i="6"/>
  <c r="H21" i="6"/>
  <c r="H20" i="6"/>
  <c r="C78" i="4"/>
  <c r="H16" i="6"/>
  <c r="H6" i="6"/>
  <c r="H12" i="6"/>
  <c r="F28" i="6"/>
  <c r="F27" i="6"/>
  <c r="F26" i="6"/>
  <c r="F25" i="6"/>
  <c r="F21" i="6"/>
  <c r="F23" i="6"/>
  <c r="F24" i="6"/>
  <c r="F20" i="6"/>
  <c r="F5" i="6"/>
  <c r="F6" i="6"/>
  <c r="F7" i="6"/>
  <c r="F8" i="6"/>
  <c r="F9" i="6"/>
  <c r="F11" i="6"/>
  <c r="F3" i="6"/>
  <c r="E15" i="6"/>
  <c r="F15" i="6" s="1"/>
  <c r="E14" i="6"/>
  <c r="F14" i="6" s="1"/>
  <c r="E13" i="6"/>
  <c r="F13" i="6" s="1"/>
  <c r="E12" i="6"/>
  <c r="F12" i="6" s="1"/>
  <c r="E6" i="6"/>
  <c r="D32" i="6"/>
  <c r="C32" i="6"/>
  <c r="D22" i="6"/>
  <c r="C22" i="6"/>
  <c r="D19" i="6"/>
  <c r="C19" i="6"/>
  <c r="D10" i="6"/>
  <c r="C10" i="6"/>
  <c r="D4" i="6"/>
  <c r="C4" i="6"/>
  <c r="K46" i="4"/>
  <c r="K47" i="4"/>
  <c r="K48" i="4"/>
  <c r="H62" i="4"/>
  <c r="K62" i="4" s="1"/>
  <c r="H61" i="4"/>
  <c r="K61" i="4" s="1"/>
  <c r="H60" i="4"/>
  <c r="K60" i="4" s="1"/>
  <c r="H59" i="4"/>
  <c r="K59" i="4" s="1"/>
  <c r="H58" i="4"/>
  <c r="K58" i="4" s="1"/>
  <c r="H57" i="4"/>
  <c r="K57" i="4" s="1"/>
  <c r="H56" i="4"/>
  <c r="K56" i="4" s="1"/>
  <c r="H55" i="4"/>
  <c r="K55" i="4" s="1"/>
  <c r="H54" i="4"/>
  <c r="K54" i="4" s="1"/>
  <c r="H41" i="4"/>
  <c r="K41" i="4" s="1"/>
  <c r="H40" i="4"/>
  <c r="K40" i="4" s="1"/>
  <c r="K29" i="4"/>
  <c r="K30" i="4"/>
  <c r="H31" i="4"/>
  <c r="K31" i="4" s="1"/>
  <c r="H28" i="4"/>
  <c r="K28" i="4" s="1"/>
  <c r="H26" i="4"/>
  <c r="K26" i="4" s="1"/>
  <c r="H25" i="4"/>
  <c r="K25" i="4" s="1"/>
  <c r="H23" i="4"/>
  <c r="K23" i="4" s="1"/>
  <c r="H22" i="4"/>
  <c r="K22" i="4" s="1"/>
  <c r="H20" i="4"/>
  <c r="K20" i="4" s="1"/>
  <c r="H19" i="4"/>
  <c r="K19" i="4" s="1"/>
  <c r="H17" i="4"/>
  <c r="K17" i="4" s="1"/>
  <c r="H16" i="4"/>
  <c r="K16" i="4" s="1"/>
  <c r="F8" i="4"/>
  <c r="F9" i="4"/>
  <c r="F10" i="4"/>
  <c r="F11" i="4"/>
  <c r="F7" i="4"/>
  <c r="G9" i="4"/>
  <c r="H9" i="4"/>
  <c r="G7" i="4"/>
  <c r="H7" i="4"/>
  <c r="H6" i="4"/>
  <c r="G6" i="4"/>
  <c r="B6" i="4"/>
  <c r="H8" i="4"/>
  <c r="H10" i="4"/>
  <c r="H11" i="4"/>
  <c r="G8" i="4"/>
  <c r="G10" i="4"/>
  <c r="G11" i="4"/>
  <c r="B7" i="4" a="1"/>
  <c r="B7" i="4" s="1"/>
  <c r="D23" i="1"/>
  <c r="C23" i="1"/>
  <c r="D20" i="1"/>
  <c r="C20" i="1"/>
  <c r="D33" i="1"/>
  <c r="C33" i="1"/>
  <c r="D30" i="1"/>
  <c r="D34" i="1" s="1"/>
  <c r="D11" i="1"/>
  <c r="C11" i="1"/>
  <c r="D5" i="1"/>
  <c r="C5" i="1"/>
  <c r="C19" i="1" s="1"/>
  <c r="C80" i="4" l="1"/>
  <c r="F29" i="6"/>
  <c r="C72" i="4" s="1"/>
  <c r="F16" i="6"/>
  <c r="C71" i="4" s="1"/>
  <c r="C73" i="4" s="1"/>
  <c r="C74" i="4" s="1"/>
  <c r="C29" i="6"/>
  <c r="C33" i="6" s="1"/>
  <c r="D29" i="6"/>
  <c r="D33" i="6" s="1"/>
  <c r="C18" i="6"/>
  <c r="D18" i="6"/>
  <c r="K63" i="4"/>
  <c r="H42" i="4"/>
  <c r="K42" i="4" s="1"/>
  <c r="H43" i="4"/>
  <c r="K43" i="4" s="1"/>
  <c r="H44" i="4"/>
  <c r="K44" i="4" s="1"/>
  <c r="H45" i="4"/>
  <c r="K45" i="4" s="1"/>
  <c r="H50" i="4"/>
  <c r="K50" i="4" s="1"/>
  <c r="H49" i="4"/>
  <c r="K49" i="4" s="1"/>
  <c r="K32" i="4"/>
  <c r="H12" i="4"/>
  <c r="G12" i="4"/>
  <c r="C30" i="1"/>
  <c r="C34" i="1" s="1"/>
  <c r="D19" i="1"/>
  <c r="K51" i="4" l="1"/>
  <c r="C65" i="4" s="1"/>
  <c r="C3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<sst xmlns="http://schemas.openxmlformats.org/spreadsheetml/2006/main" count="274" uniqueCount="177">
  <si>
    <t>Efectivo y reservas en el banco central</t>
  </si>
  <si>
    <t>Títulos conservados a vencimiento</t>
  </si>
  <si>
    <t xml:space="preserve">   Bonos gubernamentales &lt; 1 año (Nivel 1 para HQLA)</t>
  </si>
  <si>
    <t xml:space="preserve">   Bonos corporativos calif AA- o superior tasa fija (Nivel 2A para HQLA)</t>
  </si>
  <si>
    <t xml:space="preserve">   Bonos corporativos calif BBB- a A+ tasa fija (nivel 2B para HQLA)</t>
  </si>
  <si>
    <t>Cartera de crédito</t>
  </si>
  <si>
    <t xml:space="preserve">    Hipotecario</t>
  </si>
  <si>
    <t xml:space="preserve">   Consumo (tarjetas de crédito, de nómina, personales)</t>
  </si>
  <si>
    <t xml:space="preserve">    PYMES</t>
  </si>
  <si>
    <t xml:space="preserve">    Corporativo (grandes empresas)</t>
  </si>
  <si>
    <t>Activos Fijos</t>
  </si>
  <si>
    <t>Otros activos</t>
  </si>
  <si>
    <t>TOTAL ACTIVO</t>
  </si>
  <si>
    <t>Depósitos a la vista</t>
  </si>
  <si>
    <t>Depósitos a plazo</t>
  </si>
  <si>
    <t xml:space="preserve">    Minoristas (retail)</t>
  </si>
  <si>
    <t xml:space="preserve">    De empresas</t>
  </si>
  <si>
    <t>Bonos emitidos con vencimiento &lt; 1 año</t>
  </si>
  <si>
    <t>Bonos emitidos con vencimiento 1-5 años</t>
  </si>
  <si>
    <t>Bonos emitidos con vencimiento 5-10 años</t>
  </si>
  <si>
    <t>TOTAL PASIVO</t>
  </si>
  <si>
    <t xml:space="preserve">TOTAL CAPITAL </t>
  </si>
  <si>
    <t>Banco del Pacífico</t>
  </si>
  <si>
    <t>Banco del Golfo</t>
  </si>
  <si>
    <t>cifras en millones de pesos</t>
  </si>
  <si>
    <t xml:space="preserve">   Bondes 1-5 años (Nivel 1 para HQLA)</t>
  </si>
  <si>
    <t xml:space="preserve">   Bonos M 1-5 años (Nivel 2A para HQLA)</t>
  </si>
  <si>
    <t>AAA</t>
  </si>
  <si>
    <t>AA+</t>
  </si>
  <si>
    <t>AA</t>
  </si>
  <si>
    <t>AA-</t>
  </si>
  <si>
    <t>A+</t>
  </si>
  <si>
    <t>A</t>
  </si>
  <si>
    <t>A-</t>
  </si>
  <si>
    <t>BBB+</t>
  </si>
  <si>
    <t>BBB</t>
  </si>
  <si>
    <t>BBB-</t>
  </si>
  <si>
    <t>BB+</t>
  </si>
  <si>
    <t>BB</t>
  </si>
  <si>
    <t>BB-</t>
  </si>
  <si>
    <t>B+</t>
  </si>
  <si>
    <t>B</t>
  </si>
  <si>
    <t>B-</t>
  </si>
  <si>
    <t>CCC</t>
  </si>
  <si>
    <t>D</t>
  </si>
  <si>
    <t>máxima calificación crediticia (más seguro)</t>
  </si>
  <si>
    <t>calificación crediticia más baja (más riesgosa, a un paso del default)</t>
  </si>
  <si>
    <t>de aquí hacia arriba es grado de inversión (investment grade), y hacia abajo es grado especulativo (high yield)</t>
  </si>
  <si>
    <t xml:space="preserve">    Instituciones Financieras (sofoms, sofipos, sapis, otros bancos)</t>
  </si>
  <si>
    <t>mientras que para el Banco del Golfo dado su enfoque más en personas morales, el 30% de esos depósitos se consideran estables o core y el 70% se consideran menos estables</t>
  </si>
  <si>
    <t>Riesgo de Liquidez a corto plazo: LCR</t>
  </si>
  <si>
    <t>Riesgo de Liquidez a largo plazo: NSFR</t>
  </si>
  <si>
    <t>Riesgo de Tasas a corto plazo: NII</t>
  </si>
  <si>
    <t>tasa variable promedio de TIIE+4% para el banco del Pacífico y TIIE+3% para el banco del Golfo</t>
  </si>
  <si>
    <t>tasa variable promedio de TIIE+9% para el banco del Pacífico y TIIE+12% para el banco del Golfo</t>
  </si>
  <si>
    <t>tasa fija promedio del 8.5%, duración modificada 2.4</t>
  </si>
  <si>
    <t>tasa variable spread promedio de 19 basis, duración modificada 0.08</t>
  </si>
  <si>
    <t>en México no reciben una tasa como sucede en US (IORB, interest rate on reserve balances)</t>
  </si>
  <si>
    <t>tasa promedio 7.5%, duración modificada 0.2</t>
  </si>
  <si>
    <t>tasa fija promedio del 9%, duración modificada 3.2</t>
  </si>
  <si>
    <t>tasa fija promedio del 9.5%, duración modificada 2.9</t>
  </si>
  <si>
    <t>el 60% del Pacífico es tarjetas a TIIE+36%, el resto del Pacífico es fija promedio 19%, para el Golfo el 50% es tarjeta a TIIE+42%  y lo demás es fija promedio 24%</t>
  </si>
  <si>
    <t>tasa fija promedio del 10.75% para el banco del Pacífico y del 11.50% para el banco del Golfo, duración modificada 8.3 para ambos</t>
  </si>
  <si>
    <t>TOTAL PASIVO Y CAPITAL</t>
  </si>
  <si>
    <t>¿De cuánto es el Net Interest Income de cada banco? Calcular el ROE (return over equity a partir del NII) para cada banco</t>
  </si>
  <si>
    <t>Riesgo de Tasas a largo plazo: Delta EVE</t>
  </si>
  <si>
    <t>¿Calcular el cambio en el Economic Value of Equity ante una subida de 100 puntos base y ante una bajada de 100 puntos base?</t>
  </si>
  <si>
    <t>Si la variación en el EVE es mayor a 15% proponer una estrategia de cobertura con derivados</t>
  </si>
  <si>
    <t>¿En cuánto se modifica el NII de cada banco si hubiera un recorte de 50 basis y si hubiera una alza de 50 basis?</t>
  </si>
  <si>
    <t>¿Cuál banco es asset sensitive y cuál es liability sensitive?</t>
  </si>
  <si>
    <t>Si estamos en la parte final de un ciclo de recortes de tasas (política monetaria expansiva) y se prevé un ciclo de alza de tasas (política monetaria restrictiva) ¿qué recomiendas a cada banco?</t>
  </si>
  <si>
    <t>¿Cuál es el LCR de cada banco? Cumplen con el requisito regulario (mayor a 1.0) ? En caso de que no ¿cómo lo arreglarías?</t>
  </si>
  <si>
    <t>¿Cuál es el NSFR de cada banco? Cumplen con la regulación (mayor a 1.0) ? En caso contrario ¿qué propones para corregirlo?</t>
  </si>
  <si>
    <t>Si estuvieramos en la parte final de un ciclo de alza de tasas y se anticipa el inicio de un ciclo de recortes de tasas ¿qué sugieres a cada banco? (hacer nada, cambios a su estructura de balance, cobertura con derivados)</t>
  </si>
  <si>
    <t>Nivel 1</t>
  </si>
  <si>
    <t>Nivel 2A</t>
  </si>
  <si>
    <t>Nivel 2B</t>
  </si>
  <si>
    <t>Tipo de activo</t>
  </si>
  <si>
    <t>Ponderación</t>
  </si>
  <si>
    <t>sin haircut</t>
  </si>
  <si>
    <t>Bonos soberanos &gt;1 año</t>
  </si>
  <si>
    <t>Bonos corporativos calif AA- o superior</t>
  </si>
  <si>
    <t>Bonos corporativos calif BBB- a A+</t>
  </si>
  <si>
    <t>haircut del 15%</t>
  </si>
  <si>
    <t>haircut del 50%</t>
  </si>
  <si>
    <t>Bonos gubernamentales &lt; 1 año o duración menor a 1</t>
  </si>
  <si>
    <t>Salidas (pasivos) factores de run-off a 30 días</t>
  </si>
  <si>
    <t>Depósitos minoristas core (vista y plazo)</t>
  </si>
  <si>
    <t>Depósitos minoristas menos estables (vista y plazo)</t>
  </si>
  <si>
    <t>Depósitos operacionales de empresas (vista y plazo)</t>
  </si>
  <si>
    <t>Depósitos no operacionales de empresas (vista y plazo)</t>
  </si>
  <si>
    <t>Depósitos no operacioneles de financieras (vista y plazo)</t>
  </si>
  <si>
    <t>Fondeo mayorista garantizado con HQLA Nivel 1</t>
  </si>
  <si>
    <t>Fondeo mayorista garantizado con HQLA Nivel 2A contraparte no financiera</t>
  </si>
  <si>
    <t>Fondeo mayorista garantizado con HQLA Nivel 2A contraparte financiera</t>
  </si>
  <si>
    <t>Fondeo mayorista sin colateral (sin garantía)</t>
  </si>
  <si>
    <r>
      <t xml:space="preserve">    Minoristas (retail)</t>
    </r>
    <r>
      <rPr>
        <vertAlign val="superscript"/>
        <sz val="11"/>
        <color theme="1"/>
        <rFont val="Aptos Narrow"/>
        <family val="2"/>
        <scheme val="minor"/>
      </rPr>
      <t>a</t>
    </r>
  </si>
  <si>
    <r>
      <t xml:space="preserve">    De empresas</t>
    </r>
    <r>
      <rPr>
        <vertAlign val="superscript"/>
        <sz val="11"/>
        <color theme="1"/>
        <rFont val="Aptos Narrow"/>
        <family val="2"/>
        <scheme val="minor"/>
      </rPr>
      <t>b</t>
    </r>
  </si>
  <si>
    <r>
      <t>Fondeo mayorista</t>
    </r>
    <r>
      <rPr>
        <b/>
        <vertAlign val="superscript"/>
        <sz val="11"/>
        <color theme="1"/>
        <rFont val="Aptos Narrow"/>
        <family val="2"/>
        <scheme val="minor"/>
      </rPr>
      <t>c</t>
    </r>
  </si>
  <si>
    <t>(d) El Capital Tier 1 son principalmente 3 componentes: capital aportado por los socios, capital ganando conocido como utilidades retenidas, reservas de capital</t>
  </si>
  <si>
    <t>(e) El Capital Tier 2 son principalmente 2 componentes: bonos perpetuos (sin vencimiento) pero que pagan un cupón trimestral o semestral, y bonos convertibles a acciones (Contingent Convertibles)</t>
  </si>
  <si>
    <r>
      <t>Capital Tier 1</t>
    </r>
    <r>
      <rPr>
        <b/>
        <vertAlign val="superscript"/>
        <sz val="11"/>
        <color theme="1"/>
        <rFont val="Aptos Narrow"/>
        <family val="2"/>
        <scheme val="minor"/>
      </rPr>
      <t>d</t>
    </r>
  </si>
  <si>
    <r>
      <t>Capital Tier 2</t>
    </r>
    <r>
      <rPr>
        <b/>
        <vertAlign val="superscript"/>
        <sz val="11"/>
        <color theme="1"/>
        <rFont val="Aptos Narrow"/>
        <family val="2"/>
        <scheme val="minor"/>
      </rPr>
      <t>e</t>
    </r>
  </si>
  <si>
    <t>(c) las contrapartes en el fondeo mayorista son empresas financieras, algunos con colateral y otros sin colateral</t>
  </si>
  <si>
    <t>En el caso de Banco del Pacífico, todo es con contrapartes financieras, la mitad con colateral Nivel 1 y la otra mitad sin colateral</t>
  </si>
  <si>
    <t>En el caso de Banco del Golfo, el 50% es con contrapartes financieras sin garantía, otro 30% con contrapartes financieras con colateral Nivel 2A y 20% con contrapartes no financieras con colateral Nivel 1</t>
  </si>
  <si>
    <t>tasa promedio 6.5% el Pacífico y 6.75% el Golfo, repricing mitad semanal y mitad mensual</t>
  </si>
  <si>
    <t>(a) Para el Banco del Pacífico dado su enfoque en personas físicas (minorista) el 60% de sus depósitos se consideran estables o core y el 40% se consideran volátiles o menos estables</t>
  </si>
  <si>
    <t>misma situación dada la competencia de los neobancos, Pacífico paga en promedio 4% vs 5% del Golfo</t>
  </si>
  <si>
    <t>(b) Para el Pacífico, el 20% de esos depósitos se consideran "operacionales" de empresa  y el 80% se consideran "no operacionales" de empresa</t>
  </si>
  <si>
    <t>Para el Golfo, el 70% de esos depósitos son considerados "operacionales" de empresa y el 30% "no operacionales" de empresa</t>
  </si>
  <si>
    <t>han tenido que empezar a pagar en función del saldo promedio y de acuerdo al monto, Pacífico paga promedio ponderado 4% vs. 3% del Golfo</t>
  </si>
  <si>
    <t>Pacífico paga tasa promedio del 5% mientras que Golfo paga 4%, repricing mitad mensual y mitad trimestral</t>
  </si>
  <si>
    <t>Pacífico paga tasa ponderada de 5.25% mientras que Golfo paga 6%, repricing 3/4 partes mensual y 1/4 parte trimestral</t>
  </si>
  <si>
    <t>las tasas que pagan por depósitos a la vista, las actualizan en la medida que se mueve la tasa objetivo del banco central por un factor de 0.5</t>
  </si>
  <si>
    <t>El cupón del Pacífico es 10% duración modificada 2.3, el cupón del Golfo es TIIE+1.25% duración modificada 0.08</t>
  </si>
  <si>
    <t>El cupón del Golfo es 8.75% duración modificada 6.4</t>
  </si>
  <si>
    <t>NSFR Factores para RSF (required stable funding)</t>
  </si>
  <si>
    <t>NSFR Factores para ASF (available stable funding)</t>
  </si>
  <si>
    <t>Capital Tier 1 y Tier 2</t>
  </si>
  <si>
    <t>Pasivos con plazo residual mayor a 1 año</t>
  </si>
  <si>
    <t>Depósitos minoristas menos estables (volátiles)</t>
  </si>
  <si>
    <t>Depósitos minoristas estables (core)</t>
  </si>
  <si>
    <t>lo más estable y disponible</t>
  </si>
  <si>
    <t>bonos emitidos, deuda subordinada</t>
  </si>
  <si>
    <t>alta retención histórica (estadísticas)</t>
  </si>
  <si>
    <t>menor retención esperada</t>
  </si>
  <si>
    <t>Depósitos operacionales de empresas no financieras</t>
  </si>
  <si>
    <t>Depósitos no operacionales de empresas no financieras</t>
  </si>
  <si>
    <t>Depósitos operacionales de empresas financieras</t>
  </si>
  <si>
    <t>Depósitos no operacionales de empresas financieras</t>
  </si>
  <si>
    <t>relación operacional con el banco parcialmente estable</t>
  </si>
  <si>
    <t>altamente volátil, no aporta fondeo estable</t>
  </si>
  <si>
    <t>Fondeo mayorista contrapartes no financieras con colateral</t>
  </si>
  <si>
    <t>Fondeo mayorista contrapartes financieras con colateral</t>
  </si>
  <si>
    <t>Fondeo mayorista sin colateral</t>
  </si>
  <si>
    <t>estabilidad relativa</t>
  </si>
  <si>
    <t>Efectivo y depósitos en el banco central</t>
  </si>
  <si>
    <t>HQLA nivel 1</t>
  </si>
  <si>
    <t>HQLA nivel 2A</t>
  </si>
  <si>
    <t>HQLA nivel 2B</t>
  </si>
  <si>
    <t>Hipotecarios</t>
  </si>
  <si>
    <t xml:space="preserve">Créditos a consumo </t>
  </si>
  <si>
    <t>Créditos PYME</t>
  </si>
  <si>
    <t>Créditos a empresas no financieras (corporativos) largo plazo</t>
  </si>
  <si>
    <t>Créditos a instituciones financieras (largo plazo)</t>
  </si>
  <si>
    <t>tasa variable promedio de TIIE+3% para el banco del Pacífico y TIIE+2.5% para el banco del Golfo</t>
  </si>
  <si>
    <t>LCR</t>
  </si>
  <si>
    <t>LCR HQLA</t>
  </si>
  <si>
    <t>HQLA</t>
  </si>
  <si>
    <t>TOTAL</t>
  </si>
  <si>
    <t>SALIDAS NETAS DE EFECTIVO</t>
  </si>
  <si>
    <t>FACTOR</t>
  </si>
  <si>
    <t>MONTOS</t>
  </si>
  <si>
    <t>MONTOS FACTORIZADOS</t>
  </si>
  <si>
    <t>Depósitos minoristas core (vista)</t>
  </si>
  <si>
    <t>Depósitos minoristas menos estables (vista)</t>
  </si>
  <si>
    <t>Depósitos minoristas core (plazo)</t>
  </si>
  <si>
    <t>Depósitos minoristas menos estables (plazo)</t>
  </si>
  <si>
    <t>Depósitos operacionales de empresas (vista)</t>
  </si>
  <si>
    <t>Depósitos no operacionales de empresas (vista)</t>
  </si>
  <si>
    <t>Depósitos operacionales de empresas (plazo)</t>
  </si>
  <si>
    <t>Depósitos no operacionales de empresas (plazo)</t>
  </si>
  <si>
    <t>ASF</t>
  </si>
  <si>
    <t>RSF</t>
  </si>
  <si>
    <t>NSFR</t>
  </si>
  <si>
    <t>TIIE FONDEO</t>
  </si>
  <si>
    <t>INGRESOS</t>
  </si>
  <si>
    <t>EGRESOS</t>
  </si>
  <si>
    <t>Tasa TIIE 28</t>
  </si>
  <si>
    <t xml:space="preserve">NII </t>
  </si>
  <si>
    <t>ROE</t>
  </si>
  <si>
    <t>OMITO LOS ACTIVOS FIJOS</t>
  </si>
  <si>
    <t>DELTA NII</t>
  </si>
  <si>
    <t>PACIFICO --&gt; LIABILITY SENSITIVE</t>
  </si>
  <si>
    <t>Pactas un swap payer</t>
  </si>
  <si>
    <t>Nadota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</si>
</sst>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%"/>
  </numFmts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1" fillId="2" borderId="0" xfId="0" applyFont="1" applyFill="1"/>
    <xf numFmtId="0" fontId="4" fillId="2" borderId="0" xfId="0" applyFon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5" fillId="0" borderId="0" xfId="0" applyFont="1"/>
    <xf numFmtId="0" fontId="3" fillId="8" borderId="0" xfId="0" applyFont="1" applyFill="1"/>
    <xf numFmtId="3" fontId="0" fillId="8" borderId="0" xfId="0" applyNumberFormat="1" applyFill="1" applyAlignment="1">
      <alignment horizontal="center"/>
    </xf>
    <xf numFmtId="3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center"/>
    </xf>
    <xf numFmtId="0" fontId="3" fillId="0" borderId="0" xfId="0" applyFont="1" applyAlignment="1">
      <alignment horizontal="right"/>
    </xf>
    <xf numFmtId="0" fontId="10" fillId="0" borderId="0" xfId="0" applyFont="1"/>
    <xf numFmtId="44" fontId="0" fillId="0" borderId="0" xfId="1" applyFont="1" applyAlignment="1">
      <alignment horizontal="center"/>
    </xf>
    <xf numFmtId="44" fontId="0" fillId="0" borderId="0" xfId="1" applyFont="1"/>
    <xf numFmtId="44" fontId="0" fillId="0" borderId="0" xfId="0" applyNumberFormat="1"/>
    <xf numFmtId="9" fontId="0" fillId="0" borderId="0" xfId="2" applyFont="1"/>
    <xf numFmtId="9" fontId="0" fillId="9" borderId="0" xfId="2" applyFont="1" applyFill="1"/>
    <xf numFmtId="9" fontId="0" fillId="0" borderId="0" xfId="2" applyFont="1" applyFill="1"/>
    <xf numFmtId="0" fontId="1" fillId="0" borderId="0" xfId="0" applyFont="1"/>
    <xf numFmtId="3" fontId="1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0" fontId="0" fillId="0" borderId="0" xfId="2" applyNumberFormat="1" applyFont="1" applyFill="1" applyAlignment="1">
      <alignment horizontal="center"/>
    </xf>
    <xf numFmtId="3" fontId="11" fillId="0" borderId="0" xfId="0" applyNumberFormat="1" applyFont="1" applyAlignment="1">
      <alignment horizontal="center"/>
    </xf>
    <xf numFmtId="10" fontId="3" fillId="0" borderId="0" xfId="2" applyNumberFormat="1" applyFont="1" applyFill="1" applyAlignment="1">
      <alignment horizontal="center"/>
    </xf>
    <xf numFmtId="4" fontId="0" fillId="0" borderId="0" xfId="0" applyNumberFormat="1"/>
    <xf numFmtId="10" fontId="0" fillId="0" borderId="0" xfId="2" applyNumberFormat="1" applyFont="1"/>
    <xf numFmtId="0" fontId="12" fillId="0" borderId="0" xfId="0" applyFon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4</xdr:row>
      <xdr:rowOff>44450</xdr:rowOff>
    </xdr:from>
    <xdr:to>
      <xdr:col>3</xdr:col>
      <xdr:colOff>171450</xdr:colOff>
      <xdr:row>11</xdr:row>
      <xdr:rowOff>165100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D0024E61-4953-06D8-9290-E3D53FF6D1DA}"/>
            </a:ext>
          </a:extLst>
        </xdr:cNvPr>
        <xdr:cNvCxnSpPr/>
      </xdr:nvCxnSpPr>
      <xdr:spPr>
        <a:xfrm flipV="1">
          <a:off x="2438400" y="781050"/>
          <a:ext cx="19050" cy="1409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146050</xdr:colOff>
      <xdr:row>13</xdr:row>
      <xdr:rowOff>12700</xdr:rowOff>
    </xdr:from>
    <xdr:to>
      <xdr:col>3</xdr:col>
      <xdr:colOff>158750</xdr:colOff>
      <xdr:row>19</xdr:row>
      <xdr:rowOff>12700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2BBD5917-7512-B3D8-AAE6-3C06C03DAE5A}"/>
            </a:ext>
          </a:extLst>
        </xdr:cNvPr>
        <xdr:cNvCxnSpPr/>
      </xdr:nvCxnSpPr>
      <xdr:spPr>
        <a:xfrm flipH="1">
          <a:off x="2432050" y="2406650"/>
          <a:ext cx="12700" cy="1104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304801</xdr:colOff>
      <xdr:row>0</xdr:row>
      <xdr:rowOff>76200</xdr:rowOff>
    </xdr:from>
    <xdr:to>
      <xdr:col>14</xdr:col>
      <xdr:colOff>99061</xdr:colOff>
      <xdr:row>13</xdr:row>
      <xdr:rowOff>86300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FCFCF9-6CA3-4FAD-B192-5F1F5C5B7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6221" y="76200"/>
          <a:ext cx="4549140" cy="2387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CF62-A801-414D-9EAC-B94D521BA74B}">
  <dimension ref="C4:D21"/>
  <sheetViews>
    <sheetView workbookViewId="0">
      <selection activeCell="E28" sqref="E28"/>
    </sheetView>
  </sheetViews>
  <sheetFormatPr baseColWidth="10" defaultRowHeight="14.4" x14ac:dyDescent="0.3"/>
  <sheetData>
    <row r="4" spans="3:4" x14ac:dyDescent="0.3">
      <c r="C4" s="4" t="s">
        <v>27</v>
      </c>
      <c r="D4" t="s">
        <v>45</v>
      </c>
    </row>
    <row r="5" spans="3:4" x14ac:dyDescent="0.3">
      <c r="C5" s="5" t="s">
        <v>28</v>
      </c>
    </row>
    <row r="6" spans="3:4" x14ac:dyDescent="0.3">
      <c r="C6" s="5" t="s">
        <v>29</v>
      </c>
    </row>
    <row r="7" spans="3:4" x14ac:dyDescent="0.3">
      <c r="C7" s="5" t="s">
        <v>30</v>
      </c>
    </row>
    <row r="8" spans="3:4" x14ac:dyDescent="0.3">
      <c r="C8" s="6" t="s">
        <v>31</v>
      </c>
    </row>
    <row r="9" spans="3:4" x14ac:dyDescent="0.3">
      <c r="C9" s="6" t="s">
        <v>32</v>
      </c>
    </row>
    <row r="10" spans="3:4" x14ac:dyDescent="0.3">
      <c r="C10" s="6" t="s">
        <v>33</v>
      </c>
    </row>
    <row r="11" spans="3:4" x14ac:dyDescent="0.3">
      <c r="C11" s="7" t="s">
        <v>34</v>
      </c>
    </row>
    <row r="12" spans="3:4" x14ac:dyDescent="0.3">
      <c r="C12" s="7" t="s">
        <v>35</v>
      </c>
    </row>
    <row r="13" spans="3:4" x14ac:dyDescent="0.3">
      <c r="C13" s="7" t="s">
        <v>36</v>
      </c>
      <c r="D13" t="s">
        <v>47</v>
      </c>
    </row>
    <row r="14" spans="3:4" x14ac:dyDescent="0.3">
      <c r="C14" s="8" t="s">
        <v>37</v>
      </c>
    </row>
    <row r="15" spans="3:4" x14ac:dyDescent="0.3">
      <c r="C15" s="8" t="s">
        <v>38</v>
      </c>
    </row>
    <row r="16" spans="3:4" x14ac:dyDescent="0.3">
      <c r="C16" s="8" t="s">
        <v>39</v>
      </c>
    </row>
    <row r="17" spans="3:4" x14ac:dyDescent="0.3">
      <c r="C17" s="9" t="s">
        <v>40</v>
      </c>
    </row>
    <row r="18" spans="3:4" x14ac:dyDescent="0.3">
      <c r="C18" s="9" t="s">
        <v>41</v>
      </c>
    </row>
    <row r="19" spans="3:4" x14ac:dyDescent="0.3">
      <c r="C19" s="9" t="s">
        <v>42</v>
      </c>
    </row>
    <row r="20" spans="3:4" x14ac:dyDescent="0.3">
      <c r="C20" s="10" t="s">
        <v>43</v>
      </c>
      <c r="D20" t="s">
        <v>46</v>
      </c>
    </row>
    <row r="21" spans="3:4" x14ac:dyDescent="0.3">
      <c r="C21" s="10" t="s">
        <v>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754C-AA6B-4A86-80D8-2C8E7C8B8378}">
  <dimension ref="A2:E45"/>
  <sheetViews>
    <sheetView showGridLines="0" workbookViewId="0">
      <selection activeCell="E17" sqref="E17"/>
    </sheetView>
  </sheetViews>
  <sheetFormatPr baseColWidth="10" defaultRowHeight="14.4" x14ac:dyDescent="0.3"/>
  <cols>
    <col min="3" max="3" width="61.77734375" bestFit="1" customWidth="1"/>
    <col min="5" max="5" width="13.21875" bestFit="1" customWidth="1"/>
  </cols>
  <sheetData>
    <row r="2" spans="1:5" x14ac:dyDescent="0.3">
      <c r="B2" s="1" t="s">
        <v>148</v>
      </c>
      <c r="C2" s="1" t="s">
        <v>77</v>
      </c>
      <c r="D2" s="4" t="s">
        <v>78</v>
      </c>
    </row>
    <row r="3" spans="1:5" x14ac:dyDescent="0.3">
      <c r="B3" t="s">
        <v>74</v>
      </c>
      <c r="C3" t="s">
        <v>0</v>
      </c>
      <c r="D3" s="20">
        <v>1</v>
      </c>
      <c r="E3" t="s">
        <v>79</v>
      </c>
    </row>
    <row r="4" spans="1:5" x14ac:dyDescent="0.3">
      <c r="B4" t="s">
        <v>74</v>
      </c>
      <c r="C4" t="s">
        <v>85</v>
      </c>
      <c r="D4" s="20">
        <v>1</v>
      </c>
      <c r="E4" t="s">
        <v>79</v>
      </c>
    </row>
    <row r="5" spans="1:5" x14ac:dyDescent="0.3">
      <c r="B5" t="s">
        <v>75</v>
      </c>
      <c r="C5" t="s">
        <v>80</v>
      </c>
      <c r="D5" s="20">
        <v>0.85</v>
      </c>
      <c r="E5" t="s">
        <v>83</v>
      </c>
    </row>
    <row r="6" spans="1:5" x14ac:dyDescent="0.3">
      <c r="B6" t="s">
        <v>75</v>
      </c>
      <c r="C6" t="s">
        <v>81</v>
      </c>
      <c r="D6" s="20">
        <v>0.85</v>
      </c>
      <c r="E6" t="s">
        <v>83</v>
      </c>
    </row>
    <row r="7" spans="1:5" x14ac:dyDescent="0.3">
      <c r="B7" t="s">
        <v>76</v>
      </c>
      <c r="C7" t="s">
        <v>82</v>
      </c>
      <c r="D7" s="20">
        <v>0.5</v>
      </c>
      <c r="E7" t="s">
        <v>84</v>
      </c>
    </row>
    <row r="10" spans="1:5" x14ac:dyDescent="0.3">
      <c r="A10" s="21" t="s">
        <v>147</v>
      </c>
      <c r="B10" s="1" t="s">
        <v>86</v>
      </c>
    </row>
    <row r="11" spans="1:5" x14ac:dyDescent="0.3">
      <c r="C11" t="s">
        <v>87</v>
      </c>
      <c r="D11" s="20">
        <v>0.03</v>
      </c>
    </row>
    <row r="12" spans="1:5" x14ac:dyDescent="0.3">
      <c r="C12" t="s">
        <v>88</v>
      </c>
      <c r="D12" s="20">
        <v>0.1</v>
      </c>
    </row>
    <row r="13" spans="1:5" x14ac:dyDescent="0.3">
      <c r="C13" t="s">
        <v>89</v>
      </c>
      <c r="D13" s="20">
        <v>0.25</v>
      </c>
    </row>
    <row r="14" spans="1:5" x14ac:dyDescent="0.3">
      <c r="C14" t="s">
        <v>90</v>
      </c>
      <c r="D14" s="20">
        <v>0.4</v>
      </c>
    </row>
    <row r="15" spans="1:5" x14ac:dyDescent="0.3">
      <c r="C15" t="s">
        <v>91</v>
      </c>
      <c r="D15" s="20">
        <v>1</v>
      </c>
    </row>
    <row r="16" spans="1:5" x14ac:dyDescent="0.3">
      <c r="D16" s="4"/>
    </row>
    <row r="17" spans="2:5" x14ac:dyDescent="0.3">
      <c r="C17" t="s">
        <v>92</v>
      </c>
      <c r="D17" s="20">
        <v>0</v>
      </c>
    </row>
    <row r="18" spans="2:5" x14ac:dyDescent="0.3">
      <c r="C18" t="s">
        <v>93</v>
      </c>
      <c r="D18" s="20">
        <v>0.15</v>
      </c>
    </row>
    <row r="19" spans="2:5" x14ac:dyDescent="0.3">
      <c r="C19" t="s">
        <v>94</v>
      </c>
      <c r="D19" s="20">
        <v>0.25</v>
      </c>
    </row>
    <row r="20" spans="2:5" x14ac:dyDescent="0.3">
      <c r="C20" t="s">
        <v>95</v>
      </c>
      <c r="D20" s="20">
        <v>1</v>
      </c>
    </row>
    <row r="23" spans="2:5" x14ac:dyDescent="0.3">
      <c r="B23" s="1" t="s">
        <v>118</v>
      </c>
    </row>
    <row r="24" spans="2:5" x14ac:dyDescent="0.3">
      <c r="C24" t="s">
        <v>119</v>
      </c>
      <c r="D24" s="19">
        <v>1</v>
      </c>
      <c r="E24" t="s">
        <v>123</v>
      </c>
    </row>
    <row r="25" spans="2:5" x14ac:dyDescent="0.3">
      <c r="C25" t="s">
        <v>120</v>
      </c>
      <c r="D25" s="19">
        <v>1</v>
      </c>
      <c r="E25" t="s">
        <v>124</v>
      </c>
    </row>
    <row r="26" spans="2:5" x14ac:dyDescent="0.3">
      <c r="C26" t="s">
        <v>122</v>
      </c>
      <c r="D26" s="19">
        <v>0.95</v>
      </c>
      <c r="E26" t="s">
        <v>125</v>
      </c>
    </row>
    <row r="27" spans="2:5" x14ac:dyDescent="0.3">
      <c r="C27" t="s">
        <v>121</v>
      </c>
      <c r="D27" s="19">
        <v>0.9</v>
      </c>
      <c r="E27" t="s">
        <v>126</v>
      </c>
    </row>
    <row r="28" spans="2:5" x14ac:dyDescent="0.3">
      <c r="C28" t="s">
        <v>127</v>
      </c>
      <c r="D28" s="19">
        <v>0.75</v>
      </c>
      <c r="E28" t="s">
        <v>131</v>
      </c>
    </row>
    <row r="29" spans="2:5" x14ac:dyDescent="0.3">
      <c r="C29" t="s">
        <v>128</v>
      </c>
      <c r="D29" s="19">
        <v>0</v>
      </c>
      <c r="E29" t="s">
        <v>132</v>
      </c>
    </row>
    <row r="30" spans="2:5" x14ac:dyDescent="0.3">
      <c r="C30" t="s">
        <v>129</v>
      </c>
      <c r="D30" s="19">
        <v>0.5</v>
      </c>
      <c r="E30" t="s">
        <v>131</v>
      </c>
    </row>
    <row r="31" spans="2:5" x14ac:dyDescent="0.3">
      <c r="C31" t="s">
        <v>130</v>
      </c>
      <c r="D31" s="19">
        <v>0</v>
      </c>
      <c r="E31" t="s">
        <v>132</v>
      </c>
    </row>
    <row r="32" spans="2:5" x14ac:dyDescent="0.3">
      <c r="C32" t="s">
        <v>133</v>
      </c>
      <c r="D32" s="19">
        <v>0.6</v>
      </c>
      <c r="E32" t="s">
        <v>136</v>
      </c>
    </row>
    <row r="33" spans="2:5" x14ac:dyDescent="0.3">
      <c r="C33" t="s">
        <v>134</v>
      </c>
      <c r="D33" s="19">
        <v>0.4</v>
      </c>
      <c r="E33" t="s">
        <v>136</v>
      </c>
    </row>
    <row r="34" spans="2:5" x14ac:dyDescent="0.3">
      <c r="C34" t="s">
        <v>135</v>
      </c>
      <c r="D34" s="19">
        <v>0</v>
      </c>
      <c r="E34" t="s">
        <v>132</v>
      </c>
    </row>
    <row r="36" spans="2:5" x14ac:dyDescent="0.3">
      <c r="B36" s="1" t="s">
        <v>117</v>
      </c>
    </row>
    <row r="37" spans="2:5" x14ac:dyDescent="0.3">
      <c r="C37" t="s">
        <v>137</v>
      </c>
      <c r="D37" s="19">
        <v>0</v>
      </c>
    </row>
    <row r="38" spans="2:5" x14ac:dyDescent="0.3">
      <c r="C38" t="s">
        <v>138</v>
      </c>
      <c r="D38" s="19">
        <v>0.05</v>
      </c>
    </row>
    <row r="39" spans="2:5" x14ac:dyDescent="0.3">
      <c r="C39" t="s">
        <v>139</v>
      </c>
      <c r="D39" s="19">
        <v>0.15</v>
      </c>
    </row>
    <row r="40" spans="2:5" x14ac:dyDescent="0.3">
      <c r="C40" t="s">
        <v>140</v>
      </c>
      <c r="D40" s="19">
        <v>0.5</v>
      </c>
    </row>
    <row r="41" spans="2:5" x14ac:dyDescent="0.3">
      <c r="C41" t="s">
        <v>141</v>
      </c>
      <c r="D41" s="19">
        <v>0.65</v>
      </c>
    </row>
    <row r="42" spans="2:5" x14ac:dyDescent="0.3">
      <c r="C42" t="s">
        <v>142</v>
      </c>
      <c r="D42" s="19">
        <v>0.5</v>
      </c>
    </row>
    <row r="43" spans="2:5" x14ac:dyDescent="0.3">
      <c r="C43" t="s">
        <v>143</v>
      </c>
      <c r="D43" s="19">
        <v>0.65</v>
      </c>
    </row>
    <row r="44" spans="2:5" x14ac:dyDescent="0.3">
      <c r="C44" t="s">
        <v>144</v>
      </c>
      <c r="D44" s="19">
        <v>0.65</v>
      </c>
    </row>
    <row r="45" spans="2:5" x14ac:dyDescent="0.3">
      <c r="C45" t="s">
        <v>145</v>
      </c>
      <c r="D45" s="19">
        <v>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009D-3B7D-4BAE-A4FC-5592ACEB208D}">
  <dimension ref="B2:B14"/>
  <sheetViews>
    <sheetView workbookViewId="0">
      <selection activeCell="I20" sqref="I20"/>
    </sheetView>
  </sheetViews>
  <sheetFormatPr baseColWidth="10" defaultRowHeight="14.4" x14ac:dyDescent="0.3"/>
  <sheetData>
    <row r="2" spans="2:2" x14ac:dyDescent="0.3">
      <c r="B2" t="s">
        <v>107</v>
      </c>
    </row>
    <row r="3" spans="2:2" x14ac:dyDescent="0.3">
      <c r="B3" t="s">
        <v>49</v>
      </c>
    </row>
    <row r="5" spans="2:2" x14ac:dyDescent="0.3">
      <c r="B5" t="s">
        <v>109</v>
      </c>
    </row>
    <row r="6" spans="2:2" x14ac:dyDescent="0.3">
      <c r="B6" t="s">
        <v>110</v>
      </c>
    </row>
    <row r="8" spans="2:2" x14ac:dyDescent="0.3">
      <c r="B8" t="s">
        <v>103</v>
      </c>
    </row>
    <row r="9" spans="2:2" x14ac:dyDescent="0.3">
      <c r="B9" t="s">
        <v>104</v>
      </c>
    </row>
    <row r="10" spans="2:2" x14ac:dyDescent="0.3">
      <c r="B10" t="s">
        <v>105</v>
      </c>
    </row>
    <row r="12" spans="2:2" x14ac:dyDescent="0.3">
      <c r="B12" t="s">
        <v>99</v>
      </c>
    </row>
    <row r="14" spans="2:2" x14ac:dyDescent="0.3">
      <c r="B14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BF25-17BA-4151-8C3F-D8B16DB768B2}">
  <dimension ref="B3:F35"/>
  <sheetViews>
    <sheetView workbookViewId="0">
      <selection activeCell="I32" sqref="I32"/>
    </sheetView>
  </sheetViews>
  <sheetFormatPr baseColWidth="10" defaultRowHeight="14.4" x14ac:dyDescent="0.3"/>
  <cols>
    <col min="2" max="2" width="57" bestFit="1" customWidth="1"/>
    <col min="3" max="3" width="16.21875" bestFit="1" customWidth="1"/>
    <col min="4" max="4" width="13.77734375" bestFit="1" customWidth="1"/>
  </cols>
  <sheetData>
    <row r="3" spans="2:5" x14ac:dyDescent="0.3">
      <c r="B3" s="3" t="s">
        <v>24</v>
      </c>
      <c r="C3" s="2" t="s">
        <v>22</v>
      </c>
      <c r="D3" s="2" t="s">
        <v>23</v>
      </c>
    </row>
    <row r="4" spans="2:5" x14ac:dyDescent="0.3">
      <c r="B4" s="1" t="s">
        <v>0</v>
      </c>
      <c r="C4" s="11">
        <v>450</v>
      </c>
      <c r="D4" s="11">
        <v>240</v>
      </c>
      <c r="E4" s="15" t="s">
        <v>57</v>
      </c>
    </row>
    <row r="5" spans="2:5" x14ac:dyDescent="0.3">
      <c r="B5" s="1" t="s">
        <v>1</v>
      </c>
      <c r="C5" s="11">
        <f>SUM(C6:C10)</f>
        <v>670</v>
      </c>
      <c r="D5" s="11">
        <f>SUM(D6:D10)</f>
        <v>980</v>
      </c>
    </row>
    <row r="6" spans="2:5" x14ac:dyDescent="0.3">
      <c r="B6" t="s">
        <v>2</v>
      </c>
      <c r="C6" s="4">
        <v>180</v>
      </c>
      <c r="D6" s="4">
        <v>160</v>
      </c>
      <c r="E6" s="15" t="s">
        <v>58</v>
      </c>
    </row>
    <row r="7" spans="2:5" x14ac:dyDescent="0.3">
      <c r="B7" t="s">
        <v>25</v>
      </c>
      <c r="C7" s="4">
        <v>240</v>
      </c>
      <c r="D7" s="4">
        <v>120</v>
      </c>
      <c r="E7" s="15" t="s">
        <v>56</v>
      </c>
    </row>
    <row r="8" spans="2:5" x14ac:dyDescent="0.3">
      <c r="B8" t="s">
        <v>26</v>
      </c>
      <c r="C8" s="4">
        <v>150</v>
      </c>
      <c r="D8" s="4">
        <v>300</v>
      </c>
      <c r="E8" s="15" t="s">
        <v>55</v>
      </c>
    </row>
    <row r="9" spans="2:5" x14ac:dyDescent="0.3">
      <c r="B9" t="s">
        <v>3</v>
      </c>
      <c r="C9" s="4">
        <v>100</v>
      </c>
      <c r="D9" s="4">
        <v>250</v>
      </c>
      <c r="E9" s="15" t="s">
        <v>59</v>
      </c>
    </row>
    <row r="10" spans="2:5" x14ac:dyDescent="0.3">
      <c r="B10" t="s">
        <v>4</v>
      </c>
      <c r="C10" s="4">
        <v>0</v>
      </c>
      <c r="D10" s="4">
        <v>150</v>
      </c>
      <c r="E10" s="15" t="s">
        <v>60</v>
      </c>
    </row>
    <row r="11" spans="2:5" x14ac:dyDescent="0.3">
      <c r="B11" s="1" t="s">
        <v>5</v>
      </c>
      <c r="C11" s="12">
        <f>SUM(C12:C16)</f>
        <v>6500</v>
      </c>
      <c r="D11" s="12">
        <f t="shared" ref="D11" si="0">SUM(D12:D16)</f>
        <v>6500</v>
      </c>
    </row>
    <row r="12" spans="2:5" x14ac:dyDescent="0.3">
      <c r="B12" t="s">
        <v>6</v>
      </c>
      <c r="C12" s="13">
        <v>1500</v>
      </c>
      <c r="D12" s="13">
        <v>900</v>
      </c>
      <c r="E12" s="15" t="s">
        <v>62</v>
      </c>
    </row>
    <row r="13" spans="2:5" x14ac:dyDescent="0.3">
      <c r="B13" t="s">
        <v>7</v>
      </c>
      <c r="C13" s="13">
        <v>2500</v>
      </c>
      <c r="D13" s="13">
        <v>1700</v>
      </c>
      <c r="E13" s="15" t="s">
        <v>61</v>
      </c>
    </row>
    <row r="14" spans="2:5" x14ac:dyDescent="0.3">
      <c r="B14" t="s">
        <v>8</v>
      </c>
      <c r="C14" s="13">
        <v>800</v>
      </c>
      <c r="D14" s="13">
        <v>600</v>
      </c>
      <c r="E14" s="15" t="s">
        <v>54</v>
      </c>
    </row>
    <row r="15" spans="2:5" x14ac:dyDescent="0.3">
      <c r="B15" t="s">
        <v>9</v>
      </c>
      <c r="C15" s="13">
        <v>1200</v>
      </c>
      <c r="D15" s="13">
        <v>1900</v>
      </c>
      <c r="E15" s="15" t="s">
        <v>53</v>
      </c>
    </row>
    <row r="16" spans="2:5" x14ac:dyDescent="0.3">
      <c r="B16" t="s">
        <v>48</v>
      </c>
      <c r="C16" s="13">
        <v>500</v>
      </c>
      <c r="D16" s="13">
        <v>1400</v>
      </c>
      <c r="E16" s="15" t="s">
        <v>146</v>
      </c>
    </row>
    <row r="17" spans="2:6" x14ac:dyDescent="0.3">
      <c r="B17" s="1" t="s">
        <v>10</v>
      </c>
      <c r="C17" s="12">
        <v>330</v>
      </c>
      <c r="D17" s="12">
        <v>270</v>
      </c>
    </row>
    <row r="18" spans="2:6" x14ac:dyDescent="0.3">
      <c r="B18" s="1" t="s">
        <v>11</v>
      </c>
      <c r="C18" s="12">
        <v>48</v>
      </c>
      <c r="D18" s="12">
        <v>64</v>
      </c>
      <c r="E18" s="18"/>
      <c r="F18" s="18"/>
    </row>
    <row r="19" spans="2:6" x14ac:dyDescent="0.3">
      <c r="B19" s="2" t="s">
        <v>12</v>
      </c>
      <c r="C19" s="14">
        <f>C4+C5+C11+C17+C18</f>
        <v>7998</v>
      </c>
      <c r="D19" s="14">
        <f>D4+D5+D11+D17+D18</f>
        <v>8054</v>
      </c>
    </row>
    <row r="20" spans="2:6" x14ac:dyDescent="0.3">
      <c r="B20" s="1" t="s">
        <v>13</v>
      </c>
      <c r="C20" s="12">
        <f>C21+C22</f>
        <v>2700</v>
      </c>
      <c r="D20" s="12">
        <f>D21+D22</f>
        <v>3200</v>
      </c>
      <c r="E20" s="15" t="s">
        <v>114</v>
      </c>
    </row>
    <row r="21" spans="2:6" ht="16.2" x14ac:dyDescent="0.3">
      <c r="B21" t="s">
        <v>96</v>
      </c>
      <c r="C21" s="13">
        <v>2100</v>
      </c>
      <c r="D21" s="13">
        <v>1400</v>
      </c>
      <c r="E21" s="15" t="s">
        <v>111</v>
      </c>
    </row>
    <row r="22" spans="2:6" ht="16.2" x14ac:dyDescent="0.3">
      <c r="B22" t="s">
        <v>97</v>
      </c>
      <c r="C22" s="13">
        <v>600</v>
      </c>
      <c r="D22" s="13">
        <v>1800</v>
      </c>
      <c r="E22" s="15" t="s">
        <v>108</v>
      </c>
    </row>
    <row r="23" spans="2:6" x14ac:dyDescent="0.3">
      <c r="B23" s="1" t="s">
        <v>14</v>
      </c>
      <c r="C23" s="12">
        <f>C24+C25</f>
        <v>2300</v>
      </c>
      <c r="D23" s="12">
        <f>D24+D25</f>
        <v>2300</v>
      </c>
      <c r="E23" s="15"/>
    </row>
    <row r="24" spans="2:6" x14ac:dyDescent="0.3">
      <c r="B24" t="s">
        <v>15</v>
      </c>
      <c r="C24" s="13">
        <v>1900</v>
      </c>
      <c r="D24" s="13">
        <v>1200</v>
      </c>
      <c r="E24" s="15" t="s">
        <v>112</v>
      </c>
    </row>
    <row r="25" spans="2:6" x14ac:dyDescent="0.3">
      <c r="B25" t="s">
        <v>16</v>
      </c>
      <c r="C25" s="13">
        <v>400</v>
      </c>
      <c r="D25" s="13">
        <v>1100</v>
      </c>
      <c r="E25" s="15" t="s">
        <v>113</v>
      </c>
    </row>
    <row r="26" spans="2:6" ht="16.2" x14ac:dyDescent="0.3">
      <c r="B26" s="1" t="s">
        <v>98</v>
      </c>
      <c r="C26" s="12">
        <v>750</v>
      </c>
      <c r="D26" s="12">
        <v>900</v>
      </c>
      <c r="E26" s="15" t="s">
        <v>106</v>
      </c>
    </row>
    <row r="27" spans="2:6" x14ac:dyDescent="0.3">
      <c r="B27" s="1" t="s">
        <v>17</v>
      </c>
      <c r="C27" s="12">
        <v>400</v>
      </c>
      <c r="D27" s="12">
        <v>0</v>
      </c>
      <c r="E27" s="15"/>
    </row>
    <row r="28" spans="2:6" x14ac:dyDescent="0.3">
      <c r="B28" s="1" t="s">
        <v>18</v>
      </c>
      <c r="C28" s="12">
        <v>1000</v>
      </c>
      <c r="D28" s="12">
        <v>500</v>
      </c>
      <c r="E28" s="15" t="s">
        <v>115</v>
      </c>
    </row>
    <row r="29" spans="2:6" x14ac:dyDescent="0.3">
      <c r="B29" s="1" t="s">
        <v>19</v>
      </c>
      <c r="C29" s="12">
        <v>0</v>
      </c>
      <c r="D29" s="12">
        <v>500</v>
      </c>
      <c r="E29" s="15" t="s">
        <v>116</v>
      </c>
    </row>
    <row r="30" spans="2:6" x14ac:dyDescent="0.3">
      <c r="B30" s="2" t="s">
        <v>20</v>
      </c>
      <c r="C30" s="14">
        <f>C20+C23+C26+C27+C28+C29</f>
        <v>7150</v>
      </c>
      <c r="D30" s="14">
        <f t="shared" ref="D30" si="1">D20+D23+D26+D27+D28+D29</f>
        <v>7400</v>
      </c>
    </row>
    <row r="31" spans="2:6" ht="16.2" x14ac:dyDescent="0.3">
      <c r="B31" s="1" t="s">
        <v>101</v>
      </c>
      <c r="C31" s="13">
        <v>848</v>
      </c>
      <c r="D31" s="13">
        <v>654</v>
      </c>
    </row>
    <row r="32" spans="2:6" ht="16.2" x14ac:dyDescent="0.3">
      <c r="B32" s="1" t="s">
        <v>102</v>
      </c>
      <c r="C32" s="13">
        <v>0</v>
      </c>
      <c r="D32" s="13">
        <v>0</v>
      </c>
    </row>
    <row r="33" spans="2:5" x14ac:dyDescent="0.3">
      <c r="B33" s="2" t="s">
        <v>21</v>
      </c>
      <c r="C33" s="14">
        <f>C31+C32</f>
        <v>848</v>
      </c>
      <c r="D33" s="14">
        <f t="shared" ref="D33" si="2">D31+D32</f>
        <v>654</v>
      </c>
      <c r="E33" s="18"/>
    </row>
    <row r="34" spans="2:5" x14ac:dyDescent="0.3">
      <c r="B34" s="16" t="s">
        <v>63</v>
      </c>
      <c r="C34" s="17">
        <f>C30+C33</f>
        <v>7998</v>
      </c>
      <c r="D34" s="17">
        <f>D30+D33</f>
        <v>8054</v>
      </c>
    </row>
    <row r="35" spans="2:5" x14ac:dyDescent="0.3">
      <c r="C35" s="18"/>
    </row>
  </sheetData>
  <phoneticPr fontId="6" type="noConversion"/>
  <pageMargins left="0.7" right="0.7" top="0.75" bottom="0.75" header="0.3" footer="0.3"/>
  <ignoredErrors>
    <ignoredError sqref="C11:D1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0DA6-858C-45A4-94FD-7E19093F7A5F}">
  <dimension ref="B2:P90"/>
  <sheetViews>
    <sheetView topLeftCell="A61" zoomScaleNormal="100" workbookViewId="0">
      <selection activeCell="C78" sqref="C78"/>
    </sheetView>
  </sheetViews>
  <sheetFormatPr baseColWidth="10" defaultRowHeight="14.4" x14ac:dyDescent="0.3"/>
  <cols>
    <col min="2" max="2" width="12.5546875" customWidth="1"/>
    <col min="5" max="5" width="28.21875" customWidth="1"/>
  </cols>
  <sheetData>
    <row r="2" spans="2:12" x14ac:dyDescent="0.3">
      <c r="B2" s="1" t="s">
        <v>50</v>
      </c>
    </row>
    <row r="3" spans="2:12" x14ac:dyDescent="0.3">
      <c r="B3" t="s">
        <v>71</v>
      </c>
    </row>
    <row r="5" spans="2:12" x14ac:dyDescent="0.3">
      <c r="B5" s="22" t="s">
        <v>149</v>
      </c>
      <c r="F5" t="s">
        <v>152</v>
      </c>
      <c r="G5" s="40" t="s">
        <v>154</v>
      </c>
      <c r="H5" s="40"/>
    </row>
    <row r="6" spans="2:12" x14ac:dyDescent="0.3">
      <c r="B6" t="str">
        <f>'balances (banking book)'!B4</f>
        <v>Efectivo y reservas en el banco central</v>
      </c>
      <c r="F6" s="19">
        <v>1</v>
      </c>
      <c r="G6">
        <f>'balances (banking book)'!C4</f>
        <v>450</v>
      </c>
      <c r="H6">
        <f>'balances (banking book)'!D4</f>
        <v>240</v>
      </c>
    </row>
    <row r="7" spans="2:12" x14ac:dyDescent="0.3">
      <c r="B7" t="str" cm="1">
        <f t="array" ref="B7:B11">'factores LCR y NSFR'!C3:C7</f>
        <v>Efectivo y reservas en el banco central</v>
      </c>
      <c r="F7" s="19">
        <f>'factores LCR y NSFR'!D3</f>
        <v>1</v>
      </c>
      <c r="G7">
        <f>'balances (banking book)'!C6*'factores LCR y NSFR'!D3</f>
        <v>180</v>
      </c>
      <c r="H7">
        <f>'balances (banking book)'!D6*'factores LCR y NSFR'!D3</f>
        <v>160</v>
      </c>
    </row>
    <row r="8" spans="2:12" x14ac:dyDescent="0.3">
      <c r="B8" t="str">
        <v>Bonos gubernamentales &lt; 1 año o duración menor a 1</v>
      </c>
      <c r="F8" s="19">
        <f>'factores LCR y NSFR'!D4</f>
        <v>1</v>
      </c>
      <c r="G8">
        <f>'balances (banking book)'!C7*'factores LCR y NSFR'!D4</f>
        <v>240</v>
      </c>
      <c r="H8">
        <f>'balances (banking book)'!D7*'factores LCR y NSFR'!D4</f>
        <v>120</v>
      </c>
    </row>
    <row r="9" spans="2:12" x14ac:dyDescent="0.3">
      <c r="B9" t="str">
        <v>Bonos soberanos &gt;1 año</v>
      </c>
      <c r="F9" s="19">
        <f>'factores LCR y NSFR'!D5</f>
        <v>0.85</v>
      </c>
      <c r="G9">
        <f>'balances (banking book)'!C8*'factores LCR y NSFR'!D5</f>
        <v>127.5</v>
      </c>
      <c r="H9">
        <f>'balances (banking book)'!D8*'factores LCR y NSFR'!D5</f>
        <v>255</v>
      </c>
    </row>
    <row r="10" spans="2:12" x14ac:dyDescent="0.3">
      <c r="B10" t="str">
        <v>Bonos corporativos calif AA- o superior</v>
      </c>
      <c r="F10" s="19">
        <f>'factores LCR y NSFR'!D6</f>
        <v>0.85</v>
      </c>
      <c r="G10">
        <f>'balances (banking book)'!C9*'factores LCR y NSFR'!D6</f>
        <v>85</v>
      </c>
      <c r="H10">
        <f>'balances (banking book)'!D9*'factores LCR y NSFR'!D6</f>
        <v>212.5</v>
      </c>
    </row>
    <row r="11" spans="2:12" x14ac:dyDescent="0.3">
      <c r="B11" t="str">
        <v>Bonos corporativos calif BBB- a A+</v>
      </c>
      <c r="F11" s="19">
        <f>'factores LCR y NSFR'!D7</f>
        <v>0.5</v>
      </c>
      <c r="G11">
        <f>'balances (banking book)'!C10*'factores LCR y NSFR'!D7</f>
        <v>0</v>
      </c>
      <c r="H11">
        <f>'balances (banking book)'!D10*'factores LCR y NSFR'!D7</f>
        <v>75</v>
      </c>
    </row>
    <row r="12" spans="2:12" x14ac:dyDescent="0.3">
      <c r="F12" s="22" t="s">
        <v>150</v>
      </c>
      <c r="G12" s="22">
        <f>SUM(G6:G11)</f>
        <v>1082.5</v>
      </c>
      <c r="H12" s="22">
        <f>SUM(H6:H11)</f>
        <v>1062.5</v>
      </c>
    </row>
    <row r="14" spans="2:12" x14ac:dyDescent="0.3">
      <c r="B14" s="22" t="s">
        <v>151</v>
      </c>
    </row>
    <row r="15" spans="2:12" x14ac:dyDescent="0.3">
      <c r="H15" s="40" t="s">
        <v>153</v>
      </c>
      <c r="I15" s="40"/>
      <c r="K15" s="40" t="s">
        <v>154</v>
      </c>
      <c r="L15" s="40"/>
    </row>
    <row r="16" spans="2:12" x14ac:dyDescent="0.3">
      <c r="B16" t="s">
        <v>155</v>
      </c>
      <c r="F16" s="20">
        <v>0.03</v>
      </c>
      <c r="G16" s="19"/>
      <c r="H16" s="23">
        <f>'balances (banking book)'!C21*0.6</f>
        <v>1260</v>
      </c>
      <c r="I16" s="24"/>
      <c r="J16" s="24"/>
      <c r="K16" s="24">
        <f>H16*F16</f>
        <v>37.799999999999997</v>
      </c>
      <c r="L16" s="24"/>
    </row>
    <row r="17" spans="2:12" x14ac:dyDescent="0.3">
      <c r="B17" t="s">
        <v>156</v>
      </c>
      <c r="F17" s="20">
        <v>0.1</v>
      </c>
      <c r="G17" s="19"/>
      <c r="H17" s="23">
        <f>'balances (banking book)'!C21*0.4</f>
        <v>840</v>
      </c>
      <c r="I17" s="24"/>
      <c r="J17" s="24"/>
      <c r="K17" s="24">
        <f t="shared" ref="K17:K31" si="0">H17*F17</f>
        <v>84</v>
      </c>
      <c r="L17" s="24"/>
    </row>
    <row r="18" spans="2:12" x14ac:dyDescent="0.3">
      <c r="H18" s="24"/>
      <c r="I18" s="24"/>
      <c r="J18" s="24"/>
      <c r="K18" s="24"/>
      <c r="L18" s="24"/>
    </row>
    <row r="19" spans="2:12" x14ac:dyDescent="0.3">
      <c r="B19" t="s">
        <v>157</v>
      </c>
      <c r="F19" s="20">
        <v>0.03</v>
      </c>
      <c r="G19" s="19"/>
      <c r="H19" s="24">
        <f>'balances (banking book)'!C24*0.6</f>
        <v>1140</v>
      </c>
      <c r="I19" s="24"/>
      <c r="J19" s="24"/>
      <c r="K19" s="24">
        <f t="shared" si="0"/>
        <v>34.199999999999996</v>
      </c>
      <c r="L19" s="24"/>
    </row>
    <row r="20" spans="2:12" x14ac:dyDescent="0.3">
      <c r="B20" t="s">
        <v>158</v>
      </c>
      <c r="F20" s="20">
        <v>0.1</v>
      </c>
      <c r="H20" s="24">
        <f>'balances (banking book)'!C24*0.4</f>
        <v>760</v>
      </c>
      <c r="I20" s="24"/>
      <c r="J20" s="24"/>
      <c r="K20" s="24">
        <f t="shared" si="0"/>
        <v>76</v>
      </c>
      <c r="L20" s="24"/>
    </row>
    <row r="21" spans="2:12" x14ac:dyDescent="0.3">
      <c r="H21" s="24"/>
      <c r="I21" s="24"/>
      <c r="J21" s="24"/>
      <c r="K21" s="24"/>
      <c r="L21" s="24"/>
    </row>
    <row r="22" spans="2:12" x14ac:dyDescent="0.3">
      <c r="B22" t="s">
        <v>159</v>
      </c>
      <c r="F22" s="20">
        <v>0.25</v>
      </c>
      <c r="G22" s="24"/>
      <c r="H22" s="24">
        <f>'balances (banking book)'!C22*0.2</f>
        <v>120</v>
      </c>
      <c r="I22" s="24"/>
      <c r="J22" s="24"/>
      <c r="K22" s="24">
        <f t="shared" si="0"/>
        <v>30</v>
      </c>
      <c r="L22" s="24"/>
    </row>
    <row r="23" spans="2:12" x14ac:dyDescent="0.3">
      <c r="B23" t="s">
        <v>160</v>
      </c>
      <c r="F23" s="20">
        <v>0.4</v>
      </c>
      <c r="G23" s="24"/>
      <c r="H23" s="24">
        <f>'balances (banking book)'!C22*0.8</f>
        <v>480</v>
      </c>
      <c r="I23" s="24"/>
      <c r="J23" s="24"/>
      <c r="K23" s="24">
        <f t="shared" si="0"/>
        <v>192</v>
      </c>
      <c r="L23" s="24"/>
    </row>
    <row r="24" spans="2:12" x14ac:dyDescent="0.3">
      <c r="G24" s="24"/>
      <c r="H24" s="24"/>
      <c r="I24" s="24"/>
      <c r="J24" s="24"/>
      <c r="K24" s="24"/>
      <c r="L24" s="24"/>
    </row>
    <row r="25" spans="2:12" x14ac:dyDescent="0.3">
      <c r="B25" t="s">
        <v>161</v>
      </c>
      <c r="F25" s="20">
        <v>0.25</v>
      </c>
      <c r="G25" s="24"/>
      <c r="H25" s="24">
        <f>'balances (banking book)'!C25*0.2</f>
        <v>80</v>
      </c>
      <c r="I25" s="24"/>
      <c r="J25" s="24"/>
      <c r="K25" s="24">
        <f t="shared" si="0"/>
        <v>20</v>
      </c>
      <c r="L25" s="24"/>
    </row>
    <row r="26" spans="2:12" x14ac:dyDescent="0.3">
      <c r="B26" t="s">
        <v>162</v>
      </c>
      <c r="F26" s="20">
        <v>0.4</v>
      </c>
      <c r="G26" s="24"/>
      <c r="H26" s="24">
        <f>'balances (banking book)'!C25*0.8</f>
        <v>320</v>
      </c>
      <c r="I26" s="24"/>
      <c r="J26" s="24"/>
      <c r="K26" s="24">
        <f t="shared" si="0"/>
        <v>128</v>
      </c>
      <c r="L26" s="24"/>
    </row>
    <row r="27" spans="2:12" x14ac:dyDescent="0.3">
      <c r="G27" s="24"/>
      <c r="H27" s="24"/>
      <c r="I27" s="24"/>
      <c r="J27" s="24"/>
      <c r="K27" s="24"/>
      <c r="L27" s="24"/>
    </row>
    <row r="28" spans="2:12" x14ac:dyDescent="0.3">
      <c r="B28" t="s">
        <v>92</v>
      </c>
      <c r="F28" s="20">
        <v>0</v>
      </c>
      <c r="G28" s="24"/>
      <c r="H28" s="24">
        <f>'balances (banking book)'!C26*0.5</f>
        <v>375</v>
      </c>
      <c r="I28" s="24"/>
      <c r="K28" s="24">
        <f t="shared" si="0"/>
        <v>0</v>
      </c>
    </row>
    <row r="29" spans="2:12" x14ac:dyDescent="0.3">
      <c r="B29" t="s">
        <v>93</v>
      </c>
      <c r="F29" s="20">
        <v>0.15</v>
      </c>
      <c r="G29" s="24"/>
      <c r="H29" s="24"/>
      <c r="I29" s="24"/>
      <c r="K29" s="24">
        <f t="shared" si="0"/>
        <v>0</v>
      </c>
    </row>
    <row r="30" spans="2:12" x14ac:dyDescent="0.3">
      <c r="B30" t="s">
        <v>94</v>
      </c>
      <c r="F30" s="20">
        <v>0.25</v>
      </c>
      <c r="G30" s="24"/>
      <c r="H30" s="24"/>
      <c r="I30" s="24"/>
      <c r="K30" s="24">
        <f t="shared" si="0"/>
        <v>0</v>
      </c>
    </row>
    <row r="31" spans="2:12" x14ac:dyDescent="0.3">
      <c r="B31" t="s">
        <v>95</v>
      </c>
      <c r="F31" s="20">
        <v>1</v>
      </c>
      <c r="G31" s="24"/>
      <c r="H31" s="24">
        <f>'balances (banking book)'!C26*0.5</f>
        <v>375</v>
      </c>
      <c r="I31" s="24"/>
      <c r="K31" s="24">
        <f t="shared" si="0"/>
        <v>375</v>
      </c>
    </row>
    <row r="32" spans="2:12" x14ac:dyDescent="0.3">
      <c r="G32" s="24"/>
      <c r="H32" s="24"/>
      <c r="I32" s="24"/>
      <c r="J32" s="22" t="s">
        <v>150</v>
      </c>
      <c r="K32" s="25">
        <f>SUM(K16:K31)</f>
        <v>977</v>
      </c>
    </row>
    <row r="33" spans="2:12" x14ac:dyDescent="0.3">
      <c r="F33" s="20"/>
      <c r="G33" s="24"/>
      <c r="H33" s="24"/>
      <c r="I33" s="24"/>
    </row>
    <row r="34" spans="2:12" x14ac:dyDescent="0.3">
      <c r="B34" s="22" t="s">
        <v>147</v>
      </c>
      <c r="C34" s="27">
        <f>G12/K32</f>
        <v>1.107983623336745</v>
      </c>
      <c r="F34" s="20"/>
      <c r="G34" s="24"/>
      <c r="H34" s="24"/>
      <c r="I34" s="24"/>
    </row>
    <row r="35" spans="2:12" x14ac:dyDescent="0.3">
      <c r="B35" s="22"/>
      <c r="C35" s="28"/>
      <c r="F35" s="20"/>
      <c r="G35" s="24"/>
      <c r="H35" s="24"/>
      <c r="I35" s="24"/>
    </row>
    <row r="36" spans="2:12" x14ac:dyDescent="0.3">
      <c r="B36" s="1" t="s">
        <v>51</v>
      </c>
      <c r="F36" s="20"/>
      <c r="G36" s="24"/>
      <c r="H36" s="24"/>
      <c r="I36" s="24"/>
    </row>
    <row r="37" spans="2:12" x14ac:dyDescent="0.3">
      <c r="B37" t="s">
        <v>72</v>
      </c>
      <c r="F37" s="20"/>
      <c r="G37" s="24"/>
      <c r="H37" s="24"/>
      <c r="I37" s="24"/>
    </row>
    <row r="38" spans="2:12" x14ac:dyDescent="0.3">
      <c r="F38" s="20"/>
      <c r="G38" s="24"/>
      <c r="H38" s="24"/>
      <c r="I38" s="24"/>
    </row>
    <row r="39" spans="2:12" x14ac:dyDescent="0.3">
      <c r="B39" s="22" t="s">
        <v>163</v>
      </c>
      <c r="F39" s="20"/>
      <c r="G39" s="24"/>
      <c r="H39" s="41" t="s">
        <v>153</v>
      </c>
      <c r="I39" s="41"/>
      <c r="K39" s="40" t="s">
        <v>154</v>
      </c>
      <c r="L39" s="40"/>
    </row>
    <row r="40" spans="2:12" x14ac:dyDescent="0.3">
      <c r="B40" t="s">
        <v>119</v>
      </c>
      <c r="F40" s="19">
        <v>1</v>
      </c>
      <c r="G40" s="24"/>
      <c r="H40" s="24">
        <f>'balances (banking book)'!C31+'balances (banking book)'!C32</f>
        <v>848</v>
      </c>
      <c r="I40" s="24"/>
      <c r="K40" s="25">
        <f>H40*F40</f>
        <v>848</v>
      </c>
    </row>
    <row r="41" spans="2:12" x14ac:dyDescent="0.3">
      <c r="B41" t="s">
        <v>120</v>
      </c>
      <c r="F41" s="19">
        <v>1</v>
      </c>
      <c r="G41" s="24"/>
      <c r="H41" s="24">
        <f>'balances (banking book)'!C28+'balances (banking book)'!C29</f>
        <v>1000</v>
      </c>
      <c r="I41" s="24"/>
      <c r="K41" s="25">
        <f t="shared" ref="K41:K50" si="1">H41*F41</f>
        <v>1000</v>
      </c>
    </row>
    <row r="42" spans="2:12" x14ac:dyDescent="0.3">
      <c r="B42" t="s">
        <v>122</v>
      </c>
      <c r="F42" s="19">
        <v>0.95</v>
      </c>
      <c r="G42" s="24"/>
      <c r="H42" s="24">
        <f>H16+H19</f>
        <v>2400</v>
      </c>
      <c r="I42" s="24"/>
      <c r="K42" s="25">
        <f t="shared" si="1"/>
        <v>2280</v>
      </c>
    </row>
    <row r="43" spans="2:12" x14ac:dyDescent="0.3">
      <c r="B43" t="s">
        <v>121</v>
      </c>
      <c r="F43" s="19">
        <v>0.9</v>
      </c>
      <c r="G43" s="24"/>
      <c r="H43" s="24">
        <f>H17+H20</f>
        <v>1600</v>
      </c>
      <c r="I43" s="24"/>
      <c r="K43" s="25">
        <f t="shared" si="1"/>
        <v>1440</v>
      </c>
    </row>
    <row r="44" spans="2:12" x14ac:dyDescent="0.3">
      <c r="B44" t="s">
        <v>127</v>
      </c>
      <c r="F44" s="19">
        <v>0.75</v>
      </c>
      <c r="G44" s="24"/>
      <c r="H44" s="24">
        <f>H22+H25</f>
        <v>200</v>
      </c>
      <c r="I44" s="24"/>
      <c r="K44" s="25">
        <f t="shared" si="1"/>
        <v>150</v>
      </c>
    </row>
    <row r="45" spans="2:12" x14ac:dyDescent="0.3">
      <c r="B45" t="s">
        <v>128</v>
      </c>
      <c r="F45" s="19">
        <v>0</v>
      </c>
      <c r="G45" s="24"/>
      <c r="H45" s="24">
        <f>H23+H26</f>
        <v>800</v>
      </c>
      <c r="I45" s="24"/>
      <c r="K45" s="25">
        <f t="shared" si="1"/>
        <v>0</v>
      </c>
    </row>
    <row r="46" spans="2:12" x14ac:dyDescent="0.3">
      <c r="B46" t="s">
        <v>129</v>
      </c>
      <c r="F46" s="19">
        <v>0.5</v>
      </c>
      <c r="G46" s="24"/>
      <c r="H46" s="24">
        <v>0</v>
      </c>
      <c r="I46" s="24"/>
      <c r="K46" s="25">
        <f t="shared" si="1"/>
        <v>0</v>
      </c>
    </row>
    <row r="47" spans="2:12" x14ac:dyDescent="0.3">
      <c r="B47" t="s">
        <v>130</v>
      </c>
      <c r="F47" s="19">
        <v>0</v>
      </c>
      <c r="G47" s="24"/>
      <c r="H47" s="24">
        <v>0</v>
      </c>
      <c r="I47" s="24"/>
      <c r="K47" s="25">
        <f t="shared" si="1"/>
        <v>0</v>
      </c>
    </row>
    <row r="48" spans="2:12" x14ac:dyDescent="0.3">
      <c r="B48" t="s">
        <v>133</v>
      </c>
      <c r="F48" s="19">
        <v>0.6</v>
      </c>
      <c r="G48" s="24"/>
      <c r="H48" s="24">
        <v>0</v>
      </c>
      <c r="I48" s="24"/>
      <c r="K48" s="25">
        <f t="shared" si="1"/>
        <v>0</v>
      </c>
    </row>
    <row r="49" spans="2:12" x14ac:dyDescent="0.3">
      <c r="B49" t="s">
        <v>134</v>
      </c>
      <c r="F49" s="19">
        <v>0.4</v>
      </c>
      <c r="G49" s="24"/>
      <c r="H49" s="24">
        <f>H28</f>
        <v>375</v>
      </c>
      <c r="I49" s="24"/>
      <c r="K49" s="25">
        <f t="shared" si="1"/>
        <v>150</v>
      </c>
    </row>
    <row r="50" spans="2:12" x14ac:dyDescent="0.3">
      <c r="B50" t="s">
        <v>135</v>
      </c>
      <c r="F50" s="19">
        <v>0</v>
      </c>
      <c r="G50" s="24"/>
      <c r="H50" s="24">
        <f>H31</f>
        <v>375</v>
      </c>
      <c r="I50" s="24"/>
      <c r="K50" s="25">
        <f t="shared" si="1"/>
        <v>0</v>
      </c>
    </row>
    <row r="51" spans="2:12" x14ac:dyDescent="0.3">
      <c r="F51" s="20"/>
      <c r="G51" s="24"/>
      <c r="H51" s="24"/>
      <c r="I51" s="24"/>
      <c r="J51" s="22" t="s">
        <v>150</v>
      </c>
      <c r="K51" s="25">
        <f>SUM(K40:K50)</f>
        <v>5868</v>
      </c>
    </row>
    <row r="52" spans="2:12" x14ac:dyDescent="0.3">
      <c r="F52" s="20"/>
      <c r="G52" s="24"/>
      <c r="H52" s="24"/>
      <c r="I52" s="24"/>
    </row>
    <row r="53" spans="2:12" x14ac:dyDescent="0.3">
      <c r="B53" s="22" t="s">
        <v>164</v>
      </c>
      <c r="F53" s="20"/>
      <c r="G53" s="24"/>
      <c r="H53" s="41" t="s">
        <v>153</v>
      </c>
      <c r="I53" s="41"/>
      <c r="K53" s="40" t="s">
        <v>154</v>
      </c>
      <c r="L53" s="40"/>
    </row>
    <row r="54" spans="2:12" x14ac:dyDescent="0.3">
      <c r="B54" t="s">
        <v>137</v>
      </c>
      <c r="F54" s="19">
        <v>0</v>
      </c>
      <c r="G54" s="24"/>
      <c r="H54" s="24">
        <f>'balances (banking book)'!C4</f>
        <v>450</v>
      </c>
      <c r="I54" s="24"/>
      <c r="K54" s="25">
        <f>F54*H54</f>
        <v>0</v>
      </c>
    </row>
    <row r="55" spans="2:12" x14ac:dyDescent="0.3">
      <c r="B55" t="s">
        <v>138</v>
      </c>
      <c r="F55" s="19">
        <v>0.05</v>
      </c>
      <c r="G55" s="24"/>
      <c r="H55" s="24">
        <f>'balances (banking book)'!C6+'balances (banking book)'!C7</f>
        <v>420</v>
      </c>
      <c r="I55" s="24"/>
      <c r="K55" s="25">
        <f t="shared" ref="K55:K62" si="2">F55*H55</f>
        <v>21</v>
      </c>
    </row>
    <row r="56" spans="2:12" x14ac:dyDescent="0.3">
      <c r="B56" t="s">
        <v>139</v>
      </c>
      <c r="F56" s="19">
        <v>0.15</v>
      </c>
      <c r="G56" s="24"/>
      <c r="H56" s="24">
        <f>'balances (banking book)'!C8+'balances (banking book)'!C9</f>
        <v>250</v>
      </c>
      <c r="I56" s="24"/>
      <c r="K56" s="25">
        <f t="shared" si="2"/>
        <v>37.5</v>
      </c>
    </row>
    <row r="57" spans="2:12" x14ac:dyDescent="0.3">
      <c r="B57" t="s">
        <v>140</v>
      </c>
      <c r="F57" s="19">
        <v>0.5</v>
      </c>
      <c r="G57" s="24"/>
      <c r="H57" s="24">
        <f>'balances (banking book)'!C10</f>
        <v>0</v>
      </c>
      <c r="I57" s="24"/>
      <c r="K57" s="25">
        <f t="shared" si="2"/>
        <v>0</v>
      </c>
    </row>
    <row r="58" spans="2:12" x14ac:dyDescent="0.3">
      <c r="B58" t="s">
        <v>141</v>
      </c>
      <c r="F58" s="19">
        <v>0.65</v>
      </c>
      <c r="G58" s="24"/>
      <c r="H58" s="24">
        <f>'balances (banking book)'!C12</f>
        <v>1500</v>
      </c>
      <c r="I58" s="24"/>
      <c r="K58" s="25">
        <f t="shared" si="2"/>
        <v>975</v>
      </c>
    </row>
    <row r="59" spans="2:12" x14ac:dyDescent="0.3">
      <c r="B59" t="s">
        <v>142</v>
      </c>
      <c r="F59" s="19">
        <v>0.5</v>
      </c>
      <c r="G59" s="24"/>
      <c r="H59" s="24">
        <f>'balances (banking book)'!C13</f>
        <v>2500</v>
      </c>
      <c r="I59" s="24"/>
      <c r="K59" s="25">
        <f t="shared" si="2"/>
        <v>1250</v>
      </c>
    </row>
    <row r="60" spans="2:12" x14ac:dyDescent="0.3">
      <c r="B60" t="s">
        <v>143</v>
      </c>
      <c r="F60" s="19">
        <v>0.65</v>
      </c>
      <c r="G60" s="24"/>
      <c r="H60" s="24">
        <f>'balances (banking book)'!C14</f>
        <v>800</v>
      </c>
      <c r="I60" s="24"/>
      <c r="K60" s="25">
        <f t="shared" si="2"/>
        <v>520</v>
      </c>
    </row>
    <row r="61" spans="2:12" x14ac:dyDescent="0.3">
      <c r="B61" t="s">
        <v>144</v>
      </c>
      <c r="F61" s="19">
        <v>0.65</v>
      </c>
      <c r="G61" s="24"/>
      <c r="H61" s="24">
        <f>'balances (banking book)'!C15</f>
        <v>1200</v>
      </c>
      <c r="I61" s="24"/>
      <c r="K61" s="25">
        <f t="shared" si="2"/>
        <v>780</v>
      </c>
    </row>
    <row r="62" spans="2:12" x14ac:dyDescent="0.3">
      <c r="B62" t="s">
        <v>145</v>
      </c>
      <c r="F62" s="19">
        <v>1</v>
      </c>
      <c r="G62" s="24"/>
      <c r="H62" s="24">
        <f>'balances (banking book)'!C16</f>
        <v>500</v>
      </c>
      <c r="I62" s="24"/>
      <c r="K62" s="25">
        <f t="shared" si="2"/>
        <v>500</v>
      </c>
    </row>
    <row r="63" spans="2:12" x14ac:dyDescent="0.3">
      <c r="F63" s="20"/>
      <c r="G63" s="24"/>
      <c r="H63" s="24"/>
      <c r="I63" s="24"/>
      <c r="J63" s="22" t="s">
        <v>150</v>
      </c>
      <c r="K63" s="25">
        <f>SUM(K54:K62)</f>
        <v>4083.5</v>
      </c>
    </row>
    <row r="64" spans="2:12" x14ac:dyDescent="0.3">
      <c r="F64" s="20"/>
      <c r="G64" s="24"/>
      <c r="H64" s="24"/>
      <c r="I64" s="24"/>
    </row>
    <row r="65" spans="2:9" x14ac:dyDescent="0.3">
      <c r="B65" s="22" t="s">
        <v>165</v>
      </c>
      <c r="C65" s="26">
        <f>K51/K63</f>
        <v>1.4370025713236194</v>
      </c>
      <c r="F65" s="20"/>
      <c r="G65" s="24"/>
      <c r="H65" s="24"/>
      <c r="I65" s="24"/>
    </row>
    <row r="66" spans="2:9" x14ac:dyDescent="0.3">
      <c r="F66" s="20"/>
      <c r="G66" s="24"/>
      <c r="H66" s="24"/>
      <c r="I66" s="24"/>
    </row>
    <row r="67" spans="2:9" x14ac:dyDescent="0.3">
      <c r="F67" s="20"/>
      <c r="G67" s="24"/>
      <c r="H67" s="24"/>
      <c r="I67" s="24"/>
    </row>
    <row r="68" spans="2:9" x14ac:dyDescent="0.3">
      <c r="B68" s="1" t="s">
        <v>52</v>
      </c>
    </row>
    <row r="69" spans="2:9" x14ac:dyDescent="0.3">
      <c r="B69" t="s">
        <v>64</v>
      </c>
    </row>
    <row r="71" spans="2:9" x14ac:dyDescent="0.3">
      <c r="B71" t="s">
        <v>167</v>
      </c>
      <c r="C71" s="37">
        <f>NII!F16</f>
        <v>1358.1320000000001</v>
      </c>
    </row>
    <row r="72" spans="2:9" x14ac:dyDescent="0.3">
      <c r="B72" t="s">
        <v>168</v>
      </c>
      <c r="C72" s="37">
        <f>NII!F29</f>
        <v>400.75</v>
      </c>
    </row>
    <row r="73" spans="2:9" x14ac:dyDescent="0.3">
      <c r="B73" t="s">
        <v>170</v>
      </c>
      <c r="C73" s="37">
        <f>C71-C72</f>
        <v>957.38200000000006</v>
      </c>
    </row>
    <row r="74" spans="2:9" x14ac:dyDescent="0.3">
      <c r="B74" t="s">
        <v>171</v>
      </c>
      <c r="C74" s="38">
        <f>C73/'balances (banking book)'!C33</f>
        <v>1.1289882075471698</v>
      </c>
    </row>
    <row r="76" spans="2:9" x14ac:dyDescent="0.3">
      <c r="B76" t="s">
        <v>68</v>
      </c>
      <c r="I76" t="s">
        <v>172</v>
      </c>
    </row>
    <row r="78" spans="2:9" x14ac:dyDescent="0.3">
      <c r="B78" t="s">
        <v>167</v>
      </c>
      <c r="C78" s="37">
        <f>-NII!H16</f>
        <v>-21.2</v>
      </c>
    </row>
    <row r="79" spans="2:9" x14ac:dyDescent="0.3">
      <c r="B79" t="s">
        <v>168</v>
      </c>
      <c r="C79" s="37">
        <f>-NII!H29</f>
        <v>-24</v>
      </c>
    </row>
    <row r="80" spans="2:9" x14ac:dyDescent="0.3">
      <c r="B80" t="s">
        <v>173</v>
      </c>
      <c r="C80" s="37">
        <f>C78-C79</f>
        <v>2.8000000000000007</v>
      </c>
    </row>
    <row r="82" spans="2:16" x14ac:dyDescent="0.3">
      <c r="B82" t="s">
        <v>69</v>
      </c>
      <c r="F82" t="s">
        <v>174</v>
      </c>
    </row>
    <row r="84" spans="2:16" x14ac:dyDescent="0.3">
      <c r="B84" t="s">
        <v>70</v>
      </c>
      <c r="N84" s="39" t="s">
        <v>175</v>
      </c>
    </row>
    <row r="86" spans="2:16" x14ac:dyDescent="0.3">
      <c r="B86" t="s">
        <v>73</v>
      </c>
      <c r="P86" t="s">
        <v>176</v>
      </c>
    </row>
    <row r="88" spans="2:16" x14ac:dyDescent="0.3">
      <c r="B88" s="1" t="s">
        <v>65</v>
      </c>
    </row>
    <row r="89" spans="2:16" x14ac:dyDescent="0.3">
      <c r="B89" t="s">
        <v>66</v>
      </c>
    </row>
    <row r="90" spans="2:16" x14ac:dyDescent="0.3">
      <c r="B90" t="s">
        <v>67</v>
      </c>
    </row>
  </sheetData>
  <mergeCells count="7">
    <mergeCell ref="G5:H5"/>
    <mergeCell ref="H39:I39"/>
    <mergeCell ref="H53:I53"/>
    <mergeCell ref="K39:L39"/>
    <mergeCell ref="K53:L53"/>
    <mergeCell ref="H15:I15"/>
    <mergeCell ref="K15:L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87CC-2C18-4750-BE84-639CAB5B0892}">
  <dimension ref="B2:N34"/>
  <sheetViews>
    <sheetView tabSelected="1" topLeftCell="B4" workbookViewId="0">
      <selection activeCell="H24" sqref="H24"/>
    </sheetView>
  </sheetViews>
  <sheetFormatPr baseColWidth="10" defaultRowHeight="14.4" x14ac:dyDescent="0.3"/>
  <cols>
    <col min="2" max="2" width="57" bestFit="1" customWidth="1"/>
    <col min="3" max="3" width="16.21875" bestFit="1" customWidth="1"/>
    <col min="4" max="4" width="13.77734375" bestFit="1" customWidth="1"/>
    <col min="5" max="8" width="13.77734375" customWidth="1"/>
  </cols>
  <sheetData>
    <row r="2" spans="2:14" x14ac:dyDescent="0.3">
      <c r="B2" s="3" t="s">
        <v>24</v>
      </c>
      <c r="C2" s="2" t="s">
        <v>22</v>
      </c>
      <c r="D2" s="2" t="s">
        <v>23</v>
      </c>
      <c r="E2" s="29"/>
      <c r="F2" s="29"/>
      <c r="G2" s="29"/>
      <c r="H2" s="29"/>
    </row>
    <row r="3" spans="2:14" x14ac:dyDescent="0.3">
      <c r="B3" s="1" t="s">
        <v>0</v>
      </c>
      <c r="C3" s="11">
        <v>450</v>
      </c>
      <c r="D3" s="11">
        <v>240</v>
      </c>
      <c r="E3" s="31">
        <v>0</v>
      </c>
      <c r="F3" s="11">
        <f>E3*C3</f>
        <v>0</v>
      </c>
      <c r="G3" s="11"/>
      <c r="H3" s="11"/>
      <c r="I3" s="15" t="s">
        <v>57</v>
      </c>
    </row>
    <row r="4" spans="2:14" x14ac:dyDescent="0.3">
      <c r="B4" s="1" t="s">
        <v>1</v>
      </c>
      <c r="C4" s="11">
        <f>SUM(C5:C9)</f>
        <v>670</v>
      </c>
      <c r="D4" s="11">
        <f>SUM(D5:D9)</f>
        <v>980</v>
      </c>
      <c r="E4" s="11"/>
      <c r="F4" s="11"/>
      <c r="G4" s="11"/>
      <c r="H4" s="11"/>
    </row>
    <row r="5" spans="2:14" x14ac:dyDescent="0.3">
      <c r="B5" t="s">
        <v>2</v>
      </c>
      <c r="C5" s="4">
        <v>180</v>
      </c>
      <c r="D5" s="4">
        <v>160</v>
      </c>
      <c r="E5" s="32">
        <v>7.4999999999999997E-2</v>
      </c>
      <c r="F5" s="11">
        <f t="shared" ref="F5:F15" si="0">E5*C5</f>
        <v>13.5</v>
      </c>
      <c r="G5" s="11"/>
      <c r="H5" s="11"/>
      <c r="I5" s="15" t="s">
        <v>58</v>
      </c>
    </row>
    <row r="6" spans="2:14" x14ac:dyDescent="0.3">
      <c r="B6" t="s">
        <v>25</v>
      </c>
      <c r="C6" s="4">
        <v>240</v>
      </c>
      <c r="D6" s="4">
        <v>120</v>
      </c>
      <c r="E6" s="34">
        <f>0.0674+0.0019</f>
        <v>6.93E-2</v>
      </c>
      <c r="F6" s="11">
        <f t="shared" si="0"/>
        <v>16.632000000000001</v>
      </c>
      <c r="G6" s="11"/>
      <c r="H6" s="11">
        <f>C6*0.005</f>
        <v>1.2</v>
      </c>
      <c r="I6" s="15" t="s">
        <v>56</v>
      </c>
      <c r="N6" t="s">
        <v>166</v>
      </c>
    </row>
    <row r="7" spans="2:14" x14ac:dyDescent="0.3">
      <c r="B7" t="s">
        <v>26</v>
      </c>
      <c r="C7" s="4">
        <v>150</v>
      </c>
      <c r="D7" s="4">
        <v>300</v>
      </c>
      <c r="E7" s="32">
        <v>8.5000000000000006E-2</v>
      </c>
      <c r="F7" s="11">
        <f t="shared" si="0"/>
        <v>12.750000000000002</v>
      </c>
      <c r="G7" s="11"/>
      <c r="H7" s="11"/>
      <c r="I7" s="15" t="s">
        <v>55</v>
      </c>
    </row>
    <row r="8" spans="2:14" x14ac:dyDescent="0.3">
      <c r="B8" t="s">
        <v>3</v>
      </c>
      <c r="C8" s="4">
        <v>100</v>
      </c>
      <c r="D8" s="4">
        <v>250</v>
      </c>
      <c r="E8" s="20">
        <v>0.09</v>
      </c>
      <c r="F8" s="11">
        <f t="shared" si="0"/>
        <v>9</v>
      </c>
      <c r="G8" s="11"/>
      <c r="H8" s="11"/>
      <c r="I8" s="15" t="s">
        <v>59</v>
      </c>
    </row>
    <row r="9" spans="2:14" x14ac:dyDescent="0.3">
      <c r="B9" t="s">
        <v>4</v>
      </c>
      <c r="C9" s="4">
        <v>0</v>
      </c>
      <c r="D9" s="4">
        <v>150</v>
      </c>
      <c r="E9" s="32">
        <v>9.5000000000000001E-2</v>
      </c>
      <c r="F9" s="11">
        <f t="shared" si="0"/>
        <v>0</v>
      </c>
      <c r="G9" s="11"/>
      <c r="H9" s="11"/>
      <c r="I9" s="15" t="s">
        <v>60</v>
      </c>
    </row>
    <row r="10" spans="2:14" x14ac:dyDescent="0.3">
      <c r="B10" s="1" t="s">
        <v>5</v>
      </c>
      <c r="C10" s="12">
        <f>SUM(C11:C15)</f>
        <v>6500</v>
      </c>
      <c r="D10" s="12">
        <f t="shared" ref="D10" si="1">SUM(D11:D15)</f>
        <v>6500</v>
      </c>
      <c r="E10" s="12"/>
      <c r="F10" s="11"/>
      <c r="G10" s="11"/>
      <c r="H10" s="11"/>
    </row>
    <row r="11" spans="2:14" x14ac:dyDescent="0.3">
      <c r="B11" t="s">
        <v>6</v>
      </c>
      <c r="C11" s="13">
        <v>1500</v>
      </c>
      <c r="D11" s="13">
        <v>900</v>
      </c>
      <c r="E11" s="34">
        <v>0.1075</v>
      </c>
      <c r="F11" s="11">
        <f t="shared" si="0"/>
        <v>161.25</v>
      </c>
      <c r="G11" s="11"/>
      <c r="H11" s="11"/>
      <c r="I11" s="15" t="s">
        <v>62</v>
      </c>
    </row>
    <row r="12" spans="2:14" x14ac:dyDescent="0.3">
      <c r="B12" t="s">
        <v>7</v>
      </c>
      <c r="C12" s="13">
        <v>2500</v>
      </c>
      <c r="D12" s="13">
        <v>1700</v>
      </c>
      <c r="E12" s="34">
        <f>0.6*(0.07+0.36)+0.4*(0.07+0.12)</f>
        <v>0.33400000000000002</v>
      </c>
      <c r="F12" s="11">
        <f t="shared" si="0"/>
        <v>835</v>
      </c>
      <c r="G12" s="11"/>
      <c r="H12" s="11">
        <f>C12*0.6*0.005</f>
        <v>7.5</v>
      </c>
      <c r="I12" s="15" t="s">
        <v>61</v>
      </c>
    </row>
    <row r="13" spans="2:14" x14ac:dyDescent="0.3">
      <c r="B13" t="s">
        <v>8</v>
      </c>
      <c r="C13" s="13">
        <v>800</v>
      </c>
      <c r="D13" s="13">
        <v>600</v>
      </c>
      <c r="E13" s="33">
        <f>0.07+0.09</f>
        <v>0.16</v>
      </c>
      <c r="F13" s="11">
        <f t="shared" si="0"/>
        <v>128</v>
      </c>
      <c r="G13" s="11"/>
      <c r="H13" s="11">
        <f>C13*0.005</f>
        <v>4</v>
      </c>
      <c r="I13" s="15" t="s">
        <v>54</v>
      </c>
    </row>
    <row r="14" spans="2:14" x14ac:dyDescent="0.3">
      <c r="B14" t="s">
        <v>9</v>
      </c>
      <c r="C14" s="13">
        <v>1200</v>
      </c>
      <c r="D14" s="13">
        <v>1900</v>
      </c>
      <c r="E14" s="33">
        <f>0.07+0.04</f>
        <v>0.11000000000000001</v>
      </c>
      <c r="F14" s="11">
        <f t="shared" si="0"/>
        <v>132.00000000000003</v>
      </c>
      <c r="G14" s="11"/>
      <c r="H14" s="11">
        <f>C14*0.005</f>
        <v>6</v>
      </c>
      <c r="I14" s="15" t="s">
        <v>53</v>
      </c>
    </row>
    <row r="15" spans="2:14" x14ac:dyDescent="0.3">
      <c r="B15" t="s">
        <v>48</v>
      </c>
      <c r="C15" s="13">
        <v>500</v>
      </c>
      <c r="D15" s="13">
        <v>1400</v>
      </c>
      <c r="E15" s="33">
        <f>0.07+0.03</f>
        <v>0.1</v>
      </c>
      <c r="F15" s="11">
        <f t="shared" si="0"/>
        <v>50</v>
      </c>
      <c r="G15" s="11"/>
      <c r="H15" s="11">
        <f>C15*0.005</f>
        <v>2.5</v>
      </c>
      <c r="I15" s="15" t="s">
        <v>146</v>
      </c>
    </row>
    <row r="16" spans="2:14" x14ac:dyDescent="0.3">
      <c r="B16" s="1" t="s">
        <v>10</v>
      </c>
      <c r="C16" s="12">
        <v>330</v>
      </c>
      <c r="D16" s="12">
        <v>270</v>
      </c>
      <c r="E16" s="12"/>
      <c r="F16" s="35">
        <f>SUM(F3:F15)</f>
        <v>1358.1320000000001</v>
      </c>
      <c r="G16" s="35"/>
      <c r="H16" s="35">
        <f>SUM(H6:H15)</f>
        <v>21.2</v>
      </c>
    </row>
    <row r="17" spans="2:10" x14ac:dyDescent="0.3">
      <c r="B17" s="1" t="s">
        <v>11</v>
      </c>
      <c r="C17" s="12">
        <v>48</v>
      </c>
      <c r="D17" s="12">
        <v>64</v>
      </c>
      <c r="E17" s="12"/>
      <c r="F17" s="12"/>
      <c r="G17" s="12"/>
      <c r="H17" s="12"/>
      <c r="I17" s="18"/>
      <c r="J17" s="18"/>
    </row>
    <row r="18" spans="2:10" x14ac:dyDescent="0.3">
      <c r="B18" s="2" t="s">
        <v>12</v>
      </c>
      <c r="C18" s="14">
        <f>C3+C4+C10+C16+C17</f>
        <v>7998</v>
      </c>
      <c r="D18" s="14">
        <f>D3+D4+D10+D16+D17</f>
        <v>8054</v>
      </c>
      <c r="E18" s="30"/>
      <c r="F18" s="30"/>
      <c r="G18" s="30"/>
      <c r="H18" s="30"/>
    </row>
    <row r="19" spans="2:10" x14ac:dyDescent="0.3">
      <c r="B19" s="1" t="s">
        <v>13</v>
      </c>
      <c r="C19" s="12">
        <f>C20+C21</f>
        <v>2700</v>
      </c>
      <c r="D19" s="12">
        <f>D20+D21</f>
        <v>3200</v>
      </c>
      <c r="E19" s="12"/>
      <c r="F19" s="12"/>
      <c r="G19" s="12"/>
      <c r="H19" s="12"/>
      <c r="I19" s="15" t="s">
        <v>114</v>
      </c>
    </row>
    <row r="20" spans="2:10" ht="16.2" x14ac:dyDescent="0.3">
      <c r="B20" t="s">
        <v>96</v>
      </c>
      <c r="C20" s="13">
        <v>2100</v>
      </c>
      <c r="D20" s="13">
        <v>1400</v>
      </c>
      <c r="E20" s="34">
        <v>0.04</v>
      </c>
      <c r="F20" s="13">
        <f>C20*E20</f>
        <v>84</v>
      </c>
      <c r="G20" s="13"/>
      <c r="H20" s="13">
        <f>C20*0.005*0.5</f>
        <v>5.25</v>
      </c>
      <c r="I20" s="15" t="s">
        <v>111</v>
      </c>
    </row>
    <row r="21" spans="2:10" ht="16.2" x14ac:dyDescent="0.3">
      <c r="B21" t="s">
        <v>97</v>
      </c>
      <c r="C21" s="13">
        <v>600</v>
      </c>
      <c r="D21" s="13">
        <v>1800</v>
      </c>
      <c r="E21" s="34">
        <v>0.04</v>
      </c>
      <c r="F21" s="13">
        <f t="shared" ref="F21:F28" si="2">C21*E21</f>
        <v>24</v>
      </c>
      <c r="G21" s="13"/>
      <c r="H21" s="13">
        <f>C21*0.005*0.5</f>
        <v>1.5</v>
      </c>
      <c r="I21" s="15" t="s">
        <v>108</v>
      </c>
    </row>
    <row r="22" spans="2:10" x14ac:dyDescent="0.3">
      <c r="B22" s="1" t="s">
        <v>14</v>
      </c>
      <c r="C22" s="12">
        <f>C23+C24</f>
        <v>2300</v>
      </c>
      <c r="D22" s="12">
        <f>D23+D24</f>
        <v>2300</v>
      </c>
      <c r="E22" s="12"/>
      <c r="F22" s="13"/>
      <c r="G22" s="13"/>
      <c r="H22" s="13"/>
      <c r="I22" s="15"/>
    </row>
    <row r="23" spans="2:10" x14ac:dyDescent="0.3">
      <c r="B23" t="s">
        <v>15</v>
      </c>
      <c r="C23" s="13">
        <v>1900</v>
      </c>
      <c r="D23" s="13">
        <v>1200</v>
      </c>
      <c r="E23" s="34">
        <v>0.05</v>
      </c>
      <c r="F23" s="13">
        <f t="shared" si="2"/>
        <v>95</v>
      </c>
      <c r="G23" s="13"/>
      <c r="H23" s="13">
        <f>C23*0.005</f>
        <v>9.5</v>
      </c>
      <c r="I23" s="15" t="s">
        <v>112</v>
      </c>
    </row>
    <row r="24" spans="2:10" x14ac:dyDescent="0.3">
      <c r="B24" t="s">
        <v>16</v>
      </c>
      <c r="C24" s="13">
        <v>400</v>
      </c>
      <c r="D24" s="13">
        <v>1100</v>
      </c>
      <c r="E24" s="34">
        <v>5.2499999999999998E-2</v>
      </c>
      <c r="F24" s="13">
        <f t="shared" si="2"/>
        <v>21</v>
      </c>
      <c r="G24" s="13"/>
      <c r="H24" s="13">
        <f>C24*0.005</f>
        <v>2</v>
      </c>
      <c r="I24" s="15" t="s">
        <v>113</v>
      </c>
    </row>
    <row r="25" spans="2:10" ht="16.2" x14ac:dyDescent="0.3">
      <c r="B25" s="1" t="s">
        <v>98</v>
      </c>
      <c r="C25" s="12">
        <v>750</v>
      </c>
      <c r="D25" s="12">
        <v>900</v>
      </c>
      <c r="E25" s="36">
        <v>6.5000000000000002E-2</v>
      </c>
      <c r="F25" s="12">
        <f t="shared" si="2"/>
        <v>48.75</v>
      </c>
      <c r="G25" s="12"/>
      <c r="H25" s="13">
        <f>C25*0.005</f>
        <v>3.75</v>
      </c>
      <c r="I25" s="15" t="s">
        <v>106</v>
      </c>
    </row>
    <row r="26" spans="2:10" x14ac:dyDescent="0.3">
      <c r="B26" s="1" t="s">
        <v>17</v>
      </c>
      <c r="C26" s="12">
        <v>400</v>
      </c>
      <c r="D26" s="12">
        <v>0</v>
      </c>
      <c r="E26" s="36">
        <v>7.0000000000000007E-2</v>
      </c>
      <c r="F26" s="12">
        <f t="shared" si="2"/>
        <v>28.000000000000004</v>
      </c>
      <c r="G26" s="12"/>
      <c r="H26" s="13">
        <f>C26*0.005</f>
        <v>2</v>
      </c>
      <c r="I26" s="15" t="s">
        <v>169</v>
      </c>
    </row>
    <row r="27" spans="2:10" x14ac:dyDescent="0.3">
      <c r="B27" s="1" t="s">
        <v>18</v>
      </c>
      <c r="C27" s="12">
        <v>1000</v>
      </c>
      <c r="D27" s="12">
        <v>500</v>
      </c>
      <c r="E27" s="36">
        <v>0.1</v>
      </c>
      <c r="F27" s="12">
        <f t="shared" si="2"/>
        <v>100</v>
      </c>
      <c r="G27" s="12"/>
      <c r="I27" s="15" t="s">
        <v>115</v>
      </c>
    </row>
    <row r="28" spans="2:10" x14ac:dyDescent="0.3">
      <c r="B28" s="1" t="s">
        <v>19</v>
      </c>
      <c r="C28" s="12">
        <v>0</v>
      </c>
      <c r="D28" s="12">
        <v>500</v>
      </c>
      <c r="E28" s="36">
        <v>8.7499999999999994E-2</v>
      </c>
      <c r="F28" s="12">
        <f t="shared" si="2"/>
        <v>0</v>
      </c>
      <c r="G28" s="12"/>
      <c r="H28" s="12"/>
      <c r="I28" s="15" t="s">
        <v>116</v>
      </c>
    </row>
    <row r="29" spans="2:10" x14ac:dyDescent="0.3">
      <c r="B29" s="2" t="s">
        <v>20</v>
      </c>
      <c r="C29" s="14">
        <f>C19+C22+C25+C26+C27+C28</f>
        <v>7150</v>
      </c>
      <c r="D29" s="14">
        <f t="shared" ref="D29" si="3">D19+D22+D25+D26+D27+D28</f>
        <v>7400</v>
      </c>
      <c r="E29" s="30"/>
      <c r="F29" s="35">
        <f>SUM(F20:F28)</f>
        <v>400.75</v>
      </c>
      <c r="G29" s="35"/>
      <c r="H29" s="35">
        <f>SUM(H20:H28)</f>
        <v>24</v>
      </c>
    </row>
    <row r="30" spans="2:10" ht="16.2" x14ac:dyDescent="0.3">
      <c r="B30" s="1" t="s">
        <v>101</v>
      </c>
      <c r="C30" s="13">
        <v>848</v>
      </c>
      <c r="D30" s="13">
        <v>654</v>
      </c>
      <c r="E30" s="13"/>
      <c r="F30" s="13"/>
      <c r="G30" s="13"/>
      <c r="H30" s="13"/>
    </row>
    <row r="31" spans="2:10" ht="16.2" x14ac:dyDescent="0.3">
      <c r="B31" s="1" t="s">
        <v>102</v>
      </c>
      <c r="C31" s="13">
        <v>0</v>
      </c>
      <c r="D31" s="13">
        <v>0</v>
      </c>
      <c r="E31" s="13"/>
      <c r="F31" s="13"/>
      <c r="G31" s="13"/>
      <c r="H31" s="13"/>
    </row>
    <row r="32" spans="2:10" x14ac:dyDescent="0.3">
      <c r="B32" s="2" t="s">
        <v>21</v>
      </c>
      <c r="C32" s="14">
        <f>C30+C31</f>
        <v>848</v>
      </c>
      <c r="D32" s="14">
        <f t="shared" ref="D32" si="4">D30+D31</f>
        <v>654</v>
      </c>
      <c r="E32" s="30"/>
      <c r="F32" s="30"/>
      <c r="G32" s="30"/>
      <c r="H32" s="30"/>
      <c r="I32" s="18"/>
    </row>
    <row r="33" spans="2:8" x14ac:dyDescent="0.3">
      <c r="B33" s="16" t="s">
        <v>63</v>
      </c>
      <c r="C33" s="17">
        <f>C29+C32</f>
        <v>7998</v>
      </c>
      <c r="D33" s="17">
        <f>D29+D32</f>
        <v>8054</v>
      </c>
      <c r="E33" s="13"/>
      <c r="F33" s="13"/>
      <c r="G33" s="13"/>
      <c r="H33" s="13"/>
    </row>
    <row r="34" spans="2:8" x14ac:dyDescent="0.3">
      <c r="C34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escala credit risk rating</vt:lpstr>
      <vt:lpstr>factores LCR y NSFR</vt:lpstr>
      <vt:lpstr>notas importantes</vt:lpstr>
      <vt:lpstr>balances (banking book)</vt:lpstr>
      <vt:lpstr>Preguntas</vt:lpstr>
      <vt:lpstr>NII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Samuel Gómez Jiménez</cp:lastModifiedBy>
  <dcterms:created xsi:type="dcterms:W3CDTF">2026-04-07T22:16:39Z</dcterms:created>
  <dcterms:modified xsi:type="dcterms:W3CDTF">2026-04-16T01:47:49Z</dcterms:modified>
</cp:coreProperties>
</file>