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Proyecto Final\"/>
    </mc:Choice>
  </mc:AlternateContent>
  <xr:revisionPtr revIDLastSave="0" documentId="13_ncr:1_{7F5D6739-9A23-4869-BA5D-75FA869F8EBA}" xr6:coauthVersionLast="47" xr6:coauthVersionMax="47" xr10:uidLastSave="{00000000-0000-0000-0000-000000000000}"/>
  <bookViews>
    <workbookView xWindow="-120" yWindow="-120" windowWidth="29040" windowHeight="15720" activeTab="2" xr2:uid="{10F43EB3-FFFB-4973-8EA5-511E407D8D44}"/>
  </bookViews>
  <sheets>
    <sheet name="credito simple" sheetId="1" r:id="rId1"/>
    <sheet name="credito revolvente" sheetId="2" r:id="rId2"/>
    <sheet name="bal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3" l="1"/>
  <c r="C27" i="3"/>
  <c r="C24" i="3"/>
  <c r="C20" i="3"/>
  <c r="C16" i="3"/>
  <c r="C13" i="3"/>
  <c r="C8" i="3"/>
  <c r="C10" i="3"/>
  <c r="C9" i="3"/>
</calcChain>
</file>

<file path=xl/sharedStrings.xml><?xml version="1.0" encoding="utf-8"?>
<sst xmlns="http://schemas.openxmlformats.org/spreadsheetml/2006/main" count="91" uniqueCount="53">
  <si>
    <t>Num préstamo</t>
  </si>
  <si>
    <t>Prob. Impago</t>
  </si>
  <si>
    <t xml:space="preserve">Severidad </t>
  </si>
  <si>
    <t>b1</t>
  </si>
  <si>
    <t>b2</t>
  </si>
  <si>
    <t>b3</t>
  </si>
  <si>
    <t>Saldo insoluto (en millones de pesos</t>
  </si>
  <si>
    <t>Mensualidades (remaining) para el vencimiento</t>
  </si>
  <si>
    <t>Tasa de interés</t>
  </si>
  <si>
    <t>TIIEF + 8%</t>
  </si>
  <si>
    <t>TIIEF + 9%</t>
  </si>
  <si>
    <t>TIIEF + 10%</t>
  </si>
  <si>
    <t>TIIEF+6%</t>
  </si>
  <si>
    <t>TIIEF+9%</t>
  </si>
  <si>
    <t>TIIEF+10%</t>
  </si>
  <si>
    <t>TIIEF+8%</t>
  </si>
  <si>
    <t>TIIEF+7%</t>
  </si>
  <si>
    <t>TIIEF+12%</t>
  </si>
  <si>
    <t>sobretasa</t>
  </si>
  <si>
    <t>es lo que en total se le suma a la TIIEF</t>
  </si>
  <si>
    <t>400 basis</t>
  </si>
  <si>
    <t>500 basis</t>
  </si>
  <si>
    <t>Límite de Crédito (millones de pesos)</t>
  </si>
  <si>
    <t>Monto Dispuesto (millones de pesos)</t>
  </si>
  <si>
    <t>cifras en millones de pesos</t>
  </si>
  <si>
    <t>SOFOM</t>
  </si>
  <si>
    <t>Efectivo y reservas en el banco central</t>
  </si>
  <si>
    <t>-</t>
  </si>
  <si>
    <t>HQLA (Activos líquidos de alta calidad)</t>
  </si>
  <si>
    <t>Reportos 1 día — colateral gubernamental (Nivel 1 para HQLA)</t>
  </si>
  <si>
    <t>Bonos M con vencimiento en 2029 (Nivel 1 para HQLA)</t>
  </si>
  <si>
    <t>Cartera de crédito</t>
  </si>
  <si>
    <t>Crédito simple amortizable a PYMEs y PFAEs (64 créditos)</t>
  </si>
  <si>
    <t>Crédito revolvente — monto dispuesto (86 créditos)</t>
  </si>
  <si>
    <t>Activos Fijos</t>
  </si>
  <si>
    <t>Otros activos</t>
  </si>
  <si>
    <t>TOTAL ACTIVO</t>
  </si>
  <si>
    <t>Depósitos a la vista</t>
  </si>
  <si>
    <t>Depósitos a plazo</t>
  </si>
  <si>
    <t>Préstamos bancarios</t>
  </si>
  <si>
    <t>Banco 1 — TIIEF+3.5%, amortizable, vence en 12 meses</t>
  </si>
  <si>
    <t>Banco 2 — TIIEF+4.0%, amortizable, vence en 18 meses</t>
  </si>
  <si>
    <t>Banco 3 — TIIEF+2.75%, amortizable, vence en 36 meses</t>
  </si>
  <si>
    <t>Préstamos de inversionistas institucionales</t>
  </si>
  <si>
    <t>Fondo private credit 1 — 17% fija, bullet 6 meses</t>
  </si>
  <si>
    <t>Fondo private credit 2 — 19% fija, bullet 24 meses</t>
  </si>
  <si>
    <t>Certificados bursátiles (cebures) emitidos</t>
  </si>
  <si>
    <t>TOTAL PASIVO</t>
  </si>
  <si>
    <t>Capital social (aportaciones de accionistas)</t>
  </si>
  <si>
    <t>Utilidades retenidas</t>
  </si>
  <si>
    <t>TOTAL CAPITAL</t>
  </si>
  <si>
    <t>TOTAL PASIVO Y CAPITAL</t>
  </si>
  <si>
    <t>Reportos 7 días — colateral bancario (Nivel 2A para HQLA)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</si>
</sst>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B0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3" fontId="4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3" fontId="7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6BE7-83FD-4AC1-B925-86381D29DAFD}">
  <dimension ref="A1:I65"/>
  <sheetViews>
    <sheetView topLeftCell="A29" workbookViewId="0">
      <selection activeCell="N19" sqref="N19"/>
    </sheetView>
  </sheetViews>
  <sheetFormatPr baseColWidth="10" defaultRowHeight="15" x14ac:dyDescent="0.25"/>
  <cols>
    <col min="1" max="1" width="12.7109375" style="1" bestFit="1" customWidth="1"/>
    <col min="2" max="2" width="13.42578125" style="1" customWidth="1"/>
    <col min="3" max="4" width="24.42578125" style="1" customWidth="1"/>
    <col min="5" max="5" width="11.42578125" style="1" bestFit="1" customWidth="1"/>
    <col min="6" max="9" width="10.85546875" style="1"/>
  </cols>
  <sheetData>
    <row r="1" spans="1:9" ht="60" x14ac:dyDescent="0.25">
      <c r="A1" s="4" t="s">
        <v>0</v>
      </c>
      <c r="B1" s="5" t="s">
        <v>6</v>
      </c>
      <c r="C1" s="5" t="s">
        <v>7</v>
      </c>
      <c r="D1" s="5" t="s">
        <v>8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</row>
    <row r="2" spans="1:9" x14ac:dyDescent="0.25">
      <c r="A2" s="1">
        <v>1</v>
      </c>
      <c r="B2" s="1">
        <v>15</v>
      </c>
      <c r="C2" s="1">
        <v>45</v>
      </c>
      <c r="D2" s="6">
        <v>0.25</v>
      </c>
      <c r="E2" s="2">
        <v>2.3E-2</v>
      </c>
      <c r="F2" s="1">
        <v>0.45</v>
      </c>
      <c r="G2" s="3">
        <v>0.34</v>
      </c>
      <c r="H2" s="3">
        <v>0.24</v>
      </c>
      <c r="I2" s="3">
        <v>0.42</v>
      </c>
    </row>
    <row r="3" spans="1:9" x14ac:dyDescent="0.25">
      <c r="A3" s="1">
        <v>2</v>
      </c>
      <c r="B3" s="1">
        <v>17</v>
      </c>
      <c r="C3" s="1">
        <v>31</v>
      </c>
      <c r="D3" s="6">
        <v>0.23</v>
      </c>
      <c r="E3" s="2">
        <v>2.4E-2</v>
      </c>
      <c r="F3" s="1">
        <v>0.45</v>
      </c>
      <c r="G3" s="3">
        <v>0.26</v>
      </c>
      <c r="H3" s="3">
        <v>0.34</v>
      </c>
      <c r="I3" s="3">
        <v>0.39999999999999991</v>
      </c>
    </row>
    <row r="4" spans="1:9" x14ac:dyDescent="0.25">
      <c r="A4" s="1">
        <v>3</v>
      </c>
      <c r="B4" s="1">
        <v>12</v>
      </c>
      <c r="C4" s="1">
        <v>55</v>
      </c>
      <c r="D4" s="1" t="s">
        <v>9</v>
      </c>
      <c r="E4" s="2">
        <v>0.02</v>
      </c>
      <c r="F4" s="1">
        <v>0.45</v>
      </c>
      <c r="G4" s="3">
        <v>0.19</v>
      </c>
      <c r="H4" s="3">
        <v>0.44</v>
      </c>
      <c r="I4" s="3">
        <v>0.37000000000000005</v>
      </c>
    </row>
    <row r="5" spans="1:9" x14ac:dyDescent="0.25">
      <c r="A5" s="1">
        <v>4</v>
      </c>
      <c r="B5" s="1">
        <v>7</v>
      </c>
      <c r="C5" s="1">
        <v>58</v>
      </c>
      <c r="D5" s="1" t="s">
        <v>10</v>
      </c>
      <c r="E5" s="2">
        <v>2.4E-2</v>
      </c>
      <c r="F5" s="1">
        <v>0.33</v>
      </c>
      <c r="G5" s="3">
        <v>0.25</v>
      </c>
      <c r="H5" s="3">
        <v>0.3</v>
      </c>
      <c r="I5" s="3">
        <v>0.44999999999999996</v>
      </c>
    </row>
    <row r="6" spans="1:9" x14ac:dyDescent="0.25">
      <c r="A6" s="1">
        <v>5</v>
      </c>
      <c r="B6" s="1">
        <v>14</v>
      </c>
      <c r="C6" s="1">
        <v>60</v>
      </c>
      <c r="D6" s="1" t="s">
        <v>11</v>
      </c>
      <c r="E6" s="2">
        <v>2.8000000000000001E-2</v>
      </c>
      <c r="F6" s="1">
        <v>0.45</v>
      </c>
      <c r="G6" s="3">
        <v>0.2</v>
      </c>
      <c r="H6" s="3">
        <v>0.36</v>
      </c>
      <c r="I6" s="3">
        <v>0.44</v>
      </c>
    </row>
    <row r="7" spans="1:9" x14ac:dyDescent="0.25">
      <c r="A7" s="1">
        <v>6</v>
      </c>
      <c r="B7" s="1">
        <v>12</v>
      </c>
      <c r="C7" s="1">
        <v>32</v>
      </c>
      <c r="D7" s="6">
        <v>0.25</v>
      </c>
      <c r="E7" s="2">
        <v>2.3E-2</v>
      </c>
      <c r="F7" s="1">
        <v>0.45</v>
      </c>
      <c r="G7" s="3">
        <v>0.33</v>
      </c>
      <c r="H7" s="3">
        <v>0.39</v>
      </c>
      <c r="I7" s="3">
        <v>0.27999999999999997</v>
      </c>
    </row>
    <row r="8" spans="1:9" x14ac:dyDescent="0.25">
      <c r="A8" s="1">
        <v>7</v>
      </c>
      <c r="B8" s="1">
        <v>18</v>
      </c>
      <c r="C8" s="1">
        <v>48</v>
      </c>
      <c r="D8" s="6">
        <v>0.26</v>
      </c>
      <c r="E8" s="2">
        <v>2.4E-2</v>
      </c>
      <c r="F8" s="1">
        <v>0.45</v>
      </c>
      <c r="G8" s="3">
        <v>0.23</v>
      </c>
      <c r="H8" s="3">
        <v>0.38</v>
      </c>
      <c r="I8" s="3">
        <v>0.39</v>
      </c>
    </row>
    <row r="9" spans="1:9" x14ac:dyDescent="0.25">
      <c r="A9" s="1">
        <v>8</v>
      </c>
      <c r="B9" s="1">
        <v>14</v>
      </c>
      <c r="C9" s="1">
        <v>30</v>
      </c>
      <c r="D9" s="6">
        <v>0.23</v>
      </c>
      <c r="E9" s="2">
        <v>1.7000000000000001E-2</v>
      </c>
      <c r="F9" s="1">
        <v>0.45</v>
      </c>
      <c r="G9" s="3">
        <v>0.32</v>
      </c>
      <c r="H9" s="3">
        <v>0.21</v>
      </c>
      <c r="I9" s="3">
        <v>0.47000000000000003</v>
      </c>
    </row>
    <row r="10" spans="1:9" x14ac:dyDescent="0.25">
      <c r="A10" s="1">
        <v>9</v>
      </c>
      <c r="B10" s="1">
        <v>13</v>
      </c>
      <c r="C10" s="1">
        <v>39</v>
      </c>
      <c r="D10" s="1" t="s">
        <v>11</v>
      </c>
      <c r="E10" s="2">
        <v>2.8000000000000001E-2</v>
      </c>
      <c r="F10" s="1">
        <v>0.45</v>
      </c>
      <c r="G10" s="3">
        <v>0.23</v>
      </c>
      <c r="H10" s="3">
        <v>0.25</v>
      </c>
      <c r="I10" s="3">
        <v>0.52</v>
      </c>
    </row>
    <row r="11" spans="1:9" x14ac:dyDescent="0.25">
      <c r="A11" s="1">
        <v>10</v>
      </c>
      <c r="B11" s="1">
        <v>18</v>
      </c>
      <c r="C11" s="1">
        <v>47</v>
      </c>
      <c r="D11" s="1" t="s">
        <v>11</v>
      </c>
      <c r="E11" s="2">
        <v>2.7E-2</v>
      </c>
      <c r="F11" s="1">
        <v>0.45</v>
      </c>
      <c r="G11" s="3">
        <v>0.16</v>
      </c>
      <c r="H11" s="3">
        <v>0.34</v>
      </c>
      <c r="I11" s="3">
        <v>0.49999999999999989</v>
      </c>
    </row>
    <row r="12" spans="1:9" x14ac:dyDescent="0.25">
      <c r="A12" s="1">
        <v>11</v>
      </c>
      <c r="B12" s="1">
        <v>10</v>
      </c>
      <c r="C12" s="1">
        <v>54</v>
      </c>
      <c r="D12" s="6">
        <v>0.27</v>
      </c>
      <c r="E12" s="2">
        <v>3.6999999999999998E-2</v>
      </c>
      <c r="F12" s="1">
        <v>0.33</v>
      </c>
      <c r="G12" s="3">
        <v>0.31</v>
      </c>
      <c r="H12" s="3">
        <v>0.23</v>
      </c>
      <c r="I12" s="3">
        <v>0.46</v>
      </c>
    </row>
    <row r="13" spans="1:9" x14ac:dyDescent="0.25">
      <c r="A13" s="1">
        <v>12</v>
      </c>
      <c r="B13" s="1">
        <v>19</v>
      </c>
      <c r="C13" s="1">
        <v>54</v>
      </c>
      <c r="D13" s="6">
        <v>0.27</v>
      </c>
      <c r="E13" s="2">
        <v>3.7999999999999999E-2</v>
      </c>
      <c r="F13" s="1">
        <v>0.45</v>
      </c>
      <c r="G13" s="3">
        <v>0.22</v>
      </c>
      <c r="H13" s="3">
        <v>0.24</v>
      </c>
      <c r="I13" s="3">
        <v>0.54</v>
      </c>
    </row>
    <row r="14" spans="1:9" x14ac:dyDescent="0.25">
      <c r="A14" s="1">
        <v>13</v>
      </c>
      <c r="B14" s="1">
        <v>6</v>
      </c>
      <c r="C14" s="1">
        <v>46</v>
      </c>
      <c r="D14" s="1" t="s">
        <v>12</v>
      </c>
      <c r="E14" s="2">
        <v>0.01</v>
      </c>
      <c r="F14" s="1">
        <v>0.33</v>
      </c>
      <c r="G14" s="3">
        <v>0.16</v>
      </c>
      <c r="H14" s="3">
        <v>0.45</v>
      </c>
      <c r="I14" s="3">
        <v>0.39</v>
      </c>
    </row>
    <row r="15" spans="1:9" x14ac:dyDescent="0.25">
      <c r="A15" s="1">
        <v>14</v>
      </c>
      <c r="B15" s="1">
        <v>11</v>
      </c>
      <c r="C15" s="1">
        <v>35</v>
      </c>
      <c r="D15" s="1" t="s">
        <v>13</v>
      </c>
      <c r="E15" s="2">
        <v>2.5000000000000001E-2</v>
      </c>
      <c r="F15" s="1">
        <v>0.45</v>
      </c>
      <c r="G15" s="3">
        <v>0.22</v>
      </c>
      <c r="H15" s="3">
        <v>0.32</v>
      </c>
      <c r="I15" s="3">
        <v>0.45999999999999996</v>
      </c>
    </row>
    <row r="16" spans="1:9" x14ac:dyDescent="0.25">
      <c r="A16" s="1">
        <v>15</v>
      </c>
      <c r="B16" s="1">
        <v>16</v>
      </c>
      <c r="C16" s="1">
        <v>36</v>
      </c>
      <c r="D16" s="1" t="s">
        <v>13</v>
      </c>
      <c r="E16" s="2">
        <v>2.3E-2</v>
      </c>
      <c r="F16" s="1">
        <v>0.45</v>
      </c>
      <c r="G16" s="3">
        <v>0.17</v>
      </c>
      <c r="H16" s="3">
        <v>0.3</v>
      </c>
      <c r="I16" s="3">
        <v>0.52999999999999992</v>
      </c>
    </row>
    <row r="17" spans="1:9" x14ac:dyDescent="0.25">
      <c r="A17" s="1">
        <v>16</v>
      </c>
      <c r="B17" s="1">
        <v>17</v>
      </c>
      <c r="C17" s="1">
        <v>49</v>
      </c>
      <c r="D17" s="1" t="s">
        <v>14</v>
      </c>
      <c r="E17" s="2">
        <v>2.8000000000000001E-2</v>
      </c>
      <c r="F17" s="1">
        <v>0.45</v>
      </c>
      <c r="G17" s="3">
        <v>0.3</v>
      </c>
      <c r="H17" s="3">
        <v>0.43</v>
      </c>
      <c r="I17" s="3">
        <v>0.27000000000000007</v>
      </c>
    </row>
    <row r="18" spans="1:9" x14ac:dyDescent="0.25">
      <c r="A18" s="1">
        <v>17</v>
      </c>
      <c r="B18" s="1">
        <v>9</v>
      </c>
      <c r="C18" s="1">
        <v>60</v>
      </c>
      <c r="D18" s="6">
        <v>0.21</v>
      </c>
      <c r="E18" s="2">
        <v>1.7000000000000001E-2</v>
      </c>
      <c r="F18" s="1">
        <v>0.33</v>
      </c>
      <c r="G18" s="3">
        <v>0.31</v>
      </c>
      <c r="H18" s="3">
        <v>0.28999999999999998</v>
      </c>
      <c r="I18" s="3">
        <v>0.39999999999999997</v>
      </c>
    </row>
    <row r="19" spans="1:9" x14ac:dyDescent="0.25">
      <c r="A19" s="1">
        <v>18</v>
      </c>
      <c r="B19" s="1">
        <v>14</v>
      </c>
      <c r="C19" s="1">
        <v>46</v>
      </c>
      <c r="D19" s="6">
        <v>0.28000000000000003</v>
      </c>
      <c r="E19" s="2">
        <v>3.6999999999999998E-2</v>
      </c>
      <c r="F19" s="1">
        <v>0.45</v>
      </c>
      <c r="G19" s="3">
        <v>0.33</v>
      </c>
      <c r="H19" s="3">
        <v>0.27</v>
      </c>
      <c r="I19" s="3">
        <v>0.39999999999999997</v>
      </c>
    </row>
    <row r="20" spans="1:9" x14ac:dyDescent="0.25">
      <c r="A20" s="1">
        <v>19</v>
      </c>
      <c r="B20" s="1">
        <v>10</v>
      </c>
      <c r="C20" s="1">
        <v>58</v>
      </c>
      <c r="D20" s="6">
        <v>0.26</v>
      </c>
      <c r="E20" s="2">
        <v>2.9000000000000001E-2</v>
      </c>
      <c r="F20" s="1">
        <v>0.33</v>
      </c>
      <c r="G20" s="3">
        <v>0.19</v>
      </c>
      <c r="H20" s="3">
        <v>0.37</v>
      </c>
      <c r="I20" s="3">
        <v>0.44</v>
      </c>
    </row>
    <row r="21" spans="1:9" x14ac:dyDescent="0.25">
      <c r="A21" s="1">
        <v>20</v>
      </c>
      <c r="B21" s="1">
        <v>5</v>
      </c>
      <c r="C21" s="1">
        <v>33</v>
      </c>
      <c r="D21" s="6">
        <v>0.19</v>
      </c>
      <c r="E21" s="2">
        <v>1.0999999999999999E-2</v>
      </c>
      <c r="F21" s="1">
        <v>0.33</v>
      </c>
      <c r="G21" s="3">
        <v>0.16</v>
      </c>
      <c r="H21" s="3">
        <v>0.28000000000000003</v>
      </c>
      <c r="I21" s="3">
        <v>0.55999999999999994</v>
      </c>
    </row>
    <row r="22" spans="1:9" x14ac:dyDescent="0.25">
      <c r="A22" s="1">
        <v>21</v>
      </c>
      <c r="B22" s="1">
        <v>7</v>
      </c>
      <c r="C22" s="1">
        <v>28</v>
      </c>
      <c r="D22" s="1" t="s">
        <v>15</v>
      </c>
      <c r="E22" s="2">
        <v>3.3000000000000002E-2</v>
      </c>
      <c r="F22" s="1">
        <v>0.33</v>
      </c>
      <c r="G22" s="3">
        <v>0.35</v>
      </c>
      <c r="H22" s="3">
        <v>0.35</v>
      </c>
      <c r="I22" s="3">
        <v>0.30000000000000004</v>
      </c>
    </row>
    <row r="23" spans="1:9" x14ac:dyDescent="0.25">
      <c r="A23" s="1">
        <v>22</v>
      </c>
      <c r="B23" s="1">
        <v>6</v>
      </c>
      <c r="C23" s="1">
        <v>32</v>
      </c>
      <c r="D23" s="1" t="s">
        <v>12</v>
      </c>
      <c r="E23" s="2">
        <v>1.2E-2</v>
      </c>
      <c r="F23" s="1">
        <v>0.33</v>
      </c>
      <c r="G23" s="3">
        <v>0.35</v>
      </c>
      <c r="H23" s="3">
        <v>0.3</v>
      </c>
      <c r="I23" s="3">
        <v>0.35</v>
      </c>
    </row>
    <row r="24" spans="1:9" x14ac:dyDescent="0.25">
      <c r="A24" s="1">
        <v>23</v>
      </c>
      <c r="B24" s="1">
        <v>8</v>
      </c>
      <c r="C24" s="1">
        <v>36</v>
      </c>
      <c r="D24" s="6">
        <v>0.18</v>
      </c>
      <c r="E24" s="2">
        <v>1.2E-2</v>
      </c>
      <c r="F24" s="1">
        <v>0.33</v>
      </c>
      <c r="G24" s="3">
        <v>0.15</v>
      </c>
      <c r="H24" s="3">
        <v>0.3</v>
      </c>
      <c r="I24" s="3">
        <v>0.54999999999999993</v>
      </c>
    </row>
    <row r="25" spans="1:9" x14ac:dyDescent="0.25">
      <c r="A25" s="1">
        <v>24</v>
      </c>
      <c r="B25" s="1">
        <v>3</v>
      </c>
      <c r="C25" s="1">
        <v>21</v>
      </c>
      <c r="D25" s="1" t="s">
        <v>16</v>
      </c>
      <c r="E25" s="2">
        <v>1.7999999999999999E-2</v>
      </c>
      <c r="F25" s="1">
        <v>0.33</v>
      </c>
      <c r="G25" s="3">
        <v>0.24</v>
      </c>
      <c r="H25" s="3">
        <v>0.37</v>
      </c>
      <c r="I25" s="3">
        <v>0.39</v>
      </c>
    </row>
    <row r="26" spans="1:9" x14ac:dyDescent="0.25">
      <c r="A26" s="1">
        <v>25</v>
      </c>
      <c r="B26" s="1">
        <v>7</v>
      </c>
      <c r="C26" s="1">
        <v>10</v>
      </c>
      <c r="D26" s="6">
        <v>0.19</v>
      </c>
      <c r="E26" s="2">
        <v>1.4E-2</v>
      </c>
      <c r="F26" s="1">
        <v>0.33</v>
      </c>
      <c r="G26" s="3">
        <v>0.26</v>
      </c>
      <c r="H26" s="3">
        <v>0.25</v>
      </c>
      <c r="I26" s="3">
        <v>0.49</v>
      </c>
    </row>
    <row r="27" spans="1:9" x14ac:dyDescent="0.25">
      <c r="A27" s="1">
        <v>26</v>
      </c>
      <c r="B27" s="1">
        <v>8</v>
      </c>
      <c r="C27" s="1">
        <v>10</v>
      </c>
      <c r="D27" s="6">
        <v>0.24</v>
      </c>
      <c r="E27" s="2">
        <v>3.6999999999999998E-2</v>
      </c>
      <c r="F27" s="1">
        <v>0.33</v>
      </c>
      <c r="G27" s="3">
        <v>0.24</v>
      </c>
      <c r="H27" s="3">
        <v>0.37</v>
      </c>
      <c r="I27" s="3">
        <v>0.39</v>
      </c>
    </row>
    <row r="28" spans="1:9" x14ac:dyDescent="0.25">
      <c r="A28" s="1">
        <v>27</v>
      </c>
      <c r="B28" s="1">
        <v>3</v>
      </c>
      <c r="C28" s="1">
        <v>18</v>
      </c>
      <c r="D28" s="6">
        <v>0.18</v>
      </c>
      <c r="E28" s="2">
        <v>1.4E-2</v>
      </c>
      <c r="F28" s="1">
        <v>0.33</v>
      </c>
      <c r="G28" s="3">
        <v>0.35</v>
      </c>
      <c r="H28" s="3">
        <v>0.27</v>
      </c>
      <c r="I28" s="3">
        <v>0.38</v>
      </c>
    </row>
    <row r="29" spans="1:9" x14ac:dyDescent="0.25">
      <c r="A29" s="1">
        <v>28</v>
      </c>
      <c r="B29" s="1">
        <v>9</v>
      </c>
      <c r="C29" s="1">
        <v>18</v>
      </c>
      <c r="D29" s="6">
        <v>0.23</v>
      </c>
      <c r="E29" s="2">
        <v>3.5999999999999997E-2</v>
      </c>
      <c r="F29" s="1">
        <v>0.33</v>
      </c>
      <c r="G29" s="3">
        <v>0.32</v>
      </c>
      <c r="H29" s="3">
        <v>0.41</v>
      </c>
      <c r="I29" s="3">
        <v>0.27000000000000007</v>
      </c>
    </row>
    <row r="30" spans="1:9" x14ac:dyDescent="0.25">
      <c r="A30" s="1">
        <v>29</v>
      </c>
      <c r="B30" s="1">
        <v>3</v>
      </c>
      <c r="C30" s="1">
        <v>21</v>
      </c>
      <c r="D30" s="6">
        <v>0.23</v>
      </c>
      <c r="E30" s="2">
        <v>3.5000000000000003E-2</v>
      </c>
      <c r="F30" s="1">
        <v>0.33</v>
      </c>
      <c r="G30" s="3">
        <v>0.15</v>
      </c>
      <c r="H30" s="3">
        <v>0.22</v>
      </c>
      <c r="I30" s="3">
        <v>0.63</v>
      </c>
    </row>
    <row r="31" spans="1:9" x14ac:dyDescent="0.25">
      <c r="A31" s="1">
        <v>30</v>
      </c>
      <c r="B31" s="1">
        <v>11</v>
      </c>
      <c r="C31" s="1">
        <v>29</v>
      </c>
      <c r="D31" s="1" t="s">
        <v>15</v>
      </c>
      <c r="E31" s="2">
        <v>0.04</v>
      </c>
      <c r="F31" s="1">
        <v>0.45</v>
      </c>
      <c r="G31" s="3">
        <v>0.33</v>
      </c>
      <c r="H31" s="3">
        <v>0.21</v>
      </c>
      <c r="I31" s="3">
        <v>0.46</v>
      </c>
    </row>
    <row r="32" spans="1:9" x14ac:dyDescent="0.25">
      <c r="A32" s="1">
        <v>31</v>
      </c>
      <c r="B32" s="1">
        <v>12</v>
      </c>
      <c r="C32" s="1">
        <v>32</v>
      </c>
      <c r="D32" s="1" t="s">
        <v>16</v>
      </c>
      <c r="E32" s="2">
        <v>3.2000000000000001E-2</v>
      </c>
      <c r="F32" s="1">
        <v>0.45</v>
      </c>
      <c r="G32" s="3">
        <v>0.31</v>
      </c>
      <c r="H32" s="3">
        <v>0.38</v>
      </c>
      <c r="I32" s="3">
        <v>0.31</v>
      </c>
    </row>
    <row r="33" spans="1:9" x14ac:dyDescent="0.25">
      <c r="A33" s="1">
        <v>32</v>
      </c>
      <c r="B33" s="1">
        <v>12</v>
      </c>
      <c r="C33" s="1">
        <v>34</v>
      </c>
      <c r="D33" s="1" t="s">
        <v>12</v>
      </c>
      <c r="E33" s="2">
        <v>2.5000000000000001E-2</v>
      </c>
      <c r="F33" s="1">
        <v>0.45</v>
      </c>
      <c r="G33" s="3">
        <v>0.25</v>
      </c>
      <c r="H33" s="3">
        <v>0.22</v>
      </c>
      <c r="I33" s="3">
        <v>0.53</v>
      </c>
    </row>
    <row r="34" spans="1:9" x14ac:dyDescent="0.25">
      <c r="A34" s="1">
        <v>33</v>
      </c>
      <c r="B34" s="1">
        <v>4</v>
      </c>
      <c r="C34" s="1">
        <v>11</v>
      </c>
      <c r="D34" s="1" t="s">
        <v>12</v>
      </c>
      <c r="E34" s="2">
        <v>0.02</v>
      </c>
      <c r="F34" s="1">
        <v>0.33</v>
      </c>
      <c r="G34" s="3">
        <v>0.32</v>
      </c>
      <c r="H34" s="3">
        <v>0.25</v>
      </c>
      <c r="I34" s="3">
        <v>0.43</v>
      </c>
    </row>
    <row r="35" spans="1:9" x14ac:dyDescent="0.25">
      <c r="A35" s="1">
        <v>34</v>
      </c>
      <c r="B35" s="1">
        <v>12</v>
      </c>
      <c r="C35" s="1">
        <v>25</v>
      </c>
      <c r="D35" s="1" t="s">
        <v>16</v>
      </c>
      <c r="E35" s="2">
        <v>2.8000000000000001E-2</v>
      </c>
      <c r="F35" s="1">
        <v>0.45</v>
      </c>
      <c r="G35" s="3">
        <v>0.2</v>
      </c>
      <c r="H35" s="3">
        <v>0.2</v>
      </c>
      <c r="I35" s="3">
        <v>0.60000000000000009</v>
      </c>
    </row>
    <row r="36" spans="1:9" x14ac:dyDescent="0.25">
      <c r="A36" s="1">
        <v>35</v>
      </c>
      <c r="B36" s="1">
        <v>7</v>
      </c>
      <c r="C36" s="1">
        <v>12</v>
      </c>
      <c r="D36" s="1" t="s">
        <v>12</v>
      </c>
      <c r="E36" s="2">
        <v>2.1999999999999999E-2</v>
      </c>
      <c r="F36" s="1">
        <v>0.33</v>
      </c>
      <c r="G36" s="3">
        <v>0.33</v>
      </c>
      <c r="H36" s="3">
        <v>0.38</v>
      </c>
      <c r="I36" s="3">
        <v>0.28999999999999998</v>
      </c>
    </row>
    <row r="37" spans="1:9" x14ac:dyDescent="0.25">
      <c r="A37" s="1">
        <v>36</v>
      </c>
      <c r="B37" s="1">
        <v>11</v>
      </c>
      <c r="C37" s="1">
        <v>26</v>
      </c>
      <c r="D37" s="6">
        <v>0.21</v>
      </c>
      <c r="E37" s="2">
        <v>2.5999999999999999E-2</v>
      </c>
      <c r="F37" s="1">
        <v>0.45</v>
      </c>
      <c r="G37" s="3">
        <v>0.28000000000000003</v>
      </c>
      <c r="H37" s="3">
        <v>0.26</v>
      </c>
      <c r="I37" s="3">
        <v>0.45999999999999996</v>
      </c>
    </row>
    <row r="38" spans="1:9" x14ac:dyDescent="0.25">
      <c r="A38" s="1">
        <v>37</v>
      </c>
      <c r="B38" s="1">
        <v>3</v>
      </c>
      <c r="C38" s="1">
        <v>24</v>
      </c>
      <c r="D38" s="6">
        <v>0.23</v>
      </c>
      <c r="E38" s="2">
        <v>3.3000000000000002E-2</v>
      </c>
      <c r="F38" s="1">
        <v>0.33</v>
      </c>
      <c r="G38" s="3">
        <v>0.32</v>
      </c>
      <c r="H38" s="3">
        <v>0.45</v>
      </c>
      <c r="I38" s="3">
        <v>0.23000000000000004</v>
      </c>
    </row>
    <row r="39" spans="1:9" x14ac:dyDescent="0.25">
      <c r="A39" s="1">
        <v>38</v>
      </c>
      <c r="B39" s="1">
        <v>4</v>
      </c>
      <c r="C39" s="1">
        <v>16</v>
      </c>
      <c r="D39" s="6">
        <v>0.25</v>
      </c>
      <c r="E39" s="2">
        <v>3.3000000000000002E-2</v>
      </c>
      <c r="F39" s="1">
        <v>0.33</v>
      </c>
      <c r="G39" s="3">
        <v>0.27</v>
      </c>
      <c r="H39" s="3">
        <v>0.32</v>
      </c>
      <c r="I39" s="3">
        <v>0.40999999999999992</v>
      </c>
    </row>
    <row r="40" spans="1:9" x14ac:dyDescent="0.25">
      <c r="A40" s="1">
        <v>39</v>
      </c>
      <c r="B40" s="1">
        <v>5</v>
      </c>
      <c r="C40" s="1">
        <v>24</v>
      </c>
      <c r="D40" s="6">
        <v>0.24</v>
      </c>
      <c r="E40" s="2">
        <v>3.5999999999999997E-2</v>
      </c>
      <c r="F40" s="1">
        <v>0.33</v>
      </c>
      <c r="G40" s="3">
        <v>0.24</v>
      </c>
      <c r="H40" s="3">
        <v>0.21</v>
      </c>
      <c r="I40" s="3">
        <v>0.55000000000000004</v>
      </c>
    </row>
    <row r="41" spans="1:9" x14ac:dyDescent="0.25">
      <c r="A41" s="1">
        <v>40</v>
      </c>
      <c r="B41" s="1">
        <v>8</v>
      </c>
      <c r="C41" s="1">
        <v>28</v>
      </c>
      <c r="D41" s="6">
        <v>0.2</v>
      </c>
      <c r="E41" s="2">
        <v>2.1999999999999999E-2</v>
      </c>
      <c r="F41" s="1">
        <v>0.33</v>
      </c>
      <c r="G41" s="3">
        <v>0.35</v>
      </c>
      <c r="H41" s="3">
        <v>0.42</v>
      </c>
      <c r="I41" s="3">
        <v>0.23000000000000009</v>
      </c>
    </row>
    <row r="42" spans="1:9" x14ac:dyDescent="0.25">
      <c r="A42" s="1">
        <v>41</v>
      </c>
      <c r="B42" s="1">
        <v>10</v>
      </c>
      <c r="C42" s="1">
        <v>26</v>
      </c>
      <c r="D42" s="6">
        <v>0.24</v>
      </c>
      <c r="E42" s="2">
        <v>3.5999999999999997E-2</v>
      </c>
      <c r="F42" s="1">
        <v>0.33</v>
      </c>
      <c r="G42" s="3">
        <v>0.35</v>
      </c>
      <c r="H42" s="3">
        <v>0.38</v>
      </c>
      <c r="I42" s="3">
        <v>0.27</v>
      </c>
    </row>
    <row r="43" spans="1:9" x14ac:dyDescent="0.25">
      <c r="A43" s="1">
        <v>42</v>
      </c>
      <c r="B43" s="1">
        <v>4</v>
      </c>
      <c r="C43" s="1">
        <v>29</v>
      </c>
      <c r="D43" s="6">
        <v>0.25</v>
      </c>
      <c r="E43" s="2">
        <v>2.5000000000000001E-2</v>
      </c>
      <c r="F43" s="1">
        <v>0.33</v>
      </c>
      <c r="G43" s="3">
        <v>0.15</v>
      </c>
      <c r="H43" s="3">
        <v>0.41</v>
      </c>
      <c r="I43" s="3">
        <v>0.44000000000000006</v>
      </c>
    </row>
    <row r="44" spans="1:9" x14ac:dyDescent="0.25">
      <c r="A44" s="1">
        <v>43</v>
      </c>
      <c r="B44" s="1">
        <v>3</v>
      </c>
      <c r="C44" s="1">
        <v>19</v>
      </c>
      <c r="D44" s="6">
        <v>0.19</v>
      </c>
      <c r="E44" s="2">
        <v>1.4999999999999999E-2</v>
      </c>
      <c r="F44" s="1">
        <v>0.33</v>
      </c>
      <c r="G44" s="3">
        <v>0.21</v>
      </c>
      <c r="H44" s="3">
        <v>0.41</v>
      </c>
      <c r="I44" s="3">
        <v>0.38000000000000012</v>
      </c>
    </row>
    <row r="45" spans="1:9" x14ac:dyDescent="0.25">
      <c r="A45" s="1">
        <v>44</v>
      </c>
      <c r="B45" s="1">
        <v>4</v>
      </c>
      <c r="C45" s="1">
        <v>23</v>
      </c>
      <c r="D45" s="6">
        <v>0.21</v>
      </c>
      <c r="E45" s="2">
        <v>0.03</v>
      </c>
      <c r="F45" s="1">
        <v>0.33</v>
      </c>
      <c r="G45" s="3">
        <v>0.28000000000000003</v>
      </c>
      <c r="H45" s="3">
        <v>0.25</v>
      </c>
      <c r="I45" s="3">
        <v>0.47</v>
      </c>
    </row>
    <row r="46" spans="1:9" x14ac:dyDescent="0.25">
      <c r="A46" s="1">
        <v>45</v>
      </c>
      <c r="B46" s="1">
        <v>2</v>
      </c>
      <c r="C46" s="1">
        <v>29</v>
      </c>
      <c r="D46" s="6">
        <v>0.2</v>
      </c>
      <c r="E46" s="2">
        <v>2.1000000000000001E-2</v>
      </c>
      <c r="F46" s="1">
        <v>0.33</v>
      </c>
      <c r="G46" s="3">
        <v>0.2</v>
      </c>
      <c r="H46" s="3">
        <v>0.39</v>
      </c>
      <c r="I46" s="3">
        <v>0.41</v>
      </c>
    </row>
    <row r="47" spans="1:9" x14ac:dyDescent="0.25">
      <c r="A47" s="1">
        <v>46</v>
      </c>
      <c r="B47" s="1">
        <v>5</v>
      </c>
      <c r="C47" s="1">
        <v>5</v>
      </c>
      <c r="D47" s="1" t="s">
        <v>17</v>
      </c>
      <c r="E47" s="2">
        <v>3.6999999999999998E-2</v>
      </c>
      <c r="F47" s="1">
        <v>0.33</v>
      </c>
      <c r="G47" s="3">
        <v>0.28000000000000003</v>
      </c>
      <c r="H47" s="3">
        <v>0.42</v>
      </c>
      <c r="I47" s="3">
        <v>0.30000000000000004</v>
      </c>
    </row>
    <row r="48" spans="1:9" x14ac:dyDescent="0.25">
      <c r="A48" s="1">
        <v>47</v>
      </c>
      <c r="B48" s="1">
        <v>2</v>
      </c>
      <c r="C48" s="1">
        <v>4</v>
      </c>
      <c r="D48" s="1" t="s">
        <v>13</v>
      </c>
      <c r="E48" s="2">
        <v>2.4E-2</v>
      </c>
      <c r="F48" s="1">
        <v>0.33</v>
      </c>
      <c r="G48" s="3">
        <v>0.31</v>
      </c>
      <c r="H48" s="3">
        <v>0.21</v>
      </c>
      <c r="I48" s="3">
        <v>0.48000000000000004</v>
      </c>
    </row>
    <row r="49" spans="1:9" x14ac:dyDescent="0.25">
      <c r="A49" s="1">
        <v>48</v>
      </c>
      <c r="B49" s="1">
        <v>2</v>
      </c>
      <c r="C49" s="1">
        <v>5</v>
      </c>
      <c r="D49" s="1" t="s">
        <v>15</v>
      </c>
      <c r="E49" s="2">
        <v>1.4E-2</v>
      </c>
      <c r="F49" s="1">
        <v>0.33</v>
      </c>
      <c r="G49" s="3">
        <v>0.21</v>
      </c>
      <c r="H49" s="3">
        <v>0.43</v>
      </c>
      <c r="I49" s="3">
        <v>0.3600000000000001</v>
      </c>
    </row>
    <row r="50" spans="1:9" x14ac:dyDescent="0.25">
      <c r="A50" s="1">
        <v>49</v>
      </c>
      <c r="B50" s="1">
        <v>5</v>
      </c>
      <c r="C50" s="1">
        <v>4</v>
      </c>
      <c r="D50" s="1" t="s">
        <v>13</v>
      </c>
      <c r="E50" s="2">
        <v>2.1999999999999999E-2</v>
      </c>
      <c r="F50" s="1">
        <v>0.33</v>
      </c>
      <c r="G50" s="3">
        <v>0.18</v>
      </c>
      <c r="H50" s="3">
        <v>0.27</v>
      </c>
      <c r="I50" s="3">
        <v>0.55000000000000004</v>
      </c>
    </row>
    <row r="51" spans="1:9" x14ac:dyDescent="0.25">
      <c r="A51" s="1">
        <v>50</v>
      </c>
      <c r="B51" s="1">
        <v>4</v>
      </c>
      <c r="C51" s="1">
        <v>5</v>
      </c>
      <c r="D51" s="1" t="s">
        <v>15</v>
      </c>
      <c r="E51" s="2">
        <v>1.7999999999999999E-2</v>
      </c>
      <c r="F51" s="1">
        <v>0.33</v>
      </c>
      <c r="G51" s="3">
        <v>0.27</v>
      </c>
      <c r="H51" s="3">
        <v>0.22</v>
      </c>
      <c r="I51" s="3">
        <v>0.51</v>
      </c>
    </row>
    <row r="52" spans="1:9" x14ac:dyDescent="0.25">
      <c r="A52" s="1">
        <v>51</v>
      </c>
      <c r="B52" s="1">
        <v>3</v>
      </c>
      <c r="C52" s="1">
        <v>9</v>
      </c>
      <c r="D52" s="1" t="s">
        <v>14</v>
      </c>
      <c r="E52" s="2">
        <v>0.03</v>
      </c>
      <c r="F52" s="1">
        <v>0.33</v>
      </c>
      <c r="G52" s="3">
        <v>0.23</v>
      </c>
      <c r="H52" s="3">
        <v>0.36</v>
      </c>
      <c r="I52" s="3">
        <v>0.41000000000000003</v>
      </c>
    </row>
    <row r="53" spans="1:9" x14ac:dyDescent="0.25">
      <c r="A53" s="1">
        <v>52</v>
      </c>
      <c r="B53" s="1">
        <v>1</v>
      </c>
      <c r="C53" s="1">
        <v>8</v>
      </c>
      <c r="D53" s="1" t="s">
        <v>17</v>
      </c>
      <c r="E53" s="2">
        <v>3.4000000000000002E-2</v>
      </c>
      <c r="F53" s="1">
        <v>0.33</v>
      </c>
      <c r="G53" s="3">
        <v>0.26</v>
      </c>
      <c r="H53" s="3">
        <v>0.41</v>
      </c>
      <c r="I53" s="3">
        <v>0.33000000000000007</v>
      </c>
    </row>
    <row r="54" spans="1:9" x14ac:dyDescent="0.25">
      <c r="A54" s="1">
        <v>53</v>
      </c>
      <c r="B54" s="1">
        <v>1</v>
      </c>
      <c r="C54" s="1">
        <v>9</v>
      </c>
      <c r="D54" s="1" t="s">
        <v>15</v>
      </c>
      <c r="E54" s="2">
        <v>1.6E-2</v>
      </c>
      <c r="F54" s="1">
        <v>0.33</v>
      </c>
      <c r="G54" s="3">
        <v>0.24</v>
      </c>
      <c r="H54" s="3">
        <v>0.22</v>
      </c>
      <c r="I54" s="3">
        <v>0.54</v>
      </c>
    </row>
    <row r="55" spans="1:9" x14ac:dyDescent="0.25">
      <c r="A55" s="1">
        <v>54</v>
      </c>
      <c r="B55" s="1">
        <v>5</v>
      </c>
      <c r="C55" s="1">
        <v>8</v>
      </c>
      <c r="D55" s="1" t="s">
        <v>15</v>
      </c>
      <c r="E55" s="2">
        <v>1.2999999999999999E-2</v>
      </c>
      <c r="F55" s="1">
        <v>0.33</v>
      </c>
      <c r="G55" s="3">
        <v>0.33</v>
      </c>
      <c r="H55" s="3">
        <v>0.2</v>
      </c>
      <c r="I55" s="3">
        <v>0.47000000000000003</v>
      </c>
    </row>
    <row r="56" spans="1:9" x14ac:dyDescent="0.25">
      <c r="A56" s="1">
        <v>55</v>
      </c>
      <c r="B56" s="1">
        <v>4</v>
      </c>
      <c r="C56" s="1">
        <v>9</v>
      </c>
      <c r="D56" s="1" t="s">
        <v>15</v>
      </c>
      <c r="E56" s="2">
        <v>1.7999999999999999E-2</v>
      </c>
      <c r="F56" s="1">
        <v>0.33</v>
      </c>
      <c r="G56" s="3">
        <v>0.26</v>
      </c>
      <c r="H56" s="3">
        <v>0.28000000000000003</v>
      </c>
      <c r="I56" s="3">
        <v>0.45999999999999996</v>
      </c>
    </row>
    <row r="57" spans="1:9" x14ac:dyDescent="0.25">
      <c r="A57" s="1">
        <v>56</v>
      </c>
      <c r="B57" s="1">
        <v>1</v>
      </c>
      <c r="C57" s="1">
        <v>6</v>
      </c>
      <c r="D57" s="1" t="s">
        <v>15</v>
      </c>
      <c r="E57" s="2">
        <v>1.6E-2</v>
      </c>
      <c r="F57" s="1">
        <v>0.33</v>
      </c>
      <c r="G57" s="3">
        <v>0.21</v>
      </c>
      <c r="H57" s="3">
        <v>0.34</v>
      </c>
      <c r="I57" s="3">
        <v>0.44999999999999996</v>
      </c>
    </row>
    <row r="58" spans="1:9" x14ac:dyDescent="0.25">
      <c r="A58" s="1">
        <v>57</v>
      </c>
      <c r="B58" s="1">
        <v>5</v>
      </c>
      <c r="C58" s="1">
        <v>3</v>
      </c>
      <c r="D58" s="1" t="s">
        <v>17</v>
      </c>
      <c r="E58" s="2">
        <v>3.6999999999999998E-2</v>
      </c>
      <c r="F58" s="1">
        <v>0.33</v>
      </c>
      <c r="G58" s="3">
        <v>0.19</v>
      </c>
      <c r="H58" s="3">
        <v>0.41</v>
      </c>
      <c r="I58" s="3">
        <v>0.40000000000000008</v>
      </c>
    </row>
    <row r="59" spans="1:9" x14ac:dyDescent="0.25">
      <c r="A59" s="1">
        <v>58</v>
      </c>
      <c r="B59" s="1">
        <v>4</v>
      </c>
      <c r="C59" s="1">
        <v>8</v>
      </c>
      <c r="D59" s="1" t="s">
        <v>14</v>
      </c>
      <c r="E59" s="2">
        <v>3.1E-2</v>
      </c>
      <c r="F59" s="1">
        <v>0.33</v>
      </c>
      <c r="G59" s="3">
        <v>0.19</v>
      </c>
      <c r="H59" s="3">
        <v>0.2</v>
      </c>
      <c r="I59" s="3">
        <v>0.6100000000000001</v>
      </c>
    </row>
    <row r="60" spans="1:9" x14ac:dyDescent="0.25">
      <c r="A60" s="1">
        <v>59</v>
      </c>
      <c r="B60" s="1">
        <v>2</v>
      </c>
      <c r="C60" s="1">
        <v>6</v>
      </c>
      <c r="D60" s="1" t="s">
        <v>15</v>
      </c>
      <c r="E60" s="2">
        <v>1.4E-2</v>
      </c>
      <c r="F60" s="1">
        <v>0.33</v>
      </c>
      <c r="G60" s="3">
        <v>0.18</v>
      </c>
      <c r="H60" s="3">
        <v>0.43</v>
      </c>
      <c r="I60" s="3">
        <v>0.39000000000000007</v>
      </c>
    </row>
    <row r="61" spans="1:9" x14ac:dyDescent="0.25">
      <c r="A61" s="1">
        <v>60</v>
      </c>
      <c r="B61" s="1">
        <v>1</v>
      </c>
      <c r="C61" s="1">
        <v>9</v>
      </c>
      <c r="D61" s="1" t="s">
        <v>13</v>
      </c>
      <c r="E61" s="2">
        <v>2.1999999999999999E-2</v>
      </c>
      <c r="F61" s="1">
        <v>0.33</v>
      </c>
      <c r="G61" s="3">
        <v>0.26</v>
      </c>
      <c r="H61" s="3">
        <v>0.37</v>
      </c>
      <c r="I61" s="3">
        <v>0.37</v>
      </c>
    </row>
    <row r="62" spans="1:9" x14ac:dyDescent="0.25">
      <c r="A62" s="1">
        <v>61</v>
      </c>
      <c r="B62" s="1">
        <v>1</v>
      </c>
      <c r="C62" s="1">
        <v>3</v>
      </c>
      <c r="D62" s="1" t="s">
        <v>14</v>
      </c>
      <c r="E62" s="2">
        <v>3.1E-2</v>
      </c>
      <c r="F62" s="1">
        <v>0.33</v>
      </c>
      <c r="G62" s="3">
        <v>0.2</v>
      </c>
      <c r="H62" s="3">
        <v>0.25</v>
      </c>
      <c r="I62" s="3">
        <v>0.55000000000000004</v>
      </c>
    </row>
    <row r="63" spans="1:9" x14ac:dyDescent="0.25">
      <c r="A63" s="1">
        <v>62</v>
      </c>
      <c r="B63" s="1">
        <v>3</v>
      </c>
      <c r="C63" s="1">
        <v>4</v>
      </c>
      <c r="D63" s="1" t="s">
        <v>13</v>
      </c>
      <c r="E63" s="2">
        <v>2.7E-2</v>
      </c>
      <c r="F63" s="1">
        <v>0.33</v>
      </c>
      <c r="G63" s="3">
        <v>0.23</v>
      </c>
      <c r="H63" s="3">
        <v>0.3</v>
      </c>
      <c r="I63" s="3">
        <v>0.47</v>
      </c>
    </row>
    <row r="64" spans="1:9" x14ac:dyDescent="0.25">
      <c r="A64" s="1">
        <v>63</v>
      </c>
      <c r="B64" s="1">
        <v>4</v>
      </c>
      <c r="C64" s="1">
        <v>8</v>
      </c>
      <c r="D64" s="1" t="s">
        <v>15</v>
      </c>
      <c r="E64" s="2">
        <v>1.0999999999999999E-2</v>
      </c>
      <c r="F64" s="1">
        <v>0.33</v>
      </c>
      <c r="G64" s="3">
        <v>0.24</v>
      </c>
      <c r="H64" s="3">
        <v>0.36</v>
      </c>
      <c r="I64" s="3">
        <v>0.4</v>
      </c>
    </row>
    <row r="65" spans="1:9" x14ac:dyDescent="0.25">
      <c r="A65" s="1">
        <v>64</v>
      </c>
      <c r="B65" s="1">
        <v>3</v>
      </c>
      <c r="C65" s="1">
        <v>3</v>
      </c>
      <c r="D65" s="1" t="s">
        <v>14</v>
      </c>
      <c r="E65" s="2">
        <v>3.2000000000000001E-2</v>
      </c>
      <c r="F65" s="1">
        <v>0.33</v>
      </c>
      <c r="G65" s="3">
        <v>0.24</v>
      </c>
      <c r="H65" s="3">
        <v>0.36</v>
      </c>
      <c r="I65" s="3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1A82-26A2-47D5-AC68-AD872EDAF321}">
  <dimension ref="A1:J87"/>
  <sheetViews>
    <sheetView topLeftCell="A51" workbookViewId="0">
      <selection activeCell="O9" sqref="O9"/>
    </sheetView>
  </sheetViews>
  <sheetFormatPr baseColWidth="10" defaultRowHeight="15" x14ac:dyDescent="0.25"/>
  <cols>
    <col min="1" max="1" width="14.28515625" bestFit="1" customWidth="1"/>
    <col min="2" max="2" width="15.140625" bestFit="1" customWidth="1"/>
    <col min="3" max="3" width="14.85546875" bestFit="1" customWidth="1"/>
    <col min="4" max="4" width="11.7109375" bestFit="1" customWidth="1"/>
  </cols>
  <sheetData>
    <row r="1" spans="1:10" ht="60" x14ac:dyDescent="0.25">
      <c r="A1" s="4" t="s">
        <v>0</v>
      </c>
      <c r="B1" s="5" t="s">
        <v>22</v>
      </c>
      <c r="C1" s="5" t="s">
        <v>23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18</v>
      </c>
      <c r="J1" s="7" t="s">
        <v>19</v>
      </c>
    </row>
    <row r="2" spans="1:10" x14ac:dyDescent="0.25">
      <c r="A2" s="1">
        <v>1</v>
      </c>
      <c r="B2" s="1">
        <v>5</v>
      </c>
      <c r="C2" s="1">
        <v>1</v>
      </c>
      <c r="D2" s="2">
        <v>1.7000000000000001E-2</v>
      </c>
      <c r="E2" s="1">
        <v>0.67</v>
      </c>
      <c r="F2" s="3">
        <v>0.3</v>
      </c>
      <c r="G2" s="1">
        <v>0.37</v>
      </c>
      <c r="H2" s="3">
        <v>0.33</v>
      </c>
      <c r="I2" s="1">
        <v>0.04</v>
      </c>
      <c r="J2" t="s">
        <v>20</v>
      </c>
    </row>
    <row r="3" spans="1:10" x14ac:dyDescent="0.25">
      <c r="A3" s="1">
        <v>2</v>
      </c>
      <c r="B3" s="1">
        <v>5</v>
      </c>
      <c r="C3" s="1">
        <v>4</v>
      </c>
      <c r="D3" s="2">
        <v>3.5999999999999997E-2</v>
      </c>
      <c r="E3" s="1">
        <v>0.75</v>
      </c>
      <c r="F3" s="3">
        <v>0.34</v>
      </c>
      <c r="G3" s="1">
        <v>0.25</v>
      </c>
      <c r="H3" s="3">
        <v>0.41</v>
      </c>
      <c r="I3" s="1">
        <v>0.05</v>
      </c>
      <c r="J3" t="s">
        <v>21</v>
      </c>
    </row>
    <row r="4" spans="1:10" x14ac:dyDescent="0.25">
      <c r="A4" s="1">
        <v>3</v>
      </c>
      <c r="B4" s="1">
        <v>5</v>
      </c>
      <c r="C4" s="1">
        <v>3</v>
      </c>
      <c r="D4" s="2">
        <v>2.7E-2</v>
      </c>
      <c r="E4" s="1">
        <v>0.75</v>
      </c>
      <c r="F4" s="3">
        <v>0.3</v>
      </c>
      <c r="G4" s="1">
        <v>0.44</v>
      </c>
      <c r="H4" s="3">
        <v>0.26000000000000006</v>
      </c>
      <c r="I4" s="1">
        <v>0.05</v>
      </c>
    </row>
    <row r="5" spans="1:10" x14ac:dyDescent="0.25">
      <c r="A5" s="1">
        <v>4</v>
      </c>
      <c r="B5" s="1">
        <v>5</v>
      </c>
      <c r="C5" s="1">
        <v>2</v>
      </c>
      <c r="D5" s="2">
        <v>5.6000000000000001E-2</v>
      </c>
      <c r="E5" s="1">
        <v>0.67</v>
      </c>
      <c r="F5" s="3">
        <v>0.28999999999999998</v>
      </c>
      <c r="G5" s="1">
        <v>0.33</v>
      </c>
      <c r="H5" s="3">
        <v>0.37999999999999995</v>
      </c>
      <c r="I5" s="1">
        <v>0.05</v>
      </c>
    </row>
    <row r="6" spans="1:10" x14ac:dyDescent="0.25">
      <c r="A6" s="1">
        <v>5</v>
      </c>
      <c r="B6" s="1">
        <v>10</v>
      </c>
      <c r="C6" s="1">
        <v>7</v>
      </c>
      <c r="D6" s="2">
        <v>4.8000000000000001E-2</v>
      </c>
      <c r="E6" s="1">
        <v>0.75</v>
      </c>
      <c r="F6" s="3">
        <v>0.31</v>
      </c>
      <c r="G6" s="1">
        <v>0.38</v>
      </c>
      <c r="H6" s="3">
        <v>0.31</v>
      </c>
      <c r="I6" s="1">
        <v>0.05</v>
      </c>
    </row>
    <row r="7" spans="1:10" x14ac:dyDescent="0.25">
      <c r="A7" s="1">
        <v>6</v>
      </c>
      <c r="B7" s="1">
        <v>10</v>
      </c>
      <c r="C7" s="1">
        <v>8</v>
      </c>
      <c r="D7" s="2">
        <v>2.1999999999999999E-2</v>
      </c>
      <c r="E7" s="1">
        <v>0.75</v>
      </c>
      <c r="F7" s="3">
        <v>0.25</v>
      </c>
      <c r="G7" s="1">
        <v>0.26</v>
      </c>
      <c r="H7" s="3">
        <v>0.49</v>
      </c>
      <c r="I7" s="1">
        <v>0.04</v>
      </c>
    </row>
    <row r="8" spans="1:10" x14ac:dyDescent="0.25">
      <c r="A8" s="1">
        <v>7</v>
      </c>
      <c r="B8" s="1">
        <v>10</v>
      </c>
      <c r="C8" s="1">
        <v>10</v>
      </c>
      <c r="D8" s="2">
        <v>5.3999999999999999E-2</v>
      </c>
      <c r="E8" s="1">
        <v>0.75</v>
      </c>
      <c r="F8" s="3">
        <v>0.28000000000000003</v>
      </c>
      <c r="G8" s="1">
        <v>0.43</v>
      </c>
      <c r="H8" s="3">
        <v>0.29000000000000004</v>
      </c>
      <c r="I8" s="1">
        <v>0.05</v>
      </c>
    </row>
    <row r="9" spans="1:10" x14ac:dyDescent="0.25">
      <c r="A9" s="1">
        <v>8</v>
      </c>
      <c r="B9" s="1">
        <v>5</v>
      </c>
      <c r="C9" s="1">
        <v>3</v>
      </c>
      <c r="D9" s="2">
        <v>5.7000000000000002E-2</v>
      </c>
      <c r="E9" s="1">
        <v>0.75</v>
      </c>
      <c r="F9" s="3">
        <v>0.32</v>
      </c>
      <c r="G9" s="1">
        <v>0.28999999999999998</v>
      </c>
      <c r="H9" s="3">
        <v>0.38999999999999996</v>
      </c>
      <c r="I9" s="1">
        <v>0.05</v>
      </c>
    </row>
    <row r="10" spans="1:10" x14ac:dyDescent="0.25">
      <c r="A10" s="1">
        <v>9</v>
      </c>
      <c r="B10" s="1">
        <v>5</v>
      </c>
      <c r="C10" s="1">
        <v>2</v>
      </c>
      <c r="D10" s="2">
        <v>2.8000000000000001E-2</v>
      </c>
      <c r="E10" s="1">
        <v>0.67</v>
      </c>
      <c r="F10" s="3">
        <v>0.34</v>
      </c>
      <c r="G10" s="1">
        <v>0.32</v>
      </c>
      <c r="H10" s="3">
        <v>0.33999999999999991</v>
      </c>
      <c r="I10" s="1">
        <v>0.05</v>
      </c>
    </row>
    <row r="11" spans="1:10" x14ac:dyDescent="0.25">
      <c r="A11" s="1">
        <v>10</v>
      </c>
      <c r="B11" s="1">
        <v>10</v>
      </c>
      <c r="C11" s="1">
        <v>10</v>
      </c>
      <c r="D11" s="2">
        <v>5.6000000000000001E-2</v>
      </c>
      <c r="E11" s="1">
        <v>0.75</v>
      </c>
      <c r="F11" s="3">
        <v>0.27</v>
      </c>
      <c r="G11" s="1">
        <v>0.42</v>
      </c>
      <c r="H11" s="3">
        <v>0.31000000000000005</v>
      </c>
      <c r="I11" s="1">
        <v>0.05</v>
      </c>
    </row>
    <row r="12" spans="1:10" x14ac:dyDescent="0.25">
      <c r="A12" s="1">
        <v>11</v>
      </c>
      <c r="B12" s="1">
        <v>5</v>
      </c>
      <c r="C12" s="1">
        <v>1</v>
      </c>
      <c r="D12" s="2">
        <v>3.5999999999999997E-2</v>
      </c>
      <c r="E12" s="1">
        <v>0.67</v>
      </c>
      <c r="F12" s="3">
        <v>0.34</v>
      </c>
      <c r="G12" s="1">
        <v>0.45</v>
      </c>
      <c r="H12" s="3">
        <v>0.21000000000000002</v>
      </c>
      <c r="I12" s="1">
        <v>0.05</v>
      </c>
    </row>
    <row r="13" spans="1:10" x14ac:dyDescent="0.25">
      <c r="A13" s="1">
        <v>12</v>
      </c>
      <c r="B13" s="1">
        <v>5</v>
      </c>
      <c r="C13" s="1">
        <v>2</v>
      </c>
      <c r="D13" s="2">
        <v>2.3E-2</v>
      </c>
      <c r="E13" s="1">
        <v>0.67</v>
      </c>
      <c r="F13" s="3">
        <v>0.28999999999999998</v>
      </c>
      <c r="G13" s="1">
        <v>0.42</v>
      </c>
      <c r="H13" s="3">
        <v>0.29000000000000009</v>
      </c>
      <c r="I13" s="1">
        <v>0.04</v>
      </c>
    </row>
    <row r="14" spans="1:10" x14ac:dyDescent="0.25">
      <c r="A14" s="1">
        <v>13</v>
      </c>
      <c r="B14" s="1">
        <v>5</v>
      </c>
      <c r="C14" s="1">
        <v>1</v>
      </c>
      <c r="D14" s="2">
        <v>4.4999999999999998E-2</v>
      </c>
      <c r="E14" s="1">
        <v>0.67</v>
      </c>
      <c r="F14" s="3">
        <v>0.25</v>
      </c>
      <c r="G14" s="1">
        <v>0.35</v>
      </c>
      <c r="H14" s="3">
        <v>0.4</v>
      </c>
      <c r="I14" s="1">
        <v>0.05</v>
      </c>
    </row>
    <row r="15" spans="1:10" x14ac:dyDescent="0.25">
      <c r="A15" s="1">
        <v>14</v>
      </c>
      <c r="B15" s="1">
        <v>5</v>
      </c>
      <c r="C15" s="1">
        <v>1</v>
      </c>
      <c r="D15" s="2">
        <v>5.5E-2</v>
      </c>
      <c r="E15" s="1">
        <v>0.67</v>
      </c>
      <c r="F15" s="3">
        <v>0.35</v>
      </c>
      <c r="G15" s="1">
        <v>0.42</v>
      </c>
      <c r="H15" s="3">
        <v>0.23000000000000009</v>
      </c>
      <c r="I15" s="1">
        <v>0.05</v>
      </c>
    </row>
    <row r="16" spans="1:10" x14ac:dyDescent="0.25">
      <c r="A16" s="1">
        <v>15</v>
      </c>
      <c r="B16" s="1">
        <v>10</v>
      </c>
      <c r="C16" s="1">
        <v>6</v>
      </c>
      <c r="D16" s="2">
        <v>1.4999999999999999E-2</v>
      </c>
      <c r="E16" s="1">
        <v>0.75</v>
      </c>
      <c r="F16" s="3">
        <v>0.32</v>
      </c>
      <c r="G16" s="1">
        <v>0.43</v>
      </c>
      <c r="H16" s="3">
        <v>0.25000000000000006</v>
      </c>
      <c r="I16" s="1">
        <v>0.04</v>
      </c>
    </row>
    <row r="17" spans="1:9" x14ac:dyDescent="0.25">
      <c r="A17" s="1">
        <v>16</v>
      </c>
      <c r="B17" s="1">
        <v>5</v>
      </c>
      <c r="C17" s="1">
        <v>3</v>
      </c>
      <c r="D17" s="2">
        <v>1.2E-2</v>
      </c>
      <c r="E17" s="1">
        <v>0.75</v>
      </c>
      <c r="F17" s="3">
        <v>0.32</v>
      </c>
      <c r="G17" s="1">
        <v>0.31</v>
      </c>
      <c r="H17" s="3">
        <v>0.36999999999999994</v>
      </c>
      <c r="I17" s="1">
        <v>0.04</v>
      </c>
    </row>
    <row r="18" spans="1:9" x14ac:dyDescent="0.25">
      <c r="A18" s="1">
        <v>17</v>
      </c>
      <c r="B18" s="1">
        <v>5</v>
      </c>
      <c r="C18" s="1">
        <v>2</v>
      </c>
      <c r="D18" s="2">
        <v>5.1999999999999998E-2</v>
      </c>
      <c r="E18" s="1">
        <v>0.67</v>
      </c>
      <c r="F18" s="3">
        <v>0.28000000000000003</v>
      </c>
      <c r="G18" s="1">
        <v>0.33</v>
      </c>
      <c r="H18" s="3">
        <v>0.3899999999999999</v>
      </c>
      <c r="I18" s="1">
        <v>0.05</v>
      </c>
    </row>
    <row r="19" spans="1:9" x14ac:dyDescent="0.25">
      <c r="A19" s="1">
        <v>18</v>
      </c>
      <c r="B19" s="1">
        <v>10</v>
      </c>
      <c r="C19" s="1">
        <v>8</v>
      </c>
      <c r="D19" s="2">
        <v>5.1999999999999998E-2</v>
      </c>
      <c r="E19" s="1">
        <v>0.75</v>
      </c>
      <c r="F19" s="3">
        <v>0.32</v>
      </c>
      <c r="G19" s="1">
        <v>0.42</v>
      </c>
      <c r="H19" s="3">
        <v>0.26000000000000006</v>
      </c>
      <c r="I19" s="1">
        <v>0.05</v>
      </c>
    </row>
    <row r="20" spans="1:9" x14ac:dyDescent="0.25">
      <c r="A20" s="1">
        <v>19</v>
      </c>
      <c r="B20" s="1">
        <v>5</v>
      </c>
      <c r="C20" s="1">
        <v>2</v>
      </c>
      <c r="D20" s="2">
        <v>1.6E-2</v>
      </c>
      <c r="E20" s="1">
        <v>0.67</v>
      </c>
      <c r="F20" s="3">
        <v>0.33</v>
      </c>
      <c r="G20" s="1">
        <v>0.33</v>
      </c>
      <c r="H20" s="3">
        <v>0.33999999999999991</v>
      </c>
      <c r="I20" s="1">
        <v>0.04</v>
      </c>
    </row>
    <row r="21" spans="1:9" x14ac:dyDescent="0.25">
      <c r="A21" s="1">
        <v>20</v>
      </c>
      <c r="B21" s="1">
        <v>10</v>
      </c>
      <c r="C21" s="1">
        <v>8</v>
      </c>
      <c r="D21" s="2">
        <v>5.5E-2</v>
      </c>
      <c r="E21" s="1">
        <v>0.75</v>
      </c>
      <c r="F21" s="3">
        <v>0.27</v>
      </c>
      <c r="G21" s="1">
        <v>0.35</v>
      </c>
      <c r="H21" s="3">
        <v>0.38</v>
      </c>
      <c r="I21" s="1">
        <v>0.05</v>
      </c>
    </row>
    <row r="22" spans="1:9" x14ac:dyDescent="0.25">
      <c r="A22" s="1">
        <v>21</v>
      </c>
      <c r="B22" s="1">
        <v>10</v>
      </c>
      <c r="C22" s="1">
        <v>10</v>
      </c>
      <c r="D22" s="2">
        <v>1.6E-2</v>
      </c>
      <c r="E22" s="1">
        <v>0.75</v>
      </c>
      <c r="F22" s="3">
        <v>0.25</v>
      </c>
      <c r="G22" s="1">
        <v>0.39</v>
      </c>
      <c r="H22" s="3">
        <v>0.36</v>
      </c>
      <c r="I22" s="1">
        <v>0.04</v>
      </c>
    </row>
    <row r="23" spans="1:9" x14ac:dyDescent="0.25">
      <c r="A23" s="1">
        <v>22</v>
      </c>
      <c r="B23" s="1">
        <v>5</v>
      </c>
      <c r="C23" s="1">
        <v>2</v>
      </c>
      <c r="D23" s="2">
        <v>1.4E-2</v>
      </c>
      <c r="E23" s="1">
        <v>0.67</v>
      </c>
      <c r="F23" s="3">
        <v>0.27</v>
      </c>
      <c r="G23" s="1">
        <v>0.34</v>
      </c>
      <c r="H23" s="3">
        <v>0.3899999999999999</v>
      </c>
      <c r="I23" s="1">
        <v>0.04</v>
      </c>
    </row>
    <row r="24" spans="1:9" x14ac:dyDescent="0.25">
      <c r="A24" s="1">
        <v>23</v>
      </c>
      <c r="B24" s="1">
        <v>5</v>
      </c>
      <c r="C24" s="1">
        <v>1</v>
      </c>
      <c r="D24" s="2">
        <v>4.2000000000000003E-2</v>
      </c>
      <c r="E24" s="1">
        <v>0.67</v>
      </c>
      <c r="F24" s="3">
        <v>0.3</v>
      </c>
      <c r="G24" s="1">
        <v>0.43</v>
      </c>
      <c r="H24" s="3">
        <v>0.27000000000000007</v>
      </c>
      <c r="I24" s="1">
        <v>0.05</v>
      </c>
    </row>
    <row r="25" spans="1:9" x14ac:dyDescent="0.25">
      <c r="A25" s="1">
        <v>24</v>
      </c>
      <c r="B25" s="1">
        <v>10</v>
      </c>
      <c r="C25" s="1">
        <v>8</v>
      </c>
      <c r="D25" s="2">
        <v>0.04</v>
      </c>
      <c r="E25" s="1">
        <v>0.75</v>
      </c>
      <c r="F25" s="3">
        <v>0.28000000000000003</v>
      </c>
      <c r="G25" s="1">
        <v>0.37</v>
      </c>
      <c r="H25" s="3">
        <v>0.35</v>
      </c>
      <c r="I25" s="1">
        <v>0.05</v>
      </c>
    </row>
    <row r="26" spans="1:9" x14ac:dyDescent="0.25">
      <c r="A26" s="1">
        <v>25</v>
      </c>
      <c r="B26" s="1">
        <v>5</v>
      </c>
      <c r="C26" s="1">
        <v>3</v>
      </c>
      <c r="D26" s="2">
        <v>3.3000000000000002E-2</v>
      </c>
      <c r="E26" s="1">
        <v>0.75</v>
      </c>
      <c r="F26" s="3">
        <v>0.32</v>
      </c>
      <c r="G26" s="1">
        <v>0.41</v>
      </c>
      <c r="H26" s="3">
        <v>0.27000000000000007</v>
      </c>
      <c r="I26" s="1">
        <v>0.05</v>
      </c>
    </row>
    <row r="27" spans="1:9" x14ac:dyDescent="0.25">
      <c r="A27" s="1">
        <v>26</v>
      </c>
      <c r="B27" s="1">
        <v>5</v>
      </c>
      <c r="C27" s="1">
        <v>3</v>
      </c>
      <c r="D27" s="2">
        <v>2.5000000000000001E-2</v>
      </c>
      <c r="E27" s="1">
        <v>0.75</v>
      </c>
      <c r="F27" s="3">
        <v>0.28999999999999998</v>
      </c>
      <c r="G27" s="1">
        <v>0.25</v>
      </c>
      <c r="H27" s="3">
        <v>0.46</v>
      </c>
      <c r="I27" s="1">
        <v>0.05</v>
      </c>
    </row>
    <row r="28" spans="1:9" x14ac:dyDescent="0.25">
      <c r="A28" s="1">
        <v>27</v>
      </c>
      <c r="B28" s="1">
        <v>10</v>
      </c>
      <c r="C28" s="1">
        <v>10</v>
      </c>
      <c r="D28" s="2">
        <v>1.7000000000000001E-2</v>
      </c>
      <c r="E28" s="1">
        <v>0.75</v>
      </c>
      <c r="F28" s="3">
        <v>0.33</v>
      </c>
      <c r="G28" s="1">
        <v>0.34</v>
      </c>
      <c r="H28" s="3">
        <v>0.3299999999999999</v>
      </c>
      <c r="I28" s="1">
        <v>0.04</v>
      </c>
    </row>
    <row r="29" spans="1:9" x14ac:dyDescent="0.25">
      <c r="A29" s="1">
        <v>28</v>
      </c>
      <c r="B29" s="1">
        <v>5</v>
      </c>
      <c r="C29" s="1">
        <v>2</v>
      </c>
      <c r="D29" s="2">
        <v>0.03</v>
      </c>
      <c r="E29" s="1">
        <v>0.67</v>
      </c>
      <c r="F29" s="3">
        <v>0.26</v>
      </c>
      <c r="G29" s="1">
        <v>0.27</v>
      </c>
      <c r="H29" s="3">
        <v>0.47</v>
      </c>
      <c r="I29" s="1">
        <v>0.05</v>
      </c>
    </row>
    <row r="30" spans="1:9" x14ac:dyDescent="0.25">
      <c r="A30" s="1">
        <v>29</v>
      </c>
      <c r="B30" s="1">
        <v>5</v>
      </c>
      <c r="C30" s="1">
        <v>4</v>
      </c>
      <c r="D30" s="2">
        <v>0.03</v>
      </c>
      <c r="E30" s="1">
        <v>0.75</v>
      </c>
      <c r="F30" s="3">
        <v>0.26</v>
      </c>
      <c r="G30" s="1">
        <v>0.28999999999999998</v>
      </c>
      <c r="H30" s="3">
        <v>0.44999999999999996</v>
      </c>
      <c r="I30" s="1">
        <v>0.05</v>
      </c>
    </row>
    <row r="31" spans="1:9" x14ac:dyDescent="0.25">
      <c r="A31" s="1">
        <v>30</v>
      </c>
      <c r="B31" s="1">
        <v>10</v>
      </c>
      <c r="C31" s="1">
        <v>7</v>
      </c>
      <c r="D31" s="2">
        <v>2.1999999999999999E-2</v>
      </c>
      <c r="E31" s="1">
        <v>0.75</v>
      </c>
      <c r="F31" s="3">
        <v>0.31</v>
      </c>
      <c r="G31" s="1">
        <v>0.39</v>
      </c>
      <c r="H31" s="3">
        <v>0.3</v>
      </c>
      <c r="I31" s="1">
        <v>0.04</v>
      </c>
    </row>
    <row r="32" spans="1:9" x14ac:dyDescent="0.25">
      <c r="A32" s="1">
        <v>31</v>
      </c>
      <c r="B32" s="1">
        <v>10</v>
      </c>
      <c r="C32" s="1">
        <v>6</v>
      </c>
      <c r="D32" s="2">
        <v>2.5000000000000001E-2</v>
      </c>
      <c r="E32" s="1">
        <v>0.75</v>
      </c>
      <c r="F32" s="3">
        <v>0.32</v>
      </c>
      <c r="G32" s="1">
        <v>0.31</v>
      </c>
      <c r="H32" s="3">
        <v>0.36999999999999994</v>
      </c>
      <c r="I32" s="1">
        <v>0.05</v>
      </c>
    </row>
    <row r="33" spans="1:9" x14ac:dyDescent="0.25">
      <c r="A33" s="1">
        <v>32</v>
      </c>
      <c r="B33" s="1">
        <v>5</v>
      </c>
      <c r="C33" s="1">
        <v>4</v>
      </c>
      <c r="D33" s="2">
        <v>4.3999999999999997E-2</v>
      </c>
      <c r="E33" s="1">
        <v>0.75</v>
      </c>
      <c r="F33" s="3">
        <v>0.32</v>
      </c>
      <c r="G33" s="1">
        <v>0.28000000000000003</v>
      </c>
      <c r="H33" s="3">
        <v>0.39999999999999997</v>
      </c>
      <c r="I33" s="1">
        <v>0.05</v>
      </c>
    </row>
    <row r="34" spans="1:9" x14ac:dyDescent="0.25">
      <c r="A34" s="1">
        <v>33</v>
      </c>
      <c r="B34" s="1">
        <v>10</v>
      </c>
      <c r="C34" s="1">
        <v>9</v>
      </c>
      <c r="D34" s="2">
        <v>1.6E-2</v>
      </c>
      <c r="E34" s="1">
        <v>0.75</v>
      </c>
      <c r="F34" s="3">
        <v>0.25</v>
      </c>
      <c r="G34" s="1">
        <v>0.41</v>
      </c>
      <c r="H34" s="3">
        <v>0.34000000000000008</v>
      </c>
      <c r="I34" s="1">
        <v>0.04</v>
      </c>
    </row>
    <row r="35" spans="1:9" x14ac:dyDescent="0.25">
      <c r="A35" s="1">
        <v>34</v>
      </c>
      <c r="B35" s="1">
        <v>10</v>
      </c>
      <c r="C35" s="1">
        <v>5</v>
      </c>
      <c r="D35" s="2">
        <v>4.3999999999999997E-2</v>
      </c>
      <c r="E35" s="1">
        <v>0.67</v>
      </c>
      <c r="F35" s="3">
        <v>0.31</v>
      </c>
      <c r="G35" s="1">
        <v>0.26</v>
      </c>
      <c r="H35" s="3">
        <v>0.43</v>
      </c>
      <c r="I35" s="1">
        <v>0.05</v>
      </c>
    </row>
    <row r="36" spans="1:9" x14ac:dyDescent="0.25">
      <c r="A36" s="1">
        <v>35</v>
      </c>
      <c r="B36" s="1">
        <v>10</v>
      </c>
      <c r="C36" s="1">
        <v>6</v>
      </c>
      <c r="D36" s="2">
        <v>4.1000000000000002E-2</v>
      </c>
      <c r="E36" s="1">
        <v>0.75</v>
      </c>
      <c r="F36" s="3">
        <v>0.28999999999999998</v>
      </c>
      <c r="G36" s="1">
        <v>0.31</v>
      </c>
      <c r="H36" s="3">
        <v>0.39999999999999997</v>
      </c>
      <c r="I36" s="1">
        <v>0.05</v>
      </c>
    </row>
    <row r="37" spans="1:9" x14ac:dyDescent="0.25">
      <c r="A37" s="1">
        <v>36</v>
      </c>
      <c r="B37" s="1">
        <v>5</v>
      </c>
      <c r="C37" s="1">
        <v>4</v>
      </c>
      <c r="D37" s="2">
        <v>2.5000000000000001E-2</v>
      </c>
      <c r="E37" s="1">
        <v>0.75</v>
      </c>
      <c r="F37" s="3">
        <v>0.3</v>
      </c>
      <c r="G37" s="1">
        <v>0.41</v>
      </c>
      <c r="H37" s="3">
        <v>0.29000000000000009</v>
      </c>
      <c r="I37" s="1">
        <v>0.05</v>
      </c>
    </row>
    <row r="38" spans="1:9" x14ac:dyDescent="0.25">
      <c r="A38" s="1">
        <v>37</v>
      </c>
      <c r="B38" s="1">
        <v>5</v>
      </c>
      <c r="C38" s="1">
        <v>1</v>
      </c>
      <c r="D38" s="2">
        <v>1.4E-2</v>
      </c>
      <c r="E38" s="1">
        <v>0.67</v>
      </c>
      <c r="F38" s="3">
        <v>0.32</v>
      </c>
      <c r="G38" s="1">
        <v>0.37</v>
      </c>
      <c r="H38" s="3">
        <v>0.31</v>
      </c>
      <c r="I38" s="1">
        <v>0.04</v>
      </c>
    </row>
    <row r="39" spans="1:9" x14ac:dyDescent="0.25">
      <c r="A39" s="1">
        <v>38</v>
      </c>
      <c r="B39" s="1">
        <v>10</v>
      </c>
      <c r="C39" s="1">
        <v>10</v>
      </c>
      <c r="D39" s="2">
        <v>5.5E-2</v>
      </c>
      <c r="E39" s="1">
        <v>0.75</v>
      </c>
      <c r="F39" s="3">
        <v>0.31</v>
      </c>
      <c r="G39" s="1">
        <v>0.44</v>
      </c>
      <c r="H39" s="3">
        <v>0.25000000000000006</v>
      </c>
      <c r="I39" s="1">
        <v>0.05</v>
      </c>
    </row>
    <row r="40" spans="1:9" x14ac:dyDescent="0.25">
      <c r="A40" s="1">
        <v>39</v>
      </c>
      <c r="B40" s="1">
        <v>5</v>
      </c>
      <c r="C40" s="1">
        <v>1</v>
      </c>
      <c r="D40" s="2">
        <v>0.04</v>
      </c>
      <c r="E40" s="1">
        <v>0.67</v>
      </c>
      <c r="F40" s="3">
        <v>0.31</v>
      </c>
      <c r="G40" s="1">
        <v>0.39</v>
      </c>
      <c r="H40" s="3">
        <v>0.3</v>
      </c>
      <c r="I40" s="1">
        <v>0.05</v>
      </c>
    </row>
    <row r="41" spans="1:9" x14ac:dyDescent="0.25">
      <c r="A41" s="1">
        <v>40</v>
      </c>
      <c r="B41" s="1">
        <v>5</v>
      </c>
      <c r="C41" s="1">
        <v>1</v>
      </c>
      <c r="D41" s="2">
        <v>5.2999999999999999E-2</v>
      </c>
      <c r="E41" s="1">
        <v>0.67</v>
      </c>
      <c r="F41" s="3">
        <v>0.34</v>
      </c>
      <c r="G41" s="1">
        <v>0.4</v>
      </c>
      <c r="H41" s="3">
        <v>0.25999999999999995</v>
      </c>
      <c r="I41" s="1">
        <v>0.05</v>
      </c>
    </row>
    <row r="42" spans="1:9" x14ac:dyDescent="0.25">
      <c r="A42" s="1">
        <v>41</v>
      </c>
      <c r="B42" s="1">
        <v>10</v>
      </c>
      <c r="C42" s="1">
        <v>9</v>
      </c>
      <c r="D42" s="2">
        <v>3.4000000000000002E-2</v>
      </c>
      <c r="E42" s="1">
        <v>0.75</v>
      </c>
      <c r="F42" s="3">
        <v>0.33</v>
      </c>
      <c r="G42" s="1">
        <v>0.34</v>
      </c>
      <c r="H42" s="3">
        <v>0.3299999999999999</v>
      </c>
      <c r="I42" s="1">
        <v>0.05</v>
      </c>
    </row>
    <row r="43" spans="1:9" x14ac:dyDescent="0.25">
      <c r="A43" s="1">
        <v>42</v>
      </c>
      <c r="B43" s="1">
        <v>10</v>
      </c>
      <c r="C43" s="1">
        <v>8</v>
      </c>
      <c r="D43" s="2">
        <v>3.9E-2</v>
      </c>
      <c r="E43" s="1">
        <v>0.75</v>
      </c>
      <c r="F43" s="3">
        <v>0.28999999999999998</v>
      </c>
      <c r="G43" s="1">
        <v>0.44</v>
      </c>
      <c r="H43" s="3">
        <v>0.27000000000000007</v>
      </c>
      <c r="I43" s="1">
        <v>0.05</v>
      </c>
    </row>
    <row r="44" spans="1:9" x14ac:dyDescent="0.25">
      <c r="A44" s="1">
        <v>43</v>
      </c>
      <c r="B44" s="1">
        <v>5</v>
      </c>
      <c r="C44" s="1">
        <v>2</v>
      </c>
      <c r="D44" s="2">
        <v>2.9000000000000001E-2</v>
      </c>
      <c r="E44" s="1">
        <v>0.67</v>
      </c>
      <c r="F44" s="3">
        <v>0.33</v>
      </c>
      <c r="G44" s="1">
        <v>0.26</v>
      </c>
      <c r="H44" s="3">
        <v>0.41</v>
      </c>
      <c r="I44" s="1">
        <v>0.05</v>
      </c>
    </row>
    <row r="45" spans="1:9" x14ac:dyDescent="0.25">
      <c r="A45" s="1">
        <v>44</v>
      </c>
      <c r="B45" s="1">
        <v>10</v>
      </c>
      <c r="C45" s="1">
        <v>5</v>
      </c>
      <c r="D45" s="2">
        <v>3.5999999999999997E-2</v>
      </c>
      <c r="E45" s="1">
        <v>0.67</v>
      </c>
      <c r="F45" s="3">
        <v>0.35</v>
      </c>
      <c r="G45" s="1">
        <v>0.28999999999999998</v>
      </c>
      <c r="H45" s="3">
        <v>0.36</v>
      </c>
      <c r="I45" s="1">
        <v>0.05</v>
      </c>
    </row>
    <row r="46" spans="1:9" x14ac:dyDescent="0.25">
      <c r="A46" s="1">
        <v>45</v>
      </c>
      <c r="B46" s="1">
        <v>10</v>
      </c>
      <c r="C46" s="1">
        <v>6</v>
      </c>
      <c r="D46" s="2">
        <v>0.06</v>
      </c>
      <c r="E46" s="1">
        <v>0.75</v>
      </c>
      <c r="F46" s="3">
        <v>0.28000000000000003</v>
      </c>
      <c r="G46" s="1">
        <v>0.33</v>
      </c>
      <c r="H46" s="3">
        <v>0.3899999999999999</v>
      </c>
      <c r="I46" s="1">
        <v>0.05</v>
      </c>
    </row>
    <row r="47" spans="1:9" x14ac:dyDescent="0.25">
      <c r="A47" s="1">
        <v>46</v>
      </c>
      <c r="B47" s="1">
        <v>5</v>
      </c>
      <c r="C47" s="1">
        <v>2</v>
      </c>
      <c r="D47" s="2">
        <v>1.7000000000000001E-2</v>
      </c>
      <c r="E47" s="1">
        <v>0.67</v>
      </c>
      <c r="F47" s="3">
        <v>0.32</v>
      </c>
      <c r="G47" s="1">
        <v>0.34</v>
      </c>
      <c r="H47" s="3">
        <v>0.33999999999999991</v>
      </c>
      <c r="I47" s="1">
        <v>0.04</v>
      </c>
    </row>
    <row r="48" spans="1:9" x14ac:dyDescent="0.25">
      <c r="A48" s="1">
        <v>47</v>
      </c>
      <c r="B48" s="1">
        <v>10</v>
      </c>
      <c r="C48" s="1">
        <v>7</v>
      </c>
      <c r="D48" s="2">
        <v>4.4999999999999998E-2</v>
      </c>
      <c r="E48" s="1">
        <v>0.75</v>
      </c>
      <c r="F48" s="3">
        <v>0.31</v>
      </c>
      <c r="G48" s="1">
        <v>0.26</v>
      </c>
      <c r="H48" s="3">
        <v>0.43</v>
      </c>
      <c r="I48" s="1">
        <v>0.05</v>
      </c>
    </row>
    <row r="49" spans="1:9" x14ac:dyDescent="0.25">
      <c r="A49" s="1">
        <v>48</v>
      </c>
      <c r="B49" s="1">
        <v>10</v>
      </c>
      <c r="C49" s="1">
        <v>10</v>
      </c>
      <c r="D49" s="2">
        <v>0.02</v>
      </c>
      <c r="E49" s="1">
        <v>0.75</v>
      </c>
      <c r="F49" s="3">
        <v>0.35</v>
      </c>
      <c r="G49" s="1">
        <v>0.33</v>
      </c>
      <c r="H49" s="3">
        <v>0.31999999999999995</v>
      </c>
      <c r="I49" s="1">
        <v>0.04</v>
      </c>
    </row>
    <row r="50" spans="1:9" x14ac:dyDescent="0.25">
      <c r="A50" s="1">
        <v>49</v>
      </c>
      <c r="B50" s="1">
        <v>10</v>
      </c>
      <c r="C50" s="1">
        <v>5</v>
      </c>
      <c r="D50" s="2">
        <v>5.2999999999999999E-2</v>
      </c>
      <c r="E50" s="1">
        <v>0.67</v>
      </c>
      <c r="F50" s="3">
        <v>0.28999999999999998</v>
      </c>
      <c r="G50" s="1">
        <v>0.27</v>
      </c>
      <c r="H50" s="3">
        <v>0.44</v>
      </c>
      <c r="I50" s="1">
        <v>0.05</v>
      </c>
    </row>
    <row r="51" spans="1:9" x14ac:dyDescent="0.25">
      <c r="A51" s="1">
        <v>50</v>
      </c>
      <c r="B51" s="1">
        <v>10</v>
      </c>
      <c r="C51" s="1">
        <v>5</v>
      </c>
      <c r="D51" s="2">
        <v>2.1000000000000001E-2</v>
      </c>
      <c r="E51" s="1">
        <v>0.67</v>
      </c>
      <c r="F51" s="3">
        <v>0.26</v>
      </c>
      <c r="G51" s="1">
        <v>0.31</v>
      </c>
      <c r="H51" s="3">
        <v>0.42999999999999994</v>
      </c>
      <c r="I51" s="1">
        <v>0.04</v>
      </c>
    </row>
    <row r="52" spans="1:9" x14ac:dyDescent="0.25">
      <c r="A52" s="1">
        <v>51</v>
      </c>
      <c r="B52" s="1">
        <v>10</v>
      </c>
      <c r="C52" s="1">
        <v>5</v>
      </c>
      <c r="D52" s="2">
        <v>5.7000000000000002E-2</v>
      </c>
      <c r="E52" s="1">
        <v>0.67</v>
      </c>
      <c r="F52" s="3">
        <v>0.33</v>
      </c>
      <c r="G52" s="1">
        <v>0.38</v>
      </c>
      <c r="H52" s="3">
        <v>0.28999999999999998</v>
      </c>
      <c r="I52" s="1">
        <v>0.05</v>
      </c>
    </row>
    <row r="53" spans="1:9" x14ac:dyDescent="0.25">
      <c r="A53" s="1">
        <v>52</v>
      </c>
      <c r="B53" s="1">
        <v>10</v>
      </c>
      <c r="C53" s="1">
        <v>5</v>
      </c>
      <c r="D53" s="2">
        <v>2.4E-2</v>
      </c>
      <c r="E53" s="1">
        <v>0.67</v>
      </c>
      <c r="F53" s="3">
        <v>0.25</v>
      </c>
      <c r="G53" s="1">
        <v>0.4</v>
      </c>
      <c r="H53" s="3">
        <v>0.35</v>
      </c>
      <c r="I53" s="1">
        <v>0.04</v>
      </c>
    </row>
    <row r="54" spans="1:9" x14ac:dyDescent="0.25">
      <c r="A54" s="1">
        <v>53</v>
      </c>
      <c r="B54" s="1">
        <v>10</v>
      </c>
      <c r="C54" s="1">
        <v>5</v>
      </c>
      <c r="D54" s="2">
        <v>5.0999999999999997E-2</v>
      </c>
      <c r="E54" s="1">
        <v>0.67</v>
      </c>
      <c r="F54" s="3">
        <v>0.25</v>
      </c>
      <c r="G54" s="1">
        <v>0.36</v>
      </c>
      <c r="H54" s="3">
        <v>0.39</v>
      </c>
      <c r="I54" s="1">
        <v>0.05</v>
      </c>
    </row>
    <row r="55" spans="1:9" x14ac:dyDescent="0.25">
      <c r="A55" s="1">
        <v>54</v>
      </c>
      <c r="B55" s="1">
        <v>5</v>
      </c>
      <c r="C55" s="1">
        <v>4</v>
      </c>
      <c r="D55" s="2">
        <v>2.1999999999999999E-2</v>
      </c>
      <c r="E55" s="1">
        <v>0.75</v>
      </c>
      <c r="F55" s="3">
        <v>0.28999999999999998</v>
      </c>
      <c r="G55" s="1">
        <v>0.45</v>
      </c>
      <c r="H55" s="3">
        <v>0.26000000000000006</v>
      </c>
      <c r="I55" s="1">
        <v>0.04</v>
      </c>
    </row>
    <row r="56" spans="1:9" x14ac:dyDescent="0.25">
      <c r="A56" s="1">
        <v>55</v>
      </c>
      <c r="B56" s="1">
        <v>10</v>
      </c>
      <c r="C56" s="1">
        <v>6</v>
      </c>
      <c r="D56" s="2">
        <v>2.4E-2</v>
      </c>
      <c r="E56" s="1">
        <v>0.75</v>
      </c>
      <c r="F56" s="3">
        <v>0.31</v>
      </c>
      <c r="G56" s="1">
        <v>0.26</v>
      </c>
      <c r="H56" s="3">
        <v>0.43</v>
      </c>
      <c r="I56" s="1">
        <v>0.04</v>
      </c>
    </row>
    <row r="57" spans="1:9" x14ac:dyDescent="0.25">
      <c r="A57" s="1">
        <v>56</v>
      </c>
      <c r="B57" s="1">
        <v>5</v>
      </c>
      <c r="C57" s="1">
        <v>4</v>
      </c>
      <c r="D57" s="2">
        <v>4.2999999999999997E-2</v>
      </c>
      <c r="E57" s="1">
        <v>0.75</v>
      </c>
      <c r="F57" s="3">
        <v>0.31</v>
      </c>
      <c r="G57" s="1">
        <v>0.3</v>
      </c>
      <c r="H57" s="3">
        <v>0.38999999999999996</v>
      </c>
      <c r="I57" s="1">
        <v>0.05</v>
      </c>
    </row>
    <row r="58" spans="1:9" x14ac:dyDescent="0.25">
      <c r="A58" s="1">
        <v>57</v>
      </c>
      <c r="B58" s="1">
        <v>5</v>
      </c>
      <c r="C58" s="1">
        <v>4</v>
      </c>
      <c r="D58" s="2">
        <v>0.02</v>
      </c>
      <c r="E58" s="1">
        <v>0.75</v>
      </c>
      <c r="F58" s="3">
        <v>0.26</v>
      </c>
      <c r="G58" s="1">
        <v>0.37</v>
      </c>
      <c r="H58" s="3">
        <v>0.37</v>
      </c>
      <c r="I58" s="1">
        <v>0.04</v>
      </c>
    </row>
    <row r="59" spans="1:9" x14ac:dyDescent="0.25">
      <c r="A59" s="1">
        <v>58</v>
      </c>
      <c r="B59" s="1">
        <v>5</v>
      </c>
      <c r="C59" s="1">
        <v>4</v>
      </c>
      <c r="D59" s="2">
        <v>3.4000000000000002E-2</v>
      </c>
      <c r="E59" s="1">
        <v>0.75</v>
      </c>
      <c r="F59" s="3">
        <v>0.27</v>
      </c>
      <c r="G59" s="1">
        <v>0.28999999999999998</v>
      </c>
      <c r="H59" s="3">
        <v>0.43999999999999995</v>
      </c>
      <c r="I59" s="1">
        <v>0.05</v>
      </c>
    </row>
    <row r="60" spans="1:9" x14ac:dyDescent="0.25">
      <c r="A60" s="1">
        <v>59</v>
      </c>
      <c r="B60" s="1">
        <v>5</v>
      </c>
      <c r="C60" s="1">
        <v>3</v>
      </c>
      <c r="D60" s="2">
        <v>3.4000000000000002E-2</v>
      </c>
      <c r="E60" s="1">
        <v>0.75</v>
      </c>
      <c r="F60" s="3">
        <v>0.25</v>
      </c>
      <c r="G60" s="1">
        <v>0.31</v>
      </c>
      <c r="H60" s="3">
        <v>0.43999999999999995</v>
      </c>
      <c r="I60" s="1">
        <v>0.05</v>
      </c>
    </row>
    <row r="61" spans="1:9" x14ac:dyDescent="0.25">
      <c r="A61" s="1">
        <v>60</v>
      </c>
      <c r="B61" s="1">
        <v>10</v>
      </c>
      <c r="C61" s="1">
        <v>5</v>
      </c>
      <c r="D61" s="2">
        <v>3.6999999999999998E-2</v>
      </c>
      <c r="E61" s="1">
        <v>0.67</v>
      </c>
      <c r="F61" s="3">
        <v>0.33</v>
      </c>
      <c r="G61" s="1">
        <v>0.27</v>
      </c>
      <c r="H61" s="3">
        <v>0.39999999999999997</v>
      </c>
      <c r="I61" s="1">
        <v>0.05</v>
      </c>
    </row>
    <row r="62" spans="1:9" x14ac:dyDescent="0.25">
      <c r="A62" s="1">
        <v>61</v>
      </c>
      <c r="B62" s="1">
        <v>10</v>
      </c>
      <c r="C62" s="1">
        <v>6</v>
      </c>
      <c r="D62" s="2">
        <v>2.1000000000000001E-2</v>
      </c>
      <c r="E62" s="1">
        <v>0.75</v>
      </c>
      <c r="F62" s="3">
        <v>0.28000000000000003</v>
      </c>
      <c r="G62" s="1">
        <v>0.38</v>
      </c>
      <c r="H62" s="3">
        <v>0.33999999999999997</v>
      </c>
      <c r="I62" s="1">
        <v>0.04</v>
      </c>
    </row>
    <row r="63" spans="1:9" x14ac:dyDescent="0.25">
      <c r="A63" s="1">
        <v>62</v>
      </c>
      <c r="B63" s="1">
        <v>10</v>
      </c>
      <c r="C63" s="1">
        <v>6</v>
      </c>
      <c r="D63" s="2">
        <v>4.9000000000000002E-2</v>
      </c>
      <c r="E63" s="1">
        <v>0.75</v>
      </c>
      <c r="F63" s="3">
        <v>0.27</v>
      </c>
      <c r="G63" s="1">
        <v>0.43</v>
      </c>
      <c r="H63" s="3">
        <v>0.30000000000000004</v>
      </c>
      <c r="I63" s="1">
        <v>0.05</v>
      </c>
    </row>
    <row r="64" spans="1:9" x14ac:dyDescent="0.25">
      <c r="A64" s="1">
        <v>63</v>
      </c>
      <c r="B64" s="1">
        <v>5</v>
      </c>
      <c r="C64" s="1">
        <v>4</v>
      </c>
      <c r="D64" s="2">
        <v>2.5999999999999999E-2</v>
      </c>
      <c r="E64" s="1">
        <v>0.75</v>
      </c>
      <c r="F64" s="3">
        <v>0.27</v>
      </c>
      <c r="G64" s="1">
        <v>0.27</v>
      </c>
      <c r="H64" s="3">
        <v>0.45999999999999996</v>
      </c>
      <c r="I64" s="1">
        <v>0.05</v>
      </c>
    </row>
    <row r="65" spans="1:9" x14ac:dyDescent="0.25">
      <c r="A65" s="1">
        <v>64</v>
      </c>
      <c r="B65" s="1">
        <v>5</v>
      </c>
      <c r="C65" s="1">
        <v>3</v>
      </c>
      <c r="D65" s="2">
        <v>3.4000000000000002E-2</v>
      </c>
      <c r="E65" s="1">
        <v>0.75</v>
      </c>
      <c r="F65" s="3">
        <v>0.3</v>
      </c>
      <c r="G65" s="1">
        <v>0.3</v>
      </c>
      <c r="H65" s="3">
        <v>0.39999999999999997</v>
      </c>
      <c r="I65" s="1">
        <v>0.05</v>
      </c>
    </row>
    <row r="66" spans="1:9" x14ac:dyDescent="0.25">
      <c r="A66" s="1">
        <v>65</v>
      </c>
      <c r="B66" s="1">
        <v>5</v>
      </c>
      <c r="C66" s="1">
        <v>4</v>
      </c>
      <c r="D66" s="2">
        <v>5.2999999999999999E-2</v>
      </c>
      <c r="E66" s="1">
        <v>0.75</v>
      </c>
      <c r="F66" s="3">
        <v>0.28000000000000003</v>
      </c>
      <c r="G66" s="1">
        <v>0.3</v>
      </c>
      <c r="H66" s="3">
        <v>0.41999999999999993</v>
      </c>
      <c r="I66" s="1">
        <v>0.05</v>
      </c>
    </row>
    <row r="67" spans="1:9" x14ac:dyDescent="0.25">
      <c r="A67" s="1">
        <v>66</v>
      </c>
      <c r="B67" s="1">
        <v>10</v>
      </c>
      <c r="C67" s="1">
        <v>5</v>
      </c>
      <c r="D67" s="2">
        <v>4.5999999999999999E-2</v>
      </c>
      <c r="E67" s="1">
        <v>0.67</v>
      </c>
      <c r="F67" s="3">
        <v>0.27</v>
      </c>
      <c r="G67" s="1">
        <v>0.32</v>
      </c>
      <c r="H67" s="3">
        <v>0.40999999999999992</v>
      </c>
      <c r="I67" s="1">
        <v>0.05</v>
      </c>
    </row>
    <row r="68" spans="1:9" x14ac:dyDescent="0.25">
      <c r="A68" s="1">
        <v>67</v>
      </c>
      <c r="B68" s="1">
        <v>5</v>
      </c>
      <c r="C68" s="1">
        <v>1</v>
      </c>
      <c r="D68" s="2">
        <v>2.3E-2</v>
      </c>
      <c r="E68" s="1">
        <v>0.67</v>
      </c>
      <c r="F68" s="3">
        <v>0.28999999999999998</v>
      </c>
      <c r="G68" s="1">
        <v>0.36</v>
      </c>
      <c r="H68" s="3">
        <v>0.35000000000000003</v>
      </c>
      <c r="I68" s="1">
        <v>0.04</v>
      </c>
    </row>
    <row r="69" spans="1:9" x14ac:dyDescent="0.25">
      <c r="A69" s="1">
        <v>68</v>
      </c>
      <c r="B69" s="1">
        <v>5</v>
      </c>
      <c r="C69" s="1">
        <v>1</v>
      </c>
      <c r="D69" s="2">
        <v>0.01</v>
      </c>
      <c r="E69" s="1">
        <v>0.67</v>
      </c>
      <c r="F69" s="3">
        <v>0.31</v>
      </c>
      <c r="G69" s="1">
        <v>0.45</v>
      </c>
      <c r="H69" s="3">
        <v>0.24000000000000005</v>
      </c>
      <c r="I69" s="1">
        <v>0.04</v>
      </c>
    </row>
    <row r="70" spans="1:9" x14ac:dyDescent="0.25">
      <c r="A70" s="1">
        <v>69</v>
      </c>
      <c r="B70" s="1">
        <v>10</v>
      </c>
      <c r="C70" s="1">
        <v>6</v>
      </c>
      <c r="D70" s="2">
        <v>2.3E-2</v>
      </c>
      <c r="E70" s="1">
        <v>0.75</v>
      </c>
      <c r="F70" s="3">
        <v>0.28999999999999998</v>
      </c>
      <c r="G70" s="1">
        <v>0.31</v>
      </c>
      <c r="H70" s="3">
        <v>0.39999999999999997</v>
      </c>
      <c r="I70" s="1">
        <v>0.04</v>
      </c>
    </row>
    <row r="71" spans="1:9" x14ac:dyDescent="0.25">
      <c r="A71" s="1">
        <v>70</v>
      </c>
      <c r="B71" s="1">
        <v>5</v>
      </c>
      <c r="C71" s="1">
        <v>1</v>
      </c>
      <c r="D71" s="2">
        <v>4.5999999999999999E-2</v>
      </c>
      <c r="E71" s="1">
        <v>0.67</v>
      </c>
      <c r="F71" s="3">
        <v>0.31</v>
      </c>
      <c r="G71" s="1">
        <v>0.28000000000000003</v>
      </c>
      <c r="H71" s="3">
        <v>0.41</v>
      </c>
      <c r="I71" s="1">
        <v>0.05</v>
      </c>
    </row>
    <row r="72" spans="1:9" x14ac:dyDescent="0.25">
      <c r="A72" s="1">
        <v>71</v>
      </c>
      <c r="B72" s="1">
        <v>10</v>
      </c>
      <c r="C72" s="1">
        <v>6</v>
      </c>
      <c r="D72" s="2">
        <v>3.6999999999999998E-2</v>
      </c>
      <c r="E72" s="1">
        <v>0.75</v>
      </c>
      <c r="F72" s="3">
        <v>0.35</v>
      </c>
      <c r="G72" s="1">
        <v>0.42</v>
      </c>
      <c r="H72" s="3">
        <v>0.23000000000000009</v>
      </c>
      <c r="I72" s="1">
        <v>0.05</v>
      </c>
    </row>
    <row r="73" spans="1:9" x14ac:dyDescent="0.25">
      <c r="A73" s="1">
        <v>72</v>
      </c>
      <c r="B73" s="1">
        <v>5</v>
      </c>
      <c r="C73" s="1">
        <v>3</v>
      </c>
      <c r="D73" s="2">
        <v>0.03</v>
      </c>
      <c r="E73" s="1">
        <v>0.75</v>
      </c>
      <c r="F73" s="3">
        <v>0.28000000000000003</v>
      </c>
      <c r="G73" s="1">
        <v>0.27</v>
      </c>
      <c r="H73" s="3">
        <v>0.44999999999999996</v>
      </c>
      <c r="I73" s="1">
        <v>0.05</v>
      </c>
    </row>
    <row r="74" spans="1:9" x14ac:dyDescent="0.25">
      <c r="A74" s="1">
        <v>73</v>
      </c>
      <c r="B74" s="1">
        <v>5</v>
      </c>
      <c r="C74" s="1">
        <v>1</v>
      </c>
      <c r="D74" s="2">
        <v>3.9E-2</v>
      </c>
      <c r="E74" s="1">
        <v>0.67</v>
      </c>
      <c r="F74" s="3">
        <v>0.32</v>
      </c>
      <c r="G74" s="1">
        <v>0.28000000000000003</v>
      </c>
      <c r="H74" s="3">
        <v>0.39999999999999997</v>
      </c>
      <c r="I74" s="1">
        <v>0.05</v>
      </c>
    </row>
    <row r="75" spans="1:9" x14ac:dyDescent="0.25">
      <c r="A75" s="1">
        <v>74</v>
      </c>
      <c r="B75" s="1">
        <v>10</v>
      </c>
      <c r="C75" s="1">
        <v>6</v>
      </c>
      <c r="D75" s="2">
        <v>4.4999999999999998E-2</v>
      </c>
      <c r="E75" s="1">
        <v>0.75</v>
      </c>
      <c r="F75" s="3">
        <v>0.3</v>
      </c>
      <c r="G75" s="1">
        <v>0.36</v>
      </c>
      <c r="H75" s="3">
        <v>0.34</v>
      </c>
      <c r="I75" s="1">
        <v>0.05</v>
      </c>
    </row>
    <row r="76" spans="1:9" x14ac:dyDescent="0.25">
      <c r="A76" s="1">
        <v>75</v>
      </c>
      <c r="B76" s="1">
        <v>10</v>
      </c>
      <c r="C76" s="1">
        <v>6</v>
      </c>
      <c r="D76" s="2">
        <v>3.5000000000000003E-2</v>
      </c>
      <c r="E76" s="1">
        <v>0.75</v>
      </c>
      <c r="F76" s="3">
        <v>0.32</v>
      </c>
      <c r="G76" s="1">
        <v>0.36</v>
      </c>
      <c r="H76" s="3">
        <v>0.32</v>
      </c>
      <c r="I76" s="1">
        <v>0.05</v>
      </c>
    </row>
    <row r="77" spans="1:9" x14ac:dyDescent="0.25">
      <c r="A77" s="1">
        <v>76</v>
      </c>
      <c r="B77" s="1">
        <v>10</v>
      </c>
      <c r="C77" s="1">
        <v>6</v>
      </c>
      <c r="D77" s="2">
        <v>3.1E-2</v>
      </c>
      <c r="E77" s="1">
        <v>0.75</v>
      </c>
      <c r="F77" s="3">
        <v>0.26</v>
      </c>
      <c r="G77" s="1">
        <v>0.4</v>
      </c>
      <c r="H77" s="3">
        <v>0.33999999999999997</v>
      </c>
      <c r="I77" s="1">
        <v>0.05</v>
      </c>
    </row>
    <row r="78" spans="1:9" x14ac:dyDescent="0.25">
      <c r="A78" s="1">
        <v>77</v>
      </c>
      <c r="B78" s="1">
        <v>5</v>
      </c>
      <c r="C78" s="1">
        <v>2</v>
      </c>
      <c r="D78" s="2">
        <v>0.02</v>
      </c>
      <c r="E78" s="1">
        <v>0.67</v>
      </c>
      <c r="F78" s="3">
        <v>0.32</v>
      </c>
      <c r="G78" s="1">
        <v>0.31</v>
      </c>
      <c r="H78" s="3">
        <v>0.36999999999999994</v>
      </c>
      <c r="I78" s="1">
        <v>0.04</v>
      </c>
    </row>
    <row r="79" spans="1:9" x14ac:dyDescent="0.25">
      <c r="A79" s="1">
        <v>78</v>
      </c>
      <c r="B79" s="1">
        <v>5</v>
      </c>
      <c r="C79" s="1">
        <v>2</v>
      </c>
      <c r="D79" s="2">
        <v>1.0999999999999999E-2</v>
      </c>
      <c r="E79" s="1">
        <v>0.67</v>
      </c>
      <c r="F79" s="3">
        <v>0.28999999999999998</v>
      </c>
      <c r="G79" s="1">
        <v>0.32</v>
      </c>
      <c r="H79" s="3">
        <v>0.38999999999999996</v>
      </c>
      <c r="I79" s="1">
        <v>0.04</v>
      </c>
    </row>
    <row r="80" spans="1:9" x14ac:dyDescent="0.25">
      <c r="A80" s="1">
        <v>79</v>
      </c>
      <c r="B80" s="1">
        <v>5</v>
      </c>
      <c r="C80" s="1">
        <v>4</v>
      </c>
      <c r="D80" s="2">
        <v>2.5999999999999999E-2</v>
      </c>
      <c r="E80" s="1">
        <v>0.75</v>
      </c>
      <c r="F80" s="3">
        <v>0.3</v>
      </c>
      <c r="G80" s="1">
        <v>0.28999999999999998</v>
      </c>
      <c r="H80" s="3">
        <v>0.41</v>
      </c>
      <c r="I80" s="1">
        <v>0.05</v>
      </c>
    </row>
    <row r="81" spans="1:9" x14ac:dyDescent="0.25">
      <c r="A81" s="1">
        <v>80</v>
      </c>
      <c r="B81" s="1">
        <v>5</v>
      </c>
      <c r="C81" s="1">
        <v>2</v>
      </c>
      <c r="D81" s="2">
        <v>4.5999999999999999E-2</v>
      </c>
      <c r="E81" s="1">
        <v>0.67</v>
      </c>
      <c r="F81" s="3">
        <v>0.33</v>
      </c>
      <c r="G81" s="1">
        <v>0.38</v>
      </c>
      <c r="H81" s="3">
        <v>0.28999999999999998</v>
      </c>
      <c r="I81" s="1">
        <v>0.05</v>
      </c>
    </row>
    <row r="82" spans="1:9" x14ac:dyDescent="0.25">
      <c r="A82" s="1">
        <v>81</v>
      </c>
      <c r="B82" s="1">
        <v>5</v>
      </c>
      <c r="C82" s="1">
        <v>2</v>
      </c>
      <c r="D82" s="2">
        <v>1.9E-2</v>
      </c>
      <c r="E82" s="1">
        <v>0.67</v>
      </c>
      <c r="F82" s="3">
        <v>0.28000000000000003</v>
      </c>
      <c r="G82" s="1">
        <v>0.39</v>
      </c>
      <c r="H82" s="3">
        <v>0.32999999999999996</v>
      </c>
      <c r="I82" s="1">
        <v>0.04</v>
      </c>
    </row>
    <row r="83" spans="1:9" x14ac:dyDescent="0.25">
      <c r="A83" s="1">
        <v>82</v>
      </c>
      <c r="B83" s="1">
        <v>5</v>
      </c>
      <c r="C83" s="1">
        <v>1</v>
      </c>
      <c r="D83" s="2">
        <v>4.2000000000000003E-2</v>
      </c>
      <c r="E83" s="1">
        <v>0.67</v>
      </c>
      <c r="F83" s="3">
        <v>0.27</v>
      </c>
      <c r="G83" s="1">
        <v>0.32</v>
      </c>
      <c r="H83" s="3">
        <v>0.40999999999999992</v>
      </c>
      <c r="I83" s="1">
        <v>0.05</v>
      </c>
    </row>
    <row r="84" spans="1:9" x14ac:dyDescent="0.25">
      <c r="A84" s="1">
        <v>83</v>
      </c>
      <c r="B84" s="1">
        <v>10</v>
      </c>
      <c r="C84" s="1">
        <v>6</v>
      </c>
      <c r="D84" s="2">
        <v>1.7999999999999999E-2</v>
      </c>
      <c r="E84" s="1">
        <v>0.75</v>
      </c>
      <c r="F84" s="3">
        <v>0.25</v>
      </c>
      <c r="G84" s="1">
        <v>0.35</v>
      </c>
      <c r="H84" s="3">
        <v>0.4</v>
      </c>
      <c r="I84" s="1">
        <v>0.04</v>
      </c>
    </row>
    <row r="85" spans="1:9" x14ac:dyDescent="0.25">
      <c r="A85" s="1">
        <v>84</v>
      </c>
      <c r="B85" s="1">
        <v>10</v>
      </c>
      <c r="C85" s="1">
        <v>5</v>
      </c>
      <c r="D85" s="2">
        <v>2.7E-2</v>
      </c>
      <c r="E85" s="1">
        <v>0.67</v>
      </c>
      <c r="F85" s="3">
        <v>0.31</v>
      </c>
      <c r="G85" s="1">
        <v>0.26</v>
      </c>
      <c r="H85" s="3">
        <v>0.43</v>
      </c>
      <c r="I85" s="1">
        <v>0.05</v>
      </c>
    </row>
    <row r="86" spans="1:9" x14ac:dyDescent="0.25">
      <c r="A86" s="1">
        <v>85</v>
      </c>
      <c r="B86" s="1">
        <v>10</v>
      </c>
      <c r="C86" s="1">
        <v>5</v>
      </c>
      <c r="D86" s="2">
        <v>3.9E-2</v>
      </c>
      <c r="E86" s="1">
        <v>0.67</v>
      </c>
      <c r="F86" s="3">
        <v>0.26</v>
      </c>
      <c r="G86" s="1">
        <v>0.38</v>
      </c>
      <c r="H86" s="3">
        <v>0.36</v>
      </c>
      <c r="I86" s="1">
        <v>0.05</v>
      </c>
    </row>
    <row r="87" spans="1:9" x14ac:dyDescent="0.25">
      <c r="A87" s="1">
        <v>86</v>
      </c>
      <c r="B87" s="1">
        <v>5</v>
      </c>
      <c r="C87" s="1">
        <v>4</v>
      </c>
      <c r="D87" s="2">
        <v>5.6000000000000001E-2</v>
      </c>
      <c r="E87" s="1">
        <v>0.75</v>
      </c>
      <c r="F87" s="3">
        <v>0.34</v>
      </c>
      <c r="G87" s="1">
        <v>0.36</v>
      </c>
      <c r="H87" s="3">
        <v>0.3</v>
      </c>
      <c r="I87" s="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B1C5-1407-440F-87E8-AAA89914F883}">
  <dimension ref="B2:C28"/>
  <sheetViews>
    <sheetView tabSelected="1" workbookViewId="0">
      <selection activeCell="G26" sqref="G26"/>
    </sheetView>
  </sheetViews>
  <sheetFormatPr baseColWidth="10" defaultRowHeight="15" x14ac:dyDescent="0.25"/>
  <cols>
    <col min="2" max="2" width="64.140625" customWidth="1"/>
  </cols>
  <sheetData>
    <row r="2" spans="2:3" x14ac:dyDescent="0.25">
      <c r="B2" s="8" t="s">
        <v>24</v>
      </c>
      <c r="C2" s="9" t="s">
        <v>25</v>
      </c>
    </row>
    <row r="3" spans="2:3" x14ac:dyDescent="0.25">
      <c r="B3" s="10" t="s">
        <v>26</v>
      </c>
      <c r="C3" s="14" t="s">
        <v>27</v>
      </c>
    </row>
    <row r="4" spans="2:3" x14ac:dyDescent="0.25">
      <c r="B4" s="10" t="s">
        <v>28</v>
      </c>
      <c r="C4" s="14">
        <v>140</v>
      </c>
    </row>
    <row r="5" spans="2:3" x14ac:dyDescent="0.25">
      <c r="B5" s="11" t="s">
        <v>29</v>
      </c>
      <c r="C5" s="15">
        <v>50</v>
      </c>
    </row>
    <row r="6" spans="2:3" x14ac:dyDescent="0.25">
      <c r="B6" s="11" t="s">
        <v>52</v>
      </c>
      <c r="C6" s="15">
        <v>50</v>
      </c>
    </row>
    <row r="7" spans="2:3" x14ac:dyDescent="0.25">
      <c r="B7" s="11" t="s">
        <v>30</v>
      </c>
      <c r="C7" s="15">
        <v>40</v>
      </c>
    </row>
    <row r="8" spans="2:3" x14ac:dyDescent="0.25">
      <c r="B8" s="10" t="s">
        <v>31</v>
      </c>
      <c r="C8" s="14">
        <f>C9+C10</f>
        <v>862</v>
      </c>
    </row>
    <row r="9" spans="2:3" x14ac:dyDescent="0.25">
      <c r="B9" s="11" t="s">
        <v>32</v>
      </c>
      <c r="C9" s="15">
        <f>SUM('credito simple'!B2:B65)</f>
        <v>479</v>
      </c>
    </row>
    <row r="10" spans="2:3" x14ac:dyDescent="0.25">
      <c r="B10" s="11" t="s">
        <v>33</v>
      </c>
      <c r="C10" s="15">
        <f>SUM('credito revolvente'!C2:C87)</f>
        <v>383</v>
      </c>
    </row>
    <row r="11" spans="2:3" x14ac:dyDescent="0.25">
      <c r="B11" s="10" t="s">
        <v>34</v>
      </c>
      <c r="C11" s="14">
        <v>32</v>
      </c>
    </row>
    <row r="12" spans="2:3" x14ac:dyDescent="0.25">
      <c r="B12" s="10" t="s">
        <v>35</v>
      </c>
      <c r="C12" s="14" t="s">
        <v>27</v>
      </c>
    </row>
    <row r="13" spans="2:3" x14ac:dyDescent="0.25">
      <c r="B13" s="12" t="s">
        <v>36</v>
      </c>
      <c r="C13" s="16">
        <f>C4+C8+C11</f>
        <v>1034</v>
      </c>
    </row>
    <row r="14" spans="2:3" x14ac:dyDescent="0.25">
      <c r="B14" s="10" t="s">
        <v>37</v>
      </c>
      <c r="C14" s="14" t="s">
        <v>27</v>
      </c>
    </row>
    <row r="15" spans="2:3" x14ac:dyDescent="0.25">
      <c r="B15" s="10" t="s">
        <v>38</v>
      </c>
      <c r="C15" s="14" t="s">
        <v>27</v>
      </c>
    </row>
    <row r="16" spans="2:3" x14ac:dyDescent="0.25">
      <c r="B16" s="10" t="s">
        <v>39</v>
      </c>
      <c r="C16" s="14">
        <f>C17+C18+C19</f>
        <v>210</v>
      </c>
    </row>
    <row r="17" spans="2:3" x14ac:dyDescent="0.25">
      <c r="B17" s="11" t="s">
        <v>40</v>
      </c>
      <c r="C17" s="15">
        <v>50</v>
      </c>
    </row>
    <row r="18" spans="2:3" x14ac:dyDescent="0.25">
      <c r="B18" s="11" t="s">
        <v>41</v>
      </c>
      <c r="C18" s="15">
        <v>60</v>
      </c>
    </row>
    <row r="19" spans="2:3" x14ac:dyDescent="0.25">
      <c r="B19" s="11" t="s">
        <v>42</v>
      </c>
      <c r="C19" s="15">
        <v>100</v>
      </c>
    </row>
    <row r="20" spans="2:3" x14ac:dyDescent="0.25">
      <c r="B20" s="10" t="s">
        <v>43</v>
      </c>
      <c r="C20" s="14">
        <f>C21+C22</f>
        <v>300</v>
      </c>
    </row>
    <row r="21" spans="2:3" x14ac:dyDescent="0.25">
      <c r="B21" s="11" t="s">
        <v>44</v>
      </c>
      <c r="C21" s="15">
        <v>100</v>
      </c>
    </row>
    <row r="22" spans="2:3" x14ac:dyDescent="0.25">
      <c r="B22" s="11" t="s">
        <v>45</v>
      </c>
      <c r="C22" s="15">
        <v>200</v>
      </c>
    </row>
    <row r="23" spans="2:3" x14ac:dyDescent="0.25">
      <c r="B23" s="10" t="s">
        <v>46</v>
      </c>
      <c r="C23" s="14" t="s">
        <v>27</v>
      </c>
    </row>
    <row r="24" spans="2:3" x14ac:dyDescent="0.25">
      <c r="B24" s="12" t="s">
        <v>47</v>
      </c>
      <c r="C24" s="17">
        <f>C16+C20</f>
        <v>510</v>
      </c>
    </row>
    <row r="25" spans="2:3" x14ac:dyDescent="0.25">
      <c r="B25" s="10" t="s">
        <v>48</v>
      </c>
      <c r="C25" s="14">
        <v>400</v>
      </c>
    </row>
    <row r="26" spans="2:3" x14ac:dyDescent="0.25">
      <c r="B26" s="10" t="s">
        <v>49</v>
      </c>
      <c r="C26" s="14">
        <v>124</v>
      </c>
    </row>
    <row r="27" spans="2:3" x14ac:dyDescent="0.25">
      <c r="B27" s="12" t="s">
        <v>50</v>
      </c>
      <c r="C27" s="17">
        <f>C25+C26</f>
        <v>524</v>
      </c>
    </row>
    <row r="28" spans="2:3" x14ac:dyDescent="0.25">
      <c r="B28" s="13" t="s">
        <v>51</v>
      </c>
      <c r="C28" s="18">
        <f>C24+C27</f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credito simple</vt:lpstr>
      <vt:lpstr>credito revolvente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GOMEZ JIMENEZ, SAMUEL</cp:lastModifiedBy>
  <dcterms:created xsi:type="dcterms:W3CDTF">2026-05-12T00:35:40Z</dcterms:created>
  <dcterms:modified xsi:type="dcterms:W3CDTF">2026-05-14T03:09:58Z</dcterms:modified>
</cp:coreProperties>
</file>