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oceguera\Downloads\"/>
    </mc:Choice>
  </mc:AlternateContent>
  <xr:revisionPtr revIDLastSave="0" documentId="13_ncr:1_{4E6CE310-A47E-45C8-8E7B-6C0B453F6A69}" xr6:coauthVersionLast="47" xr6:coauthVersionMax="47" xr10:uidLastSave="{00000000-0000-0000-0000-000000000000}"/>
  <bookViews>
    <workbookView xWindow="-120" yWindow="-120" windowWidth="29040" windowHeight="15720" activeTab="4" xr2:uid="{410C7B72-0984-422A-8031-895922235232}"/>
  </bookViews>
  <sheets>
    <sheet name="escala credit risk rating" sheetId="2" r:id="rId1"/>
    <sheet name="factores LCR y NSFR" sheetId="5" r:id="rId2"/>
    <sheet name="balances (banking book)" sheetId="1" r:id="rId3"/>
    <sheet name="notas importantes" sheetId="3" r:id="rId4"/>
    <sheet name="Pregunta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7" i="4" l="1"/>
  <c r="C66" i="4"/>
  <c r="C60" i="4"/>
  <c r="A29" i="1"/>
  <c r="A28" i="1"/>
  <c r="A27" i="1"/>
  <c r="A26" i="1"/>
  <c r="A25" i="1"/>
  <c r="A24" i="1"/>
  <c r="A22" i="1"/>
  <c r="A21" i="1"/>
  <c r="C59" i="4"/>
  <c r="A16" i="1"/>
  <c r="A15" i="1"/>
  <c r="A14" i="1"/>
  <c r="A13" i="1"/>
  <c r="A12" i="1"/>
  <c r="A10" i="1"/>
  <c r="A9" i="1"/>
  <c r="A8" i="1"/>
  <c r="A7" i="1"/>
  <c r="A6" i="1"/>
  <c r="D47" i="4"/>
  <c r="E47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E32" i="4"/>
  <c r="E37" i="4"/>
  <c r="E38" i="4"/>
  <c r="E39" i="4"/>
  <c r="E31" i="4"/>
  <c r="E22" i="4"/>
  <c r="C24" i="4"/>
  <c r="E24" i="4" s="1"/>
  <c r="C23" i="4"/>
  <c r="E23" i="4" s="1"/>
  <c r="C21" i="4"/>
  <c r="E21" i="4" s="1"/>
  <c r="C20" i="4"/>
  <c r="E20" i="4" s="1"/>
  <c r="C17" i="4"/>
  <c r="E17" i="4" s="1"/>
  <c r="C16" i="4"/>
  <c r="E16" i="4" s="1"/>
  <c r="C19" i="4"/>
  <c r="E19" i="4" s="1"/>
  <c r="C18" i="4"/>
  <c r="E18" i="4" s="1"/>
  <c r="C15" i="4"/>
  <c r="E15" i="4" s="1"/>
  <c r="C14" i="4"/>
  <c r="E14" i="4" s="1"/>
  <c r="D5" i="4"/>
  <c r="D10" i="4"/>
  <c r="D9" i="4"/>
  <c r="D8" i="4"/>
  <c r="D7" i="4"/>
  <c r="D6" i="4"/>
  <c r="D23" i="1"/>
  <c r="C23" i="1"/>
  <c r="D20" i="1"/>
  <c r="C20" i="1"/>
  <c r="D33" i="1"/>
  <c r="C33" i="1"/>
  <c r="D30" i="1"/>
  <c r="D34" i="1" s="1"/>
  <c r="D11" i="1"/>
  <c r="C11" i="1"/>
  <c r="D5" i="1"/>
  <c r="C5" i="1"/>
  <c r="C19" i="1" s="1"/>
  <c r="C61" i="4" l="1"/>
  <c r="C62" i="4" s="1"/>
  <c r="D41" i="4"/>
  <c r="E41" i="4" s="1"/>
  <c r="E26" i="4"/>
  <c r="D35" i="4"/>
  <c r="E35" i="4" s="1"/>
  <c r="D36" i="4"/>
  <c r="E36" i="4" s="1"/>
  <c r="D40" i="4"/>
  <c r="E40" i="4" s="1"/>
  <c r="E55" i="4"/>
  <c r="D33" i="4"/>
  <c r="D34" i="4"/>
  <c r="E34" i="4" s="1"/>
  <c r="D11" i="4"/>
  <c r="C4" i="4" s="1"/>
  <c r="C30" i="1"/>
  <c r="C34" i="1" s="1"/>
  <c r="D19" i="1"/>
  <c r="E33" i="4" l="1"/>
  <c r="E43" i="4" s="1"/>
  <c r="G28" i="4" s="1"/>
  <c r="D43" i="4"/>
</calcChain>
</file>

<file path=xl/sharedStrings.xml><?xml version="1.0" encoding="utf-8"?>
<sst xmlns="http://schemas.openxmlformats.org/spreadsheetml/2006/main" count="214" uniqueCount="180">
  <si>
    <t>Efectivo y reservas en el banco central</t>
  </si>
  <si>
    <t>Títulos conservados a vencimiento</t>
  </si>
  <si>
    <t xml:space="preserve">   Bonos gubernamentales &lt; 1 año (Nivel 1 para HQLA)</t>
  </si>
  <si>
    <t xml:space="preserve">   Bonos corporativos calif AA- o superior tasa fija (Nivel 2A para HQLA)</t>
  </si>
  <si>
    <t xml:space="preserve">   Bonos corporativos calif BBB- a A+ tasa fija (nivel 2B para HQLA)</t>
  </si>
  <si>
    <t>Cartera de crédito</t>
  </si>
  <si>
    <t xml:space="preserve">    Hipotecario</t>
  </si>
  <si>
    <t xml:space="preserve">   Consumo (tarjetas de crédito, de nómina, personales)</t>
  </si>
  <si>
    <t xml:space="preserve">    PYMES</t>
  </si>
  <si>
    <t xml:space="preserve">    Corporativo (grandes empresas)</t>
  </si>
  <si>
    <t>Activos Fijos</t>
  </si>
  <si>
    <t>Otros activos</t>
  </si>
  <si>
    <t>TOTAL ACTIVO</t>
  </si>
  <si>
    <t>Depósitos a la vista</t>
  </si>
  <si>
    <t>Depósitos a plazo</t>
  </si>
  <si>
    <t xml:space="preserve">    Minoristas (retail)</t>
  </si>
  <si>
    <t xml:space="preserve">    De empresas</t>
  </si>
  <si>
    <t>Bonos emitidos con vencimiento &lt; 1 año</t>
  </si>
  <si>
    <t>Bonos emitidos con vencimiento 1-5 años</t>
  </si>
  <si>
    <t>Bonos emitidos con vencimiento 5-10 años</t>
  </si>
  <si>
    <t>TOTAL PASIVO</t>
  </si>
  <si>
    <t xml:space="preserve">TOTAL CAPITAL </t>
  </si>
  <si>
    <t>Banco del Pacífico</t>
  </si>
  <si>
    <t>Banco del Golfo</t>
  </si>
  <si>
    <t>cifras en millones de pesos</t>
  </si>
  <si>
    <t xml:space="preserve">   Bondes 1-5 años (Nivel 1 para HQLA)</t>
  </si>
  <si>
    <t xml:space="preserve">   Bonos M 1-5 años (Nivel 2A para HQLA)</t>
  </si>
  <si>
    <t>AAA</t>
  </si>
  <si>
    <t>AA+</t>
  </si>
  <si>
    <t>AA</t>
  </si>
  <si>
    <t>AA-</t>
  </si>
  <si>
    <t>A+</t>
  </si>
  <si>
    <t>A</t>
  </si>
  <si>
    <t>A-</t>
  </si>
  <si>
    <t>BBB+</t>
  </si>
  <si>
    <t>BBB</t>
  </si>
  <si>
    <t>BBB-</t>
  </si>
  <si>
    <t>BB+</t>
  </si>
  <si>
    <t>BB</t>
  </si>
  <si>
    <t>BB-</t>
  </si>
  <si>
    <t>B+</t>
  </si>
  <si>
    <t>B</t>
  </si>
  <si>
    <t>B-</t>
  </si>
  <si>
    <t>CCC</t>
  </si>
  <si>
    <t>D</t>
  </si>
  <si>
    <t>máxima calificación crediticia (más seguro)</t>
  </si>
  <si>
    <t>calificación crediticia más baja (más riesgosa, a un paso del default)</t>
  </si>
  <si>
    <t>de aquí hacia arriba es grado de inversión (investment grade), y hacia abajo es grado especulativo (high yield)</t>
  </si>
  <si>
    <t xml:space="preserve">    Instituciones Financieras (sofoms, sofipos, sapis, otros bancos)</t>
  </si>
  <si>
    <t>mientras que para el Banco del Golfo dado su enfoque más en personas morales, el 30% de esos depósitos se consideran estables o core y el 70% se consideran menos estables</t>
  </si>
  <si>
    <t>Riesgo de Liquidez a corto plazo: LCR</t>
  </si>
  <si>
    <t>Riesgo de Liquidez a largo plazo: NSFR</t>
  </si>
  <si>
    <t>Riesgo de Tasas a corto plazo: NII</t>
  </si>
  <si>
    <t>tasa variable promedio de TIIE+4% para el banco del Pacífico y TIIE+3% para el banco del Golfo</t>
  </si>
  <si>
    <t>tasa variable promedio de TIIE+9% para el banco del Pacífico y TIIE+12% para el banco del Golfo</t>
  </si>
  <si>
    <t>tasa fija promedio del 8.5%, duración modificada 2.4</t>
  </si>
  <si>
    <t>tasa variable spread promedio de 19 basis, duración modificada 0.08</t>
  </si>
  <si>
    <t>en México no reciben una tasa como sucede en US (IORB, interest rate on reserve balances)</t>
  </si>
  <si>
    <t>tasa promedio 7.5%, duración modificada 0.2</t>
  </si>
  <si>
    <t>tasa fija promedio del 9%, duración modificada 3.2</t>
  </si>
  <si>
    <t>tasa fija promedio del 9.5%, duración modificada 2.9</t>
  </si>
  <si>
    <t>el 60% del Pacífico es tarjetas a TIIE+36%, el resto del Pacífico es fija promedio 19%, para el Golfo el 50% es tarjeta a TIIE+42%  y lo demás es fija promedio 24%</t>
  </si>
  <si>
    <t>tasa fija promedio del 10.75% para el banco del Pacífico y del 11.50% para el banco del Golfo, duración modificada 8.3 para ambos</t>
  </si>
  <si>
    <t>TOTAL PASIVO Y CAPITAL</t>
  </si>
  <si>
    <t>¿De cuánto es el Net Interest Income de cada banco? Calcular el ROE (return over equity a partir del NII) para cada banco</t>
  </si>
  <si>
    <t>Riesgo de Tasas a largo plazo: Delta EVE</t>
  </si>
  <si>
    <t>¿Calcular el cambio en el Economic Value of Equity ante una subida de 100 puntos base y ante una bajada de 100 puntos base?</t>
  </si>
  <si>
    <t>Si la variación en el EVE es mayor a 15% proponer una estrategia de cobertura con derivados</t>
  </si>
  <si>
    <t>¿En cuánto se modifica el NII de cada banco si hubiera un recorte de 50 basis y si hubiera una alza de 50 basis?</t>
  </si>
  <si>
    <t>¿Cuál banco es asset sensitive y cuál es liability sensitive?</t>
  </si>
  <si>
    <t>Si estamos en la parte final de un ciclo de recortes de tasas (política monetaria expansiva) y se prevé un ciclo de alza de tasas (política monetaria restrictiva) ¿qué recomiendas a cada banco?</t>
  </si>
  <si>
    <t>¿Cuál es el LCR de cada banco? Cumplen con el requisito regulario (mayor a 1.0) ? En caso de que no ¿cómo lo arreglarías?</t>
  </si>
  <si>
    <t>¿Cuál es el NSFR de cada banco? Cumplen con la regulación (mayor a 1.0) ? En caso contrario ¿qué propones para corregirlo?</t>
  </si>
  <si>
    <t>Si estuvieramos en la parte final de un ciclo de alza de tasas y se anticipa el inicio de un ciclo de recortes de tasas ¿qué sugieres a cada banco? (hacer nada, cambios a su estructura de balance, cobertura con derivados)</t>
  </si>
  <si>
    <t>Nivel 1</t>
  </si>
  <si>
    <t>Nivel 2A</t>
  </si>
  <si>
    <t>Nivel 2B</t>
  </si>
  <si>
    <t>Tipo de activo</t>
  </si>
  <si>
    <t>Ponderación</t>
  </si>
  <si>
    <t>sin haircut</t>
  </si>
  <si>
    <t>Bonos soberanos &gt;1 año</t>
  </si>
  <si>
    <t>Bonos corporativos calif AA- o superior</t>
  </si>
  <si>
    <t>Bonos corporativos calif BBB- a A+</t>
  </si>
  <si>
    <t>haircut del 15%</t>
  </si>
  <si>
    <t>haircut del 50%</t>
  </si>
  <si>
    <t>Bonos gubernamentales &lt; 1 año o duración menor a 1</t>
  </si>
  <si>
    <t>Salidas (pasivos) factores de run-off a 30 días</t>
  </si>
  <si>
    <t>Depósitos minoristas core (vista y plazo)</t>
  </si>
  <si>
    <t>Depósitos minoristas menos estables (vista y plazo)</t>
  </si>
  <si>
    <t>Depósitos operacionales de empresas (vista y plazo)</t>
  </si>
  <si>
    <t>Depósitos no operacionales de empresas (vista y plazo)</t>
  </si>
  <si>
    <t>Depósitos no operacioneles de financieras (vista y plazo)</t>
  </si>
  <si>
    <t>Fondeo mayorista garantizado con HQLA Nivel 1</t>
  </si>
  <si>
    <t>Fondeo mayorista garantizado con HQLA Nivel 2A contraparte no financiera</t>
  </si>
  <si>
    <t>Fondeo mayorista garantizado con HQLA Nivel 2A contraparte financiera</t>
  </si>
  <si>
    <t>Fondeo mayorista sin colateral (sin garantía)</t>
  </si>
  <si>
    <r>
      <t xml:space="preserve">    Minoristas (retail)</t>
    </r>
    <r>
      <rPr>
        <vertAlign val="superscript"/>
        <sz val="11"/>
        <color theme="1"/>
        <rFont val="Aptos Narrow"/>
        <family val="2"/>
        <scheme val="minor"/>
      </rPr>
      <t>a</t>
    </r>
  </si>
  <si>
    <r>
      <t xml:space="preserve">    De empresas</t>
    </r>
    <r>
      <rPr>
        <vertAlign val="superscript"/>
        <sz val="11"/>
        <color theme="1"/>
        <rFont val="Aptos Narrow"/>
        <family val="2"/>
        <scheme val="minor"/>
      </rPr>
      <t>b</t>
    </r>
  </si>
  <si>
    <r>
      <t>Fondeo mayorista</t>
    </r>
    <r>
      <rPr>
        <b/>
        <vertAlign val="superscript"/>
        <sz val="11"/>
        <color theme="1"/>
        <rFont val="Aptos Narrow"/>
        <family val="2"/>
        <scheme val="minor"/>
      </rPr>
      <t>c</t>
    </r>
  </si>
  <si>
    <t>(d) El Capital Tier 1 son principalmente 3 componentes: capital aportado por los socios, capital ganando conocido como utilidades retenidas, reservas de capital</t>
  </si>
  <si>
    <t>(e) El Capital Tier 2 son principalmente 2 componentes: bonos perpetuos (sin vencimiento) pero que pagan un cupón trimestral o semestral, y bonos convertibles a acciones (Contingent Convertibles)</t>
  </si>
  <si>
    <r>
      <t>Capital Tier 1</t>
    </r>
    <r>
      <rPr>
        <b/>
        <vertAlign val="superscript"/>
        <sz val="11"/>
        <color theme="1"/>
        <rFont val="Aptos Narrow"/>
        <family val="2"/>
        <scheme val="minor"/>
      </rPr>
      <t>d</t>
    </r>
  </si>
  <si>
    <r>
      <t>Capital Tier 2</t>
    </r>
    <r>
      <rPr>
        <b/>
        <vertAlign val="superscript"/>
        <sz val="11"/>
        <color theme="1"/>
        <rFont val="Aptos Narrow"/>
        <family val="2"/>
        <scheme val="minor"/>
      </rPr>
      <t>e</t>
    </r>
  </si>
  <si>
    <t>(c) las contrapartes en el fondeo mayorista son empresas financieras, algunos con colateral y otros sin colateral</t>
  </si>
  <si>
    <t>En el caso de Banco del Pacífico, todo es con contrapartes financieras, la mitad con colateral Nivel 1 y la otra mitad sin colateral</t>
  </si>
  <si>
    <t>En el caso de Banco del Golfo, el 50% es con contrapartes financieras sin garantía, otro 30% con contrapartes financieras con colateral Nivel 2A y 20% con contrapartes no financieras con colateral Nivel 1</t>
  </si>
  <si>
    <t>tasa promedio 6.5% el Pacífico y 6.75% el Golfo, repricing mitad semanal y mitad mensual</t>
  </si>
  <si>
    <t>(a) Para el Banco del Pacífico dado su enfoque en personas físicas (minorista) el 60% de sus depósitos se consideran estables o core y el 40% se consideran volátiles o menos estables</t>
  </si>
  <si>
    <t>misma situación dada la competencia de los neobancos, Pacífico paga en promedio 4% vs 5% del Golfo</t>
  </si>
  <si>
    <t>(b) Para el Pacífico, el 20% de esos depósitos se consideran "operacionales" de empresa  y el 80% se consideran "no operacionales" de empresa</t>
  </si>
  <si>
    <t>Para el Golfo, el 70% de esos depósitos son considerados "operacionales" de empresa y el 30% "no operacionales" de empresa</t>
  </si>
  <si>
    <t>han tenido que empezar a pagar en función del saldo promedio y de acuerdo al monto, Pacífico paga promedio ponderado 4% vs. 3% del Golfo</t>
  </si>
  <si>
    <t>Pacífico paga tasa promedio del 5% mientras que Golfo paga 4%, repricing mitad mensual y mitad trimestral</t>
  </si>
  <si>
    <t>Pacífico paga tasa ponderada de 5.25% mientras que Golfo paga 6%, repricing 3/4 partes mensual y 1/4 parte trimestral</t>
  </si>
  <si>
    <t>las tasas que pagan por depósitos a la vista, las actualizan en la medida que se mueve la tasa objetivo del banco central por un factor de 0.5</t>
  </si>
  <si>
    <t>El cupón del Pacífico es 10% duración modificada 2.3, el cupón del Golfo es TIIE+1.25% duración modificada 0.08</t>
  </si>
  <si>
    <t>El cupón del Golfo es 8.75% duración modificada 6.4</t>
  </si>
  <si>
    <t>NSFR Factores para RSF (required stable funding)</t>
  </si>
  <si>
    <t>NSFR Factores para ASF (available stable funding)</t>
  </si>
  <si>
    <t>Capital Tier 1 y Tier 2</t>
  </si>
  <si>
    <t>Pasivos con plazo residual mayor a 1 año</t>
  </si>
  <si>
    <t>Depósitos minoristas menos estables (volátiles)</t>
  </si>
  <si>
    <t>Depósitos minoristas estables (core)</t>
  </si>
  <si>
    <t>lo más estable y disponible</t>
  </si>
  <si>
    <t>bonos emitidos, deuda subordinada</t>
  </si>
  <si>
    <t>alta retención histórica (estadísticas)</t>
  </si>
  <si>
    <t>menor retención esperada</t>
  </si>
  <si>
    <t>Depósitos operacionales de empresas no financieras</t>
  </si>
  <si>
    <t>Depósitos no operacionales de empresas no financieras</t>
  </si>
  <si>
    <t>Depósitos operacionales de empresas financieras</t>
  </si>
  <si>
    <t>Depósitos no operacionales de empresas financieras</t>
  </si>
  <si>
    <t>relación operacional con el banco parcialmente estable</t>
  </si>
  <si>
    <t>altamente volátil, no aporta fondeo estable</t>
  </si>
  <si>
    <t>Fondeo mayorista contrapartes no financieras con colateral</t>
  </si>
  <si>
    <t>Fondeo mayorista contrapartes financieras con colateral</t>
  </si>
  <si>
    <t>Fondeo mayorista sin colateral</t>
  </si>
  <si>
    <t>estabilidad relativa</t>
  </si>
  <si>
    <t>Efectivo y depósitos en el banco central</t>
  </si>
  <si>
    <t>HQLA nivel 1</t>
  </si>
  <si>
    <t>HQLA nivel 2A</t>
  </si>
  <si>
    <t>HQLA nivel 2B</t>
  </si>
  <si>
    <t>Hipotecarios</t>
  </si>
  <si>
    <t xml:space="preserve">Créditos a consumo </t>
  </si>
  <si>
    <t>Créditos PYME</t>
  </si>
  <si>
    <t>Créditos a empresas no financieras (corporativos) largo plazo</t>
  </si>
  <si>
    <t>Créditos a instituciones financieras (largo plazo)</t>
  </si>
  <si>
    <t>tasa variable promedio de TIIE+3% para el banco del Pacífico y TIIE+2.5% para el banco del Golfo</t>
  </si>
  <si>
    <t>LCR</t>
  </si>
  <si>
    <t>LCR HQLA</t>
  </si>
  <si>
    <t>LCR del Banco del Pacífico = HQLA / Salidas netas a 30 días</t>
  </si>
  <si>
    <t>esto voy a utilizar en el numerador para calcular el LCR de este banco (Pacífico)</t>
  </si>
  <si>
    <t xml:space="preserve">   Efectivo y reservas en el banco central</t>
  </si>
  <si>
    <t>Salidas (pasivos) run-off a 30 días</t>
  </si>
  <si>
    <t>Depósitos a la vista retail (pf) core</t>
  </si>
  <si>
    <t>Depósitos a la vista retail (pf) no estables, volátiles</t>
  </si>
  <si>
    <t>Depósitos a plazo retail (pf) core</t>
  </si>
  <si>
    <t>Depósitos a plazo retail (pf) volátil</t>
  </si>
  <si>
    <t>Depósitos a la vista empresas (pm) operacional</t>
  </si>
  <si>
    <t>Depósitos a la vista empresas (pm) no operacional o volátil</t>
  </si>
  <si>
    <t>Depósitos a plazo empresas(pm) operacional</t>
  </si>
  <si>
    <t>Depósitos a plazo empresas(pm) no operacional</t>
  </si>
  <si>
    <t>Fondeo mayorista con colateral Nivel1</t>
  </si>
  <si>
    <t>Fondeo mayorista SIN colateral</t>
  </si>
  <si>
    <t>lo que proyecto/espero que salga de cada pasivo a un horizonte de 30 días</t>
  </si>
  <si>
    <t>salidas netas a 30 días</t>
  </si>
  <si>
    <t>cumple con el mínimo</t>
  </si>
  <si>
    <t>NSFR de Banco del Pacífico = Available Stable Funding o Fondeo Estable Disponible / Required Stable Funding o Requerimientos de Fondeo Estable</t>
  </si>
  <si>
    <t>esta cantidad es mi ASF o Fondeo Estable Disponible</t>
  </si>
  <si>
    <t>esta cantidad es mi RSF o Requerimientos de Fondeo Estable</t>
  </si>
  <si>
    <t>NO necesito hacer nada, ya cumple</t>
  </si>
  <si>
    <t>Ingreso por intereses (intereses cobrados)</t>
  </si>
  <si>
    <t>Egreso por intereses (intereses pagados)</t>
  </si>
  <si>
    <t>tasa TIIE28</t>
  </si>
  <si>
    <t>Net Interest Income  (NII)</t>
  </si>
  <si>
    <t>ROE</t>
  </si>
  <si>
    <t>Omito los activos y pasivos a tasa fija porque esos NO se mueven y me centro en los activos y pasivos a tasa variable</t>
  </si>
  <si>
    <t>Cambio en los intereses que recibo (activos que son a tasa variable)</t>
  </si>
  <si>
    <t>Cambio en los intereses que pago (pasivos que son a tasa variable)</t>
  </si>
  <si>
    <t>Mis ingresos se reducen en 21.2 millones pero mis egresos o costo financiero se reduce en 24 millones</t>
  </si>
  <si>
    <t>El banco del Pacífico está expuesto a una subida de tasas, en otras palabras le ayuda o beneficia si las tasas bajan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</si>
</sst>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"/>
    <numFmt numFmtId="169" formatCode="0.0%"/>
  </numFmts>
  <fonts count="1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1" fillId="2" borderId="0" xfId="0" applyFont="1" applyFill="1"/>
    <xf numFmtId="0" fontId="4" fillId="2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5" fillId="0" borderId="0" xfId="0" applyFont="1"/>
    <xf numFmtId="0" fontId="3" fillId="8" borderId="0" xfId="0" applyFont="1" applyFill="1"/>
    <xf numFmtId="3" fontId="0" fillId="8" borderId="0" xfId="0" applyNumberFormat="1" applyFill="1" applyAlignment="1">
      <alignment horizontal="center"/>
    </xf>
    <xf numFmtId="3" fontId="0" fillId="0" borderId="0" xfId="0" applyNumberFormat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right"/>
    </xf>
    <xf numFmtId="0" fontId="10" fillId="0" borderId="0" xfId="0" applyFont="1"/>
    <xf numFmtId="0" fontId="11" fillId="0" borderId="0" xfId="0" applyFont="1"/>
    <xf numFmtId="2" fontId="3" fillId="0" borderId="0" xfId="0" applyNumberFormat="1" applyFont="1"/>
    <xf numFmtId="165" fontId="10" fillId="0" borderId="0" xfId="0" applyNumberFormat="1" applyFont="1"/>
    <xf numFmtId="169" fontId="3" fillId="0" borderId="0" xfId="1" applyNumberFormat="1" applyFont="1"/>
    <xf numFmtId="0" fontId="12" fillId="0" borderId="0" xfId="0" applyFont="1"/>
    <xf numFmtId="0" fontId="13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4</xdr:row>
      <xdr:rowOff>44450</xdr:rowOff>
    </xdr:from>
    <xdr:to>
      <xdr:col>3</xdr:col>
      <xdr:colOff>171450</xdr:colOff>
      <xdr:row>11</xdr:row>
      <xdr:rowOff>165100</xdr:rowOff>
    </xdr:to>
    <xdr:cxnSp macro="">
      <xdr:nvCxnSpPr>
        <xdr:cNvPr id="3" name="Conector recto de flecha 2">
          <a:extLst>
            <a:ext uri="{FF2B5EF4-FFF2-40B4-BE49-F238E27FC236}">
              <a16:creationId xmlns:a16="http://schemas.microsoft.com/office/drawing/2014/main" id="{D0024E61-4953-06D8-9290-E3D53FF6D1DA}"/>
            </a:ext>
          </a:extLst>
        </xdr:cNvPr>
        <xdr:cNvCxnSpPr/>
      </xdr:nvCxnSpPr>
      <xdr:spPr>
        <a:xfrm flipV="1">
          <a:off x="2438400" y="781050"/>
          <a:ext cx="19050" cy="1409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146050</xdr:colOff>
      <xdr:row>13</xdr:row>
      <xdr:rowOff>12700</xdr:rowOff>
    </xdr:from>
    <xdr:to>
      <xdr:col>3</xdr:col>
      <xdr:colOff>158750</xdr:colOff>
      <xdr:row>19</xdr:row>
      <xdr:rowOff>12700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BBD5917-7512-B3D8-AAE6-3C06C03DAE5A}"/>
            </a:ext>
          </a:extLst>
        </xdr:cNvPr>
        <xdr:cNvCxnSpPr/>
      </xdr:nvCxnSpPr>
      <xdr:spPr>
        <a:xfrm flipH="1">
          <a:off x="2432050" y="2406650"/>
          <a:ext cx="12700" cy="1104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CF62-A801-414D-9EAC-B94D521BA74B}">
  <dimension ref="C4:D21"/>
  <sheetViews>
    <sheetView zoomScale="170" zoomScaleNormal="170" workbookViewId="0">
      <selection activeCell="C4" sqref="C4:C21"/>
    </sheetView>
  </sheetViews>
  <sheetFormatPr baseColWidth="10" defaultRowHeight="14.25" x14ac:dyDescent="0.2"/>
  <sheetData>
    <row r="4" spans="3:4" x14ac:dyDescent="0.2">
      <c r="C4" s="4" t="s">
        <v>27</v>
      </c>
      <c r="D4" t="s">
        <v>45</v>
      </c>
    </row>
    <row r="5" spans="3:4" x14ac:dyDescent="0.2">
      <c r="C5" s="5" t="s">
        <v>28</v>
      </c>
    </row>
    <row r="6" spans="3:4" x14ac:dyDescent="0.2">
      <c r="C6" s="5" t="s">
        <v>29</v>
      </c>
    </row>
    <row r="7" spans="3:4" x14ac:dyDescent="0.2">
      <c r="C7" s="5" t="s">
        <v>30</v>
      </c>
    </row>
    <row r="8" spans="3:4" x14ac:dyDescent="0.2">
      <c r="C8" s="6" t="s">
        <v>31</v>
      </c>
    </row>
    <row r="9" spans="3:4" x14ac:dyDescent="0.2">
      <c r="C9" s="6" t="s">
        <v>32</v>
      </c>
    </row>
    <row r="10" spans="3:4" x14ac:dyDescent="0.2">
      <c r="C10" s="6" t="s">
        <v>33</v>
      </c>
    </row>
    <row r="11" spans="3:4" x14ac:dyDescent="0.2">
      <c r="C11" s="7" t="s">
        <v>34</v>
      </c>
    </row>
    <row r="12" spans="3:4" x14ac:dyDescent="0.2">
      <c r="C12" s="7" t="s">
        <v>35</v>
      </c>
    </row>
    <row r="13" spans="3:4" x14ac:dyDescent="0.2">
      <c r="C13" s="7" t="s">
        <v>36</v>
      </c>
      <c r="D13" t="s">
        <v>47</v>
      </c>
    </row>
    <row r="14" spans="3:4" x14ac:dyDescent="0.2">
      <c r="C14" s="8" t="s">
        <v>37</v>
      </c>
    </row>
    <row r="15" spans="3:4" x14ac:dyDescent="0.2">
      <c r="C15" s="8" t="s">
        <v>38</v>
      </c>
    </row>
    <row r="16" spans="3:4" x14ac:dyDescent="0.2">
      <c r="C16" s="8" t="s">
        <v>39</v>
      </c>
    </row>
    <row r="17" spans="3:4" x14ac:dyDescent="0.2">
      <c r="C17" s="9" t="s">
        <v>40</v>
      </c>
    </row>
    <row r="18" spans="3:4" x14ac:dyDescent="0.2">
      <c r="C18" s="9" t="s">
        <v>41</v>
      </c>
    </row>
    <row r="19" spans="3:4" x14ac:dyDescent="0.2">
      <c r="C19" s="9" t="s">
        <v>42</v>
      </c>
    </row>
    <row r="20" spans="3:4" x14ac:dyDescent="0.2">
      <c r="C20" s="10" t="s">
        <v>43</v>
      </c>
      <c r="D20" t="s">
        <v>46</v>
      </c>
    </row>
    <row r="21" spans="3:4" x14ac:dyDescent="0.2">
      <c r="C21" s="10" t="s">
        <v>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754C-AA6B-4A86-80D8-2C8E7C8B8378}">
  <dimension ref="A2:E45"/>
  <sheetViews>
    <sheetView showGridLines="0" topLeftCell="A23" zoomScale="160" zoomScaleNormal="160" workbookViewId="0">
      <selection activeCell="C37" sqref="C37:D45"/>
    </sheetView>
  </sheetViews>
  <sheetFormatPr baseColWidth="10" defaultRowHeight="14.25" x14ac:dyDescent="0.2"/>
  <cols>
    <col min="3" max="3" width="61.875" bestFit="1" customWidth="1"/>
    <col min="5" max="5" width="13.25" bestFit="1" customWidth="1"/>
  </cols>
  <sheetData>
    <row r="2" spans="1:5" ht="15" x14ac:dyDescent="0.25">
      <c r="B2" s="1" t="s">
        <v>148</v>
      </c>
      <c r="C2" s="1" t="s">
        <v>77</v>
      </c>
      <c r="D2" s="4" t="s">
        <v>78</v>
      </c>
    </row>
    <row r="3" spans="1:5" x14ac:dyDescent="0.2">
      <c r="B3" t="s">
        <v>74</v>
      </c>
      <c r="C3" t="s">
        <v>0</v>
      </c>
      <c r="D3" s="20">
        <v>1</v>
      </c>
      <c r="E3" t="s">
        <v>79</v>
      </c>
    </row>
    <row r="4" spans="1:5" x14ac:dyDescent="0.2">
      <c r="B4" t="s">
        <v>74</v>
      </c>
      <c r="C4" t="s">
        <v>85</v>
      </c>
      <c r="D4" s="20">
        <v>1</v>
      </c>
      <c r="E4" t="s">
        <v>79</v>
      </c>
    </row>
    <row r="5" spans="1:5" x14ac:dyDescent="0.2">
      <c r="B5" t="s">
        <v>75</v>
      </c>
      <c r="C5" t="s">
        <v>80</v>
      </c>
      <c r="D5" s="20">
        <v>0.85</v>
      </c>
      <c r="E5" t="s">
        <v>83</v>
      </c>
    </row>
    <row r="6" spans="1:5" x14ac:dyDescent="0.2">
      <c r="B6" t="s">
        <v>75</v>
      </c>
      <c r="C6" t="s">
        <v>81</v>
      </c>
      <c r="D6" s="20">
        <v>0.85</v>
      </c>
      <c r="E6" t="s">
        <v>83</v>
      </c>
    </row>
    <row r="7" spans="1:5" x14ac:dyDescent="0.2">
      <c r="B7" t="s">
        <v>76</v>
      </c>
      <c r="C7" t="s">
        <v>82</v>
      </c>
      <c r="D7" s="20">
        <v>0.5</v>
      </c>
      <c r="E7" t="s">
        <v>84</v>
      </c>
    </row>
    <row r="10" spans="1:5" ht="15" x14ac:dyDescent="0.25">
      <c r="A10" s="21" t="s">
        <v>147</v>
      </c>
      <c r="B10" s="1" t="s">
        <v>86</v>
      </c>
    </row>
    <row r="11" spans="1:5" x14ac:dyDescent="0.2">
      <c r="C11" t="s">
        <v>87</v>
      </c>
      <c r="D11" s="20">
        <v>0.03</v>
      </c>
    </row>
    <row r="12" spans="1:5" x14ac:dyDescent="0.2">
      <c r="C12" t="s">
        <v>88</v>
      </c>
      <c r="D12" s="20">
        <v>0.1</v>
      </c>
    </row>
    <row r="13" spans="1:5" x14ac:dyDescent="0.2">
      <c r="C13" t="s">
        <v>89</v>
      </c>
      <c r="D13" s="20">
        <v>0.25</v>
      </c>
    </row>
    <row r="14" spans="1:5" x14ac:dyDescent="0.2">
      <c r="C14" t="s">
        <v>90</v>
      </c>
      <c r="D14" s="20">
        <v>0.4</v>
      </c>
    </row>
    <row r="15" spans="1:5" x14ac:dyDescent="0.2">
      <c r="C15" t="s">
        <v>91</v>
      </c>
      <c r="D15" s="20">
        <v>1</v>
      </c>
    </row>
    <row r="16" spans="1:5" x14ac:dyDescent="0.2">
      <c r="D16" s="4"/>
    </row>
    <row r="17" spans="2:5" x14ac:dyDescent="0.2">
      <c r="C17" t="s">
        <v>92</v>
      </c>
      <c r="D17" s="20">
        <v>0</v>
      </c>
    </row>
    <row r="18" spans="2:5" x14ac:dyDescent="0.2">
      <c r="C18" t="s">
        <v>93</v>
      </c>
      <c r="D18" s="20">
        <v>0.15</v>
      </c>
    </row>
    <row r="19" spans="2:5" x14ac:dyDescent="0.2">
      <c r="C19" t="s">
        <v>94</v>
      </c>
      <c r="D19" s="20">
        <v>0.25</v>
      </c>
    </row>
    <row r="20" spans="2:5" x14ac:dyDescent="0.2">
      <c r="C20" t="s">
        <v>95</v>
      </c>
      <c r="D20" s="20">
        <v>1</v>
      </c>
    </row>
    <row r="23" spans="2:5" ht="15" x14ac:dyDescent="0.25">
      <c r="B23" s="1" t="s">
        <v>118</v>
      </c>
    </row>
    <row r="24" spans="2:5" x14ac:dyDescent="0.2">
      <c r="C24" t="s">
        <v>119</v>
      </c>
      <c r="D24" s="19">
        <v>1</v>
      </c>
      <c r="E24" t="s">
        <v>123</v>
      </c>
    </row>
    <row r="25" spans="2:5" x14ac:dyDescent="0.2">
      <c r="C25" t="s">
        <v>120</v>
      </c>
      <c r="D25" s="19">
        <v>1</v>
      </c>
      <c r="E25" t="s">
        <v>124</v>
      </c>
    </row>
    <row r="26" spans="2:5" x14ac:dyDescent="0.2">
      <c r="C26" t="s">
        <v>122</v>
      </c>
      <c r="D26" s="19">
        <v>0.95</v>
      </c>
      <c r="E26" t="s">
        <v>125</v>
      </c>
    </row>
    <row r="27" spans="2:5" x14ac:dyDescent="0.2">
      <c r="C27" t="s">
        <v>121</v>
      </c>
      <c r="D27" s="19">
        <v>0.9</v>
      </c>
      <c r="E27" t="s">
        <v>126</v>
      </c>
    </row>
    <row r="28" spans="2:5" x14ac:dyDescent="0.2">
      <c r="C28" t="s">
        <v>127</v>
      </c>
      <c r="D28" s="19">
        <v>0.75</v>
      </c>
      <c r="E28" t="s">
        <v>131</v>
      </c>
    </row>
    <row r="29" spans="2:5" x14ac:dyDescent="0.2">
      <c r="C29" t="s">
        <v>128</v>
      </c>
      <c r="D29" s="19">
        <v>0</v>
      </c>
      <c r="E29" t="s">
        <v>132</v>
      </c>
    </row>
    <row r="30" spans="2:5" x14ac:dyDescent="0.2">
      <c r="C30" t="s">
        <v>129</v>
      </c>
      <c r="D30" s="19">
        <v>0.5</v>
      </c>
      <c r="E30" t="s">
        <v>131</v>
      </c>
    </row>
    <row r="31" spans="2:5" x14ac:dyDescent="0.2">
      <c r="C31" t="s">
        <v>130</v>
      </c>
      <c r="D31" s="19">
        <v>0</v>
      </c>
      <c r="E31" t="s">
        <v>132</v>
      </c>
    </row>
    <row r="32" spans="2:5" x14ac:dyDescent="0.2">
      <c r="C32" t="s">
        <v>133</v>
      </c>
      <c r="D32" s="19">
        <v>0.6</v>
      </c>
      <c r="E32" t="s">
        <v>136</v>
      </c>
    </row>
    <row r="33" spans="2:5" x14ac:dyDescent="0.2">
      <c r="C33" t="s">
        <v>134</v>
      </c>
      <c r="D33" s="19">
        <v>0.4</v>
      </c>
      <c r="E33" t="s">
        <v>136</v>
      </c>
    </row>
    <row r="34" spans="2:5" x14ac:dyDescent="0.2">
      <c r="C34" t="s">
        <v>135</v>
      </c>
      <c r="D34" s="19">
        <v>0</v>
      </c>
      <c r="E34" t="s">
        <v>132</v>
      </c>
    </row>
    <row r="36" spans="2:5" ht="15" x14ac:dyDescent="0.25">
      <c r="B36" s="1" t="s">
        <v>117</v>
      </c>
    </row>
    <row r="37" spans="2:5" x14ac:dyDescent="0.2">
      <c r="C37" t="s">
        <v>137</v>
      </c>
      <c r="D37" s="19">
        <v>0</v>
      </c>
    </row>
    <row r="38" spans="2:5" x14ac:dyDescent="0.2">
      <c r="C38" t="s">
        <v>138</v>
      </c>
      <c r="D38" s="19">
        <v>0.05</v>
      </c>
    </row>
    <row r="39" spans="2:5" x14ac:dyDescent="0.2">
      <c r="C39" t="s">
        <v>139</v>
      </c>
      <c r="D39" s="19">
        <v>0.15</v>
      </c>
    </row>
    <row r="40" spans="2:5" x14ac:dyDescent="0.2">
      <c r="C40" t="s">
        <v>140</v>
      </c>
      <c r="D40" s="19">
        <v>0.5</v>
      </c>
    </row>
    <row r="41" spans="2:5" x14ac:dyDescent="0.2">
      <c r="C41" t="s">
        <v>141</v>
      </c>
      <c r="D41" s="19">
        <v>0.65</v>
      </c>
    </row>
    <row r="42" spans="2:5" x14ac:dyDescent="0.2">
      <c r="C42" t="s">
        <v>142</v>
      </c>
      <c r="D42" s="19">
        <v>0.5</v>
      </c>
    </row>
    <row r="43" spans="2:5" x14ac:dyDescent="0.2">
      <c r="C43" t="s">
        <v>143</v>
      </c>
      <c r="D43" s="19">
        <v>0.65</v>
      </c>
    </row>
    <row r="44" spans="2:5" x14ac:dyDescent="0.2">
      <c r="C44" t="s">
        <v>144</v>
      </c>
      <c r="D44" s="19">
        <v>0.65</v>
      </c>
    </row>
    <row r="45" spans="2:5" x14ac:dyDescent="0.2">
      <c r="C45" t="s">
        <v>145</v>
      </c>
      <c r="D45" s="19">
        <v>1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9BF25-17BA-4151-8C3F-D8B16DB768B2}">
  <dimension ref="A3:F35"/>
  <sheetViews>
    <sheetView topLeftCell="A4" zoomScale="140" zoomScaleNormal="140" workbookViewId="0">
      <selection activeCell="E27" sqref="E27"/>
    </sheetView>
  </sheetViews>
  <sheetFormatPr baseColWidth="10" defaultRowHeight="14.25" x14ac:dyDescent="0.2"/>
  <cols>
    <col min="2" max="2" width="57" bestFit="1" customWidth="1"/>
    <col min="3" max="3" width="17.375" bestFit="1" customWidth="1"/>
    <col min="4" max="4" width="15.125" bestFit="1" customWidth="1"/>
  </cols>
  <sheetData>
    <row r="3" spans="1:5" ht="15" x14ac:dyDescent="0.25">
      <c r="B3" s="3" t="s">
        <v>24</v>
      </c>
      <c r="C3" s="2" t="s">
        <v>22</v>
      </c>
      <c r="D3" s="2" t="s">
        <v>23</v>
      </c>
    </row>
    <row r="4" spans="1:5" ht="15" x14ac:dyDescent="0.25">
      <c r="B4" s="1" t="s">
        <v>0</v>
      </c>
      <c r="C4" s="11">
        <v>450</v>
      </c>
      <c r="D4" s="11">
        <v>240</v>
      </c>
      <c r="E4" s="15" t="s">
        <v>57</v>
      </c>
    </row>
    <row r="5" spans="1:5" ht="15" x14ac:dyDescent="0.25">
      <c r="B5" s="1" t="s">
        <v>1</v>
      </c>
      <c r="C5" s="11">
        <f>SUM(C6:C10)</f>
        <v>670</v>
      </c>
      <c r="D5" s="11">
        <f>SUM(D6:D10)</f>
        <v>980</v>
      </c>
    </row>
    <row r="6" spans="1:5" x14ac:dyDescent="0.2">
      <c r="A6">
        <f>C6*0.075</f>
        <v>13.5</v>
      </c>
      <c r="B6" t="s">
        <v>2</v>
      </c>
      <c r="C6" s="4">
        <v>180</v>
      </c>
      <c r="D6" s="4">
        <v>160</v>
      </c>
      <c r="E6" s="15" t="s">
        <v>58</v>
      </c>
    </row>
    <row r="7" spans="1:5" x14ac:dyDescent="0.2">
      <c r="A7">
        <f>C7*(0.0674+0.0019)</f>
        <v>16.632000000000001</v>
      </c>
      <c r="B7" t="s">
        <v>25</v>
      </c>
      <c r="C7" s="4">
        <v>240</v>
      </c>
      <c r="D7" s="4">
        <v>120</v>
      </c>
      <c r="E7" s="15" t="s">
        <v>56</v>
      </c>
    </row>
    <row r="8" spans="1:5" x14ac:dyDescent="0.2">
      <c r="A8">
        <f>C8*0.085</f>
        <v>12.750000000000002</v>
      </c>
      <c r="B8" t="s">
        <v>26</v>
      </c>
      <c r="C8" s="4">
        <v>150</v>
      </c>
      <c r="D8" s="4">
        <v>300</v>
      </c>
      <c r="E8" s="15" t="s">
        <v>55</v>
      </c>
    </row>
    <row r="9" spans="1:5" x14ac:dyDescent="0.2">
      <c r="A9">
        <f>C9*0.09</f>
        <v>9</v>
      </c>
      <c r="B9" t="s">
        <v>3</v>
      </c>
      <c r="C9" s="4">
        <v>100</v>
      </c>
      <c r="D9" s="4">
        <v>250</v>
      </c>
      <c r="E9" s="15" t="s">
        <v>59</v>
      </c>
    </row>
    <row r="10" spans="1:5" x14ac:dyDescent="0.2">
      <c r="A10">
        <f>C10*0.095</f>
        <v>0</v>
      </c>
      <c r="B10" t="s">
        <v>4</v>
      </c>
      <c r="C10" s="4">
        <v>0</v>
      </c>
      <c r="D10" s="4">
        <v>150</v>
      </c>
      <c r="E10" s="15" t="s">
        <v>60</v>
      </c>
    </row>
    <row r="11" spans="1:5" ht="15" x14ac:dyDescent="0.25">
      <c r="B11" s="1" t="s">
        <v>5</v>
      </c>
      <c r="C11" s="12">
        <f>SUM(C12:C16)</f>
        <v>6500</v>
      </c>
      <c r="D11" s="12">
        <f t="shared" ref="D11" si="0">SUM(D12:D16)</f>
        <v>6500</v>
      </c>
    </row>
    <row r="12" spans="1:5" x14ac:dyDescent="0.2">
      <c r="A12">
        <f>C12*0.1075</f>
        <v>161.25</v>
      </c>
      <c r="B12" t="s">
        <v>6</v>
      </c>
      <c r="C12" s="13">
        <v>1500</v>
      </c>
      <c r="D12" s="13">
        <v>900</v>
      </c>
      <c r="E12" s="15" t="s">
        <v>62</v>
      </c>
    </row>
    <row r="13" spans="1:5" x14ac:dyDescent="0.2">
      <c r="A13">
        <f>(C13*0.6*0.43)+(C13*0.4*0.19)</f>
        <v>835</v>
      </c>
      <c r="B13" t="s">
        <v>7</v>
      </c>
      <c r="C13" s="13">
        <v>2500</v>
      </c>
      <c r="D13" s="13">
        <v>1700</v>
      </c>
      <c r="E13" s="15" t="s">
        <v>61</v>
      </c>
    </row>
    <row r="14" spans="1:5" x14ac:dyDescent="0.2">
      <c r="A14">
        <f>C14*0.16</f>
        <v>128</v>
      </c>
      <c r="B14" t="s">
        <v>8</v>
      </c>
      <c r="C14" s="13">
        <v>800</v>
      </c>
      <c r="D14" s="13">
        <v>600</v>
      </c>
      <c r="E14" s="15" t="s">
        <v>54</v>
      </c>
    </row>
    <row r="15" spans="1:5" x14ac:dyDescent="0.2">
      <c r="A15">
        <f>C15*0.11</f>
        <v>132</v>
      </c>
      <c r="B15" t="s">
        <v>9</v>
      </c>
      <c r="C15" s="13">
        <v>1200</v>
      </c>
      <c r="D15" s="13">
        <v>1900</v>
      </c>
      <c r="E15" s="15" t="s">
        <v>53</v>
      </c>
    </row>
    <row r="16" spans="1:5" x14ac:dyDescent="0.2">
      <c r="A16">
        <f>C16*0.1</f>
        <v>50</v>
      </c>
      <c r="B16" t="s">
        <v>48</v>
      </c>
      <c r="C16" s="13">
        <v>500</v>
      </c>
      <c r="D16" s="13">
        <v>1400</v>
      </c>
      <c r="E16" s="15" t="s">
        <v>146</v>
      </c>
    </row>
    <row r="17" spans="1:6" ht="15" x14ac:dyDescent="0.25">
      <c r="B17" s="1" t="s">
        <v>10</v>
      </c>
      <c r="C17" s="12">
        <v>330</v>
      </c>
      <c r="D17" s="12">
        <v>270</v>
      </c>
    </row>
    <row r="18" spans="1:6" ht="15" x14ac:dyDescent="0.25">
      <c r="B18" s="1" t="s">
        <v>11</v>
      </c>
      <c r="C18" s="12">
        <v>48</v>
      </c>
      <c r="D18" s="12">
        <v>64</v>
      </c>
      <c r="E18" s="18"/>
      <c r="F18" s="18"/>
    </row>
    <row r="19" spans="1:6" ht="15" x14ac:dyDescent="0.25">
      <c r="B19" s="2" t="s">
        <v>12</v>
      </c>
      <c r="C19" s="14">
        <f>C4+C5+C11+C17+C18</f>
        <v>7998</v>
      </c>
      <c r="D19" s="14">
        <f>D4+D5+D11+D17+D18</f>
        <v>8054</v>
      </c>
    </row>
    <row r="20" spans="1:6" ht="15" x14ac:dyDescent="0.25">
      <c r="B20" s="1" t="s">
        <v>13</v>
      </c>
      <c r="C20" s="12">
        <f>C21+C22</f>
        <v>2700</v>
      </c>
      <c r="D20" s="12">
        <f>D21+D22</f>
        <v>3200</v>
      </c>
      <c r="E20" s="15" t="s">
        <v>114</v>
      </c>
    </row>
    <row r="21" spans="1:6" ht="16.5" x14ac:dyDescent="0.2">
      <c r="A21">
        <f>C21*0.04</f>
        <v>84</v>
      </c>
      <c r="B21" t="s">
        <v>96</v>
      </c>
      <c r="C21" s="13">
        <v>2100</v>
      </c>
      <c r="D21" s="13">
        <v>1400</v>
      </c>
      <c r="E21" s="15" t="s">
        <v>111</v>
      </c>
    </row>
    <row r="22" spans="1:6" ht="16.5" x14ac:dyDescent="0.2">
      <c r="A22">
        <f>C22*0.04</f>
        <v>24</v>
      </c>
      <c r="B22" t="s">
        <v>97</v>
      </c>
      <c r="C22" s="13">
        <v>600</v>
      </c>
      <c r="D22" s="13">
        <v>1800</v>
      </c>
      <c r="E22" s="15" t="s">
        <v>108</v>
      </c>
    </row>
    <row r="23" spans="1:6" ht="15" x14ac:dyDescent="0.25">
      <c r="B23" s="1" t="s">
        <v>14</v>
      </c>
      <c r="C23" s="12">
        <f>C24+C25</f>
        <v>2300</v>
      </c>
      <c r="D23" s="12">
        <f>D24+D25</f>
        <v>2300</v>
      </c>
      <c r="E23" s="15"/>
    </row>
    <row r="24" spans="1:6" x14ac:dyDescent="0.2">
      <c r="A24">
        <f>C24*0.05</f>
        <v>95</v>
      </c>
      <c r="B24" t="s">
        <v>15</v>
      </c>
      <c r="C24" s="13">
        <v>1900</v>
      </c>
      <c r="D24" s="13">
        <v>1200</v>
      </c>
      <c r="E24" s="15" t="s">
        <v>112</v>
      </c>
    </row>
    <row r="25" spans="1:6" x14ac:dyDescent="0.2">
      <c r="A25">
        <f>C25*0.0525</f>
        <v>21</v>
      </c>
      <c r="B25" t="s">
        <v>16</v>
      </c>
      <c r="C25" s="13">
        <v>400</v>
      </c>
      <c r="D25" s="13">
        <v>1100</v>
      </c>
      <c r="E25" s="15" t="s">
        <v>113</v>
      </c>
    </row>
    <row r="26" spans="1:6" ht="17.25" x14ac:dyDescent="0.25">
      <c r="A26">
        <f>C26*0.065</f>
        <v>48.75</v>
      </c>
      <c r="B26" s="1" t="s">
        <v>98</v>
      </c>
      <c r="C26" s="12">
        <v>750</v>
      </c>
      <c r="D26" s="12">
        <v>900</v>
      </c>
      <c r="E26" s="15" t="s">
        <v>106</v>
      </c>
    </row>
    <row r="27" spans="1:6" ht="15" x14ac:dyDescent="0.25">
      <c r="A27">
        <f>C27*0.07</f>
        <v>28.000000000000004</v>
      </c>
      <c r="B27" s="1" t="s">
        <v>17</v>
      </c>
      <c r="C27" s="12">
        <v>400</v>
      </c>
      <c r="D27" s="12">
        <v>0</v>
      </c>
      <c r="E27" s="15" t="s">
        <v>172</v>
      </c>
    </row>
    <row r="28" spans="1:6" ht="15" x14ac:dyDescent="0.25">
      <c r="A28">
        <f>C28*0.1</f>
        <v>100</v>
      </c>
      <c r="B28" s="1" t="s">
        <v>18</v>
      </c>
      <c r="C28" s="12">
        <v>1000</v>
      </c>
      <c r="D28" s="12">
        <v>500</v>
      </c>
      <c r="E28" s="15" t="s">
        <v>115</v>
      </c>
    </row>
    <row r="29" spans="1:6" ht="15" x14ac:dyDescent="0.25">
      <c r="A29" s="18">
        <f>C29</f>
        <v>0</v>
      </c>
      <c r="B29" s="1" t="s">
        <v>19</v>
      </c>
      <c r="C29" s="12">
        <v>0</v>
      </c>
      <c r="D29" s="12">
        <v>500</v>
      </c>
      <c r="E29" s="15" t="s">
        <v>116</v>
      </c>
    </row>
    <row r="30" spans="1:6" ht="15" x14ac:dyDescent="0.25">
      <c r="B30" s="2" t="s">
        <v>20</v>
      </c>
      <c r="C30" s="14">
        <f>C20+C23+C26+C27+C28+C29</f>
        <v>7150</v>
      </c>
      <c r="D30" s="14">
        <f t="shared" ref="D30" si="1">D20+D23+D26+D27+D28+D29</f>
        <v>7400</v>
      </c>
    </row>
    <row r="31" spans="1:6" ht="17.25" x14ac:dyDescent="0.25">
      <c r="B31" s="1" t="s">
        <v>101</v>
      </c>
      <c r="C31" s="13">
        <v>848</v>
      </c>
      <c r="D31" s="13">
        <v>654</v>
      </c>
    </row>
    <row r="32" spans="1:6" ht="17.25" x14ac:dyDescent="0.25">
      <c r="B32" s="1" t="s">
        <v>102</v>
      </c>
      <c r="C32" s="13">
        <v>0</v>
      </c>
      <c r="D32" s="13">
        <v>0</v>
      </c>
    </row>
    <row r="33" spans="2:5" ht="15" x14ac:dyDescent="0.25">
      <c r="B33" s="2" t="s">
        <v>21</v>
      </c>
      <c r="C33" s="14">
        <f>C31+C32</f>
        <v>848</v>
      </c>
      <c r="D33" s="14">
        <f t="shared" ref="D33" si="2">D31+D32</f>
        <v>654</v>
      </c>
      <c r="E33" s="18"/>
    </row>
    <row r="34" spans="2:5" ht="15" x14ac:dyDescent="0.25">
      <c r="B34" s="16" t="s">
        <v>63</v>
      </c>
      <c r="C34" s="17">
        <f>C30+C33</f>
        <v>7998</v>
      </c>
      <c r="D34" s="17">
        <f>D30+D33</f>
        <v>8054</v>
      </c>
    </row>
    <row r="35" spans="2:5" x14ac:dyDescent="0.2">
      <c r="C35" s="18"/>
    </row>
  </sheetData>
  <phoneticPr fontId="6" type="noConversion"/>
  <pageMargins left="0.7" right="0.7" top="0.75" bottom="0.75" header="0.3" footer="0.3"/>
  <ignoredErrors>
    <ignoredError sqref="C11:D1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009D-3B7D-4BAE-A4FC-5592ACEB208D}">
  <dimension ref="B2:I14"/>
  <sheetViews>
    <sheetView topLeftCell="B1" zoomScale="150" zoomScaleNormal="150" workbookViewId="0">
      <selection activeCell="M10" sqref="M10"/>
    </sheetView>
  </sheetViews>
  <sheetFormatPr baseColWidth="10" defaultRowHeight="14.25" x14ac:dyDescent="0.2"/>
  <sheetData>
    <row r="2" spans="2:9" x14ac:dyDescent="0.2">
      <c r="B2" t="s">
        <v>107</v>
      </c>
    </row>
    <row r="3" spans="2:9" x14ac:dyDescent="0.2">
      <c r="B3" t="s">
        <v>49</v>
      </c>
    </row>
    <row r="5" spans="2:9" x14ac:dyDescent="0.2">
      <c r="B5" t="s">
        <v>109</v>
      </c>
    </row>
    <row r="6" spans="2:9" x14ac:dyDescent="0.2">
      <c r="B6" t="s">
        <v>110</v>
      </c>
    </row>
    <row r="8" spans="2:9" ht="15" x14ac:dyDescent="0.25">
      <c r="B8" s="1" t="s">
        <v>103</v>
      </c>
      <c r="C8" s="1"/>
      <c r="D8" s="1"/>
      <c r="E8" s="1"/>
      <c r="F8" s="1"/>
      <c r="G8" s="1"/>
      <c r="H8" s="1"/>
      <c r="I8" s="1"/>
    </row>
    <row r="9" spans="2:9" x14ac:dyDescent="0.2">
      <c r="B9" t="s">
        <v>104</v>
      </c>
    </row>
    <row r="10" spans="2:9" x14ac:dyDescent="0.2">
      <c r="B10" t="s">
        <v>105</v>
      </c>
    </row>
    <row r="12" spans="2:9" x14ac:dyDescent="0.2">
      <c r="B12" t="s">
        <v>99</v>
      </c>
    </row>
    <row r="14" spans="2:9" x14ac:dyDescent="0.2">
      <c r="B14" t="s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0DA6-858C-45A4-94FD-7E19093F7A5F}">
  <dimension ref="B2:H77"/>
  <sheetViews>
    <sheetView tabSelected="1" topLeftCell="A62" zoomScale="150" zoomScaleNormal="150" workbookViewId="0">
      <selection activeCell="B81" sqref="B81"/>
    </sheetView>
  </sheetViews>
  <sheetFormatPr baseColWidth="10" defaultRowHeight="14.25" x14ac:dyDescent="0.2"/>
  <cols>
    <col min="2" max="2" width="52.75" customWidth="1"/>
    <col min="3" max="3" width="8.5" customWidth="1"/>
  </cols>
  <sheetData>
    <row r="2" spans="2:5" ht="15" x14ac:dyDescent="0.25">
      <c r="B2" s="1" t="s">
        <v>50</v>
      </c>
    </row>
    <row r="3" spans="2:5" x14ac:dyDescent="0.2">
      <c r="B3" t="s">
        <v>71</v>
      </c>
    </row>
    <row r="4" spans="2:5" ht="15" x14ac:dyDescent="0.25">
      <c r="B4" s="22" t="s">
        <v>149</v>
      </c>
      <c r="C4" s="24">
        <f>D11/E26</f>
        <v>1.107983623336745</v>
      </c>
      <c r="D4" t="s">
        <v>165</v>
      </c>
    </row>
    <row r="5" spans="2:5" x14ac:dyDescent="0.2">
      <c r="B5" s="23" t="s">
        <v>151</v>
      </c>
      <c r="C5" s="4">
        <v>450</v>
      </c>
      <c r="D5">
        <f>C5*1</f>
        <v>450</v>
      </c>
    </row>
    <row r="6" spans="2:5" x14ac:dyDescent="0.2">
      <c r="B6" t="s">
        <v>2</v>
      </c>
      <c r="C6" s="4">
        <v>180</v>
      </c>
      <c r="D6">
        <f>C6*1</f>
        <v>180</v>
      </c>
    </row>
    <row r="7" spans="2:5" x14ac:dyDescent="0.2">
      <c r="B7" t="s">
        <v>25</v>
      </c>
      <c r="C7" s="4">
        <v>240</v>
      </c>
      <c r="D7">
        <f>C7*1</f>
        <v>240</v>
      </c>
    </row>
    <row r="8" spans="2:5" x14ac:dyDescent="0.2">
      <c r="B8" t="s">
        <v>26</v>
      </c>
      <c r="C8" s="4">
        <v>150</v>
      </c>
      <c r="D8">
        <f>C8*0.85</f>
        <v>127.5</v>
      </c>
    </row>
    <row r="9" spans="2:5" x14ac:dyDescent="0.2">
      <c r="B9" t="s">
        <v>3</v>
      </c>
      <c r="C9" s="4">
        <v>100</v>
      </c>
      <c r="D9">
        <f>C9*0.85</f>
        <v>85</v>
      </c>
    </row>
    <row r="10" spans="2:5" x14ac:dyDescent="0.2">
      <c r="B10" t="s">
        <v>4</v>
      </c>
      <c r="C10" s="4">
        <v>0</v>
      </c>
      <c r="D10">
        <f>C10*0.5</f>
        <v>0</v>
      </c>
    </row>
    <row r="11" spans="2:5" ht="15" x14ac:dyDescent="0.25">
      <c r="C11" s="4"/>
      <c r="D11" s="1">
        <f>SUM(D5:D10)</f>
        <v>1082.5</v>
      </c>
      <c r="E11" s="1" t="s">
        <v>150</v>
      </c>
    </row>
    <row r="12" spans="2:5" x14ac:dyDescent="0.2">
      <c r="C12" s="4"/>
    </row>
    <row r="13" spans="2:5" x14ac:dyDescent="0.2">
      <c r="B13" t="s">
        <v>152</v>
      </c>
      <c r="C13" s="4"/>
      <c r="E13" t="s">
        <v>163</v>
      </c>
    </row>
    <row r="14" spans="2:5" x14ac:dyDescent="0.2">
      <c r="B14" t="s">
        <v>153</v>
      </c>
      <c r="C14" s="4">
        <f>2100*0.6</f>
        <v>1260</v>
      </c>
      <c r="D14" s="19">
        <v>0.03</v>
      </c>
      <c r="E14">
        <f>C14*D14</f>
        <v>37.799999999999997</v>
      </c>
    </row>
    <row r="15" spans="2:5" x14ac:dyDescent="0.2">
      <c r="B15" t="s">
        <v>154</v>
      </c>
      <c r="C15" s="4">
        <f>2100*0.4</f>
        <v>840</v>
      </c>
      <c r="D15" s="19">
        <v>0.1</v>
      </c>
      <c r="E15">
        <f t="shared" ref="E15:E24" si="0">C15*D15</f>
        <v>84</v>
      </c>
    </row>
    <row r="16" spans="2:5" x14ac:dyDescent="0.2">
      <c r="B16" s="22" t="s">
        <v>157</v>
      </c>
      <c r="C16" s="4">
        <f>600*0.2</f>
        <v>120</v>
      </c>
      <c r="D16" s="19">
        <v>0.25</v>
      </c>
      <c r="E16">
        <f t="shared" si="0"/>
        <v>30</v>
      </c>
    </row>
    <row r="17" spans="2:8" x14ac:dyDescent="0.2">
      <c r="B17" s="22" t="s">
        <v>158</v>
      </c>
      <c r="C17" s="4">
        <f>600*0.8</f>
        <v>480</v>
      </c>
      <c r="D17" s="19">
        <v>0.4</v>
      </c>
      <c r="E17">
        <f t="shared" si="0"/>
        <v>192</v>
      </c>
    </row>
    <row r="18" spans="2:8" x14ac:dyDescent="0.2">
      <c r="B18" t="s">
        <v>155</v>
      </c>
      <c r="C18" s="4">
        <f>1900*0.6</f>
        <v>1140</v>
      </c>
      <c r="D18" s="19">
        <v>0.03</v>
      </c>
      <c r="E18">
        <f t="shared" si="0"/>
        <v>34.199999999999996</v>
      </c>
    </row>
    <row r="19" spans="2:8" x14ac:dyDescent="0.2">
      <c r="B19" t="s">
        <v>156</v>
      </c>
      <c r="C19" s="4">
        <f>1900*0.4</f>
        <v>760</v>
      </c>
      <c r="D19" s="19">
        <v>0.1</v>
      </c>
      <c r="E19">
        <f t="shared" si="0"/>
        <v>76</v>
      </c>
    </row>
    <row r="20" spans="2:8" x14ac:dyDescent="0.2">
      <c r="B20" t="s">
        <v>159</v>
      </c>
      <c r="C20" s="4">
        <f>400*0.2</f>
        <v>80</v>
      </c>
      <c r="D20" s="19">
        <v>0.25</v>
      </c>
      <c r="E20">
        <f t="shared" si="0"/>
        <v>20</v>
      </c>
    </row>
    <row r="21" spans="2:8" x14ac:dyDescent="0.2">
      <c r="B21" t="s">
        <v>160</v>
      </c>
      <c r="C21" s="4">
        <f>400*0.8</f>
        <v>320</v>
      </c>
      <c r="D21" s="19">
        <v>0.4</v>
      </c>
      <c r="E21">
        <f t="shared" si="0"/>
        <v>128</v>
      </c>
    </row>
    <row r="22" spans="2:8" x14ac:dyDescent="0.2">
      <c r="C22" s="4"/>
      <c r="D22" s="19"/>
      <c r="E22">
        <f t="shared" si="0"/>
        <v>0</v>
      </c>
    </row>
    <row r="23" spans="2:8" x14ac:dyDescent="0.2">
      <c r="B23" t="s">
        <v>161</v>
      </c>
      <c r="C23" s="4">
        <f>750*0.5</f>
        <v>375</v>
      </c>
      <c r="D23" s="19">
        <v>0</v>
      </c>
      <c r="E23">
        <f t="shared" si="0"/>
        <v>0</v>
      </c>
    </row>
    <row r="24" spans="2:8" x14ac:dyDescent="0.2">
      <c r="B24" t="s">
        <v>162</v>
      </c>
      <c r="C24" s="4">
        <f>750*0.5</f>
        <v>375</v>
      </c>
      <c r="D24" s="19">
        <v>1</v>
      </c>
      <c r="E24">
        <f t="shared" si="0"/>
        <v>375</v>
      </c>
    </row>
    <row r="25" spans="2:8" x14ac:dyDescent="0.2">
      <c r="C25" s="4"/>
      <c r="D25" s="19"/>
    </row>
    <row r="26" spans="2:8" ht="15" x14ac:dyDescent="0.25">
      <c r="E26" s="1">
        <f>SUM(E14:E24)</f>
        <v>977</v>
      </c>
      <c r="F26" s="1" t="s">
        <v>164</v>
      </c>
    </row>
    <row r="27" spans="2:8" ht="15" x14ac:dyDescent="0.25">
      <c r="B27" s="1" t="s">
        <v>51</v>
      </c>
    </row>
    <row r="28" spans="2:8" x14ac:dyDescent="0.2">
      <c r="B28" t="s">
        <v>72</v>
      </c>
      <c r="G28" s="25">
        <f>E43/E55</f>
        <v>1.4370025713236194</v>
      </c>
      <c r="H28" s="22" t="s">
        <v>169</v>
      </c>
    </row>
    <row r="29" spans="2:8" x14ac:dyDescent="0.2">
      <c r="B29" t="s">
        <v>166</v>
      </c>
    </row>
    <row r="31" spans="2:8" x14ac:dyDescent="0.2">
      <c r="B31" t="s">
        <v>119</v>
      </c>
      <c r="C31" s="19">
        <v>1</v>
      </c>
      <c r="D31">
        <v>848</v>
      </c>
      <c r="E31">
        <f>D31*C31</f>
        <v>848</v>
      </c>
    </row>
    <row r="32" spans="2:8" x14ac:dyDescent="0.2">
      <c r="B32" t="s">
        <v>120</v>
      </c>
      <c r="C32" s="19">
        <v>1</v>
      </c>
      <c r="D32">
        <v>1000</v>
      </c>
      <c r="E32">
        <f t="shared" ref="E32:E41" si="1">D32*C32</f>
        <v>1000</v>
      </c>
    </row>
    <row r="33" spans="2:6" x14ac:dyDescent="0.2">
      <c r="B33" t="s">
        <v>122</v>
      </c>
      <c r="C33" s="19">
        <v>0.95</v>
      </c>
      <c r="D33">
        <f>C14+C18</f>
        <v>2400</v>
      </c>
      <c r="E33">
        <f t="shared" si="1"/>
        <v>2280</v>
      </c>
    </row>
    <row r="34" spans="2:6" x14ac:dyDescent="0.2">
      <c r="B34" t="s">
        <v>121</v>
      </c>
      <c r="C34" s="19">
        <v>0.9</v>
      </c>
      <c r="D34">
        <f>C15+C19</f>
        <v>1600</v>
      </c>
      <c r="E34">
        <f t="shared" si="1"/>
        <v>1440</v>
      </c>
    </row>
    <row r="35" spans="2:6" x14ac:dyDescent="0.2">
      <c r="B35" t="s">
        <v>127</v>
      </c>
      <c r="C35" s="19">
        <v>0.75</v>
      </c>
      <c r="D35">
        <f>C16+C20</f>
        <v>200</v>
      </c>
      <c r="E35">
        <f t="shared" si="1"/>
        <v>150</v>
      </c>
    </row>
    <row r="36" spans="2:6" x14ac:dyDescent="0.2">
      <c r="B36" t="s">
        <v>128</v>
      </c>
      <c r="C36" s="19">
        <v>0</v>
      </c>
      <c r="D36">
        <f>C17+C21</f>
        <v>800</v>
      </c>
      <c r="E36">
        <f t="shared" si="1"/>
        <v>0</v>
      </c>
    </row>
    <row r="37" spans="2:6" x14ac:dyDescent="0.2">
      <c r="B37" t="s">
        <v>129</v>
      </c>
      <c r="C37" s="19">
        <v>0.5</v>
      </c>
      <c r="D37">
        <v>0</v>
      </c>
      <c r="E37">
        <f t="shared" si="1"/>
        <v>0</v>
      </c>
    </row>
    <row r="38" spans="2:6" x14ac:dyDescent="0.2">
      <c r="B38" t="s">
        <v>130</v>
      </c>
      <c r="C38" s="19">
        <v>0</v>
      </c>
      <c r="D38">
        <v>0</v>
      </c>
      <c r="E38">
        <f t="shared" si="1"/>
        <v>0</v>
      </c>
    </row>
    <row r="39" spans="2:6" x14ac:dyDescent="0.2">
      <c r="B39" t="s">
        <v>133</v>
      </c>
      <c r="C39" s="19">
        <v>0.6</v>
      </c>
      <c r="D39">
        <v>0</v>
      </c>
      <c r="E39">
        <f t="shared" si="1"/>
        <v>0</v>
      </c>
    </row>
    <row r="40" spans="2:6" x14ac:dyDescent="0.2">
      <c r="B40" t="s">
        <v>134</v>
      </c>
      <c r="C40" s="19">
        <v>0.4</v>
      </c>
      <c r="D40">
        <f>C23</f>
        <v>375</v>
      </c>
      <c r="E40">
        <f t="shared" si="1"/>
        <v>150</v>
      </c>
    </row>
    <row r="41" spans="2:6" x14ac:dyDescent="0.2">
      <c r="B41" t="s">
        <v>135</v>
      </c>
      <c r="C41" s="19">
        <v>0</v>
      </c>
      <c r="D41">
        <f>C24</f>
        <v>375</v>
      </c>
      <c r="E41">
        <f t="shared" si="1"/>
        <v>0</v>
      </c>
    </row>
    <row r="43" spans="2:6" ht="15" x14ac:dyDescent="0.25">
      <c r="D43">
        <f>SUMPRODUCT(C31:C41,D31:D41)</f>
        <v>5868</v>
      </c>
      <c r="E43" s="1">
        <f>SUM(E31:E41)</f>
        <v>5868</v>
      </c>
      <c r="F43" s="1" t="s">
        <v>167</v>
      </c>
    </row>
    <row r="44" spans="2:6" ht="15" x14ac:dyDescent="0.25">
      <c r="E44" s="1"/>
      <c r="F44" s="1"/>
    </row>
    <row r="45" spans="2:6" ht="15" x14ac:dyDescent="0.25">
      <c r="B45" t="s">
        <v>137</v>
      </c>
      <c r="C45" s="19">
        <v>0</v>
      </c>
      <c r="D45">
        <f>C5</f>
        <v>450</v>
      </c>
      <c r="E45" s="1">
        <f>D45*C45</f>
        <v>0</v>
      </c>
      <c r="F45" s="1"/>
    </row>
    <row r="46" spans="2:6" ht="15" x14ac:dyDescent="0.25">
      <c r="B46" t="s">
        <v>138</v>
      </c>
      <c r="C46" s="19">
        <v>0.05</v>
      </c>
      <c r="D46">
        <f>C6+C7</f>
        <v>420</v>
      </c>
      <c r="E46" s="1">
        <f t="shared" ref="E46:E53" si="2">D46*C46</f>
        <v>21</v>
      </c>
      <c r="F46" s="1"/>
    </row>
    <row r="47" spans="2:6" ht="15" x14ac:dyDescent="0.25">
      <c r="B47" t="s">
        <v>139</v>
      </c>
      <c r="C47" s="19">
        <v>0.15</v>
      </c>
      <c r="D47">
        <f>C8+C9</f>
        <v>250</v>
      </c>
      <c r="E47" s="1">
        <f t="shared" si="2"/>
        <v>37.5</v>
      </c>
      <c r="F47" s="1"/>
    </row>
    <row r="48" spans="2:6" ht="15" x14ac:dyDescent="0.25">
      <c r="B48" t="s">
        <v>140</v>
      </c>
      <c r="C48" s="19">
        <v>0.5</v>
      </c>
      <c r="D48">
        <f>C10</f>
        <v>0</v>
      </c>
      <c r="E48" s="1">
        <f t="shared" si="2"/>
        <v>0</v>
      </c>
      <c r="F48" s="1"/>
    </row>
    <row r="49" spans="2:6" ht="15" x14ac:dyDescent="0.25">
      <c r="B49" t="s">
        <v>141</v>
      </c>
      <c r="C49" s="19">
        <v>0.65</v>
      </c>
      <c r="D49" s="18">
        <f>'balances (banking book)'!C12</f>
        <v>1500</v>
      </c>
      <c r="E49" s="1">
        <f t="shared" si="2"/>
        <v>975</v>
      </c>
      <c r="F49" s="1"/>
    </row>
    <row r="50" spans="2:6" ht="15" x14ac:dyDescent="0.25">
      <c r="B50" t="s">
        <v>142</v>
      </c>
      <c r="C50" s="19">
        <v>0.5</v>
      </c>
      <c r="D50" s="18">
        <f>'balances (banking book)'!C13</f>
        <v>2500</v>
      </c>
      <c r="E50" s="1">
        <f t="shared" si="2"/>
        <v>1250</v>
      </c>
      <c r="F50" s="1"/>
    </row>
    <row r="51" spans="2:6" ht="15" x14ac:dyDescent="0.25">
      <c r="B51" t="s">
        <v>143</v>
      </c>
      <c r="C51" s="19">
        <v>0.65</v>
      </c>
      <c r="D51" s="18">
        <f>'balances (banking book)'!C14</f>
        <v>800</v>
      </c>
      <c r="E51" s="1">
        <f t="shared" si="2"/>
        <v>520</v>
      </c>
      <c r="F51" s="1"/>
    </row>
    <row r="52" spans="2:6" ht="15" x14ac:dyDescent="0.25">
      <c r="B52" t="s">
        <v>144</v>
      </c>
      <c r="C52" s="19">
        <v>0.65</v>
      </c>
      <c r="D52" s="18">
        <f>'balances (banking book)'!C15</f>
        <v>1200</v>
      </c>
      <c r="E52" s="1">
        <f t="shared" si="2"/>
        <v>780</v>
      </c>
      <c r="F52" s="1"/>
    </row>
    <row r="53" spans="2:6" ht="15" x14ac:dyDescent="0.25">
      <c r="B53" t="s">
        <v>145</v>
      </c>
      <c r="C53" s="19">
        <v>1</v>
      </c>
      <c r="D53" s="18">
        <f>'balances (banking book)'!C16</f>
        <v>500</v>
      </c>
      <c r="E53" s="1">
        <f t="shared" si="2"/>
        <v>500</v>
      </c>
    </row>
    <row r="55" spans="2:6" ht="15" x14ac:dyDescent="0.25">
      <c r="E55" s="1">
        <f>SUM(E45:E53)</f>
        <v>4083.5</v>
      </c>
      <c r="F55" s="1" t="s">
        <v>168</v>
      </c>
    </row>
    <row r="57" spans="2:6" ht="15" x14ac:dyDescent="0.25">
      <c r="B57" s="1" t="s">
        <v>52</v>
      </c>
    </row>
    <row r="58" spans="2:6" x14ac:dyDescent="0.2">
      <c r="B58" t="s">
        <v>64</v>
      </c>
    </row>
    <row r="59" spans="2:6" x14ac:dyDescent="0.2">
      <c r="B59" t="s">
        <v>170</v>
      </c>
      <c r="C59">
        <f>SUM('balances (banking book)'!A6:A16)</f>
        <v>1358.1320000000001</v>
      </c>
    </row>
    <row r="60" spans="2:6" x14ac:dyDescent="0.2">
      <c r="B60" t="s">
        <v>171</v>
      </c>
      <c r="C60">
        <f>SUM('balances (banking book)'!A21:A29)</f>
        <v>400.75</v>
      </c>
    </row>
    <row r="61" spans="2:6" ht="15" x14ac:dyDescent="0.25">
      <c r="B61" s="1" t="s">
        <v>173</v>
      </c>
      <c r="C61" s="1">
        <f>C59-C60</f>
        <v>957.38200000000006</v>
      </c>
    </row>
    <row r="62" spans="2:6" ht="15" x14ac:dyDescent="0.25">
      <c r="B62" s="1" t="s">
        <v>174</v>
      </c>
      <c r="C62" s="26">
        <f>C61/'balances (banking book)'!C31</f>
        <v>1.1289882075471698</v>
      </c>
    </row>
    <row r="64" spans="2:6" x14ac:dyDescent="0.2">
      <c r="B64" t="s">
        <v>68</v>
      </c>
    </row>
    <row r="65" spans="2:3" x14ac:dyDescent="0.2">
      <c r="B65" t="s">
        <v>175</v>
      </c>
    </row>
    <row r="66" spans="2:3" ht="15" x14ac:dyDescent="0.25">
      <c r="B66" s="1" t="s">
        <v>176</v>
      </c>
      <c r="C66" s="1">
        <f>'balances (banking book)'!C7*-0.005+'balances (banking book)'!C13*0.6*-0.005+'balances (banking book)'!C14*-0.005+'balances (banking book)'!C15*-0.005+'balances (banking book)'!C16*-0.005</f>
        <v>-21.2</v>
      </c>
    </row>
    <row r="67" spans="2:3" ht="15" x14ac:dyDescent="0.25">
      <c r="B67" s="1" t="s">
        <v>177</v>
      </c>
      <c r="C67" s="1">
        <f>'balances (banking book)'!C21*-0.0025+'balances (banking book)'!C22*-0.0025+'balances (banking book)'!C24*-0.005+'balances (banking book)'!C25*-0.005+'balances (banking book)'!C26*-0.005+'balances (banking book)'!C27*-0.005</f>
        <v>-24</v>
      </c>
    </row>
    <row r="68" spans="2:3" ht="15" x14ac:dyDescent="0.25">
      <c r="B68" s="1" t="s">
        <v>178</v>
      </c>
      <c r="C68" s="1"/>
    </row>
    <row r="70" spans="2:3" x14ac:dyDescent="0.2">
      <c r="B70" t="s">
        <v>69</v>
      </c>
      <c r="C70" s="22" t="s">
        <v>179</v>
      </c>
    </row>
    <row r="71" spans="2:3" x14ac:dyDescent="0.2">
      <c r="B71" s="23" t="s">
        <v>70</v>
      </c>
    </row>
    <row r="72" spans="2:3" x14ac:dyDescent="0.2">
      <c r="B72" s="23" t="s">
        <v>73</v>
      </c>
    </row>
    <row r="75" spans="2:3" ht="15" x14ac:dyDescent="0.25">
      <c r="B75" s="27" t="s">
        <v>65</v>
      </c>
    </row>
    <row r="76" spans="2:3" ht="15" x14ac:dyDescent="0.25">
      <c r="B76" s="28" t="s">
        <v>66</v>
      </c>
    </row>
    <row r="77" spans="2:3" ht="15" x14ac:dyDescent="0.25">
      <c r="B77" s="28" t="s">
        <v>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escala credit risk rating</vt:lpstr>
      <vt:lpstr>factores LCR y NSFR</vt:lpstr>
      <vt:lpstr>balances (banking book)</vt:lpstr>
      <vt:lpstr>notas importantes</vt:lpstr>
      <vt:lpstr>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OCEGUERA GOMEZ, ABRAHAM</dc:creator>
  <cp:lastModifiedBy>OCEGUERA GOMEZ, ABRAHAM</cp:lastModifiedBy>
  <dcterms:created xsi:type="dcterms:W3CDTF">2026-04-07T22:16:39Z</dcterms:created>
  <dcterms:modified xsi:type="dcterms:W3CDTF">2026-04-09T01:57:56Z</dcterms:modified>
</cp:coreProperties>
</file>