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OneDrive\Desktop\TRABAJO\UNI\8VO SEMESTRE\ADMINISTRACION_RIESGOS\Parcial 3\"/>
    </mc:Choice>
  </mc:AlternateContent>
  <xr:revisionPtr revIDLastSave="0" documentId="13_ncr:1_{C68C7E4D-403C-459A-A020-94127A13C061}" xr6:coauthVersionLast="47" xr6:coauthVersionMax="47" xr10:uidLastSave="{00000000-0000-0000-0000-000000000000}"/>
  <bookViews>
    <workbookView xWindow="-120" yWindow="-120" windowWidth="29040" windowHeight="15720" activeTab="4" xr2:uid="{28C54E33-FBC1-4E42-A94C-D08930C0737B}"/>
  </bookViews>
  <sheets>
    <sheet name="pyme" sheetId="1" r:id="rId1"/>
    <sheet name="portafolio analysis" sheetId="4" r:id="rId2"/>
    <sheet name="clo" sheetId="2" r:id="rId3"/>
    <sheet name="clo analysis" sheetId="3" r:id="rId4"/>
    <sheet name="tasa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4" i="5" l="1"/>
  <c r="L23" i="5"/>
  <c r="L26" i="5"/>
  <c r="L33" i="5"/>
  <c r="C31" i="5"/>
  <c r="C30" i="5"/>
  <c r="G379" i="3"/>
  <c r="F7" i="3"/>
  <c r="F8" i="3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F715" i="3" s="1"/>
  <c r="F716" i="3" s="1"/>
  <c r="F717" i="3" s="1"/>
  <c r="F718" i="3" s="1"/>
  <c r="F719" i="3" s="1"/>
  <c r="F720" i="3" s="1"/>
  <c r="F721" i="3" s="1"/>
  <c r="F722" i="3" s="1"/>
  <c r="F723" i="3" s="1"/>
  <c r="F724" i="3" s="1"/>
  <c r="F725" i="3" s="1"/>
  <c r="F726" i="3" s="1"/>
  <c r="F727" i="3" s="1"/>
  <c r="F728" i="3" s="1"/>
  <c r="F729" i="3" s="1"/>
  <c r="F730" i="3" s="1"/>
  <c r="F731" i="3" s="1"/>
  <c r="F732" i="3" s="1"/>
  <c r="F733" i="3" s="1"/>
  <c r="F734" i="3" s="1"/>
  <c r="F735" i="3" s="1"/>
  <c r="F736" i="3" s="1"/>
  <c r="F737" i="3" s="1"/>
  <c r="F738" i="3" s="1"/>
  <c r="F739" i="3" s="1"/>
  <c r="F740" i="3" s="1"/>
  <c r="F741" i="3" s="1"/>
  <c r="F742" i="3" s="1"/>
  <c r="F743" i="3" s="1"/>
  <c r="F744" i="3" s="1"/>
  <c r="F745" i="3" s="1"/>
  <c r="F746" i="3" s="1"/>
  <c r="F747" i="3" s="1"/>
  <c r="F748" i="3" s="1"/>
  <c r="F749" i="3" s="1"/>
  <c r="F750" i="3" s="1"/>
  <c r="F751" i="3" s="1"/>
  <c r="F752" i="3" s="1"/>
  <c r="F753" i="3" s="1"/>
  <c r="F754" i="3" s="1"/>
  <c r="F755" i="3" s="1"/>
  <c r="F756" i="3" s="1"/>
  <c r="F757" i="3" s="1"/>
  <c r="F758" i="3" s="1"/>
  <c r="F759" i="3" s="1"/>
  <c r="F760" i="3" s="1"/>
  <c r="F761" i="3" s="1"/>
  <c r="F762" i="3" s="1"/>
  <c r="F763" i="3" s="1"/>
  <c r="F764" i="3" s="1"/>
  <c r="F765" i="3" s="1"/>
  <c r="F766" i="3" s="1"/>
  <c r="F767" i="3" s="1"/>
  <c r="F768" i="3" s="1"/>
  <c r="F769" i="3" s="1"/>
  <c r="F770" i="3" s="1"/>
  <c r="F771" i="3" s="1"/>
  <c r="F772" i="3" s="1"/>
  <c r="F773" i="3" s="1"/>
  <c r="F774" i="3" s="1"/>
  <c r="F775" i="3" s="1"/>
  <c r="F776" i="3" s="1"/>
  <c r="F777" i="3" s="1"/>
  <c r="F778" i="3" s="1"/>
  <c r="F779" i="3" s="1"/>
  <c r="F780" i="3" s="1"/>
  <c r="F781" i="3" s="1"/>
  <c r="F782" i="3" s="1"/>
  <c r="F783" i="3" s="1"/>
  <c r="F784" i="3" s="1"/>
  <c r="F785" i="3" s="1"/>
  <c r="F786" i="3" s="1"/>
  <c r="F787" i="3" s="1"/>
  <c r="F788" i="3" s="1"/>
  <c r="F789" i="3" s="1"/>
  <c r="F790" i="3" s="1"/>
  <c r="F791" i="3" s="1"/>
  <c r="F792" i="3" s="1"/>
  <c r="F793" i="3" s="1"/>
  <c r="F794" i="3" s="1"/>
  <c r="F795" i="3" s="1"/>
  <c r="F796" i="3" s="1"/>
  <c r="F797" i="3" s="1"/>
  <c r="F798" i="3" s="1"/>
  <c r="F799" i="3" s="1"/>
  <c r="F800" i="3" s="1"/>
  <c r="F801" i="3" s="1"/>
  <c r="F802" i="3" s="1"/>
  <c r="F803" i="3" s="1"/>
  <c r="F804" i="3" s="1"/>
  <c r="F805" i="3" s="1"/>
  <c r="F806" i="3" s="1"/>
  <c r="F807" i="3" s="1"/>
  <c r="F808" i="3" s="1"/>
  <c r="F809" i="3" s="1"/>
  <c r="F810" i="3" s="1"/>
  <c r="F811" i="3" s="1"/>
  <c r="F812" i="3" s="1"/>
  <c r="F813" i="3" s="1"/>
  <c r="F814" i="3" s="1"/>
  <c r="F815" i="3" s="1"/>
  <c r="F816" i="3" s="1"/>
  <c r="F817" i="3" s="1"/>
  <c r="F818" i="3" s="1"/>
  <c r="F819" i="3" s="1"/>
  <c r="F820" i="3" s="1"/>
  <c r="F821" i="3" s="1"/>
  <c r="F822" i="3" s="1"/>
  <c r="F823" i="3" s="1"/>
  <c r="F824" i="3" s="1"/>
  <c r="F825" i="3" s="1"/>
  <c r="F826" i="3" s="1"/>
  <c r="F827" i="3" s="1"/>
  <c r="F828" i="3" s="1"/>
  <c r="F829" i="3" s="1"/>
  <c r="F830" i="3" s="1"/>
  <c r="F831" i="3" s="1"/>
  <c r="F832" i="3" s="1"/>
  <c r="F833" i="3" s="1"/>
  <c r="F834" i="3" s="1"/>
  <c r="F835" i="3" s="1"/>
  <c r="F836" i="3" s="1"/>
  <c r="F837" i="3" s="1"/>
  <c r="F838" i="3" s="1"/>
  <c r="F839" i="3" s="1"/>
  <c r="F840" i="3" s="1"/>
  <c r="F841" i="3" s="1"/>
  <c r="F842" i="3" s="1"/>
  <c r="F843" i="3" s="1"/>
  <c r="F844" i="3" s="1"/>
  <c r="F845" i="3" s="1"/>
  <c r="F846" i="3" s="1"/>
  <c r="F847" i="3" s="1"/>
  <c r="F848" i="3" s="1"/>
  <c r="F849" i="3" s="1"/>
  <c r="F850" i="3" s="1"/>
  <c r="F851" i="3" s="1"/>
  <c r="F852" i="3" s="1"/>
  <c r="F853" i="3" s="1"/>
  <c r="F854" i="3" s="1"/>
  <c r="F855" i="3" s="1"/>
  <c r="F856" i="3" s="1"/>
  <c r="F857" i="3" s="1"/>
  <c r="F858" i="3" s="1"/>
  <c r="F859" i="3" s="1"/>
  <c r="F860" i="3" s="1"/>
  <c r="F861" i="3" s="1"/>
  <c r="F862" i="3" s="1"/>
  <c r="F863" i="3" s="1"/>
  <c r="F864" i="3" s="1"/>
  <c r="F865" i="3" s="1"/>
  <c r="F866" i="3" s="1"/>
  <c r="F867" i="3" s="1"/>
  <c r="F868" i="3" s="1"/>
  <c r="F869" i="3" s="1"/>
  <c r="F6" i="3"/>
  <c r="F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5" i="3"/>
  <c r="D5" i="3" a="1"/>
  <c r="D5" i="3" s="1"/>
  <c r="D12" i="3"/>
  <c r="D16" i="3"/>
  <c r="D17" i="3"/>
  <c r="D18" i="3"/>
  <c r="D19" i="3"/>
  <c r="D20" i="3"/>
  <c r="D24" i="3"/>
  <c r="D25" i="3"/>
  <c r="D26" i="3"/>
  <c r="D27" i="3"/>
  <c r="D28" i="3"/>
  <c r="D32" i="3"/>
  <c r="D33" i="3"/>
  <c r="D34" i="3"/>
  <c r="D35" i="3"/>
  <c r="D36" i="3"/>
  <c r="D40" i="3"/>
  <c r="D41" i="3"/>
  <c r="D42" i="3"/>
  <c r="D43" i="3"/>
  <c r="D44" i="3"/>
  <c r="D48" i="3"/>
  <c r="D49" i="3"/>
  <c r="D50" i="3"/>
  <c r="D51" i="3"/>
  <c r="D52" i="3"/>
  <c r="D56" i="3"/>
  <c r="D57" i="3"/>
  <c r="D58" i="3"/>
  <c r="D59" i="3"/>
  <c r="D60" i="3"/>
  <c r="D64" i="3"/>
  <c r="D65" i="3"/>
  <c r="D66" i="3"/>
  <c r="D67" i="3"/>
  <c r="D68" i="3"/>
  <c r="D72" i="3"/>
  <c r="D73" i="3"/>
  <c r="D74" i="3"/>
  <c r="D75" i="3"/>
  <c r="D76" i="3"/>
  <c r="D80" i="3"/>
  <c r="D81" i="3"/>
  <c r="D82" i="3"/>
  <c r="D83" i="3"/>
  <c r="D84" i="3"/>
  <c r="D88" i="3"/>
  <c r="D89" i="3"/>
  <c r="D90" i="3"/>
  <c r="D91" i="3"/>
  <c r="D92" i="3"/>
  <c r="D96" i="3"/>
  <c r="D97" i="3"/>
  <c r="D98" i="3"/>
  <c r="D99" i="3"/>
  <c r="D100" i="3"/>
  <c r="D104" i="3"/>
  <c r="D105" i="3"/>
  <c r="D106" i="3"/>
  <c r="D107" i="3"/>
  <c r="D108" i="3"/>
  <c r="D112" i="3"/>
  <c r="D113" i="3"/>
  <c r="D114" i="3"/>
  <c r="D115" i="3"/>
  <c r="D116" i="3"/>
  <c r="D120" i="3"/>
  <c r="D121" i="3"/>
  <c r="D122" i="3"/>
  <c r="D123" i="3"/>
  <c r="D124" i="3"/>
  <c r="D128" i="3"/>
  <c r="D129" i="3"/>
  <c r="D130" i="3"/>
  <c r="D131" i="3"/>
  <c r="D132" i="3"/>
  <c r="D136" i="3"/>
  <c r="D137" i="3"/>
  <c r="D138" i="3"/>
  <c r="D139" i="3"/>
  <c r="D140" i="3"/>
  <c r="D144" i="3"/>
  <c r="D145" i="3"/>
  <c r="D146" i="3"/>
  <c r="D147" i="3"/>
  <c r="D148" i="3"/>
  <c r="D152" i="3"/>
  <c r="D153" i="3"/>
  <c r="D154" i="3"/>
  <c r="D155" i="3"/>
  <c r="D156" i="3"/>
  <c r="D160" i="3"/>
  <c r="D161" i="3"/>
  <c r="D162" i="3"/>
  <c r="D163" i="3"/>
  <c r="D164" i="3"/>
  <c r="D168" i="3"/>
  <c r="D169" i="3"/>
  <c r="D170" i="3"/>
  <c r="D171" i="3"/>
  <c r="D172" i="3"/>
  <c r="D176" i="3"/>
  <c r="D177" i="3"/>
  <c r="D178" i="3"/>
  <c r="D179" i="3"/>
  <c r="D180" i="3"/>
  <c r="D184" i="3"/>
  <c r="D185" i="3"/>
  <c r="D186" i="3"/>
  <c r="D187" i="3"/>
  <c r="D188" i="3"/>
  <c r="D192" i="3"/>
  <c r="D193" i="3"/>
  <c r="D194" i="3"/>
  <c r="D195" i="3"/>
  <c r="D196" i="3"/>
  <c r="D200" i="3"/>
  <c r="D201" i="3"/>
  <c r="D202" i="3"/>
  <c r="D203" i="3"/>
  <c r="D204" i="3"/>
  <c r="D208" i="3"/>
  <c r="D209" i="3"/>
  <c r="D210" i="3"/>
  <c r="D211" i="3"/>
  <c r="D212" i="3"/>
  <c r="D216" i="3"/>
  <c r="D217" i="3"/>
  <c r="D218" i="3"/>
  <c r="D219" i="3"/>
  <c r="D220" i="3"/>
  <c r="D224" i="3"/>
  <c r="D225" i="3"/>
  <c r="D226" i="3"/>
  <c r="D227" i="3"/>
  <c r="D228" i="3"/>
  <c r="D230" i="3"/>
  <c r="D232" i="3"/>
  <c r="D233" i="3"/>
  <c r="D234" i="3"/>
  <c r="D235" i="3"/>
  <c r="D236" i="3"/>
  <c r="D238" i="3"/>
  <c r="D240" i="3"/>
  <c r="D241" i="3"/>
  <c r="D242" i="3"/>
  <c r="D243" i="3"/>
  <c r="D244" i="3"/>
  <c r="D246" i="3"/>
  <c r="D248" i="3"/>
  <c r="D249" i="3"/>
  <c r="D250" i="3"/>
  <c r="D251" i="3"/>
  <c r="D252" i="3"/>
  <c r="D254" i="3"/>
  <c r="D256" i="3"/>
  <c r="D257" i="3"/>
  <c r="D258" i="3"/>
  <c r="D259" i="3"/>
  <c r="D260" i="3"/>
  <c r="D262" i="3"/>
  <c r="D264" i="3"/>
  <c r="D265" i="3"/>
  <c r="D266" i="3"/>
  <c r="D267" i="3"/>
  <c r="D268" i="3"/>
  <c r="D270" i="3"/>
  <c r="D272" i="3"/>
  <c r="D273" i="3"/>
  <c r="D274" i="3"/>
  <c r="D275" i="3"/>
  <c r="D276" i="3"/>
  <c r="D278" i="3"/>
  <c r="D280" i="3"/>
  <c r="D281" i="3"/>
  <c r="D282" i="3"/>
  <c r="D283" i="3"/>
  <c r="D284" i="3"/>
  <c r="D286" i="3"/>
  <c r="D288" i="3"/>
  <c r="D289" i="3"/>
  <c r="D290" i="3"/>
  <c r="D291" i="3"/>
  <c r="D292" i="3"/>
  <c r="D294" i="3"/>
  <c r="D296" i="3"/>
  <c r="D297" i="3"/>
  <c r="D298" i="3"/>
  <c r="D299" i="3"/>
  <c r="D300" i="3"/>
  <c r="D302" i="3"/>
  <c r="D304" i="3"/>
  <c r="D305" i="3"/>
  <c r="D306" i="3"/>
  <c r="D307" i="3"/>
  <c r="D308" i="3"/>
  <c r="D310" i="3"/>
  <c r="D312" i="3"/>
  <c r="D313" i="3"/>
  <c r="D314" i="3"/>
  <c r="D315" i="3"/>
  <c r="D316" i="3"/>
  <c r="D318" i="3"/>
  <c r="D320" i="3"/>
  <c r="D321" i="3"/>
  <c r="D322" i="3"/>
  <c r="D323" i="3"/>
  <c r="D324" i="3"/>
  <c r="D326" i="3"/>
  <c r="D328" i="3"/>
  <c r="D329" i="3"/>
  <c r="D330" i="3"/>
  <c r="D331" i="3"/>
  <c r="D332" i="3"/>
  <c r="D334" i="3"/>
  <c r="D336" i="3"/>
  <c r="D337" i="3"/>
  <c r="D338" i="3"/>
  <c r="D339" i="3"/>
  <c r="D340" i="3"/>
  <c r="D342" i="3"/>
  <c r="D344" i="3"/>
  <c r="D345" i="3"/>
  <c r="D346" i="3"/>
  <c r="D347" i="3"/>
  <c r="D348" i="3"/>
  <c r="D350" i="3"/>
  <c r="D352" i="3"/>
  <c r="D353" i="3"/>
  <c r="D354" i="3"/>
  <c r="D355" i="3"/>
  <c r="D356" i="3"/>
  <c r="D358" i="3"/>
  <c r="D360" i="3"/>
  <c r="D361" i="3"/>
  <c r="D362" i="3"/>
  <c r="D363" i="3"/>
  <c r="D364" i="3"/>
  <c r="D366" i="3"/>
  <c r="D368" i="3"/>
  <c r="D369" i="3"/>
  <c r="D370" i="3"/>
  <c r="D371" i="3"/>
  <c r="D372" i="3"/>
  <c r="D374" i="3"/>
  <c r="D376" i="3"/>
  <c r="D377" i="3"/>
  <c r="D378" i="3"/>
  <c r="D379" i="3"/>
  <c r="D380" i="3"/>
  <c r="D382" i="3"/>
  <c r="D384" i="3"/>
  <c r="D385" i="3"/>
  <c r="D386" i="3"/>
  <c r="D387" i="3"/>
  <c r="D388" i="3"/>
  <c r="D390" i="3"/>
  <c r="D392" i="3"/>
  <c r="D393" i="3"/>
  <c r="D394" i="3"/>
  <c r="D395" i="3"/>
  <c r="D396" i="3"/>
  <c r="D398" i="3"/>
  <c r="D400" i="3"/>
  <c r="D401" i="3"/>
  <c r="D402" i="3"/>
  <c r="D403" i="3"/>
  <c r="D404" i="3"/>
  <c r="D406" i="3"/>
  <c r="D408" i="3"/>
  <c r="D409" i="3"/>
  <c r="D410" i="3"/>
  <c r="D411" i="3"/>
  <c r="D412" i="3"/>
  <c r="D414" i="3"/>
  <c r="D416" i="3"/>
  <c r="D417" i="3"/>
  <c r="D418" i="3"/>
  <c r="D419" i="3"/>
  <c r="D420" i="3"/>
  <c r="D422" i="3"/>
  <c r="D424" i="3"/>
  <c r="D425" i="3"/>
  <c r="D426" i="3"/>
  <c r="D427" i="3"/>
  <c r="D428" i="3"/>
  <c r="D430" i="3"/>
  <c r="D432" i="3"/>
  <c r="D433" i="3"/>
  <c r="D434" i="3"/>
  <c r="D435" i="3"/>
  <c r="D436" i="3"/>
  <c r="D438" i="3"/>
  <c r="D440" i="3"/>
  <c r="D441" i="3"/>
  <c r="D442" i="3"/>
  <c r="D443" i="3"/>
  <c r="D444" i="3"/>
  <c r="D446" i="3"/>
  <c r="D448" i="3"/>
  <c r="D449" i="3"/>
  <c r="D450" i="3"/>
  <c r="D451" i="3"/>
  <c r="D452" i="3"/>
  <c r="D454" i="3"/>
  <c r="D456" i="3"/>
  <c r="D457" i="3"/>
  <c r="D458" i="3"/>
  <c r="D459" i="3"/>
  <c r="D460" i="3"/>
  <c r="D462" i="3"/>
  <c r="D464" i="3"/>
  <c r="D465" i="3"/>
  <c r="D466" i="3"/>
  <c r="D467" i="3"/>
  <c r="D468" i="3"/>
  <c r="D470" i="3"/>
  <c r="D472" i="3"/>
  <c r="D473" i="3"/>
  <c r="D474" i="3"/>
  <c r="D475" i="3"/>
  <c r="D476" i="3"/>
  <c r="D478" i="3"/>
  <c r="D480" i="3"/>
  <c r="D481" i="3"/>
  <c r="D482" i="3"/>
  <c r="D483" i="3"/>
  <c r="D484" i="3"/>
  <c r="D486" i="3"/>
  <c r="D488" i="3"/>
  <c r="D489" i="3"/>
  <c r="D490" i="3"/>
  <c r="D491" i="3"/>
  <c r="D492" i="3"/>
  <c r="D494" i="3"/>
  <c r="D496" i="3"/>
  <c r="D497" i="3"/>
  <c r="D498" i="3"/>
  <c r="D499" i="3"/>
  <c r="D500" i="3"/>
  <c r="D502" i="3"/>
  <c r="D504" i="3"/>
  <c r="D505" i="3"/>
  <c r="D506" i="3"/>
  <c r="D507" i="3"/>
  <c r="D508" i="3"/>
  <c r="D510" i="3"/>
  <c r="D512" i="3"/>
  <c r="D513" i="3"/>
  <c r="D514" i="3"/>
  <c r="D515" i="3"/>
  <c r="D516" i="3"/>
  <c r="D518" i="3"/>
  <c r="D520" i="3"/>
  <c r="D521" i="3"/>
  <c r="D522" i="3"/>
  <c r="D523" i="3"/>
  <c r="D524" i="3"/>
  <c r="D526" i="3"/>
  <c r="D528" i="3"/>
  <c r="D529" i="3"/>
  <c r="D530" i="3"/>
  <c r="D531" i="3"/>
  <c r="D532" i="3"/>
  <c r="D534" i="3"/>
  <c r="D536" i="3"/>
  <c r="D537" i="3"/>
  <c r="D538" i="3"/>
  <c r="D539" i="3"/>
  <c r="D540" i="3"/>
  <c r="D542" i="3"/>
  <c r="D544" i="3"/>
  <c r="D545" i="3"/>
  <c r="D546" i="3"/>
  <c r="D547" i="3"/>
  <c r="D548" i="3"/>
  <c r="D550" i="3"/>
  <c r="D552" i="3"/>
  <c r="D553" i="3"/>
  <c r="D554" i="3"/>
  <c r="D555" i="3"/>
  <c r="D556" i="3"/>
  <c r="D558" i="3"/>
  <c r="D560" i="3"/>
  <c r="D561" i="3"/>
  <c r="D562" i="3"/>
  <c r="D563" i="3"/>
  <c r="D564" i="3"/>
  <c r="D566" i="3"/>
  <c r="D568" i="3"/>
  <c r="D569" i="3"/>
  <c r="D570" i="3"/>
  <c r="D571" i="3"/>
  <c r="D572" i="3"/>
  <c r="D574" i="3"/>
  <c r="D576" i="3"/>
  <c r="D577" i="3"/>
  <c r="D578" i="3"/>
  <c r="D579" i="3"/>
  <c r="D580" i="3"/>
  <c r="D582" i="3"/>
  <c r="D584" i="3"/>
  <c r="D585" i="3"/>
  <c r="D586" i="3"/>
  <c r="D587" i="3"/>
  <c r="D588" i="3"/>
  <c r="D590" i="3"/>
  <c r="D592" i="3"/>
  <c r="D593" i="3"/>
  <c r="D594" i="3"/>
  <c r="D595" i="3"/>
  <c r="D596" i="3"/>
  <c r="D598" i="3"/>
  <c r="D600" i="3"/>
  <c r="D601" i="3"/>
  <c r="D602" i="3"/>
  <c r="D603" i="3"/>
  <c r="D604" i="3"/>
  <c r="D606" i="3"/>
  <c r="D608" i="3"/>
  <c r="D609" i="3"/>
  <c r="D610" i="3"/>
  <c r="D611" i="3"/>
  <c r="D612" i="3"/>
  <c r="D614" i="3"/>
  <c r="D616" i="3"/>
  <c r="D617" i="3"/>
  <c r="D618" i="3"/>
  <c r="D619" i="3"/>
  <c r="D620" i="3"/>
  <c r="D622" i="3"/>
  <c r="D624" i="3"/>
  <c r="D625" i="3"/>
  <c r="D626" i="3"/>
  <c r="D627" i="3"/>
  <c r="D628" i="3"/>
  <c r="D630" i="3"/>
  <c r="D632" i="3"/>
  <c r="D633" i="3"/>
  <c r="D634" i="3"/>
  <c r="D635" i="3"/>
  <c r="D636" i="3"/>
  <c r="D638" i="3"/>
  <c r="D640" i="3"/>
  <c r="D641" i="3"/>
  <c r="D642" i="3"/>
  <c r="D643" i="3"/>
  <c r="D644" i="3"/>
  <c r="D646" i="3"/>
  <c r="D648" i="3"/>
  <c r="D649" i="3"/>
  <c r="D650" i="3"/>
  <c r="D651" i="3"/>
  <c r="D652" i="3"/>
  <c r="D654" i="3"/>
  <c r="D656" i="3"/>
  <c r="D657" i="3"/>
  <c r="D658" i="3"/>
  <c r="D659" i="3"/>
  <c r="D660" i="3"/>
  <c r="D662" i="3"/>
  <c r="D664" i="3"/>
  <c r="D665" i="3"/>
  <c r="D666" i="3"/>
  <c r="D667" i="3"/>
  <c r="D668" i="3"/>
  <c r="D670" i="3"/>
  <c r="D672" i="3"/>
  <c r="D673" i="3"/>
  <c r="D674" i="3"/>
  <c r="D675" i="3"/>
  <c r="D676" i="3"/>
  <c r="D678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2" i="3"/>
  <c r="D1" i="3"/>
  <c r="C11" i="4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2" i="1"/>
  <c r="J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C4" i="4"/>
  <c r="C16" i="4" s="1"/>
  <c r="D11" i="3" l="1"/>
  <c r="D10" i="3"/>
  <c r="D9" i="3"/>
  <c r="D8" i="3"/>
  <c r="D679" i="3"/>
  <c r="D671" i="3"/>
  <c r="D663" i="3"/>
  <c r="D655" i="3"/>
  <c r="D647" i="3"/>
  <c r="D639" i="3"/>
  <c r="D631" i="3"/>
  <c r="D623" i="3"/>
  <c r="D615" i="3"/>
  <c r="D607" i="3"/>
  <c r="D599" i="3"/>
  <c r="D591" i="3"/>
  <c r="D583" i="3"/>
  <c r="D575" i="3"/>
  <c r="D567" i="3"/>
  <c r="D559" i="3"/>
  <c r="D551" i="3"/>
  <c r="D543" i="3"/>
  <c r="D535" i="3"/>
  <c r="D527" i="3"/>
  <c r="D519" i="3"/>
  <c r="D511" i="3"/>
  <c r="D503" i="3"/>
  <c r="D495" i="3"/>
  <c r="D487" i="3"/>
  <c r="D479" i="3"/>
  <c r="D471" i="3"/>
  <c r="D463" i="3"/>
  <c r="D455" i="3"/>
  <c r="D447" i="3"/>
  <c r="D439" i="3"/>
  <c r="D431" i="3"/>
  <c r="D423" i="3"/>
  <c r="D415" i="3"/>
  <c r="D407" i="3"/>
  <c r="D399" i="3"/>
  <c r="D391" i="3"/>
  <c r="D383" i="3"/>
  <c r="D375" i="3"/>
  <c r="D367" i="3"/>
  <c r="D359" i="3"/>
  <c r="D351" i="3"/>
  <c r="D343" i="3"/>
  <c r="D335" i="3"/>
  <c r="D327" i="3"/>
  <c r="D319" i="3"/>
  <c r="D311" i="3"/>
  <c r="D303" i="3"/>
  <c r="D295" i="3"/>
  <c r="D287" i="3"/>
  <c r="D279" i="3"/>
  <c r="D271" i="3"/>
  <c r="D263" i="3"/>
  <c r="D255" i="3"/>
  <c r="D247" i="3"/>
  <c r="D239" i="3"/>
  <c r="D231" i="3"/>
  <c r="D223" i="3"/>
  <c r="D215" i="3"/>
  <c r="D207" i="3"/>
  <c r="D199" i="3"/>
  <c r="D191" i="3"/>
  <c r="D183" i="3"/>
  <c r="D175" i="3"/>
  <c r="D167" i="3"/>
  <c r="D159" i="3"/>
  <c r="D151" i="3"/>
  <c r="D143" i="3"/>
  <c r="D135" i="3"/>
  <c r="D127" i="3"/>
  <c r="D119" i="3"/>
  <c r="D111" i="3"/>
  <c r="D103" i="3"/>
  <c r="D95" i="3"/>
  <c r="D87" i="3"/>
  <c r="D79" i="3"/>
  <c r="D71" i="3"/>
  <c r="D63" i="3"/>
  <c r="D55" i="3"/>
  <c r="D47" i="3"/>
  <c r="D39" i="3"/>
  <c r="D31" i="3"/>
  <c r="D23" i="3"/>
  <c r="D15" i="3"/>
  <c r="D7" i="3"/>
  <c r="D222" i="3"/>
  <c r="D214" i="3"/>
  <c r="D206" i="3"/>
  <c r="D198" i="3"/>
  <c r="D190" i="3"/>
  <c r="D182" i="3"/>
  <c r="D174" i="3"/>
  <c r="D166" i="3"/>
  <c r="D158" i="3"/>
  <c r="D150" i="3"/>
  <c r="D142" i="3"/>
  <c r="D134" i="3"/>
  <c r="D126" i="3"/>
  <c r="D118" i="3"/>
  <c r="D110" i="3"/>
  <c r="D102" i="3"/>
  <c r="D94" i="3"/>
  <c r="D86" i="3"/>
  <c r="D78" i="3"/>
  <c r="D70" i="3"/>
  <c r="D62" i="3"/>
  <c r="D54" i="3"/>
  <c r="D46" i="3"/>
  <c r="D38" i="3"/>
  <c r="D30" i="3"/>
  <c r="D22" i="3"/>
  <c r="D14" i="3"/>
  <c r="D6" i="3"/>
  <c r="D677" i="3"/>
  <c r="D669" i="3"/>
  <c r="D661" i="3"/>
  <c r="D653" i="3"/>
  <c r="D645" i="3"/>
  <c r="D637" i="3"/>
  <c r="D629" i="3"/>
  <c r="D621" i="3"/>
  <c r="D613" i="3"/>
  <c r="D605" i="3"/>
  <c r="D597" i="3"/>
  <c r="D589" i="3"/>
  <c r="D581" i="3"/>
  <c r="D573" i="3"/>
  <c r="D565" i="3"/>
  <c r="D557" i="3"/>
  <c r="D549" i="3"/>
  <c r="D541" i="3"/>
  <c r="D533" i="3"/>
  <c r="D525" i="3"/>
  <c r="D517" i="3"/>
  <c r="D509" i="3"/>
  <c r="D501" i="3"/>
  <c r="D493" i="3"/>
  <c r="D485" i="3"/>
  <c r="D477" i="3"/>
  <c r="D469" i="3"/>
  <c r="D461" i="3"/>
  <c r="D453" i="3"/>
  <c r="D445" i="3"/>
  <c r="D437" i="3"/>
  <c r="D429" i="3"/>
  <c r="D421" i="3"/>
  <c r="D413" i="3"/>
  <c r="D405" i="3"/>
  <c r="D397" i="3"/>
  <c r="D389" i="3"/>
  <c r="D381" i="3"/>
  <c r="D373" i="3"/>
  <c r="D365" i="3"/>
  <c r="D357" i="3"/>
  <c r="D349" i="3"/>
  <c r="D341" i="3"/>
  <c r="D333" i="3"/>
  <c r="D325" i="3"/>
  <c r="D317" i="3"/>
  <c r="D309" i="3"/>
  <c r="D301" i="3"/>
  <c r="D293" i="3"/>
  <c r="D285" i="3"/>
  <c r="D277" i="3"/>
  <c r="D269" i="3"/>
  <c r="D261" i="3"/>
  <c r="D253" i="3"/>
  <c r="D245" i="3"/>
  <c r="D237" i="3"/>
  <c r="D229" i="3"/>
  <c r="D221" i="3"/>
  <c r="D213" i="3"/>
  <c r="D205" i="3"/>
  <c r="D197" i="3"/>
  <c r="D189" i="3"/>
  <c r="D181" i="3"/>
  <c r="D173" i="3"/>
  <c r="D165" i="3"/>
  <c r="D157" i="3"/>
  <c r="D149" i="3"/>
  <c r="D141" i="3"/>
  <c r="D133" i="3"/>
  <c r="D125" i="3"/>
  <c r="D117" i="3"/>
  <c r="D109" i="3"/>
  <c r="D101" i="3"/>
  <c r="D93" i="3"/>
  <c r="D85" i="3"/>
  <c r="D77" i="3"/>
  <c r="D69" i="3"/>
  <c r="D61" i="3"/>
  <c r="D53" i="3"/>
  <c r="D45" i="3"/>
  <c r="D37" i="3"/>
  <c r="D29" i="3"/>
  <c r="D21" i="3"/>
  <c r="D13" i="3"/>
</calcChain>
</file>

<file path=xl/sharedStrings.xml><?xml version="1.0" encoding="utf-8"?>
<sst xmlns="http://schemas.openxmlformats.org/spreadsheetml/2006/main" count="49" uniqueCount="26">
  <si>
    <t>Préstamo</t>
  </si>
  <si>
    <t>Saldo Insoluto</t>
  </si>
  <si>
    <t>Prob. Impago</t>
  </si>
  <si>
    <t>Severidad</t>
  </si>
  <si>
    <t>beta 1</t>
  </si>
  <si>
    <t>beta 2</t>
  </si>
  <si>
    <t>beta 3</t>
  </si>
  <si>
    <t>EL</t>
  </si>
  <si>
    <t>VAR</t>
  </si>
  <si>
    <t>UCL</t>
  </si>
  <si>
    <t>EAD</t>
  </si>
  <si>
    <t>PD</t>
  </si>
  <si>
    <t>LGD</t>
  </si>
  <si>
    <t>Spread</t>
  </si>
  <si>
    <t>Opex</t>
  </si>
  <si>
    <t>Utilidad</t>
  </si>
  <si>
    <t>Costo Fondeo</t>
  </si>
  <si>
    <t>RWA</t>
  </si>
  <si>
    <t>Asignación Cap</t>
  </si>
  <si>
    <t>ROE</t>
  </si>
  <si>
    <t>CC</t>
  </si>
  <si>
    <t>Tasa Activa</t>
  </si>
  <si>
    <t>MIN</t>
  </si>
  <si>
    <t>MAX</t>
  </si>
  <si>
    <t>CASO B</t>
  </si>
  <si>
    <t>CASO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</si>
</sst>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74" formatCode="_-* #,##0.00000_-;\-* #,##0.000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sz val="11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2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44" fontId="4" fillId="0" borderId="0" xfId="3" applyFont="1" applyAlignment="1">
      <alignment horizontal="left" vertical="center"/>
    </xf>
    <xf numFmtId="44" fontId="0" fillId="0" borderId="0" xfId="3" applyFont="1"/>
    <xf numFmtId="44" fontId="5" fillId="0" borderId="0" xfId="3" applyFont="1" applyAlignment="1">
      <alignment horizontal="left" vertical="center"/>
    </xf>
    <xf numFmtId="0" fontId="0" fillId="0" borderId="1" xfId="0" applyBorder="1"/>
    <xf numFmtId="10" fontId="0" fillId="0" borderId="2" xfId="3" applyNumberFormat="1" applyFont="1" applyBorder="1"/>
    <xf numFmtId="10" fontId="0" fillId="0" borderId="2" xfId="0" applyNumberFormat="1" applyBorder="1"/>
    <xf numFmtId="9" fontId="0" fillId="0" borderId="2" xfId="0" applyNumberFormat="1" applyBorder="1"/>
    <xf numFmtId="0" fontId="0" fillId="0" borderId="3" xfId="0" applyBorder="1"/>
    <xf numFmtId="10" fontId="0" fillId="0" borderId="4" xfId="0" applyNumberFormat="1" applyBorder="1"/>
    <xf numFmtId="0" fontId="3" fillId="3" borderId="3" xfId="0" applyFont="1" applyFill="1" applyBorder="1"/>
    <xf numFmtId="10" fontId="0" fillId="3" borderId="4" xfId="0" applyNumberFormat="1" applyFill="1" applyBorder="1"/>
    <xf numFmtId="43" fontId="0" fillId="0" borderId="0" xfId="0" applyNumberFormat="1"/>
    <xf numFmtId="174" fontId="0" fillId="0" borderId="0" xfId="0" applyNumberFormat="1"/>
    <xf numFmtId="0" fontId="0" fillId="4" borderId="0" xfId="0" applyFill="1" applyAlignment="1">
      <alignment horizontal="center"/>
    </xf>
    <xf numFmtId="44" fontId="0" fillId="0" borderId="0" xfId="0" applyNumberFormat="1"/>
    <xf numFmtId="11" fontId="0" fillId="0" borderId="0" xfId="0" applyNumberFormat="1"/>
    <xf numFmtId="44" fontId="0" fillId="5" borderId="0" xfId="3" applyFont="1" applyFill="1"/>
    <xf numFmtId="0" fontId="0" fillId="5" borderId="0" xfId="0" applyFill="1"/>
    <xf numFmtId="44" fontId="0" fillId="6" borderId="0" xfId="3" applyFont="1" applyFill="1"/>
    <xf numFmtId="0" fontId="0" fillId="6" borderId="0" xfId="0" applyFill="1"/>
    <xf numFmtId="44" fontId="0" fillId="7" borderId="0" xfId="3" applyFont="1" applyFill="1"/>
    <xf numFmtId="0" fontId="0" fillId="7" borderId="0" xfId="0" applyFill="1"/>
    <xf numFmtId="10" fontId="0" fillId="0" borderId="0" xfId="2" applyNumberFormat="1" applyFont="1"/>
    <xf numFmtId="0" fontId="2" fillId="8" borderId="5" xfId="0" applyFont="1" applyFill="1" applyBorder="1"/>
    <xf numFmtId="0" fontId="2" fillId="8" borderId="6" xfId="0" applyFont="1" applyFill="1" applyBorder="1"/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752476</xdr:colOff>
      <xdr:row>1</xdr:row>
      <xdr:rowOff>1</xdr:rowOff>
    </xdr:from>
    <xdr:to>
      <xdr:col>8</xdr:col>
      <xdr:colOff>466726</xdr:colOff>
      <xdr:row>17</xdr:row>
      <xdr:rowOff>69373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D19638-8DD0-4586-B6B2-7FF426C6E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0076" y="190501"/>
          <a:ext cx="5810250" cy="3117372"/>
        </a:xfrm>
        <a:prstGeom prst="rect">
          <a:avLst/>
        </a:prstGeom>
      </xdr:spPr>
    </xdr:pic>
    <xdr:clientData/>
  </xdr:twoCellAnchor>
  <xdr:twoCellAnchor editAs="oneCell">
    <xdr:from>
      <xdr:col>9</xdr:col>
      <xdr:colOff>466725</xdr:colOff>
      <xdr:row>0</xdr:row>
      <xdr:rowOff>123825</xdr:rowOff>
    </xdr:from>
    <xdr:to>
      <xdr:col>16</xdr:col>
      <xdr:colOff>657225</xdr:colOff>
      <xdr:row>19</xdr:row>
      <xdr:rowOff>121201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BF116E-C73B-6384-DA71-0368433DC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4725" y="123825"/>
          <a:ext cx="5524500" cy="36264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8B930-6AFB-47EA-9E35-66A010E1F942}" name="Tabla1" displayName="Tabla1" ref="A1:G1797" totalsRowShown="0" headerRowDxfId="0" dataDxfId="1">
  <autoFilter ref="A1:G1797" xr:uid="{AA68B930-6AFB-47EA-9E35-66A010E1F942}"/>
  <sortState xmlns:xlrd2="http://schemas.microsoft.com/office/spreadsheetml/2017/richdata2" ref="A2:G1797">
    <sortCondition descending="1" ref="D1:D1797"/>
  </sortState>
  <tableColumns count="7">
    <tableColumn id="1" xr3:uid="{09F05F73-7575-4C14-8DB3-11800756A321}" name="Préstamo" dataDxfId="8"/>
    <tableColumn id="2" xr3:uid="{DE1A2B4A-D363-416C-9E44-B71106C02FCA}" name="Saldo Insoluto" dataDxfId="7" dataCellStyle="Millares"/>
    <tableColumn id="3" xr3:uid="{A9921475-6D80-49E4-8F6E-BD3EED7EB74E}" name="Prob. Impago" dataDxfId="6" dataCellStyle="Porcentaje"/>
    <tableColumn id="4" xr3:uid="{24D2A7E7-AA0D-4D98-8F22-636B6B028C54}" name="Severidad" dataDxfId="5"/>
    <tableColumn id="5" xr3:uid="{D8436993-54EB-4934-9BEE-06A623FDBA1C}" name="beta 1" dataDxfId="4"/>
    <tableColumn id="6" xr3:uid="{8FD2E244-9459-4D63-9705-834AC4C919E0}" name="beta 2" dataDxfId="3"/>
    <tableColumn id="7" xr3:uid="{88410304-896D-4D70-A4C6-E14CDEACBB3E}" name="beta 3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263F-B532-486A-9D06-B49804F38BCE}">
  <dimension ref="A1:N1797"/>
  <sheetViews>
    <sheetView workbookViewId="0">
      <selection activeCell="R4" sqref="R4"/>
    </sheetView>
  </sheetViews>
  <sheetFormatPr baseColWidth="10" defaultRowHeight="15" x14ac:dyDescent="0.25"/>
  <cols>
    <col min="2" max="2" width="12.7109375" bestFit="1" customWidth="1"/>
    <col min="3" max="3" width="11.42578125" bestFit="1" customWidth="1"/>
    <col min="4" max="4" width="12" bestFit="1" customWidth="1"/>
    <col min="8" max="8" width="14.42578125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14" x14ac:dyDescent="0.25">
      <c r="A2" s="1">
        <v>1</v>
      </c>
      <c r="B2" s="2">
        <v>7784212</v>
      </c>
      <c r="C2" s="3">
        <v>4.2999999999999997E-2</v>
      </c>
      <c r="D2" s="1">
        <v>0.75</v>
      </c>
      <c r="E2" s="4">
        <v>0.16</v>
      </c>
      <c r="F2" s="4">
        <v>0.24</v>
      </c>
      <c r="G2" s="4">
        <v>0.6</v>
      </c>
      <c r="H2" s="17">
        <f>B2*C2*D2/SUM($B$2:$B$1797)</f>
        <v>5.0605955645930317E-5</v>
      </c>
      <c r="J2" s="18">
        <f>SUM(H2:H1797)</f>
        <v>1.8738314660881491E-2</v>
      </c>
      <c r="L2">
        <f>C2*D2</f>
        <v>3.2250000000000001E-2</v>
      </c>
      <c r="N2">
        <f>AVERAGE(L2:L1797)</f>
        <v>1.227530066815157E-2</v>
      </c>
    </row>
    <row r="3" spans="1:14" x14ac:dyDescent="0.25">
      <c r="A3" s="1">
        <v>2</v>
      </c>
      <c r="B3" s="2">
        <v>9277406</v>
      </c>
      <c r="C3" s="3">
        <v>3.1E-2</v>
      </c>
      <c r="D3" s="1">
        <v>0.75</v>
      </c>
      <c r="E3" s="4">
        <v>0.18</v>
      </c>
      <c r="F3" s="4">
        <v>0.21</v>
      </c>
      <c r="G3" s="4">
        <v>0.6100000000000001</v>
      </c>
      <c r="H3" s="17">
        <f t="shared" ref="H3:H66" si="0">B3*C3*D3/SUM($B$2:$B$1797)</f>
        <v>4.3481726121228404E-5</v>
      </c>
      <c r="L3">
        <f t="shared" ref="L3:L66" si="1">C3*D3</f>
        <v>2.325E-2</v>
      </c>
    </row>
    <row r="4" spans="1:14" x14ac:dyDescent="0.25">
      <c r="A4" s="1">
        <v>3</v>
      </c>
      <c r="B4" s="2">
        <v>9976922</v>
      </c>
      <c r="C4" s="3">
        <v>3.2000000000000001E-2</v>
      </c>
      <c r="D4" s="1">
        <v>0.75</v>
      </c>
      <c r="E4" s="4">
        <v>0.22</v>
      </c>
      <c r="F4" s="4">
        <v>0.22</v>
      </c>
      <c r="G4" s="4">
        <v>0.56000000000000005</v>
      </c>
      <c r="H4" s="17">
        <f t="shared" si="0"/>
        <v>4.826864138107441E-5</v>
      </c>
      <c r="L4">
        <f t="shared" si="1"/>
        <v>2.4E-2</v>
      </c>
    </row>
    <row r="5" spans="1:14" x14ac:dyDescent="0.25">
      <c r="A5" s="1">
        <v>4</v>
      </c>
      <c r="B5" s="2">
        <v>6073176</v>
      </c>
      <c r="C5" s="3">
        <v>2.8000000000000001E-2</v>
      </c>
      <c r="D5" s="1">
        <v>0.67</v>
      </c>
      <c r="E5" s="4">
        <v>0.16</v>
      </c>
      <c r="F5" s="4">
        <v>0.34</v>
      </c>
      <c r="G5" s="4">
        <v>0.49999999999999989</v>
      </c>
      <c r="H5" s="17">
        <f t="shared" si="0"/>
        <v>2.2967089216500739E-5</v>
      </c>
      <c r="L5">
        <f t="shared" si="1"/>
        <v>1.8760000000000002E-2</v>
      </c>
    </row>
    <row r="6" spans="1:14" x14ac:dyDescent="0.25">
      <c r="A6" s="1">
        <v>5</v>
      </c>
      <c r="B6" s="2">
        <v>6394691</v>
      </c>
      <c r="C6" s="3">
        <v>3.7999999999999999E-2</v>
      </c>
      <c r="D6" s="1">
        <v>0.67</v>
      </c>
      <c r="E6" s="4">
        <v>0.17</v>
      </c>
      <c r="F6" s="4">
        <v>0.16</v>
      </c>
      <c r="G6" s="4">
        <v>0.66999999999999993</v>
      </c>
      <c r="H6" s="17">
        <f t="shared" si="0"/>
        <v>3.2819746272909549E-5</v>
      </c>
      <c r="L6">
        <f t="shared" si="1"/>
        <v>2.546E-2</v>
      </c>
    </row>
    <row r="7" spans="1:14" x14ac:dyDescent="0.25">
      <c r="A7" s="1">
        <v>6</v>
      </c>
      <c r="B7" s="2">
        <v>6489866</v>
      </c>
      <c r="C7" s="3">
        <v>3.9E-2</v>
      </c>
      <c r="D7" s="1">
        <v>0.67</v>
      </c>
      <c r="E7" s="4">
        <v>0.15</v>
      </c>
      <c r="F7" s="4">
        <v>0.21</v>
      </c>
      <c r="G7" s="4">
        <v>0.64</v>
      </c>
      <c r="H7" s="17">
        <f t="shared" si="0"/>
        <v>3.4184749024588125E-5</v>
      </c>
      <c r="L7">
        <f t="shared" si="1"/>
        <v>2.613E-2</v>
      </c>
    </row>
    <row r="8" spans="1:14" x14ac:dyDescent="0.25">
      <c r="A8" s="1">
        <v>7</v>
      </c>
      <c r="B8" s="2">
        <v>6161911</v>
      </c>
      <c r="C8" s="3">
        <v>0.03</v>
      </c>
      <c r="D8" s="1">
        <v>0.67</v>
      </c>
      <c r="E8" s="4">
        <v>0.22</v>
      </c>
      <c r="F8" s="4">
        <v>0.16</v>
      </c>
      <c r="G8" s="4">
        <v>0.62</v>
      </c>
      <c r="H8" s="17">
        <f t="shared" si="0"/>
        <v>2.4967136461066771E-5</v>
      </c>
      <c r="L8">
        <f t="shared" si="1"/>
        <v>2.01E-2</v>
      </c>
    </row>
    <row r="9" spans="1:14" x14ac:dyDescent="0.25">
      <c r="A9" s="1">
        <v>8</v>
      </c>
      <c r="B9" s="2">
        <v>7871397</v>
      </c>
      <c r="C9" s="3">
        <v>0.03</v>
      </c>
      <c r="D9" s="1">
        <v>0.75</v>
      </c>
      <c r="E9" s="4">
        <v>0.21</v>
      </c>
      <c r="F9" s="4">
        <v>0.26</v>
      </c>
      <c r="G9" s="4">
        <v>0.53</v>
      </c>
      <c r="H9" s="17">
        <f t="shared" si="0"/>
        <v>3.5701921547146342E-5</v>
      </c>
      <c r="L9">
        <f t="shared" si="1"/>
        <v>2.2499999999999999E-2</v>
      </c>
    </row>
    <row r="10" spans="1:14" x14ac:dyDescent="0.25">
      <c r="A10" s="1">
        <v>9</v>
      </c>
      <c r="B10" s="2">
        <v>8403429</v>
      </c>
      <c r="C10" s="3">
        <v>3.5000000000000003E-2</v>
      </c>
      <c r="D10" s="1">
        <v>0.75</v>
      </c>
      <c r="E10" s="4">
        <v>0.2</v>
      </c>
      <c r="F10" s="4">
        <v>0.2</v>
      </c>
      <c r="G10" s="4">
        <v>0.60000000000000009</v>
      </c>
      <c r="H10" s="17">
        <f t="shared" si="0"/>
        <v>4.4467539459537296E-5</v>
      </c>
      <c r="L10">
        <f t="shared" si="1"/>
        <v>2.6250000000000002E-2</v>
      </c>
    </row>
    <row r="11" spans="1:14" x14ac:dyDescent="0.25">
      <c r="A11" s="1">
        <v>10</v>
      </c>
      <c r="B11" s="2">
        <v>5917866</v>
      </c>
      <c r="C11" s="3">
        <v>3.1E-2</v>
      </c>
      <c r="D11" s="1">
        <v>0.67</v>
      </c>
      <c r="E11" s="4">
        <v>0.19</v>
      </c>
      <c r="F11" s="4">
        <v>0.27</v>
      </c>
      <c r="G11" s="4">
        <v>0.54</v>
      </c>
      <c r="H11" s="17">
        <f t="shared" si="0"/>
        <v>2.4777579592810998E-5</v>
      </c>
      <c r="L11">
        <f t="shared" si="1"/>
        <v>2.077E-2</v>
      </c>
    </row>
    <row r="12" spans="1:14" x14ac:dyDescent="0.25">
      <c r="A12" s="1">
        <v>11</v>
      </c>
      <c r="B12" s="2">
        <v>5807244</v>
      </c>
      <c r="C12" s="3">
        <v>3.2000000000000001E-2</v>
      </c>
      <c r="D12" s="1">
        <v>0.67</v>
      </c>
      <c r="E12" s="4">
        <v>0.18</v>
      </c>
      <c r="F12" s="4">
        <v>0.19</v>
      </c>
      <c r="G12" s="4">
        <v>0.63000000000000012</v>
      </c>
      <c r="H12" s="17">
        <f t="shared" si="0"/>
        <v>2.5098751070042825E-5</v>
      </c>
      <c r="L12">
        <f t="shared" si="1"/>
        <v>2.1440000000000001E-2</v>
      </c>
    </row>
    <row r="13" spans="1:14" x14ac:dyDescent="0.25">
      <c r="A13" s="1">
        <v>12</v>
      </c>
      <c r="B13" s="2">
        <v>9205108</v>
      </c>
      <c r="C13" s="3">
        <v>0.03</v>
      </c>
      <c r="D13" s="1">
        <v>0.75</v>
      </c>
      <c r="E13" s="4">
        <v>0.22</v>
      </c>
      <c r="F13" s="4">
        <v>0.19</v>
      </c>
      <c r="G13" s="4">
        <v>0.59000000000000008</v>
      </c>
      <c r="H13" s="17">
        <f t="shared" si="0"/>
        <v>4.1751171189689601E-5</v>
      </c>
      <c r="L13">
        <f t="shared" si="1"/>
        <v>2.2499999999999999E-2</v>
      </c>
    </row>
    <row r="14" spans="1:14" x14ac:dyDescent="0.25">
      <c r="A14" s="1">
        <v>13</v>
      </c>
      <c r="B14" s="2">
        <v>9453806</v>
      </c>
      <c r="C14" s="3">
        <v>2.7E-2</v>
      </c>
      <c r="D14" s="1">
        <v>0.75</v>
      </c>
      <c r="E14" s="4">
        <v>0.17</v>
      </c>
      <c r="F14" s="4">
        <v>0.31</v>
      </c>
      <c r="G14" s="4">
        <v>0.51999999999999991</v>
      </c>
      <c r="H14" s="17">
        <f t="shared" si="0"/>
        <v>3.8591261007486624E-5</v>
      </c>
      <c r="L14">
        <f t="shared" si="1"/>
        <v>2.0250000000000001E-2</v>
      </c>
    </row>
    <row r="15" spans="1:14" x14ac:dyDescent="0.25">
      <c r="A15" s="1">
        <v>14</v>
      </c>
      <c r="B15" s="2">
        <v>5996248</v>
      </c>
      <c r="C15" s="3">
        <v>2.5000000000000001E-2</v>
      </c>
      <c r="D15" s="1">
        <v>0.67</v>
      </c>
      <c r="E15" s="4">
        <v>0.16</v>
      </c>
      <c r="F15" s="4">
        <v>0.24</v>
      </c>
      <c r="G15" s="4">
        <v>0.6</v>
      </c>
      <c r="H15" s="17">
        <f t="shared" si="0"/>
        <v>2.0246579087558862E-5</v>
      </c>
      <c r="L15">
        <f t="shared" si="1"/>
        <v>1.6750000000000001E-2</v>
      </c>
    </row>
    <row r="16" spans="1:14" x14ac:dyDescent="0.25">
      <c r="A16" s="1">
        <v>15</v>
      </c>
      <c r="B16" s="2">
        <v>8280843</v>
      </c>
      <c r="C16" s="3">
        <v>2.8000000000000001E-2</v>
      </c>
      <c r="D16" s="1">
        <v>0.75</v>
      </c>
      <c r="E16" s="4">
        <v>0.22</v>
      </c>
      <c r="F16" s="4">
        <v>0.17</v>
      </c>
      <c r="G16" s="4">
        <v>0.61</v>
      </c>
      <c r="H16" s="17">
        <f t="shared" si="0"/>
        <v>3.5055091235802254E-5</v>
      </c>
      <c r="L16">
        <f t="shared" si="1"/>
        <v>2.1000000000000001E-2</v>
      </c>
    </row>
    <row r="17" spans="1:12" x14ac:dyDescent="0.25">
      <c r="A17" s="1">
        <v>16</v>
      </c>
      <c r="B17" s="2">
        <v>8499619</v>
      </c>
      <c r="C17" s="3">
        <v>3.3000000000000002E-2</v>
      </c>
      <c r="D17" s="1">
        <v>0.75</v>
      </c>
      <c r="E17" s="4">
        <v>0.21</v>
      </c>
      <c r="F17" s="4">
        <v>0.31</v>
      </c>
      <c r="G17" s="4">
        <v>0.48</v>
      </c>
      <c r="H17" s="17">
        <f t="shared" si="0"/>
        <v>4.2406450060960959E-5</v>
      </c>
      <c r="L17">
        <f t="shared" si="1"/>
        <v>2.4750000000000001E-2</v>
      </c>
    </row>
    <row r="18" spans="1:12" x14ac:dyDescent="0.25">
      <c r="A18" s="1">
        <v>17</v>
      </c>
      <c r="B18" s="2">
        <v>9343438</v>
      </c>
      <c r="C18" s="3">
        <v>4.2999999999999997E-2</v>
      </c>
      <c r="D18" s="1">
        <v>0.75</v>
      </c>
      <c r="E18" s="4">
        <v>0.19</v>
      </c>
      <c r="F18" s="4">
        <v>0.32</v>
      </c>
      <c r="G18" s="4">
        <v>0.48999999999999994</v>
      </c>
      <c r="H18" s="17">
        <f t="shared" si="0"/>
        <v>6.0742642801673416E-5</v>
      </c>
      <c r="L18">
        <f t="shared" si="1"/>
        <v>3.2250000000000001E-2</v>
      </c>
    </row>
    <row r="19" spans="1:12" x14ac:dyDescent="0.25">
      <c r="A19" s="1">
        <v>18</v>
      </c>
      <c r="B19" s="2">
        <v>8182381</v>
      </c>
      <c r="C19" s="3">
        <v>2.5999999999999999E-2</v>
      </c>
      <c r="D19" s="1">
        <v>0.75</v>
      </c>
      <c r="E19" s="4">
        <v>0.17</v>
      </c>
      <c r="F19" s="4">
        <v>0.16</v>
      </c>
      <c r="G19" s="4">
        <v>0.66999999999999993</v>
      </c>
      <c r="H19" s="17">
        <f t="shared" si="0"/>
        <v>3.2164111985891791E-5</v>
      </c>
      <c r="L19">
        <f t="shared" si="1"/>
        <v>1.95E-2</v>
      </c>
    </row>
    <row r="20" spans="1:12" x14ac:dyDescent="0.25">
      <c r="A20" s="1">
        <v>19</v>
      </c>
      <c r="B20" s="2">
        <v>5953888</v>
      </c>
      <c r="C20" s="3">
        <v>3.7999999999999999E-2</v>
      </c>
      <c r="D20" s="1">
        <v>0.67</v>
      </c>
      <c r="E20" s="4">
        <v>0.22</v>
      </c>
      <c r="F20" s="4">
        <v>0.33</v>
      </c>
      <c r="G20" s="4">
        <v>0.44999999999999996</v>
      </c>
      <c r="H20" s="17">
        <f t="shared" si="0"/>
        <v>3.0557394172340912E-5</v>
      </c>
      <c r="L20">
        <f t="shared" si="1"/>
        <v>2.546E-2</v>
      </c>
    </row>
    <row r="21" spans="1:12" x14ac:dyDescent="0.25">
      <c r="A21" s="1">
        <v>20</v>
      </c>
      <c r="B21" s="2">
        <v>9990794</v>
      </c>
      <c r="C21" s="3">
        <v>2.5999999999999999E-2</v>
      </c>
      <c r="D21" s="1">
        <v>0.75</v>
      </c>
      <c r="E21" s="4">
        <v>0.24</v>
      </c>
      <c r="F21" s="4">
        <v>0.18</v>
      </c>
      <c r="G21" s="4">
        <v>0.58000000000000007</v>
      </c>
      <c r="H21" s="17">
        <f t="shared" si="0"/>
        <v>3.9272800550839154E-5</v>
      </c>
      <c r="L21">
        <f t="shared" si="1"/>
        <v>1.95E-2</v>
      </c>
    </row>
    <row r="22" spans="1:12" x14ac:dyDescent="0.25">
      <c r="A22" s="1">
        <v>21</v>
      </c>
      <c r="B22" s="2">
        <v>7694479</v>
      </c>
      <c r="C22" s="3">
        <v>3.2000000000000001E-2</v>
      </c>
      <c r="D22" s="1">
        <v>0.75</v>
      </c>
      <c r="E22" s="4">
        <v>0.17</v>
      </c>
      <c r="F22" s="4">
        <v>0.18</v>
      </c>
      <c r="G22" s="4">
        <v>0.65</v>
      </c>
      <c r="H22" s="17">
        <f t="shared" si="0"/>
        <v>3.7226115175121948E-5</v>
      </c>
      <c r="L22">
        <f t="shared" si="1"/>
        <v>2.4E-2</v>
      </c>
    </row>
    <row r="23" spans="1:12" x14ac:dyDescent="0.25">
      <c r="A23" s="1">
        <v>22</v>
      </c>
      <c r="B23" s="2">
        <v>8450924</v>
      </c>
      <c r="C23" s="3">
        <v>3.7999999999999999E-2</v>
      </c>
      <c r="D23" s="1">
        <v>0.75</v>
      </c>
      <c r="E23" s="4">
        <v>0.17</v>
      </c>
      <c r="F23" s="4">
        <v>0.23</v>
      </c>
      <c r="G23" s="4">
        <v>0.6</v>
      </c>
      <c r="H23" s="17">
        <f t="shared" si="0"/>
        <v>4.8551909208568917E-5</v>
      </c>
      <c r="L23">
        <f t="shared" si="1"/>
        <v>2.8499999999999998E-2</v>
      </c>
    </row>
    <row r="24" spans="1:12" x14ac:dyDescent="0.25">
      <c r="A24" s="1">
        <v>23</v>
      </c>
      <c r="B24" s="2">
        <v>7438613</v>
      </c>
      <c r="C24" s="3">
        <v>3.5000000000000003E-2</v>
      </c>
      <c r="D24" s="1">
        <v>0.75</v>
      </c>
      <c r="E24" s="4">
        <v>0.22</v>
      </c>
      <c r="F24" s="4">
        <v>0.26</v>
      </c>
      <c r="G24" s="4">
        <v>0.52</v>
      </c>
      <c r="H24" s="17">
        <f t="shared" si="0"/>
        <v>3.9362124330642536E-5</v>
      </c>
      <c r="L24">
        <f t="shared" si="1"/>
        <v>2.6250000000000002E-2</v>
      </c>
    </row>
    <row r="25" spans="1:12" x14ac:dyDescent="0.25">
      <c r="A25" s="1">
        <v>24</v>
      </c>
      <c r="B25" s="2">
        <v>5861715</v>
      </c>
      <c r="C25" s="3">
        <v>3.5000000000000003E-2</v>
      </c>
      <c r="D25" s="1">
        <v>0.67</v>
      </c>
      <c r="E25" s="4">
        <v>0.15</v>
      </c>
      <c r="F25" s="4">
        <v>0.2</v>
      </c>
      <c r="G25" s="4">
        <v>0.65</v>
      </c>
      <c r="H25" s="17">
        <f t="shared" si="0"/>
        <v>2.7709251997369381E-5</v>
      </c>
      <c r="L25">
        <f t="shared" si="1"/>
        <v>2.3450000000000002E-2</v>
      </c>
    </row>
    <row r="26" spans="1:12" x14ac:dyDescent="0.25">
      <c r="A26" s="1">
        <v>25</v>
      </c>
      <c r="B26" s="2">
        <v>8467838</v>
      </c>
      <c r="C26" s="3">
        <v>2.8000000000000001E-2</v>
      </c>
      <c r="D26" s="1">
        <v>0.75</v>
      </c>
      <c r="E26" s="4">
        <v>0.2</v>
      </c>
      <c r="F26" s="4">
        <v>0.21</v>
      </c>
      <c r="G26" s="4">
        <v>0.59000000000000008</v>
      </c>
      <c r="H26" s="17">
        <f t="shared" si="0"/>
        <v>3.5846692620545195E-5</v>
      </c>
      <c r="L26">
        <f t="shared" si="1"/>
        <v>2.1000000000000001E-2</v>
      </c>
    </row>
    <row r="27" spans="1:12" x14ac:dyDescent="0.25">
      <c r="A27" s="1">
        <v>26</v>
      </c>
      <c r="B27" s="2">
        <v>8575507</v>
      </c>
      <c r="C27" s="3">
        <v>3.1E-2</v>
      </c>
      <c r="D27" s="1">
        <v>0.75</v>
      </c>
      <c r="E27" s="4">
        <v>0.17</v>
      </c>
      <c r="F27" s="4">
        <v>0.19</v>
      </c>
      <c r="G27" s="4">
        <v>0.64</v>
      </c>
      <c r="H27" s="17">
        <f t="shared" si="0"/>
        <v>4.0192037162616047E-5</v>
      </c>
      <c r="L27">
        <f t="shared" si="1"/>
        <v>2.325E-2</v>
      </c>
    </row>
    <row r="28" spans="1:12" x14ac:dyDescent="0.25">
      <c r="A28" s="1">
        <v>27</v>
      </c>
      <c r="B28" s="2">
        <v>6793665</v>
      </c>
      <c r="C28" s="3">
        <v>3.1E-2</v>
      </c>
      <c r="D28" s="1">
        <v>0.67</v>
      </c>
      <c r="E28" s="4">
        <v>0.22</v>
      </c>
      <c r="F28" s="4">
        <v>0.31</v>
      </c>
      <c r="G28" s="4">
        <v>0.47</v>
      </c>
      <c r="H28" s="17">
        <f t="shared" si="0"/>
        <v>2.8444472258140743E-5</v>
      </c>
      <c r="L28">
        <f t="shared" si="1"/>
        <v>2.077E-2</v>
      </c>
    </row>
    <row r="29" spans="1:12" x14ac:dyDescent="0.25">
      <c r="A29" s="1">
        <v>28</v>
      </c>
      <c r="B29" s="2">
        <v>5747727</v>
      </c>
      <c r="C29" s="3">
        <v>3.4000000000000002E-2</v>
      </c>
      <c r="D29" s="1">
        <v>0.67</v>
      </c>
      <c r="E29" s="4">
        <v>0.15</v>
      </c>
      <c r="F29" s="4">
        <v>0.27</v>
      </c>
      <c r="G29" s="4">
        <v>0.57999999999999996</v>
      </c>
      <c r="H29" s="17">
        <f t="shared" si="0"/>
        <v>2.6394115223337749E-5</v>
      </c>
      <c r="L29">
        <f t="shared" si="1"/>
        <v>2.2780000000000002E-2</v>
      </c>
    </row>
    <row r="30" spans="1:12" x14ac:dyDescent="0.25">
      <c r="A30" s="1">
        <v>29</v>
      </c>
      <c r="B30" s="2">
        <v>6526000</v>
      </c>
      <c r="C30" s="3">
        <v>3.4000000000000002E-2</v>
      </c>
      <c r="D30" s="1">
        <v>0.67</v>
      </c>
      <c r="E30" s="4">
        <v>0.15</v>
      </c>
      <c r="F30" s="4">
        <v>0.28999999999999998</v>
      </c>
      <c r="G30" s="4">
        <v>0.55999999999999994</v>
      </c>
      <c r="H30" s="17">
        <f t="shared" si="0"/>
        <v>2.9968019696743106E-5</v>
      </c>
      <c r="L30">
        <f t="shared" si="1"/>
        <v>2.2780000000000002E-2</v>
      </c>
    </row>
    <row r="31" spans="1:12" x14ac:dyDescent="0.25">
      <c r="A31" s="1">
        <v>30</v>
      </c>
      <c r="B31" s="2">
        <v>6469139</v>
      </c>
      <c r="C31" s="3">
        <v>2.5000000000000001E-2</v>
      </c>
      <c r="D31" s="1">
        <v>0.67</v>
      </c>
      <c r="E31" s="4">
        <v>0.25</v>
      </c>
      <c r="F31" s="4">
        <v>0.23</v>
      </c>
      <c r="G31" s="4">
        <v>0.52</v>
      </c>
      <c r="H31" s="17">
        <f t="shared" si="0"/>
        <v>2.1843315085018407E-5</v>
      </c>
      <c r="L31">
        <f t="shared" si="1"/>
        <v>1.6750000000000001E-2</v>
      </c>
    </row>
    <row r="32" spans="1:12" x14ac:dyDescent="0.25">
      <c r="A32" s="1">
        <v>31</v>
      </c>
      <c r="B32" s="2">
        <v>5465327</v>
      </c>
      <c r="C32" s="3">
        <v>4.1000000000000002E-2</v>
      </c>
      <c r="D32" s="1">
        <v>0.67</v>
      </c>
      <c r="E32" s="4">
        <v>0.25</v>
      </c>
      <c r="F32" s="4">
        <v>0.2</v>
      </c>
      <c r="G32" s="4">
        <v>0.55000000000000004</v>
      </c>
      <c r="H32" s="17">
        <f t="shared" si="0"/>
        <v>3.0264399932355726E-5</v>
      </c>
      <c r="L32">
        <f t="shared" si="1"/>
        <v>2.7470000000000001E-2</v>
      </c>
    </row>
    <row r="33" spans="1:12" x14ac:dyDescent="0.25">
      <c r="A33" s="1">
        <v>32</v>
      </c>
      <c r="B33" s="2">
        <v>5466393</v>
      </c>
      <c r="C33" s="3">
        <v>4.2999999999999997E-2</v>
      </c>
      <c r="D33" s="1">
        <v>0.67</v>
      </c>
      <c r="E33" s="4">
        <v>0.15</v>
      </c>
      <c r="F33" s="4">
        <v>0.28999999999999998</v>
      </c>
      <c r="G33" s="4">
        <v>0.55999999999999994</v>
      </c>
      <c r="H33" s="17">
        <f t="shared" si="0"/>
        <v>3.174690308020389E-5</v>
      </c>
      <c r="L33">
        <f t="shared" si="1"/>
        <v>2.8809999999999999E-2</v>
      </c>
    </row>
    <row r="34" spans="1:12" x14ac:dyDescent="0.25">
      <c r="A34" s="1">
        <v>33</v>
      </c>
      <c r="B34" s="2">
        <v>8831270</v>
      </c>
      <c r="C34" s="3">
        <v>2.5000000000000001E-2</v>
      </c>
      <c r="D34" s="1">
        <v>0.75</v>
      </c>
      <c r="E34" s="4">
        <v>0.21</v>
      </c>
      <c r="F34" s="4">
        <v>0.21</v>
      </c>
      <c r="G34" s="4">
        <v>0.58000000000000007</v>
      </c>
      <c r="H34" s="17">
        <f t="shared" si="0"/>
        <v>3.3379643272732384E-5</v>
      </c>
      <c r="L34">
        <f t="shared" si="1"/>
        <v>1.8750000000000003E-2</v>
      </c>
    </row>
    <row r="35" spans="1:12" x14ac:dyDescent="0.25">
      <c r="A35" s="1">
        <v>34</v>
      </c>
      <c r="B35" s="2">
        <v>9056722</v>
      </c>
      <c r="C35" s="3">
        <v>3.6999999999999998E-2</v>
      </c>
      <c r="D35" s="1">
        <v>0.75</v>
      </c>
      <c r="E35" s="4">
        <v>0.23</v>
      </c>
      <c r="F35" s="4">
        <v>0.23</v>
      </c>
      <c r="G35" s="4">
        <v>0.54</v>
      </c>
      <c r="H35" s="17">
        <f t="shared" si="0"/>
        <v>5.0663044089791719E-5</v>
      </c>
      <c r="L35">
        <f t="shared" si="1"/>
        <v>2.7749999999999997E-2</v>
      </c>
    </row>
    <row r="36" spans="1:12" x14ac:dyDescent="0.25">
      <c r="A36" s="1">
        <v>35</v>
      </c>
      <c r="B36" s="2">
        <v>6286335</v>
      </c>
      <c r="C36" s="3">
        <v>3.9E-2</v>
      </c>
      <c r="D36" s="1">
        <v>0.67</v>
      </c>
      <c r="E36" s="4">
        <v>0.18</v>
      </c>
      <c r="F36" s="4">
        <v>0.22</v>
      </c>
      <c r="G36" s="4">
        <v>0.60000000000000009</v>
      </c>
      <c r="H36" s="17">
        <f t="shared" si="0"/>
        <v>3.3112668930218926E-5</v>
      </c>
      <c r="L36">
        <f t="shared" si="1"/>
        <v>2.613E-2</v>
      </c>
    </row>
    <row r="37" spans="1:12" x14ac:dyDescent="0.25">
      <c r="A37" s="1">
        <v>36</v>
      </c>
      <c r="B37" s="2">
        <v>5594212</v>
      </c>
      <c r="C37" s="3">
        <v>3.2000000000000001E-2</v>
      </c>
      <c r="D37" s="1">
        <v>0.67</v>
      </c>
      <c r="E37" s="4">
        <v>0.25</v>
      </c>
      <c r="F37" s="4">
        <v>0.32</v>
      </c>
      <c r="G37" s="4">
        <v>0.42999999999999994</v>
      </c>
      <c r="H37" s="17">
        <f t="shared" si="0"/>
        <v>2.4178032543672426E-5</v>
      </c>
      <c r="L37">
        <f t="shared" si="1"/>
        <v>2.1440000000000001E-2</v>
      </c>
    </row>
    <row r="38" spans="1:12" x14ac:dyDescent="0.25">
      <c r="A38" s="1">
        <v>37</v>
      </c>
      <c r="B38" s="2">
        <v>5131977</v>
      </c>
      <c r="C38" s="3">
        <v>3.9E-2</v>
      </c>
      <c r="D38" s="1">
        <v>0.67</v>
      </c>
      <c r="E38" s="4">
        <v>0.19</v>
      </c>
      <c r="F38" s="4">
        <v>0.28000000000000003</v>
      </c>
      <c r="G38" s="4">
        <v>0.53</v>
      </c>
      <c r="H38" s="17">
        <f t="shared" si="0"/>
        <v>2.7032198468344133E-5</v>
      </c>
      <c r="L38">
        <f t="shared" si="1"/>
        <v>2.613E-2</v>
      </c>
    </row>
    <row r="39" spans="1:12" x14ac:dyDescent="0.25">
      <c r="A39" s="1">
        <v>38</v>
      </c>
      <c r="B39" s="2">
        <v>8326837</v>
      </c>
      <c r="C39" s="3">
        <v>3.2000000000000001E-2</v>
      </c>
      <c r="D39" s="1">
        <v>0.75</v>
      </c>
      <c r="E39" s="4">
        <v>0.15</v>
      </c>
      <c r="F39" s="4">
        <v>0.17</v>
      </c>
      <c r="G39" s="4">
        <v>0.67999999999999994</v>
      </c>
      <c r="H39" s="17">
        <f t="shared" si="0"/>
        <v>4.0285481733911664E-5</v>
      </c>
      <c r="L39">
        <f t="shared" si="1"/>
        <v>2.4E-2</v>
      </c>
    </row>
    <row r="40" spans="1:12" x14ac:dyDescent="0.25">
      <c r="A40" s="1">
        <v>39</v>
      </c>
      <c r="B40" s="2">
        <v>5603660</v>
      </c>
      <c r="C40" s="3">
        <v>4.4999999999999998E-2</v>
      </c>
      <c r="D40" s="1">
        <v>0.67</v>
      </c>
      <c r="E40" s="4">
        <v>0.25</v>
      </c>
      <c r="F40" s="4">
        <v>0.3</v>
      </c>
      <c r="G40" s="4">
        <v>0.44999999999999996</v>
      </c>
      <c r="H40" s="17">
        <f t="shared" si="0"/>
        <v>3.4057781076703657E-5</v>
      </c>
      <c r="L40">
        <f t="shared" si="1"/>
        <v>3.015E-2</v>
      </c>
    </row>
    <row r="41" spans="1:12" x14ac:dyDescent="0.25">
      <c r="A41" s="1">
        <v>40</v>
      </c>
      <c r="B41" s="2">
        <v>5508232</v>
      </c>
      <c r="C41" s="3">
        <v>3.9E-2</v>
      </c>
      <c r="D41" s="1">
        <v>0.67</v>
      </c>
      <c r="E41" s="4">
        <v>0.25</v>
      </c>
      <c r="F41" s="4">
        <v>0.18</v>
      </c>
      <c r="G41" s="4">
        <v>0.57000000000000006</v>
      </c>
      <c r="H41" s="17">
        <f t="shared" si="0"/>
        <v>2.9014085728303959E-5</v>
      </c>
      <c r="L41">
        <f t="shared" si="1"/>
        <v>2.613E-2</v>
      </c>
    </row>
    <row r="42" spans="1:12" x14ac:dyDescent="0.25">
      <c r="A42" s="1">
        <v>41</v>
      </c>
      <c r="B42" s="2">
        <v>8877687</v>
      </c>
      <c r="C42" s="3">
        <v>2.5999999999999999E-2</v>
      </c>
      <c r="D42" s="1">
        <v>0.75</v>
      </c>
      <c r="E42" s="4">
        <v>0.22</v>
      </c>
      <c r="F42" s="4">
        <v>0.19</v>
      </c>
      <c r="G42" s="4">
        <v>0.59000000000000008</v>
      </c>
      <c r="H42" s="17">
        <f t="shared" si="0"/>
        <v>3.4897289535123797E-5</v>
      </c>
      <c r="L42">
        <f t="shared" si="1"/>
        <v>1.95E-2</v>
      </c>
    </row>
    <row r="43" spans="1:12" x14ac:dyDescent="0.25">
      <c r="A43" s="1">
        <v>42</v>
      </c>
      <c r="B43" s="2">
        <v>6442446</v>
      </c>
      <c r="C43" s="3">
        <v>4.4999999999999998E-2</v>
      </c>
      <c r="D43" s="1">
        <v>0.67</v>
      </c>
      <c r="E43" s="4">
        <v>0.25</v>
      </c>
      <c r="F43" s="4">
        <v>0.26</v>
      </c>
      <c r="G43" s="4">
        <v>0.49</v>
      </c>
      <c r="H43" s="17">
        <f t="shared" si="0"/>
        <v>3.9155733122010473E-5</v>
      </c>
      <c r="L43">
        <f t="shared" si="1"/>
        <v>3.015E-2</v>
      </c>
    </row>
    <row r="44" spans="1:12" x14ac:dyDescent="0.25">
      <c r="A44" s="1">
        <v>43</v>
      </c>
      <c r="B44" s="2">
        <v>5778681</v>
      </c>
      <c r="C44" s="3">
        <v>2.7E-2</v>
      </c>
      <c r="D44" s="1">
        <v>0.67</v>
      </c>
      <c r="E44" s="4">
        <v>0.17</v>
      </c>
      <c r="F44" s="4">
        <v>0.33</v>
      </c>
      <c r="G44" s="4">
        <v>0.49999999999999989</v>
      </c>
      <c r="H44" s="17">
        <f t="shared" si="0"/>
        <v>2.1072911533901807E-5</v>
      </c>
      <c r="L44">
        <f t="shared" si="1"/>
        <v>1.8090000000000002E-2</v>
      </c>
    </row>
    <row r="45" spans="1:12" x14ac:dyDescent="0.25">
      <c r="A45" s="1">
        <v>44</v>
      </c>
      <c r="B45" s="2">
        <v>8248937</v>
      </c>
      <c r="C45" s="3">
        <v>3.5999999999999997E-2</v>
      </c>
      <c r="D45" s="1">
        <v>0.75</v>
      </c>
      <c r="E45" s="4">
        <v>0.25</v>
      </c>
      <c r="F45" s="4">
        <v>0.24</v>
      </c>
      <c r="G45" s="4">
        <v>0.51</v>
      </c>
      <c r="H45" s="17">
        <f t="shared" si="0"/>
        <v>4.4897174154171513E-5</v>
      </c>
      <c r="L45">
        <f t="shared" si="1"/>
        <v>2.6999999999999996E-2</v>
      </c>
    </row>
    <row r="46" spans="1:12" x14ac:dyDescent="0.25">
      <c r="A46" s="1">
        <v>45</v>
      </c>
      <c r="B46" s="2">
        <v>6174879</v>
      </c>
      <c r="C46" s="3">
        <v>4.4999999999999998E-2</v>
      </c>
      <c r="D46" s="1">
        <v>0.67</v>
      </c>
      <c r="E46" s="4">
        <v>0.2</v>
      </c>
      <c r="F46" s="4">
        <v>0.23</v>
      </c>
      <c r="G46" s="4">
        <v>0.57000000000000006</v>
      </c>
      <c r="H46" s="17">
        <f t="shared" si="0"/>
        <v>3.7529521269515785E-5</v>
      </c>
      <c r="L46">
        <f t="shared" si="1"/>
        <v>3.015E-2</v>
      </c>
    </row>
    <row r="47" spans="1:12" x14ac:dyDescent="0.25">
      <c r="A47" s="1">
        <v>46</v>
      </c>
      <c r="B47" s="2">
        <v>8671072</v>
      </c>
      <c r="C47" s="3">
        <v>4.2999999999999997E-2</v>
      </c>
      <c r="D47" s="1">
        <v>0.75</v>
      </c>
      <c r="E47" s="4">
        <v>0.22</v>
      </c>
      <c r="F47" s="4">
        <v>0.15</v>
      </c>
      <c r="G47" s="4">
        <v>0.63</v>
      </c>
      <c r="H47" s="17">
        <f t="shared" si="0"/>
        <v>5.6371522902339802E-5</v>
      </c>
      <c r="L47">
        <f t="shared" si="1"/>
        <v>3.2250000000000001E-2</v>
      </c>
    </row>
    <row r="48" spans="1:12" x14ac:dyDescent="0.25">
      <c r="A48" s="1">
        <v>47</v>
      </c>
      <c r="B48" s="2">
        <v>5802967</v>
      </c>
      <c r="C48" s="3">
        <v>2.8000000000000001E-2</v>
      </c>
      <c r="D48" s="1">
        <v>0.67</v>
      </c>
      <c r="E48" s="4">
        <v>0.24</v>
      </c>
      <c r="F48" s="4">
        <v>0.24</v>
      </c>
      <c r="G48" s="4">
        <v>0.52</v>
      </c>
      <c r="H48" s="17">
        <f t="shared" si="0"/>
        <v>2.1945232743034227E-5</v>
      </c>
      <c r="L48">
        <f t="shared" si="1"/>
        <v>1.8760000000000002E-2</v>
      </c>
    </row>
    <row r="49" spans="1:12" x14ac:dyDescent="0.25">
      <c r="A49" s="1">
        <v>48</v>
      </c>
      <c r="B49" s="2">
        <v>6239332</v>
      </c>
      <c r="C49" s="3">
        <v>2.8000000000000001E-2</v>
      </c>
      <c r="D49" s="1">
        <v>0.67</v>
      </c>
      <c r="E49" s="4">
        <v>0.21</v>
      </c>
      <c r="F49" s="4">
        <v>0.32</v>
      </c>
      <c r="G49" s="4">
        <v>0.47</v>
      </c>
      <c r="H49" s="17">
        <f t="shared" si="0"/>
        <v>2.3595445726481166E-5</v>
      </c>
      <c r="L49">
        <f t="shared" si="1"/>
        <v>1.8760000000000002E-2</v>
      </c>
    </row>
    <row r="50" spans="1:12" x14ac:dyDescent="0.25">
      <c r="A50" s="1">
        <v>49</v>
      </c>
      <c r="B50" s="2">
        <v>8929531</v>
      </c>
      <c r="C50" s="3">
        <v>2.5999999999999999E-2</v>
      </c>
      <c r="D50" s="1">
        <v>0.75</v>
      </c>
      <c r="E50" s="4">
        <v>0.21</v>
      </c>
      <c r="F50" s="4">
        <v>0.18</v>
      </c>
      <c r="G50" s="4">
        <v>0.6100000000000001</v>
      </c>
      <c r="H50" s="17">
        <f t="shared" si="0"/>
        <v>3.5101083054613603E-5</v>
      </c>
      <c r="L50">
        <f t="shared" si="1"/>
        <v>1.95E-2</v>
      </c>
    </row>
    <row r="51" spans="1:12" x14ac:dyDescent="0.25">
      <c r="A51" s="1">
        <v>50</v>
      </c>
      <c r="B51" s="2">
        <v>9031824</v>
      </c>
      <c r="C51" s="3">
        <v>2.7E-2</v>
      </c>
      <c r="D51" s="1">
        <v>0.75</v>
      </c>
      <c r="E51" s="4">
        <v>0.2</v>
      </c>
      <c r="F51" s="4">
        <v>0.17</v>
      </c>
      <c r="G51" s="4">
        <v>0.62999999999999989</v>
      </c>
      <c r="H51" s="17">
        <f t="shared" si="0"/>
        <v>3.6868693662391829E-5</v>
      </c>
      <c r="L51">
        <f t="shared" si="1"/>
        <v>2.0250000000000001E-2</v>
      </c>
    </row>
    <row r="52" spans="1:12" x14ac:dyDescent="0.25">
      <c r="A52" s="1">
        <v>51</v>
      </c>
      <c r="B52" s="2">
        <v>5664236</v>
      </c>
      <c r="C52" s="3">
        <v>4.1000000000000002E-2</v>
      </c>
      <c r="D52" s="1">
        <v>0.67</v>
      </c>
      <c r="E52" s="4">
        <v>0.23</v>
      </c>
      <c r="F52" s="4">
        <v>0.32</v>
      </c>
      <c r="G52" s="4">
        <v>0.44999999999999996</v>
      </c>
      <c r="H52" s="17">
        <f t="shared" si="0"/>
        <v>3.1365864039836385E-5</v>
      </c>
      <c r="L52">
        <f t="shared" si="1"/>
        <v>2.7470000000000001E-2</v>
      </c>
    </row>
    <row r="53" spans="1:12" x14ac:dyDescent="0.25">
      <c r="A53" s="1">
        <v>52</v>
      </c>
      <c r="B53" s="2">
        <v>7218937</v>
      </c>
      <c r="C53" s="3">
        <v>3.6999999999999998E-2</v>
      </c>
      <c r="D53" s="1">
        <v>0.75</v>
      </c>
      <c r="E53" s="4">
        <v>0.24</v>
      </c>
      <c r="F53" s="4">
        <v>0.22</v>
      </c>
      <c r="G53" s="4">
        <v>0.54</v>
      </c>
      <c r="H53" s="17">
        <f t="shared" si="0"/>
        <v>4.0382527310922073E-5</v>
      </c>
      <c r="L53">
        <f t="shared" si="1"/>
        <v>2.7749999999999997E-2</v>
      </c>
    </row>
    <row r="54" spans="1:12" x14ac:dyDescent="0.25">
      <c r="A54" s="1">
        <v>53</v>
      </c>
      <c r="B54" s="2">
        <v>9078814</v>
      </c>
      <c r="C54" s="3">
        <v>0.04</v>
      </c>
      <c r="D54" s="1">
        <v>0.75</v>
      </c>
      <c r="E54" s="4">
        <v>0.18</v>
      </c>
      <c r="F54" s="4">
        <v>0.21</v>
      </c>
      <c r="G54" s="4">
        <v>0.6100000000000001</v>
      </c>
      <c r="H54" s="17">
        <f t="shared" si="0"/>
        <v>5.4904460655736004E-5</v>
      </c>
      <c r="L54">
        <f t="shared" si="1"/>
        <v>0.03</v>
      </c>
    </row>
    <row r="55" spans="1:12" x14ac:dyDescent="0.25">
      <c r="A55" s="1">
        <v>54</v>
      </c>
      <c r="B55" s="2">
        <v>5134056</v>
      </c>
      <c r="C55" s="3">
        <v>3.2000000000000001E-2</v>
      </c>
      <c r="D55" s="1">
        <v>0.67</v>
      </c>
      <c r="E55" s="4">
        <v>0.25</v>
      </c>
      <c r="F55" s="4">
        <v>0.2</v>
      </c>
      <c r="G55" s="4">
        <v>0.55000000000000004</v>
      </c>
      <c r="H55" s="17">
        <f t="shared" si="0"/>
        <v>2.2189250791538948E-5</v>
      </c>
      <c r="L55">
        <f t="shared" si="1"/>
        <v>2.1440000000000001E-2</v>
      </c>
    </row>
    <row r="56" spans="1:12" x14ac:dyDescent="0.25">
      <c r="A56" s="1">
        <v>55</v>
      </c>
      <c r="B56" s="2">
        <v>9134723</v>
      </c>
      <c r="C56" s="3">
        <v>3.3000000000000002E-2</v>
      </c>
      <c r="D56" s="1">
        <v>0.75</v>
      </c>
      <c r="E56" s="4">
        <v>0.18</v>
      </c>
      <c r="F56" s="4">
        <v>0.28999999999999998</v>
      </c>
      <c r="G56" s="4">
        <v>0.53</v>
      </c>
      <c r="H56" s="17">
        <f t="shared" si="0"/>
        <v>4.5575122216679529E-5</v>
      </c>
      <c r="L56">
        <f t="shared" si="1"/>
        <v>2.4750000000000001E-2</v>
      </c>
    </row>
    <row r="57" spans="1:12" x14ac:dyDescent="0.25">
      <c r="A57" s="1">
        <v>56</v>
      </c>
      <c r="B57" s="2">
        <v>5356907</v>
      </c>
      <c r="C57" s="3">
        <v>2.5000000000000001E-2</v>
      </c>
      <c r="D57" s="1">
        <v>0.67</v>
      </c>
      <c r="E57" s="4">
        <v>0.16</v>
      </c>
      <c r="F57" s="4">
        <v>0.28000000000000003</v>
      </c>
      <c r="G57" s="4">
        <v>0.55999999999999994</v>
      </c>
      <c r="H57" s="17">
        <f t="shared" si="0"/>
        <v>1.8087817788756853E-5</v>
      </c>
      <c r="L57">
        <f t="shared" si="1"/>
        <v>1.6750000000000001E-2</v>
      </c>
    </row>
    <row r="58" spans="1:12" x14ac:dyDescent="0.25">
      <c r="A58" s="1">
        <v>57</v>
      </c>
      <c r="B58" s="2">
        <v>9619711</v>
      </c>
      <c r="C58" s="3">
        <v>3.4000000000000002E-2</v>
      </c>
      <c r="D58" s="1">
        <v>0.75</v>
      </c>
      <c r="E58" s="4">
        <v>0.22</v>
      </c>
      <c r="F58" s="4">
        <v>0.27</v>
      </c>
      <c r="G58" s="4">
        <v>0.51</v>
      </c>
      <c r="H58" s="17">
        <f t="shared" si="0"/>
        <v>4.9449221836816271E-5</v>
      </c>
      <c r="L58">
        <f t="shared" si="1"/>
        <v>2.5500000000000002E-2</v>
      </c>
    </row>
    <row r="59" spans="1:12" x14ac:dyDescent="0.25">
      <c r="A59" s="1">
        <v>58</v>
      </c>
      <c r="B59" s="2">
        <v>9080991</v>
      </c>
      <c r="C59" s="3">
        <v>4.2999999999999997E-2</v>
      </c>
      <c r="D59" s="1">
        <v>0.75</v>
      </c>
      <c r="E59" s="4">
        <v>0.25</v>
      </c>
      <c r="F59" s="4">
        <v>0.17</v>
      </c>
      <c r="G59" s="4">
        <v>0.57999999999999996</v>
      </c>
      <c r="H59" s="17">
        <f t="shared" si="0"/>
        <v>5.9036448103814798E-5</v>
      </c>
      <c r="L59">
        <f t="shared" si="1"/>
        <v>3.2250000000000001E-2</v>
      </c>
    </row>
    <row r="60" spans="1:12" x14ac:dyDescent="0.25">
      <c r="A60" s="1">
        <v>59</v>
      </c>
      <c r="B60" s="2">
        <v>6368947</v>
      </c>
      <c r="C60" s="3">
        <v>3.1E-2</v>
      </c>
      <c r="D60" s="1">
        <v>0.67</v>
      </c>
      <c r="E60" s="4">
        <v>0.25</v>
      </c>
      <c r="F60" s="4">
        <v>0.24</v>
      </c>
      <c r="G60" s="4">
        <v>0.51</v>
      </c>
      <c r="H60" s="17">
        <f t="shared" si="0"/>
        <v>2.6666215695809069E-5</v>
      </c>
      <c r="L60">
        <f t="shared" si="1"/>
        <v>2.077E-2</v>
      </c>
    </row>
    <row r="61" spans="1:12" x14ac:dyDescent="0.25">
      <c r="A61" s="1">
        <v>60</v>
      </c>
      <c r="B61" s="2">
        <v>6892407</v>
      </c>
      <c r="C61" s="3">
        <v>0.03</v>
      </c>
      <c r="D61" s="1">
        <v>0.67</v>
      </c>
      <c r="E61" s="4">
        <v>0.25</v>
      </c>
      <c r="F61" s="4">
        <v>0.24</v>
      </c>
      <c r="G61" s="4">
        <v>0.51</v>
      </c>
      <c r="H61" s="17">
        <f t="shared" si="0"/>
        <v>2.7926996367557379E-5</v>
      </c>
      <c r="L61">
        <f t="shared" si="1"/>
        <v>2.01E-2</v>
      </c>
    </row>
    <row r="62" spans="1:12" x14ac:dyDescent="0.25">
      <c r="A62" s="1">
        <v>61</v>
      </c>
      <c r="B62" s="2">
        <v>8319553</v>
      </c>
      <c r="C62" s="3">
        <v>0.03</v>
      </c>
      <c r="D62" s="1">
        <v>0.75</v>
      </c>
      <c r="E62" s="4">
        <v>0.21</v>
      </c>
      <c r="F62" s="4">
        <v>0.35</v>
      </c>
      <c r="G62" s="4">
        <v>0.44000000000000006</v>
      </c>
      <c r="H62" s="17">
        <f t="shared" si="0"/>
        <v>3.7734601432671476E-5</v>
      </c>
      <c r="L62">
        <f t="shared" si="1"/>
        <v>2.2499999999999999E-2</v>
      </c>
    </row>
    <row r="63" spans="1:12" x14ac:dyDescent="0.25">
      <c r="A63" s="1">
        <v>62</v>
      </c>
      <c r="B63" s="2">
        <v>6120494</v>
      </c>
      <c r="C63" s="3">
        <v>4.3999999999999997E-2</v>
      </c>
      <c r="D63" s="1">
        <v>0.67</v>
      </c>
      <c r="E63" s="4">
        <v>0.2</v>
      </c>
      <c r="F63" s="4">
        <v>0.28000000000000003</v>
      </c>
      <c r="G63" s="4">
        <v>0.52</v>
      </c>
      <c r="H63" s="17">
        <f t="shared" si="0"/>
        <v>3.6372337477308458E-5</v>
      </c>
      <c r="L63">
        <f t="shared" si="1"/>
        <v>2.9479999999999999E-2</v>
      </c>
    </row>
    <row r="64" spans="1:12" x14ac:dyDescent="0.25">
      <c r="A64" s="1">
        <v>63</v>
      </c>
      <c r="B64" s="2">
        <v>7011070</v>
      </c>
      <c r="C64" s="3">
        <v>3.6999999999999998E-2</v>
      </c>
      <c r="D64" s="1">
        <v>0.75</v>
      </c>
      <c r="E64" s="4">
        <v>0.21</v>
      </c>
      <c r="F64" s="4">
        <v>0.21</v>
      </c>
      <c r="G64" s="4">
        <v>0.58000000000000007</v>
      </c>
      <c r="H64" s="17">
        <f t="shared" si="0"/>
        <v>3.9219725252317124E-5</v>
      </c>
      <c r="L64">
        <f t="shared" si="1"/>
        <v>2.7749999999999997E-2</v>
      </c>
    </row>
    <row r="65" spans="1:12" x14ac:dyDescent="0.25">
      <c r="A65" s="1">
        <v>64</v>
      </c>
      <c r="B65" s="2">
        <v>5175006</v>
      </c>
      <c r="C65" s="3">
        <v>3.6999999999999998E-2</v>
      </c>
      <c r="D65" s="1">
        <v>0.67</v>
      </c>
      <c r="E65" s="4">
        <v>0.19</v>
      </c>
      <c r="F65" s="4">
        <v>0.15</v>
      </c>
      <c r="G65" s="4">
        <v>0.65999999999999992</v>
      </c>
      <c r="H65" s="17">
        <f t="shared" si="0"/>
        <v>2.5860959890457433E-5</v>
      </c>
      <c r="L65">
        <f t="shared" si="1"/>
        <v>2.479E-2</v>
      </c>
    </row>
    <row r="66" spans="1:12" x14ac:dyDescent="0.25">
      <c r="A66" s="1">
        <v>65</v>
      </c>
      <c r="B66" s="2">
        <v>5909910</v>
      </c>
      <c r="C66" s="3">
        <v>3.2000000000000001E-2</v>
      </c>
      <c r="D66" s="1">
        <v>0.67</v>
      </c>
      <c r="E66" s="4">
        <v>0.24</v>
      </c>
      <c r="F66" s="4">
        <v>0.16</v>
      </c>
      <c r="G66" s="4">
        <v>0.6</v>
      </c>
      <c r="H66" s="17">
        <f t="shared" si="0"/>
        <v>2.5542470737643673E-5</v>
      </c>
      <c r="L66">
        <f t="shared" si="1"/>
        <v>2.1440000000000001E-2</v>
      </c>
    </row>
    <row r="67" spans="1:12" x14ac:dyDescent="0.25">
      <c r="A67" s="1">
        <v>66</v>
      </c>
      <c r="B67" s="2">
        <v>6216922</v>
      </c>
      <c r="C67" s="3">
        <v>3.2000000000000001E-2</v>
      </c>
      <c r="D67" s="1">
        <v>0.67</v>
      </c>
      <c r="E67" s="4">
        <v>0.17</v>
      </c>
      <c r="F67" s="4">
        <v>0.16</v>
      </c>
      <c r="G67" s="4">
        <v>0.66999999999999993</v>
      </c>
      <c r="H67" s="17">
        <f t="shared" ref="H67:H130" si="2">B67*C67*D67/SUM($B$2:$B$1797)</f>
        <v>2.6869368275187475E-5</v>
      </c>
      <c r="L67">
        <f t="shared" ref="L67:L130" si="3">C67*D67</f>
        <v>2.1440000000000001E-2</v>
      </c>
    </row>
    <row r="68" spans="1:12" x14ac:dyDescent="0.25">
      <c r="A68" s="1">
        <v>67</v>
      </c>
      <c r="B68" s="2">
        <v>6887140</v>
      </c>
      <c r="C68" s="3">
        <v>3.4000000000000002E-2</v>
      </c>
      <c r="D68" s="1">
        <v>0.67</v>
      </c>
      <c r="E68" s="4">
        <v>0.22</v>
      </c>
      <c r="F68" s="4">
        <v>0.33</v>
      </c>
      <c r="G68" s="4">
        <v>0.44999999999999996</v>
      </c>
      <c r="H68" s="17">
        <f t="shared" si="2"/>
        <v>3.1626409312630602E-5</v>
      </c>
      <c r="L68">
        <f t="shared" si="3"/>
        <v>2.2780000000000002E-2</v>
      </c>
    </row>
    <row r="69" spans="1:12" x14ac:dyDescent="0.25">
      <c r="A69" s="1">
        <v>68</v>
      </c>
      <c r="B69" s="2">
        <v>7949563</v>
      </c>
      <c r="C69" s="3">
        <v>3.7999999999999999E-2</v>
      </c>
      <c r="D69" s="1">
        <v>0.75</v>
      </c>
      <c r="E69" s="4">
        <v>0.19</v>
      </c>
      <c r="F69" s="4">
        <v>0.16</v>
      </c>
      <c r="G69" s="4">
        <v>0.64999999999999991</v>
      </c>
      <c r="H69" s="17">
        <f t="shared" si="2"/>
        <v>4.5671510124076224E-5</v>
      </c>
      <c r="L69">
        <f t="shared" si="3"/>
        <v>2.8499999999999998E-2</v>
      </c>
    </row>
    <row r="70" spans="1:12" x14ac:dyDescent="0.25">
      <c r="A70" s="1">
        <v>69</v>
      </c>
      <c r="B70" s="2">
        <v>9878594</v>
      </c>
      <c r="C70" s="3">
        <v>2.9000000000000001E-2</v>
      </c>
      <c r="D70" s="1">
        <v>0.75</v>
      </c>
      <c r="E70" s="4">
        <v>0.19</v>
      </c>
      <c r="F70" s="4">
        <v>0.24</v>
      </c>
      <c r="G70" s="4">
        <v>0.57000000000000006</v>
      </c>
      <c r="H70" s="17">
        <f t="shared" si="2"/>
        <v>4.3312340666420489E-5</v>
      </c>
      <c r="L70">
        <f t="shared" si="3"/>
        <v>2.1750000000000002E-2</v>
      </c>
    </row>
    <row r="71" spans="1:12" x14ac:dyDescent="0.25">
      <c r="A71" s="1">
        <v>70</v>
      </c>
      <c r="B71" s="2">
        <v>5855861</v>
      </c>
      <c r="C71" s="3">
        <v>4.3999999999999997E-2</v>
      </c>
      <c r="D71" s="1">
        <v>0.67</v>
      </c>
      <c r="E71" s="4">
        <v>0.18</v>
      </c>
      <c r="F71" s="4">
        <v>0.33</v>
      </c>
      <c r="G71" s="4">
        <v>0.48999999999999994</v>
      </c>
      <c r="H71" s="17">
        <f t="shared" si="2"/>
        <v>3.4799699585067648E-5</v>
      </c>
      <c r="L71">
        <f t="shared" si="3"/>
        <v>2.9479999999999999E-2</v>
      </c>
    </row>
    <row r="72" spans="1:12" x14ac:dyDescent="0.25">
      <c r="A72" s="1">
        <v>71</v>
      </c>
      <c r="B72" s="2">
        <v>6093004</v>
      </c>
      <c r="C72" s="3">
        <v>4.1000000000000002E-2</v>
      </c>
      <c r="D72" s="1">
        <v>0.67</v>
      </c>
      <c r="E72" s="4">
        <v>0.2</v>
      </c>
      <c r="F72" s="4">
        <v>0.31</v>
      </c>
      <c r="G72" s="4">
        <v>0.48999999999999994</v>
      </c>
      <c r="H72" s="17">
        <f t="shared" si="2"/>
        <v>3.3740178738700021E-5</v>
      </c>
      <c r="L72">
        <f t="shared" si="3"/>
        <v>2.7470000000000001E-2</v>
      </c>
    </row>
    <row r="73" spans="1:12" x14ac:dyDescent="0.25">
      <c r="A73" s="1">
        <v>72</v>
      </c>
      <c r="B73" s="2">
        <v>8208342</v>
      </c>
      <c r="C73" s="3">
        <v>2.7E-2</v>
      </c>
      <c r="D73" s="1">
        <v>0.75</v>
      </c>
      <c r="E73" s="4">
        <v>0.18</v>
      </c>
      <c r="F73" s="4">
        <v>0.16</v>
      </c>
      <c r="G73" s="4">
        <v>0.65999999999999992</v>
      </c>
      <c r="H73" s="17">
        <f t="shared" si="2"/>
        <v>3.3507168283410389E-5</v>
      </c>
      <c r="L73">
        <f t="shared" si="3"/>
        <v>2.0250000000000001E-2</v>
      </c>
    </row>
    <row r="74" spans="1:12" x14ac:dyDescent="0.25">
      <c r="A74" s="1">
        <v>73</v>
      </c>
      <c r="B74" s="2">
        <v>5900620</v>
      </c>
      <c r="C74" s="3">
        <v>4.4999999999999998E-2</v>
      </c>
      <c r="D74" s="1">
        <v>0.67</v>
      </c>
      <c r="E74" s="4">
        <v>0.15</v>
      </c>
      <c r="F74" s="4">
        <v>0.28999999999999998</v>
      </c>
      <c r="G74" s="4">
        <v>0.55999999999999994</v>
      </c>
      <c r="H74" s="17">
        <f t="shared" si="2"/>
        <v>3.5862636950996161E-5</v>
      </c>
      <c r="L74">
        <f t="shared" si="3"/>
        <v>3.015E-2</v>
      </c>
    </row>
    <row r="75" spans="1:12" x14ac:dyDescent="0.25">
      <c r="A75" s="1">
        <v>74</v>
      </c>
      <c r="B75" s="2">
        <v>7955540</v>
      </c>
      <c r="C75" s="3">
        <v>2.8000000000000001E-2</v>
      </c>
      <c r="D75" s="1">
        <v>0.75</v>
      </c>
      <c r="E75" s="4">
        <v>0.18</v>
      </c>
      <c r="F75" s="4">
        <v>0.23</v>
      </c>
      <c r="G75" s="4">
        <v>0.59000000000000008</v>
      </c>
      <c r="H75" s="17">
        <f t="shared" si="2"/>
        <v>3.3677993959078119E-5</v>
      </c>
      <c r="L75">
        <f t="shared" si="3"/>
        <v>2.1000000000000001E-2</v>
      </c>
    </row>
    <row r="76" spans="1:12" x14ac:dyDescent="0.25">
      <c r="A76" s="1">
        <v>75</v>
      </c>
      <c r="B76" s="2">
        <v>6010106</v>
      </c>
      <c r="C76" s="3">
        <v>3.1E-2</v>
      </c>
      <c r="D76" s="1">
        <v>0.67</v>
      </c>
      <c r="E76" s="4">
        <v>0.22</v>
      </c>
      <c r="F76" s="4">
        <v>0.28999999999999998</v>
      </c>
      <c r="G76" s="4">
        <v>0.49</v>
      </c>
      <c r="H76" s="17">
        <f t="shared" si="2"/>
        <v>2.5163780284350969E-5</v>
      </c>
      <c r="L76">
        <f t="shared" si="3"/>
        <v>2.077E-2</v>
      </c>
    </row>
    <row r="77" spans="1:12" x14ac:dyDescent="0.25">
      <c r="A77" s="1">
        <v>76</v>
      </c>
      <c r="B77" s="2">
        <v>5066272</v>
      </c>
      <c r="C77" s="3">
        <v>3.3000000000000002E-2</v>
      </c>
      <c r="D77" s="1">
        <v>0.67</v>
      </c>
      <c r="E77" s="4">
        <v>0.19</v>
      </c>
      <c r="F77" s="4">
        <v>0.31</v>
      </c>
      <c r="G77" s="4">
        <v>0.49999999999999994</v>
      </c>
      <c r="H77" s="17">
        <f t="shared" si="2"/>
        <v>2.258054925008976E-5</v>
      </c>
      <c r="L77">
        <f t="shared" si="3"/>
        <v>2.2110000000000001E-2</v>
      </c>
    </row>
    <row r="78" spans="1:12" x14ac:dyDescent="0.25">
      <c r="A78" s="1">
        <v>77</v>
      </c>
      <c r="B78" s="2">
        <v>9199963</v>
      </c>
      <c r="C78" s="3">
        <v>3.7999999999999999E-2</v>
      </c>
      <c r="D78" s="1">
        <v>0.75</v>
      </c>
      <c r="E78" s="4">
        <v>0.22</v>
      </c>
      <c r="F78" s="4">
        <v>0.17</v>
      </c>
      <c r="G78" s="4">
        <v>0.61</v>
      </c>
      <c r="H78" s="17">
        <f t="shared" si="2"/>
        <v>5.285525799287667E-5</v>
      </c>
      <c r="L78">
        <f t="shared" si="3"/>
        <v>2.8499999999999998E-2</v>
      </c>
    </row>
    <row r="79" spans="1:12" x14ac:dyDescent="0.25">
      <c r="A79" s="1">
        <v>78</v>
      </c>
      <c r="B79" s="2">
        <v>5787384</v>
      </c>
      <c r="C79" s="3">
        <v>3.3000000000000002E-2</v>
      </c>
      <c r="D79" s="1">
        <v>0.67</v>
      </c>
      <c r="E79" s="4">
        <v>0.17</v>
      </c>
      <c r="F79" s="4">
        <v>0.22</v>
      </c>
      <c r="G79" s="4">
        <v>0.61</v>
      </c>
      <c r="H79" s="17">
        <f t="shared" si="2"/>
        <v>2.5794570335185615E-5</v>
      </c>
      <c r="L79">
        <f t="shared" si="3"/>
        <v>2.2110000000000001E-2</v>
      </c>
    </row>
    <row r="80" spans="1:12" x14ac:dyDescent="0.25">
      <c r="A80" s="1">
        <v>79</v>
      </c>
      <c r="B80" s="2">
        <v>5595644</v>
      </c>
      <c r="C80" s="3">
        <v>0.03</v>
      </c>
      <c r="D80" s="1">
        <v>0.67</v>
      </c>
      <c r="E80" s="4">
        <v>0.25</v>
      </c>
      <c r="F80" s="4">
        <v>0.3</v>
      </c>
      <c r="G80" s="4">
        <v>0.44999999999999996</v>
      </c>
      <c r="H80" s="17">
        <f t="shared" si="2"/>
        <v>2.2672707758283027E-5</v>
      </c>
      <c r="L80">
        <f t="shared" si="3"/>
        <v>2.01E-2</v>
      </c>
    </row>
    <row r="81" spans="1:12" x14ac:dyDescent="0.25">
      <c r="A81" s="1">
        <v>80</v>
      </c>
      <c r="B81" s="2">
        <v>7987351</v>
      </c>
      <c r="C81" s="3">
        <v>4.3999999999999997E-2</v>
      </c>
      <c r="D81" s="1">
        <v>0.75</v>
      </c>
      <c r="E81" s="4">
        <v>0.17</v>
      </c>
      <c r="F81" s="4">
        <v>0.25</v>
      </c>
      <c r="G81" s="4">
        <v>0.57999999999999996</v>
      </c>
      <c r="H81" s="17">
        <f t="shared" si="2"/>
        <v>5.3134177943876705E-5</v>
      </c>
      <c r="L81">
        <f t="shared" si="3"/>
        <v>3.3000000000000002E-2</v>
      </c>
    </row>
    <row r="82" spans="1:12" x14ac:dyDescent="0.25">
      <c r="A82" s="1">
        <v>81</v>
      </c>
      <c r="B82" s="2">
        <v>8290296</v>
      </c>
      <c r="C82" s="3">
        <v>2.7E-2</v>
      </c>
      <c r="D82" s="1">
        <v>0.75</v>
      </c>
      <c r="E82" s="4">
        <v>0.25</v>
      </c>
      <c r="F82" s="4">
        <v>0.17</v>
      </c>
      <c r="G82" s="4">
        <v>0.57999999999999996</v>
      </c>
      <c r="H82" s="17">
        <f t="shared" si="2"/>
        <v>3.3841711662511626E-5</v>
      </c>
      <c r="L82">
        <f t="shared" si="3"/>
        <v>2.0250000000000001E-2</v>
      </c>
    </row>
    <row r="83" spans="1:12" x14ac:dyDescent="0.25">
      <c r="A83" s="1">
        <v>82</v>
      </c>
      <c r="B83" s="2">
        <v>7607778</v>
      </c>
      <c r="C83" s="3">
        <v>3.2000000000000001E-2</v>
      </c>
      <c r="D83" s="1">
        <v>0.75</v>
      </c>
      <c r="E83" s="4">
        <v>0.24</v>
      </c>
      <c r="F83" s="4">
        <v>0.28000000000000003</v>
      </c>
      <c r="G83" s="4">
        <v>0.48</v>
      </c>
      <c r="H83" s="17">
        <f t="shared" si="2"/>
        <v>3.6806653193121837E-5</v>
      </c>
      <c r="L83">
        <f t="shared" si="3"/>
        <v>2.4E-2</v>
      </c>
    </row>
    <row r="84" spans="1:12" x14ac:dyDescent="0.25">
      <c r="A84" s="1">
        <v>83</v>
      </c>
      <c r="B84" s="2">
        <v>5718950</v>
      </c>
      <c r="C84" s="3">
        <v>3.6999999999999998E-2</v>
      </c>
      <c r="D84" s="1">
        <v>0.67</v>
      </c>
      <c r="E84" s="4">
        <v>0.23</v>
      </c>
      <c r="F84" s="4">
        <v>0.23</v>
      </c>
      <c r="G84" s="4">
        <v>0.54</v>
      </c>
      <c r="H84" s="17">
        <f t="shared" si="2"/>
        <v>2.8579200983637809E-5</v>
      </c>
      <c r="L84">
        <f t="shared" si="3"/>
        <v>2.479E-2</v>
      </c>
    </row>
    <row r="85" spans="1:12" x14ac:dyDescent="0.25">
      <c r="A85" s="1">
        <v>84</v>
      </c>
      <c r="B85" s="2">
        <v>5806993</v>
      </c>
      <c r="C85" s="3">
        <v>4.1000000000000002E-2</v>
      </c>
      <c r="D85" s="1">
        <v>0.67</v>
      </c>
      <c r="E85" s="4">
        <v>0.21</v>
      </c>
      <c r="F85" s="4">
        <v>0.28999999999999998</v>
      </c>
      <c r="G85" s="4">
        <v>0.5</v>
      </c>
      <c r="H85" s="17">
        <f t="shared" si="2"/>
        <v>3.21563848890268E-5</v>
      </c>
      <c r="L85">
        <f t="shared" si="3"/>
        <v>2.7470000000000001E-2</v>
      </c>
    </row>
    <row r="86" spans="1:12" x14ac:dyDescent="0.25">
      <c r="A86" s="1">
        <v>85</v>
      </c>
      <c r="B86" s="2">
        <v>8075510</v>
      </c>
      <c r="C86" s="3">
        <v>3.2000000000000001E-2</v>
      </c>
      <c r="D86" s="1">
        <v>0.75</v>
      </c>
      <c r="E86" s="4">
        <v>0.23</v>
      </c>
      <c r="F86" s="4">
        <v>0.26</v>
      </c>
      <c r="G86" s="4">
        <v>0.51</v>
      </c>
      <c r="H86" s="17">
        <f t="shared" si="2"/>
        <v>3.9069554333418674E-5</v>
      </c>
      <c r="L86">
        <f t="shared" si="3"/>
        <v>2.4E-2</v>
      </c>
    </row>
    <row r="87" spans="1:12" x14ac:dyDescent="0.25">
      <c r="A87" s="1">
        <v>86</v>
      </c>
      <c r="B87" s="2">
        <v>6394445</v>
      </c>
      <c r="C87" s="3">
        <v>4.2999999999999997E-2</v>
      </c>
      <c r="D87" s="1">
        <v>0.67</v>
      </c>
      <c r="E87" s="4">
        <v>0.21</v>
      </c>
      <c r="F87" s="4">
        <v>0.23</v>
      </c>
      <c r="G87" s="4">
        <v>0.56000000000000005</v>
      </c>
      <c r="H87" s="17">
        <f t="shared" si="2"/>
        <v>3.7136705258237808E-5</v>
      </c>
      <c r="L87">
        <f t="shared" si="3"/>
        <v>2.8809999999999999E-2</v>
      </c>
    </row>
    <row r="88" spans="1:12" x14ac:dyDescent="0.25">
      <c r="A88" s="1">
        <v>87</v>
      </c>
      <c r="B88" s="2">
        <v>7006761</v>
      </c>
      <c r="C88" s="3">
        <v>3.1E-2</v>
      </c>
      <c r="D88" s="1">
        <v>0.75</v>
      </c>
      <c r="E88" s="4">
        <v>0.16</v>
      </c>
      <c r="F88" s="4">
        <v>0.31</v>
      </c>
      <c r="G88" s="4">
        <v>0.52999999999999992</v>
      </c>
      <c r="H88" s="17">
        <f t="shared" si="2"/>
        <v>3.2839574208448397E-5</v>
      </c>
      <c r="L88">
        <f t="shared" si="3"/>
        <v>2.325E-2</v>
      </c>
    </row>
    <row r="89" spans="1:12" x14ac:dyDescent="0.25">
      <c r="A89" s="1">
        <v>88</v>
      </c>
      <c r="B89" s="2">
        <v>5600047</v>
      </c>
      <c r="C89" s="3">
        <v>0.03</v>
      </c>
      <c r="D89" s="1">
        <v>0.67</v>
      </c>
      <c r="E89" s="4">
        <v>0.25</v>
      </c>
      <c r="F89" s="4">
        <v>0.28000000000000003</v>
      </c>
      <c r="G89" s="4">
        <v>0.47</v>
      </c>
      <c r="H89" s="17">
        <f t="shared" si="2"/>
        <v>2.2690548051957842E-5</v>
      </c>
      <c r="L89">
        <f t="shared" si="3"/>
        <v>2.01E-2</v>
      </c>
    </row>
    <row r="90" spans="1:12" x14ac:dyDescent="0.25">
      <c r="A90" s="1">
        <v>89</v>
      </c>
      <c r="B90" s="2">
        <v>5579595</v>
      </c>
      <c r="C90" s="3">
        <v>3.5999999999999997E-2</v>
      </c>
      <c r="D90" s="1">
        <v>0.67</v>
      </c>
      <c r="E90" s="4">
        <v>0.16</v>
      </c>
      <c r="F90" s="4">
        <v>0.31</v>
      </c>
      <c r="G90" s="4">
        <v>0.52999999999999992</v>
      </c>
      <c r="H90" s="17">
        <f t="shared" si="2"/>
        <v>2.7129215549361716E-5</v>
      </c>
      <c r="L90">
        <f t="shared" si="3"/>
        <v>2.4119999999999999E-2</v>
      </c>
    </row>
    <row r="91" spans="1:12" x14ac:dyDescent="0.25">
      <c r="A91" s="1">
        <v>90</v>
      </c>
      <c r="B91" s="2">
        <v>9299498</v>
      </c>
      <c r="C91" s="3">
        <v>3.5999999999999997E-2</v>
      </c>
      <c r="D91" s="1">
        <v>0.75</v>
      </c>
      <c r="E91" s="4">
        <v>0.15</v>
      </c>
      <c r="F91" s="4">
        <v>0.17</v>
      </c>
      <c r="G91" s="4">
        <v>0.67999999999999994</v>
      </c>
      <c r="H91" s="17">
        <f t="shared" si="2"/>
        <v>5.0615149715941544E-5</v>
      </c>
      <c r="L91">
        <f t="shared" si="3"/>
        <v>2.6999999999999996E-2</v>
      </c>
    </row>
    <row r="92" spans="1:12" x14ac:dyDescent="0.25">
      <c r="A92" s="1">
        <v>91</v>
      </c>
      <c r="B92" s="2">
        <v>6915326</v>
      </c>
      <c r="C92" s="3">
        <v>4.4999999999999998E-2</v>
      </c>
      <c r="D92" s="1">
        <v>0.67</v>
      </c>
      <c r="E92" s="4">
        <v>0.23</v>
      </c>
      <c r="F92" s="4">
        <v>0.28999999999999998</v>
      </c>
      <c r="G92" s="4">
        <v>0.48</v>
      </c>
      <c r="H92" s="17">
        <f t="shared" si="2"/>
        <v>4.2029791061919678E-5</v>
      </c>
      <c r="L92">
        <f t="shared" si="3"/>
        <v>3.015E-2</v>
      </c>
    </row>
    <row r="93" spans="1:12" x14ac:dyDescent="0.25">
      <c r="A93" s="1">
        <v>92</v>
      </c>
      <c r="B93" s="2">
        <v>8463520</v>
      </c>
      <c r="C93" s="3">
        <v>3.1E-2</v>
      </c>
      <c r="D93" s="1">
        <v>0.75</v>
      </c>
      <c r="E93" s="4">
        <v>0.21</v>
      </c>
      <c r="F93" s="4">
        <v>0.33</v>
      </c>
      <c r="G93" s="4">
        <v>0.45999999999999996</v>
      </c>
      <c r="H93" s="17">
        <f t="shared" si="2"/>
        <v>3.9667171907916828E-5</v>
      </c>
      <c r="L93">
        <f t="shared" si="3"/>
        <v>2.325E-2</v>
      </c>
    </row>
    <row r="94" spans="1:12" x14ac:dyDescent="0.25">
      <c r="A94" s="1">
        <v>93</v>
      </c>
      <c r="B94" s="2">
        <v>9413404</v>
      </c>
      <c r="C94" s="3">
        <v>3.7999999999999999E-2</v>
      </c>
      <c r="D94" s="1">
        <v>0.75</v>
      </c>
      <c r="E94" s="4">
        <v>0.21</v>
      </c>
      <c r="F94" s="4">
        <v>0.28999999999999998</v>
      </c>
      <c r="G94" s="4">
        <v>0.5</v>
      </c>
      <c r="H94" s="17">
        <f t="shared" si="2"/>
        <v>5.4081510655116479E-5</v>
      </c>
      <c r="L94">
        <f t="shared" si="3"/>
        <v>2.8499999999999998E-2</v>
      </c>
    </row>
    <row r="95" spans="1:12" x14ac:dyDescent="0.25">
      <c r="A95" s="1">
        <v>94</v>
      </c>
      <c r="B95" s="2">
        <v>8738519</v>
      </c>
      <c r="C95" s="3">
        <v>4.2999999999999997E-2</v>
      </c>
      <c r="D95" s="1">
        <v>0.75</v>
      </c>
      <c r="E95" s="4">
        <v>0.22</v>
      </c>
      <c r="F95" s="4">
        <v>0.21</v>
      </c>
      <c r="G95" s="4">
        <v>0.57000000000000006</v>
      </c>
      <c r="H95" s="17">
        <f t="shared" si="2"/>
        <v>5.6810002724118938E-5</v>
      </c>
      <c r="L95">
        <f t="shared" si="3"/>
        <v>3.2250000000000001E-2</v>
      </c>
    </row>
    <row r="96" spans="1:12" x14ac:dyDescent="0.25">
      <c r="A96" s="1">
        <v>95</v>
      </c>
      <c r="B96" s="2">
        <v>6032789</v>
      </c>
      <c r="C96" s="3">
        <v>4.2999999999999997E-2</v>
      </c>
      <c r="D96" s="1">
        <v>0.67</v>
      </c>
      <c r="E96" s="4">
        <v>0.18</v>
      </c>
      <c r="F96" s="4">
        <v>0.2</v>
      </c>
      <c r="G96" s="4">
        <v>0.62000000000000011</v>
      </c>
      <c r="H96" s="17">
        <f t="shared" si="2"/>
        <v>3.5036333407846844E-5</v>
      </c>
      <c r="L96">
        <f t="shared" si="3"/>
        <v>2.8809999999999999E-2</v>
      </c>
    </row>
    <row r="97" spans="1:12" x14ac:dyDescent="0.25">
      <c r="A97" s="1">
        <v>96</v>
      </c>
      <c r="B97" s="2">
        <v>6746523</v>
      </c>
      <c r="C97" s="3">
        <v>2.7E-2</v>
      </c>
      <c r="D97" s="1">
        <v>0.67</v>
      </c>
      <c r="E97" s="4">
        <v>0.15</v>
      </c>
      <c r="F97" s="4">
        <v>0.32</v>
      </c>
      <c r="G97" s="4">
        <v>0.52999999999999992</v>
      </c>
      <c r="H97" s="17">
        <f t="shared" si="2"/>
        <v>2.4602306709858844E-5</v>
      </c>
      <c r="L97">
        <f t="shared" si="3"/>
        <v>1.8090000000000002E-2</v>
      </c>
    </row>
    <row r="98" spans="1:12" x14ac:dyDescent="0.25">
      <c r="A98" s="1">
        <v>97</v>
      </c>
      <c r="B98" s="2">
        <v>9787613</v>
      </c>
      <c r="C98" s="3">
        <v>3.7999999999999999E-2</v>
      </c>
      <c r="D98" s="1">
        <v>0.75</v>
      </c>
      <c r="E98" s="4">
        <v>0.22</v>
      </c>
      <c r="F98" s="4">
        <v>0.34</v>
      </c>
      <c r="G98" s="4">
        <v>0.43999999999999995</v>
      </c>
      <c r="H98" s="17">
        <f t="shared" si="2"/>
        <v>5.6231401175138822E-5</v>
      </c>
      <c r="L98">
        <f t="shared" si="3"/>
        <v>2.8499999999999998E-2</v>
      </c>
    </row>
    <row r="99" spans="1:12" x14ac:dyDescent="0.25">
      <c r="A99" s="1">
        <v>98</v>
      </c>
      <c r="B99" s="2">
        <v>7689083</v>
      </c>
      <c r="C99" s="3">
        <v>3.5999999999999997E-2</v>
      </c>
      <c r="D99" s="1">
        <v>0.75</v>
      </c>
      <c r="E99" s="4">
        <v>0.25</v>
      </c>
      <c r="F99" s="4">
        <v>0.34</v>
      </c>
      <c r="G99" s="4">
        <v>0.40999999999999992</v>
      </c>
      <c r="H99" s="17">
        <f t="shared" si="2"/>
        <v>4.1850010314890219E-5</v>
      </c>
      <c r="L99">
        <f t="shared" si="3"/>
        <v>2.6999999999999996E-2</v>
      </c>
    </row>
    <row r="100" spans="1:12" x14ac:dyDescent="0.25">
      <c r="A100" s="1">
        <v>99</v>
      </c>
      <c r="B100" s="2">
        <v>9125460</v>
      </c>
      <c r="C100" s="3">
        <v>4.2999999999999997E-2</v>
      </c>
      <c r="D100" s="1">
        <v>0.75</v>
      </c>
      <c r="E100" s="4">
        <v>0.17</v>
      </c>
      <c r="F100" s="4">
        <v>0.18</v>
      </c>
      <c r="G100" s="4">
        <v>0.65</v>
      </c>
      <c r="H100" s="17">
        <f t="shared" si="2"/>
        <v>5.9325545605478276E-5</v>
      </c>
      <c r="L100">
        <f t="shared" si="3"/>
        <v>3.2250000000000001E-2</v>
      </c>
    </row>
    <row r="101" spans="1:12" x14ac:dyDescent="0.25">
      <c r="A101" s="1">
        <v>100</v>
      </c>
      <c r="B101" s="2">
        <v>6085594</v>
      </c>
      <c r="C101" s="3">
        <v>3.1E-2</v>
      </c>
      <c r="D101" s="1">
        <v>0.67</v>
      </c>
      <c r="E101" s="4">
        <v>0.16</v>
      </c>
      <c r="F101" s="4">
        <v>0.15</v>
      </c>
      <c r="G101" s="4">
        <v>0.69</v>
      </c>
      <c r="H101" s="17">
        <f t="shared" si="2"/>
        <v>2.5479841839023229E-5</v>
      </c>
      <c r="L101">
        <f t="shared" si="3"/>
        <v>2.077E-2</v>
      </c>
    </row>
    <row r="102" spans="1:12" x14ac:dyDescent="0.25">
      <c r="A102" s="1">
        <v>101</v>
      </c>
      <c r="B102" s="2">
        <v>6601228</v>
      </c>
      <c r="C102" s="3">
        <v>3.7999999999999999E-2</v>
      </c>
      <c r="D102" s="1">
        <v>0.67</v>
      </c>
      <c r="E102" s="4">
        <v>0.21</v>
      </c>
      <c r="F102" s="4">
        <v>0.2</v>
      </c>
      <c r="G102" s="4">
        <v>0.59000000000000008</v>
      </c>
      <c r="H102" s="17">
        <f t="shared" si="2"/>
        <v>3.387976495652818E-5</v>
      </c>
      <c r="L102">
        <f t="shared" si="3"/>
        <v>2.546E-2</v>
      </c>
    </row>
    <row r="103" spans="1:12" x14ac:dyDescent="0.25">
      <c r="A103" s="1">
        <v>102</v>
      </c>
      <c r="B103" s="2">
        <v>7250420</v>
      </c>
      <c r="C103" s="3">
        <v>4.2000000000000003E-2</v>
      </c>
      <c r="D103" s="1">
        <v>0.75</v>
      </c>
      <c r="E103" s="4">
        <v>0.24</v>
      </c>
      <c r="F103" s="4">
        <v>0.32</v>
      </c>
      <c r="G103" s="4">
        <v>0.43999999999999995</v>
      </c>
      <c r="H103" s="17">
        <f t="shared" si="2"/>
        <v>4.6039539923269665E-5</v>
      </c>
      <c r="L103">
        <f t="shared" si="3"/>
        <v>3.15E-2</v>
      </c>
    </row>
    <row r="104" spans="1:12" x14ac:dyDescent="0.25">
      <c r="A104" s="1">
        <v>103</v>
      </c>
      <c r="B104" s="2">
        <v>8023733</v>
      </c>
      <c r="C104" s="3">
        <v>2.7E-2</v>
      </c>
      <c r="D104" s="1">
        <v>0.75</v>
      </c>
      <c r="E104" s="4">
        <v>0.19</v>
      </c>
      <c r="F104" s="4">
        <v>0.17</v>
      </c>
      <c r="G104" s="4">
        <v>0.6399999999999999</v>
      </c>
      <c r="H104" s="17">
        <f t="shared" si="2"/>
        <v>3.2753578236890379E-5</v>
      </c>
      <c r="L104">
        <f t="shared" si="3"/>
        <v>2.0250000000000001E-2</v>
      </c>
    </row>
    <row r="105" spans="1:12" x14ac:dyDescent="0.25">
      <c r="A105" s="1">
        <v>104</v>
      </c>
      <c r="B105" s="2">
        <v>6575010</v>
      </c>
      <c r="C105" s="3">
        <v>3.2000000000000001E-2</v>
      </c>
      <c r="D105" s="1">
        <v>0.67</v>
      </c>
      <c r="E105" s="4">
        <v>0.21</v>
      </c>
      <c r="F105" s="4">
        <v>0.31</v>
      </c>
      <c r="G105" s="4">
        <v>0.48</v>
      </c>
      <c r="H105" s="17">
        <f t="shared" si="2"/>
        <v>2.8417014899501777E-5</v>
      </c>
      <c r="L105">
        <f t="shared" si="3"/>
        <v>2.1440000000000001E-2</v>
      </c>
    </row>
    <row r="106" spans="1:12" x14ac:dyDescent="0.25">
      <c r="A106" s="1">
        <v>105</v>
      </c>
      <c r="B106" s="2">
        <v>6521869</v>
      </c>
      <c r="C106" s="3">
        <v>4.2000000000000003E-2</v>
      </c>
      <c r="D106" s="1">
        <v>0.67</v>
      </c>
      <c r="E106" s="4">
        <v>0.19</v>
      </c>
      <c r="F106" s="4">
        <v>0.25</v>
      </c>
      <c r="G106" s="4">
        <v>0.56000000000000005</v>
      </c>
      <c r="H106" s="17">
        <f t="shared" si="2"/>
        <v>3.6995884982091035E-5</v>
      </c>
      <c r="L106">
        <f t="shared" si="3"/>
        <v>2.8140000000000002E-2</v>
      </c>
    </row>
    <row r="107" spans="1:12" x14ac:dyDescent="0.25">
      <c r="A107" s="1">
        <v>106</v>
      </c>
      <c r="B107" s="2">
        <v>7454741</v>
      </c>
      <c r="C107" s="3">
        <v>4.3999999999999997E-2</v>
      </c>
      <c r="D107" s="1">
        <v>0.75</v>
      </c>
      <c r="E107" s="4">
        <v>0.19</v>
      </c>
      <c r="F107" s="4">
        <v>0.24</v>
      </c>
      <c r="G107" s="4">
        <v>0.57000000000000006</v>
      </c>
      <c r="H107" s="17">
        <f t="shared" si="2"/>
        <v>4.959110158292948E-5</v>
      </c>
      <c r="L107">
        <f t="shared" si="3"/>
        <v>3.3000000000000002E-2</v>
      </c>
    </row>
    <row r="108" spans="1:12" x14ac:dyDescent="0.25">
      <c r="A108" s="1">
        <v>107</v>
      </c>
      <c r="B108" s="2">
        <v>5680875</v>
      </c>
      <c r="C108" s="3">
        <v>3.1E-2</v>
      </c>
      <c r="D108" s="1">
        <v>0.67</v>
      </c>
      <c r="E108" s="4">
        <v>0.25</v>
      </c>
      <c r="F108" s="4">
        <v>0.23</v>
      </c>
      <c r="G108" s="4">
        <v>0.52</v>
      </c>
      <c r="H108" s="17">
        <f t="shared" si="2"/>
        <v>2.3785319314311981E-5</v>
      </c>
      <c r="L108">
        <f t="shared" si="3"/>
        <v>2.077E-2</v>
      </c>
    </row>
    <row r="109" spans="1:12" x14ac:dyDescent="0.25">
      <c r="A109" s="1">
        <v>108</v>
      </c>
      <c r="B109" s="2">
        <v>6995373</v>
      </c>
      <c r="C109" s="3">
        <v>2.9000000000000001E-2</v>
      </c>
      <c r="D109" s="1">
        <v>0.67</v>
      </c>
      <c r="E109" s="4">
        <v>0.22</v>
      </c>
      <c r="F109" s="4">
        <v>0.23</v>
      </c>
      <c r="G109" s="4">
        <v>0.55000000000000004</v>
      </c>
      <c r="H109" s="17">
        <f t="shared" si="2"/>
        <v>2.739939247377856E-5</v>
      </c>
      <c r="L109">
        <f t="shared" si="3"/>
        <v>1.9430000000000003E-2</v>
      </c>
    </row>
    <row r="110" spans="1:12" x14ac:dyDescent="0.25">
      <c r="A110" s="1">
        <v>109</v>
      </c>
      <c r="B110" s="2">
        <v>8704452</v>
      </c>
      <c r="C110" s="3">
        <v>3.1E-2</v>
      </c>
      <c r="D110" s="1">
        <v>0.75</v>
      </c>
      <c r="E110" s="4">
        <v>0.25</v>
      </c>
      <c r="F110" s="4">
        <v>0.35</v>
      </c>
      <c r="G110" s="4">
        <v>0.4</v>
      </c>
      <c r="H110" s="17">
        <f t="shared" si="2"/>
        <v>4.0796381865726134E-5</v>
      </c>
      <c r="L110">
        <f t="shared" si="3"/>
        <v>2.325E-2</v>
      </c>
    </row>
    <row r="111" spans="1:12" x14ac:dyDescent="0.25">
      <c r="A111" s="1">
        <v>110</v>
      </c>
      <c r="B111" s="2">
        <v>6101211</v>
      </c>
      <c r="C111" s="3">
        <v>0.03</v>
      </c>
      <c r="D111" s="1">
        <v>0.67</v>
      </c>
      <c r="E111" s="4">
        <v>0.2</v>
      </c>
      <c r="F111" s="4">
        <v>0.28000000000000003</v>
      </c>
      <c r="G111" s="4">
        <v>0.52</v>
      </c>
      <c r="H111" s="17">
        <f t="shared" si="2"/>
        <v>2.4721189191918167E-5</v>
      </c>
      <c r="L111">
        <f t="shared" si="3"/>
        <v>2.01E-2</v>
      </c>
    </row>
    <row r="112" spans="1:12" x14ac:dyDescent="0.25">
      <c r="A112" s="1">
        <v>111</v>
      </c>
      <c r="B112" s="2">
        <v>5067122</v>
      </c>
      <c r="C112" s="3">
        <v>4.4999999999999998E-2</v>
      </c>
      <c r="D112" s="1">
        <v>0.67</v>
      </c>
      <c r="E112" s="4">
        <v>0.17</v>
      </c>
      <c r="F112" s="4">
        <v>0.3</v>
      </c>
      <c r="G112" s="4">
        <v>0.52999999999999992</v>
      </c>
      <c r="H112" s="17">
        <f t="shared" si="2"/>
        <v>3.0796824176511212E-5</v>
      </c>
      <c r="L112">
        <f t="shared" si="3"/>
        <v>3.015E-2</v>
      </c>
    </row>
    <row r="113" spans="1:12" x14ac:dyDescent="0.25">
      <c r="A113" s="1">
        <v>112</v>
      </c>
      <c r="B113" s="2">
        <v>7614949</v>
      </c>
      <c r="C113" s="3">
        <v>4.1000000000000002E-2</v>
      </c>
      <c r="D113" s="1">
        <v>0.75</v>
      </c>
      <c r="E113" s="4">
        <v>0.15</v>
      </c>
      <c r="F113" s="4">
        <v>0.34</v>
      </c>
      <c r="G113" s="4">
        <v>0.5099999999999999</v>
      </c>
      <c r="H113" s="17">
        <f t="shared" si="2"/>
        <v>4.7202975461341611E-5</v>
      </c>
      <c r="L113">
        <f t="shared" si="3"/>
        <v>3.075E-2</v>
      </c>
    </row>
    <row r="114" spans="1:12" x14ac:dyDescent="0.25">
      <c r="A114" s="1">
        <v>113</v>
      </c>
      <c r="B114" s="2">
        <v>7135452</v>
      </c>
      <c r="C114" s="3">
        <v>2.9000000000000001E-2</v>
      </c>
      <c r="D114" s="1">
        <v>0.75</v>
      </c>
      <c r="E114" s="4">
        <v>0.2</v>
      </c>
      <c r="F114" s="4">
        <v>0.22</v>
      </c>
      <c r="G114" s="4">
        <v>0.58000000000000007</v>
      </c>
      <c r="H114" s="17">
        <f t="shared" si="2"/>
        <v>3.1285133069836803E-5</v>
      </c>
      <c r="L114">
        <f t="shared" si="3"/>
        <v>2.1750000000000002E-2</v>
      </c>
    </row>
    <row r="115" spans="1:12" x14ac:dyDescent="0.25">
      <c r="A115" s="1">
        <v>114</v>
      </c>
      <c r="B115" s="2">
        <v>8073462</v>
      </c>
      <c r="C115" s="3">
        <v>3.1E-2</v>
      </c>
      <c r="D115" s="1">
        <v>0.75</v>
      </c>
      <c r="E115" s="4">
        <v>0.17</v>
      </c>
      <c r="F115" s="4">
        <v>0.28999999999999998</v>
      </c>
      <c r="G115" s="4">
        <v>0.53999999999999992</v>
      </c>
      <c r="H115" s="17">
        <f t="shared" si="2"/>
        <v>3.7839032110284376E-5</v>
      </c>
      <c r="L115">
        <f t="shared" si="3"/>
        <v>2.325E-2</v>
      </c>
    </row>
    <row r="116" spans="1:12" x14ac:dyDescent="0.25">
      <c r="A116" s="1">
        <v>115</v>
      </c>
      <c r="B116" s="2">
        <v>7907125</v>
      </c>
      <c r="C116" s="3">
        <v>3.6999999999999998E-2</v>
      </c>
      <c r="D116" s="1">
        <v>0.75</v>
      </c>
      <c r="E116" s="4">
        <v>0.19</v>
      </c>
      <c r="F116" s="4">
        <v>0.26</v>
      </c>
      <c r="G116" s="4">
        <v>0.55000000000000004</v>
      </c>
      <c r="H116" s="17">
        <f t="shared" si="2"/>
        <v>4.4232231319289074E-5</v>
      </c>
      <c r="L116">
        <f t="shared" si="3"/>
        <v>2.7749999999999997E-2</v>
      </c>
    </row>
    <row r="117" spans="1:12" x14ac:dyDescent="0.25">
      <c r="A117" s="1">
        <v>116</v>
      </c>
      <c r="B117" s="2">
        <v>7637859</v>
      </c>
      <c r="C117" s="3">
        <v>2.5000000000000001E-2</v>
      </c>
      <c r="D117" s="1">
        <v>0.75</v>
      </c>
      <c r="E117" s="4">
        <v>0.19</v>
      </c>
      <c r="F117" s="4">
        <v>0.19</v>
      </c>
      <c r="G117" s="4">
        <v>0.62000000000000011</v>
      </c>
      <c r="H117" s="17">
        <f t="shared" si="2"/>
        <v>2.8868895276379109E-5</v>
      </c>
      <c r="L117">
        <f t="shared" si="3"/>
        <v>1.8750000000000003E-2</v>
      </c>
    </row>
    <row r="118" spans="1:12" x14ac:dyDescent="0.25">
      <c r="A118" s="1">
        <v>117</v>
      </c>
      <c r="B118" s="2">
        <v>5122971</v>
      </c>
      <c r="C118" s="3">
        <v>2.5999999999999999E-2</v>
      </c>
      <c r="D118" s="1">
        <v>0.67</v>
      </c>
      <c r="E118" s="4">
        <v>0.18</v>
      </c>
      <c r="F118" s="4">
        <v>0.17</v>
      </c>
      <c r="G118" s="4">
        <v>0.64999999999999991</v>
      </c>
      <c r="H118" s="17">
        <f t="shared" si="2"/>
        <v>1.7989840149266895E-5</v>
      </c>
      <c r="L118">
        <f t="shared" si="3"/>
        <v>1.7420000000000001E-2</v>
      </c>
    </row>
    <row r="119" spans="1:12" x14ac:dyDescent="0.25">
      <c r="A119" s="1">
        <v>118</v>
      </c>
      <c r="B119" s="2">
        <v>6824700</v>
      </c>
      <c r="C119" s="3">
        <v>3.4000000000000002E-2</v>
      </c>
      <c r="D119" s="1">
        <v>0.67</v>
      </c>
      <c r="E119" s="4">
        <v>0.23</v>
      </c>
      <c r="F119" s="4">
        <v>0.28999999999999998</v>
      </c>
      <c r="G119" s="4">
        <v>0.48</v>
      </c>
      <c r="H119" s="17">
        <f t="shared" si="2"/>
        <v>3.1339678826902031E-5</v>
      </c>
      <c r="L119">
        <f t="shared" si="3"/>
        <v>2.2780000000000002E-2</v>
      </c>
    </row>
    <row r="120" spans="1:12" x14ac:dyDescent="0.25">
      <c r="A120" s="1">
        <v>119</v>
      </c>
      <c r="B120" s="2">
        <v>9561433</v>
      </c>
      <c r="C120" s="3">
        <v>2.5999999999999999E-2</v>
      </c>
      <c r="D120" s="1">
        <v>0.75</v>
      </c>
      <c r="E120" s="4">
        <v>0.19</v>
      </c>
      <c r="F120" s="4">
        <v>0.22</v>
      </c>
      <c r="G120" s="4">
        <v>0.59000000000000008</v>
      </c>
      <c r="H120" s="17">
        <f t="shared" si="2"/>
        <v>3.7585025893758959E-5</v>
      </c>
      <c r="L120">
        <f t="shared" si="3"/>
        <v>1.95E-2</v>
      </c>
    </row>
    <row r="121" spans="1:12" x14ac:dyDescent="0.25">
      <c r="A121" s="1">
        <v>120</v>
      </c>
      <c r="B121" s="2">
        <v>8246039</v>
      </c>
      <c r="C121" s="3">
        <v>0.03</v>
      </c>
      <c r="D121" s="1">
        <v>0.75</v>
      </c>
      <c r="E121" s="4">
        <v>0.23</v>
      </c>
      <c r="F121" s="4">
        <v>0.23</v>
      </c>
      <c r="G121" s="4">
        <v>0.54</v>
      </c>
      <c r="H121" s="17">
        <f t="shared" si="2"/>
        <v>3.7401167474173781E-5</v>
      </c>
      <c r="L121">
        <f t="shared" si="3"/>
        <v>2.2499999999999999E-2</v>
      </c>
    </row>
    <row r="122" spans="1:12" x14ac:dyDescent="0.25">
      <c r="A122" s="1">
        <v>121</v>
      </c>
      <c r="B122" s="2">
        <v>6723142</v>
      </c>
      <c r="C122" s="3">
        <v>0.04</v>
      </c>
      <c r="D122" s="1">
        <v>0.67</v>
      </c>
      <c r="E122" s="4">
        <v>0.19</v>
      </c>
      <c r="F122" s="4">
        <v>0.26</v>
      </c>
      <c r="G122" s="4">
        <v>0.55000000000000004</v>
      </c>
      <c r="H122" s="17">
        <f t="shared" si="2"/>
        <v>3.6321546732527056E-5</v>
      </c>
      <c r="L122">
        <f t="shared" si="3"/>
        <v>2.6800000000000001E-2</v>
      </c>
    </row>
    <row r="123" spans="1:12" x14ac:dyDescent="0.25">
      <c r="A123" s="1">
        <v>122</v>
      </c>
      <c r="B123" s="2">
        <v>5722937</v>
      </c>
      <c r="C123" s="3">
        <v>2.9000000000000001E-2</v>
      </c>
      <c r="D123" s="1">
        <v>0.67</v>
      </c>
      <c r="E123" s="4">
        <v>0.15</v>
      </c>
      <c r="F123" s="4">
        <v>0.19</v>
      </c>
      <c r="G123" s="4">
        <v>0.66</v>
      </c>
      <c r="H123" s="17">
        <f t="shared" si="2"/>
        <v>2.2415530517916464E-5</v>
      </c>
      <c r="L123">
        <f t="shared" si="3"/>
        <v>1.9430000000000003E-2</v>
      </c>
    </row>
    <row r="124" spans="1:12" x14ac:dyDescent="0.25">
      <c r="A124" s="1">
        <v>123</v>
      </c>
      <c r="B124" s="2">
        <v>5762022</v>
      </c>
      <c r="C124" s="3">
        <v>4.1000000000000002E-2</v>
      </c>
      <c r="D124" s="1">
        <v>0.67</v>
      </c>
      <c r="E124" s="4">
        <v>0.17</v>
      </c>
      <c r="F124" s="4">
        <v>0.26</v>
      </c>
      <c r="G124" s="4">
        <v>0.56999999999999995</v>
      </c>
      <c r="H124" s="17">
        <f t="shared" si="2"/>
        <v>3.1907356728523692E-5</v>
      </c>
      <c r="L124">
        <f t="shared" si="3"/>
        <v>2.7470000000000001E-2</v>
      </c>
    </row>
    <row r="125" spans="1:12" x14ac:dyDescent="0.25">
      <c r="A125" s="1">
        <v>124</v>
      </c>
      <c r="B125" s="2">
        <v>6900052</v>
      </c>
      <c r="C125" s="3">
        <v>3.9E-2</v>
      </c>
      <c r="D125" s="1">
        <v>0.67</v>
      </c>
      <c r="E125" s="4">
        <v>0.17</v>
      </c>
      <c r="F125" s="4">
        <v>0.15</v>
      </c>
      <c r="G125" s="4">
        <v>0.67999999999999994</v>
      </c>
      <c r="H125" s="17">
        <f t="shared" si="2"/>
        <v>3.6345364584816904E-5</v>
      </c>
      <c r="L125">
        <f t="shared" si="3"/>
        <v>2.613E-2</v>
      </c>
    </row>
    <row r="126" spans="1:12" x14ac:dyDescent="0.25">
      <c r="A126" s="1">
        <v>125</v>
      </c>
      <c r="B126" s="2">
        <v>8780273</v>
      </c>
      <c r="C126" s="3">
        <v>3.2000000000000001E-2</v>
      </c>
      <c r="D126" s="1">
        <v>0.75</v>
      </c>
      <c r="E126" s="4">
        <v>0.15</v>
      </c>
      <c r="F126" s="4">
        <v>0.18</v>
      </c>
      <c r="G126" s="4">
        <v>0.67</v>
      </c>
      <c r="H126" s="17">
        <f t="shared" si="2"/>
        <v>4.247921840673209E-5</v>
      </c>
      <c r="L126">
        <f t="shared" si="3"/>
        <v>2.4E-2</v>
      </c>
    </row>
    <row r="127" spans="1:12" x14ac:dyDescent="0.25">
      <c r="A127" s="1">
        <v>126</v>
      </c>
      <c r="B127" s="2">
        <v>9460899</v>
      </c>
      <c r="C127" s="3">
        <v>2.5999999999999999E-2</v>
      </c>
      <c r="D127" s="1">
        <v>0.75</v>
      </c>
      <c r="E127" s="4">
        <v>0.25</v>
      </c>
      <c r="F127" s="4">
        <v>0.19</v>
      </c>
      <c r="G127" s="4">
        <v>0.56000000000000005</v>
      </c>
      <c r="H127" s="17">
        <f t="shared" si="2"/>
        <v>3.7189836909722445E-5</v>
      </c>
      <c r="L127">
        <f t="shared" si="3"/>
        <v>1.95E-2</v>
      </c>
    </row>
    <row r="128" spans="1:12" x14ac:dyDescent="0.25">
      <c r="A128" s="1">
        <v>127</v>
      </c>
      <c r="B128" s="2">
        <v>9928811</v>
      </c>
      <c r="C128" s="3">
        <v>4.2000000000000003E-2</v>
      </c>
      <c r="D128" s="1">
        <v>0.75</v>
      </c>
      <c r="E128" s="4">
        <v>0.24</v>
      </c>
      <c r="F128" s="4">
        <v>0.19</v>
      </c>
      <c r="G128" s="4">
        <v>0.57000000000000006</v>
      </c>
      <c r="H128" s="17">
        <f t="shared" si="2"/>
        <v>6.3047091123700295E-5</v>
      </c>
      <c r="L128">
        <f t="shared" si="3"/>
        <v>3.15E-2</v>
      </c>
    </row>
    <row r="129" spans="1:12" x14ac:dyDescent="0.25">
      <c r="A129" s="1">
        <v>128</v>
      </c>
      <c r="B129" s="2">
        <v>5531153</v>
      </c>
      <c r="C129" s="3">
        <v>2.7E-2</v>
      </c>
      <c r="D129" s="1">
        <v>0.67</v>
      </c>
      <c r="E129" s="4">
        <v>0.18</v>
      </c>
      <c r="F129" s="4">
        <v>0.21</v>
      </c>
      <c r="G129" s="4">
        <v>0.6100000000000001</v>
      </c>
      <c r="H129" s="17">
        <f t="shared" si="2"/>
        <v>2.0170259934659065E-5</v>
      </c>
      <c r="L129">
        <f t="shared" si="3"/>
        <v>1.8090000000000002E-2</v>
      </c>
    </row>
    <row r="130" spans="1:12" x14ac:dyDescent="0.25">
      <c r="A130" s="1">
        <v>129</v>
      </c>
      <c r="B130" s="2">
        <v>9958459</v>
      </c>
      <c r="C130" s="3">
        <v>3.5000000000000003E-2</v>
      </c>
      <c r="D130" s="1">
        <v>0.75</v>
      </c>
      <c r="E130" s="4">
        <v>0.19</v>
      </c>
      <c r="F130" s="4">
        <v>0.23</v>
      </c>
      <c r="G130" s="4">
        <v>0.58000000000000007</v>
      </c>
      <c r="H130" s="17">
        <f t="shared" si="2"/>
        <v>5.2696127799578528E-5</v>
      </c>
      <c r="L130">
        <f t="shared" si="3"/>
        <v>2.6250000000000002E-2</v>
      </c>
    </row>
    <row r="131" spans="1:12" x14ac:dyDescent="0.25">
      <c r="A131" s="1">
        <v>130</v>
      </c>
      <c r="B131" s="2">
        <v>5316225</v>
      </c>
      <c r="C131" s="3">
        <v>4.4999999999999998E-2</v>
      </c>
      <c r="D131" s="1">
        <v>0.67</v>
      </c>
      <c r="E131" s="4">
        <v>0.25</v>
      </c>
      <c r="F131" s="4">
        <v>0.19</v>
      </c>
      <c r="G131" s="4">
        <v>0.56000000000000005</v>
      </c>
      <c r="H131" s="17">
        <f t="shared" ref="H131:H194" si="4">B131*C131*D131/SUM($B$2:$B$1797)</f>
        <v>3.2310816003201283E-5</v>
      </c>
      <c r="L131">
        <f t="shared" ref="L131:L194" si="5">C131*D131</f>
        <v>3.015E-2</v>
      </c>
    </row>
    <row r="132" spans="1:12" x14ac:dyDescent="0.25">
      <c r="A132" s="1">
        <v>131</v>
      </c>
      <c r="B132" s="2">
        <v>5284490</v>
      </c>
      <c r="C132" s="3">
        <v>0.03</v>
      </c>
      <c r="D132" s="1">
        <v>0.67</v>
      </c>
      <c r="E132" s="4">
        <v>0.2</v>
      </c>
      <c r="F132" s="4">
        <v>0.15</v>
      </c>
      <c r="G132" s="4">
        <v>0.64999999999999991</v>
      </c>
      <c r="H132" s="17">
        <f t="shared" si="4"/>
        <v>2.141195855589974E-5</v>
      </c>
      <c r="L132">
        <f t="shared" si="5"/>
        <v>2.01E-2</v>
      </c>
    </row>
    <row r="133" spans="1:12" x14ac:dyDescent="0.25">
      <c r="A133" s="1">
        <v>132</v>
      </c>
      <c r="B133" s="2">
        <v>6370942</v>
      </c>
      <c r="C133" s="3">
        <v>4.3999999999999997E-2</v>
      </c>
      <c r="D133" s="1">
        <v>0.67</v>
      </c>
      <c r="E133" s="4">
        <v>0.2</v>
      </c>
      <c r="F133" s="4">
        <v>0.15</v>
      </c>
      <c r="G133" s="4">
        <v>0.64999999999999991</v>
      </c>
      <c r="H133" s="17">
        <f t="shared" si="4"/>
        <v>3.7860677989776395E-5</v>
      </c>
      <c r="L133">
        <f t="shared" si="5"/>
        <v>2.9479999999999999E-2</v>
      </c>
    </row>
    <row r="134" spans="1:12" x14ac:dyDescent="0.25">
      <c r="A134" s="1">
        <v>133</v>
      </c>
      <c r="B134" s="2">
        <v>5822085</v>
      </c>
      <c r="C134" s="3">
        <v>3.5999999999999997E-2</v>
      </c>
      <c r="D134" s="1">
        <v>0.67</v>
      </c>
      <c r="E134" s="4">
        <v>0.23</v>
      </c>
      <c r="F134" s="4">
        <v>0.25</v>
      </c>
      <c r="G134" s="4">
        <v>0.52</v>
      </c>
      <c r="H134" s="17">
        <f t="shared" si="4"/>
        <v>2.8308255153233456E-5</v>
      </c>
      <c r="L134">
        <f t="shared" si="5"/>
        <v>2.4119999999999999E-2</v>
      </c>
    </row>
    <row r="135" spans="1:12" x14ac:dyDescent="0.25">
      <c r="A135" s="1">
        <v>134</v>
      </c>
      <c r="B135" s="2">
        <v>9714222</v>
      </c>
      <c r="C135" s="3">
        <v>4.1000000000000002E-2</v>
      </c>
      <c r="D135" s="1">
        <v>0.75</v>
      </c>
      <c r="E135" s="4">
        <v>0.2</v>
      </c>
      <c r="F135" s="4">
        <v>0.23</v>
      </c>
      <c r="G135" s="4">
        <v>0.57000000000000006</v>
      </c>
      <c r="H135" s="17">
        <f t="shared" si="4"/>
        <v>6.0215791687117649E-5</v>
      </c>
      <c r="L135">
        <f t="shared" si="5"/>
        <v>3.075E-2</v>
      </c>
    </row>
    <row r="136" spans="1:12" x14ac:dyDescent="0.25">
      <c r="A136" s="1">
        <v>135</v>
      </c>
      <c r="B136" s="2">
        <v>8346276</v>
      </c>
      <c r="C136" s="3">
        <v>3.4000000000000002E-2</v>
      </c>
      <c r="D136" s="1">
        <v>0.75</v>
      </c>
      <c r="E136" s="4">
        <v>0.22</v>
      </c>
      <c r="F136" s="4">
        <v>0.33</v>
      </c>
      <c r="G136" s="4">
        <v>0.44999999999999996</v>
      </c>
      <c r="H136" s="17">
        <f t="shared" si="4"/>
        <v>4.2903248697938592E-5</v>
      </c>
      <c r="L136">
        <f t="shared" si="5"/>
        <v>2.5500000000000002E-2</v>
      </c>
    </row>
    <row r="137" spans="1:12" x14ac:dyDescent="0.25">
      <c r="A137" s="1">
        <v>136</v>
      </c>
      <c r="B137" s="2">
        <v>6735212</v>
      </c>
      <c r="C137" s="3">
        <v>3.7999999999999999E-2</v>
      </c>
      <c r="D137" s="1">
        <v>0.67</v>
      </c>
      <c r="E137" s="4">
        <v>0.18</v>
      </c>
      <c r="F137" s="4">
        <v>0.31</v>
      </c>
      <c r="G137" s="4">
        <v>0.51</v>
      </c>
      <c r="H137" s="17">
        <f t="shared" si="4"/>
        <v>3.4567416773422776E-5</v>
      </c>
      <c r="L137">
        <f t="shared" si="5"/>
        <v>2.546E-2</v>
      </c>
    </row>
    <row r="138" spans="1:12" x14ac:dyDescent="0.25">
      <c r="A138" s="1">
        <v>137</v>
      </c>
      <c r="B138" s="2">
        <v>8960743</v>
      </c>
      <c r="C138" s="3">
        <v>2.5999999999999999E-2</v>
      </c>
      <c r="D138" s="1">
        <v>0.75</v>
      </c>
      <c r="E138" s="4">
        <v>0.25</v>
      </c>
      <c r="F138" s="4">
        <v>0.28000000000000003</v>
      </c>
      <c r="G138" s="4">
        <v>0.47</v>
      </c>
      <c r="H138" s="17">
        <f t="shared" si="4"/>
        <v>3.522377426922506E-5</v>
      </c>
      <c r="L138">
        <f t="shared" si="5"/>
        <v>1.95E-2</v>
      </c>
    </row>
    <row r="139" spans="1:12" x14ac:dyDescent="0.25">
      <c r="A139" s="1">
        <v>138</v>
      </c>
      <c r="B139" s="2">
        <v>5245286</v>
      </c>
      <c r="C139" s="3">
        <v>4.3999999999999997E-2</v>
      </c>
      <c r="D139" s="1">
        <v>0.67</v>
      </c>
      <c r="E139" s="4">
        <v>0.21</v>
      </c>
      <c r="F139" s="4">
        <v>0.18</v>
      </c>
      <c r="G139" s="4">
        <v>0.6100000000000001</v>
      </c>
      <c r="H139" s="17">
        <f t="shared" si="4"/>
        <v>3.11712277729545E-5</v>
      </c>
      <c r="L139">
        <f t="shared" si="5"/>
        <v>2.9479999999999999E-2</v>
      </c>
    </row>
    <row r="140" spans="1:12" x14ac:dyDescent="0.25">
      <c r="A140" s="1">
        <v>139</v>
      </c>
      <c r="B140" s="2">
        <v>7237358</v>
      </c>
      <c r="C140" s="3">
        <v>3.9E-2</v>
      </c>
      <c r="D140" s="1">
        <v>0.75</v>
      </c>
      <c r="E140" s="4">
        <v>0.23</v>
      </c>
      <c r="F140" s="4">
        <v>0.19</v>
      </c>
      <c r="G140" s="4">
        <v>0.58000000000000007</v>
      </c>
      <c r="H140" s="17">
        <f t="shared" si="4"/>
        <v>4.2673983256338806E-5</v>
      </c>
      <c r="L140">
        <f t="shared" si="5"/>
        <v>2.9249999999999998E-2</v>
      </c>
    </row>
    <row r="141" spans="1:12" x14ac:dyDescent="0.25">
      <c r="A141" s="1">
        <v>140</v>
      </c>
      <c r="B141" s="2">
        <v>8378917</v>
      </c>
      <c r="C141" s="3">
        <v>2.8000000000000001E-2</v>
      </c>
      <c r="D141" s="1">
        <v>0.75</v>
      </c>
      <c r="E141" s="4">
        <v>0.22</v>
      </c>
      <c r="F141" s="4">
        <v>0.2</v>
      </c>
      <c r="G141" s="4">
        <v>0.58000000000000007</v>
      </c>
      <c r="H141" s="17">
        <f t="shared" si="4"/>
        <v>3.5470265514297829E-5</v>
      </c>
      <c r="L141">
        <f t="shared" si="5"/>
        <v>2.1000000000000001E-2</v>
      </c>
    </row>
    <row r="142" spans="1:12" x14ac:dyDescent="0.25">
      <c r="A142" s="1">
        <v>141</v>
      </c>
      <c r="B142" s="2">
        <v>6694508</v>
      </c>
      <c r="C142" s="3">
        <v>3.7999999999999999E-2</v>
      </c>
      <c r="D142" s="1">
        <v>0.67</v>
      </c>
      <c r="E142" s="4">
        <v>0.19</v>
      </c>
      <c r="F142" s="4">
        <v>0.21</v>
      </c>
      <c r="G142" s="4">
        <v>0.60000000000000009</v>
      </c>
      <c r="H142" s="17">
        <f t="shared" si="4"/>
        <v>3.4358509892340873E-5</v>
      </c>
      <c r="L142">
        <f t="shared" si="5"/>
        <v>2.546E-2</v>
      </c>
    </row>
    <row r="143" spans="1:12" x14ac:dyDescent="0.25">
      <c r="A143" s="1">
        <v>142</v>
      </c>
      <c r="B143" s="2">
        <v>8144504</v>
      </c>
      <c r="C143" s="3">
        <v>3.2000000000000001E-2</v>
      </c>
      <c r="D143" s="1">
        <v>0.75</v>
      </c>
      <c r="E143" s="4">
        <v>0.23</v>
      </c>
      <c r="F143" s="4">
        <v>0.22</v>
      </c>
      <c r="G143" s="4">
        <v>0.55000000000000004</v>
      </c>
      <c r="H143" s="17">
        <f t="shared" si="4"/>
        <v>3.9403349329856039E-5</v>
      </c>
      <c r="L143">
        <f t="shared" si="5"/>
        <v>2.4E-2</v>
      </c>
    </row>
    <row r="144" spans="1:12" x14ac:dyDescent="0.25">
      <c r="A144" s="1">
        <v>143</v>
      </c>
      <c r="B144" s="2">
        <v>5969113</v>
      </c>
      <c r="C144" s="3">
        <v>4.2000000000000003E-2</v>
      </c>
      <c r="D144" s="1">
        <v>0.67</v>
      </c>
      <c r="E144" s="4">
        <v>0.16</v>
      </c>
      <c r="F144" s="4">
        <v>0.24</v>
      </c>
      <c r="G144" s="4">
        <v>0.6</v>
      </c>
      <c r="H144" s="17">
        <f t="shared" si="4"/>
        <v>3.386032715362795E-5</v>
      </c>
      <c r="L144">
        <f t="shared" si="5"/>
        <v>2.8140000000000002E-2</v>
      </c>
    </row>
    <row r="145" spans="1:12" x14ac:dyDescent="0.25">
      <c r="A145" s="1">
        <v>144</v>
      </c>
      <c r="B145" s="2">
        <v>9313368</v>
      </c>
      <c r="C145" s="3">
        <v>2.7E-2</v>
      </c>
      <c r="D145" s="1">
        <v>0.75</v>
      </c>
      <c r="E145" s="4">
        <v>0.21</v>
      </c>
      <c r="F145" s="4">
        <v>0.34</v>
      </c>
      <c r="G145" s="4">
        <v>0.44999999999999996</v>
      </c>
      <c r="H145" s="17">
        <f t="shared" si="4"/>
        <v>3.8017980837217698E-5</v>
      </c>
      <c r="L145">
        <f t="shared" si="5"/>
        <v>2.0250000000000001E-2</v>
      </c>
    </row>
    <row r="146" spans="1:12" x14ac:dyDescent="0.25">
      <c r="A146" s="1">
        <v>145</v>
      </c>
      <c r="B146" s="2">
        <v>7910422</v>
      </c>
      <c r="C146" s="3">
        <v>3.1E-2</v>
      </c>
      <c r="D146" s="1">
        <v>0.75</v>
      </c>
      <c r="E146" s="4">
        <v>0.17</v>
      </c>
      <c r="F146" s="4">
        <v>0.22</v>
      </c>
      <c r="G146" s="4">
        <v>0.61</v>
      </c>
      <c r="H146" s="17">
        <f t="shared" si="4"/>
        <v>3.7074889565826895E-5</v>
      </c>
      <c r="L146">
        <f t="shared" si="5"/>
        <v>2.325E-2</v>
      </c>
    </row>
    <row r="147" spans="1:12" x14ac:dyDescent="0.25">
      <c r="A147" s="1">
        <v>146</v>
      </c>
      <c r="B147" s="2">
        <v>9662820</v>
      </c>
      <c r="C147" s="3">
        <v>4.1000000000000002E-2</v>
      </c>
      <c r="D147" s="1">
        <v>0.75</v>
      </c>
      <c r="E147" s="4">
        <v>0.2</v>
      </c>
      <c r="F147" s="4">
        <v>0.31</v>
      </c>
      <c r="G147" s="4">
        <v>0.48999999999999994</v>
      </c>
      <c r="H147" s="17">
        <f t="shared" si="4"/>
        <v>5.9897164819798651E-5</v>
      </c>
      <c r="L147">
        <f t="shared" si="5"/>
        <v>3.075E-2</v>
      </c>
    </row>
    <row r="148" spans="1:12" x14ac:dyDescent="0.25">
      <c r="A148" s="1">
        <v>147</v>
      </c>
      <c r="B148" s="2">
        <v>5478333</v>
      </c>
      <c r="C148" s="3">
        <v>2.7E-2</v>
      </c>
      <c r="D148" s="1">
        <v>0.67</v>
      </c>
      <c r="E148" s="4">
        <v>0.25</v>
      </c>
      <c r="F148" s="4">
        <v>0.17</v>
      </c>
      <c r="G148" s="4">
        <v>0.57999999999999996</v>
      </c>
      <c r="H148" s="17">
        <f t="shared" si="4"/>
        <v>1.9977643109604926E-5</v>
      </c>
      <c r="L148">
        <f t="shared" si="5"/>
        <v>1.8090000000000002E-2</v>
      </c>
    </row>
    <row r="149" spans="1:12" x14ac:dyDescent="0.25">
      <c r="A149" s="1">
        <v>148</v>
      </c>
      <c r="B149" s="2">
        <v>9750668</v>
      </c>
      <c r="C149" s="3">
        <v>4.1000000000000002E-2</v>
      </c>
      <c r="D149" s="1">
        <v>0.75</v>
      </c>
      <c r="E149" s="4">
        <v>0.19</v>
      </c>
      <c r="F149" s="4">
        <v>0.28999999999999998</v>
      </c>
      <c r="G149" s="4">
        <v>0.52</v>
      </c>
      <c r="H149" s="17">
        <f t="shared" si="4"/>
        <v>6.0441710421919954E-5</v>
      </c>
      <c r="L149">
        <f t="shared" si="5"/>
        <v>3.075E-2</v>
      </c>
    </row>
    <row r="150" spans="1:12" x14ac:dyDescent="0.25">
      <c r="A150" s="1">
        <v>149</v>
      </c>
      <c r="B150" s="2">
        <v>8151572</v>
      </c>
      <c r="C150" s="3">
        <v>3.6999999999999998E-2</v>
      </c>
      <c r="D150" s="1">
        <v>0.75</v>
      </c>
      <c r="E150" s="4">
        <v>0.2</v>
      </c>
      <c r="F150" s="4">
        <v>0.21</v>
      </c>
      <c r="G150" s="4">
        <v>0.59000000000000008</v>
      </c>
      <c r="H150" s="17">
        <f t="shared" si="4"/>
        <v>4.5599660852691697E-5</v>
      </c>
      <c r="L150">
        <f t="shared" si="5"/>
        <v>2.7749999999999997E-2</v>
      </c>
    </row>
    <row r="151" spans="1:12" x14ac:dyDescent="0.25">
      <c r="A151" s="1">
        <v>150</v>
      </c>
      <c r="B151" s="2">
        <v>8576580</v>
      </c>
      <c r="C151" s="3">
        <v>3.3000000000000002E-2</v>
      </c>
      <c r="D151" s="1">
        <v>0.75</v>
      </c>
      <c r="E151" s="4">
        <v>0.25</v>
      </c>
      <c r="F151" s="4">
        <v>0.23</v>
      </c>
      <c r="G151" s="4">
        <v>0.52</v>
      </c>
      <c r="H151" s="17">
        <f t="shared" si="4"/>
        <v>4.2790425248924279E-5</v>
      </c>
      <c r="L151">
        <f t="shared" si="5"/>
        <v>2.4750000000000001E-2</v>
      </c>
    </row>
    <row r="152" spans="1:12" x14ac:dyDescent="0.25">
      <c r="A152" s="1">
        <v>151</v>
      </c>
      <c r="B152" s="2">
        <v>5348615</v>
      </c>
      <c r="C152" s="3">
        <v>3.6999999999999998E-2</v>
      </c>
      <c r="D152" s="1">
        <v>0.67</v>
      </c>
      <c r="E152" s="4">
        <v>0.19</v>
      </c>
      <c r="F152" s="4">
        <v>0.35</v>
      </c>
      <c r="G152" s="4">
        <v>0.46</v>
      </c>
      <c r="H152" s="17">
        <f t="shared" si="4"/>
        <v>2.672853287213561E-5</v>
      </c>
      <c r="L152">
        <f t="shared" si="5"/>
        <v>2.479E-2</v>
      </c>
    </row>
    <row r="153" spans="1:12" x14ac:dyDescent="0.25">
      <c r="A153" s="1">
        <v>152</v>
      </c>
      <c r="B153" s="2">
        <v>6384693</v>
      </c>
      <c r="C153" s="3">
        <v>3.3000000000000002E-2</v>
      </c>
      <c r="D153" s="1">
        <v>0.67</v>
      </c>
      <c r="E153" s="4">
        <v>0.19</v>
      </c>
      <c r="F153" s="4">
        <v>0.35</v>
      </c>
      <c r="G153" s="4">
        <v>0.46</v>
      </c>
      <c r="H153" s="17">
        <f t="shared" si="4"/>
        <v>2.845679717417528E-5</v>
      </c>
      <c r="L153">
        <f t="shared" si="5"/>
        <v>2.2110000000000001E-2</v>
      </c>
    </row>
    <row r="154" spans="1:12" x14ac:dyDescent="0.25">
      <c r="A154" s="1">
        <v>153</v>
      </c>
      <c r="B154" s="2">
        <v>9176258</v>
      </c>
      <c r="C154" s="3">
        <v>2.9000000000000001E-2</v>
      </c>
      <c r="D154" s="1">
        <v>0.75</v>
      </c>
      <c r="E154" s="4">
        <v>0.2</v>
      </c>
      <c r="F154" s="4">
        <v>0.2</v>
      </c>
      <c r="G154" s="4">
        <v>0.60000000000000009</v>
      </c>
      <c r="H154" s="17">
        <f t="shared" si="4"/>
        <v>4.0232973694330016E-5</v>
      </c>
      <c r="L154">
        <f t="shared" si="5"/>
        <v>2.1750000000000002E-2</v>
      </c>
    </row>
    <row r="155" spans="1:12" x14ac:dyDescent="0.25">
      <c r="A155" s="1">
        <v>154</v>
      </c>
      <c r="B155" s="2">
        <v>8191338</v>
      </c>
      <c r="C155" s="3">
        <v>3.5999999999999997E-2</v>
      </c>
      <c r="D155" s="1">
        <v>0.75</v>
      </c>
      <c r="E155" s="4">
        <v>0.24</v>
      </c>
      <c r="F155" s="4">
        <v>0.3</v>
      </c>
      <c r="G155" s="4">
        <v>0.45999999999999996</v>
      </c>
      <c r="H155" s="17">
        <f t="shared" si="4"/>
        <v>4.4583675295578445E-5</v>
      </c>
      <c r="L155">
        <f t="shared" si="5"/>
        <v>2.6999999999999996E-2</v>
      </c>
    </row>
    <row r="156" spans="1:12" x14ac:dyDescent="0.25">
      <c r="A156" s="1">
        <v>155</v>
      </c>
      <c r="B156" s="2">
        <v>6345112</v>
      </c>
      <c r="C156" s="3">
        <v>3.7999999999999999E-2</v>
      </c>
      <c r="D156" s="1">
        <v>0.67</v>
      </c>
      <c r="E156" s="4">
        <v>0.18</v>
      </c>
      <c r="F156" s="4">
        <v>0.16</v>
      </c>
      <c r="G156" s="4">
        <v>0.65999999999999992</v>
      </c>
      <c r="H156" s="17">
        <f t="shared" si="4"/>
        <v>3.2565289849532001E-5</v>
      </c>
      <c r="L156">
        <f t="shared" si="5"/>
        <v>2.546E-2</v>
      </c>
    </row>
    <row r="157" spans="1:12" x14ac:dyDescent="0.25">
      <c r="A157" s="1">
        <v>156</v>
      </c>
      <c r="B157" s="2">
        <v>7428108</v>
      </c>
      <c r="C157" s="3">
        <v>3.9E-2</v>
      </c>
      <c r="D157" s="1">
        <v>0.75</v>
      </c>
      <c r="E157" s="4">
        <v>0.22</v>
      </c>
      <c r="F157" s="4">
        <v>0.24</v>
      </c>
      <c r="G157" s="4">
        <v>0.54</v>
      </c>
      <c r="H157" s="17">
        <f t="shared" si="4"/>
        <v>4.3798711687093043E-5</v>
      </c>
      <c r="L157">
        <f t="shared" si="5"/>
        <v>2.9249999999999998E-2</v>
      </c>
    </row>
    <row r="158" spans="1:12" x14ac:dyDescent="0.25">
      <c r="A158" s="1">
        <v>157</v>
      </c>
      <c r="B158" s="2">
        <v>6829580</v>
      </c>
      <c r="C158" s="3">
        <v>0.03</v>
      </c>
      <c r="D158" s="1">
        <v>0.67</v>
      </c>
      <c r="E158" s="4">
        <v>0.17</v>
      </c>
      <c r="F158" s="4">
        <v>0.26</v>
      </c>
      <c r="G158" s="4">
        <v>0.56999999999999995</v>
      </c>
      <c r="H158" s="17">
        <f t="shared" si="4"/>
        <v>2.767243081436463E-5</v>
      </c>
      <c r="L158">
        <f t="shared" si="5"/>
        <v>2.01E-2</v>
      </c>
    </row>
    <row r="159" spans="1:12" x14ac:dyDescent="0.25">
      <c r="A159" s="1">
        <v>158</v>
      </c>
      <c r="B159" s="2">
        <v>5536063</v>
      </c>
      <c r="C159" s="3">
        <v>4.2999999999999997E-2</v>
      </c>
      <c r="D159" s="1">
        <v>0.67</v>
      </c>
      <c r="E159" s="4">
        <v>0.18</v>
      </c>
      <c r="F159" s="4">
        <v>0.24</v>
      </c>
      <c r="G159" s="4">
        <v>0.58000000000000007</v>
      </c>
      <c r="H159" s="17">
        <f t="shared" si="4"/>
        <v>3.215152212929125E-5</v>
      </c>
      <c r="L159">
        <f t="shared" si="5"/>
        <v>2.8809999999999999E-2</v>
      </c>
    </row>
    <row r="160" spans="1:12" x14ac:dyDescent="0.25">
      <c r="A160" s="1">
        <v>159</v>
      </c>
      <c r="B160" s="2">
        <v>7532631</v>
      </c>
      <c r="C160" s="3">
        <v>4.2999999999999997E-2</v>
      </c>
      <c r="D160" s="1">
        <v>0.75</v>
      </c>
      <c r="E160" s="4">
        <v>0.18</v>
      </c>
      <c r="F160" s="4">
        <v>0.25</v>
      </c>
      <c r="G160" s="4">
        <v>0.57000000000000006</v>
      </c>
      <c r="H160" s="17">
        <f t="shared" si="4"/>
        <v>4.8970401921627999E-5</v>
      </c>
      <c r="L160">
        <f t="shared" si="5"/>
        <v>3.2250000000000001E-2</v>
      </c>
    </row>
    <row r="161" spans="1:12" x14ac:dyDescent="0.25">
      <c r="A161" s="1">
        <v>160</v>
      </c>
      <c r="B161" s="2">
        <v>8497424</v>
      </c>
      <c r="C161" s="3">
        <v>2.8000000000000001E-2</v>
      </c>
      <c r="D161" s="1">
        <v>0.75</v>
      </c>
      <c r="E161" s="4">
        <v>0.24</v>
      </c>
      <c r="F161" s="4">
        <v>0.16</v>
      </c>
      <c r="G161" s="4">
        <v>0.6</v>
      </c>
      <c r="H161" s="17">
        <f t="shared" si="4"/>
        <v>3.5971938314649346E-5</v>
      </c>
      <c r="L161">
        <f t="shared" si="5"/>
        <v>2.1000000000000001E-2</v>
      </c>
    </row>
    <row r="162" spans="1:12" x14ac:dyDescent="0.25">
      <c r="A162" s="1">
        <v>161</v>
      </c>
      <c r="B162" s="2">
        <v>7847291</v>
      </c>
      <c r="C162" s="3">
        <v>4.1000000000000002E-2</v>
      </c>
      <c r="D162" s="1">
        <v>0.75</v>
      </c>
      <c r="E162" s="4">
        <v>0.18</v>
      </c>
      <c r="F162" s="4">
        <v>0.24</v>
      </c>
      <c r="G162" s="4">
        <v>0.58000000000000007</v>
      </c>
      <c r="H162" s="17">
        <f t="shared" si="4"/>
        <v>4.8643199647299921E-5</v>
      </c>
      <c r="L162">
        <f t="shared" si="5"/>
        <v>3.075E-2</v>
      </c>
    </row>
    <row r="163" spans="1:12" x14ac:dyDescent="0.25">
      <c r="A163" s="1">
        <v>162</v>
      </c>
      <c r="B163" s="2">
        <v>6336935</v>
      </c>
      <c r="C163" s="3">
        <v>4.2999999999999997E-2</v>
      </c>
      <c r="D163" s="1">
        <v>0.67</v>
      </c>
      <c r="E163" s="4">
        <v>0.24</v>
      </c>
      <c r="F163" s="4">
        <v>0.2</v>
      </c>
      <c r="G163" s="4">
        <v>0.56000000000000005</v>
      </c>
      <c r="H163" s="17">
        <f t="shared" si="4"/>
        <v>3.6802707245994175E-5</v>
      </c>
      <c r="L163">
        <f t="shared" si="5"/>
        <v>2.8809999999999999E-2</v>
      </c>
    </row>
    <row r="164" spans="1:12" x14ac:dyDescent="0.25">
      <c r="A164" s="1">
        <v>163</v>
      </c>
      <c r="B164" s="2">
        <v>8553113</v>
      </c>
      <c r="C164" s="3">
        <v>3.1E-2</v>
      </c>
      <c r="D164" s="1">
        <v>0.75</v>
      </c>
      <c r="E164" s="4">
        <v>0.19</v>
      </c>
      <c r="F164" s="4">
        <v>0.22</v>
      </c>
      <c r="G164" s="4">
        <v>0.59000000000000008</v>
      </c>
      <c r="H164" s="17">
        <f t="shared" si="4"/>
        <v>4.0087080046935346E-5</v>
      </c>
      <c r="L164">
        <f t="shared" si="5"/>
        <v>2.325E-2</v>
      </c>
    </row>
    <row r="165" spans="1:12" x14ac:dyDescent="0.25">
      <c r="A165" s="1">
        <v>164</v>
      </c>
      <c r="B165" s="2">
        <v>8561707</v>
      </c>
      <c r="C165" s="3">
        <v>0.03</v>
      </c>
      <c r="D165" s="1">
        <v>0.75</v>
      </c>
      <c r="E165" s="4">
        <v>0.17</v>
      </c>
      <c r="F165" s="4">
        <v>0.22</v>
      </c>
      <c r="G165" s="4">
        <v>0.61</v>
      </c>
      <c r="H165" s="17">
        <f t="shared" si="4"/>
        <v>3.8832927830174701E-5</v>
      </c>
      <c r="L165">
        <f t="shared" si="5"/>
        <v>2.2499999999999999E-2</v>
      </c>
    </row>
    <row r="166" spans="1:12" x14ac:dyDescent="0.25">
      <c r="A166" s="1">
        <v>165</v>
      </c>
      <c r="B166" s="2">
        <v>9045436</v>
      </c>
      <c r="C166" s="3">
        <v>2.8000000000000001E-2</v>
      </c>
      <c r="D166" s="1">
        <v>0.75</v>
      </c>
      <c r="E166" s="4">
        <v>0.16</v>
      </c>
      <c r="F166" s="4">
        <v>0.28000000000000003</v>
      </c>
      <c r="G166" s="4">
        <v>0.55999999999999994</v>
      </c>
      <c r="H166" s="17">
        <f t="shared" si="4"/>
        <v>3.8291824183553568E-5</v>
      </c>
      <c r="L166">
        <f t="shared" si="5"/>
        <v>2.1000000000000001E-2</v>
      </c>
    </row>
    <row r="167" spans="1:12" x14ac:dyDescent="0.25">
      <c r="A167" s="1">
        <v>166</v>
      </c>
      <c r="B167" s="2">
        <v>8184495</v>
      </c>
      <c r="C167" s="3">
        <v>3.5999999999999997E-2</v>
      </c>
      <c r="D167" s="1">
        <v>0.75</v>
      </c>
      <c r="E167" s="4">
        <v>0.24</v>
      </c>
      <c r="F167" s="4">
        <v>0.24</v>
      </c>
      <c r="G167" s="4">
        <v>0.52</v>
      </c>
      <c r="H167" s="17">
        <f t="shared" si="4"/>
        <v>4.4546430331441004E-5</v>
      </c>
      <c r="L167">
        <f t="shared" si="5"/>
        <v>2.6999999999999996E-2</v>
      </c>
    </row>
    <row r="168" spans="1:12" x14ac:dyDescent="0.25">
      <c r="A168" s="1">
        <v>167</v>
      </c>
      <c r="B168" s="2">
        <v>7469774</v>
      </c>
      <c r="C168" s="3">
        <v>0.04</v>
      </c>
      <c r="D168" s="1">
        <v>0.75</v>
      </c>
      <c r="E168" s="4">
        <v>0.17</v>
      </c>
      <c r="F168" s="4">
        <v>0.28999999999999998</v>
      </c>
      <c r="G168" s="4">
        <v>0.53999999999999992</v>
      </c>
      <c r="H168" s="17">
        <f t="shared" si="4"/>
        <v>4.5173732239722045E-5</v>
      </c>
      <c r="L168">
        <f t="shared" si="5"/>
        <v>0.03</v>
      </c>
    </row>
    <row r="169" spans="1:12" x14ac:dyDescent="0.25">
      <c r="A169" s="1">
        <v>168</v>
      </c>
      <c r="B169" s="2">
        <v>5255899</v>
      </c>
      <c r="C169" s="3">
        <v>3.9E-2</v>
      </c>
      <c r="D169" s="1">
        <v>0.67</v>
      </c>
      <c r="E169" s="4">
        <v>0.19</v>
      </c>
      <c r="F169" s="4">
        <v>0.27</v>
      </c>
      <c r="G169" s="4">
        <v>0.54</v>
      </c>
      <c r="H169" s="17">
        <f t="shared" si="4"/>
        <v>2.7684945762144193E-5</v>
      </c>
      <c r="L169">
        <f t="shared" si="5"/>
        <v>2.613E-2</v>
      </c>
    </row>
    <row r="170" spans="1:12" x14ac:dyDescent="0.25">
      <c r="A170" s="1">
        <v>169</v>
      </c>
      <c r="B170" s="2">
        <v>6634139</v>
      </c>
      <c r="C170" s="3">
        <v>0.04</v>
      </c>
      <c r="D170" s="1">
        <v>0.67</v>
      </c>
      <c r="E170" s="4">
        <v>0.19</v>
      </c>
      <c r="F170" s="4">
        <v>0.27</v>
      </c>
      <c r="G170" s="4">
        <v>0.54</v>
      </c>
      <c r="H170" s="17">
        <f t="shared" si="4"/>
        <v>3.5840711042334118E-5</v>
      </c>
      <c r="L170">
        <f t="shared" si="5"/>
        <v>2.6800000000000001E-2</v>
      </c>
    </row>
    <row r="171" spans="1:12" x14ac:dyDescent="0.25">
      <c r="A171" s="1">
        <v>170</v>
      </c>
      <c r="B171" s="2">
        <v>6459858</v>
      </c>
      <c r="C171" s="3">
        <v>4.2000000000000003E-2</v>
      </c>
      <c r="D171" s="1">
        <v>0.67</v>
      </c>
      <c r="E171" s="4">
        <v>0.18</v>
      </c>
      <c r="F171" s="4">
        <v>0.25</v>
      </c>
      <c r="G171" s="4">
        <v>0.57000000000000006</v>
      </c>
      <c r="H171" s="17">
        <f t="shared" si="4"/>
        <v>3.6644122040574658E-5</v>
      </c>
      <c r="L171">
        <f t="shared" si="5"/>
        <v>2.8140000000000002E-2</v>
      </c>
    </row>
    <row r="172" spans="1:12" x14ac:dyDescent="0.25">
      <c r="A172" s="1">
        <v>171</v>
      </c>
      <c r="B172" s="2">
        <v>6477860</v>
      </c>
      <c r="C172" s="3">
        <v>3.1E-2</v>
      </c>
      <c r="D172" s="1">
        <v>0.67</v>
      </c>
      <c r="E172" s="4">
        <v>0.15</v>
      </c>
      <c r="F172" s="4">
        <v>0.33</v>
      </c>
      <c r="G172" s="4">
        <v>0.51999999999999991</v>
      </c>
      <c r="H172" s="17">
        <f t="shared" si="4"/>
        <v>2.7122224758229852E-5</v>
      </c>
      <c r="L172">
        <f t="shared" si="5"/>
        <v>2.077E-2</v>
      </c>
    </row>
    <row r="173" spans="1:12" x14ac:dyDescent="0.25">
      <c r="A173" s="1">
        <v>172</v>
      </c>
      <c r="B173" s="2">
        <v>6628084</v>
      </c>
      <c r="C173" s="3">
        <v>3.2000000000000001E-2</v>
      </c>
      <c r="D173" s="1">
        <v>0.67</v>
      </c>
      <c r="E173" s="4">
        <v>0.21</v>
      </c>
      <c r="F173" s="4">
        <v>0.23</v>
      </c>
      <c r="G173" s="4">
        <v>0.56000000000000005</v>
      </c>
      <c r="H173" s="17">
        <f t="shared" si="4"/>
        <v>2.8646399288084628E-5</v>
      </c>
      <c r="L173">
        <f t="shared" si="5"/>
        <v>2.1440000000000001E-2</v>
      </c>
    </row>
    <row r="174" spans="1:12" x14ac:dyDescent="0.25">
      <c r="A174" s="1">
        <v>173</v>
      </c>
      <c r="B174" s="2">
        <v>8127265</v>
      </c>
      <c r="C174" s="3">
        <v>3.1E-2</v>
      </c>
      <c r="D174" s="1">
        <v>0.75</v>
      </c>
      <c r="E174" s="4">
        <v>0.2</v>
      </c>
      <c r="F174" s="4">
        <v>0.28999999999999998</v>
      </c>
      <c r="G174" s="4">
        <v>0.51</v>
      </c>
      <c r="H174" s="17">
        <f t="shared" si="4"/>
        <v>3.8091198212587157E-5</v>
      </c>
      <c r="L174">
        <f t="shared" si="5"/>
        <v>2.325E-2</v>
      </c>
    </row>
    <row r="175" spans="1:12" x14ac:dyDescent="0.25">
      <c r="A175" s="1">
        <v>174</v>
      </c>
      <c r="B175" s="2">
        <v>9072037</v>
      </c>
      <c r="C175" s="3">
        <v>3.2000000000000001E-2</v>
      </c>
      <c r="D175" s="1">
        <v>0.75</v>
      </c>
      <c r="E175" s="4">
        <v>0.16</v>
      </c>
      <c r="F175" s="4">
        <v>0.33</v>
      </c>
      <c r="G175" s="4">
        <v>0.5099999999999999</v>
      </c>
      <c r="H175" s="17">
        <f t="shared" si="4"/>
        <v>4.389078119973656E-5</v>
      </c>
      <c r="L175">
        <f t="shared" si="5"/>
        <v>2.4E-2</v>
      </c>
    </row>
    <row r="176" spans="1:12" x14ac:dyDescent="0.25">
      <c r="A176" s="1">
        <v>175</v>
      </c>
      <c r="B176" s="2">
        <v>7704412</v>
      </c>
      <c r="C176" s="3">
        <v>0.04</v>
      </c>
      <c r="D176" s="1">
        <v>0.75</v>
      </c>
      <c r="E176" s="4">
        <v>0.22</v>
      </c>
      <c r="F176" s="4">
        <v>0.28999999999999998</v>
      </c>
      <c r="G176" s="4">
        <v>0.49</v>
      </c>
      <c r="H176" s="17">
        <f t="shared" si="4"/>
        <v>4.6592714150722808E-5</v>
      </c>
      <c r="L176">
        <f t="shared" si="5"/>
        <v>0.03</v>
      </c>
    </row>
    <row r="177" spans="1:12" x14ac:dyDescent="0.25">
      <c r="A177" s="1">
        <v>176</v>
      </c>
      <c r="B177" s="2">
        <v>7917008</v>
      </c>
      <c r="C177" s="3">
        <v>0.03</v>
      </c>
      <c r="D177" s="1">
        <v>0.75</v>
      </c>
      <c r="E177" s="4">
        <v>0.23</v>
      </c>
      <c r="F177" s="4">
        <v>0.35</v>
      </c>
      <c r="G177" s="4">
        <v>0.42000000000000004</v>
      </c>
      <c r="H177" s="17">
        <f t="shared" si="4"/>
        <v>3.5908797193703983E-5</v>
      </c>
      <c r="L177">
        <f t="shared" si="5"/>
        <v>2.2499999999999999E-2</v>
      </c>
    </row>
    <row r="178" spans="1:12" x14ac:dyDescent="0.25">
      <c r="A178" s="1">
        <v>177</v>
      </c>
      <c r="B178" s="2">
        <v>9683098</v>
      </c>
      <c r="C178" s="3">
        <v>0.03</v>
      </c>
      <c r="D178" s="1">
        <v>0.75</v>
      </c>
      <c r="E178" s="4">
        <v>0.18</v>
      </c>
      <c r="F178" s="4">
        <v>0.24</v>
      </c>
      <c r="G178" s="4">
        <v>0.58000000000000007</v>
      </c>
      <c r="H178" s="17">
        <f t="shared" si="4"/>
        <v>4.3919167732148392E-5</v>
      </c>
      <c r="L178">
        <f t="shared" si="5"/>
        <v>2.2499999999999999E-2</v>
      </c>
    </row>
    <row r="179" spans="1:12" x14ac:dyDescent="0.25">
      <c r="A179" s="1">
        <v>178</v>
      </c>
      <c r="B179" s="2">
        <v>9486283</v>
      </c>
      <c r="C179" s="3">
        <v>3.9E-2</v>
      </c>
      <c r="D179" s="1">
        <v>0.75</v>
      </c>
      <c r="E179" s="4">
        <v>0.23</v>
      </c>
      <c r="F179" s="4">
        <v>0.35</v>
      </c>
      <c r="G179" s="4">
        <v>0.42000000000000004</v>
      </c>
      <c r="H179" s="17">
        <f t="shared" si="4"/>
        <v>5.5934428268836705E-5</v>
      </c>
      <c r="L179">
        <f t="shared" si="5"/>
        <v>2.9249999999999998E-2</v>
      </c>
    </row>
    <row r="180" spans="1:12" x14ac:dyDescent="0.25">
      <c r="A180" s="1">
        <v>179</v>
      </c>
      <c r="B180" s="2">
        <v>6941810</v>
      </c>
      <c r="C180" s="3">
        <v>4.2000000000000003E-2</v>
      </c>
      <c r="D180" s="1">
        <v>0.67</v>
      </c>
      <c r="E180" s="4">
        <v>0.21</v>
      </c>
      <c r="F180" s="4">
        <v>0.28000000000000003</v>
      </c>
      <c r="G180" s="4">
        <v>0.51</v>
      </c>
      <c r="H180" s="17">
        <f t="shared" si="4"/>
        <v>3.9378037848894132E-5</v>
      </c>
      <c r="L180">
        <f t="shared" si="5"/>
        <v>2.8140000000000002E-2</v>
      </c>
    </row>
    <row r="181" spans="1:12" x14ac:dyDescent="0.25">
      <c r="A181" s="1">
        <v>180</v>
      </c>
      <c r="B181" s="2">
        <v>9299198</v>
      </c>
      <c r="C181" s="3">
        <v>4.1000000000000002E-2</v>
      </c>
      <c r="D181" s="1">
        <v>0.75</v>
      </c>
      <c r="E181" s="4">
        <v>0.24</v>
      </c>
      <c r="F181" s="4">
        <v>0.18</v>
      </c>
      <c r="G181" s="4">
        <v>0.58000000000000007</v>
      </c>
      <c r="H181" s="17">
        <f t="shared" si="4"/>
        <v>5.7643172003405012E-5</v>
      </c>
      <c r="L181">
        <f t="shared" si="5"/>
        <v>3.075E-2</v>
      </c>
    </row>
    <row r="182" spans="1:12" x14ac:dyDescent="0.25">
      <c r="A182" s="1">
        <v>181</v>
      </c>
      <c r="B182" s="2">
        <v>9410021</v>
      </c>
      <c r="C182" s="3">
        <v>3.5999999999999997E-2</v>
      </c>
      <c r="D182" s="1">
        <v>0.75</v>
      </c>
      <c r="E182" s="4">
        <v>0.16</v>
      </c>
      <c r="F182" s="4">
        <v>0.35</v>
      </c>
      <c r="G182" s="4">
        <v>0.49</v>
      </c>
      <c r="H182" s="17">
        <f t="shared" si="4"/>
        <v>5.1216702422555924E-5</v>
      </c>
      <c r="L182">
        <f t="shared" si="5"/>
        <v>2.6999999999999996E-2</v>
      </c>
    </row>
    <row r="183" spans="1:12" x14ac:dyDescent="0.25">
      <c r="A183" s="1">
        <v>182</v>
      </c>
      <c r="B183" s="2">
        <v>5347742</v>
      </c>
      <c r="C183" s="3">
        <v>2.5999999999999999E-2</v>
      </c>
      <c r="D183" s="1">
        <v>0.67</v>
      </c>
      <c r="E183" s="4">
        <v>0.24</v>
      </c>
      <c r="F183" s="4">
        <v>0.3</v>
      </c>
      <c r="G183" s="4">
        <v>0.45999999999999996</v>
      </c>
      <c r="H183" s="17">
        <f t="shared" si="4"/>
        <v>1.8779146659139949E-5</v>
      </c>
      <c r="L183">
        <f t="shared" si="5"/>
        <v>1.7420000000000001E-2</v>
      </c>
    </row>
    <row r="184" spans="1:12" x14ac:dyDescent="0.25">
      <c r="A184" s="1">
        <v>183</v>
      </c>
      <c r="B184" s="2">
        <v>5440864</v>
      </c>
      <c r="C184" s="3">
        <v>4.2999999999999997E-2</v>
      </c>
      <c r="D184" s="1">
        <v>0.67</v>
      </c>
      <c r="E184" s="4">
        <v>0.19</v>
      </c>
      <c r="F184" s="4">
        <v>0.3</v>
      </c>
      <c r="G184" s="4">
        <v>0.51</v>
      </c>
      <c r="H184" s="17">
        <f t="shared" si="4"/>
        <v>3.1598639556389461E-5</v>
      </c>
      <c r="L184">
        <f t="shared" si="5"/>
        <v>2.8809999999999999E-2</v>
      </c>
    </row>
    <row r="185" spans="1:12" x14ac:dyDescent="0.25">
      <c r="A185" s="1">
        <v>184</v>
      </c>
      <c r="B185" s="2">
        <v>8668214</v>
      </c>
      <c r="C185" s="3">
        <v>4.2000000000000003E-2</v>
      </c>
      <c r="D185" s="1">
        <v>0.75</v>
      </c>
      <c r="E185" s="4">
        <v>0.19</v>
      </c>
      <c r="F185" s="4">
        <v>0.17</v>
      </c>
      <c r="G185" s="4">
        <v>0.6399999999999999</v>
      </c>
      <c r="H185" s="17">
        <f t="shared" si="4"/>
        <v>5.504240920063184E-5</v>
      </c>
      <c r="L185">
        <f t="shared" si="5"/>
        <v>3.15E-2</v>
      </c>
    </row>
    <row r="186" spans="1:12" x14ac:dyDescent="0.25">
      <c r="A186" s="1">
        <v>185</v>
      </c>
      <c r="B186" s="2">
        <v>8517562</v>
      </c>
      <c r="C186" s="3">
        <v>3.9E-2</v>
      </c>
      <c r="D186" s="1">
        <v>0.75</v>
      </c>
      <c r="E186" s="4">
        <v>0.2</v>
      </c>
      <c r="F186" s="4">
        <v>0.34</v>
      </c>
      <c r="G186" s="4">
        <v>0.45999999999999991</v>
      </c>
      <c r="H186" s="17">
        <f t="shared" si="4"/>
        <v>5.0222511885252557E-5</v>
      </c>
      <c r="L186">
        <f t="shared" si="5"/>
        <v>2.9249999999999998E-2</v>
      </c>
    </row>
    <row r="187" spans="1:12" x14ac:dyDescent="0.25">
      <c r="A187" s="1">
        <v>186</v>
      </c>
      <c r="B187" s="2">
        <v>9057352</v>
      </c>
      <c r="C187" s="3">
        <v>4.4999999999999998E-2</v>
      </c>
      <c r="D187" s="1">
        <v>0.75</v>
      </c>
      <c r="E187" s="4">
        <v>0.17</v>
      </c>
      <c r="F187" s="4">
        <v>0.28000000000000003</v>
      </c>
      <c r="G187" s="4">
        <v>0.54999999999999993</v>
      </c>
      <c r="H187" s="17">
        <f t="shared" si="4"/>
        <v>6.1621501976502207E-5</v>
      </c>
      <c r="L187">
        <f t="shared" si="5"/>
        <v>3.3750000000000002E-2</v>
      </c>
    </row>
    <row r="188" spans="1:12" x14ac:dyDescent="0.25">
      <c r="A188" s="1">
        <v>187</v>
      </c>
      <c r="B188" s="2">
        <v>5080909</v>
      </c>
      <c r="C188" s="3">
        <v>4.4999999999999998E-2</v>
      </c>
      <c r="D188" s="1">
        <v>0.67</v>
      </c>
      <c r="E188" s="4">
        <v>0.21</v>
      </c>
      <c r="F188" s="4">
        <v>0.21</v>
      </c>
      <c r="G188" s="4">
        <v>0.58000000000000007</v>
      </c>
      <c r="H188" s="17">
        <f t="shared" si="4"/>
        <v>3.0880618451628636E-5</v>
      </c>
      <c r="L188">
        <f t="shared" si="5"/>
        <v>3.015E-2</v>
      </c>
    </row>
    <row r="189" spans="1:12" x14ac:dyDescent="0.25">
      <c r="A189" s="1">
        <v>188</v>
      </c>
      <c r="B189" s="2">
        <v>7968778</v>
      </c>
      <c r="C189" s="3">
        <v>4.4999999999999998E-2</v>
      </c>
      <c r="D189" s="1">
        <v>0.75</v>
      </c>
      <c r="E189" s="4">
        <v>0.2</v>
      </c>
      <c r="F189" s="4">
        <v>0.16</v>
      </c>
      <c r="G189" s="4">
        <v>0.6399999999999999</v>
      </c>
      <c r="H189" s="17">
        <f t="shared" si="4"/>
        <v>5.4215411886090686E-5</v>
      </c>
      <c r="L189">
        <f t="shared" si="5"/>
        <v>3.3750000000000002E-2</v>
      </c>
    </row>
    <row r="190" spans="1:12" x14ac:dyDescent="0.25">
      <c r="A190" s="1">
        <v>189</v>
      </c>
      <c r="B190" s="2">
        <v>9985687</v>
      </c>
      <c r="C190" s="3">
        <v>3.5000000000000003E-2</v>
      </c>
      <c r="D190" s="1">
        <v>0.75</v>
      </c>
      <c r="E190" s="4">
        <v>0.23</v>
      </c>
      <c r="F190" s="4">
        <v>0.35</v>
      </c>
      <c r="G190" s="4">
        <v>0.42000000000000004</v>
      </c>
      <c r="H190" s="17">
        <f t="shared" si="4"/>
        <v>5.2840207337158275E-5</v>
      </c>
      <c r="L190">
        <f t="shared" si="5"/>
        <v>2.6250000000000002E-2</v>
      </c>
    </row>
    <row r="191" spans="1:12" x14ac:dyDescent="0.25">
      <c r="A191" s="1">
        <v>190</v>
      </c>
      <c r="B191" s="2">
        <v>8432522</v>
      </c>
      <c r="C191" s="3">
        <v>4.4999999999999998E-2</v>
      </c>
      <c r="D191" s="1">
        <v>0.75</v>
      </c>
      <c r="E191" s="4">
        <v>0.15</v>
      </c>
      <c r="F191" s="4">
        <v>0.33</v>
      </c>
      <c r="G191" s="4">
        <v>0.51999999999999991</v>
      </c>
      <c r="H191" s="17">
        <f t="shared" si="4"/>
        <v>5.7370484341328269E-5</v>
      </c>
      <c r="L191">
        <f t="shared" si="5"/>
        <v>3.3750000000000002E-2</v>
      </c>
    </row>
    <row r="192" spans="1:12" x14ac:dyDescent="0.25">
      <c r="A192" s="1">
        <v>191</v>
      </c>
      <c r="B192" s="2">
        <v>8795573</v>
      </c>
      <c r="C192" s="3">
        <v>3.6999999999999998E-2</v>
      </c>
      <c r="D192" s="1">
        <v>0.75</v>
      </c>
      <c r="E192" s="4">
        <v>0.24</v>
      </c>
      <c r="F192" s="4">
        <v>0.22</v>
      </c>
      <c r="G192" s="4">
        <v>0.54</v>
      </c>
      <c r="H192" s="17">
        <f t="shared" si="4"/>
        <v>4.9202184045616245E-5</v>
      </c>
      <c r="L192">
        <f t="shared" si="5"/>
        <v>2.7749999999999997E-2</v>
      </c>
    </row>
    <row r="193" spans="1:12" x14ac:dyDescent="0.25">
      <c r="A193" s="1">
        <v>192</v>
      </c>
      <c r="B193" s="2">
        <v>8794824</v>
      </c>
      <c r="C193" s="3">
        <v>4.2000000000000003E-2</v>
      </c>
      <c r="D193" s="1">
        <v>0.75</v>
      </c>
      <c r="E193" s="4">
        <v>0.17</v>
      </c>
      <c r="F193" s="4">
        <v>0.17</v>
      </c>
      <c r="G193" s="4">
        <v>0.65999999999999992</v>
      </c>
      <c r="H193" s="17">
        <f t="shared" si="4"/>
        <v>5.5846371750344145E-5</v>
      </c>
      <c r="L193">
        <f t="shared" si="5"/>
        <v>3.15E-2</v>
      </c>
    </row>
    <row r="194" spans="1:12" x14ac:dyDescent="0.25">
      <c r="A194" s="1">
        <v>193</v>
      </c>
      <c r="B194" s="2">
        <v>9777583</v>
      </c>
      <c r="C194" s="3">
        <v>2.7E-2</v>
      </c>
      <c r="D194" s="1">
        <v>0.75</v>
      </c>
      <c r="E194" s="4">
        <v>0.18</v>
      </c>
      <c r="F194" s="4">
        <v>0.17</v>
      </c>
      <c r="G194" s="4">
        <v>0.64999999999999991</v>
      </c>
      <c r="H194" s="17">
        <f t="shared" si="4"/>
        <v>3.9912946973458531E-5</v>
      </c>
      <c r="L194">
        <f t="shared" si="5"/>
        <v>2.0250000000000001E-2</v>
      </c>
    </row>
    <row r="195" spans="1:12" x14ac:dyDescent="0.25">
      <c r="A195" s="1">
        <v>194</v>
      </c>
      <c r="B195" s="2">
        <v>9688664</v>
      </c>
      <c r="C195" s="3">
        <v>3.2000000000000001E-2</v>
      </c>
      <c r="D195" s="1">
        <v>0.75</v>
      </c>
      <c r="E195" s="4">
        <v>0.15</v>
      </c>
      <c r="F195" s="4">
        <v>0.27</v>
      </c>
      <c r="G195" s="4">
        <v>0.57999999999999996</v>
      </c>
      <c r="H195" s="17">
        <f t="shared" ref="H195:H258" si="6">B195*C195*D195/SUM($B$2:$B$1797)</f>
        <v>4.6874040718943766E-5</v>
      </c>
      <c r="L195">
        <f t="shared" ref="L195:L258" si="7">C195*D195</f>
        <v>2.4E-2</v>
      </c>
    </row>
    <row r="196" spans="1:12" x14ac:dyDescent="0.25">
      <c r="A196" s="1">
        <v>195</v>
      </c>
      <c r="B196" s="2">
        <v>6239748</v>
      </c>
      <c r="C196" s="3">
        <v>0.03</v>
      </c>
      <c r="D196" s="1">
        <v>0.67</v>
      </c>
      <c r="E196" s="4">
        <v>0.21</v>
      </c>
      <c r="F196" s="4">
        <v>0.34</v>
      </c>
      <c r="G196" s="4">
        <v>0.44999999999999996</v>
      </c>
      <c r="H196" s="17">
        <f t="shared" si="6"/>
        <v>2.5282520276366934E-5</v>
      </c>
      <c r="L196">
        <f t="shared" si="7"/>
        <v>2.01E-2</v>
      </c>
    </row>
    <row r="197" spans="1:12" x14ac:dyDescent="0.25">
      <c r="A197" s="1">
        <v>196</v>
      </c>
      <c r="B197" s="2">
        <v>7896819</v>
      </c>
      <c r="C197" s="3">
        <v>0.04</v>
      </c>
      <c r="D197" s="1">
        <v>0.75</v>
      </c>
      <c r="E197" s="4">
        <v>0.21</v>
      </c>
      <c r="F197" s="4">
        <v>0.35</v>
      </c>
      <c r="G197" s="4">
        <v>0.44000000000000006</v>
      </c>
      <c r="H197" s="17">
        <f t="shared" si="6"/>
        <v>4.775630254028429E-5</v>
      </c>
      <c r="L197">
        <f t="shared" si="7"/>
        <v>0.03</v>
      </c>
    </row>
    <row r="198" spans="1:12" x14ac:dyDescent="0.25">
      <c r="A198" s="1">
        <v>197</v>
      </c>
      <c r="B198" s="2">
        <v>6934678</v>
      </c>
      <c r="C198" s="3">
        <v>2.5999999999999999E-2</v>
      </c>
      <c r="D198" s="1">
        <v>0.67</v>
      </c>
      <c r="E198" s="4">
        <v>0.22</v>
      </c>
      <c r="F198" s="4">
        <v>0.21</v>
      </c>
      <c r="G198" s="4">
        <v>0.57000000000000006</v>
      </c>
      <c r="H198" s="17">
        <f t="shared" si="6"/>
        <v>2.4351835820784049E-5</v>
      </c>
      <c r="L198">
        <f t="shared" si="7"/>
        <v>1.7420000000000001E-2</v>
      </c>
    </row>
    <row r="199" spans="1:12" x14ac:dyDescent="0.25">
      <c r="A199" s="1">
        <v>198</v>
      </c>
      <c r="B199" s="2">
        <v>8476583</v>
      </c>
      <c r="C199" s="3">
        <v>3.5000000000000003E-2</v>
      </c>
      <c r="D199" s="1">
        <v>0.75</v>
      </c>
      <c r="E199" s="4">
        <v>0.24</v>
      </c>
      <c r="F199" s="4">
        <v>0.28000000000000003</v>
      </c>
      <c r="G199" s="4">
        <v>0.48</v>
      </c>
      <c r="H199" s="17">
        <f t="shared" si="6"/>
        <v>4.4854640770397782E-5</v>
      </c>
      <c r="L199">
        <f t="shared" si="7"/>
        <v>2.6250000000000002E-2</v>
      </c>
    </row>
    <row r="200" spans="1:12" x14ac:dyDescent="0.25">
      <c r="A200" s="1">
        <v>199</v>
      </c>
      <c r="B200" s="2">
        <v>9281119</v>
      </c>
      <c r="C200" s="3">
        <v>3.5999999999999997E-2</v>
      </c>
      <c r="D200" s="1">
        <v>0.75</v>
      </c>
      <c r="E200" s="4">
        <v>0.22</v>
      </c>
      <c r="F200" s="4">
        <v>0.2</v>
      </c>
      <c r="G200" s="4">
        <v>0.58000000000000007</v>
      </c>
      <c r="H200" s="17">
        <f t="shared" si="6"/>
        <v>5.0515116807000731E-5</v>
      </c>
      <c r="L200">
        <f t="shared" si="7"/>
        <v>2.6999999999999996E-2</v>
      </c>
    </row>
    <row r="201" spans="1:12" x14ac:dyDescent="0.25">
      <c r="A201" s="1">
        <v>200</v>
      </c>
      <c r="B201" s="2">
        <v>6246116</v>
      </c>
      <c r="C201" s="3">
        <v>2.5000000000000001E-2</v>
      </c>
      <c r="D201" s="1">
        <v>0.67</v>
      </c>
      <c r="E201" s="4">
        <v>0.17</v>
      </c>
      <c r="F201" s="4">
        <v>0.33</v>
      </c>
      <c r="G201" s="4">
        <v>0.49999999999999989</v>
      </c>
      <c r="H201" s="17">
        <f t="shared" si="6"/>
        <v>2.1090268712045734E-5</v>
      </c>
      <c r="L201">
        <f t="shared" si="7"/>
        <v>1.6750000000000001E-2</v>
      </c>
    </row>
    <row r="202" spans="1:12" x14ac:dyDescent="0.25">
      <c r="A202" s="1">
        <v>201</v>
      </c>
      <c r="B202" s="2">
        <v>9146417</v>
      </c>
      <c r="C202" s="3">
        <v>3.9E-2</v>
      </c>
      <c r="D202" s="1">
        <v>0.75</v>
      </c>
      <c r="E202" s="4">
        <v>0.23</v>
      </c>
      <c r="F202" s="4">
        <v>0.24</v>
      </c>
      <c r="G202" s="4">
        <v>0.53</v>
      </c>
      <c r="H202" s="17">
        <f t="shared" si="6"/>
        <v>5.3930459970819822E-5</v>
      </c>
      <c r="L202">
        <f t="shared" si="7"/>
        <v>2.9249999999999998E-2</v>
      </c>
    </row>
    <row r="203" spans="1:12" x14ac:dyDescent="0.25">
      <c r="A203" s="1">
        <v>202</v>
      </c>
      <c r="B203" s="2">
        <v>9490096</v>
      </c>
      <c r="C203" s="3">
        <v>3.2000000000000001E-2</v>
      </c>
      <c r="D203" s="1">
        <v>0.75</v>
      </c>
      <c r="E203" s="4">
        <v>0.17</v>
      </c>
      <c r="F203" s="4">
        <v>0.2</v>
      </c>
      <c r="G203" s="4">
        <v>0.63</v>
      </c>
      <c r="H203" s="17">
        <f t="shared" si="6"/>
        <v>4.591336290851714E-5</v>
      </c>
      <c r="L203">
        <f t="shared" si="7"/>
        <v>2.4E-2</v>
      </c>
    </row>
    <row r="204" spans="1:12" x14ac:dyDescent="0.25">
      <c r="A204" s="1">
        <v>203</v>
      </c>
      <c r="B204" s="2">
        <v>6844469</v>
      </c>
      <c r="C204" s="3">
        <v>2.5000000000000001E-2</v>
      </c>
      <c r="D204" s="1">
        <v>0.67</v>
      </c>
      <c r="E204" s="4">
        <v>0.15</v>
      </c>
      <c r="F204" s="4">
        <v>0.26</v>
      </c>
      <c r="G204" s="4">
        <v>0.59</v>
      </c>
      <c r="H204" s="17">
        <f t="shared" si="6"/>
        <v>2.3110632335561327E-5</v>
      </c>
      <c r="L204">
        <f t="shared" si="7"/>
        <v>1.6750000000000001E-2</v>
      </c>
    </row>
    <row r="205" spans="1:12" x14ac:dyDescent="0.25">
      <c r="A205" s="1">
        <v>204</v>
      </c>
      <c r="B205" s="2">
        <v>6140262</v>
      </c>
      <c r="C205" s="3">
        <v>3.2000000000000001E-2</v>
      </c>
      <c r="D205" s="1">
        <v>0.67</v>
      </c>
      <c r="E205" s="4">
        <v>0.16</v>
      </c>
      <c r="F205" s="4">
        <v>0.23</v>
      </c>
      <c r="G205" s="4">
        <v>0.61</v>
      </c>
      <c r="H205" s="17">
        <f t="shared" si="6"/>
        <v>2.6538045834279273E-5</v>
      </c>
      <c r="L205">
        <f t="shared" si="7"/>
        <v>2.1440000000000001E-2</v>
      </c>
    </row>
    <row r="206" spans="1:12" x14ac:dyDescent="0.25">
      <c r="A206" s="1">
        <v>205</v>
      </c>
      <c r="B206" s="2">
        <v>9755845</v>
      </c>
      <c r="C206" s="3">
        <v>4.1000000000000002E-2</v>
      </c>
      <c r="D206" s="1">
        <v>0.75</v>
      </c>
      <c r="E206" s="4">
        <v>0.22</v>
      </c>
      <c r="F206" s="4">
        <v>0.24</v>
      </c>
      <c r="G206" s="4">
        <v>0.54</v>
      </c>
      <c r="H206" s="17">
        <f t="shared" si="6"/>
        <v>6.0473801221735336E-5</v>
      </c>
      <c r="L206">
        <f t="shared" si="7"/>
        <v>3.075E-2</v>
      </c>
    </row>
    <row r="207" spans="1:12" x14ac:dyDescent="0.25">
      <c r="A207" s="1">
        <v>206</v>
      </c>
      <c r="B207" s="2">
        <v>7006109</v>
      </c>
      <c r="C207" s="3">
        <v>3.3000000000000002E-2</v>
      </c>
      <c r="D207" s="1">
        <v>0.75</v>
      </c>
      <c r="E207" s="4">
        <v>0.16</v>
      </c>
      <c r="F207" s="4">
        <v>0.32</v>
      </c>
      <c r="G207" s="4">
        <v>0.51999999999999991</v>
      </c>
      <c r="H207" s="17">
        <f t="shared" si="6"/>
        <v>3.4955003445466094E-5</v>
      </c>
      <c r="L207">
        <f t="shared" si="7"/>
        <v>2.4750000000000001E-2</v>
      </c>
    </row>
    <row r="208" spans="1:12" x14ac:dyDescent="0.25">
      <c r="A208" s="1">
        <v>207</v>
      </c>
      <c r="B208" s="2">
        <v>9990411</v>
      </c>
      <c r="C208" s="3">
        <v>3.4000000000000002E-2</v>
      </c>
      <c r="D208" s="1">
        <v>0.75</v>
      </c>
      <c r="E208" s="4">
        <v>0.25</v>
      </c>
      <c r="F208" s="4">
        <v>0.17</v>
      </c>
      <c r="G208" s="4">
        <v>0.57999999999999996</v>
      </c>
      <c r="H208" s="17">
        <f t="shared" si="6"/>
        <v>5.1354770406301142E-5</v>
      </c>
      <c r="L208">
        <f t="shared" si="7"/>
        <v>2.5500000000000002E-2</v>
      </c>
    </row>
    <row r="209" spans="1:12" x14ac:dyDescent="0.25">
      <c r="A209" s="1">
        <v>208</v>
      </c>
      <c r="B209" s="2">
        <v>6732069</v>
      </c>
      <c r="C209" s="3">
        <v>3.1E-2</v>
      </c>
      <c r="D209" s="1">
        <v>0.67</v>
      </c>
      <c r="E209" s="4">
        <v>0.23</v>
      </c>
      <c r="F209" s="4">
        <v>0.28999999999999998</v>
      </c>
      <c r="G209" s="4">
        <v>0.48</v>
      </c>
      <c r="H209" s="17">
        <f t="shared" si="6"/>
        <v>2.8186575274228167E-5</v>
      </c>
      <c r="L209">
        <f t="shared" si="7"/>
        <v>2.077E-2</v>
      </c>
    </row>
    <row r="210" spans="1:12" x14ac:dyDescent="0.25">
      <c r="A210" s="1">
        <v>209</v>
      </c>
      <c r="B210" s="2">
        <v>5659197</v>
      </c>
      <c r="C210" s="3">
        <v>4.2999999999999997E-2</v>
      </c>
      <c r="D210" s="1">
        <v>0.67</v>
      </c>
      <c r="E210" s="4">
        <v>0.24</v>
      </c>
      <c r="F210" s="4">
        <v>0.25</v>
      </c>
      <c r="G210" s="4">
        <v>0.51</v>
      </c>
      <c r="H210" s="17">
        <f t="shared" si="6"/>
        <v>3.2866641434448755E-5</v>
      </c>
      <c r="L210">
        <f t="shared" si="7"/>
        <v>2.8809999999999999E-2</v>
      </c>
    </row>
    <row r="211" spans="1:12" x14ac:dyDescent="0.25">
      <c r="A211" s="1">
        <v>210</v>
      </c>
      <c r="B211" s="2">
        <v>7948804</v>
      </c>
      <c r="C211" s="3">
        <v>3.3000000000000002E-2</v>
      </c>
      <c r="D211" s="1">
        <v>0.75</v>
      </c>
      <c r="E211" s="4">
        <v>0.19</v>
      </c>
      <c r="F211" s="4">
        <v>0.27</v>
      </c>
      <c r="G211" s="4">
        <v>0.54</v>
      </c>
      <c r="H211" s="17">
        <f t="shared" si="6"/>
        <v>3.9658314080944885E-5</v>
      </c>
      <c r="L211">
        <f t="shared" si="7"/>
        <v>2.4750000000000001E-2</v>
      </c>
    </row>
    <row r="212" spans="1:12" x14ac:dyDescent="0.25">
      <c r="A212" s="1">
        <v>211</v>
      </c>
      <c r="B212" s="2">
        <v>6893624</v>
      </c>
      <c r="C212" s="3">
        <v>2.7E-2</v>
      </c>
      <c r="D212" s="1">
        <v>0.67</v>
      </c>
      <c r="E212" s="4">
        <v>0.15</v>
      </c>
      <c r="F212" s="4">
        <v>0.3</v>
      </c>
      <c r="G212" s="4">
        <v>0.54999999999999993</v>
      </c>
      <c r="H212" s="17">
        <f t="shared" si="6"/>
        <v>2.5138734721640165E-5</v>
      </c>
      <c r="L212">
        <f t="shared" si="7"/>
        <v>1.8090000000000002E-2</v>
      </c>
    </row>
    <row r="213" spans="1:12" x14ac:dyDescent="0.25">
      <c r="A213" s="1">
        <v>212</v>
      </c>
      <c r="B213" s="2">
        <v>6796457</v>
      </c>
      <c r="C213" s="3">
        <v>3.3000000000000002E-2</v>
      </c>
      <c r="D213" s="1">
        <v>0.67</v>
      </c>
      <c r="E213" s="4">
        <v>0.2</v>
      </c>
      <c r="F213" s="4">
        <v>0.27</v>
      </c>
      <c r="G213" s="4">
        <v>0.53</v>
      </c>
      <c r="H213" s="17">
        <f t="shared" si="6"/>
        <v>3.029204354101345E-5</v>
      </c>
      <c r="L213">
        <f t="shared" si="7"/>
        <v>2.2110000000000001E-2</v>
      </c>
    </row>
    <row r="214" spans="1:12" x14ac:dyDescent="0.25">
      <c r="A214" s="1">
        <v>213</v>
      </c>
      <c r="B214" s="2">
        <v>9106240</v>
      </c>
      <c r="C214" s="3">
        <v>4.2999999999999997E-2</v>
      </c>
      <c r="D214" s="1">
        <v>0.75</v>
      </c>
      <c r="E214" s="4">
        <v>0.17</v>
      </c>
      <c r="F214" s="4">
        <v>0.2</v>
      </c>
      <c r="G214" s="4">
        <v>0.63</v>
      </c>
      <c r="H214" s="17">
        <f t="shared" si="6"/>
        <v>5.9200594426410345E-5</v>
      </c>
      <c r="L214">
        <f t="shared" si="7"/>
        <v>3.2250000000000001E-2</v>
      </c>
    </row>
    <row r="215" spans="1:12" x14ac:dyDescent="0.25">
      <c r="A215" s="1">
        <v>214</v>
      </c>
      <c r="B215" s="2">
        <v>5851009</v>
      </c>
      <c r="C215" s="3">
        <v>3.2000000000000001E-2</v>
      </c>
      <c r="D215" s="1">
        <v>0.67</v>
      </c>
      <c r="E215" s="4">
        <v>0.18</v>
      </c>
      <c r="F215" s="4">
        <v>0.3</v>
      </c>
      <c r="G215" s="4">
        <v>0.52</v>
      </c>
      <c r="H215" s="17">
        <f t="shared" si="6"/>
        <v>2.5287902213094575E-5</v>
      </c>
      <c r="L215">
        <f t="shared" si="7"/>
        <v>2.1440000000000001E-2</v>
      </c>
    </row>
    <row r="216" spans="1:12" x14ac:dyDescent="0.25">
      <c r="A216" s="1">
        <v>215</v>
      </c>
      <c r="B216" s="2">
        <v>5767051</v>
      </c>
      <c r="C216" s="3">
        <v>2.7E-2</v>
      </c>
      <c r="D216" s="1">
        <v>0.67</v>
      </c>
      <c r="E216" s="4">
        <v>0.23</v>
      </c>
      <c r="F216" s="4">
        <v>0.33</v>
      </c>
      <c r="G216" s="4">
        <v>0.43999999999999995</v>
      </c>
      <c r="H216" s="17">
        <f t="shared" si="6"/>
        <v>2.1030500824409576E-5</v>
      </c>
      <c r="L216">
        <f t="shared" si="7"/>
        <v>1.8090000000000002E-2</v>
      </c>
    </row>
    <row r="217" spans="1:12" x14ac:dyDescent="0.25">
      <c r="A217" s="1">
        <v>216</v>
      </c>
      <c r="B217" s="2">
        <v>5793138</v>
      </c>
      <c r="C217" s="3">
        <v>4.2999999999999997E-2</v>
      </c>
      <c r="D217" s="1">
        <v>0.67</v>
      </c>
      <c r="E217" s="4">
        <v>0.15</v>
      </c>
      <c r="F217" s="4">
        <v>0.22</v>
      </c>
      <c r="G217" s="4">
        <v>0.63</v>
      </c>
      <c r="H217" s="17">
        <f t="shared" si="6"/>
        <v>3.36445240245709E-5</v>
      </c>
      <c r="L217">
        <f t="shared" si="7"/>
        <v>2.8809999999999999E-2</v>
      </c>
    </row>
    <row r="218" spans="1:12" x14ac:dyDescent="0.25">
      <c r="A218" s="1">
        <v>217</v>
      </c>
      <c r="B218" s="2">
        <v>5669932</v>
      </c>
      <c r="C218" s="3">
        <v>3.2000000000000001E-2</v>
      </c>
      <c r="D218" s="1">
        <v>0.67</v>
      </c>
      <c r="E218" s="4">
        <v>0.15</v>
      </c>
      <c r="F218" s="4">
        <v>0.3</v>
      </c>
      <c r="G218" s="4">
        <v>0.54999999999999993</v>
      </c>
      <c r="H218" s="17">
        <f t="shared" si="6"/>
        <v>2.4505292330074308E-5</v>
      </c>
      <c r="L218">
        <f t="shared" si="7"/>
        <v>2.1440000000000001E-2</v>
      </c>
    </row>
    <row r="219" spans="1:12" x14ac:dyDescent="0.25">
      <c r="A219" s="1">
        <v>218</v>
      </c>
      <c r="B219" s="2">
        <v>7750379</v>
      </c>
      <c r="C219" s="3">
        <v>4.3999999999999997E-2</v>
      </c>
      <c r="D219" s="1">
        <v>0.75</v>
      </c>
      <c r="E219" s="4">
        <v>0.2</v>
      </c>
      <c r="F219" s="4">
        <v>0.22</v>
      </c>
      <c r="G219" s="4">
        <v>0.58000000000000007</v>
      </c>
      <c r="H219" s="17">
        <f t="shared" si="6"/>
        <v>5.1557771396109317E-5</v>
      </c>
      <c r="L219">
        <f t="shared" si="7"/>
        <v>3.3000000000000002E-2</v>
      </c>
    </row>
    <row r="220" spans="1:12" x14ac:dyDescent="0.25">
      <c r="A220" s="1">
        <v>219</v>
      </c>
      <c r="B220" s="2">
        <v>6658357</v>
      </c>
      <c r="C220" s="3">
        <v>4.3999999999999997E-2</v>
      </c>
      <c r="D220" s="1">
        <v>0.67</v>
      </c>
      <c r="E220" s="4">
        <v>0.24</v>
      </c>
      <c r="F220" s="4">
        <v>0.28000000000000003</v>
      </c>
      <c r="G220" s="4">
        <v>0.48</v>
      </c>
      <c r="H220" s="17">
        <f t="shared" si="6"/>
        <v>3.9568702762946772E-5</v>
      </c>
      <c r="L220">
        <f t="shared" si="7"/>
        <v>2.9479999999999999E-2</v>
      </c>
    </row>
    <row r="221" spans="1:12" x14ac:dyDescent="0.25">
      <c r="A221" s="1">
        <v>220</v>
      </c>
      <c r="B221" s="2">
        <v>9185840</v>
      </c>
      <c r="C221" s="3">
        <v>2.7E-2</v>
      </c>
      <c r="D221" s="1">
        <v>0.75</v>
      </c>
      <c r="E221" s="4">
        <v>0.25</v>
      </c>
      <c r="F221" s="4">
        <v>0.21</v>
      </c>
      <c r="G221" s="4">
        <v>0.54</v>
      </c>
      <c r="H221" s="17">
        <f t="shared" si="6"/>
        <v>3.7497400413443115E-5</v>
      </c>
      <c r="L221">
        <f t="shared" si="7"/>
        <v>2.0250000000000001E-2</v>
      </c>
    </row>
    <row r="222" spans="1:12" x14ac:dyDescent="0.25">
      <c r="A222" s="1">
        <v>221</v>
      </c>
      <c r="B222" s="2">
        <v>7267662</v>
      </c>
      <c r="C222" s="3">
        <v>2.8000000000000001E-2</v>
      </c>
      <c r="D222" s="1">
        <v>0.75</v>
      </c>
      <c r="E222" s="4">
        <v>0.17</v>
      </c>
      <c r="F222" s="4">
        <v>0.18</v>
      </c>
      <c r="G222" s="4">
        <v>0.65</v>
      </c>
      <c r="H222" s="17">
        <f t="shared" si="6"/>
        <v>3.0766016754691903E-5</v>
      </c>
      <c r="L222">
        <f t="shared" si="7"/>
        <v>2.1000000000000001E-2</v>
      </c>
    </row>
    <row r="223" spans="1:12" x14ac:dyDescent="0.25">
      <c r="A223" s="1">
        <v>222</v>
      </c>
      <c r="B223" s="2">
        <v>6445487</v>
      </c>
      <c r="C223" s="3">
        <v>3.6999999999999998E-2</v>
      </c>
      <c r="D223" s="1">
        <v>0.67</v>
      </c>
      <c r="E223" s="4">
        <v>0.21</v>
      </c>
      <c r="F223" s="4">
        <v>0.24</v>
      </c>
      <c r="G223" s="4">
        <v>0.55000000000000004</v>
      </c>
      <c r="H223" s="17">
        <f t="shared" si="6"/>
        <v>3.2209910632270731E-5</v>
      </c>
      <c r="L223">
        <f t="shared" si="7"/>
        <v>2.479E-2</v>
      </c>
    </row>
    <row r="224" spans="1:12" x14ac:dyDescent="0.25">
      <c r="A224" s="1">
        <v>223</v>
      </c>
      <c r="B224" s="2">
        <v>9099500</v>
      </c>
      <c r="C224" s="3">
        <v>4.1000000000000002E-2</v>
      </c>
      <c r="D224" s="1">
        <v>0.75</v>
      </c>
      <c r="E224" s="4">
        <v>0.19</v>
      </c>
      <c r="F224" s="4">
        <v>0.21</v>
      </c>
      <c r="G224" s="4">
        <v>0.60000000000000009</v>
      </c>
      <c r="H224" s="17">
        <f t="shared" si="6"/>
        <v>5.6405298999438869E-5</v>
      </c>
      <c r="L224">
        <f t="shared" si="7"/>
        <v>3.075E-2</v>
      </c>
    </row>
    <row r="225" spans="1:12" x14ac:dyDescent="0.25">
      <c r="A225" s="1">
        <v>224</v>
      </c>
      <c r="B225" s="2">
        <v>6145235</v>
      </c>
      <c r="C225" s="3">
        <v>2.7E-2</v>
      </c>
      <c r="D225" s="1">
        <v>0.67</v>
      </c>
      <c r="E225" s="4">
        <v>0.21</v>
      </c>
      <c r="F225" s="4">
        <v>0.23</v>
      </c>
      <c r="G225" s="4">
        <v>0.56000000000000005</v>
      </c>
      <c r="H225" s="17">
        <f t="shared" si="6"/>
        <v>2.240961103581199E-5</v>
      </c>
      <c r="L225">
        <f t="shared" si="7"/>
        <v>1.8090000000000002E-2</v>
      </c>
    </row>
    <row r="226" spans="1:12" x14ac:dyDescent="0.25">
      <c r="A226" s="1">
        <v>225</v>
      </c>
      <c r="B226" s="2">
        <v>9858118</v>
      </c>
      <c r="C226" s="3">
        <v>3.2000000000000001E-2</v>
      </c>
      <c r="D226" s="1">
        <v>0.75</v>
      </c>
      <c r="E226" s="4">
        <v>0.21</v>
      </c>
      <c r="F226" s="4">
        <v>0.28999999999999998</v>
      </c>
      <c r="G226" s="4">
        <v>0.5</v>
      </c>
      <c r="H226" s="17">
        <f t="shared" si="6"/>
        <v>4.7693864143100893E-5</v>
      </c>
      <c r="L226">
        <f t="shared" si="7"/>
        <v>2.4E-2</v>
      </c>
    </row>
    <row r="227" spans="1:12" x14ac:dyDescent="0.25">
      <c r="A227" s="1">
        <v>226</v>
      </c>
      <c r="B227" s="2">
        <v>9998246</v>
      </c>
      <c r="C227" s="3">
        <v>3.5999999999999997E-2</v>
      </c>
      <c r="D227" s="1">
        <v>0.75</v>
      </c>
      <c r="E227" s="4">
        <v>0.15</v>
      </c>
      <c r="F227" s="4">
        <v>0.34</v>
      </c>
      <c r="G227" s="4">
        <v>0.5099999999999999</v>
      </c>
      <c r="H227" s="17">
        <f t="shared" si="6"/>
        <v>5.4418283458613969E-5</v>
      </c>
      <c r="L227">
        <f t="shared" si="7"/>
        <v>2.6999999999999996E-2</v>
      </c>
    </row>
    <row r="228" spans="1:12" x14ac:dyDescent="0.25">
      <c r="A228" s="1">
        <v>227</v>
      </c>
      <c r="B228" s="2">
        <v>9285382</v>
      </c>
      <c r="C228" s="3">
        <v>2.5000000000000001E-2</v>
      </c>
      <c r="D228" s="1">
        <v>0.75</v>
      </c>
      <c r="E228" s="4">
        <v>0.19</v>
      </c>
      <c r="F228" s="4">
        <v>0.26</v>
      </c>
      <c r="G228" s="4">
        <v>0.55000000000000004</v>
      </c>
      <c r="H228" s="17">
        <f t="shared" si="6"/>
        <v>3.5096055132619699E-5</v>
      </c>
      <c r="L228">
        <f t="shared" si="7"/>
        <v>1.8750000000000003E-2</v>
      </c>
    </row>
    <row r="229" spans="1:12" x14ac:dyDescent="0.25">
      <c r="A229" s="1">
        <v>228</v>
      </c>
      <c r="B229" s="2">
        <v>6823152</v>
      </c>
      <c r="C229" s="3">
        <v>0.04</v>
      </c>
      <c r="D229" s="1">
        <v>0.67</v>
      </c>
      <c r="E229" s="4">
        <v>0.23</v>
      </c>
      <c r="F229" s="4">
        <v>0.26</v>
      </c>
      <c r="G229" s="4">
        <v>0.51</v>
      </c>
      <c r="H229" s="17">
        <f t="shared" si="6"/>
        <v>3.6861847367069658E-5</v>
      </c>
      <c r="L229">
        <f t="shared" si="7"/>
        <v>2.6800000000000001E-2</v>
      </c>
    </row>
    <row r="230" spans="1:12" x14ac:dyDescent="0.25">
      <c r="A230" s="1">
        <v>229</v>
      </c>
      <c r="B230" s="2">
        <v>6171364</v>
      </c>
      <c r="C230" s="3">
        <v>3.2000000000000001E-2</v>
      </c>
      <c r="D230" s="1">
        <v>0.67</v>
      </c>
      <c r="E230" s="4">
        <v>0.23</v>
      </c>
      <c r="F230" s="4">
        <v>0.28000000000000003</v>
      </c>
      <c r="G230" s="4">
        <v>0.49</v>
      </c>
      <c r="H230" s="17">
        <f t="shared" si="6"/>
        <v>2.6672467834763579E-5</v>
      </c>
      <c r="L230">
        <f t="shared" si="7"/>
        <v>2.1440000000000001E-2</v>
      </c>
    </row>
    <row r="231" spans="1:12" x14ac:dyDescent="0.25">
      <c r="A231" s="1">
        <v>230</v>
      </c>
      <c r="B231" s="2">
        <v>8496421</v>
      </c>
      <c r="C231" s="3">
        <v>4.2000000000000003E-2</v>
      </c>
      <c r="D231" s="1">
        <v>0.75</v>
      </c>
      <c r="E231" s="4">
        <v>0.15</v>
      </c>
      <c r="F231" s="4">
        <v>0.31</v>
      </c>
      <c r="G231" s="4">
        <v>0.53999999999999992</v>
      </c>
      <c r="H231" s="17">
        <f t="shared" si="6"/>
        <v>5.3951538508721812E-5</v>
      </c>
      <c r="L231">
        <f t="shared" si="7"/>
        <v>3.15E-2</v>
      </c>
    </row>
    <row r="232" spans="1:12" x14ac:dyDescent="0.25">
      <c r="A232" s="1">
        <v>231</v>
      </c>
      <c r="B232" s="2">
        <v>5341800</v>
      </c>
      <c r="C232" s="3">
        <v>4.2000000000000003E-2</v>
      </c>
      <c r="D232" s="1">
        <v>0.67</v>
      </c>
      <c r="E232" s="4">
        <v>0.16</v>
      </c>
      <c r="F232" s="4">
        <v>0.33</v>
      </c>
      <c r="G232" s="4">
        <v>0.5099999999999999</v>
      </c>
      <c r="H232" s="17">
        <f t="shared" si="6"/>
        <v>3.0301838076988951E-5</v>
      </c>
      <c r="L232">
        <f t="shared" si="7"/>
        <v>2.8140000000000002E-2</v>
      </c>
    </row>
    <row r="233" spans="1:12" x14ac:dyDescent="0.25">
      <c r="A233" s="1">
        <v>232</v>
      </c>
      <c r="B233" s="2">
        <v>6064601</v>
      </c>
      <c r="C233" s="3">
        <v>3.6999999999999998E-2</v>
      </c>
      <c r="D233" s="1">
        <v>0.67</v>
      </c>
      <c r="E233" s="4">
        <v>0.2</v>
      </c>
      <c r="F233" s="4">
        <v>0.16</v>
      </c>
      <c r="G233" s="4">
        <v>0.6399999999999999</v>
      </c>
      <c r="H233" s="17">
        <f t="shared" si="6"/>
        <v>3.0306516207445568E-5</v>
      </c>
      <c r="L233">
        <f t="shared" si="7"/>
        <v>2.479E-2</v>
      </c>
    </row>
    <row r="234" spans="1:12" x14ac:dyDescent="0.25">
      <c r="A234" s="1">
        <v>233</v>
      </c>
      <c r="B234" s="2">
        <v>5362155</v>
      </c>
      <c r="C234" s="3">
        <v>4.2000000000000003E-2</v>
      </c>
      <c r="D234" s="1">
        <v>0.67</v>
      </c>
      <c r="E234" s="4">
        <v>0.19</v>
      </c>
      <c r="F234" s="4">
        <v>0.34</v>
      </c>
      <c r="G234" s="4">
        <v>0.46999999999999992</v>
      </c>
      <c r="H234" s="17">
        <f t="shared" si="6"/>
        <v>3.0417303634302424E-5</v>
      </c>
      <c r="L234">
        <f t="shared" si="7"/>
        <v>2.8140000000000002E-2</v>
      </c>
    </row>
    <row r="235" spans="1:12" x14ac:dyDescent="0.25">
      <c r="A235" s="1">
        <v>234</v>
      </c>
      <c r="B235" s="2">
        <v>6215568</v>
      </c>
      <c r="C235" s="3">
        <v>3.5999999999999997E-2</v>
      </c>
      <c r="D235" s="1">
        <v>0.67</v>
      </c>
      <c r="E235" s="4">
        <v>0.24</v>
      </c>
      <c r="F235" s="4">
        <v>0.28000000000000003</v>
      </c>
      <c r="G235" s="4">
        <v>0.48</v>
      </c>
      <c r="H235" s="17">
        <f t="shared" si="6"/>
        <v>3.0221455864397884E-5</v>
      </c>
      <c r="L235">
        <f t="shared" si="7"/>
        <v>2.4119999999999999E-2</v>
      </c>
    </row>
    <row r="236" spans="1:12" x14ac:dyDescent="0.25">
      <c r="A236" s="1">
        <v>235</v>
      </c>
      <c r="B236" s="2">
        <v>9787150</v>
      </c>
      <c r="C236" s="3">
        <v>3.5000000000000003E-2</v>
      </c>
      <c r="D236" s="1">
        <v>0.75</v>
      </c>
      <c r="E236" s="4">
        <v>0.25</v>
      </c>
      <c r="F236" s="4">
        <v>0.17</v>
      </c>
      <c r="G236" s="4">
        <v>0.57999999999999996</v>
      </c>
      <c r="H236" s="17">
        <f t="shared" si="6"/>
        <v>5.1789630021436552E-5</v>
      </c>
      <c r="L236">
        <f t="shared" si="7"/>
        <v>2.6250000000000002E-2</v>
      </c>
    </row>
    <row r="237" spans="1:12" x14ac:dyDescent="0.25">
      <c r="A237" s="1">
        <v>236</v>
      </c>
      <c r="B237" s="2">
        <v>9858028</v>
      </c>
      <c r="C237" s="3">
        <v>3.5000000000000003E-2</v>
      </c>
      <c r="D237" s="1">
        <v>0.75</v>
      </c>
      <c r="E237" s="4">
        <v>0.17</v>
      </c>
      <c r="F237" s="4">
        <v>0.22</v>
      </c>
      <c r="G237" s="4">
        <v>0.61</v>
      </c>
      <c r="H237" s="17">
        <f t="shared" si="6"/>
        <v>5.2164687663003232E-5</v>
      </c>
      <c r="L237">
        <f t="shared" si="7"/>
        <v>2.6250000000000002E-2</v>
      </c>
    </row>
    <row r="238" spans="1:12" x14ac:dyDescent="0.25">
      <c r="A238" s="1">
        <v>237</v>
      </c>
      <c r="B238" s="2">
        <v>9808113</v>
      </c>
      <c r="C238" s="3">
        <v>3.1E-2</v>
      </c>
      <c r="D238" s="1">
        <v>0.75</v>
      </c>
      <c r="E238" s="4">
        <v>0.25</v>
      </c>
      <c r="F238" s="4">
        <v>0.2</v>
      </c>
      <c r="G238" s="4">
        <v>0.55000000000000004</v>
      </c>
      <c r="H238" s="17">
        <f t="shared" si="6"/>
        <v>4.5969065408160421E-5</v>
      </c>
      <c r="L238">
        <f t="shared" si="7"/>
        <v>2.325E-2</v>
      </c>
    </row>
    <row r="239" spans="1:12" x14ac:dyDescent="0.25">
      <c r="A239" s="1">
        <v>238</v>
      </c>
      <c r="B239" s="2">
        <v>8216178</v>
      </c>
      <c r="C239" s="3">
        <v>3.6999999999999998E-2</v>
      </c>
      <c r="D239" s="1">
        <v>0.75</v>
      </c>
      <c r="E239" s="4">
        <v>0.21</v>
      </c>
      <c r="F239" s="4">
        <v>0.26</v>
      </c>
      <c r="G239" s="4">
        <v>0.53</v>
      </c>
      <c r="H239" s="17">
        <f t="shared" si="6"/>
        <v>4.5961064970700968E-5</v>
      </c>
      <c r="L239">
        <f t="shared" si="7"/>
        <v>2.7749999999999997E-2</v>
      </c>
    </row>
    <row r="240" spans="1:12" x14ac:dyDescent="0.25">
      <c r="A240" s="1">
        <v>239</v>
      </c>
      <c r="B240" s="2">
        <v>5776756</v>
      </c>
      <c r="C240" s="3">
        <v>3.3000000000000002E-2</v>
      </c>
      <c r="D240" s="1">
        <v>0.67</v>
      </c>
      <c r="E240" s="4">
        <v>0.25</v>
      </c>
      <c r="F240" s="4">
        <v>0.34</v>
      </c>
      <c r="G240" s="4">
        <v>0.40999999999999992</v>
      </c>
      <c r="H240" s="17">
        <f t="shared" si="6"/>
        <v>2.5747200972184582E-5</v>
      </c>
      <c r="L240">
        <f t="shared" si="7"/>
        <v>2.2110000000000001E-2</v>
      </c>
    </row>
    <row r="241" spans="1:12" x14ac:dyDescent="0.25">
      <c r="A241" s="1">
        <v>240</v>
      </c>
      <c r="B241" s="2">
        <v>9830109</v>
      </c>
      <c r="C241" s="3">
        <v>4.1000000000000002E-2</v>
      </c>
      <c r="D241" s="1">
        <v>0.75</v>
      </c>
      <c r="E241" s="4">
        <v>0.21</v>
      </c>
      <c r="F241" s="4">
        <v>0.28000000000000003</v>
      </c>
      <c r="G241" s="4">
        <v>0.51</v>
      </c>
      <c r="H241" s="17">
        <f t="shared" si="6"/>
        <v>6.0934143342169904E-5</v>
      </c>
      <c r="L241">
        <f t="shared" si="7"/>
        <v>3.075E-2</v>
      </c>
    </row>
    <row r="242" spans="1:12" x14ac:dyDescent="0.25">
      <c r="A242" s="1">
        <v>241</v>
      </c>
      <c r="B242" s="2">
        <v>9297957</v>
      </c>
      <c r="C242" s="3">
        <v>3.5999999999999997E-2</v>
      </c>
      <c r="D242" s="1">
        <v>0.75</v>
      </c>
      <c r="E242" s="4">
        <v>0.19</v>
      </c>
      <c r="F242" s="4">
        <v>0.3</v>
      </c>
      <c r="G242" s="4">
        <v>0.51</v>
      </c>
      <c r="H242" s="17">
        <f t="shared" si="6"/>
        <v>5.0606762387323129E-5</v>
      </c>
      <c r="L242">
        <f t="shared" si="7"/>
        <v>2.6999999999999996E-2</v>
      </c>
    </row>
    <row r="243" spans="1:12" x14ac:dyDescent="0.25">
      <c r="A243" s="1">
        <v>242</v>
      </c>
      <c r="B243" s="2">
        <v>8513468</v>
      </c>
      <c r="C243" s="3">
        <v>3.7999999999999999E-2</v>
      </c>
      <c r="D243" s="1">
        <v>0.75</v>
      </c>
      <c r="E243" s="4">
        <v>0.17</v>
      </c>
      <c r="F243" s="4">
        <v>0.34</v>
      </c>
      <c r="G243" s="4">
        <v>0.48999999999999988</v>
      </c>
      <c r="H243" s="17">
        <f t="shared" si="6"/>
        <v>4.8911234485845196E-5</v>
      </c>
      <c r="L243">
        <f t="shared" si="7"/>
        <v>2.8499999999999998E-2</v>
      </c>
    </row>
    <row r="244" spans="1:12" x14ac:dyDescent="0.25">
      <c r="A244" s="1">
        <v>243</v>
      </c>
      <c r="B244" s="2">
        <v>5680694</v>
      </c>
      <c r="C244" s="3">
        <v>2.7E-2</v>
      </c>
      <c r="D244" s="1">
        <v>0.67</v>
      </c>
      <c r="E244" s="4">
        <v>0.17</v>
      </c>
      <c r="F244" s="4">
        <v>0.32</v>
      </c>
      <c r="G244" s="4">
        <v>0.5099999999999999</v>
      </c>
      <c r="H244" s="17">
        <f t="shared" si="6"/>
        <v>2.0715585808105137E-5</v>
      </c>
      <c r="L244">
        <f t="shared" si="7"/>
        <v>1.8090000000000002E-2</v>
      </c>
    </row>
    <row r="245" spans="1:12" x14ac:dyDescent="0.25">
      <c r="A245" s="1">
        <v>244</v>
      </c>
      <c r="B245" s="2">
        <v>5556982</v>
      </c>
      <c r="C245" s="3">
        <v>3.3000000000000002E-2</v>
      </c>
      <c r="D245" s="1">
        <v>0.67</v>
      </c>
      <c r="E245" s="4">
        <v>0.25</v>
      </c>
      <c r="F245" s="4">
        <v>0.27</v>
      </c>
      <c r="G245" s="4">
        <v>0.48</v>
      </c>
      <c r="H245" s="17">
        <f t="shared" si="6"/>
        <v>2.4767660665053577E-5</v>
      </c>
      <c r="L245">
        <f t="shared" si="7"/>
        <v>2.2110000000000001E-2</v>
      </c>
    </row>
    <row r="246" spans="1:12" x14ac:dyDescent="0.25">
      <c r="A246" s="1">
        <v>245</v>
      </c>
      <c r="B246" s="2">
        <v>8979846</v>
      </c>
      <c r="C246" s="3">
        <v>4.2000000000000003E-2</v>
      </c>
      <c r="D246" s="1">
        <v>0.75</v>
      </c>
      <c r="E246" s="4">
        <v>0.19</v>
      </c>
      <c r="F246" s="4">
        <v>0.17</v>
      </c>
      <c r="G246" s="4">
        <v>0.6399999999999999</v>
      </c>
      <c r="H246" s="17">
        <f t="shared" si="6"/>
        <v>5.7021245448100025E-5</v>
      </c>
      <c r="L246">
        <f t="shared" si="7"/>
        <v>3.15E-2</v>
      </c>
    </row>
    <row r="247" spans="1:12" x14ac:dyDescent="0.25">
      <c r="A247" s="1">
        <v>246</v>
      </c>
      <c r="B247" s="2">
        <v>8896019</v>
      </c>
      <c r="C247" s="3">
        <v>3.6999999999999998E-2</v>
      </c>
      <c r="D247" s="1">
        <v>0.75</v>
      </c>
      <c r="E247" s="4">
        <v>0.23</v>
      </c>
      <c r="F247" s="4">
        <v>0.15</v>
      </c>
      <c r="G247" s="4">
        <v>0.62</v>
      </c>
      <c r="H247" s="17">
        <f t="shared" si="6"/>
        <v>4.976407609956724E-5</v>
      </c>
      <c r="L247">
        <f t="shared" si="7"/>
        <v>2.7749999999999997E-2</v>
      </c>
    </row>
    <row r="248" spans="1:12" x14ac:dyDescent="0.25">
      <c r="A248" s="1">
        <v>247</v>
      </c>
      <c r="B248" s="2">
        <v>6951673</v>
      </c>
      <c r="C248" s="3">
        <v>4.2000000000000003E-2</v>
      </c>
      <c r="D248" s="1">
        <v>0.67</v>
      </c>
      <c r="E248" s="4">
        <v>0.19</v>
      </c>
      <c r="F248" s="4">
        <v>0.32</v>
      </c>
      <c r="G248" s="4">
        <v>0.48999999999999994</v>
      </c>
      <c r="H248" s="17">
        <f t="shared" si="6"/>
        <v>3.9433986598183392E-5</v>
      </c>
      <c r="L248">
        <f t="shared" si="7"/>
        <v>2.8140000000000002E-2</v>
      </c>
    </row>
    <row r="249" spans="1:12" x14ac:dyDescent="0.25">
      <c r="A249" s="1">
        <v>248</v>
      </c>
      <c r="B249" s="2">
        <v>8427690</v>
      </c>
      <c r="C249" s="3">
        <v>4.3999999999999997E-2</v>
      </c>
      <c r="D249" s="1">
        <v>0.75</v>
      </c>
      <c r="E249" s="4">
        <v>0.15</v>
      </c>
      <c r="F249" s="4">
        <v>0.24</v>
      </c>
      <c r="G249" s="4">
        <v>0.61</v>
      </c>
      <c r="H249" s="17">
        <f t="shared" si="6"/>
        <v>5.6063440822349023E-5</v>
      </c>
      <c r="L249">
        <f t="shared" si="7"/>
        <v>3.3000000000000002E-2</v>
      </c>
    </row>
    <row r="250" spans="1:12" x14ac:dyDescent="0.25">
      <c r="A250" s="1">
        <v>249</v>
      </c>
      <c r="B250" s="2">
        <v>8904997</v>
      </c>
      <c r="C250" s="3">
        <v>0.04</v>
      </c>
      <c r="D250" s="1">
        <v>0.75</v>
      </c>
      <c r="E250" s="4">
        <v>0.23</v>
      </c>
      <c r="F250" s="4">
        <v>0.32</v>
      </c>
      <c r="G250" s="4">
        <v>0.44999999999999996</v>
      </c>
      <c r="H250" s="17">
        <f t="shared" si="6"/>
        <v>5.3853295973014456E-5</v>
      </c>
      <c r="L250">
        <f t="shared" si="7"/>
        <v>0.03</v>
      </c>
    </row>
    <row r="251" spans="1:12" x14ac:dyDescent="0.25">
      <c r="A251" s="1">
        <v>250</v>
      </c>
      <c r="B251" s="2">
        <v>5173436</v>
      </c>
      <c r="C251" s="3">
        <v>4.1000000000000002E-2</v>
      </c>
      <c r="D251" s="1">
        <v>0.67</v>
      </c>
      <c r="E251" s="4">
        <v>0.23</v>
      </c>
      <c r="F251" s="4">
        <v>0.21</v>
      </c>
      <c r="G251" s="4">
        <v>0.56000000000000005</v>
      </c>
      <c r="H251" s="17">
        <f t="shared" si="6"/>
        <v>2.864804541950494E-5</v>
      </c>
      <c r="L251">
        <f t="shared" si="7"/>
        <v>2.7470000000000001E-2</v>
      </c>
    </row>
    <row r="252" spans="1:12" x14ac:dyDescent="0.25">
      <c r="A252" s="1">
        <v>251</v>
      </c>
      <c r="B252" s="2">
        <v>5182417</v>
      </c>
      <c r="C252" s="3">
        <v>0.03</v>
      </c>
      <c r="D252" s="1">
        <v>0.67</v>
      </c>
      <c r="E252" s="4">
        <v>0.19</v>
      </c>
      <c r="F252" s="4">
        <v>0.27</v>
      </c>
      <c r="G252" s="4">
        <v>0.54</v>
      </c>
      <c r="H252" s="17">
        <f t="shared" si="6"/>
        <v>2.0998374114321395E-5</v>
      </c>
      <c r="L252">
        <f t="shared" si="7"/>
        <v>2.01E-2</v>
      </c>
    </row>
    <row r="253" spans="1:12" x14ac:dyDescent="0.25">
      <c r="A253" s="1">
        <v>252</v>
      </c>
      <c r="B253" s="2">
        <v>7125481</v>
      </c>
      <c r="C253" s="3">
        <v>3.9E-2</v>
      </c>
      <c r="D253" s="1">
        <v>0.75</v>
      </c>
      <c r="E253" s="4">
        <v>0.16</v>
      </c>
      <c r="F253" s="4">
        <v>0.17</v>
      </c>
      <c r="G253" s="4">
        <v>0.66999999999999993</v>
      </c>
      <c r="H253" s="17">
        <f t="shared" si="6"/>
        <v>4.2014317501961396E-5</v>
      </c>
      <c r="L253">
        <f t="shared" si="7"/>
        <v>2.9249999999999998E-2</v>
      </c>
    </row>
    <row r="254" spans="1:12" x14ac:dyDescent="0.25">
      <c r="A254" s="1">
        <v>253</v>
      </c>
      <c r="B254" s="2">
        <v>8352782</v>
      </c>
      <c r="C254" s="3">
        <v>3.5000000000000003E-2</v>
      </c>
      <c r="D254" s="1">
        <v>0.75</v>
      </c>
      <c r="E254" s="4">
        <v>0.24</v>
      </c>
      <c r="F254" s="4">
        <v>0.15</v>
      </c>
      <c r="G254" s="4">
        <v>0.61</v>
      </c>
      <c r="H254" s="17">
        <f t="shared" si="6"/>
        <v>4.4199536068182752E-5</v>
      </c>
      <c r="L254">
        <f t="shared" si="7"/>
        <v>2.6250000000000002E-2</v>
      </c>
    </row>
    <row r="255" spans="1:12" x14ac:dyDescent="0.25">
      <c r="A255" s="1">
        <v>254</v>
      </c>
      <c r="B255" s="2">
        <v>6731369</v>
      </c>
      <c r="C255" s="3">
        <v>3.7999999999999999E-2</v>
      </c>
      <c r="D255" s="1">
        <v>0.67</v>
      </c>
      <c r="E255" s="4">
        <v>0.18</v>
      </c>
      <c r="F255" s="4">
        <v>0.15</v>
      </c>
      <c r="G255" s="4">
        <v>0.66999999999999993</v>
      </c>
      <c r="H255" s="17">
        <f t="shared" si="6"/>
        <v>3.4547693180065912E-5</v>
      </c>
      <c r="L255">
        <f t="shared" si="7"/>
        <v>2.546E-2</v>
      </c>
    </row>
    <row r="256" spans="1:12" x14ac:dyDescent="0.25">
      <c r="A256" s="1">
        <v>255</v>
      </c>
      <c r="B256" s="2">
        <v>9384008</v>
      </c>
      <c r="C256" s="3">
        <v>4.3999999999999997E-2</v>
      </c>
      <c r="D256" s="1">
        <v>0.75</v>
      </c>
      <c r="E256" s="4">
        <v>0.22</v>
      </c>
      <c r="F256" s="4">
        <v>0.27</v>
      </c>
      <c r="G256" s="4">
        <v>0.51</v>
      </c>
      <c r="H256" s="17">
        <f t="shared" si="6"/>
        <v>6.2425145821031586E-5</v>
      </c>
      <c r="L256">
        <f t="shared" si="7"/>
        <v>3.3000000000000002E-2</v>
      </c>
    </row>
    <row r="257" spans="1:12" x14ac:dyDescent="0.25">
      <c r="A257" s="1">
        <v>256</v>
      </c>
      <c r="B257" s="2">
        <v>6358998</v>
      </c>
      <c r="C257" s="3">
        <v>3.4000000000000002E-2</v>
      </c>
      <c r="D257" s="1">
        <v>0.67</v>
      </c>
      <c r="E257" s="4">
        <v>0.21</v>
      </c>
      <c r="F257" s="4">
        <v>0.19</v>
      </c>
      <c r="G257" s="4">
        <v>0.60000000000000009</v>
      </c>
      <c r="H257" s="17">
        <f t="shared" si="6"/>
        <v>2.9201130449823782E-5</v>
      </c>
      <c r="L257">
        <f t="shared" si="7"/>
        <v>2.2780000000000002E-2</v>
      </c>
    </row>
    <row r="258" spans="1:12" x14ac:dyDescent="0.25">
      <c r="A258" s="1">
        <v>257</v>
      </c>
      <c r="B258" s="2">
        <v>5341312</v>
      </c>
      <c r="C258" s="3">
        <v>3.4000000000000002E-2</v>
      </c>
      <c r="D258" s="1">
        <v>0.67</v>
      </c>
      <c r="E258" s="4">
        <v>0.24</v>
      </c>
      <c r="F258" s="4">
        <v>0.31</v>
      </c>
      <c r="G258" s="4">
        <v>0.44999999999999996</v>
      </c>
      <c r="H258" s="17">
        <f t="shared" si="6"/>
        <v>2.4527818452719935E-5</v>
      </c>
      <c r="L258">
        <f t="shared" si="7"/>
        <v>2.2780000000000002E-2</v>
      </c>
    </row>
    <row r="259" spans="1:12" x14ac:dyDescent="0.25">
      <c r="A259" s="1">
        <v>258</v>
      </c>
      <c r="B259" s="2">
        <v>9936639</v>
      </c>
      <c r="C259" s="3">
        <v>2.8000000000000001E-2</v>
      </c>
      <c r="D259" s="1">
        <v>0.75</v>
      </c>
      <c r="E259" s="4">
        <v>0.25</v>
      </c>
      <c r="F259" s="4">
        <v>0.22</v>
      </c>
      <c r="G259" s="4">
        <v>0.53</v>
      </c>
      <c r="H259" s="17">
        <f t="shared" ref="H259:H322" si="8">B259*C259*D259/SUM($B$2:$B$1797)</f>
        <v>4.2064532164446416E-5</v>
      </c>
      <c r="L259">
        <f t="shared" ref="L259:L322" si="9">C259*D259</f>
        <v>2.1000000000000001E-2</v>
      </c>
    </row>
    <row r="260" spans="1:12" x14ac:dyDescent="0.25">
      <c r="A260" s="1">
        <v>259</v>
      </c>
      <c r="B260" s="2">
        <v>8918801</v>
      </c>
      <c r="C260" s="3">
        <v>3.7999999999999999E-2</v>
      </c>
      <c r="D260" s="1">
        <v>0.75</v>
      </c>
      <c r="E260" s="4">
        <v>0.16</v>
      </c>
      <c r="F260" s="4">
        <v>0.2</v>
      </c>
      <c r="G260" s="4">
        <v>0.64</v>
      </c>
      <c r="H260" s="17">
        <f t="shared" si="8"/>
        <v>5.1239937360848787E-5</v>
      </c>
      <c r="L260">
        <f t="shared" si="9"/>
        <v>2.8499999999999998E-2</v>
      </c>
    </row>
    <row r="261" spans="1:12" x14ac:dyDescent="0.25">
      <c r="A261" s="1">
        <v>260</v>
      </c>
      <c r="B261" s="2">
        <v>6502962</v>
      </c>
      <c r="C261" s="3">
        <v>3.5999999999999997E-2</v>
      </c>
      <c r="D261" s="1">
        <v>0.67</v>
      </c>
      <c r="E261" s="4">
        <v>0.23</v>
      </c>
      <c r="F261" s="4">
        <v>0.26</v>
      </c>
      <c r="G261" s="4">
        <v>0.51</v>
      </c>
      <c r="H261" s="17">
        <f t="shared" si="8"/>
        <v>3.161882857220074E-5</v>
      </c>
      <c r="L261">
        <f t="shared" si="9"/>
        <v>2.4119999999999999E-2</v>
      </c>
    </row>
    <row r="262" spans="1:12" x14ac:dyDescent="0.25">
      <c r="A262" s="1">
        <v>261</v>
      </c>
      <c r="B262" s="2">
        <v>5658010</v>
      </c>
      <c r="C262" s="3">
        <v>0.03</v>
      </c>
      <c r="D262" s="1">
        <v>0.67</v>
      </c>
      <c r="E262" s="4">
        <v>0.15</v>
      </c>
      <c r="F262" s="4">
        <v>0.16</v>
      </c>
      <c r="G262" s="4">
        <v>0.69</v>
      </c>
      <c r="H262" s="17">
        <f t="shared" si="8"/>
        <v>2.2925405408822101E-5</v>
      </c>
      <c r="L262">
        <f t="shared" si="9"/>
        <v>2.01E-2</v>
      </c>
    </row>
    <row r="263" spans="1:12" x14ac:dyDescent="0.25">
      <c r="A263" s="1">
        <v>262</v>
      </c>
      <c r="B263" s="2">
        <v>5956506</v>
      </c>
      <c r="C263" s="3">
        <v>4.1000000000000002E-2</v>
      </c>
      <c r="D263" s="1">
        <v>0.67</v>
      </c>
      <c r="E263" s="4">
        <v>0.21</v>
      </c>
      <c r="F263" s="4">
        <v>0.17</v>
      </c>
      <c r="G263" s="4">
        <v>0.62</v>
      </c>
      <c r="H263" s="17">
        <f t="shared" si="8"/>
        <v>3.298431727570491E-5</v>
      </c>
      <c r="L263">
        <f t="shared" si="9"/>
        <v>2.7470000000000001E-2</v>
      </c>
    </row>
    <row r="264" spans="1:12" x14ac:dyDescent="0.25">
      <c r="A264" s="1">
        <v>263</v>
      </c>
      <c r="B264" s="2">
        <v>6260873</v>
      </c>
      <c r="C264" s="3">
        <v>4.1000000000000002E-2</v>
      </c>
      <c r="D264" s="1">
        <v>0.67</v>
      </c>
      <c r="E264" s="4">
        <v>0.23</v>
      </c>
      <c r="F264" s="4">
        <v>0.28999999999999998</v>
      </c>
      <c r="G264" s="4">
        <v>0.48</v>
      </c>
      <c r="H264" s="17">
        <f t="shared" si="8"/>
        <v>3.4669757984780746E-5</v>
      </c>
      <c r="L264">
        <f t="shared" si="9"/>
        <v>2.7470000000000001E-2</v>
      </c>
    </row>
    <row r="265" spans="1:12" x14ac:dyDescent="0.25">
      <c r="A265" s="1">
        <v>264</v>
      </c>
      <c r="B265" s="2">
        <v>6996720</v>
      </c>
      <c r="C265" s="3">
        <v>2.5000000000000001E-2</v>
      </c>
      <c r="D265" s="1">
        <v>0.67</v>
      </c>
      <c r="E265" s="4">
        <v>0.18</v>
      </c>
      <c r="F265" s="4">
        <v>0.28000000000000003</v>
      </c>
      <c r="G265" s="4">
        <v>0.54</v>
      </c>
      <c r="H265" s="17">
        <f t="shared" si="8"/>
        <v>2.3624714126818114E-5</v>
      </c>
      <c r="L265">
        <f t="shared" si="9"/>
        <v>1.6750000000000001E-2</v>
      </c>
    </row>
    <row r="266" spans="1:12" x14ac:dyDescent="0.25">
      <c r="A266" s="1">
        <v>265</v>
      </c>
      <c r="B266" s="2">
        <v>8728538</v>
      </c>
      <c r="C266" s="3">
        <v>3.6999999999999998E-2</v>
      </c>
      <c r="D266" s="1">
        <v>0.75</v>
      </c>
      <c r="E266" s="4">
        <v>0.21</v>
      </c>
      <c r="F266" s="4">
        <v>0.24</v>
      </c>
      <c r="G266" s="4">
        <v>0.55000000000000004</v>
      </c>
      <c r="H266" s="17">
        <f t="shared" si="8"/>
        <v>4.8827192171010928E-5</v>
      </c>
      <c r="L266">
        <f t="shared" si="9"/>
        <v>2.7749999999999997E-2</v>
      </c>
    </row>
    <row r="267" spans="1:12" x14ac:dyDescent="0.25">
      <c r="A267" s="1">
        <v>266</v>
      </c>
      <c r="B267" s="2">
        <v>7577569</v>
      </c>
      <c r="C267" s="3">
        <v>4.3999999999999997E-2</v>
      </c>
      <c r="D267" s="1">
        <v>0.75</v>
      </c>
      <c r="E267" s="4">
        <v>0.2</v>
      </c>
      <c r="F267" s="4">
        <v>0.32</v>
      </c>
      <c r="G267" s="4">
        <v>0.47999999999999993</v>
      </c>
      <c r="H267" s="17">
        <f t="shared" si="8"/>
        <v>5.0408189101493574E-5</v>
      </c>
      <c r="L267">
        <f t="shared" si="9"/>
        <v>3.3000000000000002E-2</v>
      </c>
    </row>
    <row r="268" spans="1:12" x14ac:dyDescent="0.25">
      <c r="A268" s="1">
        <v>267</v>
      </c>
      <c r="B268" s="2">
        <v>5953419</v>
      </c>
      <c r="C268" s="3">
        <v>4.3999999999999997E-2</v>
      </c>
      <c r="D268" s="1">
        <v>0.67</v>
      </c>
      <c r="E268" s="4">
        <v>0.2</v>
      </c>
      <c r="F268" s="4">
        <v>0.28000000000000003</v>
      </c>
      <c r="G268" s="4">
        <v>0.52</v>
      </c>
      <c r="H268" s="17">
        <f t="shared" si="8"/>
        <v>3.5379458751502783E-5</v>
      </c>
      <c r="L268">
        <f t="shared" si="9"/>
        <v>2.9479999999999999E-2</v>
      </c>
    </row>
    <row r="269" spans="1:12" x14ac:dyDescent="0.25">
      <c r="A269" s="1">
        <v>268</v>
      </c>
      <c r="B269" s="2">
        <v>5259286</v>
      </c>
      <c r="C269" s="3">
        <v>2.7E-2</v>
      </c>
      <c r="D269" s="1">
        <v>0.67</v>
      </c>
      <c r="E269" s="4">
        <v>0.19</v>
      </c>
      <c r="F269" s="4">
        <v>0.26</v>
      </c>
      <c r="G269" s="4">
        <v>0.55000000000000004</v>
      </c>
      <c r="H269" s="17">
        <f t="shared" si="8"/>
        <v>1.9178852165310442E-5</v>
      </c>
      <c r="L269">
        <f t="shared" si="9"/>
        <v>1.8090000000000002E-2</v>
      </c>
    </row>
    <row r="270" spans="1:12" x14ac:dyDescent="0.25">
      <c r="A270" s="1">
        <v>269</v>
      </c>
      <c r="B270" s="2">
        <v>6413816</v>
      </c>
      <c r="C270" s="3">
        <v>3.7999999999999999E-2</v>
      </c>
      <c r="D270" s="1">
        <v>0.67</v>
      </c>
      <c r="E270" s="4">
        <v>0.19</v>
      </c>
      <c r="F270" s="4">
        <v>0.27</v>
      </c>
      <c r="G270" s="4">
        <v>0.54</v>
      </c>
      <c r="H270" s="17">
        <f t="shared" si="8"/>
        <v>3.2917902328842413E-5</v>
      </c>
      <c r="L270">
        <f t="shared" si="9"/>
        <v>2.546E-2</v>
      </c>
    </row>
    <row r="271" spans="1:12" x14ac:dyDescent="0.25">
      <c r="A271" s="1">
        <v>270</v>
      </c>
      <c r="B271" s="2">
        <v>5065503</v>
      </c>
      <c r="C271" s="3">
        <v>3.3000000000000002E-2</v>
      </c>
      <c r="D271" s="1">
        <v>0.67</v>
      </c>
      <c r="E271" s="4">
        <v>0.19</v>
      </c>
      <c r="F271" s="4">
        <v>0.25</v>
      </c>
      <c r="G271" s="4">
        <v>0.56000000000000005</v>
      </c>
      <c r="H271" s="17">
        <f t="shared" si="8"/>
        <v>2.2577121790535021E-5</v>
      </c>
      <c r="L271">
        <f t="shared" si="9"/>
        <v>2.2110000000000001E-2</v>
      </c>
    </row>
    <row r="272" spans="1:12" x14ac:dyDescent="0.25">
      <c r="A272" s="1">
        <v>271</v>
      </c>
      <c r="B272" s="2">
        <v>9966892</v>
      </c>
      <c r="C272" s="3">
        <v>0.03</v>
      </c>
      <c r="D272" s="1">
        <v>0.75</v>
      </c>
      <c r="E272" s="4">
        <v>0.24</v>
      </c>
      <c r="F272" s="4">
        <v>0.17</v>
      </c>
      <c r="G272" s="4">
        <v>0.59</v>
      </c>
      <c r="H272" s="17">
        <f t="shared" si="8"/>
        <v>4.5206358700098657E-5</v>
      </c>
      <c r="L272">
        <f t="shared" si="9"/>
        <v>2.2499999999999999E-2</v>
      </c>
    </row>
    <row r="273" spans="1:12" x14ac:dyDescent="0.25">
      <c r="A273" s="1">
        <v>272</v>
      </c>
      <c r="B273" s="2">
        <v>7409940</v>
      </c>
      <c r="C273" s="3">
        <v>0.03</v>
      </c>
      <c r="D273" s="1">
        <v>0.75</v>
      </c>
      <c r="E273" s="4">
        <v>0.2</v>
      </c>
      <c r="F273" s="4">
        <v>0.16</v>
      </c>
      <c r="G273" s="4">
        <v>0.6399999999999999</v>
      </c>
      <c r="H273" s="17">
        <f t="shared" si="8"/>
        <v>3.3608912947607846E-5</v>
      </c>
      <c r="L273">
        <f t="shared" si="9"/>
        <v>2.2499999999999999E-2</v>
      </c>
    </row>
    <row r="274" spans="1:12" x14ac:dyDescent="0.25">
      <c r="A274" s="1">
        <v>273</v>
      </c>
      <c r="B274" s="2">
        <v>7095140</v>
      </c>
      <c r="C274" s="3">
        <v>3.6999999999999998E-2</v>
      </c>
      <c r="D274" s="1">
        <v>0.75</v>
      </c>
      <c r="E274" s="4">
        <v>0.16</v>
      </c>
      <c r="F274" s="4">
        <v>0.24</v>
      </c>
      <c r="G274" s="4">
        <v>0.6</v>
      </c>
      <c r="H274" s="17">
        <f t="shared" si="8"/>
        <v>3.9690010430180463E-5</v>
      </c>
      <c r="L274">
        <f t="shared" si="9"/>
        <v>2.7749999999999997E-2</v>
      </c>
    </row>
    <row r="275" spans="1:12" x14ac:dyDescent="0.25">
      <c r="A275" s="1">
        <v>274</v>
      </c>
      <c r="B275" s="2">
        <v>9164149</v>
      </c>
      <c r="C275" s="3">
        <v>0.04</v>
      </c>
      <c r="D275" s="1">
        <v>0.75</v>
      </c>
      <c r="E275" s="4">
        <v>0.15</v>
      </c>
      <c r="F275" s="4">
        <v>0.17</v>
      </c>
      <c r="G275" s="4">
        <v>0.67999999999999994</v>
      </c>
      <c r="H275" s="17">
        <f t="shared" si="8"/>
        <v>5.5420527198134311E-5</v>
      </c>
      <c r="L275">
        <f t="shared" si="9"/>
        <v>0.03</v>
      </c>
    </row>
    <row r="276" spans="1:12" x14ac:dyDescent="0.25">
      <c r="A276" s="1">
        <v>275</v>
      </c>
      <c r="B276" s="2">
        <v>5585715</v>
      </c>
      <c r="C276" s="3">
        <v>3.7999999999999999E-2</v>
      </c>
      <c r="D276" s="1">
        <v>0.67</v>
      </c>
      <c r="E276" s="4">
        <v>0.16</v>
      </c>
      <c r="F276" s="4">
        <v>0.32</v>
      </c>
      <c r="G276" s="4">
        <v>0.51999999999999991</v>
      </c>
      <c r="H276" s="17">
        <f t="shared" si="8"/>
        <v>2.8667804128891443E-5</v>
      </c>
      <c r="L276">
        <f t="shared" si="9"/>
        <v>2.546E-2</v>
      </c>
    </row>
    <row r="277" spans="1:12" x14ac:dyDescent="0.25">
      <c r="A277" s="1">
        <v>276</v>
      </c>
      <c r="B277" s="2">
        <v>8338377</v>
      </c>
      <c r="C277" s="3">
        <v>3.4000000000000002E-2</v>
      </c>
      <c r="D277" s="1">
        <v>0.75</v>
      </c>
      <c r="E277" s="4">
        <v>0.23</v>
      </c>
      <c r="F277" s="4">
        <v>0.18</v>
      </c>
      <c r="G277" s="4">
        <v>0.59000000000000008</v>
      </c>
      <c r="H277" s="17">
        <f t="shared" si="8"/>
        <v>4.286264462955349E-5</v>
      </c>
      <c r="L277">
        <f t="shared" si="9"/>
        <v>2.5500000000000002E-2</v>
      </c>
    </row>
    <row r="278" spans="1:12" x14ac:dyDescent="0.25">
      <c r="A278" s="1">
        <v>277</v>
      </c>
      <c r="B278" s="2">
        <v>5985142</v>
      </c>
      <c r="C278" s="3">
        <v>3.9E-2</v>
      </c>
      <c r="D278" s="1">
        <v>0.67</v>
      </c>
      <c r="E278" s="4">
        <v>0.24</v>
      </c>
      <c r="F278" s="4">
        <v>0.16</v>
      </c>
      <c r="G278" s="4">
        <v>0.6</v>
      </c>
      <c r="H278" s="17">
        <f t="shared" si="8"/>
        <v>3.1526163582810711E-5</v>
      </c>
      <c r="L278">
        <f t="shared" si="9"/>
        <v>2.613E-2</v>
      </c>
    </row>
    <row r="279" spans="1:12" x14ac:dyDescent="0.25">
      <c r="A279" s="1">
        <v>278</v>
      </c>
      <c r="B279" s="2">
        <v>6474664</v>
      </c>
      <c r="C279" s="3">
        <v>3.5000000000000003E-2</v>
      </c>
      <c r="D279" s="1">
        <v>0.67</v>
      </c>
      <c r="E279" s="4">
        <v>0.2</v>
      </c>
      <c r="F279" s="4">
        <v>0.19</v>
      </c>
      <c r="G279" s="4">
        <v>0.6100000000000001</v>
      </c>
      <c r="H279" s="17">
        <f t="shared" si="8"/>
        <v>3.0606758666072237E-5</v>
      </c>
      <c r="L279">
        <f t="shared" si="9"/>
        <v>2.3450000000000002E-2</v>
      </c>
    </row>
    <row r="280" spans="1:12" x14ac:dyDescent="0.25">
      <c r="A280" s="1">
        <v>279</v>
      </c>
      <c r="B280" s="2">
        <v>9432962</v>
      </c>
      <c r="C280" s="3">
        <v>4.1000000000000002E-2</v>
      </c>
      <c r="D280" s="1">
        <v>0.75</v>
      </c>
      <c r="E280" s="4">
        <v>0.16</v>
      </c>
      <c r="F280" s="4">
        <v>0.21</v>
      </c>
      <c r="G280" s="4">
        <v>0.63</v>
      </c>
      <c r="H280" s="17">
        <f t="shared" si="8"/>
        <v>5.8472338266975647E-5</v>
      </c>
      <c r="L280">
        <f t="shared" si="9"/>
        <v>3.075E-2</v>
      </c>
    </row>
    <row r="281" spans="1:12" x14ac:dyDescent="0.25">
      <c r="A281" s="1">
        <v>280</v>
      </c>
      <c r="B281" s="2">
        <v>5031298</v>
      </c>
      <c r="C281" s="3">
        <v>2.7E-2</v>
      </c>
      <c r="D281" s="1">
        <v>0.67</v>
      </c>
      <c r="E281" s="4">
        <v>0.21</v>
      </c>
      <c r="F281" s="4">
        <v>0.16</v>
      </c>
      <c r="G281" s="4">
        <v>0.63</v>
      </c>
      <c r="H281" s="17">
        <f t="shared" si="8"/>
        <v>1.8347456392678033E-5</v>
      </c>
      <c r="L281">
        <f t="shared" si="9"/>
        <v>1.8090000000000002E-2</v>
      </c>
    </row>
    <row r="282" spans="1:12" x14ac:dyDescent="0.25">
      <c r="A282" s="1">
        <v>281</v>
      </c>
      <c r="B282" s="2">
        <v>8211716</v>
      </c>
      <c r="C282" s="3">
        <v>3.9E-2</v>
      </c>
      <c r="D282" s="1">
        <v>0.75</v>
      </c>
      <c r="E282" s="4">
        <v>0.19</v>
      </c>
      <c r="F282" s="4">
        <v>0.16</v>
      </c>
      <c r="G282" s="4">
        <v>0.64999999999999991</v>
      </c>
      <c r="H282" s="17">
        <f t="shared" si="8"/>
        <v>4.8419137355069279E-5</v>
      </c>
      <c r="L282">
        <f t="shared" si="9"/>
        <v>2.9249999999999998E-2</v>
      </c>
    </row>
    <row r="283" spans="1:12" x14ac:dyDescent="0.25">
      <c r="A283" s="1">
        <v>282</v>
      </c>
      <c r="B283" s="2">
        <v>6678797</v>
      </c>
      <c r="C283" s="3">
        <v>0.04</v>
      </c>
      <c r="D283" s="1">
        <v>0.67</v>
      </c>
      <c r="E283" s="4">
        <v>0.23</v>
      </c>
      <c r="F283" s="4">
        <v>0.22</v>
      </c>
      <c r="G283" s="4">
        <v>0.55000000000000004</v>
      </c>
      <c r="H283" s="17">
        <f t="shared" si="8"/>
        <v>3.608197437337505E-5</v>
      </c>
      <c r="L283">
        <f t="shared" si="9"/>
        <v>2.6800000000000001E-2</v>
      </c>
    </row>
    <row r="284" spans="1:12" x14ac:dyDescent="0.25">
      <c r="A284" s="1">
        <v>283</v>
      </c>
      <c r="B284" s="2">
        <v>6663341</v>
      </c>
      <c r="C284" s="3">
        <v>0.03</v>
      </c>
      <c r="D284" s="1">
        <v>0.67</v>
      </c>
      <c r="E284" s="4">
        <v>0.22</v>
      </c>
      <c r="F284" s="4">
        <v>0.23</v>
      </c>
      <c r="G284" s="4">
        <v>0.55000000000000004</v>
      </c>
      <c r="H284" s="17">
        <f t="shared" si="8"/>
        <v>2.6998855393013808E-5</v>
      </c>
      <c r="L284">
        <f t="shared" si="9"/>
        <v>2.01E-2</v>
      </c>
    </row>
    <row r="285" spans="1:12" x14ac:dyDescent="0.25">
      <c r="A285" s="1">
        <v>284</v>
      </c>
      <c r="B285" s="2">
        <v>7643688</v>
      </c>
      <c r="C285" s="3">
        <v>3.5999999999999997E-2</v>
      </c>
      <c r="D285" s="1">
        <v>0.75</v>
      </c>
      <c r="E285" s="4">
        <v>0.19</v>
      </c>
      <c r="F285" s="4">
        <v>0.22</v>
      </c>
      <c r="G285" s="4">
        <v>0.59000000000000008</v>
      </c>
      <c r="H285" s="17">
        <f t="shared" si="8"/>
        <v>4.1602935180151213E-5</v>
      </c>
      <c r="L285">
        <f t="shared" si="9"/>
        <v>2.6999999999999996E-2</v>
      </c>
    </row>
    <row r="286" spans="1:12" x14ac:dyDescent="0.25">
      <c r="A286" s="1">
        <v>285</v>
      </c>
      <c r="B286" s="2">
        <v>5655752</v>
      </c>
      <c r="C286" s="3">
        <v>2.5999999999999999E-2</v>
      </c>
      <c r="D286" s="1">
        <v>0.67</v>
      </c>
      <c r="E286" s="4">
        <v>0.25</v>
      </c>
      <c r="F286" s="4">
        <v>0.31</v>
      </c>
      <c r="G286" s="4">
        <v>0.43999999999999995</v>
      </c>
      <c r="H286" s="17">
        <f t="shared" si="8"/>
        <v>1.9860755488152587E-5</v>
      </c>
      <c r="L286">
        <f t="shared" si="9"/>
        <v>1.7420000000000001E-2</v>
      </c>
    </row>
    <row r="287" spans="1:12" x14ac:dyDescent="0.25">
      <c r="A287" s="1">
        <v>286</v>
      </c>
      <c r="B287" s="2">
        <v>8115423</v>
      </c>
      <c r="C287" s="3">
        <v>2.9000000000000001E-2</v>
      </c>
      <c r="D287" s="1">
        <v>0.75</v>
      </c>
      <c r="E287" s="4">
        <v>0.18</v>
      </c>
      <c r="F287" s="4">
        <v>0.32</v>
      </c>
      <c r="G287" s="4">
        <v>0.49999999999999994</v>
      </c>
      <c r="H287" s="17">
        <f t="shared" si="8"/>
        <v>3.558178072994033E-5</v>
      </c>
      <c r="L287">
        <f t="shared" si="9"/>
        <v>2.1750000000000002E-2</v>
      </c>
    </row>
    <row r="288" spans="1:12" x14ac:dyDescent="0.25">
      <c r="A288" s="1">
        <v>287</v>
      </c>
      <c r="B288" s="2">
        <v>7797897</v>
      </c>
      <c r="C288" s="3">
        <v>2.9000000000000001E-2</v>
      </c>
      <c r="D288" s="1">
        <v>0.75</v>
      </c>
      <c r="E288" s="4">
        <v>0.25</v>
      </c>
      <c r="F288" s="4">
        <v>0.16</v>
      </c>
      <c r="G288" s="4">
        <v>0.59</v>
      </c>
      <c r="H288" s="17">
        <f t="shared" si="8"/>
        <v>3.4189599384857632E-5</v>
      </c>
      <c r="L288">
        <f t="shared" si="9"/>
        <v>2.1750000000000002E-2</v>
      </c>
    </row>
    <row r="289" spans="1:12" x14ac:dyDescent="0.25">
      <c r="A289" s="1">
        <v>288</v>
      </c>
      <c r="B289" s="2">
        <v>6575155</v>
      </c>
      <c r="C289" s="3">
        <v>0.04</v>
      </c>
      <c r="D289" s="1">
        <v>0.67</v>
      </c>
      <c r="E289" s="4">
        <v>0.17</v>
      </c>
      <c r="F289" s="4">
        <v>0.33</v>
      </c>
      <c r="G289" s="4">
        <v>0.49999999999999989</v>
      </c>
      <c r="H289" s="17">
        <f t="shared" si="8"/>
        <v>3.5522051981961544E-5</v>
      </c>
      <c r="L289">
        <f t="shared" si="9"/>
        <v>2.6800000000000001E-2</v>
      </c>
    </row>
    <row r="290" spans="1:12" x14ac:dyDescent="0.25">
      <c r="A290" s="1">
        <v>289</v>
      </c>
      <c r="B290" s="2">
        <v>8019173</v>
      </c>
      <c r="C290" s="3">
        <v>4.2999999999999997E-2</v>
      </c>
      <c r="D290" s="1">
        <v>0.75</v>
      </c>
      <c r="E290" s="4">
        <v>0.19</v>
      </c>
      <c r="F290" s="4">
        <v>0.16</v>
      </c>
      <c r="G290" s="4">
        <v>0.64999999999999991</v>
      </c>
      <c r="H290" s="17">
        <f t="shared" si="8"/>
        <v>5.2133461056179086E-5</v>
      </c>
      <c r="L290">
        <f t="shared" si="9"/>
        <v>3.2250000000000001E-2</v>
      </c>
    </row>
    <row r="291" spans="1:12" x14ac:dyDescent="0.25">
      <c r="A291" s="1">
        <v>290</v>
      </c>
      <c r="B291" s="2">
        <v>8171481</v>
      </c>
      <c r="C291" s="3">
        <v>0.04</v>
      </c>
      <c r="D291" s="1">
        <v>0.75</v>
      </c>
      <c r="E291" s="4">
        <v>0.23</v>
      </c>
      <c r="F291" s="4">
        <v>0.32</v>
      </c>
      <c r="G291" s="4">
        <v>0.44999999999999996</v>
      </c>
      <c r="H291" s="17">
        <f t="shared" si="8"/>
        <v>4.9417331059276501E-5</v>
      </c>
      <c r="L291">
        <f t="shared" si="9"/>
        <v>0.03</v>
      </c>
    </row>
    <row r="292" spans="1:12" x14ac:dyDescent="0.25">
      <c r="A292" s="1">
        <v>291</v>
      </c>
      <c r="B292" s="2">
        <v>9862878</v>
      </c>
      <c r="C292" s="3">
        <v>3.3000000000000002E-2</v>
      </c>
      <c r="D292" s="1">
        <v>0.75</v>
      </c>
      <c r="E292" s="4">
        <v>0.23</v>
      </c>
      <c r="F292" s="4">
        <v>0.18</v>
      </c>
      <c r="G292" s="4">
        <v>0.59000000000000008</v>
      </c>
      <c r="H292" s="17">
        <f t="shared" si="8"/>
        <v>4.9208046074106431E-5</v>
      </c>
      <c r="L292">
        <f t="shared" si="9"/>
        <v>2.4750000000000001E-2</v>
      </c>
    </row>
    <row r="293" spans="1:12" x14ac:dyDescent="0.25">
      <c r="A293" s="1">
        <v>292</v>
      </c>
      <c r="B293" s="2">
        <v>5545057</v>
      </c>
      <c r="C293" s="3">
        <v>3.5999999999999997E-2</v>
      </c>
      <c r="D293" s="1">
        <v>0.67</v>
      </c>
      <c r="E293" s="4">
        <v>0.2</v>
      </c>
      <c r="F293" s="4">
        <v>0.33</v>
      </c>
      <c r="G293" s="4">
        <v>0.46999999999999992</v>
      </c>
      <c r="H293" s="17">
        <f t="shared" si="8"/>
        <v>2.6961284212652895E-5</v>
      </c>
      <c r="L293">
        <f t="shared" si="9"/>
        <v>2.4119999999999999E-2</v>
      </c>
    </row>
    <row r="294" spans="1:12" x14ac:dyDescent="0.25">
      <c r="A294" s="1">
        <v>293</v>
      </c>
      <c r="B294" s="2">
        <v>6858138</v>
      </c>
      <c r="C294" s="3">
        <v>4.1000000000000002E-2</v>
      </c>
      <c r="D294" s="1">
        <v>0.67</v>
      </c>
      <c r="E294" s="4">
        <v>0.19</v>
      </c>
      <c r="F294" s="4">
        <v>0.18</v>
      </c>
      <c r="G294" s="4">
        <v>0.63000000000000012</v>
      </c>
      <c r="H294" s="17">
        <f t="shared" si="8"/>
        <v>3.7977129497152909E-5</v>
      </c>
      <c r="L294">
        <f t="shared" si="9"/>
        <v>2.7470000000000001E-2</v>
      </c>
    </row>
    <row r="295" spans="1:12" x14ac:dyDescent="0.25">
      <c r="A295" s="1">
        <v>294</v>
      </c>
      <c r="B295" s="2">
        <v>5663443</v>
      </c>
      <c r="C295" s="3">
        <v>3.7999999999999999E-2</v>
      </c>
      <c r="D295" s="1">
        <v>0.67</v>
      </c>
      <c r="E295" s="4">
        <v>0.2</v>
      </c>
      <c r="F295" s="4">
        <v>0.15</v>
      </c>
      <c r="G295" s="4">
        <v>0.64999999999999991</v>
      </c>
      <c r="H295" s="17">
        <f t="shared" si="8"/>
        <v>2.9066730869573784E-5</v>
      </c>
      <c r="L295">
        <f t="shared" si="9"/>
        <v>2.546E-2</v>
      </c>
    </row>
    <row r="296" spans="1:12" x14ac:dyDescent="0.25">
      <c r="A296" s="1">
        <v>295</v>
      </c>
      <c r="B296" s="2">
        <v>8963431</v>
      </c>
      <c r="C296" s="3">
        <v>0.04</v>
      </c>
      <c r="D296" s="1">
        <v>0.75</v>
      </c>
      <c r="E296" s="4">
        <v>0.22</v>
      </c>
      <c r="F296" s="4">
        <v>0.22</v>
      </c>
      <c r="G296" s="4">
        <v>0.56000000000000005</v>
      </c>
      <c r="H296" s="17">
        <f t="shared" si="8"/>
        <v>5.4206677731243802E-5</v>
      </c>
      <c r="L296">
        <f t="shared" si="9"/>
        <v>0.03</v>
      </c>
    </row>
    <row r="297" spans="1:12" x14ac:dyDescent="0.25">
      <c r="A297" s="1">
        <v>296</v>
      </c>
      <c r="B297" s="2">
        <v>7834430</v>
      </c>
      <c r="C297" s="3">
        <v>3.3000000000000002E-2</v>
      </c>
      <c r="D297" s="1">
        <v>0.75</v>
      </c>
      <c r="E297" s="4">
        <v>0.22</v>
      </c>
      <c r="F297" s="4">
        <v>0.23</v>
      </c>
      <c r="G297" s="4">
        <v>0.55000000000000004</v>
      </c>
      <c r="H297" s="17">
        <f t="shared" si="8"/>
        <v>3.9087677288957815E-5</v>
      </c>
      <c r="L297">
        <f t="shared" si="9"/>
        <v>2.4750000000000001E-2</v>
      </c>
    </row>
    <row r="298" spans="1:12" x14ac:dyDescent="0.25">
      <c r="A298" s="1">
        <v>297</v>
      </c>
      <c r="B298" s="2">
        <v>7495561</v>
      </c>
      <c r="C298" s="3">
        <v>4.3999999999999997E-2</v>
      </c>
      <c r="D298" s="1">
        <v>0.75</v>
      </c>
      <c r="E298" s="4">
        <v>0.17</v>
      </c>
      <c r="F298" s="4">
        <v>0.33</v>
      </c>
      <c r="G298" s="4">
        <v>0.49999999999999989</v>
      </c>
      <c r="H298" s="17">
        <f t="shared" si="8"/>
        <v>4.9862648074835128E-5</v>
      </c>
      <c r="L298">
        <f t="shared" si="9"/>
        <v>3.3000000000000002E-2</v>
      </c>
    </row>
    <row r="299" spans="1:12" x14ac:dyDescent="0.25">
      <c r="A299" s="1">
        <v>298</v>
      </c>
      <c r="B299" s="2">
        <v>6958563</v>
      </c>
      <c r="C299" s="3">
        <v>4.1000000000000002E-2</v>
      </c>
      <c r="D299" s="1">
        <v>0.67</v>
      </c>
      <c r="E299" s="4">
        <v>0.21</v>
      </c>
      <c r="F299" s="4">
        <v>0.17</v>
      </c>
      <c r="G299" s="4">
        <v>0.62</v>
      </c>
      <c r="H299" s="17">
        <f t="shared" si="8"/>
        <v>3.8533235721575856E-5</v>
      </c>
      <c r="L299">
        <f t="shared" si="9"/>
        <v>2.7470000000000001E-2</v>
      </c>
    </row>
    <row r="300" spans="1:12" x14ac:dyDescent="0.25">
      <c r="A300" s="1">
        <v>299</v>
      </c>
      <c r="B300" s="2">
        <v>7608602</v>
      </c>
      <c r="C300" s="3">
        <v>4.4999999999999998E-2</v>
      </c>
      <c r="D300" s="1">
        <v>0.75</v>
      </c>
      <c r="E300" s="4">
        <v>0.2</v>
      </c>
      <c r="F300" s="4">
        <v>0.25</v>
      </c>
      <c r="G300" s="4">
        <v>0.55000000000000004</v>
      </c>
      <c r="H300" s="17">
        <f t="shared" si="8"/>
        <v>5.1764962119327873E-5</v>
      </c>
      <c r="L300">
        <f t="shared" si="9"/>
        <v>3.3750000000000002E-2</v>
      </c>
    </row>
    <row r="301" spans="1:12" x14ac:dyDescent="0.25">
      <c r="A301" s="1">
        <v>300</v>
      </c>
      <c r="B301" s="2">
        <v>9331665</v>
      </c>
      <c r="C301" s="3">
        <v>3.4000000000000002E-2</v>
      </c>
      <c r="D301" s="1">
        <v>0.75</v>
      </c>
      <c r="E301" s="4">
        <v>0.21</v>
      </c>
      <c r="F301" s="4">
        <v>0.28000000000000003</v>
      </c>
      <c r="G301" s="4">
        <v>0.51</v>
      </c>
      <c r="H301" s="17">
        <f t="shared" si="8"/>
        <v>4.7968548399411804E-5</v>
      </c>
      <c r="L301">
        <f t="shared" si="9"/>
        <v>2.5500000000000002E-2</v>
      </c>
    </row>
    <row r="302" spans="1:12" x14ac:dyDescent="0.25">
      <c r="A302" s="1">
        <v>301</v>
      </c>
      <c r="B302" s="2">
        <v>8060352</v>
      </c>
      <c r="C302" s="3">
        <v>2.5999999999999999E-2</v>
      </c>
      <c r="D302" s="1">
        <v>0.75</v>
      </c>
      <c r="E302" s="4">
        <v>0.19</v>
      </c>
      <c r="F302" s="4">
        <v>0.28000000000000003</v>
      </c>
      <c r="G302" s="4">
        <v>0.53</v>
      </c>
      <c r="H302" s="17">
        <f t="shared" si="8"/>
        <v>3.1684428331277521E-5</v>
      </c>
      <c r="L302">
        <f t="shared" si="9"/>
        <v>1.95E-2</v>
      </c>
    </row>
    <row r="303" spans="1:12" x14ac:dyDescent="0.25">
      <c r="A303" s="1">
        <v>302</v>
      </c>
      <c r="B303" s="2">
        <v>9064474</v>
      </c>
      <c r="C303" s="3">
        <v>3.2000000000000001E-2</v>
      </c>
      <c r="D303" s="1">
        <v>0.75</v>
      </c>
      <c r="E303" s="4">
        <v>0.16</v>
      </c>
      <c r="F303" s="4">
        <v>0.35</v>
      </c>
      <c r="G303" s="4">
        <v>0.49</v>
      </c>
      <c r="H303" s="17">
        <f t="shared" si="8"/>
        <v>4.3854191183821321E-5</v>
      </c>
      <c r="L303">
        <f t="shared" si="9"/>
        <v>2.4E-2</v>
      </c>
    </row>
    <row r="304" spans="1:12" x14ac:dyDescent="0.25">
      <c r="A304" s="1">
        <v>303</v>
      </c>
      <c r="B304" s="2">
        <v>7276825</v>
      </c>
      <c r="C304" s="3">
        <v>3.4000000000000002E-2</v>
      </c>
      <c r="D304" s="1">
        <v>0.75</v>
      </c>
      <c r="E304" s="4">
        <v>0.23</v>
      </c>
      <c r="F304" s="4">
        <v>0.3</v>
      </c>
      <c r="G304" s="4">
        <v>0.47</v>
      </c>
      <c r="H304" s="17">
        <f t="shared" si="8"/>
        <v>3.7405836172489022E-5</v>
      </c>
      <c r="L304">
        <f t="shared" si="9"/>
        <v>2.5500000000000002E-2</v>
      </c>
    </row>
    <row r="305" spans="1:12" x14ac:dyDescent="0.25">
      <c r="A305" s="1">
        <v>304</v>
      </c>
      <c r="B305" s="2">
        <v>9908868</v>
      </c>
      <c r="C305" s="3">
        <v>2.8000000000000001E-2</v>
      </c>
      <c r="D305" s="1">
        <v>0.75</v>
      </c>
      <c r="E305" s="4">
        <v>0.25</v>
      </c>
      <c r="F305" s="4">
        <v>0.28000000000000003</v>
      </c>
      <c r="G305" s="4">
        <v>0.47</v>
      </c>
      <c r="H305" s="17">
        <f t="shared" si="8"/>
        <v>4.1946969865691388E-5</v>
      </c>
      <c r="L305">
        <f t="shared" si="9"/>
        <v>2.1000000000000001E-2</v>
      </c>
    </row>
    <row r="306" spans="1:12" x14ac:dyDescent="0.25">
      <c r="A306" s="1">
        <v>305</v>
      </c>
      <c r="B306" s="2">
        <v>9609044</v>
      </c>
      <c r="C306" s="3">
        <v>3.9E-2</v>
      </c>
      <c r="D306" s="1">
        <v>0.75</v>
      </c>
      <c r="E306" s="4">
        <v>0.22</v>
      </c>
      <c r="F306" s="4">
        <v>0.26</v>
      </c>
      <c r="G306" s="4">
        <v>0.52</v>
      </c>
      <c r="H306" s="17">
        <f t="shared" si="8"/>
        <v>5.6658269877685045E-5</v>
      </c>
      <c r="L306">
        <f t="shared" si="9"/>
        <v>2.9249999999999998E-2</v>
      </c>
    </row>
    <row r="307" spans="1:12" x14ac:dyDescent="0.25">
      <c r="A307" s="1">
        <v>306</v>
      </c>
      <c r="B307" s="2">
        <v>5482592</v>
      </c>
      <c r="C307" s="3">
        <v>0.04</v>
      </c>
      <c r="D307" s="1">
        <v>0.67</v>
      </c>
      <c r="E307" s="4">
        <v>0.24</v>
      </c>
      <c r="F307" s="4">
        <v>0.31</v>
      </c>
      <c r="G307" s="4">
        <v>0.44999999999999996</v>
      </c>
      <c r="H307" s="17">
        <f t="shared" si="8"/>
        <v>2.9619517413640666E-5</v>
      </c>
      <c r="L307">
        <f t="shared" si="9"/>
        <v>2.6800000000000001E-2</v>
      </c>
    </row>
    <row r="308" spans="1:12" x14ac:dyDescent="0.25">
      <c r="A308" s="1">
        <v>307</v>
      </c>
      <c r="B308" s="2">
        <v>6031387</v>
      </c>
      <c r="C308" s="3">
        <v>4.2000000000000003E-2</v>
      </c>
      <c r="D308" s="1">
        <v>0.67</v>
      </c>
      <c r="E308" s="4">
        <v>0.15</v>
      </c>
      <c r="F308" s="4">
        <v>0.15</v>
      </c>
      <c r="G308" s="4">
        <v>0.7</v>
      </c>
      <c r="H308" s="17">
        <f t="shared" si="8"/>
        <v>3.4213581986157508E-5</v>
      </c>
      <c r="L308">
        <f t="shared" si="9"/>
        <v>2.8140000000000002E-2</v>
      </c>
    </row>
    <row r="309" spans="1:12" x14ac:dyDescent="0.25">
      <c r="A309" s="1">
        <v>308</v>
      </c>
      <c r="B309" s="2">
        <v>8273228</v>
      </c>
      <c r="C309" s="3">
        <v>4.1000000000000002E-2</v>
      </c>
      <c r="D309" s="1">
        <v>0.75</v>
      </c>
      <c r="E309" s="4">
        <v>0.25</v>
      </c>
      <c r="F309" s="4">
        <v>0.23</v>
      </c>
      <c r="G309" s="4">
        <v>0.52</v>
      </c>
      <c r="H309" s="17">
        <f t="shared" si="8"/>
        <v>5.1283466017971273E-5</v>
      </c>
      <c r="L309">
        <f t="shared" si="9"/>
        <v>3.075E-2</v>
      </c>
    </row>
    <row r="310" spans="1:12" x14ac:dyDescent="0.25">
      <c r="A310" s="1">
        <v>309</v>
      </c>
      <c r="B310" s="2">
        <v>7347393</v>
      </c>
      <c r="C310" s="3">
        <v>2.7E-2</v>
      </c>
      <c r="D310" s="1">
        <v>0.75</v>
      </c>
      <c r="E310" s="4">
        <v>0.16</v>
      </c>
      <c r="F310" s="4">
        <v>0.2</v>
      </c>
      <c r="G310" s="4">
        <v>0.64</v>
      </c>
      <c r="H310" s="17">
        <f t="shared" si="8"/>
        <v>2.9992699341152144E-5</v>
      </c>
      <c r="L310">
        <f t="shared" si="9"/>
        <v>2.0250000000000001E-2</v>
      </c>
    </row>
    <row r="311" spans="1:12" x14ac:dyDescent="0.25">
      <c r="A311" s="1">
        <v>310</v>
      </c>
      <c r="B311" s="2">
        <v>9032607</v>
      </c>
      <c r="C311" s="3">
        <v>3.7999999999999999E-2</v>
      </c>
      <c r="D311" s="1">
        <v>0.75</v>
      </c>
      <c r="E311" s="4">
        <v>0.22</v>
      </c>
      <c r="F311" s="4">
        <v>0.31</v>
      </c>
      <c r="G311" s="4">
        <v>0.47</v>
      </c>
      <c r="H311" s="17">
        <f t="shared" si="8"/>
        <v>5.1893771022042571E-5</v>
      </c>
      <c r="L311">
        <f t="shared" si="9"/>
        <v>2.8499999999999998E-2</v>
      </c>
    </row>
    <row r="312" spans="1:12" x14ac:dyDescent="0.25">
      <c r="A312" s="1">
        <v>311</v>
      </c>
      <c r="B312" s="2">
        <v>8465280</v>
      </c>
      <c r="C312" s="3">
        <v>3.5000000000000003E-2</v>
      </c>
      <c r="D312" s="1">
        <v>0.75</v>
      </c>
      <c r="E312" s="4">
        <v>0.18</v>
      </c>
      <c r="F312" s="4">
        <v>0.2</v>
      </c>
      <c r="G312" s="4">
        <v>0.62000000000000011</v>
      </c>
      <c r="H312" s="17">
        <f t="shared" si="8"/>
        <v>4.4794829876712466E-5</v>
      </c>
      <c r="L312">
        <f t="shared" si="9"/>
        <v>2.6250000000000002E-2</v>
      </c>
    </row>
    <row r="313" spans="1:12" x14ac:dyDescent="0.25">
      <c r="A313" s="1">
        <v>312</v>
      </c>
      <c r="B313" s="2">
        <v>8036238</v>
      </c>
      <c r="C313" s="3">
        <v>3.4000000000000002E-2</v>
      </c>
      <c r="D313" s="1">
        <v>0.75</v>
      </c>
      <c r="E313" s="4">
        <v>0.17</v>
      </c>
      <c r="F313" s="4">
        <v>0.3</v>
      </c>
      <c r="G313" s="4">
        <v>0.52999999999999992</v>
      </c>
      <c r="H313" s="17">
        <f t="shared" si="8"/>
        <v>4.1309527447909066E-5</v>
      </c>
      <c r="L313">
        <f t="shared" si="9"/>
        <v>2.5500000000000002E-2</v>
      </c>
    </row>
    <row r="314" spans="1:12" x14ac:dyDescent="0.25">
      <c r="A314" s="1">
        <v>313</v>
      </c>
      <c r="B314" s="2">
        <v>9423823</v>
      </c>
      <c r="C314" s="3">
        <v>3.1E-2</v>
      </c>
      <c r="D314" s="1">
        <v>0.75</v>
      </c>
      <c r="E314" s="4">
        <v>0.25</v>
      </c>
      <c r="F314" s="4">
        <v>0.19</v>
      </c>
      <c r="G314" s="4">
        <v>0.56000000000000005</v>
      </c>
      <c r="H314" s="17">
        <f t="shared" si="8"/>
        <v>4.4167959308984964E-5</v>
      </c>
      <c r="L314">
        <f t="shared" si="9"/>
        <v>2.325E-2</v>
      </c>
    </row>
    <row r="315" spans="1:12" x14ac:dyDescent="0.25">
      <c r="A315" s="1">
        <v>314</v>
      </c>
      <c r="B315" s="2">
        <v>5006777</v>
      </c>
      <c r="C315" s="3">
        <v>3.1E-2</v>
      </c>
      <c r="D315" s="1">
        <v>0.67</v>
      </c>
      <c r="E315" s="4">
        <v>0.16</v>
      </c>
      <c r="F315" s="4">
        <v>0.25</v>
      </c>
      <c r="G315" s="4">
        <v>0.59</v>
      </c>
      <c r="H315" s="17">
        <f t="shared" si="8"/>
        <v>2.0962930830295157E-5</v>
      </c>
      <c r="L315">
        <f t="shared" si="9"/>
        <v>2.077E-2</v>
      </c>
    </row>
    <row r="316" spans="1:12" x14ac:dyDescent="0.25">
      <c r="A316" s="1">
        <v>315</v>
      </c>
      <c r="B316" s="2">
        <v>5721142</v>
      </c>
      <c r="C316" s="3">
        <v>3.5000000000000003E-2</v>
      </c>
      <c r="D316" s="1">
        <v>0.67</v>
      </c>
      <c r="E316" s="4">
        <v>0.2</v>
      </c>
      <c r="F316" s="4">
        <v>0.18</v>
      </c>
      <c r="G316" s="4">
        <v>0.62000000000000011</v>
      </c>
      <c r="H316" s="17">
        <f t="shared" si="8"/>
        <v>2.7044741238824108E-5</v>
      </c>
      <c r="L316">
        <f t="shared" si="9"/>
        <v>2.3450000000000002E-2</v>
      </c>
    </row>
    <row r="317" spans="1:12" x14ac:dyDescent="0.25">
      <c r="A317" s="1">
        <v>316</v>
      </c>
      <c r="B317" s="2">
        <v>6190561</v>
      </c>
      <c r="C317" s="3">
        <v>3.3000000000000002E-2</v>
      </c>
      <c r="D317" s="1">
        <v>0.67</v>
      </c>
      <c r="E317" s="4">
        <v>0.25</v>
      </c>
      <c r="F317" s="4">
        <v>0.15</v>
      </c>
      <c r="G317" s="4">
        <v>0.6</v>
      </c>
      <c r="H317" s="17">
        <f t="shared" si="8"/>
        <v>2.7591544146501591E-5</v>
      </c>
      <c r="L317">
        <f t="shared" si="9"/>
        <v>2.2110000000000001E-2</v>
      </c>
    </row>
    <row r="318" spans="1:12" x14ac:dyDescent="0.25">
      <c r="A318" s="1">
        <v>317</v>
      </c>
      <c r="B318" s="2">
        <v>8190367</v>
      </c>
      <c r="C318" s="3">
        <v>3.6999999999999998E-2</v>
      </c>
      <c r="D318" s="1">
        <v>0.75</v>
      </c>
      <c r="E318" s="4">
        <v>0.25</v>
      </c>
      <c r="F318" s="4">
        <v>0.19</v>
      </c>
      <c r="G318" s="4">
        <v>0.56000000000000005</v>
      </c>
      <c r="H318" s="17">
        <f t="shared" si="8"/>
        <v>4.5816678974200061E-5</v>
      </c>
      <c r="L318">
        <f t="shared" si="9"/>
        <v>2.7749999999999997E-2</v>
      </c>
    </row>
    <row r="319" spans="1:12" x14ac:dyDescent="0.25">
      <c r="A319" s="1">
        <v>318</v>
      </c>
      <c r="B319" s="2">
        <v>7243588</v>
      </c>
      <c r="C319" s="3">
        <v>4.1000000000000002E-2</v>
      </c>
      <c r="D319" s="1">
        <v>0.75</v>
      </c>
      <c r="E319" s="4">
        <v>0.16</v>
      </c>
      <c r="F319" s="4">
        <v>0.35</v>
      </c>
      <c r="G319" s="4">
        <v>0.49</v>
      </c>
      <c r="H319" s="17">
        <f t="shared" si="8"/>
        <v>4.4901010711439903E-5</v>
      </c>
      <c r="L319">
        <f t="shared" si="9"/>
        <v>3.075E-2</v>
      </c>
    </row>
    <row r="320" spans="1:12" x14ac:dyDescent="0.25">
      <c r="A320" s="1">
        <v>319</v>
      </c>
      <c r="B320" s="2">
        <v>7761096</v>
      </c>
      <c r="C320" s="3">
        <v>2.8000000000000001E-2</v>
      </c>
      <c r="D320" s="1">
        <v>0.75</v>
      </c>
      <c r="E320" s="4">
        <v>0.25</v>
      </c>
      <c r="F320" s="4">
        <v>0.2</v>
      </c>
      <c r="G320" s="4">
        <v>0.55000000000000004</v>
      </c>
      <c r="H320" s="17">
        <f t="shared" si="8"/>
        <v>3.2854858903836238E-5</v>
      </c>
      <c r="L320">
        <f t="shared" si="9"/>
        <v>2.1000000000000001E-2</v>
      </c>
    </row>
    <row r="321" spans="1:12" x14ac:dyDescent="0.25">
      <c r="A321" s="1">
        <v>320</v>
      </c>
      <c r="B321" s="2">
        <v>8358466</v>
      </c>
      <c r="C321" s="3">
        <v>3.7999999999999999E-2</v>
      </c>
      <c r="D321" s="1">
        <v>0.75</v>
      </c>
      <c r="E321" s="4">
        <v>0.15</v>
      </c>
      <c r="F321" s="4">
        <v>0.18</v>
      </c>
      <c r="G321" s="4">
        <v>0.67</v>
      </c>
      <c r="H321" s="17">
        <f t="shared" si="8"/>
        <v>4.8020723219722504E-5</v>
      </c>
      <c r="L321">
        <f t="shared" si="9"/>
        <v>2.8499999999999998E-2</v>
      </c>
    </row>
    <row r="322" spans="1:12" x14ac:dyDescent="0.25">
      <c r="A322" s="1">
        <v>321</v>
      </c>
      <c r="B322" s="2">
        <v>8314065</v>
      </c>
      <c r="C322" s="3">
        <v>2.5999999999999999E-2</v>
      </c>
      <c r="D322" s="1">
        <v>0.75</v>
      </c>
      <c r="E322" s="4">
        <v>0.21</v>
      </c>
      <c r="F322" s="4">
        <v>0.28000000000000003</v>
      </c>
      <c r="G322" s="4">
        <v>0.51</v>
      </c>
      <c r="H322" s="17">
        <f t="shared" si="8"/>
        <v>3.2681748468811642E-5</v>
      </c>
      <c r="L322">
        <f t="shared" si="9"/>
        <v>1.95E-2</v>
      </c>
    </row>
    <row r="323" spans="1:12" x14ac:dyDescent="0.25">
      <c r="A323" s="1">
        <v>322</v>
      </c>
      <c r="B323" s="2">
        <v>5141024</v>
      </c>
      <c r="C323" s="3">
        <v>2.5999999999999999E-2</v>
      </c>
      <c r="D323" s="1">
        <v>0.67</v>
      </c>
      <c r="E323" s="4">
        <v>0.25</v>
      </c>
      <c r="F323" s="4">
        <v>0.19</v>
      </c>
      <c r="G323" s="4">
        <v>0.56000000000000005</v>
      </c>
      <c r="H323" s="17">
        <f t="shared" ref="H323:H386" si="10">B323*C323*D323/SUM($B$2:$B$1797)</f>
        <v>1.8053235117580148E-5</v>
      </c>
      <c r="L323">
        <f t="shared" ref="L323:L386" si="11">C323*D323</f>
        <v>1.7420000000000001E-2</v>
      </c>
    </row>
    <row r="324" spans="1:12" x14ac:dyDescent="0.25">
      <c r="A324" s="1">
        <v>323</v>
      </c>
      <c r="B324" s="2">
        <v>5034205</v>
      </c>
      <c r="C324" s="3">
        <v>2.9000000000000001E-2</v>
      </c>
      <c r="D324" s="1">
        <v>0.67</v>
      </c>
      <c r="E324" s="4">
        <v>0.2</v>
      </c>
      <c r="F324" s="4">
        <v>0.23</v>
      </c>
      <c r="G324" s="4">
        <v>0.57000000000000006</v>
      </c>
      <c r="H324" s="17">
        <f t="shared" si="10"/>
        <v>1.9717913339068324E-5</v>
      </c>
      <c r="L324">
        <f t="shared" si="11"/>
        <v>1.9430000000000003E-2</v>
      </c>
    </row>
    <row r="325" spans="1:12" x14ac:dyDescent="0.25">
      <c r="A325" s="1">
        <v>324</v>
      </c>
      <c r="B325" s="2">
        <v>8962166</v>
      </c>
      <c r="C325" s="3">
        <v>2.5999999999999999E-2</v>
      </c>
      <c r="D325" s="1">
        <v>0.75</v>
      </c>
      <c r="E325" s="4">
        <v>0.22</v>
      </c>
      <c r="F325" s="4">
        <v>0.35</v>
      </c>
      <c r="G325" s="4">
        <v>0.43000000000000005</v>
      </c>
      <c r="H325" s="17">
        <f t="shared" si="10"/>
        <v>3.5229367938275169E-5</v>
      </c>
      <c r="L325">
        <f t="shared" si="11"/>
        <v>1.95E-2</v>
      </c>
    </row>
    <row r="326" spans="1:12" x14ac:dyDescent="0.25">
      <c r="A326" s="1">
        <v>325</v>
      </c>
      <c r="B326" s="2">
        <v>7688833</v>
      </c>
      <c r="C326" s="3">
        <v>2.5999999999999999E-2</v>
      </c>
      <c r="D326" s="1">
        <v>0.75</v>
      </c>
      <c r="E326" s="4">
        <v>0.23</v>
      </c>
      <c r="F326" s="4">
        <v>0.35</v>
      </c>
      <c r="G326" s="4">
        <v>0.42000000000000004</v>
      </c>
      <c r="H326" s="17">
        <f t="shared" si="10"/>
        <v>3.0224024724932795E-5</v>
      </c>
      <c r="L326">
        <f t="shared" si="11"/>
        <v>1.95E-2</v>
      </c>
    </row>
    <row r="327" spans="1:12" x14ac:dyDescent="0.25">
      <c r="A327" s="1">
        <v>326</v>
      </c>
      <c r="B327" s="2">
        <v>7211777</v>
      </c>
      <c r="C327" s="3">
        <v>4.1000000000000002E-2</v>
      </c>
      <c r="D327" s="1">
        <v>0.75</v>
      </c>
      <c r="E327" s="4">
        <v>0.21</v>
      </c>
      <c r="F327" s="4">
        <v>0.2</v>
      </c>
      <c r="G327" s="4">
        <v>0.59000000000000008</v>
      </c>
      <c r="H327" s="17">
        <f t="shared" si="10"/>
        <v>4.4703823067451646E-5</v>
      </c>
      <c r="L327">
        <f t="shared" si="11"/>
        <v>3.075E-2</v>
      </c>
    </row>
    <row r="328" spans="1:12" x14ac:dyDescent="0.25">
      <c r="A328" s="1">
        <v>327</v>
      </c>
      <c r="B328" s="2">
        <v>5117393</v>
      </c>
      <c r="C328" s="3">
        <v>2.5000000000000001E-2</v>
      </c>
      <c r="D328" s="1">
        <v>0.67</v>
      </c>
      <c r="E328" s="4">
        <v>0.23</v>
      </c>
      <c r="F328" s="4">
        <v>0.24</v>
      </c>
      <c r="G328" s="4">
        <v>0.53</v>
      </c>
      <c r="H328" s="17">
        <f t="shared" si="10"/>
        <v>1.7279088873011945E-5</v>
      </c>
      <c r="L328">
        <f t="shared" si="11"/>
        <v>1.6750000000000001E-2</v>
      </c>
    </row>
    <row r="329" spans="1:12" x14ac:dyDescent="0.25">
      <c r="A329" s="1">
        <v>328</v>
      </c>
      <c r="B329" s="2">
        <v>5931260</v>
      </c>
      <c r="C329" s="3">
        <v>3.5000000000000003E-2</v>
      </c>
      <c r="D329" s="1">
        <v>0.67</v>
      </c>
      <c r="E329" s="4">
        <v>0.15</v>
      </c>
      <c r="F329" s="4">
        <v>0.27</v>
      </c>
      <c r="G329" s="4">
        <v>0.57999999999999996</v>
      </c>
      <c r="H329" s="17">
        <f t="shared" si="10"/>
        <v>2.8038002189106279E-5</v>
      </c>
      <c r="L329">
        <f t="shared" si="11"/>
        <v>2.3450000000000002E-2</v>
      </c>
    </row>
    <row r="330" spans="1:12" x14ac:dyDescent="0.25">
      <c r="A330" s="1">
        <v>329</v>
      </c>
      <c r="B330" s="2">
        <v>8484455</v>
      </c>
      <c r="C330" s="3">
        <v>2.7E-2</v>
      </c>
      <c r="D330" s="1">
        <v>0.75</v>
      </c>
      <c r="E330" s="4">
        <v>0.24</v>
      </c>
      <c r="F330" s="4">
        <v>0.15</v>
      </c>
      <c r="G330" s="4">
        <v>0.61</v>
      </c>
      <c r="H330" s="17">
        <f t="shared" si="10"/>
        <v>3.4634285642340761E-5</v>
      </c>
      <c r="L330">
        <f t="shared" si="11"/>
        <v>2.0250000000000001E-2</v>
      </c>
    </row>
    <row r="331" spans="1:12" x14ac:dyDescent="0.25">
      <c r="A331" s="1">
        <v>330</v>
      </c>
      <c r="B331" s="2">
        <v>5828489</v>
      </c>
      <c r="C331" s="3">
        <v>2.5000000000000001E-2</v>
      </c>
      <c r="D331" s="1">
        <v>0.67</v>
      </c>
      <c r="E331" s="4">
        <v>0.17</v>
      </c>
      <c r="F331" s="4">
        <v>0.25</v>
      </c>
      <c r="G331" s="4">
        <v>0.57999999999999996</v>
      </c>
      <c r="H331" s="17">
        <f t="shared" si="10"/>
        <v>1.9680133893639301E-5</v>
      </c>
      <c r="L331">
        <f t="shared" si="11"/>
        <v>1.6750000000000001E-2</v>
      </c>
    </row>
    <row r="332" spans="1:12" x14ac:dyDescent="0.25">
      <c r="A332" s="1">
        <v>331</v>
      </c>
      <c r="B332" s="2">
        <v>6797955</v>
      </c>
      <c r="C332" s="3">
        <v>4.1000000000000002E-2</v>
      </c>
      <c r="D332" s="1">
        <v>0.67</v>
      </c>
      <c r="E332" s="4">
        <v>0.23</v>
      </c>
      <c r="F332" s="4">
        <v>0.19</v>
      </c>
      <c r="G332" s="4">
        <v>0.58000000000000007</v>
      </c>
      <c r="H332" s="17">
        <f t="shared" si="10"/>
        <v>3.7643864464497238E-5</v>
      </c>
      <c r="L332">
        <f t="shared" si="11"/>
        <v>2.7470000000000001E-2</v>
      </c>
    </row>
    <row r="333" spans="1:12" x14ac:dyDescent="0.25">
      <c r="A333" s="1">
        <v>332</v>
      </c>
      <c r="B333" s="2">
        <v>9357298</v>
      </c>
      <c r="C333" s="3">
        <v>3.6999999999999998E-2</v>
      </c>
      <c r="D333" s="1">
        <v>0.75</v>
      </c>
      <c r="E333" s="4">
        <v>0.22</v>
      </c>
      <c r="F333" s="4">
        <v>0.24</v>
      </c>
      <c r="G333" s="4">
        <v>0.54</v>
      </c>
      <c r="H333" s="17">
        <f t="shared" si="10"/>
        <v>5.2344457645417384E-5</v>
      </c>
      <c r="L333">
        <f t="shared" si="11"/>
        <v>2.7749999999999997E-2</v>
      </c>
    </row>
    <row r="334" spans="1:12" x14ac:dyDescent="0.25">
      <c r="A334" s="1">
        <v>333</v>
      </c>
      <c r="B334" s="2">
        <v>8240539</v>
      </c>
      <c r="C334" s="3">
        <v>3.7999999999999999E-2</v>
      </c>
      <c r="D334" s="1">
        <v>0.75</v>
      </c>
      <c r="E334" s="4">
        <v>0.18</v>
      </c>
      <c r="F334" s="4">
        <v>0.21</v>
      </c>
      <c r="G334" s="4">
        <v>0.6100000000000001</v>
      </c>
      <c r="H334" s="17">
        <f t="shared" si="10"/>
        <v>4.7343213754812059E-5</v>
      </c>
      <c r="L334">
        <f t="shared" si="11"/>
        <v>2.8499999999999998E-2</v>
      </c>
    </row>
    <row r="335" spans="1:12" x14ac:dyDescent="0.25">
      <c r="A335" s="1">
        <v>334</v>
      </c>
      <c r="B335" s="2">
        <v>5097095</v>
      </c>
      <c r="C335" s="3">
        <v>3.4000000000000002E-2</v>
      </c>
      <c r="D335" s="1">
        <v>0.67</v>
      </c>
      <c r="E335" s="4">
        <v>0.23</v>
      </c>
      <c r="F335" s="4">
        <v>0.23</v>
      </c>
      <c r="G335" s="4">
        <v>0.54</v>
      </c>
      <c r="H335" s="17">
        <f t="shared" si="10"/>
        <v>2.340635049895354E-5</v>
      </c>
      <c r="L335">
        <f t="shared" si="11"/>
        <v>2.2780000000000002E-2</v>
      </c>
    </row>
    <row r="336" spans="1:12" x14ac:dyDescent="0.25">
      <c r="A336" s="1">
        <v>335</v>
      </c>
      <c r="B336" s="2">
        <v>5939874</v>
      </c>
      <c r="C336" s="3">
        <v>4.3999999999999997E-2</v>
      </c>
      <c r="D336" s="1">
        <v>0.67</v>
      </c>
      <c r="E336" s="4">
        <v>0.25</v>
      </c>
      <c r="F336" s="4">
        <v>0.27</v>
      </c>
      <c r="G336" s="4">
        <v>0.48</v>
      </c>
      <c r="H336" s="17">
        <f t="shared" si="10"/>
        <v>3.5298964707863466E-5</v>
      </c>
      <c r="L336">
        <f t="shared" si="11"/>
        <v>2.9479999999999999E-2</v>
      </c>
    </row>
    <row r="337" spans="1:12" x14ac:dyDescent="0.25">
      <c r="A337" s="1">
        <v>336</v>
      </c>
      <c r="B337" s="2">
        <v>8592072</v>
      </c>
      <c r="C337" s="3">
        <v>4.3999999999999997E-2</v>
      </c>
      <c r="D337" s="1">
        <v>0.75</v>
      </c>
      <c r="E337" s="4">
        <v>0.2</v>
      </c>
      <c r="F337" s="4">
        <v>0.35</v>
      </c>
      <c r="G337" s="4">
        <v>0.45</v>
      </c>
      <c r="H337" s="17">
        <f t="shared" si="10"/>
        <v>5.7156957613932405E-5</v>
      </c>
      <c r="L337">
        <f t="shared" si="11"/>
        <v>3.3000000000000002E-2</v>
      </c>
    </row>
    <row r="338" spans="1:12" x14ac:dyDescent="0.25">
      <c r="A338" s="1">
        <v>337</v>
      </c>
      <c r="B338" s="2">
        <v>7276588</v>
      </c>
      <c r="C338" s="3">
        <v>2.5999999999999999E-2</v>
      </c>
      <c r="D338" s="1">
        <v>0.75</v>
      </c>
      <c r="E338" s="4">
        <v>0.18</v>
      </c>
      <c r="F338" s="4">
        <v>0.22</v>
      </c>
      <c r="G338" s="4">
        <v>0.60000000000000009</v>
      </c>
      <c r="H338" s="17">
        <f t="shared" si="10"/>
        <v>2.8603531332407573E-5</v>
      </c>
      <c r="L338">
        <f t="shared" si="11"/>
        <v>1.95E-2</v>
      </c>
    </row>
    <row r="339" spans="1:12" x14ac:dyDescent="0.25">
      <c r="A339" s="1">
        <v>338</v>
      </c>
      <c r="B339" s="2">
        <v>8467316</v>
      </c>
      <c r="C339" s="3">
        <v>3.5999999999999997E-2</v>
      </c>
      <c r="D339" s="1">
        <v>0.75</v>
      </c>
      <c r="E339" s="4">
        <v>0.2</v>
      </c>
      <c r="F339" s="4">
        <v>0.28000000000000003</v>
      </c>
      <c r="G339" s="4">
        <v>0.52</v>
      </c>
      <c r="H339" s="17">
        <f t="shared" si="10"/>
        <v>4.6085763665112602E-5</v>
      </c>
      <c r="L339">
        <f t="shared" si="11"/>
        <v>2.6999999999999996E-2</v>
      </c>
    </row>
    <row r="340" spans="1:12" x14ac:dyDescent="0.25">
      <c r="A340" s="1">
        <v>339</v>
      </c>
      <c r="B340" s="2">
        <v>5016022</v>
      </c>
      <c r="C340" s="3">
        <v>3.6999999999999998E-2</v>
      </c>
      <c r="D340" s="1">
        <v>0.67</v>
      </c>
      <c r="E340" s="4">
        <v>0.22</v>
      </c>
      <c r="F340" s="4">
        <v>0.16</v>
      </c>
      <c r="G340" s="4">
        <v>0.62</v>
      </c>
      <c r="H340" s="17">
        <f t="shared" si="10"/>
        <v>2.5066472145472313E-5</v>
      </c>
      <c r="L340">
        <f t="shared" si="11"/>
        <v>2.479E-2</v>
      </c>
    </row>
    <row r="341" spans="1:12" x14ac:dyDescent="0.25">
      <c r="A341" s="1">
        <v>340</v>
      </c>
      <c r="B341" s="2">
        <v>7256860</v>
      </c>
      <c r="C341" s="3">
        <v>2.7E-2</v>
      </c>
      <c r="D341" s="1">
        <v>0.75</v>
      </c>
      <c r="E341" s="4">
        <v>0.25</v>
      </c>
      <c r="F341" s="4">
        <v>0.27</v>
      </c>
      <c r="G341" s="4">
        <v>0.48</v>
      </c>
      <c r="H341" s="17">
        <f t="shared" si="10"/>
        <v>2.9623135735468808E-5</v>
      </c>
      <c r="L341">
        <f t="shared" si="11"/>
        <v>2.0250000000000001E-2</v>
      </c>
    </row>
    <row r="342" spans="1:12" x14ac:dyDescent="0.25">
      <c r="A342" s="1">
        <v>341</v>
      </c>
      <c r="B342" s="2">
        <v>5574435</v>
      </c>
      <c r="C342" s="3">
        <v>2.7E-2</v>
      </c>
      <c r="D342" s="1">
        <v>0.67</v>
      </c>
      <c r="E342" s="4">
        <v>0.18</v>
      </c>
      <c r="F342" s="4">
        <v>0.19</v>
      </c>
      <c r="G342" s="4">
        <v>0.63000000000000012</v>
      </c>
      <c r="H342" s="17">
        <f t="shared" si="10"/>
        <v>2.0328094872599112E-5</v>
      </c>
      <c r="L342">
        <f t="shared" si="11"/>
        <v>1.8090000000000002E-2</v>
      </c>
    </row>
    <row r="343" spans="1:12" x14ac:dyDescent="0.25">
      <c r="A343" s="1">
        <v>342</v>
      </c>
      <c r="B343" s="2">
        <v>6649767</v>
      </c>
      <c r="C343" s="3">
        <v>0.04</v>
      </c>
      <c r="D343" s="1">
        <v>0.67</v>
      </c>
      <c r="E343" s="4">
        <v>0.18</v>
      </c>
      <c r="F343" s="4">
        <v>0.28000000000000003</v>
      </c>
      <c r="G343" s="4">
        <v>0.54</v>
      </c>
      <c r="H343" s="17">
        <f t="shared" si="10"/>
        <v>3.5925140782526417E-5</v>
      </c>
      <c r="L343">
        <f t="shared" si="11"/>
        <v>2.6800000000000001E-2</v>
      </c>
    </row>
    <row r="344" spans="1:12" x14ac:dyDescent="0.25">
      <c r="A344" s="1">
        <v>343</v>
      </c>
      <c r="B344" s="2">
        <v>6012965</v>
      </c>
      <c r="C344" s="3">
        <v>4.1000000000000002E-2</v>
      </c>
      <c r="D344" s="1">
        <v>0.67</v>
      </c>
      <c r="E344" s="4">
        <v>0.16</v>
      </c>
      <c r="F344" s="4">
        <v>0.24</v>
      </c>
      <c r="G344" s="4">
        <v>0.6</v>
      </c>
      <c r="H344" s="17">
        <f t="shared" si="10"/>
        <v>3.3296960555014795E-5</v>
      </c>
      <c r="L344">
        <f t="shared" si="11"/>
        <v>2.7470000000000001E-2</v>
      </c>
    </row>
    <row r="345" spans="1:12" x14ac:dyDescent="0.25">
      <c r="A345" s="1">
        <v>344</v>
      </c>
      <c r="B345" s="2">
        <v>8665571</v>
      </c>
      <c r="C345" s="3">
        <v>4.4999999999999998E-2</v>
      </c>
      <c r="D345" s="1">
        <v>0.75</v>
      </c>
      <c r="E345" s="4">
        <v>0.24</v>
      </c>
      <c r="F345" s="4">
        <v>0.23</v>
      </c>
      <c r="G345" s="4">
        <v>0.53</v>
      </c>
      <c r="H345" s="17">
        <f t="shared" si="10"/>
        <v>5.8956028263450522E-5</v>
      </c>
      <c r="L345">
        <f t="shared" si="11"/>
        <v>3.3750000000000002E-2</v>
      </c>
    </row>
    <row r="346" spans="1:12" x14ac:dyDescent="0.25">
      <c r="A346" s="1">
        <v>345</v>
      </c>
      <c r="B346" s="2">
        <v>3101279</v>
      </c>
      <c r="C346" s="3">
        <v>3.3000000000000002E-2</v>
      </c>
      <c r="D346" s="1">
        <v>0.5</v>
      </c>
      <c r="E346" s="4">
        <v>0.16</v>
      </c>
      <c r="F346" s="4">
        <v>0.34</v>
      </c>
      <c r="G346" s="4">
        <v>0.49999999999999989</v>
      </c>
      <c r="H346" s="17">
        <f t="shared" si="10"/>
        <v>1.0315304175289655E-5</v>
      </c>
      <c r="L346">
        <f t="shared" si="11"/>
        <v>1.6500000000000001E-2</v>
      </c>
    </row>
    <row r="347" spans="1:12" x14ac:dyDescent="0.25">
      <c r="A347" s="1">
        <v>346</v>
      </c>
      <c r="B347" s="2">
        <v>3245176</v>
      </c>
      <c r="C347" s="3">
        <v>3.1E-2</v>
      </c>
      <c r="D347" s="1">
        <v>0.5</v>
      </c>
      <c r="E347" s="4">
        <v>0.15</v>
      </c>
      <c r="F347" s="4">
        <v>0.18</v>
      </c>
      <c r="G347" s="4">
        <v>0.67</v>
      </c>
      <c r="H347" s="17">
        <f t="shared" si="10"/>
        <v>1.0139749124355344E-5</v>
      </c>
      <c r="L347">
        <f t="shared" si="11"/>
        <v>1.55E-2</v>
      </c>
    </row>
    <row r="348" spans="1:12" x14ac:dyDescent="0.25">
      <c r="A348" s="1">
        <v>347</v>
      </c>
      <c r="B348" s="2">
        <v>2326477</v>
      </c>
      <c r="C348" s="3">
        <v>3.2000000000000001E-2</v>
      </c>
      <c r="D348" s="1">
        <v>0.5</v>
      </c>
      <c r="E348" s="4">
        <v>0.15</v>
      </c>
      <c r="F348" s="4">
        <v>0.35</v>
      </c>
      <c r="G348" s="4">
        <v>0.5</v>
      </c>
      <c r="H348" s="17">
        <f t="shared" si="10"/>
        <v>7.5037093266719487E-6</v>
      </c>
      <c r="L348">
        <f t="shared" si="11"/>
        <v>1.6E-2</v>
      </c>
    </row>
    <row r="349" spans="1:12" x14ac:dyDescent="0.25">
      <c r="A349" s="1">
        <v>348</v>
      </c>
      <c r="B349" s="2">
        <v>4272981</v>
      </c>
      <c r="C349" s="3">
        <v>3.5000000000000003E-2</v>
      </c>
      <c r="D349" s="1">
        <v>0.67</v>
      </c>
      <c r="E349" s="4">
        <v>0.22</v>
      </c>
      <c r="F349" s="4">
        <v>0.18</v>
      </c>
      <c r="G349" s="4">
        <v>0.60000000000000009</v>
      </c>
      <c r="H349" s="17">
        <f t="shared" si="10"/>
        <v>2.0199055619212365E-5</v>
      </c>
      <c r="L349">
        <f t="shared" si="11"/>
        <v>2.3450000000000002E-2</v>
      </c>
    </row>
    <row r="350" spans="1:12" x14ac:dyDescent="0.25">
      <c r="A350" s="1">
        <v>349</v>
      </c>
      <c r="B350" s="2">
        <v>3562287</v>
      </c>
      <c r="C350" s="3">
        <v>0.03</v>
      </c>
      <c r="D350" s="1">
        <v>0.5</v>
      </c>
      <c r="E350" s="4">
        <v>0.23</v>
      </c>
      <c r="F350" s="4">
        <v>0.18</v>
      </c>
      <c r="G350" s="4">
        <v>0.59000000000000008</v>
      </c>
      <c r="H350" s="17">
        <f t="shared" si="10"/>
        <v>1.0771530644638159E-5</v>
      </c>
      <c r="L350">
        <f t="shared" si="11"/>
        <v>1.4999999999999999E-2</v>
      </c>
    </row>
    <row r="351" spans="1:12" x14ac:dyDescent="0.25">
      <c r="A351" s="1">
        <v>350</v>
      </c>
      <c r="B351" s="2">
        <v>3251156</v>
      </c>
      <c r="C351" s="3">
        <v>0.04</v>
      </c>
      <c r="D351" s="1">
        <v>0.5</v>
      </c>
      <c r="E351" s="4">
        <v>0.17</v>
      </c>
      <c r="F351" s="4">
        <v>0.28000000000000003</v>
      </c>
      <c r="G351" s="4">
        <v>0.54999999999999993</v>
      </c>
      <c r="H351" s="17">
        <f t="shared" si="10"/>
        <v>1.3107656770121447E-5</v>
      </c>
      <c r="L351">
        <f t="shared" si="11"/>
        <v>0.02</v>
      </c>
    </row>
    <row r="352" spans="1:12" x14ac:dyDescent="0.25">
      <c r="A352" s="1">
        <v>351</v>
      </c>
      <c r="B352" s="2">
        <v>2195268</v>
      </c>
      <c r="C352" s="3">
        <v>2.4E-2</v>
      </c>
      <c r="D352" s="1">
        <v>0.5</v>
      </c>
      <c r="E352" s="4">
        <v>0.2</v>
      </c>
      <c r="F352" s="4">
        <v>0.27</v>
      </c>
      <c r="G352" s="4">
        <v>0.53</v>
      </c>
      <c r="H352" s="17">
        <f t="shared" si="10"/>
        <v>5.3103854990220652E-6</v>
      </c>
      <c r="L352">
        <f t="shared" si="11"/>
        <v>1.2E-2</v>
      </c>
    </row>
    <row r="353" spans="1:12" x14ac:dyDescent="0.25">
      <c r="A353" s="1">
        <v>352</v>
      </c>
      <c r="B353" s="2">
        <v>2797072</v>
      </c>
      <c r="C353" s="3">
        <v>2.9000000000000001E-2</v>
      </c>
      <c r="D353" s="1">
        <v>0.5</v>
      </c>
      <c r="E353" s="4">
        <v>0.17</v>
      </c>
      <c r="F353" s="4">
        <v>0.32</v>
      </c>
      <c r="G353" s="4">
        <v>0.5099999999999999</v>
      </c>
      <c r="H353" s="17">
        <f t="shared" si="10"/>
        <v>8.1757744966882324E-6</v>
      </c>
      <c r="L353">
        <f t="shared" si="11"/>
        <v>1.4500000000000001E-2</v>
      </c>
    </row>
    <row r="354" spans="1:12" x14ac:dyDescent="0.25">
      <c r="A354" s="1">
        <v>353</v>
      </c>
      <c r="B354" s="2">
        <v>4238790</v>
      </c>
      <c r="C354" s="3">
        <v>3.4000000000000002E-2</v>
      </c>
      <c r="D354" s="1">
        <v>0.67</v>
      </c>
      <c r="E354" s="4">
        <v>0.19</v>
      </c>
      <c r="F354" s="4">
        <v>0.23</v>
      </c>
      <c r="G354" s="4">
        <v>0.58000000000000007</v>
      </c>
      <c r="H354" s="17">
        <f t="shared" si="10"/>
        <v>1.94649313837508E-5</v>
      </c>
      <c r="L354">
        <f t="shared" si="11"/>
        <v>2.2780000000000002E-2</v>
      </c>
    </row>
    <row r="355" spans="1:12" x14ac:dyDescent="0.25">
      <c r="A355" s="1">
        <v>354</v>
      </c>
      <c r="B355" s="2">
        <v>4258943</v>
      </c>
      <c r="C355" s="3">
        <v>3.3000000000000002E-2</v>
      </c>
      <c r="D355" s="1">
        <v>0.67</v>
      </c>
      <c r="E355" s="4">
        <v>0.18</v>
      </c>
      <c r="F355" s="4">
        <v>0.35</v>
      </c>
      <c r="G355" s="4">
        <v>0.47000000000000003</v>
      </c>
      <c r="H355" s="17">
        <f t="shared" si="10"/>
        <v>1.8982256018789562E-5</v>
      </c>
      <c r="L355">
        <f t="shared" si="11"/>
        <v>2.2110000000000001E-2</v>
      </c>
    </row>
    <row r="356" spans="1:12" x14ac:dyDescent="0.25">
      <c r="A356" s="1">
        <v>355</v>
      </c>
      <c r="B356" s="2">
        <v>3376070</v>
      </c>
      <c r="C356" s="3">
        <v>2.3E-2</v>
      </c>
      <c r="D356" s="1">
        <v>0.5</v>
      </c>
      <c r="E356" s="4">
        <v>0.16</v>
      </c>
      <c r="F356" s="4">
        <v>0.25</v>
      </c>
      <c r="G356" s="4">
        <v>0.59</v>
      </c>
      <c r="H356" s="17">
        <f t="shared" si="10"/>
        <v>7.8264810748376124E-6</v>
      </c>
      <c r="L356">
        <f t="shared" si="11"/>
        <v>1.15E-2</v>
      </c>
    </row>
    <row r="357" spans="1:12" x14ac:dyDescent="0.25">
      <c r="A357" s="1">
        <v>356</v>
      </c>
      <c r="B357" s="2">
        <v>2544425</v>
      </c>
      <c r="C357" s="3">
        <v>2.1000000000000001E-2</v>
      </c>
      <c r="D357" s="1">
        <v>0.5</v>
      </c>
      <c r="E357" s="4">
        <v>0.16</v>
      </c>
      <c r="F357" s="4">
        <v>0.23</v>
      </c>
      <c r="G357" s="4">
        <v>0.61</v>
      </c>
      <c r="H357" s="17">
        <f t="shared" si="10"/>
        <v>5.3856262289754902E-6</v>
      </c>
      <c r="L357">
        <f t="shared" si="11"/>
        <v>1.0500000000000001E-2</v>
      </c>
    </row>
    <row r="358" spans="1:12" x14ac:dyDescent="0.25">
      <c r="A358" s="1">
        <v>357</v>
      </c>
      <c r="B358" s="2">
        <v>4295763</v>
      </c>
      <c r="C358" s="3">
        <v>2.8000000000000001E-2</v>
      </c>
      <c r="D358" s="1">
        <v>0.67</v>
      </c>
      <c r="E358" s="4">
        <v>0.22</v>
      </c>
      <c r="F358" s="4">
        <v>0.23</v>
      </c>
      <c r="G358" s="4">
        <v>0.55000000000000004</v>
      </c>
      <c r="H358" s="17">
        <f t="shared" si="10"/>
        <v>1.624539978323415E-5</v>
      </c>
      <c r="L358">
        <f t="shared" si="11"/>
        <v>1.8760000000000002E-2</v>
      </c>
    </row>
    <row r="359" spans="1:12" x14ac:dyDescent="0.25">
      <c r="A359" s="1">
        <v>358</v>
      </c>
      <c r="B359" s="2">
        <v>3105349</v>
      </c>
      <c r="C359" s="3">
        <v>1.7999999999999999E-2</v>
      </c>
      <c r="D359" s="1">
        <v>0.5</v>
      </c>
      <c r="E359" s="4">
        <v>0.21</v>
      </c>
      <c r="F359" s="4">
        <v>0.16</v>
      </c>
      <c r="G359" s="4">
        <v>0.63</v>
      </c>
      <c r="H359" s="17">
        <f t="shared" si="10"/>
        <v>5.6339135924415622E-6</v>
      </c>
      <c r="L359">
        <f t="shared" si="11"/>
        <v>8.9999999999999993E-3</v>
      </c>
    </row>
    <row r="360" spans="1:12" x14ac:dyDescent="0.25">
      <c r="A360" s="1">
        <v>359</v>
      </c>
      <c r="B360" s="2">
        <v>2440987</v>
      </c>
      <c r="C360" s="3">
        <v>2.5999999999999999E-2</v>
      </c>
      <c r="D360" s="1">
        <v>0.5</v>
      </c>
      <c r="E360" s="4">
        <v>0.22</v>
      </c>
      <c r="F360" s="4">
        <v>0.27</v>
      </c>
      <c r="G360" s="4">
        <v>0.51</v>
      </c>
      <c r="H360" s="17">
        <f t="shared" si="10"/>
        <v>6.3968486454090437E-6</v>
      </c>
      <c r="L360">
        <f t="shared" si="11"/>
        <v>1.2999999999999999E-2</v>
      </c>
    </row>
    <row r="361" spans="1:12" x14ac:dyDescent="0.25">
      <c r="A361" s="1">
        <v>360</v>
      </c>
      <c r="B361" s="2">
        <v>2873864</v>
      </c>
      <c r="C361" s="3">
        <v>2.1000000000000001E-2</v>
      </c>
      <c r="D361" s="1">
        <v>0.5</v>
      </c>
      <c r="E361" s="4">
        <v>0.2</v>
      </c>
      <c r="F361" s="4">
        <v>0.3</v>
      </c>
      <c r="G361" s="4">
        <v>0.49999999999999994</v>
      </c>
      <c r="H361" s="17">
        <f t="shared" si="10"/>
        <v>6.0829292814323151E-6</v>
      </c>
      <c r="L361">
        <f t="shared" si="11"/>
        <v>1.0500000000000001E-2</v>
      </c>
    </row>
    <row r="362" spans="1:12" x14ac:dyDescent="0.25">
      <c r="A362" s="1">
        <v>361</v>
      </c>
      <c r="B362" s="2">
        <v>2253943</v>
      </c>
      <c r="C362" s="3">
        <v>1.7000000000000001E-2</v>
      </c>
      <c r="D362" s="1">
        <v>0.5</v>
      </c>
      <c r="E362" s="4">
        <v>0.24</v>
      </c>
      <c r="F362" s="4">
        <v>0.25</v>
      </c>
      <c r="G362" s="4">
        <v>0.51</v>
      </c>
      <c r="H362" s="17">
        <f t="shared" si="10"/>
        <v>3.8620608392684279E-6</v>
      </c>
      <c r="L362">
        <f t="shared" si="11"/>
        <v>8.5000000000000006E-3</v>
      </c>
    </row>
    <row r="363" spans="1:12" x14ac:dyDescent="0.25">
      <c r="A363" s="1">
        <v>362</v>
      </c>
      <c r="B363" s="2">
        <v>2189687</v>
      </c>
      <c r="C363" s="3">
        <v>1.7000000000000001E-2</v>
      </c>
      <c r="D363" s="1">
        <v>0.5</v>
      </c>
      <c r="E363" s="4">
        <v>0.16</v>
      </c>
      <c r="F363" s="4">
        <v>0.15</v>
      </c>
      <c r="G363" s="4">
        <v>0.69</v>
      </c>
      <c r="H363" s="17">
        <f t="shared" si="10"/>
        <v>3.751960192851002E-6</v>
      </c>
      <c r="L363">
        <f t="shared" si="11"/>
        <v>8.5000000000000006E-3</v>
      </c>
    </row>
    <row r="364" spans="1:12" x14ac:dyDescent="0.25">
      <c r="A364" s="1">
        <v>363</v>
      </c>
      <c r="B364" s="2">
        <v>2601038</v>
      </c>
      <c r="C364" s="3">
        <v>2.3E-2</v>
      </c>
      <c r="D364" s="1">
        <v>0.5</v>
      </c>
      <c r="E364" s="4">
        <v>0.15</v>
      </c>
      <c r="F364" s="4">
        <v>0.23</v>
      </c>
      <c r="G364" s="4">
        <v>0.62</v>
      </c>
      <c r="H364" s="17">
        <f t="shared" si="10"/>
        <v>6.0297845370307697E-6</v>
      </c>
      <c r="L364">
        <f t="shared" si="11"/>
        <v>1.15E-2</v>
      </c>
    </row>
    <row r="365" spans="1:12" x14ac:dyDescent="0.25">
      <c r="A365" s="1">
        <v>364</v>
      </c>
      <c r="B365" s="2">
        <v>2537695</v>
      </c>
      <c r="C365" s="3">
        <v>3.1E-2</v>
      </c>
      <c r="D365" s="1">
        <v>0.5</v>
      </c>
      <c r="E365" s="4">
        <v>0.16</v>
      </c>
      <c r="F365" s="4">
        <v>0.24</v>
      </c>
      <c r="G365" s="4">
        <v>0.6</v>
      </c>
      <c r="H365" s="17">
        <f t="shared" si="10"/>
        <v>7.9291818545838292E-6</v>
      </c>
      <c r="L365">
        <f t="shared" si="11"/>
        <v>1.55E-2</v>
      </c>
    </row>
    <row r="366" spans="1:12" x14ac:dyDescent="0.25">
      <c r="A366" s="1">
        <v>365</v>
      </c>
      <c r="B366" s="2">
        <v>3895127</v>
      </c>
      <c r="C366" s="3">
        <v>1.7000000000000001E-2</v>
      </c>
      <c r="D366" s="1">
        <v>0.5</v>
      </c>
      <c r="E366" s="4">
        <v>0.18</v>
      </c>
      <c r="F366" s="4">
        <v>0.17</v>
      </c>
      <c r="G366" s="4">
        <v>0.64999999999999991</v>
      </c>
      <c r="H366" s="17">
        <f t="shared" si="10"/>
        <v>6.6741782958473719E-6</v>
      </c>
      <c r="L366">
        <f t="shared" si="11"/>
        <v>8.5000000000000006E-3</v>
      </c>
    </row>
    <row r="367" spans="1:12" x14ac:dyDescent="0.25">
      <c r="A367" s="1">
        <v>366</v>
      </c>
      <c r="B367" s="2">
        <v>2186400</v>
      </c>
      <c r="C367" s="3">
        <v>1.7000000000000001E-2</v>
      </c>
      <c r="D367" s="1">
        <v>0.5</v>
      </c>
      <c r="E367" s="4">
        <v>0.24</v>
      </c>
      <c r="F367" s="4">
        <v>0.27</v>
      </c>
      <c r="G367" s="4">
        <v>0.49</v>
      </c>
      <c r="H367" s="17">
        <f t="shared" si="10"/>
        <v>3.7463280211507083E-6</v>
      </c>
      <c r="L367">
        <f t="shared" si="11"/>
        <v>8.5000000000000006E-3</v>
      </c>
    </row>
    <row r="368" spans="1:12" x14ac:dyDescent="0.25">
      <c r="A368" s="1">
        <v>367</v>
      </c>
      <c r="B368" s="2">
        <v>3454021</v>
      </c>
      <c r="C368" s="3">
        <v>2.1999999999999999E-2</v>
      </c>
      <c r="D368" s="1">
        <v>0.5</v>
      </c>
      <c r="E368" s="4">
        <v>0.15</v>
      </c>
      <c r="F368" s="4">
        <v>0.27</v>
      </c>
      <c r="G368" s="4">
        <v>0.57999999999999996</v>
      </c>
      <c r="H368" s="17">
        <f t="shared" si="10"/>
        <v>7.6590501838839503E-6</v>
      </c>
      <c r="L368">
        <f t="shared" si="11"/>
        <v>1.0999999999999999E-2</v>
      </c>
    </row>
    <row r="369" spans="1:12" x14ac:dyDescent="0.25">
      <c r="A369" s="1">
        <v>368</v>
      </c>
      <c r="B369" s="2">
        <v>2941523</v>
      </c>
      <c r="C369" s="3">
        <v>2.8000000000000001E-2</v>
      </c>
      <c r="D369" s="1">
        <v>0.5</v>
      </c>
      <c r="E369" s="4">
        <v>0.16</v>
      </c>
      <c r="F369" s="4">
        <v>0.28000000000000003</v>
      </c>
      <c r="G369" s="4">
        <v>0.55999999999999994</v>
      </c>
      <c r="H369" s="17">
        <f t="shared" si="10"/>
        <v>8.301518507814625E-6</v>
      </c>
      <c r="L369">
        <f t="shared" si="11"/>
        <v>1.4E-2</v>
      </c>
    </row>
    <row r="370" spans="1:12" x14ac:dyDescent="0.25">
      <c r="A370" s="1">
        <v>369</v>
      </c>
      <c r="B370" s="2">
        <v>2348568</v>
      </c>
      <c r="C370" s="3">
        <v>2.5999999999999999E-2</v>
      </c>
      <c r="D370" s="1">
        <v>0.5</v>
      </c>
      <c r="E370" s="4">
        <v>0.2</v>
      </c>
      <c r="F370" s="4">
        <v>0.22</v>
      </c>
      <c r="G370" s="4">
        <v>0.58000000000000007</v>
      </c>
      <c r="H370" s="17">
        <f t="shared" si="10"/>
        <v>6.1546554854454478E-6</v>
      </c>
      <c r="L370">
        <f t="shared" si="11"/>
        <v>1.2999999999999999E-2</v>
      </c>
    </row>
    <row r="371" spans="1:12" x14ac:dyDescent="0.25">
      <c r="A371" s="1">
        <v>370</v>
      </c>
      <c r="B371" s="2">
        <v>2544166</v>
      </c>
      <c r="C371" s="3">
        <v>1.6E-2</v>
      </c>
      <c r="D371" s="1">
        <v>0.5</v>
      </c>
      <c r="E371" s="4">
        <v>0.2</v>
      </c>
      <c r="F371" s="4">
        <v>0.25</v>
      </c>
      <c r="G371" s="4">
        <v>0.55000000000000004</v>
      </c>
      <c r="H371" s="17">
        <f t="shared" si="10"/>
        <v>4.1029165864957328E-6</v>
      </c>
      <c r="L371">
        <f t="shared" si="11"/>
        <v>8.0000000000000002E-3</v>
      </c>
    </row>
    <row r="372" spans="1:12" x14ac:dyDescent="0.25">
      <c r="A372" s="1">
        <v>371</v>
      </c>
      <c r="B372" s="2">
        <v>2888269</v>
      </c>
      <c r="C372" s="3">
        <v>3.1E-2</v>
      </c>
      <c r="D372" s="1">
        <v>0.5</v>
      </c>
      <c r="E372" s="4">
        <v>0.23</v>
      </c>
      <c r="F372" s="4">
        <v>0.28000000000000003</v>
      </c>
      <c r="G372" s="4">
        <v>0.49</v>
      </c>
      <c r="H372" s="17">
        <f t="shared" si="10"/>
        <v>9.0245715682763209E-6</v>
      </c>
      <c r="L372">
        <f t="shared" si="11"/>
        <v>1.55E-2</v>
      </c>
    </row>
    <row r="373" spans="1:12" x14ac:dyDescent="0.25">
      <c r="A373" s="1">
        <v>372</v>
      </c>
      <c r="B373" s="2">
        <v>2963169</v>
      </c>
      <c r="C373" s="3">
        <v>1.4999999999999999E-2</v>
      </c>
      <c r="D373" s="1">
        <v>0.5</v>
      </c>
      <c r="E373" s="4">
        <v>0.19</v>
      </c>
      <c r="F373" s="4">
        <v>0.34</v>
      </c>
      <c r="G373" s="4">
        <v>0.46999999999999992</v>
      </c>
      <c r="H373" s="17">
        <f t="shared" si="10"/>
        <v>4.4799683024896366E-6</v>
      </c>
      <c r="L373">
        <f t="shared" si="11"/>
        <v>7.4999999999999997E-3</v>
      </c>
    </row>
    <row r="374" spans="1:12" x14ac:dyDescent="0.25">
      <c r="A374" s="1">
        <v>373</v>
      </c>
      <c r="B374" s="2">
        <v>3502353</v>
      </c>
      <c r="C374" s="3">
        <v>1.7000000000000001E-2</v>
      </c>
      <c r="D374" s="1">
        <v>0.5</v>
      </c>
      <c r="E374" s="4">
        <v>0.19</v>
      </c>
      <c r="F374" s="4">
        <v>0.15</v>
      </c>
      <c r="G374" s="4">
        <v>0.65999999999999992</v>
      </c>
      <c r="H374" s="17">
        <f t="shared" si="10"/>
        <v>6.0011723307085833E-6</v>
      </c>
      <c r="L374">
        <f t="shared" si="11"/>
        <v>8.5000000000000006E-3</v>
      </c>
    </row>
    <row r="375" spans="1:12" x14ac:dyDescent="0.25">
      <c r="A375" s="1">
        <v>374</v>
      </c>
      <c r="B375" s="2">
        <v>3726667</v>
      </c>
      <c r="C375" s="3">
        <v>0.03</v>
      </c>
      <c r="D375" s="1">
        <v>0.5</v>
      </c>
      <c r="E375" s="4">
        <v>0.15</v>
      </c>
      <c r="F375" s="4">
        <v>0.16</v>
      </c>
      <c r="G375" s="4">
        <v>0.69</v>
      </c>
      <c r="H375" s="17">
        <f t="shared" si="10"/>
        <v>1.1268577684184837E-5</v>
      </c>
      <c r="L375">
        <f t="shared" si="11"/>
        <v>1.4999999999999999E-2</v>
      </c>
    </row>
    <row r="376" spans="1:12" x14ac:dyDescent="0.25">
      <c r="A376" s="1">
        <v>375</v>
      </c>
      <c r="B376" s="2">
        <v>4421516</v>
      </c>
      <c r="C376" s="3">
        <v>2.1000000000000001E-2</v>
      </c>
      <c r="D376" s="1">
        <v>0.67</v>
      </c>
      <c r="E376" s="4">
        <v>0.17</v>
      </c>
      <c r="F376" s="4">
        <v>0.31</v>
      </c>
      <c r="G376" s="4">
        <v>0.51999999999999991</v>
      </c>
      <c r="H376" s="17">
        <f t="shared" si="10"/>
        <v>1.2540722405070941E-5</v>
      </c>
      <c r="L376">
        <f t="shared" si="11"/>
        <v>1.4070000000000001E-2</v>
      </c>
    </row>
    <row r="377" spans="1:12" x14ac:dyDescent="0.25">
      <c r="A377" s="1">
        <v>376</v>
      </c>
      <c r="B377" s="2">
        <v>3886279</v>
      </c>
      <c r="C377" s="3">
        <v>1.9E-2</v>
      </c>
      <c r="D377" s="1">
        <v>0.5</v>
      </c>
      <c r="E377" s="4">
        <v>0.2</v>
      </c>
      <c r="F377" s="4">
        <v>0.24</v>
      </c>
      <c r="G377" s="4">
        <v>0.56000000000000005</v>
      </c>
      <c r="H377" s="17">
        <f t="shared" si="10"/>
        <v>7.4424313509847365E-6</v>
      </c>
      <c r="L377">
        <f t="shared" si="11"/>
        <v>9.4999999999999998E-3</v>
      </c>
    </row>
    <row r="378" spans="1:12" x14ac:dyDescent="0.25">
      <c r="A378" s="1">
        <v>377</v>
      </c>
      <c r="B378" s="2">
        <v>2443432</v>
      </c>
      <c r="C378" s="3">
        <v>1.6E-2</v>
      </c>
      <c r="D378" s="1">
        <v>0.5</v>
      </c>
      <c r="E378" s="4">
        <v>0.21</v>
      </c>
      <c r="F378" s="4">
        <v>0.32</v>
      </c>
      <c r="G378" s="4">
        <v>0.47</v>
      </c>
      <c r="H378" s="17">
        <f t="shared" si="10"/>
        <v>3.9404652372425553E-6</v>
      </c>
      <c r="L378">
        <f t="shared" si="11"/>
        <v>8.0000000000000002E-3</v>
      </c>
    </row>
    <row r="379" spans="1:12" x14ac:dyDescent="0.25">
      <c r="A379" s="1">
        <v>378</v>
      </c>
      <c r="B379" s="2">
        <v>2015581</v>
      </c>
      <c r="C379" s="3">
        <v>2.1999999999999999E-2</v>
      </c>
      <c r="D379" s="1">
        <v>0.5</v>
      </c>
      <c r="E379" s="4">
        <v>0.17</v>
      </c>
      <c r="F379" s="4">
        <v>0.23</v>
      </c>
      <c r="G379" s="4">
        <v>0.6</v>
      </c>
      <c r="H379" s="17">
        <f t="shared" si="10"/>
        <v>4.46941000899618E-6</v>
      </c>
      <c r="L379">
        <f t="shared" si="11"/>
        <v>1.0999999999999999E-2</v>
      </c>
    </row>
    <row r="380" spans="1:12" x14ac:dyDescent="0.25">
      <c r="A380" s="1">
        <v>379</v>
      </c>
      <c r="B380" s="2">
        <v>2280741</v>
      </c>
      <c r="C380" s="3">
        <v>2.8000000000000001E-2</v>
      </c>
      <c r="D380" s="1">
        <v>0.5</v>
      </c>
      <c r="E380" s="4">
        <v>0.18</v>
      </c>
      <c r="F380" s="4">
        <v>0.26</v>
      </c>
      <c r="G380" s="4">
        <v>0.56000000000000005</v>
      </c>
      <c r="H380" s="17">
        <f t="shared" si="10"/>
        <v>6.4366702633403293E-6</v>
      </c>
      <c r="L380">
        <f t="shared" si="11"/>
        <v>1.4E-2</v>
      </c>
    </row>
    <row r="381" spans="1:12" x14ac:dyDescent="0.25">
      <c r="A381" s="1">
        <v>380</v>
      </c>
      <c r="B381" s="2">
        <v>2555042</v>
      </c>
      <c r="C381" s="3">
        <v>1.9E-2</v>
      </c>
      <c r="D381" s="1">
        <v>0.5</v>
      </c>
      <c r="E381" s="4">
        <v>0.17</v>
      </c>
      <c r="F381" s="4">
        <v>0.33</v>
      </c>
      <c r="G381" s="4">
        <v>0.49999999999999989</v>
      </c>
      <c r="H381" s="17">
        <f t="shared" si="10"/>
        <v>4.8930415659510658E-6</v>
      </c>
      <c r="L381">
        <f t="shared" si="11"/>
        <v>9.4999999999999998E-3</v>
      </c>
    </row>
    <row r="382" spans="1:12" x14ac:dyDescent="0.25">
      <c r="A382" s="1">
        <v>381</v>
      </c>
      <c r="B382" s="2">
        <v>2500314</v>
      </c>
      <c r="C382" s="3">
        <v>0.02</v>
      </c>
      <c r="D382" s="1">
        <v>0.5</v>
      </c>
      <c r="E382" s="4">
        <v>0.2</v>
      </c>
      <c r="F382" s="4">
        <v>0.2</v>
      </c>
      <c r="G382" s="4">
        <v>0.60000000000000009</v>
      </c>
      <c r="H382" s="17">
        <f t="shared" si="10"/>
        <v>5.0402468736550069E-6</v>
      </c>
      <c r="L382">
        <f t="shared" si="11"/>
        <v>0.01</v>
      </c>
    </row>
    <row r="383" spans="1:12" x14ac:dyDescent="0.25">
      <c r="A383" s="1">
        <v>382</v>
      </c>
      <c r="B383" s="2">
        <v>3876596</v>
      </c>
      <c r="C383" s="3">
        <v>0.03</v>
      </c>
      <c r="D383" s="1">
        <v>0.5</v>
      </c>
      <c r="E383" s="4">
        <v>0.21</v>
      </c>
      <c r="F383" s="4">
        <v>0.17</v>
      </c>
      <c r="G383" s="4">
        <v>0.62</v>
      </c>
      <c r="H383" s="17">
        <f t="shared" si="10"/>
        <v>1.1721928247466221E-5</v>
      </c>
      <c r="L383">
        <f t="shared" si="11"/>
        <v>1.4999999999999999E-2</v>
      </c>
    </row>
    <row r="384" spans="1:12" x14ac:dyDescent="0.25">
      <c r="A384" s="1">
        <v>383</v>
      </c>
      <c r="B384" s="2">
        <v>2753142</v>
      </c>
      <c r="C384" s="3">
        <v>0.02</v>
      </c>
      <c r="D384" s="1">
        <v>0.5</v>
      </c>
      <c r="E384" s="4">
        <v>0.17</v>
      </c>
      <c r="F384" s="4">
        <v>0.28999999999999998</v>
      </c>
      <c r="G384" s="4">
        <v>0.53999999999999992</v>
      </c>
      <c r="H384" s="17">
        <f t="shared" si="10"/>
        <v>5.5499090747115336E-6</v>
      </c>
      <c r="L384">
        <f t="shared" si="11"/>
        <v>0.01</v>
      </c>
    </row>
    <row r="385" spans="1:12" x14ac:dyDescent="0.25">
      <c r="A385" s="1">
        <v>384</v>
      </c>
      <c r="B385" s="2">
        <v>4609600</v>
      </c>
      <c r="C385" s="3">
        <v>3.5000000000000003E-2</v>
      </c>
      <c r="D385" s="1">
        <v>0.67</v>
      </c>
      <c r="E385" s="4">
        <v>0.17</v>
      </c>
      <c r="F385" s="4">
        <v>0.23</v>
      </c>
      <c r="G385" s="4">
        <v>0.6</v>
      </c>
      <c r="H385" s="17">
        <f t="shared" si="10"/>
        <v>2.179030676296509E-5</v>
      </c>
      <c r="L385">
        <f t="shared" si="11"/>
        <v>2.3450000000000002E-2</v>
      </c>
    </row>
    <row r="386" spans="1:12" x14ac:dyDescent="0.25">
      <c r="A386" s="1">
        <v>385</v>
      </c>
      <c r="B386" s="2">
        <v>4157889</v>
      </c>
      <c r="C386" s="3">
        <v>1.6E-2</v>
      </c>
      <c r="D386" s="1">
        <v>0.67</v>
      </c>
      <c r="E386" s="4">
        <v>0.25</v>
      </c>
      <c r="F386" s="4">
        <v>0.15</v>
      </c>
      <c r="G386" s="4">
        <v>0.6</v>
      </c>
      <c r="H386" s="17">
        <f t="shared" si="10"/>
        <v>8.985141746056244E-6</v>
      </c>
      <c r="L386">
        <f t="shared" si="11"/>
        <v>1.072E-2</v>
      </c>
    </row>
    <row r="387" spans="1:12" x14ac:dyDescent="0.25">
      <c r="A387" s="1">
        <v>386</v>
      </c>
      <c r="B387" s="2">
        <v>2933061</v>
      </c>
      <c r="C387" s="3">
        <v>2.7E-2</v>
      </c>
      <c r="D387" s="1">
        <v>0.5</v>
      </c>
      <c r="E387" s="4">
        <v>0.15</v>
      </c>
      <c r="F387" s="4">
        <v>0.31</v>
      </c>
      <c r="G387" s="4">
        <v>0.53999999999999992</v>
      </c>
      <c r="H387" s="17">
        <f t="shared" ref="H387:H450" si="12">B387*C387*D387/SUM($B$2:$B$1797)</f>
        <v>7.982007289048787E-6</v>
      </c>
      <c r="L387">
        <f t="shared" ref="L387:L450" si="13">C387*D387</f>
        <v>1.35E-2</v>
      </c>
    </row>
    <row r="388" spans="1:12" x14ac:dyDescent="0.25">
      <c r="A388" s="1">
        <v>387</v>
      </c>
      <c r="B388" s="2">
        <v>2444427</v>
      </c>
      <c r="C388" s="3">
        <v>1.7999999999999999E-2</v>
      </c>
      <c r="D388" s="1">
        <v>0.5</v>
      </c>
      <c r="E388" s="4">
        <v>0.24</v>
      </c>
      <c r="F388" s="4">
        <v>0.32</v>
      </c>
      <c r="G388" s="4">
        <v>0.43999999999999995</v>
      </c>
      <c r="H388" s="17">
        <f t="shared" si="12"/>
        <v>4.4348285815961906E-6</v>
      </c>
      <c r="L388">
        <f t="shared" si="13"/>
        <v>8.9999999999999993E-3</v>
      </c>
    </row>
    <row r="389" spans="1:12" x14ac:dyDescent="0.25">
      <c r="A389" s="1">
        <v>388</v>
      </c>
      <c r="B389" s="2">
        <v>2878771</v>
      </c>
      <c r="C389" s="3">
        <v>3.5000000000000003E-2</v>
      </c>
      <c r="D389" s="1">
        <v>0.5</v>
      </c>
      <c r="E389" s="4">
        <v>0.18</v>
      </c>
      <c r="F389" s="4">
        <v>0.33</v>
      </c>
      <c r="G389" s="4">
        <v>0.48999999999999994</v>
      </c>
      <c r="H389" s="17">
        <f t="shared" si="12"/>
        <v>1.0155526038832612E-5</v>
      </c>
      <c r="L389">
        <f t="shared" si="13"/>
        <v>1.7500000000000002E-2</v>
      </c>
    </row>
    <row r="390" spans="1:12" x14ac:dyDescent="0.25">
      <c r="A390" s="1">
        <v>389</v>
      </c>
      <c r="B390" s="2">
        <v>2998700</v>
      </c>
      <c r="C390" s="3">
        <v>2.9000000000000001E-2</v>
      </c>
      <c r="D390" s="1">
        <v>0.5</v>
      </c>
      <c r="E390" s="4">
        <v>0.15</v>
      </c>
      <c r="F390" s="4">
        <v>0.21</v>
      </c>
      <c r="G390" s="4">
        <v>0.64</v>
      </c>
      <c r="H390" s="17">
        <f t="shared" si="12"/>
        <v>8.7651283139007508E-6</v>
      </c>
      <c r="L390">
        <f t="shared" si="13"/>
        <v>1.4500000000000001E-2</v>
      </c>
    </row>
    <row r="391" spans="1:12" x14ac:dyDescent="0.25">
      <c r="A391" s="1">
        <v>390</v>
      </c>
      <c r="B391" s="2">
        <v>3092499</v>
      </c>
      <c r="C391" s="3">
        <v>3.2000000000000001E-2</v>
      </c>
      <c r="D391" s="1">
        <v>0.5</v>
      </c>
      <c r="E391" s="4">
        <v>0.19</v>
      </c>
      <c r="F391" s="4">
        <v>0.2</v>
      </c>
      <c r="G391" s="4">
        <v>0.6100000000000001</v>
      </c>
      <c r="H391" s="17">
        <f t="shared" si="12"/>
        <v>9.9744006018643977E-6</v>
      </c>
      <c r="L391">
        <f t="shared" si="13"/>
        <v>1.6E-2</v>
      </c>
    </row>
    <row r="392" spans="1:12" x14ac:dyDescent="0.25">
      <c r="A392" s="1">
        <v>391</v>
      </c>
      <c r="B392" s="2">
        <v>4107887</v>
      </c>
      <c r="C392" s="3">
        <v>1.4999999999999999E-2</v>
      </c>
      <c r="D392" s="1">
        <v>0.67</v>
      </c>
      <c r="E392" s="4">
        <v>0.2</v>
      </c>
      <c r="F392" s="4">
        <v>0.22</v>
      </c>
      <c r="G392" s="4">
        <v>0.58000000000000007</v>
      </c>
      <c r="H392" s="17">
        <f t="shared" si="12"/>
        <v>8.3222700957253528E-6</v>
      </c>
      <c r="L392">
        <f t="shared" si="13"/>
        <v>1.005E-2</v>
      </c>
    </row>
    <row r="393" spans="1:12" x14ac:dyDescent="0.25">
      <c r="A393" s="1">
        <v>392</v>
      </c>
      <c r="B393" s="2">
        <v>4030470</v>
      </c>
      <c r="C393" s="3">
        <v>3.3000000000000002E-2</v>
      </c>
      <c r="D393" s="1">
        <v>0.67</v>
      </c>
      <c r="E393" s="4">
        <v>0.24</v>
      </c>
      <c r="F393" s="4">
        <v>0.28999999999999998</v>
      </c>
      <c r="G393" s="4">
        <v>0.47</v>
      </c>
      <c r="H393" s="17">
        <f t="shared" si="12"/>
        <v>1.7963943968268834E-5</v>
      </c>
      <c r="L393">
        <f t="shared" si="13"/>
        <v>2.2110000000000001E-2</v>
      </c>
    </row>
    <row r="394" spans="1:12" x14ac:dyDescent="0.25">
      <c r="A394" s="1">
        <v>393</v>
      </c>
      <c r="B394" s="2">
        <v>2687248</v>
      </c>
      <c r="C394" s="3">
        <v>1.6E-2</v>
      </c>
      <c r="D394" s="1">
        <v>0.5</v>
      </c>
      <c r="E394" s="4">
        <v>0.23</v>
      </c>
      <c r="F394" s="4">
        <v>0.15</v>
      </c>
      <c r="G394" s="4">
        <v>0.62</v>
      </c>
      <c r="H394" s="17">
        <f t="shared" si="12"/>
        <v>4.3336615579437369E-6</v>
      </c>
      <c r="L394">
        <f t="shared" si="13"/>
        <v>8.0000000000000002E-3</v>
      </c>
    </row>
    <row r="395" spans="1:12" x14ac:dyDescent="0.25">
      <c r="A395" s="1">
        <v>394</v>
      </c>
      <c r="B395" s="2">
        <v>4697336</v>
      </c>
      <c r="C395" s="3">
        <v>2.1000000000000001E-2</v>
      </c>
      <c r="D395" s="1">
        <v>0.67</v>
      </c>
      <c r="E395" s="4">
        <v>0.16</v>
      </c>
      <c r="F395" s="4">
        <v>0.32</v>
      </c>
      <c r="G395" s="4">
        <v>0.51999999999999991</v>
      </c>
      <c r="H395" s="17">
        <f t="shared" si="12"/>
        <v>1.3323029209743063E-5</v>
      </c>
      <c r="L395">
        <f t="shared" si="13"/>
        <v>1.4070000000000001E-2</v>
      </c>
    </row>
    <row r="396" spans="1:12" x14ac:dyDescent="0.25">
      <c r="A396" s="1">
        <v>395</v>
      </c>
      <c r="B396" s="2">
        <v>4618987</v>
      </c>
      <c r="C396" s="3">
        <v>2.5999999999999999E-2</v>
      </c>
      <c r="D396" s="1">
        <v>0.67</v>
      </c>
      <c r="E396" s="4">
        <v>0.17</v>
      </c>
      <c r="F396" s="4">
        <v>0.22</v>
      </c>
      <c r="G396" s="4">
        <v>0.61</v>
      </c>
      <c r="H396" s="17">
        <f t="shared" si="12"/>
        <v>1.6220048440942152E-5</v>
      </c>
      <c r="L396">
        <f t="shared" si="13"/>
        <v>1.7420000000000001E-2</v>
      </c>
    </row>
    <row r="397" spans="1:12" x14ac:dyDescent="0.25">
      <c r="A397" s="1">
        <v>396</v>
      </c>
      <c r="B397" s="2">
        <v>4593153</v>
      </c>
      <c r="C397" s="3">
        <v>1.7000000000000001E-2</v>
      </c>
      <c r="D397" s="1">
        <v>0.67</v>
      </c>
      <c r="E397" s="4">
        <v>0.2</v>
      </c>
      <c r="F397" s="4">
        <v>0.2</v>
      </c>
      <c r="G397" s="4">
        <v>0.60000000000000009</v>
      </c>
      <c r="H397" s="17">
        <f t="shared" si="12"/>
        <v>1.0546100181899686E-5</v>
      </c>
      <c r="L397">
        <f t="shared" si="13"/>
        <v>1.1390000000000001E-2</v>
      </c>
    </row>
    <row r="398" spans="1:12" x14ac:dyDescent="0.25">
      <c r="A398" s="1">
        <v>397</v>
      </c>
      <c r="B398" s="2">
        <v>4018448</v>
      </c>
      <c r="C398" s="3">
        <v>2.1999999999999999E-2</v>
      </c>
      <c r="D398" s="1">
        <v>0.67</v>
      </c>
      <c r="E398" s="4">
        <v>0.23</v>
      </c>
      <c r="F398" s="4">
        <v>0.16</v>
      </c>
      <c r="G398" s="4">
        <v>0.61</v>
      </c>
      <c r="H398" s="17">
        <f t="shared" si="12"/>
        <v>1.1940240999420572E-5</v>
      </c>
      <c r="L398">
        <f t="shared" si="13"/>
        <v>1.474E-2</v>
      </c>
    </row>
    <row r="399" spans="1:12" x14ac:dyDescent="0.25">
      <c r="A399" s="1">
        <v>398</v>
      </c>
      <c r="B399" s="2">
        <v>2681807</v>
      </c>
      <c r="C399" s="3">
        <v>1.7999999999999999E-2</v>
      </c>
      <c r="D399" s="1">
        <v>0.5</v>
      </c>
      <c r="E399" s="4">
        <v>0.2</v>
      </c>
      <c r="F399" s="4">
        <v>0.21</v>
      </c>
      <c r="G399" s="4">
        <v>0.59000000000000008</v>
      </c>
      <c r="H399" s="17">
        <f t="shared" si="12"/>
        <v>4.8654978585675645E-6</v>
      </c>
      <c r="L399">
        <f t="shared" si="13"/>
        <v>8.9999999999999993E-3</v>
      </c>
    </row>
    <row r="400" spans="1:12" x14ac:dyDescent="0.25">
      <c r="A400" s="1">
        <v>399</v>
      </c>
      <c r="B400" s="2">
        <v>3428681</v>
      </c>
      <c r="C400" s="3">
        <v>2.7E-2</v>
      </c>
      <c r="D400" s="1">
        <v>0.5</v>
      </c>
      <c r="E400" s="4">
        <v>0.16</v>
      </c>
      <c r="F400" s="4">
        <v>0.28999999999999998</v>
      </c>
      <c r="G400" s="4">
        <v>0.54999999999999993</v>
      </c>
      <c r="H400" s="17">
        <f t="shared" si="12"/>
        <v>9.3307833467572221E-6</v>
      </c>
      <c r="L400">
        <f t="shared" si="13"/>
        <v>1.35E-2</v>
      </c>
    </row>
    <row r="401" spans="1:12" x14ac:dyDescent="0.25">
      <c r="A401" s="1">
        <v>400</v>
      </c>
      <c r="B401" s="2">
        <v>4440020</v>
      </c>
      <c r="C401" s="3">
        <v>3.1E-2</v>
      </c>
      <c r="D401" s="1">
        <v>0.67</v>
      </c>
      <c r="E401" s="4">
        <v>0.18</v>
      </c>
      <c r="F401" s="4">
        <v>0.2</v>
      </c>
      <c r="G401" s="4">
        <v>0.62000000000000011</v>
      </c>
      <c r="H401" s="17">
        <f t="shared" si="12"/>
        <v>1.8589969584250925E-5</v>
      </c>
      <c r="L401">
        <f t="shared" si="13"/>
        <v>2.077E-2</v>
      </c>
    </row>
    <row r="402" spans="1:12" x14ac:dyDescent="0.25">
      <c r="A402" s="1">
        <v>401</v>
      </c>
      <c r="B402" s="2">
        <v>4393298</v>
      </c>
      <c r="C402" s="3">
        <v>1.7999999999999999E-2</v>
      </c>
      <c r="D402" s="1">
        <v>0.67</v>
      </c>
      <c r="E402" s="4">
        <v>0.22</v>
      </c>
      <c r="F402" s="4">
        <v>0.19</v>
      </c>
      <c r="G402" s="4">
        <v>0.59000000000000008</v>
      </c>
      <c r="H402" s="17">
        <f t="shared" si="12"/>
        <v>1.068058957814857E-5</v>
      </c>
      <c r="L402">
        <f t="shared" si="13"/>
        <v>1.206E-2</v>
      </c>
    </row>
    <row r="403" spans="1:12" x14ac:dyDescent="0.25">
      <c r="A403" s="1">
        <v>402</v>
      </c>
      <c r="B403" s="2">
        <v>2052234</v>
      </c>
      <c r="C403" s="3">
        <v>2.7E-2</v>
      </c>
      <c r="D403" s="1">
        <v>0.5</v>
      </c>
      <c r="E403" s="4">
        <v>0.18</v>
      </c>
      <c r="F403" s="4">
        <v>0.34</v>
      </c>
      <c r="G403" s="4">
        <v>0.47999999999999993</v>
      </c>
      <c r="H403" s="17">
        <f t="shared" si="12"/>
        <v>5.5849321738735563E-6</v>
      </c>
      <c r="L403">
        <f t="shared" si="13"/>
        <v>1.35E-2</v>
      </c>
    </row>
    <row r="404" spans="1:12" x14ac:dyDescent="0.25">
      <c r="A404" s="1">
        <v>403</v>
      </c>
      <c r="B404" s="2">
        <v>2668403</v>
      </c>
      <c r="C404" s="3">
        <v>1.7000000000000001E-2</v>
      </c>
      <c r="D404" s="1">
        <v>0.5</v>
      </c>
      <c r="E404" s="4">
        <v>0.23</v>
      </c>
      <c r="F404" s="4">
        <v>0.22</v>
      </c>
      <c r="G404" s="4">
        <v>0.55000000000000004</v>
      </c>
      <c r="H404" s="17">
        <f t="shared" si="12"/>
        <v>4.5722250871856079E-6</v>
      </c>
      <c r="L404">
        <f t="shared" si="13"/>
        <v>8.5000000000000006E-3</v>
      </c>
    </row>
    <row r="405" spans="1:12" x14ac:dyDescent="0.25">
      <c r="A405" s="1">
        <v>404</v>
      </c>
      <c r="B405" s="2">
        <v>4310326</v>
      </c>
      <c r="C405" s="3">
        <v>2.9000000000000001E-2</v>
      </c>
      <c r="D405" s="1">
        <v>0.67</v>
      </c>
      <c r="E405" s="4">
        <v>0.23</v>
      </c>
      <c r="F405" s="4">
        <v>0.34</v>
      </c>
      <c r="G405" s="4">
        <v>0.42999999999999994</v>
      </c>
      <c r="H405" s="17">
        <f t="shared" si="12"/>
        <v>1.6882632815138241E-5</v>
      </c>
      <c r="L405">
        <f t="shared" si="13"/>
        <v>1.9430000000000003E-2</v>
      </c>
    </row>
    <row r="406" spans="1:12" x14ac:dyDescent="0.25">
      <c r="A406" s="1">
        <v>405</v>
      </c>
      <c r="B406" s="2">
        <v>4623958</v>
      </c>
      <c r="C406" s="3">
        <v>2.3E-2</v>
      </c>
      <c r="D406" s="1">
        <v>0.67</v>
      </c>
      <c r="E406" s="4">
        <v>0.18</v>
      </c>
      <c r="F406" s="4">
        <v>0.28999999999999998</v>
      </c>
      <c r="G406" s="4">
        <v>0.53</v>
      </c>
      <c r="H406" s="17">
        <f t="shared" si="12"/>
        <v>1.4363946393976109E-5</v>
      </c>
      <c r="L406">
        <f t="shared" si="13"/>
        <v>1.541E-2</v>
      </c>
    </row>
    <row r="407" spans="1:12" x14ac:dyDescent="0.25">
      <c r="A407" s="1">
        <v>406</v>
      </c>
      <c r="B407" s="2">
        <v>4850062</v>
      </c>
      <c r="C407" s="3">
        <v>2.8000000000000001E-2</v>
      </c>
      <c r="D407" s="1">
        <v>0.67</v>
      </c>
      <c r="E407" s="4">
        <v>0.16</v>
      </c>
      <c r="F407" s="4">
        <v>0.31</v>
      </c>
      <c r="G407" s="4">
        <v>0.52999999999999992</v>
      </c>
      <c r="H407" s="17">
        <f t="shared" si="12"/>
        <v>1.8341606872509541E-5</v>
      </c>
      <c r="L407">
        <f t="shared" si="13"/>
        <v>1.8760000000000002E-2</v>
      </c>
    </row>
    <row r="408" spans="1:12" x14ac:dyDescent="0.25">
      <c r="A408" s="1">
        <v>407</v>
      </c>
      <c r="B408" s="2">
        <v>3779200</v>
      </c>
      <c r="C408" s="3">
        <v>2.5000000000000001E-2</v>
      </c>
      <c r="D408" s="1">
        <v>0.5</v>
      </c>
      <c r="E408" s="4">
        <v>0.24</v>
      </c>
      <c r="F408" s="4">
        <v>0.28999999999999998</v>
      </c>
      <c r="G408" s="4">
        <v>0.47</v>
      </c>
      <c r="H408" s="17">
        <f t="shared" si="12"/>
        <v>9.5228544219431056E-6</v>
      </c>
      <c r="L408">
        <f t="shared" si="13"/>
        <v>1.2500000000000001E-2</v>
      </c>
    </row>
    <row r="409" spans="1:12" x14ac:dyDescent="0.25">
      <c r="A409" s="1">
        <v>408</v>
      </c>
      <c r="B409" s="2">
        <v>4865878</v>
      </c>
      <c r="C409" s="3">
        <v>1.6E-2</v>
      </c>
      <c r="D409" s="1">
        <v>0.67</v>
      </c>
      <c r="E409" s="4">
        <v>0.19</v>
      </c>
      <c r="F409" s="4">
        <v>0.18</v>
      </c>
      <c r="G409" s="4">
        <v>0.63000000000000012</v>
      </c>
      <c r="H409" s="17">
        <f t="shared" si="12"/>
        <v>1.0515096374390144E-5</v>
      </c>
      <c r="L409">
        <f t="shared" si="13"/>
        <v>1.072E-2</v>
      </c>
    </row>
    <row r="410" spans="1:12" x14ac:dyDescent="0.25">
      <c r="A410" s="1">
        <v>409</v>
      </c>
      <c r="B410" s="2">
        <v>3512213</v>
      </c>
      <c r="C410" s="3">
        <v>2.7E-2</v>
      </c>
      <c r="D410" s="1">
        <v>0.5</v>
      </c>
      <c r="E410" s="4">
        <v>0.23</v>
      </c>
      <c r="F410" s="4">
        <v>0.27</v>
      </c>
      <c r="G410" s="4">
        <v>0.5</v>
      </c>
      <c r="H410" s="17">
        <f t="shared" si="12"/>
        <v>9.5581066219529394E-6</v>
      </c>
      <c r="L410">
        <f t="shared" si="13"/>
        <v>1.35E-2</v>
      </c>
    </row>
    <row r="411" spans="1:12" x14ac:dyDescent="0.25">
      <c r="A411" s="1">
        <v>410</v>
      </c>
      <c r="B411" s="2">
        <v>4793204</v>
      </c>
      <c r="C411" s="3">
        <v>1.4999999999999999E-2</v>
      </c>
      <c r="D411" s="1">
        <v>0.67</v>
      </c>
      <c r="E411" s="4">
        <v>0.24</v>
      </c>
      <c r="F411" s="4">
        <v>0.23</v>
      </c>
      <c r="G411" s="4">
        <v>0.53</v>
      </c>
      <c r="H411" s="17">
        <f t="shared" si="12"/>
        <v>9.7106707930162481E-6</v>
      </c>
      <c r="L411">
        <f t="shared" si="13"/>
        <v>1.005E-2</v>
      </c>
    </row>
    <row r="412" spans="1:12" x14ac:dyDescent="0.25">
      <c r="A412" s="1">
        <v>411</v>
      </c>
      <c r="B412" s="2">
        <v>3950749</v>
      </c>
      <c r="C412" s="3">
        <v>1.6E-2</v>
      </c>
      <c r="D412" s="1">
        <v>0.5</v>
      </c>
      <c r="E412" s="4">
        <v>0.19</v>
      </c>
      <c r="F412" s="4">
        <v>0.28000000000000003</v>
      </c>
      <c r="G412" s="4">
        <v>0.53</v>
      </c>
      <c r="H412" s="17">
        <f t="shared" si="12"/>
        <v>6.3712798619199498E-6</v>
      </c>
      <c r="L412">
        <f t="shared" si="13"/>
        <v>8.0000000000000002E-3</v>
      </c>
    </row>
    <row r="413" spans="1:12" x14ac:dyDescent="0.25">
      <c r="A413" s="1">
        <v>412</v>
      </c>
      <c r="B413" s="2">
        <v>3536579</v>
      </c>
      <c r="C413" s="3">
        <v>2.9000000000000001E-2</v>
      </c>
      <c r="D413" s="1">
        <v>0.5</v>
      </c>
      <c r="E413" s="4">
        <v>0.2</v>
      </c>
      <c r="F413" s="4">
        <v>0.15</v>
      </c>
      <c r="G413" s="4">
        <v>0.64999999999999991</v>
      </c>
      <c r="H413" s="17">
        <f t="shared" si="12"/>
        <v>1.0337335754575919E-5</v>
      </c>
      <c r="L413">
        <f t="shared" si="13"/>
        <v>1.4500000000000001E-2</v>
      </c>
    </row>
    <row r="414" spans="1:12" x14ac:dyDescent="0.25">
      <c r="A414" s="1">
        <v>413</v>
      </c>
      <c r="B414" s="2">
        <v>4884187</v>
      </c>
      <c r="C414" s="3">
        <v>0.02</v>
      </c>
      <c r="D414" s="1">
        <v>0.67</v>
      </c>
      <c r="E414" s="4">
        <v>0.22</v>
      </c>
      <c r="F414" s="4">
        <v>0.25</v>
      </c>
      <c r="G414" s="4">
        <v>0.53</v>
      </c>
      <c r="H414" s="17">
        <f t="shared" si="12"/>
        <v>1.3193327343889293E-5</v>
      </c>
      <c r="L414">
        <f t="shared" si="13"/>
        <v>1.34E-2</v>
      </c>
    </row>
    <row r="415" spans="1:12" x14ac:dyDescent="0.25">
      <c r="A415" s="1">
        <v>414</v>
      </c>
      <c r="B415" s="2">
        <v>3767548</v>
      </c>
      <c r="C415" s="3">
        <v>1.6E-2</v>
      </c>
      <c r="D415" s="1">
        <v>0.5</v>
      </c>
      <c r="E415" s="4">
        <v>0.23</v>
      </c>
      <c r="F415" s="4">
        <v>0.33</v>
      </c>
      <c r="G415" s="4">
        <v>0.43999999999999995</v>
      </c>
      <c r="H415" s="17">
        <f t="shared" si="12"/>
        <v>6.0758359240783918E-6</v>
      </c>
      <c r="L415">
        <f t="shared" si="13"/>
        <v>8.0000000000000002E-3</v>
      </c>
    </row>
    <row r="416" spans="1:12" x14ac:dyDescent="0.25">
      <c r="A416" s="1">
        <v>415</v>
      </c>
      <c r="B416" s="2">
        <v>3622316</v>
      </c>
      <c r="C416" s="3">
        <v>1.4999999999999999E-2</v>
      </c>
      <c r="D416" s="1">
        <v>0.5</v>
      </c>
      <c r="E416" s="4">
        <v>0.21</v>
      </c>
      <c r="F416" s="4">
        <v>0.3</v>
      </c>
      <c r="G416" s="4">
        <v>0.49</v>
      </c>
      <c r="H416" s="17">
        <f t="shared" si="12"/>
        <v>5.4765222171266818E-6</v>
      </c>
      <c r="L416">
        <f t="shared" si="13"/>
        <v>7.4999999999999997E-3</v>
      </c>
    </row>
    <row r="417" spans="1:12" x14ac:dyDescent="0.25">
      <c r="A417" s="1">
        <v>416</v>
      </c>
      <c r="B417" s="2">
        <v>2942084</v>
      </c>
      <c r="C417" s="3">
        <v>1.4999999999999999E-2</v>
      </c>
      <c r="D417" s="1">
        <v>0.5</v>
      </c>
      <c r="E417" s="4">
        <v>0.22</v>
      </c>
      <c r="F417" s="4">
        <v>0.18</v>
      </c>
      <c r="G417" s="4">
        <v>0.60000000000000009</v>
      </c>
      <c r="H417" s="17">
        <f t="shared" si="12"/>
        <v>4.4480902247768926E-6</v>
      </c>
      <c r="L417">
        <f t="shared" si="13"/>
        <v>7.4999999999999997E-3</v>
      </c>
    </row>
    <row r="418" spans="1:12" x14ac:dyDescent="0.25">
      <c r="A418" s="1">
        <v>417</v>
      </c>
      <c r="B418" s="2">
        <v>4789817</v>
      </c>
      <c r="C418" s="3">
        <v>1.9E-2</v>
      </c>
      <c r="D418" s="1">
        <v>0.67</v>
      </c>
      <c r="E418" s="4">
        <v>0.18</v>
      </c>
      <c r="F418" s="4">
        <v>0.24</v>
      </c>
      <c r="G418" s="4">
        <v>0.58000000000000007</v>
      </c>
      <c r="H418" s="17">
        <f t="shared" si="12"/>
        <v>1.2291491381965821E-5</v>
      </c>
      <c r="L418">
        <f t="shared" si="13"/>
        <v>1.273E-2</v>
      </c>
    </row>
    <row r="419" spans="1:12" x14ac:dyDescent="0.25">
      <c r="A419" s="1">
        <v>418</v>
      </c>
      <c r="B419" s="2">
        <v>2023046</v>
      </c>
      <c r="C419" s="3">
        <v>2.4E-2</v>
      </c>
      <c r="D419" s="1">
        <v>0.5</v>
      </c>
      <c r="E419" s="4">
        <v>0.22</v>
      </c>
      <c r="F419" s="4">
        <v>0.19</v>
      </c>
      <c r="G419" s="4">
        <v>0.59000000000000008</v>
      </c>
      <c r="H419" s="17">
        <f t="shared" si="12"/>
        <v>4.8937779543338639E-6</v>
      </c>
      <c r="L419">
        <f t="shared" si="13"/>
        <v>1.2E-2</v>
      </c>
    </row>
    <row r="420" spans="1:12" x14ac:dyDescent="0.25">
      <c r="A420" s="1">
        <v>419</v>
      </c>
      <c r="B420" s="2">
        <v>3024236</v>
      </c>
      <c r="C420" s="3">
        <v>2.4E-2</v>
      </c>
      <c r="D420" s="1">
        <v>0.5</v>
      </c>
      <c r="E420" s="4">
        <v>0.18</v>
      </c>
      <c r="F420" s="4">
        <v>0.33</v>
      </c>
      <c r="G420" s="4">
        <v>0.48999999999999994</v>
      </c>
      <c r="H420" s="17">
        <f t="shared" si="12"/>
        <v>7.3156712529041988E-6</v>
      </c>
      <c r="L420">
        <f t="shared" si="13"/>
        <v>1.2E-2</v>
      </c>
    </row>
    <row r="421" spans="1:12" x14ac:dyDescent="0.25">
      <c r="A421" s="1">
        <v>420</v>
      </c>
      <c r="B421" s="2">
        <v>2318158</v>
      </c>
      <c r="C421" s="3">
        <v>3.1E-2</v>
      </c>
      <c r="D421" s="1">
        <v>0.5</v>
      </c>
      <c r="E421" s="4">
        <v>0.17</v>
      </c>
      <c r="F421" s="4">
        <v>0.22</v>
      </c>
      <c r="G421" s="4">
        <v>0.61</v>
      </c>
      <c r="H421" s="17">
        <f t="shared" si="12"/>
        <v>7.2432251904418535E-6</v>
      </c>
      <c r="L421">
        <f t="shared" si="13"/>
        <v>1.55E-2</v>
      </c>
    </row>
    <row r="422" spans="1:12" x14ac:dyDescent="0.25">
      <c r="A422" s="1">
        <v>421</v>
      </c>
      <c r="B422" s="2">
        <v>4587591</v>
      </c>
      <c r="C422" s="3">
        <v>2.1000000000000001E-2</v>
      </c>
      <c r="D422" s="1">
        <v>0.67</v>
      </c>
      <c r="E422" s="4">
        <v>0.21</v>
      </c>
      <c r="F422" s="4">
        <v>0.28999999999999998</v>
      </c>
      <c r="G422" s="4">
        <v>0.5</v>
      </c>
      <c r="H422" s="17">
        <f t="shared" si="12"/>
        <v>1.3011760047685409E-5</v>
      </c>
      <c r="L422">
        <f t="shared" si="13"/>
        <v>1.4070000000000001E-2</v>
      </c>
    </row>
    <row r="423" spans="1:12" x14ac:dyDescent="0.25">
      <c r="A423" s="1">
        <v>422</v>
      </c>
      <c r="B423" s="2">
        <v>3124376</v>
      </c>
      <c r="C423" s="3">
        <v>3.4000000000000002E-2</v>
      </c>
      <c r="D423" s="1">
        <v>0.5</v>
      </c>
      <c r="E423" s="4">
        <v>0.2</v>
      </c>
      <c r="F423" s="4">
        <v>0.18</v>
      </c>
      <c r="G423" s="4">
        <v>0.62000000000000011</v>
      </c>
      <c r="H423" s="17">
        <f t="shared" si="12"/>
        <v>1.0707041124598213E-5</v>
      </c>
      <c r="L423">
        <f t="shared" si="13"/>
        <v>1.7000000000000001E-2</v>
      </c>
    </row>
    <row r="424" spans="1:12" x14ac:dyDescent="0.25">
      <c r="A424" s="1">
        <v>423</v>
      </c>
      <c r="B424" s="2">
        <v>3090153</v>
      </c>
      <c r="C424" s="3">
        <v>3.4000000000000002E-2</v>
      </c>
      <c r="D424" s="1">
        <v>0.5</v>
      </c>
      <c r="E424" s="4">
        <v>0.19</v>
      </c>
      <c r="F424" s="4">
        <v>0.23</v>
      </c>
      <c r="G424" s="4">
        <v>0.58000000000000007</v>
      </c>
      <c r="H424" s="17">
        <f t="shared" si="12"/>
        <v>1.0589761044221483E-5</v>
      </c>
      <c r="L424">
        <f t="shared" si="13"/>
        <v>1.7000000000000001E-2</v>
      </c>
    </row>
    <row r="425" spans="1:12" x14ac:dyDescent="0.25">
      <c r="A425" s="1">
        <v>424</v>
      </c>
      <c r="B425" s="2">
        <v>3378221</v>
      </c>
      <c r="C425" s="3">
        <v>2.9000000000000001E-2</v>
      </c>
      <c r="D425" s="1">
        <v>0.5</v>
      </c>
      <c r="E425" s="4">
        <v>0.19</v>
      </c>
      <c r="F425" s="4">
        <v>0.19</v>
      </c>
      <c r="G425" s="4">
        <v>0.62000000000000011</v>
      </c>
      <c r="H425" s="17">
        <f t="shared" si="12"/>
        <v>9.874459111519695E-6</v>
      </c>
      <c r="L425">
        <f t="shared" si="13"/>
        <v>1.4500000000000001E-2</v>
      </c>
    </row>
    <row r="426" spans="1:12" x14ac:dyDescent="0.25">
      <c r="A426" s="1">
        <v>425</v>
      </c>
      <c r="B426" s="2">
        <v>4605706</v>
      </c>
      <c r="C426" s="3">
        <v>2.1000000000000001E-2</v>
      </c>
      <c r="D426" s="1">
        <v>0.67</v>
      </c>
      <c r="E426" s="4">
        <v>0.24</v>
      </c>
      <c r="F426" s="4">
        <v>0.28999999999999998</v>
      </c>
      <c r="G426" s="4">
        <v>0.47</v>
      </c>
      <c r="H426" s="17">
        <f t="shared" si="12"/>
        <v>1.3063139526209937E-5</v>
      </c>
      <c r="L426">
        <f t="shared" si="13"/>
        <v>1.4070000000000001E-2</v>
      </c>
    </row>
    <row r="427" spans="1:12" x14ac:dyDescent="0.25">
      <c r="A427" s="1">
        <v>426</v>
      </c>
      <c r="B427" s="2">
        <v>3940670</v>
      </c>
      <c r="C427" s="3">
        <v>1.4999999999999999E-2</v>
      </c>
      <c r="D427" s="1">
        <v>0.5</v>
      </c>
      <c r="E427" s="4">
        <v>0.15</v>
      </c>
      <c r="F427" s="4">
        <v>0.16</v>
      </c>
      <c r="G427" s="4">
        <v>0.69</v>
      </c>
      <c r="H427" s="17">
        <f t="shared" si="12"/>
        <v>5.957836590006118E-6</v>
      </c>
      <c r="L427">
        <f t="shared" si="13"/>
        <v>7.4999999999999997E-3</v>
      </c>
    </row>
    <row r="428" spans="1:12" x14ac:dyDescent="0.25">
      <c r="A428" s="1">
        <v>427</v>
      </c>
      <c r="B428" s="2">
        <v>2401049</v>
      </c>
      <c r="C428" s="3">
        <v>2.8000000000000001E-2</v>
      </c>
      <c r="D428" s="1">
        <v>0.5</v>
      </c>
      <c r="E428" s="4">
        <v>0.19</v>
      </c>
      <c r="F428" s="4">
        <v>0.19</v>
      </c>
      <c r="G428" s="4">
        <v>0.62000000000000011</v>
      </c>
      <c r="H428" s="17">
        <f t="shared" si="12"/>
        <v>6.776201549901122E-6</v>
      </c>
      <c r="L428">
        <f t="shared" si="13"/>
        <v>1.4E-2</v>
      </c>
    </row>
    <row r="429" spans="1:12" x14ac:dyDescent="0.25">
      <c r="A429" s="1">
        <v>428</v>
      </c>
      <c r="B429" s="2">
        <v>2223704</v>
      </c>
      <c r="C429" s="3">
        <v>3.4000000000000002E-2</v>
      </c>
      <c r="D429" s="1">
        <v>0.5</v>
      </c>
      <c r="E429" s="4">
        <v>0.23</v>
      </c>
      <c r="F429" s="4">
        <v>0.24</v>
      </c>
      <c r="G429" s="4">
        <v>0.53</v>
      </c>
      <c r="H429" s="17">
        <f t="shared" si="12"/>
        <v>7.6204945169638804E-6</v>
      </c>
      <c r="L429">
        <f t="shared" si="13"/>
        <v>1.7000000000000001E-2</v>
      </c>
    </row>
    <row r="430" spans="1:12" x14ac:dyDescent="0.25">
      <c r="A430" s="1">
        <v>429</v>
      </c>
      <c r="B430" s="2">
        <v>2723893</v>
      </c>
      <c r="C430" s="3">
        <v>3.4000000000000002E-2</v>
      </c>
      <c r="D430" s="1">
        <v>0.5</v>
      </c>
      <c r="E430" s="4">
        <v>0.17</v>
      </c>
      <c r="F430" s="4">
        <v>0.19</v>
      </c>
      <c r="G430" s="4">
        <v>0.64</v>
      </c>
      <c r="H430" s="17">
        <f t="shared" si="12"/>
        <v>9.3346109335128676E-6</v>
      </c>
      <c r="L430">
        <f t="shared" si="13"/>
        <v>1.7000000000000001E-2</v>
      </c>
    </row>
    <row r="431" spans="1:12" x14ac:dyDescent="0.25">
      <c r="A431" s="1">
        <v>430</v>
      </c>
      <c r="B431" s="2">
        <v>3512761</v>
      </c>
      <c r="C431" s="3">
        <v>3.1E-2</v>
      </c>
      <c r="D431" s="1">
        <v>0.5</v>
      </c>
      <c r="E431" s="4">
        <v>0.2</v>
      </c>
      <c r="F431" s="4">
        <v>0.15</v>
      </c>
      <c r="G431" s="4">
        <v>0.64999999999999991</v>
      </c>
      <c r="H431" s="17">
        <f t="shared" si="12"/>
        <v>1.0975834677015853E-5</v>
      </c>
      <c r="L431">
        <f t="shared" si="13"/>
        <v>1.55E-2</v>
      </c>
    </row>
    <row r="432" spans="1:12" x14ac:dyDescent="0.25">
      <c r="A432" s="1">
        <v>431</v>
      </c>
      <c r="B432" s="2">
        <v>4667523</v>
      </c>
      <c r="C432" s="3">
        <v>2.5999999999999999E-2</v>
      </c>
      <c r="D432" s="1">
        <v>0.67</v>
      </c>
      <c r="E432" s="4">
        <v>0.15</v>
      </c>
      <c r="F432" s="4">
        <v>0.28999999999999998</v>
      </c>
      <c r="G432" s="4">
        <v>0.55999999999999994</v>
      </c>
      <c r="H432" s="17">
        <f t="shared" si="12"/>
        <v>1.6390487602414043E-5</v>
      </c>
      <c r="L432">
        <f t="shared" si="13"/>
        <v>1.7420000000000001E-2</v>
      </c>
    </row>
    <row r="433" spans="1:12" x14ac:dyDescent="0.25">
      <c r="A433" s="1">
        <v>432</v>
      </c>
      <c r="B433" s="2">
        <v>3116971</v>
      </c>
      <c r="C433" s="3">
        <v>1.7999999999999999E-2</v>
      </c>
      <c r="D433" s="1">
        <v>0.5</v>
      </c>
      <c r="E433" s="4">
        <v>0.22</v>
      </c>
      <c r="F433" s="4">
        <v>0.33</v>
      </c>
      <c r="G433" s="4">
        <v>0.44999999999999996</v>
      </c>
      <c r="H433" s="17">
        <f t="shared" si="12"/>
        <v>5.6549989338223067E-6</v>
      </c>
      <c r="L433">
        <f t="shared" si="13"/>
        <v>8.9999999999999993E-3</v>
      </c>
    </row>
    <row r="434" spans="1:12" x14ac:dyDescent="0.25">
      <c r="A434" s="1">
        <v>433</v>
      </c>
      <c r="B434" s="2">
        <v>4213674</v>
      </c>
      <c r="C434" s="3">
        <v>2.8000000000000001E-2</v>
      </c>
      <c r="D434" s="1">
        <v>0.67</v>
      </c>
      <c r="E434" s="4">
        <v>0.18</v>
      </c>
      <c r="F434" s="4">
        <v>0.24</v>
      </c>
      <c r="G434" s="4">
        <v>0.58000000000000007</v>
      </c>
      <c r="H434" s="17">
        <f t="shared" si="12"/>
        <v>1.593496165552415E-5</v>
      </c>
      <c r="L434">
        <f t="shared" si="13"/>
        <v>1.8760000000000002E-2</v>
      </c>
    </row>
    <row r="435" spans="1:12" x14ac:dyDescent="0.25">
      <c r="A435" s="1">
        <v>434</v>
      </c>
      <c r="B435" s="2">
        <v>2066657</v>
      </c>
      <c r="C435" s="3">
        <v>2.5000000000000001E-2</v>
      </c>
      <c r="D435" s="1">
        <v>0.5</v>
      </c>
      <c r="E435" s="4">
        <v>0.22</v>
      </c>
      <c r="F435" s="4">
        <v>0.25</v>
      </c>
      <c r="G435" s="4">
        <v>0.53</v>
      </c>
      <c r="H435" s="17">
        <f t="shared" si="12"/>
        <v>5.2075766699538716E-6</v>
      </c>
      <c r="L435">
        <f t="shared" si="13"/>
        <v>1.2500000000000001E-2</v>
      </c>
    </row>
    <row r="436" spans="1:12" x14ac:dyDescent="0.25">
      <c r="A436" s="1">
        <v>435</v>
      </c>
      <c r="B436" s="2">
        <v>3082947</v>
      </c>
      <c r="C436" s="3">
        <v>2.3E-2</v>
      </c>
      <c r="D436" s="1">
        <v>0.5</v>
      </c>
      <c r="E436" s="4">
        <v>0.19</v>
      </c>
      <c r="F436" s="4">
        <v>0.26</v>
      </c>
      <c r="G436" s="4">
        <v>0.55000000000000004</v>
      </c>
      <c r="H436" s="17">
        <f t="shared" si="12"/>
        <v>7.1469567722906787E-6</v>
      </c>
      <c r="L436">
        <f t="shared" si="13"/>
        <v>1.15E-2</v>
      </c>
    </row>
    <row r="437" spans="1:12" x14ac:dyDescent="0.25">
      <c r="A437" s="1">
        <v>436</v>
      </c>
      <c r="B437" s="2">
        <v>3404458</v>
      </c>
      <c r="C437" s="3">
        <v>2.3E-2</v>
      </c>
      <c r="D437" s="1">
        <v>0.5</v>
      </c>
      <c r="E437" s="4">
        <v>0.17</v>
      </c>
      <c r="F437" s="4">
        <v>0.28999999999999998</v>
      </c>
      <c r="G437" s="4">
        <v>0.53999999999999992</v>
      </c>
      <c r="H437" s="17">
        <f t="shared" si="12"/>
        <v>7.892290772134318E-6</v>
      </c>
      <c r="L437">
        <f t="shared" si="13"/>
        <v>1.15E-2</v>
      </c>
    </row>
    <row r="438" spans="1:12" x14ac:dyDescent="0.25">
      <c r="A438" s="1">
        <v>437</v>
      </c>
      <c r="B438" s="2">
        <v>2482337</v>
      </c>
      <c r="C438" s="3">
        <v>2.7E-2</v>
      </c>
      <c r="D438" s="1">
        <v>0.5</v>
      </c>
      <c r="E438" s="4">
        <v>0.23</v>
      </c>
      <c r="F438" s="4">
        <v>0.33</v>
      </c>
      <c r="G438" s="4">
        <v>0.43999999999999995</v>
      </c>
      <c r="H438" s="17">
        <f t="shared" si="12"/>
        <v>6.7554108243488624E-6</v>
      </c>
      <c r="L438">
        <f t="shared" si="13"/>
        <v>1.35E-2</v>
      </c>
    </row>
    <row r="439" spans="1:12" x14ac:dyDescent="0.25">
      <c r="A439" s="1">
        <v>438</v>
      </c>
      <c r="B439" s="2">
        <v>2073041</v>
      </c>
      <c r="C439" s="3">
        <v>3.2000000000000001E-2</v>
      </c>
      <c r="D439" s="1">
        <v>0.5</v>
      </c>
      <c r="E439" s="4">
        <v>0.23</v>
      </c>
      <c r="F439" s="4">
        <v>0.25</v>
      </c>
      <c r="G439" s="4">
        <v>0.52</v>
      </c>
      <c r="H439" s="17">
        <f t="shared" si="12"/>
        <v>6.6862887904214591E-6</v>
      </c>
      <c r="L439">
        <f t="shared" si="13"/>
        <v>1.6E-2</v>
      </c>
    </row>
    <row r="440" spans="1:12" x14ac:dyDescent="0.25">
      <c r="A440" s="1">
        <v>439</v>
      </c>
      <c r="B440" s="2">
        <v>2161781</v>
      </c>
      <c r="C440" s="3">
        <v>2.5000000000000001E-2</v>
      </c>
      <c r="D440" s="1">
        <v>0.5</v>
      </c>
      <c r="E440" s="4">
        <v>0.16</v>
      </c>
      <c r="F440" s="4">
        <v>0.28999999999999998</v>
      </c>
      <c r="G440" s="4">
        <v>0.54999999999999993</v>
      </c>
      <c r="H440" s="17">
        <f t="shared" si="12"/>
        <v>5.4472707861776533E-6</v>
      </c>
      <c r="L440">
        <f t="shared" si="13"/>
        <v>1.2500000000000001E-2</v>
      </c>
    </row>
    <row r="441" spans="1:12" x14ac:dyDescent="0.25">
      <c r="A441" s="1">
        <v>440</v>
      </c>
      <c r="B441" s="2">
        <v>2699159</v>
      </c>
      <c r="C441" s="3">
        <v>2.5000000000000001E-2</v>
      </c>
      <c r="D441" s="1">
        <v>0.5</v>
      </c>
      <c r="E441" s="4">
        <v>0.15</v>
      </c>
      <c r="F441" s="4">
        <v>0.19</v>
      </c>
      <c r="G441" s="4">
        <v>0.66</v>
      </c>
      <c r="H441" s="17">
        <f t="shared" si="12"/>
        <v>6.8013596048575177E-6</v>
      </c>
      <c r="L441">
        <f t="shared" si="13"/>
        <v>1.2500000000000001E-2</v>
      </c>
    </row>
    <row r="442" spans="1:12" x14ac:dyDescent="0.25">
      <c r="A442" s="1">
        <v>441</v>
      </c>
      <c r="B442" s="2">
        <v>3544863</v>
      </c>
      <c r="C442" s="3">
        <v>0.03</v>
      </c>
      <c r="D442" s="1">
        <v>0.5</v>
      </c>
      <c r="E442" s="4">
        <v>0.21</v>
      </c>
      <c r="F442" s="4">
        <v>0.28000000000000003</v>
      </c>
      <c r="G442" s="4">
        <v>0.51</v>
      </c>
      <c r="H442" s="17">
        <f t="shared" si="12"/>
        <v>1.0718844505101346E-5</v>
      </c>
      <c r="L442">
        <f t="shared" si="13"/>
        <v>1.4999999999999999E-2</v>
      </c>
    </row>
    <row r="443" spans="1:12" x14ac:dyDescent="0.25">
      <c r="A443" s="1">
        <v>442</v>
      </c>
      <c r="B443" s="2">
        <v>3353569</v>
      </c>
      <c r="C443" s="3">
        <v>1.4999999999999999E-2</v>
      </c>
      <c r="D443" s="1">
        <v>0.5</v>
      </c>
      <c r="E443" s="4">
        <v>0.22</v>
      </c>
      <c r="F443" s="4">
        <v>0.34</v>
      </c>
      <c r="G443" s="4">
        <v>0.43999999999999995</v>
      </c>
      <c r="H443" s="17">
        <f t="shared" si="12"/>
        <v>5.0702078822408951E-6</v>
      </c>
      <c r="L443">
        <f t="shared" si="13"/>
        <v>7.4999999999999997E-3</v>
      </c>
    </row>
    <row r="444" spans="1:12" x14ac:dyDescent="0.25">
      <c r="A444" s="1">
        <v>443</v>
      </c>
      <c r="B444" s="2">
        <v>4188018</v>
      </c>
      <c r="C444" s="3">
        <v>3.3000000000000002E-2</v>
      </c>
      <c r="D444" s="1">
        <v>0.67</v>
      </c>
      <c r="E444" s="4">
        <v>0.19</v>
      </c>
      <c r="F444" s="4">
        <v>0.17</v>
      </c>
      <c r="G444" s="4">
        <v>0.6399999999999999</v>
      </c>
      <c r="H444" s="17">
        <f t="shared" si="12"/>
        <v>1.8666140844641272E-5</v>
      </c>
      <c r="L444">
        <f t="shared" si="13"/>
        <v>2.2110000000000001E-2</v>
      </c>
    </row>
    <row r="445" spans="1:12" x14ac:dyDescent="0.25">
      <c r="A445" s="1">
        <v>444</v>
      </c>
      <c r="B445" s="2">
        <v>2107513</v>
      </c>
      <c r="C445" s="3">
        <v>2.5999999999999999E-2</v>
      </c>
      <c r="D445" s="1">
        <v>0.5</v>
      </c>
      <c r="E445" s="4">
        <v>0.25</v>
      </c>
      <c r="F445" s="4">
        <v>0.2</v>
      </c>
      <c r="G445" s="4">
        <v>0.55000000000000004</v>
      </c>
      <c r="H445" s="17">
        <f t="shared" si="12"/>
        <v>5.5229469387718782E-6</v>
      </c>
      <c r="L445">
        <f t="shared" si="13"/>
        <v>1.2999999999999999E-2</v>
      </c>
    </row>
    <row r="446" spans="1:12" x14ac:dyDescent="0.25">
      <c r="A446" s="1">
        <v>445</v>
      </c>
      <c r="B446" s="2">
        <v>3683404</v>
      </c>
      <c r="C446" s="3">
        <v>2.5000000000000001E-2</v>
      </c>
      <c r="D446" s="1">
        <v>0.5</v>
      </c>
      <c r="E446" s="4">
        <v>0.22</v>
      </c>
      <c r="F446" s="4">
        <v>0.34</v>
      </c>
      <c r="G446" s="4">
        <v>0.43999999999999995</v>
      </c>
      <c r="H446" s="17">
        <f t="shared" si="12"/>
        <v>9.2814669954495464E-6</v>
      </c>
      <c r="L446">
        <f t="shared" si="13"/>
        <v>1.2500000000000001E-2</v>
      </c>
    </row>
    <row r="447" spans="1:12" x14ac:dyDescent="0.25">
      <c r="A447" s="1">
        <v>446</v>
      </c>
      <c r="B447" s="2">
        <v>4719973</v>
      </c>
      <c r="C447" s="3">
        <v>2.9000000000000001E-2</v>
      </c>
      <c r="D447" s="1">
        <v>0.67</v>
      </c>
      <c r="E447" s="4">
        <v>0.21</v>
      </c>
      <c r="F447" s="4">
        <v>0.21</v>
      </c>
      <c r="G447" s="4">
        <v>0.58000000000000007</v>
      </c>
      <c r="H447" s="17">
        <f t="shared" si="12"/>
        <v>1.8487133236875005E-5</v>
      </c>
      <c r="L447">
        <f t="shared" si="13"/>
        <v>1.9430000000000003E-2</v>
      </c>
    </row>
    <row r="448" spans="1:12" x14ac:dyDescent="0.25">
      <c r="A448" s="1">
        <v>447</v>
      </c>
      <c r="B448" s="2">
        <v>4815434</v>
      </c>
      <c r="C448" s="3">
        <v>2.5999999999999999E-2</v>
      </c>
      <c r="D448" s="1">
        <v>0.67</v>
      </c>
      <c r="E448" s="4">
        <v>0.17</v>
      </c>
      <c r="F448" s="4">
        <v>0.32</v>
      </c>
      <c r="G448" s="4">
        <v>0.5099999999999999</v>
      </c>
      <c r="H448" s="17">
        <f t="shared" si="12"/>
        <v>1.6909892308456342E-5</v>
      </c>
      <c r="L448">
        <f t="shared" si="13"/>
        <v>1.7420000000000001E-2</v>
      </c>
    </row>
    <row r="449" spans="1:12" x14ac:dyDescent="0.25">
      <c r="A449" s="1">
        <v>448</v>
      </c>
      <c r="B449" s="2">
        <v>4163809</v>
      </c>
      <c r="C449" s="3">
        <v>2.7E-2</v>
      </c>
      <c r="D449" s="1">
        <v>0.67</v>
      </c>
      <c r="E449" s="4">
        <v>0.23</v>
      </c>
      <c r="F449" s="4">
        <v>0.17</v>
      </c>
      <c r="G449" s="4">
        <v>0.6</v>
      </c>
      <c r="H449" s="17">
        <f t="shared" si="12"/>
        <v>1.518401495100078E-5</v>
      </c>
      <c r="L449">
        <f t="shared" si="13"/>
        <v>1.8090000000000002E-2</v>
      </c>
    </row>
    <row r="450" spans="1:12" x14ac:dyDescent="0.25">
      <c r="A450" s="1">
        <v>449</v>
      </c>
      <c r="B450" s="2">
        <v>2082410</v>
      </c>
      <c r="C450" s="3">
        <v>1.9E-2</v>
      </c>
      <c r="D450" s="1">
        <v>0.5</v>
      </c>
      <c r="E450" s="4">
        <v>0.18</v>
      </c>
      <c r="F450" s="4">
        <v>0.2</v>
      </c>
      <c r="G450" s="4">
        <v>0.62000000000000011</v>
      </c>
      <c r="H450" s="17">
        <f t="shared" si="12"/>
        <v>3.987926103505211E-6</v>
      </c>
      <c r="L450">
        <f t="shared" si="13"/>
        <v>9.4999999999999998E-3</v>
      </c>
    </row>
    <row r="451" spans="1:12" x14ac:dyDescent="0.25">
      <c r="A451" s="1">
        <v>450</v>
      </c>
      <c r="B451" s="2">
        <v>4847498</v>
      </c>
      <c r="C451" s="3">
        <v>2.4E-2</v>
      </c>
      <c r="D451" s="1">
        <v>0.67</v>
      </c>
      <c r="E451" s="4">
        <v>0.19</v>
      </c>
      <c r="F451" s="4">
        <v>0.26</v>
      </c>
      <c r="G451" s="4">
        <v>0.55000000000000004</v>
      </c>
      <c r="H451" s="17">
        <f t="shared" ref="H451:H514" si="14">B451*C451*D451/SUM($B$2:$B$1797)</f>
        <v>1.5713066165447473E-5</v>
      </c>
      <c r="L451">
        <f t="shared" ref="L451:L514" si="15">C451*D451</f>
        <v>1.6080000000000001E-2</v>
      </c>
    </row>
    <row r="452" spans="1:12" x14ac:dyDescent="0.25">
      <c r="A452" s="1">
        <v>451</v>
      </c>
      <c r="B452" s="2">
        <v>2343004</v>
      </c>
      <c r="C452" s="3">
        <v>2.5000000000000001E-2</v>
      </c>
      <c r="D452" s="1">
        <v>0.5</v>
      </c>
      <c r="E452" s="4">
        <v>0.18</v>
      </c>
      <c r="F452" s="4">
        <v>0.32</v>
      </c>
      <c r="G452" s="4">
        <v>0.49999999999999994</v>
      </c>
      <c r="H452" s="17">
        <f t="shared" si="14"/>
        <v>5.9039177609098188E-6</v>
      </c>
      <c r="L452">
        <f t="shared" si="15"/>
        <v>1.2500000000000001E-2</v>
      </c>
    </row>
    <row r="453" spans="1:12" x14ac:dyDescent="0.25">
      <c r="A453" s="1">
        <v>452</v>
      </c>
      <c r="B453" s="2">
        <v>2236076</v>
      </c>
      <c r="C453" s="3">
        <v>3.3000000000000002E-2</v>
      </c>
      <c r="D453" s="1">
        <v>0.5</v>
      </c>
      <c r="E453" s="4">
        <v>0.24</v>
      </c>
      <c r="F453" s="4">
        <v>0.32</v>
      </c>
      <c r="G453" s="4">
        <v>0.43999999999999995</v>
      </c>
      <c r="H453" s="17">
        <f t="shared" si="14"/>
        <v>7.4375133933660895E-6</v>
      </c>
      <c r="L453">
        <f t="shared" si="15"/>
        <v>1.6500000000000001E-2</v>
      </c>
    </row>
    <row r="454" spans="1:12" x14ac:dyDescent="0.25">
      <c r="A454" s="1">
        <v>453</v>
      </c>
      <c r="B454" s="2">
        <v>3339554</v>
      </c>
      <c r="C454" s="3">
        <v>1.4999999999999999E-2</v>
      </c>
      <c r="D454" s="1">
        <v>0.5</v>
      </c>
      <c r="E454" s="4">
        <v>0.15</v>
      </c>
      <c r="F454" s="4">
        <v>0.24</v>
      </c>
      <c r="G454" s="4">
        <v>0.61</v>
      </c>
      <c r="H454" s="17">
        <f t="shared" si="14"/>
        <v>5.049018825606126E-6</v>
      </c>
      <c r="L454">
        <f t="shared" si="15"/>
        <v>7.4999999999999997E-3</v>
      </c>
    </row>
    <row r="455" spans="1:12" x14ac:dyDescent="0.25">
      <c r="A455" s="1">
        <v>454</v>
      </c>
      <c r="B455" s="2">
        <v>4598729</v>
      </c>
      <c r="C455" s="3">
        <v>3.3000000000000002E-2</v>
      </c>
      <c r="D455" s="1">
        <v>0.67</v>
      </c>
      <c r="E455" s="4">
        <v>0.2</v>
      </c>
      <c r="F455" s="4">
        <v>0.31</v>
      </c>
      <c r="G455" s="4">
        <v>0.48999999999999994</v>
      </c>
      <c r="H455" s="17">
        <f t="shared" si="14"/>
        <v>2.049669395411775E-5</v>
      </c>
      <c r="L455">
        <f t="shared" si="15"/>
        <v>2.2110000000000001E-2</v>
      </c>
    </row>
    <row r="456" spans="1:12" x14ac:dyDescent="0.25">
      <c r="A456" s="1">
        <v>455</v>
      </c>
      <c r="B456" s="2">
        <v>2721574</v>
      </c>
      <c r="C456" s="3">
        <v>1.7000000000000001E-2</v>
      </c>
      <c r="D456" s="1">
        <v>0.5</v>
      </c>
      <c r="E456" s="4">
        <v>0.22</v>
      </c>
      <c r="F456" s="4">
        <v>0.18</v>
      </c>
      <c r="G456" s="4">
        <v>0.60000000000000009</v>
      </c>
      <c r="H456" s="17">
        <f t="shared" si="14"/>
        <v>4.6633319327822986E-6</v>
      </c>
      <c r="L456">
        <f t="shared" si="15"/>
        <v>8.5000000000000006E-3</v>
      </c>
    </row>
    <row r="457" spans="1:12" x14ac:dyDescent="0.25">
      <c r="A457" s="1">
        <v>456</v>
      </c>
      <c r="B457" s="2">
        <v>2814693</v>
      </c>
      <c r="C457" s="3">
        <v>1.9E-2</v>
      </c>
      <c r="D457" s="1">
        <v>0.5</v>
      </c>
      <c r="E457" s="4">
        <v>0.25</v>
      </c>
      <c r="F457" s="4">
        <v>0.28000000000000003</v>
      </c>
      <c r="G457" s="4">
        <v>0.47</v>
      </c>
      <c r="H457" s="17">
        <f t="shared" si="14"/>
        <v>5.3902870654930543E-6</v>
      </c>
      <c r="L457">
        <f t="shared" si="15"/>
        <v>9.4999999999999998E-3</v>
      </c>
    </row>
    <row r="458" spans="1:12" x14ac:dyDescent="0.25">
      <c r="A458" s="1">
        <v>457</v>
      </c>
      <c r="B458" s="2">
        <v>2809537</v>
      </c>
      <c r="C458" s="3">
        <v>0.03</v>
      </c>
      <c r="D458" s="1">
        <v>0.5</v>
      </c>
      <c r="E458" s="4">
        <v>0.15</v>
      </c>
      <c r="F458" s="4">
        <v>0.31</v>
      </c>
      <c r="G458" s="4">
        <v>0.53999999999999992</v>
      </c>
      <c r="H458" s="17">
        <f t="shared" si="14"/>
        <v>8.4953890275389824E-6</v>
      </c>
      <c r="L458">
        <f t="shared" si="15"/>
        <v>1.4999999999999999E-2</v>
      </c>
    </row>
    <row r="459" spans="1:12" x14ac:dyDescent="0.25">
      <c r="A459" s="1">
        <v>458</v>
      </c>
      <c r="B459" s="2">
        <v>3271102</v>
      </c>
      <c r="C459" s="3">
        <v>1.4999999999999999E-2</v>
      </c>
      <c r="D459" s="1">
        <v>0.5</v>
      </c>
      <c r="E459" s="4">
        <v>0.18</v>
      </c>
      <c r="F459" s="4">
        <v>0.24</v>
      </c>
      <c r="G459" s="4">
        <v>0.58000000000000007</v>
      </c>
      <c r="H459" s="17">
        <f t="shared" si="14"/>
        <v>4.9455273304392892E-6</v>
      </c>
      <c r="L459">
        <f t="shared" si="15"/>
        <v>7.4999999999999997E-3</v>
      </c>
    </row>
    <row r="460" spans="1:12" x14ac:dyDescent="0.25">
      <c r="A460" s="1">
        <v>459</v>
      </c>
      <c r="B460" s="2">
        <v>4209432</v>
      </c>
      <c r="C460" s="3">
        <v>1.6E-2</v>
      </c>
      <c r="D460" s="1">
        <v>0.67</v>
      </c>
      <c r="E460" s="4">
        <v>0.16</v>
      </c>
      <c r="F460" s="4">
        <v>0.21</v>
      </c>
      <c r="G460" s="4">
        <v>0.63</v>
      </c>
      <c r="H460" s="17">
        <f t="shared" si="14"/>
        <v>9.096525470108756E-6</v>
      </c>
      <c r="L460">
        <f t="shared" si="15"/>
        <v>1.072E-2</v>
      </c>
    </row>
    <row r="461" spans="1:12" x14ac:dyDescent="0.25">
      <c r="A461" s="1">
        <v>460</v>
      </c>
      <c r="B461" s="2">
        <v>4111522</v>
      </c>
      <c r="C461" s="3">
        <v>1.9E-2</v>
      </c>
      <c r="D461" s="1">
        <v>0.67</v>
      </c>
      <c r="E461" s="4">
        <v>0.15</v>
      </c>
      <c r="F461" s="4">
        <v>0.34</v>
      </c>
      <c r="G461" s="4">
        <v>0.5099999999999999</v>
      </c>
      <c r="H461" s="17">
        <f t="shared" si="14"/>
        <v>1.0550870154279983E-5</v>
      </c>
      <c r="L461">
        <f t="shared" si="15"/>
        <v>1.273E-2</v>
      </c>
    </row>
    <row r="462" spans="1:12" x14ac:dyDescent="0.25">
      <c r="A462" s="1">
        <v>461</v>
      </c>
      <c r="B462" s="2">
        <v>2091835</v>
      </c>
      <c r="C462" s="3">
        <v>1.7000000000000001E-2</v>
      </c>
      <c r="D462" s="1">
        <v>0.5</v>
      </c>
      <c r="E462" s="4">
        <v>0.15</v>
      </c>
      <c r="F462" s="4">
        <v>0.28000000000000003</v>
      </c>
      <c r="G462" s="4">
        <v>0.56999999999999995</v>
      </c>
      <c r="H462" s="17">
        <f t="shared" si="14"/>
        <v>3.5842938511360186E-6</v>
      </c>
      <c r="L462">
        <f t="shared" si="15"/>
        <v>8.5000000000000006E-3</v>
      </c>
    </row>
    <row r="463" spans="1:12" x14ac:dyDescent="0.25">
      <c r="A463" s="1">
        <v>462</v>
      </c>
      <c r="B463" s="2">
        <v>3818201</v>
      </c>
      <c r="C463" s="3">
        <v>1.9E-2</v>
      </c>
      <c r="D463" s="1">
        <v>0.5</v>
      </c>
      <c r="E463" s="4">
        <v>0.22</v>
      </c>
      <c r="F463" s="4">
        <v>0.35</v>
      </c>
      <c r="G463" s="4">
        <v>0.43000000000000005</v>
      </c>
      <c r="H463" s="17">
        <f t="shared" si="14"/>
        <v>7.3120583537006155E-6</v>
      </c>
      <c r="L463">
        <f t="shared" si="15"/>
        <v>9.4999999999999998E-3</v>
      </c>
    </row>
    <row r="464" spans="1:12" x14ac:dyDescent="0.25">
      <c r="A464" s="1">
        <v>463</v>
      </c>
      <c r="B464" s="2">
        <v>4781544</v>
      </c>
      <c r="C464" s="3">
        <v>2.7E-2</v>
      </c>
      <c r="D464" s="1">
        <v>0.67</v>
      </c>
      <c r="E464" s="4">
        <v>0.16</v>
      </c>
      <c r="F464" s="4">
        <v>0.22</v>
      </c>
      <c r="G464" s="4">
        <v>0.62</v>
      </c>
      <c r="H464" s="17">
        <f t="shared" si="14"/>
        <v>1.7436687317998513E-5</v>
      </c>
      <c r="L464">
        <f t="shared" si="15"/>
        <v>1.8090000000000002E-2</v>
      </c>
    </row>
    <row r="465" spans="1:12" x14ac:dyDescent="0.25">
      <c r="A465" s="1">
        <v>464</v>
      </c>
      <c r="B465" s="2">
        <v>4416538</v>
      </c>
      <c r="C465" s="3">
        <v>2.8000000000000001E-2</v>
      </c>
      <c r="D465" s="1">
        <v>0.67</v>
      </c>
      <c r="E465" s="4">
        <v>0.23</v>
      </c>
      <c r="F465" s="4">
        <v>0.28000000000000003</v>
      </c>
      <c r="G465" s="4">
        <v>0.49</v>
      </c>
      <c r="H465" s="17">
        <f t="shared" si="14"/>
        <v>1.6702137773393317E-5</v>
      </c>
      <c r="L465">
        <f t="shared" si="15"/>
        <v>1.8760000000000002E-2</v>
      </c>
    </row>
    <row r="466" spans="1:12" x14ac:dyDescent="0.25">
      <c r="A466" s="1">
        <v>465</v>
      </c>
      <c r="B466" s="2">
        <v>2379396</v>
      </c>
      <c r="C466" s="3">
        <v>3.5000000000000003E-2</v>
      </c>
      <c r="D466" s="1">
        <v>0.5</v>
      </c>
      <c r="E466" s="4">
        <v>0.18</v>
      </c>
      <c r="F466" s="4">
        <v>0.28000000000000003</v>
      </c>
      <c r="G466" s="4">
        <v>0.54</v>
      </c>
      <c r="H466" s="17">
        <f t="shared" si="14"/>
        <v>8.3938660055607642E-6</v>
      </c>
      <c r="L466">
        <f t="shared" si="15"/>
        <v>1.7500000000000002E-2</v>
      </c>
    </row>
    <row r="467" spans="1:12" x14ac:dyDescent="0.25">
      <c r="A467" s="1">
        <v>466</v>
      </c>
      <c r="B467" s="2">
        <v>4057497</v>
      </c>
      <c r="C467" s="3">
        <v>2.5000000000000001E-2</v>
      </c>
      <c r="D467" s="1">
        <v>0.67</v>
      </c>
      <c r="E467" s="4">
        <v>0.25</v>
      </c>
      <c r="F467" s="4">
        <v>0.24</v>
      </c>
      <c r="G467" s="4">
        <v>0.51</v>
      </c>
      <c r="H467" s="17">
        <f t="shared" si="14"/>
        <v>1.3700306242842662E-5</v>
      </c>
      <c r="L467">
        <f t="shared" si="15"/>
        <v>1.6750000000000001E-2</v>
      </c>
    </row>
    <row r="468" spans="1:12" x14ac:dyDescent="0.25">
      <c r="A468" s="1">
        <v>467</v>
      </c>
      <c r="B468" s="2">
        <v>2632414</v>
      </c>
      <c r="C468" s="3">
        <v>0.03</v>
      </c>
      <c r="D468" s="1">
        <v>0.5</v>
      </c>
      <c r="E468" s="4">
        <v>0.15</v>
      </c>
      <c r="F468" s="4">
        <v>0.27</v>
      </c>
      <c r="G468" s="4">
        <v>0.57999999999999996</v>
      </c>
      <c r="H468" s="17">
        <f t="shared" si="14"/>
        <v>7.959810108049832E-6</v>
      </c>
      <c r="L468">
        <f t="shared" si="15"/>
        <v>1.4999999999999999E-2</v>
      </c>
    </row>
    <row r="469" spans="1:12" x14ac:dyDescent="0.25">
      <c r="A469" s="1">
        <v>468</v>
      </c>
      <c r="B469" s="2">
        <v>2144262</v>
      </c>
      <c r="C469" s="3">
        <v>0.02</v>
      </c>
      <c r="D469" s="1">
        <v>0.5</v>
      </c>
      <c r="E469" s="4">
        <v>0.18</v>
      </c>
      <c r="F469" s="4">
        <v>0.35</v>
      </c>
      <c r="G469" s="4">
        <v>0.47000000000000003</v>
      </c>
      <c r="H469" s="17">
        <f t="shared" si="14"/>
        <v>4.3225010305894505E-6</v>
      </c>
      <c r="L469">
        <f t="shared" si="15"/>
        <v>0.01</v>
      </c>
    </row>
    <row r="470" spans="1:12" x14ac:dyDescent="0.25">
      <c r="A470" s="1">
        <v>469</v>
      </c>
      <c r="B470" s="2">
        <v>4190855</v>
      </c>
      <c r="C470" s="3">
        <v>1.7999999999999999E-2</v>
      </c>
      <c r="D470" s="1">
        <v>0.67</v>
      </c>
      <c r="E470" s="4">
        <v>0.17</v>
      </c>
      <c r="F470" s="4">
        <v>0.33</v>
      </c>
      <c r="G470" s="4">
        <v>0.49999999999999989</v>
      </c>
      <c r="H470" s="17">
        <f t="shared" si="14"/>
        <v>1.0188428428149384E-5</v>
      </c>
      <c r="L470">
        <f t="shared" si="15"/>
        <v>1.206E-2</v>
      </c>
    </row>
    <row r="471" spans="1:12" x14ac:dyDescent="0.25">
      <c r="A471" s="1">
        <v>470</v>
      </c>
      <c r="B471" s="2">
        <v>2106882</v>
      </c>
      <c r="C471" s="3">
        <v>2.5999999999999999E-2</v>
      </c>
      <c r="D471" s="1">
        <v>0.5</v>
      </c>
      <c r="E471" s="4">
        <v>0.2</v>
      </c>
      <c r="F471" s="4">
        <v>0.25</v>
      </c>
      <c r="G471" s="4">
        <v>0.55000000000000004</v>
      </c>
      <c r="H471" s="17">
        <f t="shared" si="14"/>
        <v>5.5212933406596175E-6</v>
      </c>
      <c r="L471">
        <f t="shared" si="15"/>
        <v>1.2999999999999999E-2</v>
      </c>
    </row>
    <row r="472" spans="1:12" x14ac:dyDescent="0.25">
      <c r="A472" s="1">
        <v>471</v>
      </c>
      <c r="B472" s="2">
        <v>4378173</v>
      </c>
      <c r="C472" s="3">
        <v>1.7999999999999999E-2</v>
      </c>
      <c r="D472" s="1">
        <v>0.67</v>
      </c>
      <c r="E472" s="4">
        <v>0.15</v>
      </c>
      <c r="F472" s="4">
        <v>0.31</v>
      </c>
      <c r="G472" s="4">
        <v>0.53999999999999992</v>
      </c>
      <c r="H472" s="17">
        <f t="shared" si="14"/>
        <v>1.06438190432635E-5</v>
      </c>
      <c r="L472">
        <f t="shared" si="15"/>
        <v>1.206E-2</v>
      </c>
    </row>
    <row r="473" spans="1:12" x14ac:dyDescent="0.25">
      <c r="A473" s="1">
        <v>472</v>
      </c>
      <c r="B473" s="2">
        <v>2038628</v>
      </c>
      <c r="C473" s="3">
        <v>2.8000000000000001E-2</v>
      </c>
      <c r="D473" s="1">
        <v>0.5</v>
      </c>
      <c r="E473" s="4">
        <v>0.2</v>
      </c>
      <c r="F473" s="4">
        <v>0.18</v>
      </c>
      <c r="G473" s="4">
        <v>0.62000000000000011</v>
      </c>
      <c r="H473" s="17">
        <f t="shared" si="14"/>
        <v>5.7533828810956477E-6</v>
      </c>
      <c r="L473">
        <f t="shared" si="15"/>
        <v>1.4E-2</v>
      </c>
    </row>
    <row r="474" spans="1:12" x14ac:dyDescent="0.25">
      <c r="A474" s="1">
        <v>473</v>
      </c>
      <c r="B474" s="2">
        <v>4657253</v>
      </c>
      <c r="C474" s="3">
        <v>3.1E-2</v>
      </c>
      <c r="D474" s="1">
        <v>0.67</v>
      </c>
      <c r="E474" s="4">
        <v>0.19</v>
      </c>
      <c r="F474" s="4">
        <v>0.33</v>
      </c>
      <c r="G474" s="4">
        <v>0.47999999999999993</v>
      </c>
      <c r="H474" s="17">
        <f t="shared" si="14"/>
        <v>1.9499504870735124E-5</v>
      </c>
      <c r="L474">
        <f t="shared" si="15"/>
        <v>2.077E-2</v>
      </c>
    </row>
    <row r="475" spans="1:12" x14ac:dyDescent="0.25">
      <c r="A475" s="1">
        <v>474</v>
      </c>
      <c r="B475" s="2">
        <v>4976773</v>
      </c>
      <c r="C475" s="3">
        <v>3.3000000000000002E-2</v>
      </c>
      <c r="D475" s="1">
        <v>0.67</v>
      </c>
      <c r="E475" s="4">
        <v>0.19</v>
      </c>
      <c r="F475" s="4">
        <v>0.33</v>
      </c>
      <c r="G475" s="4">
        <v>0.47999999999999993</v>
      </c>
      <c r="H475" s="17">
        <f t="shared" si="14"/>
        <v>2.2181649116552959E-5</v>
      </c>
      <c r="L475">
        <f t="shared" si="15"/>
        <v>2.2110000000000001E-2</v>
      </c>
    </row>
    <row r="476" spans="1:12" x14ac:dyDescent="0.25">
      <c r="A476" s="1">
        <v>475</v>
      </c>
      <c r="B476" s="2">
        <v>2705531</v>
      </c>
      <c r="C476" s="3">
        <v>1.7000000000000001E-2</v>
      </c>
      <c r="D476" s="1">
        <v>0.5</v>
      </c>
      <c r="E476" s="4">
        <v>0.18</v>
      </c>
      <c r="F476" s="4">
        <v>0.34</v>
      </c>
      <c r="G476" s="4">
        <v>0.47999999999999993</v>
      </c>
      <c r="H476" s="17">
        <f t="shared" si="14"/>
        <v>4.6358427540211746E-6</v>
      </c>
      <c r="L476">
        <f t="shared" si="15"/>
        <v>8.5000000000000006E-3</v>
      </c>
    </row>
    <row r="477" spans="1:12" x14ac:dyDescent="0.25">
      <c r="A477" s="1">
        <v>476</v>
      </c>
      <c r="B477" s="2">
        <v>4329751</v>
      </c>
      <c r="C477" s="3">
        <v>2.4E-2</v>
      </c>
      <c r="D477" s="1">
        <v>0.67</v>
      </c>
      <c r="E477" s="4">
        <v>0.22</v>
      </c>
      <c r="F477" s="4">
        <v>0.21</v>
      </c>
      <c r="G477" s="4">
        <v>0.57000000000000006</v>
      </c>
      <c r="H477" s="17">
        <f t="shared" si="14"/>
        <v>1.4034799796289211E-5</v>
      </c>
      <c r="L477">
        <f t="shared" si="15"/>
        <v>1.6080000000000001E-2</v>
      </c>
    </row>
    <row r="478" spans="1:12" x14ac:dyDescent="0.25">
      <c r="A478" s="1">
        <v>477</v>
      </c>
      <c r="B478" s="2">
        <v>2756090</v>
      </c>
      <c r="C478" s="3">
        <v>2.7E-2</v>
      </c>
      <c r="D478" s="1">
        <v>0.5</v>
      </c>
      <c r="E478" s="4">
        <v>0.23</v>
      </c>
      <c r="F478" s="4">
        <v>0.23</v>
      </c>
      <c r="G478" s="4">
        <v>0.54</v>
      </c>
      <c r="H478" s="17">
        <f t="shared" si="14"/>
        <v>7.5003999130173119E-6</v>
      </c>
      <c r="L478">
        <f t="shared" si="15"/>
        <v>1.35E-2</v>
      </c>
    </row>
    <row r="479" spans="1:12" x14ac:dyDescent="0.25">
      <c r="A479" s="1">
        <v>478</v>
      </c>
      <c r="B479" s="2">
        <v>2526358</v>
      </c>
      <c r="C479" s="3">
        <v>0.02</v>
      </c>
      <c r="D479" s="1">
        <v>0.5</v>
      </c>
      <c r="E479" s="4">
        <v>0.17</v>
      </c>
      <c r="F479" s="4">
        <v>0.31</v>
      </c>
      <c r="G479" s="4">
        <v>0.51999999999999991</v>
      </c>
      <c r="H479" s="17">
        <f t="shared" si="14"/>
        <v>5.092747555400369E-6</v>
      </c>
      <c r="L479">
        <f t="shared" si="15"/>
        <v>0.01</v>
      </c>
    </row>
    <row r="480" spans="1:12" x14ac:dyDescent="0.25">
      <c r="A480" s="1">
        <v>479</v>
      </c>
      <c r="B480" s="2">
        <v>4877927</v>
      </c>
      <c r="C480" s="3">
        <v>2.9000000000000001E-2</v>
      </c>
      <c r="D480" s="1">
        <v>0.67</v>
      </c>
      <c r="E480" s="4">
        <v>0.16</v>
      </c>
      <c r="F480" s="4">
        <v>0.22</v>
      </c>
      <c r="G480" s="4">
        <v>0.62</v>
      </c>
      <c r="H480" s="17">
        <f t="shared" si="14"/>
        <v>1.9105805556249999E-5</v>
      </c>
      <c r="L480">
        <f t="shared" si="15"/>
        <v>1.9430000000000003E-2</v>
      </c>
    </row>
    <row r="481" spans="1:12" x14ac:dyDescent="0.25">
      <c r="A481" s="1">
        <v>480</v>
      </c>
      <c r="B481" s="2">
        <v>4851104</v>
      </c>
      <c r="C481" s="3">
        <v>3.1E-2</v>
      </c>
      <c r="D481" s="1">
        <v>0.67</v>
      </c>
      <c r="E481" s="4">
        <v>0.22</v>
      </c>
      <c r="F481" s="4">
        <v>0.15</v>
      </c>
      <c r="G481" s="4">
        <v>0.63</v>
      </c>
      <c r="H481" s="17">
        <f t="shared" si="14"/>
        <v>2.0311141798919373E-5</v>
      </c>
      <c r="L481">
        <f t="shared" si="15"/>
        <v>2.077E-2</v>
      </c>
    </row>
    <row r="482" spans="1:12" x14ac:dyDescent="0.25">
      <c r="A482" s="1">
        <v>481</v>
      </c>
      <c r="B482" s="2">
        <v>3978572</v>
      </c>
      <c r="C482" s="3">
        <v>3.5000000000000003E-2</v>
      </c>
      <c r="D482" s="1">
        <v>0.5</v>
      </c>
      <c r="E482" s="4">
        <v>0.25</v>
      </c>
      <c r="F482" s="4">
        <v>0.3</v>
      </c>
      <c r="G482" s="4">
        <v>0.44999999999999996</v>
      </c>
      <c r="H482" s="17">
        <f t="shared" si="14"/>
        <v>1.4035326722191638E-5</v>
      </c>
      <c r="L482">
        <f t="shared" si="15"/>
        <v>1.7500000000000002E-2</v>
      </c>
    </row>
    <row r="483" spans="1:12" x14ac:dyDescent="0.25">
      <c r="A483" s="1">
        <v>482</v>
      </c>
      <c r="B483" s="2">
        <v>3194993</v>
      </c>
      <c r="C483" s="3">
        <v>2.3E-2</v>
      </c>
      <c r="D483" s="1">
        <v>0.5</v>
      </c>
      <c r="E483" s="4">
        <v>0.2</v>
      </c>
      <c r="F483" s="4">
        <v>0.25</v>
      </c>
      <c r="G483" s="4">
        <v>0.55000000000000004</v>
      </c>
      <c r="H483" s="17">
        <f t="shared" si="14"/>
        <v>7.4067043185534195E-6</v>
      </c>
      <c r="L483">
        <f t="shared" si="15"/>
        <v>1.15E-2</v>
      </c>
    </row>
    <row r="484" spans="1:12" x14ac:dyDescent="0.25">
      <c r="A484" s="1">
        <v>483</v>
      </c>
      <c r="B484" s="2">
        <v>4029978</v>
      </c>
      <c r="C484" s="3">
        <v>3.1E-2</v>
      </c>
      <c r="D484" s="1">
        <v>0.67</v>
      </c>
      <c r="E484" s="4">
        <v>0.25</v>
      </c>
      <c r="F484" s="4">
        <v>0.27</v>
      </c>
      <c r="G484" s="4">
        <v>0.48</v>
      </c>
      <c r="H484" s="17">
        <f t="shared" si="14"/>
        <v>1.6873160131080575E-5</v>
      </c>
      <c r="L484">
        <f t="shared" si="15"/>
        <v>2.077E-2</v>
      </c>
    </row>
    <row r="485" spans="1:12" x14ac:dyDescent="0.25">
      <c r="A485" s="1">
        <v>484</v>
      </c>
      <c r="B485" s="2">
        <v>4320741</v>
      </c>
      <c r="C485" s="3">
        <v>2.1000000000000001E-2</v>
      </c>
      <c r="D485" s="1">
        <v>0.67</v>
      </c>
      <c r="E485" s="4">
        <v>0.24</v>
      </c>
      <c r="F485" s="4">
        <v>0.18</v>
      </c>
      <c r="G485" s="4">
        <v>0.58000000000000007</v>
      </c>
      <c r="H485" s="17">
        <f t="shared" si="14"/>
        <v>1.2254894806489136E-5</v>
      </c>
      <c r="L485">
        <f t="shared" si="15"/>
        <v>1.4070000000000001E-2</v>
      </c>
    </row>
    <row r="486" spans="1:12" x14ac:dyDescent="0.25">
      <c r="A486" s="1">
        <v>485</v>
      </c>
      <c r="B486" s="2">
        <v>4243865</v>
      </c>
      <c r="C486" s="3">
        <v>0.03</v>
      </c>
      <c r="D486" s="1">
        <v>0.67</v>
      </c>
      <c r="E486" s="4">
        <v>0.16</v>
      </c>
      <c r="F486" s="4">
        <v>0.18</v>
      </c>
      <c r="G486" s="4">
        <v>0.66</v>
      </c>
      <c r="H486" s="17">
        <f t="shared" si="14"/>
        <v>1.7195502592839319E-5</v>
      </c>
      <c r="L486">
        <f t="shared" si="15"/>
        <v>2.01E-2</v>
      </c>
    </row>
    <row r="487" spans="1:12" x14ac:dyDescent="0.25">
      <c r="A487" s="1">
        <v>486</v>
      </c>
      <c r="B487" s="2">
        <v>4969680</v>
      </c>
      <c r="C487" s="3">
        <v>3.5000000000000003E-2</v>
      </c>
      <c r="D487" s="1">
        <v>0.67</v>
      </c>
      <c r="E487" s="4">
        <v>0.18</v>
      </c>
      <c r="F487" s="4">
        <v>0.15</v>
      </c>
      <c r="G487" s="4">
        <v>0.66999999999999993</v>
      </c>
      <c r="H487" s="17">
        <f t="shared" si="14"/>
        <v>2.3492461756719095E-5</v>
      </c>
      <c r="L487">
        <f t="shared" si="15"/>
        <v>2.3450000000000002E-2</v>
      </c>
    </row>
    <row r="488" spans="1:12" x14ac:dyDescent="0.25">
      <c r="A488" s="1">
        <v>487</v>
      </c>
      <c r="B488" s="2">
        <v>4812876</v>
      </c>
      <c r="C488" s="3">
        <v>1.6E-2</v>
      </c>
      <c r="D488" s="1">
        <v>0.67</v>
      </c>
      <c r="E488" s="4">
        <v>0.15</v>
      </c>
      <c r="F488" s="4">
        <v>0.26</v>
      </c>
      <c r="G488" s="4">
        <v>0.59</v>
      </c>
      <c r="H488" s="17">
        <f t="shared" si="14"/>
        <v>1.0400559771122364E-5</v>
      </c>
      <c r="L488">
        <f t="shared" si="15"/>
        <v>1.072E-2</v>
      </c>
    </row>
    <row r="489" spans="1:12" x14ac:dyDescent="0.25">
      <c r="A489" s="1">
        <v>488</v>
      </c>
      <c r="B489" s="2">
        <v>2067984</v>
      </c>
      <c r="C489" s="3">
        <v>0.02</v>
      </c>
      <c r="D489" s="1">
        <v>0.5</v>
      </c>
      <c r="E489" s="4">
        <v>0.23</v>
      </c>
      <c r="F489" s="4">
        <v>0.28999999999999998</v>
      </c>
      <c r="G489" s="4">
        <v>0.48</v>
      </c>
      <c r="H489" s="17">
        <f t="shared" si="14"/>
        <v>4.1687363630202351E-6</v>
      </c>
      <c r="L489">
        <f t="shared" si="15"/>
        <v>0.01</v>
      </c>
    </row>
    <row r="490" spans="1:12" x14ac:dyDescent="0.25">
      <c r="A490" s="1">
        <v>489</v>
      </c>
      <c r="B490" s="2">
        <v>3958933</v>
      </c>
      <c r="C490" s="3">
        <v>3.5000000000000003E-2</v>
      </c>
      <c r="D490" s="1">
        <v>0.5</v>
      </c>
      <c r="E490" s="4">
        <v>0.21</v>
      </c>
      <c r="F490" s="4">
        <v>0.35</v>
      </c>
      <c r="G490" s="4">
        <v>0.44000000000000006</v>
      </c>
      <c r="H490" s="17">
        <f t="shared" si="14"/>
        <v>1.3966045638049607E-5</v>
      </c>
      <c r="L490">
        <f t="shared" si="15"/>
        <v>1.7500000000000002E-2</v>
      </c>
    </row>
    <row r="491" spans="1:12" x14ac:dyDescent="0.25">
      <c r="A491" s="1">
        <v>490</v>
      </c>
      <c r="B491" s="2">
        <v>4492009</v>
      </c>
      <c r="C491" s="3">
        <v>0.03</v>
      </c>
      <c r="D491" s="1">
        <v>0.67</v>
      </c>
      <c r="E491" s="4">
        <v>0.25</v>
      </c>
      <c r="F491" s="4">
        <v>0.24</v>
      </c>
      <c r="G491" s="4">
        <v>0.51</v>
      </c>
      <c r="H491" s="17">
        <f t="shared" si="14"/>
        <v>1.8200944753557797E-5</v>
      </c>
      <c r="L491">
        <f t="shared" si="15"/>
        <v>2.01E-2</v>
      </c>
    </row>
    <row r="492" spans="1:12" x14ac:dyDescent="0.25">
      <c r="A492" s="1">
        <v>491</v>
      </c>
      <c r="B492" s="2">
        <v>3314774</v>
      </c>
      <c r="C492" s="3">
        <v>2.1999999999999999E-2</v>
      </c>
      <c r="D492" s="1">
        <v>0.5</v>
      </c>
      <c r="E492" s="4">
        <v>0.17</v>
      </c>
      <c r="F492" s="4">
        <v>0.32</v>
      </c>
      <c r="G492" s="4">
        <v>0.5099999999999999</v>
      </c>
      <c r="H492" s="17">
        <f t="shared" si="14"/>
        <v>7.3502796926346811E-6</v>
      </c>
      <c r="L492">
        <f t="shared" si="15"/>
        <v>1.0999999999999999E-2</v>
      </c>
    </row>
    <row r="493" spans="1:12" x14ac:dyDescent="0.25">
      <c r="A493" s="1">
        <v>492</v>
      </c>
      <c r="B493" s="2">
        <v>2250854</v>
      </c>
      <c r="C493" s="3">
        <v>2.7E-2</v>
      </c>
      <c r="D493" s="1">
        <v>0.5</v>
      </c>
      <c r="E493" s="4">
        <v>0.2</v>
      </c>
      <c r="F493" s="4">
        <v>0.21</v>
      </c>
      <c r="G493" s="4">
        <v>0.59000000000000008</v>
      </c>
      <c r="H493" s="17">
        <f t="shared" si="14"/>
        <v>6.1254549545967905E-6</v>
      </c>
      <c r="L493">
        <f t="shared" si="15"/>
        <v>1.35E-2</v>
      </c>
    </row>
    <row r="494" spans="1:12" x14ac:dyDescent="0.25">
      <c r="A494" s="1">
        <v>493</v>
      </c>
      <c r="B494" s="2">
        <v>2542824</v>
      </c>
      <c r="C494" s="3">
        <v>3.4000000000000002E-2</v>
      </c>
      <c r="D494" s="1">
        <v>0.5</v>
      </c>
      <c r="E494" s="4">
        <v>0.16</v>
      </c>
      <c r="F494" s="4">
        <v>0.26</v>
      </c>
      <c r="G494" s="4">
        <v>0.57999999999999996</v>
      </c>
      <c r="H494" s="17">
        <f t="shared" si="14"/>
        <v>8.714098796244538E-6</v>
      </c>
      <c r="L494">
        <f t="shared" si="15"/>
        <v>1.7000000000000001E-2</v>
      </c>
    </row>
    <row r="495" spans="1:12" x14ac:dyDescent="0.25">
      <c r="A495" s="1">
        <v>494</v>
      </c>
      <c r="B495" s="2">
        <v>4239219</v>
      </c>
      <c r="C495" s="3">
        <v>2.5000000000000001E-2</v>
      </c>
      <c r="D495" s="1">
        <v>0.67</v>
      </c>
      <c r="E495" s="4">
        <v>0.21</v>
      </c>
      <c r="F495" s="4">
        <v>0.23</v>
      </c>
      <c r="G495" s="4">
        <v>0.56000000000000005</v>
      </c>
      <c r="H495" s="17">
        <f t="shared" si="14"/>
        <v>1.431389808309833E-5</v>
      </c>
      <c r="L495">
        <f t="shared" si="15"/>
        <v>1.6750000000000001E-2</v>
      </c>
    </row>
    <row r="496" spans="1:12" x14ac:dyDescent="0.25">
      <c r="A496" s="1">
        <v>495</v>
      </c>
      <c r="B496" s="2">
        <v>4350487</v>
      </c>
      <c r="C496" s="3">
        <v>1.4999999999999999E-2</v>
      </c>
      <c r="D496" s="1">
        <v>0.67</v>
      </c>
      <c r="E496" s="4">
        <v>0.2</v>
      </c>
      <c r="F496" s="4">
        <v>0.18</v>
      </c>
      <c r="G496" s="4">
        <v>0.62000000000000011</v>
      </c>
      <c r="H496" s="17">
        <f t="shared" si="14"/>
        <v>8.8137594490651521E-6</v>
      </c>
      <c r="L496">
        <f t="shared" si="15"/>
        <v>1.005E-2</v>
      </c>
    </row>
    <row r="497" spans="1:12" x14ac:dyDescent="0.25">
      <c r="A497" s="1">
        <v>496</v>
      </c>
      <c r="B497" s="2">
        <v>3619737</v>
      </c>
      <c r="C497" s="3">
        <v>3.4000000000000002E-2</v>
      </c>
      <c r="D497" s="1">
        <v>0.5</v>
      </c>
      <c r="E497" s="4">
        <v>0.16</v>
      </c>
      <c r="F497" s="4">
        <v>0.22</v>
      </c>
      <c r="G497" s="4">
        <v>0.62</v>
      </c>
      <c r="H497" s="17">
        <f t="shared" si="14"/>
        <v>1.2404612287135017E-5</v>
      </c>
      <c r="L497">
        <f t="shared" si="15"/>
        <v>1.7000000000000001E-2</v>
      </c>
    </row>
    <row r="498" spans="1:12" x14ac:dyDescent="0.25">
      <c r="A498" s="1">
        <v>497</v>
      </c>
      <c r="B498" s="2">
        <v>3531580</v>
      </c>
      <c r="C498" s="3">
        <v>2.1999999999999999E-2</v>
      </c>
      <c r="D498" s="1">
        <v>0.5</v>
      </c>
      <c r="E498" s="4">
        <v>0.22</v>
      </c>
      <c r="F498" s="4">
        <v>0.22</v>
      </c>
      <c r="G498" s="4">
        <v>0.56000000000000005</v>
      </c>
      <c r="H498" s="17">
        <f t="shared" si="14"/>
        <v>7.8310318461876404E-6</v>
      </c>
      <c r="L498">
        <f t="shared" si="15"/>
        <v>1.0999999999999999E-2</v>
      </c>
    </row>
    <row r="499" spans="1:12" x14ac:dyDescent="0.25">
      <c r="A499" s="1">
        <v>498</v>
      </c>
      <c r="B499" s="2">
        <v>4063605</v>
      </c>
      <c r="C499" s="3">
        <v>3.1E-2</v>
      </c>
      <c r="D499" s="1">
        <v>0.67</v>
      </c>
      <c r="E499" s="4">
        <v>0.23</v>
      </c>
      <c r="F499" s="4">
        <v>0.21</v>
      </c>
      <c r="G499" s="4">
        <v>0.56000000000000005</v>
      </c>
      <c r="H499" s="17">
        <f t="shared" si="14"/>
        <v>1.7013953394896868E-5</v>
      </c>
      <c r="L499">
        <f t="shared" si="15"/>
        <v>2.077E-2</v>
      </c>
    </row>
    <row r="500" spans="1:12" x14ac:dyDescent="0.25">
      <c r="A500" s="1">
        <v>499</v>
      </c>
      <c r="B500" s="2">
        <v>4461572</v>
      </c>
      <c r="C500" s="3">
        <v>3.1E-2</v>
      </c>
      <c r="D500" s="1">
        <v>0.67</v>
      </c>
      <c r="E500" s="4">
        <v>0.15</v>
      </c>
      <c r="F500" s="4">
        <v>0.3</v>
      </c>
      <c r="G500" s="4">
        <v>0.54999999999999993</v>
      </c>
      <c r="H500" s="17">
        <f t="shared" si="14"/>
        <v>1.8680205895006232E-5</v>
      </c>
      <c r="L500">
        <f t="shared" si="15"/>
        <v>2.077E-2</v>
      </c>
    </row>
    <row r="501" spans="1:12" x14ac:dyDescent="0.25">
      <c r="A501" s="1">
        <v>500</v>
      </c>
      <c r="B501" s="2">
        <v>4974958</v>
      </c>
      <c r="C501" s="3">
        <v>2.1000000000000001E-2</v>
      </c>
      <c r="D501" s="1">
        <v>0.67</v>
      </c>
      <c r="E501" s="4">
        <v>0.19</v>
      </c>
      <c r="F501" s="4">
        <v>0.18</v>
      </c>
      <c r="G501" s="4">
        <v>0.63000000000000012</v>
      </c>
      <c r="H501" s="17">
        <f t="shared" si="14"/>
        <v>1.4110447017467971E-5</v>
      </c>
      <c r="L501">
        <f t="shared" si="15"/>
        <v>1.4070000000000001E-2</v>
      </c>
    </row>
    <row r="502" spans="1:12" x14ac:dyDescent="0.25">
      <c r="A502" s="1">
        <v>501</v>
      </c>
      <c r="B502" s="2">
        <v>4506545</v>
      </c>
      <c r="C502" s="3">
        <v>0.03</v>
      </c>
      <c r="D502" s="1">
        <v>0.67</v>
      </c>
      <c r="E502" s="4">
        <v>0.15</v>
      </c>
      <c r="F502" s="4">
        <v>0.21</v>
      </c>
      <c r="G502" s="4">
        <v>0.64</v>
      </c>
      <c r="H502" s="17">
        <f t="shared" si="14"/>
        <v>1.8259842438967092E-5</v>
      </c>
      <c r="L502">
        <f t="shared" si="15"/>
        <v>2.01E-2</v>
      </c>
    </row>
    <row r="503" spans="1:12" x14ac:dyDescent="0.25">
      <c r="A503" s="1">
        <v>502</v>
      </c>
      <c r="B503" s="2">
        <v>3100665</v>
      </c>
      <c r="C503" s="3">
        <v>1.7000000000000001E-2</v>
      </c>
      <c r="D503" s="1">
        <v>0.5</v>
      </c>
      <c r="E503" s="4">
        <v>0.22</v>
      </c>
      <c r="F503" s="4">
        <v>0.18</v>
      </c>
      <c r="G503" s="4">
        <v>0.60000000000000009</v>
      </c>
      <c r="H503" s="17">
        <f t="shared" si="14"/>
        <v>5.3128925053518387E-6</v>
      </c>
      <c r="L503">
        <f t="shared" si="15"/>
        <v>8.5000000000000006E-3</v>
      </c>
    </row>
    <row r="504" spans="1:12" x14ac:dyDescent="0.25">
      <c r="A504" s="1">
        <v>503</v>
      </c>
      <c r="B504" s="2">
        <v>3436652</v>
      </c>
      <c r="C504" s="3">
        <v>2.4E-2</v>
      </c>
      <c r="D504" s="1">
        <v>0.5</v>
      </c>
      <c r="E504" s="4">
        <v>0.22</v>
      </c>
      <c r="F504" s="4">
        <v>0.22</v>
      </c>
      <c r="G504" s="4">
        <v>0.56000000000000005</v>
      </c>
      <c r="H504" s="17">
        <f t="shared" si="14"/>
        <v>8.3133116075054067E-6</v>
      </c>
      <c r="L504">
        <f t="shared" si="15"/>
        <v>1.2E-2</v>
      </c>
    </row>
    <row r="505" spans="1:12" x14ac:dyDescent="0.25">
      <c r="A505" s="1">
        <v>504</v>
      </c>
      <c r="B505" s="2">
        <v>3389417</v>
      </c>
      <c r="C505" s="3">
        <v>1.7999999999999999E-2</v>
      </c>
      <c r="D505" s="1">
        <v>0.5</v>
      </c>
      <c r="E505" s="4">
        <v>0.15</v>
      </c>
      <c r="F505" s="4">
        <v>0.34</v>
      </c>
      <c r="G505" s="4">
        <v>0.5099999999999999</v>
      </c>
      <c r="H505" s="17">
        <f t="shared" si="14"/>
        <v>6.1492870871365832E-6</v>
      </c>
      <c r="L505">
        <f t="shared" si="15"/>
        <v>8.9999999999999993E-3</v>
      </c>
    </row>
    <row r="506" spans="1:12" x14ac:dyDescent="0.25">
      <c r="A506" s="1">
        <v>505</v>
      </c>
      <c r="B506" s="2">
        <v>3711861</v>
      </c>
      <c r="C506" s="3">
        <v>2.7E-2</v>
      </c>
      <c r="D506" s="1">
        <v>0.5</v>
      </c>
      <c r="E506" s="4">
        <v>0.25</v>
      </c>
      <c r="F506" s="4">
        <v>0.19</v>
      </c>
      <c r="G506" s="4">
        <v>0.56000000000000005</v>
      </c>
      <c r="H506" s="17">
        <f t="shared" si="14"/>
        <v>1.0101426993143314E-5</v>
      </c>
      <c r="L506">
        <f t="shared" si="15"/>
        <v>1.35E-2</v>
      </c>
    </row>
    <row r="507" spans="1:12" x14ac:dyDescent="0.25">
      <c r="A507" s="1">
        <v>506</v>
      </c>
      <c r="B507" s="2">
        <v>2374936</v>
      </c>
      <c r="C507" s="3">
        <v>1.9E-2</v>
      </c>
      <c r="D507" s="1">
        <v>0.5</v>
      </c>
      <c r="E507" s="4">
        <v>0.16</v>
      </c>
      <c r="F507" s="4">
        <v>0.33</v>
      </c>
      <c r="G507" s="4">
        <v>0.5099999999999999</v>
      </c>
      <c r="H507" s="17">
        <f t="shared" si="14"/>
        <v>4.5481289796698302E-6</v>
      </c>
      <c r="L507">
        <f t="shared" si="15"/>
        <v>9.4999999999999998E-3</v>
      </c>
    </row>
    <row r="508" spans="1:12" x14ac:dyDescent="0.25">
      <c r="A508" s="1">
        <v>507</v>
      </c>
      <c r="B508" s="2">
        <v>3924223</v>
      </c>
      <c r="C508" s="3">
        <v>2.8000000000000001E-2</v>
      </c>
      <c r="D508" s="1">
        <v>0.5</v>
      </c>
      <c r="E508" s="4">
        <v>0.2</v>
      </c>
      <c r="F508" s="4">
        <v>0.32</v>
      </c>
      <c r="G508" s="4">
        <v>0.47999999999999993</v>
      </c>
      <c r="H508" s="17">
        <f t="shared" si="14"/>
        <v>1.1074878511333019E-5</v>
      </c>
      <c r="L508">
        <f t="shared" si="15"/>
        <v>1.4E-2</v>
      </c>
    </row>
    <row r="509" spans="1:12" x14ac:dyDescent="0.25">
      <c r="A509" s="1">
        <v>508</v>
      </c>
      <c r="B509" s="2">
        <v>4052065</v>
      </c>
      <c r="C509" s="3">
        <v>1.7000000000000001E-2</v>
      </c>
      <c r="D509" s="1">
        <v>0.67</v>
      </c>
      <c r="E509" s="4">
        <v>0.21</v>
      </c>
      <c r="F509" s="4">
        <v>0.17</v>
      </c>
      <c r="G509" s="4">
        <v>0.62</v>
      </c>
      <c r="H509" s="17">
        <f t="shared" si="14"/>
        <v>9.3037361118972829E-6</v>
      </c>
      <c r="L509">
        <f t="shared" si="15"/>
        <v>1.1390000000000001E-2</v>
      </c>
    </row>
    <row r="510" spans="1:12" x14ac:dyDescent="0.25">
      <c r="A510" s="1">
        <v>509</v>
      </c>
      <c r="B510" s="2">
        <v>4142293</v>
      </c>
      <c r="C510" s="3">
        <v>2.8000000000000001E-2</v>
      </c>
      <c r="D510" s="1">
        <v>0.67</v>
      </c>
      <c r="E510" s="4">
        <v>0.15</v>
      </c>
      <c r="F510" s="4">
        <v>0.3</v>
      </c>
      <c r="G510" s="4">
        <v>0.54999999999999993</v>
      </c>
      <c r="H510" s="17">
        <f t="shared" si="14"/>
        <v>1.5665018252704432E-5</v>
      </c>
      <c r="L510">
        <f t="shared" si="15"/>
        <v>1.8760000000000002E-2</v>
      </c>
    </row>
    <row r="511" spans="1:12" x14ac:dyDescent="0.25">
      <c r="A511" s="1">
        <v>510</v>
      </c>
      <c r="B511" s="2">
        <v>3343006</v>
      </c>
      <c r="C511" s="3">
        <v>2.4E-2</v>
      </c>
      <c r="D511" s="1">
        <v>0.5</v>
      </c>
      <c r="E511" s="4">
        <v>0.17</v>
      </c>
      <c r="F511" s="4">
        <v>0.28999999999999998</v>
      </c>
      <c r="G511" s="4">
        <v>0.53999999999999992</v>
      </c>
      <c r="H511" s="17">
        <f t="shared" si="14"/>
        <v>8.0867805596144789E-6</v>
      </c>
      <c r="L511">
        <f t="shared" si="15"/>
        <v>1.2E-2</v>
      </c>
    </row>
    <row r="512" spans="1:12" x14ac:dyDescent="0.25">
      <c r="A512" s="1">
        <v>511</v>
      </c>
      <c r="B512" s="2">
        <v>2264854</v>
      </c>
      <c r="C512" s="3">
        <v>2.5999999999999999E-2</v>
      </c>
      <c r="D512" s="1">
        <v>0.5</v>
      </c>
      <c r="E512" s="4">
        <v>0.2</v>
      </c>
      <c r="F512" s="4">
        <v>0.2</v>
      </c>
      <c r="G512" s="4">
        <v>0.60000000000000009</v>
      </c>
      <c r="H512" s="17">
        <f t="shared" si="14"/>
        <v>5.9352746417532151E-6</v>
      </c>
      <c r="L512">
        <f t="shared" si="15"/>
        <v>1.2999999999999999E-2</v>
      </c>
    </row>
    <row r="513" spans="1:12" x14ac:dyDescent="0.25">
      <c r="A513" s="1">
        <v>512</v>
      </c>
      <c r="B513" s="2">
        <v>2391319</v>
      </c>
      <c r="C513" s="3">
        <v>1.7999999999999999E-2</v>
      </c>
      <c r="D513" s="1">
        <v>0.5</v>
      </c>
      <c r="E513" s="4">
        <v>0.16</v>
      </c>
      <c r="F513" s="4">
        <v>0.26</v>
      </c>
      <c r="G513" s="4">
        <v>0.57999999999999996</v>
      </c>
      <c r="H513" s="17">
        <f t="shared" si="14"/>
        <v>4.3384768082311407E-6</v>
      </c>
      <c r="L513">
        <f t="shared" si="15"/>
        <v>8.9999999999999993E-3</v>
      </c>
    </row>
    <row r="514" spans="1:12" x14ac:dyDescent="0.25">
      <c r="A514" s="1">
        <v>513</v>
      </c>
      <c r="B514" s="2">
        <v>2108355</v>
      </c>
      <c r="C514" s="3">
        <v>3.5000000000000003E-2</v>
      </c>
      <c r="D514" s="1">
        <v>0.5</v>
      </c>
      <c r="E514" s="4">
        <v>0.21</v>
      </c>
      <c r="F514" s="4">
        <v>0.19</v>
      </c>
      <c r="G514" s="4">
        <v>0.60000000000000009</v>
      </c>
      <c r="H514" s="17">
        <f t="shared" si="14"/>
        <v>7.4377066121629444E-6</v>
      </c>
      <c r="L514">
        <f t="shared" si="15"/>
        <v>1.7500000000000002E-2</v>
      </c>
    </row>
    <row r="515" spans="1:12" x14ac:dyDescent="0.25">
      <c r="A515" s="1">
        <v>514</v>
      </c>
      <c r="B515" s="2">
        <v>4595754</v>
      </c>
      <c r="C515" s="3">
        <v>2.5000000000000001E-2</v>
      </c>
      <c r="D515" s="1">
        <v>0.67</v>
      </c>
      <c r="E515" s="4">
        <v>0.18</v>
      </c>
      <c r="F515" s="4">
        <v>0.35</v>
      </c>
      <c r="G515" s="4">
        <v>0.47000000000000003</v>
      </c>
      <c r="H515" s="17">
        <f t="shared" ref="H515:H578" si="16">B515*C515*D515/SUM($B$2:$B$1797)</f>
        <v>1.5517753239686719E-5</v>
      </c>
      <c r="L515">
        <f t="shared" ref="L515:L578" si="17">C515*D515</f>
        <v>1.6750000000000001E-2</v>
      </c>
    </row>
    <row r="516" spans="1:12" x14ac:dyDescent="0.25">
      <c r="A516" s="1">
        <v>515</v>
      </c>
      <c r="B516" s="2">
        <v>3203007</v>
      </c>
      <c r="C516" s="3">
        <v>2.7E-2</v>
      </c>
      <c r="D516" s="1">
        <v>0.5</v>
      </c>
      <c r="E516" s="4">
        <v>0.19</v>
      </c>
      <c r="F516" s="4">
        <v>0.32</v>
      </c>
      <c r="G516" s="4">
        <v>0.48999999999999994</v>
      </c>
      <c r="H516" s="17">
        <f t="shared" si="16"/>
        <v>8.7166360402576996E-6</v>
      </c>
      <c r="L516">
        <f t="shared" si="17"/>
        <v>1.35E-2</v>
      </c>
    </row>
    <row r="517" spans="1:12" x14ac:dyDescent="0.25">
      <c r="A517" s="1">
        <v>516</v>
      </c>
      <c r="B517" s="2">
        <v>2639295</v>
      </c>
      <c r="C517" s="3">
        <v>2.9000000000000001E-2</v>
      </c>
      <c r="D517" s="1">
        <v>0.5</v>
      </c>
      <c r="E517" s="4">
        <v>0.25</v>
      </c>
      <c r="F517" s="4">
        <v>0.2</v>
      </c>
      <c r="G517" s="4">
        <v>0.55000000000000004</v>
      </c>
      <c r="H517" s="17">
        <f t="shared" si="16"/>
        <v>7.7145961027234088E-6</v>
      </c>
      <c r="L517">
        <f t="shared" si="17"/>
        <v>1.4500000000000001E-2</v>
      </c>
    </row>
    <row r="518" spans="1:12" x14ac:dyDescent="0.25">
      <c r="A518" s="1">
        <v>517</v>
      </c>
      <c r="B518" s="2">
        <v>3672982</v>
      </c>
      <c r="C518" s="3">
        <v>3.5000000000000003E-2</v>
      </c>
      <c r="D518" s="1">
        <v>0.5</v>
      </c>
      <c r="E518" s="4">
        <v>0.21</v>
      </c>
      <c r="F518" s="4">
        <v>0.24</v>
      </c>
      <c r="G518" s="4">
        <v>0.55000000000000004</v>
      </c>
      <c r="H518" s="17">
        <f t="shared" si="16"/>
        <v>1.2957287794396805E-5</v>
      </c>
      <c r="L518">
        <f t="shared" si="17"/>
        <v>1.7500000000000002E-2</v>
      </c>
    </row>
    <row r="519" spans="1:12" x14ac:dyDescent="0.25">
      <c r="A519" s="1">
        <v>518</v>
      </c>
      <c r="B519" s="2">
        <v>2853547</v>
      </c>
      <c r="C519" s="3">
        <v>3.3000000000000002E-2</v>
      </c>
      <c r="D519" s="1">
        <v>0.5</v>
      </c>
      <c r="E519" s="4">
        <v>0.21</v>
      </c>
      <c r="F519" s="4">
        <v>0.27</v>
      </c>
      <c r="G519" s="4">
        <v>0.52</v>
      </c>
      <c r="H519" s="17">
        <f t="shared" si="16"/>
        <v>9.4913115793468666E-6</v>
      </c>
      <c r="L519">
        <f t="shared" si="17"/>
        <v>1.6500000000000001E-2</v>
      </c>
    </row>
    <row r="520" spans="1:12" x14ac:dyDescent="0.25">
      <c r="A520" s="1">
        <v>519</v>
      </c>
      <c r="B520" s="2">
        <v>4592880</v>
      </c>
      <c r="C520" s="3">
        <v>0.03</v>
      </c>
      <c r="D520" s="1">
        <v>0.67</v>
      </c>
      <c r="E520" s="4">
        <v>0.24</v>
      </c>
      <c r="F520" s="4">
        <v>0.3</v>
      </c>
      <c r="G520" s="4">
        <v>0.45999999999999996</v>
      </c>
      <c r="H520" s="17">
        <f t="shared" si="16"/>
        <v>1.8609658871948063E-5</v>
      </c>
      <c r="L520">
        <f t="shared" si="17"/>
        <v>2.01E-2</v>
      </c>
    </row>
    <row r="521" spans="1:12" x14ac:dyDescent="0.25">
      <c r="A521" s="1">
        <v>520</v>
      </c>
      <c r="B521" s="2">
        <v>4615921</v>
      </c>
      <c r="C521" s="3">
        <v>1.9E-2</v>
      </c>
      <c r="D521" s="1">
        <v>0.67</v>
      </c>
      <c r="E521" s="4">
        <v>0.22</v>
      </c>
      <c r="F521" s="4">
        <v>0.18</v>
      </c>
      <c r="G521" s="4">
        <v>0.60000000000000009</v>
      </c>
      <c r="H521" s="17">
        <f t="shared" si="16"/>
        <v>1.1845244440723946E-5</v>
      </c>
      <c r="L521">
        <f t="shared" si="17"/>
        <v>1.273E-2</v>
      </c>
    </row>
    <row r="522" spans="1:12" x14ac:dyDescent="0.25">
      <c r="A522" s="1">
        <v>521</v>
      </c>
      <c r="B522" s="2">
        <v>2646303</v>
      </c>
      <c r="C522" s="3">
        <v>1.7000000000000001E-2</v>
      </c>
      <c r="D522" s="1">
        <v>0.5</v>
      </c>
      <c r="E522" s="4">
        <v>0.25</v>
      </c>
      <c r="F522" s="4">
        <v>0.15</v>
      </c>
      <c r="G522" s="4">
        <v>0.6</v>
      </c>
      <c r="H522" s="17">
        <f t="shared" si="16"/>
        <v>4.5343574283549139E-6</v>
      </c>
      <c r="L522">
        <f t="shared" si="17"/>
        <v>8.5000000000000006E-3</v>
      </c>
    </row>
    <row r="523" spans="1:12" x14ac:dyDescent="0.25">
      <c r="A523" s="1">
        <v>522</v>
      </c>
      <c r="B523" s="2">
        <v>2762804</v>
      </c>
      <c r="C523" s="3">
        <v>1.6E-2</v>
      </c>
      <c r="D523" s="1">
        <v>0.5</v>
      </c>
      <c r="E523" s="4">
        <v>0.19</v>
      </c>
      <c r="F523" s="4">
        <v>0.27</v>
      </c>
      <c r="G523" s="4">
        <v>0.54</v>
      </c>
      <c r="H523" s="17">
        <f t="shared" si="16"/>
        <v>4.4555089396040813E-6</v>
      </c>
      <c r="L523">
        <f t="shared" si="17"/>
        <v>8.0000000000000002E-3</v>
      </c>
    </row>
    <row r="524" spans="1:12" x14ac:dyDescent="0.25">
      <c r="A524" s="1">
        <v>523</v>
      </c>
      <c r="B524" s="2">
        <v>4273753</v>
      </c>
      <c r="C524" s="3">
        <v>3.4000000000000002E-2</v>
      </c>
      <c r="D524" s="1">
        <v>0.67</v>
      </c>
      <c r="E524" s="4">
        <v>0.17</v>
      </c>
      <c r="F524" s="4">
        <v>0.35</v>
      </c>
      <c r="G524" s="4">
        <v>0.48</v>
      </c>
      <c r="H524" s="17">
        <f t="shared" si="16"/>
        <v>1.9625484842631771E-5</v>
      </c>
      <c r="L524">
        <f t="shared" si="17"/>
        <v>2.2780000000000002E-2</v>
      </c>
    </row>
    <row r="525" spans="1:12" x14ac:dyDescent="0.25">
      <c r="A525" s="1">
        <v>524</v>
      </c>
      <c r="B525" s="2">
        <v>3815366</v>
      </c>
      <c r="C525" s="3">
        <v>2.8000000000000001E-2</v>
      </c>
      <c r="D525" s="1">
        <v>0.5</v>
      </c>
      <c r="E525" s="4">
        <v>0.17</v>
      </c>
      <c r="F525" s="4">
        <v>0.28000000000000003</v>
      </c>
      <c r="G525" s="4">
        <v>0.54999999999999993</v>
      </c>
      <c r="H525" s="17">
        <f t="shared" si="16"/>
        <v>1.0767664051270942E-5</v>
      </c>
      <c r="L525">
        <f t="shared" si="17"/>
        <v>1.4E-2</v>
      </c>
    </row>
    <row r="526" spans="1:12" x14ac:dyDescent="0.25">
      <c r="A526" s="1">
        <v>525</v>
      </c>
      <c r="B526" s="2">
        <v>2125107</v>
      </c>
      <c r="C526" s="3">
        <v>3.3000000000000002E-2</v>
      </c>
      <c r="D526" s="1">
        <v>0.5</v>
      </c>
      <c r="E526" s="4">
        <v>0.19</v>
      </c>
      <c r="F526" s="4">
        <v>0.3</v>
      </c>
      <c r="G526" s="4">
        <v>0.51</v>
      </c>
      <c r="H526" s="17">
        <f t="shared" si="16"/>
        <v>7.0684143896880207E-6</v>
      </c>
      <c r="L526">
        <f t="shared" si="17"/>
        <v>1.6500000000000001E-2</v>
      </c>
    </row>
    <row r="527" spans="1:12" x14ac:dyDescent="0.25">
      <c r="A527" s="1">
        <v>526</v>
      </c>
      <c r="B527" s="2">
        <v>3357430</v>
      </c>
      <c r="C527" s="3">
        <v>3.1E-2</v>
      </c>
      <c r="D527" s="1">
        <v>0.5</v>
      </c>
      <c r="E527" s="4">
        <v>0.2</v>
      </c>
      <c r="F527" s="4">
        <v>0.28000000000000003</v>
      </c>
      <c r="G527" s="4">
        <v>0.52</v>
      </c>
      <c r="H527" s="17">
        <f t="shared" si="16"/>
        <v>1.0490493551839519E-5</v>
      </c>
      <c r="L527">
        <f t="shared" si="17"/>
        <v>1.55E-2</v>
      </c>
    </row>
    <row r="528" spans="1:12" x14ac:dyDescent="0.25">
      <c r="A528" s="1">
        <v>527</v>
      </c>
      <c r="B528" s="2">
        <v>4282191</v>
      </c>
      <c r="C528" s="3">
        <v>2.5000000000000001E-2</v>
      </c>
      <c r="D528" s="1">
        <v>0.67</v>
      </c>
      <c r="E528" s="4">
        <v>0.16</v>
      </c>
      <c r="F528" s="4">
        <v>0.17</v>
      </c>
      <c r="G528" s="4">
        <v>0.66999999999999993</v>
      </c>
      <c r="H528" s="17">
        <f t="shared" si="16"/>
        <v>1.4458994816347285E-5</v>
      </c>
      <c r="L528">
        <f t="shared" si="17"/>
        <v>1.6750000000000001E-2</v>
      </c>
    </row>
    <row r="529" spans="1:12" x14ac:dyDescent="0.25">
      <c r="A529" s="1">
        <v>528</v>
      </c>
      <c r="B529" s="2">
        <v>4090329</v>
      </c>
      <c r="C529" s="3">
        <v>3.3000000000000002E-2</v>
      </c>
      <c r="D529" s="1">
        <v>0.67</v>
      </c>
      <c r="E529" s="4">
        <v>0.24</v>
      </c>
      <c r="F529" s="4">
        <v>0.17</v>
      </c>
      <c r="G529" s="4">
        <v>0.59</v>
      </c>
      <c r="H529" s="17">
        <f t="shared" si="16"/>
        <v>1.823073759829129E-5</v>
      </c>
      <c r="L529">
        <f t="shared" si="17"/>
        <v>2.2110000000000001E-2</v>
      </c>
    </row>
    <row r="530" spans="1:12" x14ac:dyDescent="0.25">
      <c r="A530" s="1">
        <v>529</v>
      </c>
      <c r="B530" s="2">
        <v>3760357</v>
      </c>
      <c r="C530" s="3">
        <v>2.4E-2</v>
      </c>
      <c r="D530" s="1">
        <v>0.5</v>
      </c>
      <c r="E530" s="4">
        <v>0.25</v>
      </c>
      <c r="F530" s="4">
        <v>0.32</v>
      </c>
      <c r="G530" s="4">
        <v>0.42999999999999994</v>
      </c>
      <c r="H530" s="17">
        <f t="shared" si="16"/>
        <v>9.0963587516176232E-6</v>
      </c>
      <c r="L530">
        <f t="shared" si="17"/>
        <v>1.2E-2</v>
      </c>
    </row>
    <row r="531" spans="1:12" x14ac:dyDescent="0.25">
      <c r="A531" s="1">
        <v>530</v>
      </c>
      <c r="B531" s="2">
        <v>4461039</v>
      </c>
      <c r="C531" s="3">
        <v>1.6E-2</v>
      </c>
      <c r="D531" s="1">
        <v>0.67</v>
      </c>
      <c r="E531" s="4">
        <v>0.24</v>
      </c>
      <c r="F531" s="4">
        <v>0.21</v>
      </c>
      <c r="G531" s="4">
        <v>0.55000000000000004</v>
      </c>
      <c r="H531" s="17">
        <f t="shared" si="16"/>
        <v>9.6402447851986917E-6</v>
      </c>
      <c r="L531">
        <f t="shared" si="17"/>
        <v>1.072E-2</v>
      </c>
    </row>
    <row r="532" spans="1:12" x14ac:dyDescent="0.25">
      <c r="A532" s="1">
        <v>531</v>
      </c>
      <c r="B532" s="2">
        <v>4614858</v>
      </c>
      <c r="C532" s="3">
        <v>2.7E-2</v>
      </c>
      <c r="D532" s="1">
        <v>0.67</v>
      </c>
      <c r="E532" s="4">
        <v>0.17</v>
      </c>
      <c r="F532" s="4">
        <v>0.17</v>
      </c>
      <c r="G532" s="4">
        <v>0.65999999999999992</v>
      </c>
      <c r="H532" s="17">
        <f t="shared" si="16"/>
        <v>1.6828839379699107E-5</v>
      </c>
      <c r="L532">
        <f t="shared" si="17"/>
        <v>1.8090000000000002E-2</v>
      </c>
    </row>
    <row r="533" spans="1:12" x14ac:dyDescent="0.25">
      <c r="A533" s="1">
        <v>532</v>
      </c>
      <c r="B533" s="2">
        <v>2227871</v>
      </c>
      <c r="C533" s="3">
        <v>2.4E-2</v>
      </c>
      <c r="D533" s="1">
        <v>0.5</v>
      </c>
      <c r="E533" s="4">
        <v>0.19</v>
      </c>
      <c r="F533" s="4">
        <v>0.15</v>
      </c>
      <c r="G533" s="4">
        <v>0.65999999999999992</v>
      </c>
      <c r="H533" s="17">
        <f t="shared" si="16"/>
        <v>5.3892526343443207E-6</v>
      </c>
      <c r="L533">
        <f t="shared" si="17"/>
        <v>1.2E-2</v>
      </c>
    </row>
    <row r="534" spans="1:12" x14ac:dyDescent="0.25">
      <c r="A534" s="1">
        <v>533</v>
      </c>
      <c r="B534" s="2">
        <v>3409873</v>
      </c>
      <c r="C534" s="3">
        <v>2.5999999999999999E-2</v>
      </c>
      <c r="D534" s="1">
        <v>0.5</v>
      </c>
      <c r="E534" s="4">
        <v>0.24</v>
      </c>
      <c r="F534" s="4">
        <v>0.35</v>
      </c>
      <c r="G534" s="4">
        <v>0.41000000000000003</v>
      </c>
      <c r="H534" s="17">
        <f t="shared" si="16"/>
        <v>8.9359105480966795E-6</v>
      </c>
      <c r="L534">
        <f t="shared" si="17"/>
        <v>1.2999999999999999E-2</v>
      </c>
    </row>
    <row r="535" spans="1:12" x14ac:dyDescent="0.25">
      <c r="A535" s="1">
        <v>534</v>
      </c>
      <c r="B535" s="2">
        <v>2582606</v>
      </c>
      <c r="C535" s="3">
        <v>1.7999999999999999E-2</v>
      </c>
      <c r="D535" s="1">
        <v>0.5</v>
      </c>
      <c r="E535" s="4">
        <v>0.18</v>
      </c>
      <c r="F535" s="4">
        <v>0.33</v>
      </c>
      <c r="G535" s="4">
        <v>0.48999999999999994</v>
      </c>
      <c r="H535" s="17">
        <f t="shared" si="16"/>
        <v>4.6855213527758498E-6</v>
      </c>
      <c r="L535">
        <f t="shared" si="17"/>
        <v>8.9999999999999993E-3</v>
      </c>
    </row>
    <row r="536" spans="1:12" x14ac:dyDescent="0.25">
      <c r="A536" s="1">
        <v>535</v>
      </c>
      <c r="B536" s="2">
        <v>3857168</v>
      </c>
      <c r="C536" s="3">
        <v>1.4999999999999999E-2</v>
      </c>
      <c r="D536" s="1">
        <v>0.5</v>
      </c>
      <c r="E536" s="4">
        <v>0.22</v>
      </c>
      <c r="F536" s="4">
        <v>0.35</v>
      </c>
      <c r="G536" s="4">
        <v>0.43000000000000005</v>
      </c>
      <c r="H536" s="17">
        <f t="shared" si="16"/>
        <v>5.8315912380891366E-6</v>
      </c>
      <c r="L536">
        <f t="shared" si="17"/>
        <v>7.4999999999999997E-3</v>
      </c>
    </row>
    <row r="537" spans="1:12" x14ac:dyDescent="0.25">
      <c r="A537" s="1">
        <v>536</v>
      </c>
      <c r="B537" s="2">
        <v>3817071</v>
      </c>
      <c r="C537" s="3">
        <v>2.5999999999999999E-2</v>
      </c>
      <c r="D537" s="1">
        <v>0.5</v>
      </c>
      <c r="E537" s="4">
        <v>0.23</v>
      </c>
      <c r="F537" s="4">
        <v>0.31</v>
      </c>
      <c r="G537" s="4">
        <v>0.45999999999999996</v>
      </c>
      <c r="H537" s="17">
        <f t="shared" si="16"/>
        <v>1.0003013312147973E-5</v>
      </c>
      <c r="L537">
        <f t="shared" si="17"/>
        <v>1.2999999999999999E-2</v>
      </c>
    </row>
    <row r="538" spans="1:12" x14ac:dyDescent="0.25">
      <c r="A538" s="1">
        <v>537</v>
      </c>
      <c r="B538" s="2">
        <v>3739914</v>
      </c>
      <c r="C538" s="3">
        <v>2.7E-2</v>
      </c>
      <c r="D538" s="1">
        <v>0.5</v>
      </c>
      <c r="E538" s="4">
        <v>0.24</v>
      </c>
      <c r="F538" s="4">
        <v>0.32</v>
      </c>
      <c r="G538" s="4">
        <v>0.43999999999999995</v>
      </c>
      <c r="H538" s="17">
        <f t="shared" si="16"/>
        <v>1.0177770189033097E-5</v>
      </c>
      <c r="L538">
        <f t="shared" si="17"/>
        <v>1.35E-2</v>
      </c>
    </row>
    <row r="539" spans="1:12" x14ac:dyDescent="0.25">
      <c r="A539" s="1">
        <v>538</v>
      </c>
      <c r="B539" s="2">
        <v>2669723</v>
      </c>
      <c r="C539" s="3">
        <v>3.4000000000000002E-2</v>
      </c>
      <c r="D539" s="1">
        <v>0.5</v>
      </c>
      <c r="E539" s="4">
        <v>0.16</v>
      </c>
      <c r="F539" s="4">
        <v>0.19</v>
      </c>
      <c r="G539" s="4">
        <v>0.65</v>
      </c>
      <c r="H539" s="17">
        <f t="shared" si="16"/>
        <v>9.1489737318061946E-6</v>
      </c>
      <c r="L539">
        <f t="shared" si="17"/>
        <v>1.7000000000000001E-2</v>
      </c>
    </row>
    <row r="540" spans="1:12" x14ac:dyDescent="0.25">
      <c r="A540" s="1">
        <v>539</v>
      </c>
      <c r="B540" s="2">
        <v>3558166</v>
      </c>
      <c r="C540" s="3">
        <v>1.6E-2</v>
      </c>
      <c r="D540" s="1">
        <v>0.5</v>
      </c>
      <c r="E540" s="4">
        <v>0.2</v>
      </c>
      <c r="F540" s="4">
        <v>0.32</v>
      </c>
      <c r="G540" s="4">
        <v>0.47999999999999993</v>
      </c>
      <c r="H540" s="17">
        <f t="shared" si="16"/>
        <v>5.7381705041672502E-6</v>
      </c>
      <c r="L540">
        <f t="shared" si="17"/>
        <v>8.0000000000000002E-3</v>
      </c>
    </row>
    <row r="541" spans="1:12" x14ac:dyDescent="0.25">
      <c r="A541" s="1">
        <v>540</v>
      </c>
      <c r="B541" s="2">
        <v>4171574</v>
      </c>
      <c r="C541" s="3">
        <v>2.5999999999999999E-2</v>
      </c>
      <c r="D541" s="1">
        <v>0.67</v>
      </c>
      <c r="E541" s="4">
        <v>0.19</v>
      </c>
      <c r="F541" s="4">
        <v>0.23</v>
      </c>
      <c r="G541" s="4">
        <v>0.58000000000000007</v>
      </c>
      <c r="H541" s="17">
        <f t="shared" si="16"/>
        <v>1.4648911623906891E-5</v>
      </c>
      <c r="L541">
        <f t="shared" si="17"/>
        <v>1.7420000000000001E-2</v>
      </c>
    </row>
    <row r="542" spans="1:12" x14ac:dyDescent="0.25">
      <c r="A542" s="1">
        <v>541</v>
      </c>
      <c r="B542" s="2">
        <v>4410596</v>
      </c>
      <c r="C542" s="3">
        <v>3.5000000000000003E-2</v>
      </c>
      <c r="D542" s="1">
        <v>0.67</v>
      </c>
      <c r="E542" s="4">
        <v>0.18</v>
      </c>
      <c r="F542" s="4">
        <v>0.26</v>
      </c>
      <c r="G542" s="4">
        <v>0.56000000000000005</v>
      </c>
      <c r="H542" s="17">
        <f t="shared" si="16"/>
        <v>2.0849583444877379E-5</v>
      </c>
      <c r="L542">
        <f t="shared" si="17"/>
        <v>2.3450000000000002E-2</v>
      </c>
    </row>
    <row r="543" spans="1:12" x14ac:dyDescent="0.25">
      <c r="A543" s="1">
        <v>542</v>
      </c>
      <c r="B543" s="2">
        <v>4161563</v>
      </c>
      <c r="C543" s="3">
        <v>2.7E-2</v>
      </c>
      <c r="D543" s="1">
        <v>0.67</v>
      </c>
      <c r="E543" s="4">
        <v>0.18</v>
      </c>
      <c r="F543" s="4">
        <v>0.25</v>
      </c>
      <c r="G543" s="4">
        <v>0.57000000000000006</v>
      </c>
      <c r="H543" s="17">
        <f t="shared" si="16"/>
        <v>1.5175824542271672E-5</v>
      </c>
      <c r="L543">
        <f t="shared" si="17"/>
        <v>1.8090000000000002E-2</v>
      </c>
    </row>
    <row r="544" spans="1:12" x14ac:dyDescent="0.25">
      <c r="A544" s="1">
        <v>543</v>
      </c>
      <c r="B544" s="2">
        <v>3654390</v>
      </c>
      <c r="C544" s="3">
        <v>3.4000000000000002E-2</v>
      </c>
      <c r="D544" s="1">
        <v>0.5</v>
      </c>
      <c r="E544" s="4">
        <v>0.25</v>
      </c>
      <c r="F544" s="4">
        <v>0.24</v>
      </c>
      <c r="G544" s="4">
        <v>0.51</v>
      </c>
      <c r="H544" s="17">
        <f t="shared" si="16"/>
        <v>1.2523365950615567E-5</v>
      </c>
      <c r="L544">
        <f t="shared" si="17"/>
        <v>1.7000000000000001E-2</v>
      </c>
    </row>
    <row r="545" spans="1:12" x14ac:dyDescent="0.25">
      <c r="A545" s="1">
        <v>544</v>
      </c>
      <c r="B545" s="2">
        <v>2533167</v>
      </c>
      <c r="C545" s="3">
        <v>2.7E-2</v>
      </c>
      <c r="D545" s="1">
        <v>0.5</v>
      </c>
      <c r="E545" s="4">
        <v>0.16</v>
      </c>
      <c r="F545" s="4">
        <v>0.25</v>
      </c>
      <c r="G545" s="4">
        <v>0.59</v>
      </c>
      <c r="H545" s="17">
        <f t="shared" si="16"/>
        <v>6.8937391545480474E-6</v>
      </c>
      <c r="L545">
        <f t="shared" si="17"/>
        <v>1.35E-2</v>
      </c>
    </row>
    <row r="546" spans="1:12" x14ac:dyDescent="0.25">
      <c r="A546" s="1">
        <v>545</v>
      </c>
      <c r="B546" s="2">
        <v>2340670</v>
      </c>
      <c r="C546" s="3">
        <v>2.9000000000000001E-2</v>
      </c>
      <c r="D546" s="1">
        <v>0.5</v>
      </c>
      <c r="E546" s="4">
        <v>0.18</v>
      </c>
      <c r="F546" s="4">
        <v>0.24</v>
      </c>
      <c r="G546" s="4">
        <v>0.58000000000000007</v>
      </c>
      <c r="H546" s="17">
        <f t="shared" si="16"/>
        <v>6.8417223765291863E-6</v>
      </c>
      <c r="L546">
        <f t="shared" si="17"/>
        <v>1.4500000000000001E-2</v>
      </c>
    </row>
    <row r="547" spans="1:12" x14ac:dyDescent="0.25">
      <c r="A547" s="1">
        <v>546</v>
      </c>
      <c r="B547" s="2">
        <v>4254421</v>
      </c>
      <c r="C547" s="3">
        <v>2.7E-2</v>
      </c>
      <c r="D547" s="1">
        <v>0.67</v>
      </c>
      <c r="E547" s="4">
        <v>0.18</v>
      </c>
      <c r="F547" s="4">
        <v>0.26</v>
      </c>
      <c r="G547" s="4">
        <v>0.56000000000000005</v>
      </c>
      <c r="H547" s="17">
        <f t="shared" si="16"/>
        <v>1.5514446525249282E-5</v>
      </c>
      <c r="L547">
        <f t="shared" si="17"/>
        <v>1.8090000000000002E-2</v>
      </c>
    </row>
    <row r="548" spans="1:12" x14ac:dyDescent="0.25">
      <c r="A548" s="1">
        <v>547</v>
      </c>
      <c r="B548" s="2">
        <v>3308251</v>
      </c>
      <c r="C548" s="3">
        <v>2.5000000000000001E-2</v>
      </c>
      <c r="D548" s="1">
        <v>0.5</v>
      </c>
      <c r="E548" s="4">
        <v>0.17</v>
      </c>
      <c r="F548" s="4">
        <v>0.2</v>
      </c>
      <c r="G548" s="4">
        <v>0.63</v>
      </c>
      <c r="H548" s="17">
        <f t="shared" si="16"/>
        <v>8.3361538590833255E-6</v>
      </c>
      <c r="L548">
        <f t="shared" si="17"/>
        <v>1.2500000000000001E-2</v>
      </c>
    </row>
    <row r="549" spans="1:12" x14ac:dyDescent="0.25">
      <c r="A549" s="1">
        <v>548</v>
      </c>
      <c r="B549" s="2">
        <v>4437768</v>
      </c>
      <c r="C549" s="3">
        <v>2.7E-2</v>
      </c>
      <c r="D549" s="1">
        <v>0.67</v>
      </c>
      <c r="E549" s="4">
        <v>0.25</v>
      </c>
      <c r="F549" s="4">
        <v>0.28000000000000003</v>
      </c>
      <c r="G549" s="4">
        <v>0.47</v>
      </c>
      <c r="H549" s="17">
        <f t="shared" si="16"/>
        <v>1.6183051542727545E-5</v>
      </c>
      <c r="L549">
        <f t="shared" si="17"/>
        <v>1.8090000000000002E-2</v>
      </c>
    </row>
    <row r="550" spans="1:12" x14ac:dyDescent="0.25">
      <c r="A550" s="1">
        <v>549</v>
      </c>
      <c r="B550" s="2">
        <v>3382410</v>
      </c>
      <c r="C550" s="3">
        <v>2.3E-2</v>
      </c>
      <c r="D550" s="1">
        <v>0.5</v>
      </c>
      <c r="E550" s="4">
        <v>0.22</v>
      </c>
      <c r="F550" s="4">
        <v>0.33</v>
      </c>
      <c r="G550" s="4">
        <v>0.44999999999999996</v>
      </c>
      <c r="H550" s="17">
        <f t="shared" si="16"/>
        <v>7.8411786048101746E-6</v>
      </c>
      <c r="L550">
        <f t="shared" si="17"/>
        <v>1.15E-2</v>
      </c>
    </row>
    <row r="551" spans="1:12" x14ac:dyDescent="0.25">
      <c r="A551" s="1">
        <v>550</v>
      </c>
      <c r="B551" s="2">
        <v>4507718</v>
      </c>
      <c r="C551" s="3">
        <v>2.1000000000000001E-2</v>
      </c>
      <c r="D551" s="1">
        <v>0.67</v>
      </c>
      <c r="E551" s="4">
        <v>0.22</v>
      </c>
      <c r="F551" s="4">
        <v>0.26</v>
      </c>
      <c r="G551" s="4">
        <v>0.52</v>
      </c>
      <c r="H551" s="17">
        <f t="shared" si="16"/>
        <v>1.278521668096227E-5</v>
      </c>
      <c r="L551">
        <f t="shared" si="17"/>
        <v>1.4070000000000001E-2</v>
      </c>
    </row>
    <row r="552" spans="1:12" x14ac:dyDescent="0.25">
      <c r="A552" s="1">
        <v>551</v>
      </c>
      <c r="B552" s="2">
        <v>4371365</v>
      </c>
      <c r="C552" s="3">
        <v>2.7E-2</v>
      </c>
      <c r="D552" s="1">
        <v>0.67</v>
      </c>
      <c r="E552" s="4">
        <v>0.18</v>
      </c>
      <c r="F552" s="4">
        <v>0.16</v>
      </c>
      <c r="G552" s="4">
        <v>0.65999999999999992</v>
      </c>
      <c r="H552" s="17">
        <f t="shared" si="16"/>
        <v>1.5940902072184751E-5</v>
      </c>
      <c r="L552">
        <f t="shared" si="17"/>
        <v>1.8090000000000002E-2</v>
      </c>
    </row>
    <row r="553" spans="1:12" x14ac:dyDescent="0.25">
      <c r="A553" s="1">
        <v>552</v>
      </c>
      <c r="B553" s="2">
        <v>4800474</v>
      </c>
      <c r="C553" s="3">
        <v>2.5000000000000001E-2</v>
      </c>
      <c r="D553" s="1">
        <v>0.67</v>
      </c>
      <c r="E553" s="4">
        <v>0.2</v>
      </c>
      <c r="F553" s="4">
        <v>0.18</v>
      </c>
      <c r="G553" s="4">
        <v>0.62000000000000011</v>
      </c>
      <c r="H553" s="17">
        <f t="shared" si="16"/>
        <v>1.6208998777030246E-5</v>
      </c>
      <c r="L553">
        <f t="shared" si="17"/>
        <v>1.6750000000000001E-2</v>
      </c>
    </row>
    <row r="554" spans="1:12" x14ac:dyDescent="0.25">
      <c r="A554" s="1">
        <v>553</v>
      </c>
      <c r="B554" s="2">
        <v>3794614</v>
      </c>
      <c r="C554" s="3">
        <v>2.5000000000000001E-2</v>
      </c>
      <c r="D554" s="1">
        <v>0.5</v>
      </c>
      <c r="E554" s="4">
        <v>0.17</v>
      </c>
      <c r="F554" s="4">
        <v>0.26</v>
      </c>
      <c r="G554" s="4">
        <v>0.56999999999999995</v>
      </c>
      <c r="H554" s="17">
        <f t="shared" si="16"/>
        <v>9.5616947262561428E-6</v>
      </c>
      <c r="L554">
        <f t="shared" si="17"/>
        <v>1.2500000000000001E-2</v>
      </c>
    </row>
    <row r="555" spans="1:12" x14ac:dyDescent="0.25">
      <c r="A555" s="1">
        <v>554</v>
      </c>
      <c r="B555" s="2">
        <v>2289942</v>
      </c>
      <c r="C555" s="3">
        <v>0.03</v>
      </c>
      <c r="D555" s="1">
        <v>0.5</v>
      </c>
      <c r="E555" s="4">
        <v>0.25</v>
      </c>
      <c r="F555" s="4">
        <v>0.27</v>
      </c>
      <c r="G555" s="4">
        <v>0.48</v>
      </c>
      <c r="H555" s="17">
        <f t="shared" si="16"/>
        <v>6.9242541174936189E-6</v>
      </c>
      <c r="L555">
        <f t="shared" si="17"/>
        <v>1.4999999999999999E-2</v>
      </c>
    </row>
    <row r="556" spans="1:12" x14ac:dyDescent="0.25">
      <c r="A556" s="1">
        <v>555</v>
      </c>
      <c r="B556" s="2">
        <v>3166965</v>
      </c>
      <c r="C556" s="3">
        <v>2.1000000000000001E-2</v>
      </c>
      <c r="D556" s="1">
        <v>0.5</v>
      </c>
      <c r="E556" s="4">
        <v>0.22</v>
      </c>
      <c r="F556" s="4">
        <v>0.23</v>
      </c>
      <c r="G556" s="4">
        <v>0.55000000000000004</v>
      </c>
      <c r="H556" s="17">
        <f t="shared" si="16"/>
        <v>6.7033179481601393E-6</v>
      </c>
      <c r="L556">
        <f t="shared" si="17"/>
        <v>1.0500000000000001E-2</v>
      </c>
    </row>
    <row r="557" spans="1:12" x14ac:dyDescent="0.25">
      <c r="A557" s="1">
        <v>556</v>
      </c>
      <c r="B557" s="2">
        <v>2295195</v>
      </c>
      <c r="C557" s="3">
        <v>2.7E-2</v>
      </c>
      <c r="D557" s="1">
        <v>0.5</v>
      </c>
      <c r="E557" s="4">
        <v>0.22</v>
      </c>
      <c r="F557" s="4">
        <v>0.22</v>
      </c>
      <c r="G557" s="4">
        <v>0.56000000000000005</v>
      </c>
      <c r="H557" s="17">
        <f t="shared" si="16"/>
        <v>6.2461241753200255E-6</v>
      </c>
      <c r="L557">
        <f t="shared" si="17"/>
        <v>1.35E-2</v>
      </c>
    </row>
    <row r="558" spans="1:12" x14ac:dyDescent="0.25">
      <c r="A558" s="1">
        <v>557</v>
      </c>
      <c r="B558" s="2">
        <v>4295337</v>
      </c>
      <c r="C558" s="3">
        <v>2.9000000000000001E-2</v>
      </c>
      <c r="D558" s="1">
        <v>0.67</v>
      </c>
      <c r="E558" s="4">
        <v>0.15</v>
      </c>
      <c r="F558" s="4">
        <v>0.28000000000000003</v>
      </c>
      <c r="G558" s="4">
        <v>0.56999999999999995</v>
      </c>
      <c r="H558" s="17">
        <f t="shared" si="16"/>
        <v>1.6823924080980753E-5</v>
      </c>
      <c r="L558">
        <f t="shared" si="17"/>
        <v>1.9430000000000003E-2</v>
      </c>
    </row>
    <row r="559" spans="1:12" x14ac:dyDescent="0.25">
      <c r="A559" s="1">
        <v>558</v>
      </c>
      <c r="B559" s="2">
        <v>2383891</v>
      </c>
      <c r="C559" s="3">
        <v>0.02</v>
      </c>
      <c r="D559" s="1">
        <v>0.5</v>
      </c>
      <c r="E559" s="4">
        <v>0.16</v>
      </c>
      <c r="F559" s="4">
        <v>0.32</v>
      </c>
      <c r="G559" s="4">
        <v>0.51999999999999991</v>
      </c>
      <c r="H559" s="17">
        <f t="shared" si="16"/>
        <v>4.8055560861093083E-6</v>
      </c>
      <c r="L559">
        <f t="shared" si="17"/>
        <v>0.01</v>
      </c>
    </row>
    <row r="560" spans="1:12" x14ac:dyDescent="0.25">
      <c r="A560" s="1">
        <v>559</v>
      </c>
      <c r="B560" s="2">
        <v>2596179</v>
      </c>
      <c r="C560" s="3">
        <v>2.1999999999999999E-2</v>
      </c>
      <c r="D560" s="1">
        <v>0.5</v>
      </c>
      <c r="E560" s="4">
        <v>0.2</v>
      </c>
      <c r="F560" s="4">
        <v>0.17</v>
      </c>
      <c r="G560" s="4">
        <v>0.62999999999999989</v>
      </c>
      <c r="H560" s="17">
        <f t="shared" si="16"/>
        <v>5.7568454990127882E-6</v>
      </c>
      <c r="L560">
        <f t="shared" si="17"/>
        <v>1.0999999999999999E-2</v>
      </c>
    </row>
    <row r="561" spans="1:12" x14ac:dyDescent="0.25">
      <c r="A561" s="1">
        <v>560</v>
      </c>
      <c r="B561" s="2">
        <v>3974644</v>
      </c>
      <c r="C561" s="3">
        <v>3.3000000000000002E-2</v>
      </c>
      <c r="D561" s="1">
        <v>0.5</v>
      </c>
      <c r="E561" s="4">
        <v>0.16</v>
      </c>
      <c r="F561" s="4">
        <v>0.22</v>
      </c>
      <c r="G561" s="4">
        <v>0.62</v>
      </c>
      <c r="H561" s="17">
        <f t="shared" si="16"/>
        <v>1.322024295411344E-5</v>
      </c>
      <c r="L561">
        <f t="shared" si="17"/>
        <v>1.6500000000000001E-2</v>
      </c>
    </row>
    <row r="562" spans="1:12" x14ac:dyDescent="0.25">
      <c r="A562" s="1">
        <v>561</v>
      </c>
      <c r="B562" s="2">
        <v>3125752</v>
      </c>
      <c r="C562" s="3">
        <v>2.4E-2</v>
      </c>
      <c r="D562" s="1">
        <v>0.5</v>
      </c>
      <c r="E562" s="4">
        <v>0.19</v>
      </c>
      <c r="F562" s="4">
        <v>0.22</v>
      </c>
      <c r="G562" s="4">
        <v>0.59000000000000008</v>
      </c>
      <c r="H562" s="17">
        <f t="shared" si="16"/>
        <v>7.5612399462567751E-6</v>
      </c>
      <c r="L562">
        <f t="shared" si="17"/>
        <v>1.2E-2</v>
      </c>
    </row>
    <row r="563" spans="1:12" x14ac:dyDescent="0.25">
      <c r="A563" s="1">
        <v>562</v>
      </c>
      <c r="B563" s="2">
        <v>2281380</v>
      </c>
      <c r="C563" s="3">
        <v>1.9E-2</v>
      </c>
      <c r="D563" s="1">
        <v>0.5</v>
      </c>
      <c r="E563" s="4">
        <v>0.21</v>
      </c>
      <c r="F563" s="4">
        <v>0.18</v>
      </c>
      <c r="G563" s="4">
        <v>0.6100000000000001</v>
      </c>
      <c r="H563" s="17">
        <f t="shared" si="16"/>
        <v>4.3689642548848294E-6</v>
      </c>
      <c r="L563">
        <f t="shared" si="17"/>
        <v>9.4999999999999998E-3</v>
      </c>
    </row>
    <row r="564" spans="1:12" x14ac:dyDescent="0.25">
      <c r="A564" s="1">
        <v>563</v>
      </c>
      <c r="B564" s="2">
        <v>2166904</v>
      </c>
      <c r="C564" s="3">
        <v>2.5999999999999999E-2</v>
      </c>
      <c r="D564" s="1">
        <v>0.5</v>
      </c>
      <c r="E564" s="4">
        <v>0.18</v>
      </c>
      <c r="F564" s="4">
        <v>0.26</v>
      </c>
      <c r="G564" s="4">
        <v>0.56000000000000005</v>
      </c>
      <c r="H564" s="17">
        <f t="shared" si="16"/>
        <v>5.678586947464874E-6</v>
      </c>
      <c r="L564">
        <f t="shared" si="17"/>
        <v>1.2999999999999999E-2</v>
      </c>
    </row>
    <row r="565" spans="1:12" x14ac:dyDescent="0.25">
      <c r="A565" s="1">
        <v>564</v>
      </c>
      <c r="B565" s="2">
        <v>2175578</v>
      </c>
      <c r="C565" s="3">
        <v>2.8000000000000001E-2</v>
      </c>
      <c r="D565" s="1">
        <v>0.5</v>
      </c>
      <c r="E565" s="4">
        <v>0.15</v>
      </c>
      <c r="F565" s="4">
        <v>0.25</v>
      </c>
      <c r="G565" s="4">
        <v>0.6</v>
      </c>
      <c r="H565" s="17">
        <f t="shared" si="16"/>
        <v>6.139880950172522E-6</v>
      </c>
      <c r="L565">
        <f t="shared" si="17"/>
        <v>1.4E-2</v>
      </c>
    </row>
    <row r="566" spans="1:12" x14ac:dyDescent="0.25">
      <c r="A566" s="1">
        <v>565</v>
      </c>
      <c r="B566" s="2">
        <v>2647137</v>
      </c>
      <c r="C566" s="3">
        <v>2.5000000000000001E-2</v>
      </c>
      <c r="D566" s="1">
        <v>0.5</v>
      </c>
      <c r="E566" s="4">
        <v>0.22</v>
      </c>
      <c r="F566" s="4">
        <v>0.27</v>
      </c>
      <c r="G566" s="4">
        <v>0.51</v>
      </c>
      <c r="H566" s="17">
        <f t="shared" si="16"/>
        <v>6.6702742077527536E-6</v>
      </c>
      <c r="L566">
        <f t="shared" si="17"/>
        <v>1.2500000000000001E-2</v>
      </c>
    </row>
    <row r="567" spans="1:12" x14ac:dyDescent="0.25">
      <c r="A567" s="1">
        <v>566</v>
      </c>
      <c r="B567" s="2">
        <v>4897491</v>
      </c>
      <c r="C567" s="3">
        <v>3.4000000000000002E-2</v>
      </c>
      <c r="D567" s="1">
        <v>0.67</v>
      </c>
      <c r="E567" s="4">
        <v>0.2</v>
      </c>
      <c r="F567" s="4">
        <v>0.31</v>
      </c>
      <c r="G567" s="4">
        <v>0.48999999999999994</v>
      </c>
      <c r="H567" s="17">
        <f t="shared" si="16"/>
        <v>2.2489749732243655E-5</v>
      </c>
      <c r="L567">
        <f t="shared" si="17"/>
        <v>2.2780000000000002E-2</v>
      </c>
    </row>
    <row r="568" spans="1:12" x14ac:dyDescent="0.25">
      <c r="A568" s="1">
        <v>567</v>
      </c>
      <c r="B568" s="2">
        <v>2494262</v>
      </c>
      <c r="C568" s="3">
        <v>1.4999999999999999E-2</v>
      </c>
      <c r="D568" s="1">
        <v>0.5</v>
      </c>
      <c r="E568" s="4">
        <v>0.16</v>
      </c>
      <c r="F568" s="4">
        <v>0.26</v>
      </c>
      <c r="G568" s="4">
        <v>0.57999999999999996</v>
      </c>
      <c r="H568" s="17">
        <f t="shared" si="16"/>
        <v>3.7710352322477752E-6</v>
      </c>
      <c r="L568">
        <f t="shared" si="17"/>
        <v>7.4999999999999997E-3</v>
      </c>
    </row>
    <row r="569" spans="1:12" x14ac:dyDescent="0.25">
      <c r="A569" s="1">
        <v>568</v>
      </c>
      <c r="B569" s="2">
        <v>3374578</v>
      </c>
      <c r="C569" s="3">
        <v>3.3000000000000002E-2</v>
      </c>
      <c r="D569" s="1">
        <v>0.5</v>
      </c>
      <c r="E569" s="4">
        <v>0.21</v>
      </c>
      <c r="F569" s="4">
        <v>0.17</v>
      </c>
      <c r="G569" s="4">
        <v>0.62</v>
      </c>
      <c r="H569" s="17">
        <f t="shared" si="16"/>
        <v>1.1224336324864876E-5</v>
      </c>
      <c r="L569">
        <f t="shared" si="17"/>
        <v>1.6500000000000001E-2</v>
      </c>
    </row>
    <row r="570" spans="1:12" x14ac:dyDescent="0.25">
      <c r="A570" s="1">
        <v>569</v>
      </c>
      <c r="B570" s="2">
        <v>3799209</v>
      </c>
      <c r="C570" s="3">
        <v>2.5999999999999999E-2</v>
      </c>
      <c r="D570" s="1">
        <v>0.5</v>
      </c>
      <c r="E570" s="4">
        <v>0.19</v>
      </c>
      <c r="F570" s="4">
        <v>0.28000000000000003</v>
      </c>
      <c r="G570" s="4">
        <v>0.53</v>
      </c>
      <c r="H570" s="17">
        <f t="shared" si="16"/>
        <v>9.9562041687546254E-6</v>
      </c>
      <c r="L570">
        <f t="shared" si="17"/>
        <v>1.2999999999999999E-2</v>
      </c>
    </row>
    <row r="571" spans="1:12" x14ac:dyDescent="0.25">
      <c r="A571" s="1">
        <v>570</v>
      </c>
      <c r="B571" s="2">
        <v>3029083</v>
      </c>
      <c r="C571" s="3">
        <v>0.03</v>
      </c>
      <c r="D571" s="1">
        <v>0.5</v>
      </c>
      <c r="E571" s="4">
        <v>0.2</v>
      </c>
      <c r="F571" s="4">
        <v>0.28999999999999998</v>
      </c>
      <c r="G571" s="4">
        <v>0.51</v>
      </c>
      <c r="H571" s="17">
        <f t="shared" si="16"/>
        <v>9.1592452712688456E-6</v>
      </c>
      <c r="L571">
        <f t="shared" si="17"/>
        <v>1.4999999999999999E-2</v>
      </c>
    </row>
    <row r="572" spans="1:12" x14ac:dyDescent="0.25">
      <c r="A572" s="1">
        <v>571</v>
      </c>
      <c r="B572" s="2">
        <v>2040707</v>
      </c>
      <c r="C572" s="3">
        <v>2.9000000000000001E-2</v>
      </c>
      <c r="D572" s="1">
        <v>0.5</v>
      </c>
      <c r="E572" s="4">
        <v>0.23</v>
      </c>
      <c r="F572" s="4">
        <v>0.33</v>
      </c>
      <c r="G572" s="4">
        <v>0.43999999999999995</v>
      </c>
      <c r="H572" s="17">
        <f t="shared" si="16"/>
        <v>5.964937708365445E-6</v>
      </c>
      <c r="L572">
        <f t="shared" si="17"/>
        <v>1.4500000000000001E-2</v>
      </c>
    </row>
    <row r="573" spans="1:12" x14ac:dyDescent="0.25">
      <c r="A573" s="1">
        <v>572</v>
      </c>
      <c r="B573" s="2">
        <v>3878942</v>
      </c>
      <c r="C573" s="3">
        <v>1.9E-2</v>
      </c>
      <c r="D573" s="1">
        <v>0.5</v>
      </c>
      <c r="E573" s="4">
        <v>0.21</v>
      </c>
      <c r="F573" s="4">
        <v>0.22</v>
      </c>
      <c r="G573" s="4">
        <v>0.57000000000000006</v>
      </c>
      <c r="H573" s="17">
        <f t="shared" si="16"/>
        <v>7.4283806050598629E-6</v>
      </c>
      <c r="L573">
        <f t="shared" si="17"/>
        <v>9.4999999999999998E-3</v>
      </c>
    </row>
    <row r="574" spans="1:12" x14ac:dyDescent="0.25">
      <c r="A574" s="1">
        <v>573</v>
      </c>
      <c r="B574" s="2">
        <v>4506691</v>
      </c>
      <c r="C574" s="3">
        <v>3.1E-2</v>
      </c>
      <c r="D574" s="1">
        <v>0.67</v>
      </c>
      <c r="E574" s="4">
        <v>0.16</v>
      </c>
      <c r="F574" s="4">
        <v>0.33</v>
      </c>
      <c r="G574" s="4">
        <v>0.5099999999999999</v>
      </c>
      <c r="H574" s="17">
        <f t="shared" si="16"/>
        <v>1.886911514263841E-5</v>
      </c>
      <c r="L574">
        <f t="shared" si="17"/>
        <v>2.077E-2</v>
      </c>
    </row>
    <row r="575" spans="1:12" x14ac:dyDescent="0.25">
      <c r="A575" s="1">
        <v>574</v>
      </c>
      <c r="B575" s="2">
        <v>4269543</v>
      </c>
      <c r="C575" s="3">
        <v>2.8000000000000001E-2</v>
      </c>
      <c r="D575" s="1">
        <v>0.67</v>
      </c>
      <c r="E575" s="4">
        <v>0.15</v>
      </c>
      <c r="F575" s="4">
        <v>0.34</v>
      </c>
      <c r="G575" s="4">
        <v>0.5099999999999999</v>
      </c>
      <c r="H575" s="17">
        <f t="shared" si="16"/>
        <v>1.614624292045648E-5</v>
      </c>
      <c r="L575">
        <f t="shared" si="17"/>
        <v>1.8760000000000002E-2</v>
      </c>
    </row>
    <row r="576" spans="1:12" x14ac:dyDescent="0.25">
      <c r="A576" s="1">
        <v>575</v>
      </c>
      <c r="B576" s="2">
        <v>3475363</v>
      </c>
      <c r="C576" s="3">
        <v>2.4E-2</v>
      </c>
      <c r="D576" s="1">
        <v>0.5</v>
      </c>
      <c r="E576" s="4">
        <v>0.24</v>
      </c>
      <c r="F576" s="4">
        <v>0.31</v>
      </c>
      <c r="G576" s="4">
        <v>0.44999999999999996</v>
      </c>
      <c r="H576" s="17">
        <f t="shared" si="16"/>
        <v>8.4069540844388122E-6</v>
      </c>
      <c r="L576">
        <f t="shared" si="17"/>
        <v>1.2E-2</v>
      </c>
    </row>
    <row r="577" spans="1:12" x14ac:dyDescent="0.25">
      <c r="A577" s="1">
        <v>576</v>
      </c>
      <c r="B577" s="2">
        <v>4232718</v>
      </c>
      <c r="C577" s="3">
        <v>2.5000000000000001E-2</v>
      </c>
      <c r="D577" s="1">
        <v>0.67</v>
      </c>
      <c r="E577" s="4">
        <v>0.16</v>
      </c>
      <c r="F577" s="4">
        <v>0.19</v>
      </c>
      <c r="G577" s="4">
        <v>0.65</v>
      </c>
      <c r="H577" s="17">
        <f t="shared" si="16"/>
        <v>1.4291947188030579E-5</v>
      </c>
      <c r="L577">
        <f t="shared" si="17"/>
        <v>1.6750000000000001E-2</v>
      </c>
    </row>
    <row r="578" spans="1:12" x14ac:dyDescent="0.25">
      <c r="A578" s="1">
        <v>577</v>
      </c>
      <c r="B578" s="2">
        <v>3614921</v>
      </c>
      <c r="C578" s="3">
        <v>1.4999999999999999E-2</v>
      </c>
      <c r="D578" s="1">
        <v>0.5</v>
      </c>
      <c r="E578" s="4">
        <v>0.22</v>
      </c>
      <c r="F578" s="4">
        <v>0.3</v>
      </c>
      <c r="G578" s="4">
        <v>0.48</v>
      </c>
      <c r="H578" s="17">
        <f t="shared" si="16"/>
        <v>5.4653418336936374E-6</v>
      </c>
      <c r="L578">
        <f t="shared" si="17"/>
        <v>7.4999999999999997E-3</v>
      </c>
    </row>
    <row r="579" spans="1:12" x14ac:dyDescent="0.25">
      <c r="A579" s="1">
        <v>578</v>
      </c>
      <c r="B579" s="2">
        <v>3112860</v>
      </c>
      <c r="C579" s="3">
        <v>1.7999999999999999E-2</v>
      </c>
      <c r="D579" s="1">
        <v>0.5</v>
      </c>
      <c r="E579" s="4">
        <v>0.21</v>
      </c>
      <c r="F579" s="4">
        <v>0.34</v>
      </c>
      <c r="G579" s="4">
        <v>0.44999999999999996</v>
      </c>
      <c r="H579" s="17">
        <f t="shared" ref="H579:H642" si="18">B579*C579*D579/SUM($B$2:$B$1797)</f>
        <v>5.647540506837602E-6</v>
      </c>
      <c r="L579">
        <f t="shared" ref="L579:L642" si="19">C579*D579</f>
        <v>8.9999999999999993E-3</v>
      </c>
    </row>
    <row r="580" spans="1:12" x14ac:dyDescent="0.25">
      <c r="A580" s="1">
        <v>579</v>
      </c>
      <c r="B580" s="2">
        <v>3255021</v>
      </c>
      <c r="C580" s="3">
        <v>2.4E-2</v>
      </c>
      <c r="D580" s="1">
        <v>0.5</v>
      </c>
      <c r="E580" s="4">
        <v>0.16</v>
      </c>
      <c r="F580" s="4">
        <v>0.32</v>
      </c>
      <c r="G580" s="4">
        <v>0.51999999999999991</v>
      </c>
      <c r="H580" s="17">
        <f t="shared" si="18"/>
        <v>7.8739435537767157E-6</v>
      </c>
      <c r="L580">
        <f t="shared" si="19"/>
        <v>1.2E-2</v>
      </c>
    </row>
    <row r="581" spans="1:12" x14ac:dyDescent="0.25">
      <c r="A581" s="1">
        <v>580</v>
      </c>
      <c r="B581" s="2">
        <v>2198385</v>
      </c>
      <c r="C581" s="3">
        <v>2.9000000000000001E-2</v>
      </c>
      <c r="D581" s="1">
        <v>0.5</v>
      </c>
      <c r="E581" s="4">
        <v>0.24</v>
      </c>
      <c r="F581" s="4">
        <v>0.18</v>
      </c>
      <c r="G581" s="4">
        <v>0.58000000000000007</v>
      </c>
      <c r="H581" s="17">
        <f t="shared" si="18"/>
        <v>6.4258267277002375E-6</v>
      </c>
      <c r="L581">
        <f t="shared" si="19"/>
        <v>1.4500000000000001E-2</v>
      </c>
    </row>
    <row r="582" spans="1:12" x14ac:dyDescent="0.25">
      <c r="A582" s="1">
        <v>581</v>
      </c>
      <c r="B582" s="2">
        <v>4357420</v>
      </c>
      <c r="C582" s="3">
        <v>2.1000000000000001E-2</v>
      </c>
      <c r="D582" s="1">
        <v>0.67</v>
      </c>
      <c r="E582" s="4">
        <v>0.16</v>
      </c>
      <c r="F582" s="4">
        <v>0.23</v>
      </c>
      <c r="G582" s="4">
        <v>0.61</v>
      </c>
      <c r="H582" s="17">
        <f t="shared" si="18"/>
        <v>1.2358927259859337E-5</v>
      </c>
      <c r="L582">
        <f t="shared" si="19"/>
        <v>1.4070000000000001E-2</v>
      </c>
    </row>
    <row r="583" spans="1:12" x14ac:dyDescent="0.25">
      <c r="A583" s="1">
        <v>582</v>
      </c>
      <c r="B583" s="2">
        <v>4541297</v>
      </c>
      <c r="C583" s="3">
        <v>1.7000000000000001E-2</v>
      </c>
      <c r="D583" s="1">
        <v>0.67</v>
      </c>
      <c r="E583" s="4">
        <v>0.23</v>
      </c>
      <c r="F583" s="4">
        <v>0.33</v>
      </c>
      <c r="G583" s="4">
        <v>0.43999999999999995</v>
      </c>
      <c r="H583" s="17">
        <f t="shared" si="18"/>
        <v>1.0427036312041094E-5</v>
      </c>
      <c r="L583">
        <f t="shared" si="19"/>
        <v>1.1390000000000001E-2</v>
      </c>
    </row>
    <row r="584" spans="1:12" x14ac:dyDescent="0.25">
      <c r="A584" s="1">
        <v>583</v>
      </c>
      <c r="B584" s="2">
        <v>2055897</v>
      </c>
      <c r="C584" s="3">
        <v>2.4E-2</v>
      </c>
      <c r="D584" s="1">
        <v>0.5</v>
      </c>
      <c r="E584" s="4">
        <v>0.24</v>
      </c>
      <c r="F584" s="4">
        <v>0.16</v>
      </c>
      <c r="G584" s="4">
        <v>0.6</v>
      </c>
      <c r="H584" s="17">
        <f t="shared" si="18"/>
        <v>4.9732450052945546E-6</v>
      </c>
      <c r="L584">
        <f t="shared" si="19"/>
        <v>1.2E-2</v>
      </c>
    </row>
    <row r="585" spans="1:12" x14ac:dyDescent="0.25">
      <c r="A585" s="1">
        <v>584</v>
      </c>
      <c r="B585" s="2">
        <v>3802867</v>
      </c>
      <c r="C585" s="3">
        <v>1.4999999999999999E-2</v>
      </c>
      <c r="D585" s="1">
        <v>0.5</v>
      </c>
      <c r="E585" s="4">
        <v>0.19</v>
      </c>
      <c r="F585" s="4">
        <v>0.33</v>
      </c>
      <c r="G585" s="4">
        <v>0.47999999999999993</v>
      </c>
      <c r="H585" s="17">
        <f t="shared" si="18"/>
        <v>5.7494944158041133E-6</v>
      </c>
      <c r="L585">
        <f t="shared" si="19"/>
        <v>7.4999999999999997E-3</v>
      </c>
    </row>
    <row r="586" spans="1:12" x14ac:dyDescent="0.25">
      <c r="A586" s="1">
        <v>585</v>
      </c>
      <c r="B586" s="2">
        <v>2738740</v>
      </c>
      <c r="C586" s="3">
        <v>3.2000000000000001E-2</v>
      </c>
      <c r="D586" s="1">
        <v>0.5</v>
      </c>
      <c r="E586" s="4">
        <v>0.17</v>
      </c>
      <c r="F586" s="4">
        <v>0.32</v>
      </c>
      <c r="G586" s="4">
        <v>0.5099999999999999</v>
      </c>
      <c r="H586" s="17">
        <f t="shared" si="18"/>
        <v>8.8334029871473193E-6</v>
      </c>
      <c r="L586">
        <f t="shared" si="19"/>
        <v>1.6E-2</v>
      </c>
    </row>
    <row r="587" spans="1:12" x14ac:dyDescent="0.25">
      <c r="A587" s="1">
        <v>586</v>
      </c>
      <c r="B587" s="2">
        <v>3041368</v>
      </c>
      <c r="C587" s="3">
        <v>3.1E-2</v>
      </c>
      <c r="D587" s="1">
        <v>0.5</v>
      </c>
      <c r="E587" s="4">
        <v>0.21</v>
      </c>
      <c r="F587" s="4">
        <v>0.31</v>
      </c>
      <c r="G587" s="4">
        <v>0.48</v>
      </c>
      <c r="H587" s="17">
        <f t="shared" si="18"/>
        <v>9.5029386741558426E-6</v>
      </c>
      <c r="L587">
        <f t="shared" si="19"/>
        <v>1.55E-2</v>
      </c>
    </row>
    <row r="588" spans="1:12" x14ac:dyDescent="0.25">
      <c r="A588" s="1">
        <v>587</v>
      </c>
      <c r="B588" s="2">
        <v>3818052</v>
      </c>
      <c r="C588" s="3">
        <v>1.7000000000000001E-2</v>
      </c>
      <c r="D588" s="1">
        <v>0.5</v>
      </c>
      <c r="E588" s="4">
        <v>0.19</v>
      </c>
      <c r="F588" s="4">
        <v>0.22</v>
      </c>
      <c r="G588" s="4">
        <v>0.59000000000000008</v>
      </c>
      <c r="H588" s="17">
        <f t="shared" si="18"/>
        <v>6.5421126938394179E-6</v>
      </c>
      <c r="L588">
        <f t="shared" si="19"/>
        <v>8.5000000000000006E-3</v>
      </c>
    </row>
    <row r="589" spans="1:12" x14ac:dyDescent="0.25">
      <c r="A589" s="1">
        <v>588</v>
      </c>
      <c r="B589" s="2">
        <v>3625699</v>
      </c>
      <c r="C589" s="3">
        <v>1.7999999999999999E-2</v>
      </c>
      <c r="D589" s="1">
        <v>0.5</v>
      </c>
      <c r="E589" s="4">
        <v>0.24</v>
      </c>
      <c r="F589" s="4">
        <v>0.28999999999999998</v>
      </c>
      <c r="G589" s="4">
        <v>0.47</v>
      </c>
      <c r="H589" s="17">
        <f t="shared" si="18"/>
        <v>6.5779643055262963E-6</v>
      </c>
      <c r="L589">
        <f t="shared" si="19"/>
        <v>8.9999999999999993E-3</v>
      </c>
    </row>
    <row r="590" spans="1:12" x14ac:dyDescent="0.25">
      <c r="A590" s="1">
        <v>589</v>
      </c>
      <c r="B590" s="2">
        <v>4801193</v>
      </c>
      <c r="C590" s="3">
        <v>2.7E-2</v>
      </c>
      <c r="D590" s="1">
        <v>0.67</v>
      </c>
      <c r="E590" s="4">
        <v>0.19</v>
      </c>
      <c r="F590" s="4">
        <v>0.21</v>
      </c>
      <c r="G590" s="4">
        <v>0.60000000000000009</v>
      </c>
      <c r="H590" s="17">
        <f t="shared" si="18"/>
        <v>1.7508340631052071E-5</v>
      </c>
      <c r="L590">
        <f t="shared" si="19"/>
        <v>1.8090000000000002E-2</v>
      </c>
    </row>
    <row r="591" spans="1:12" x14ac:dyDescent="0.25">
      <c r="A591" s="1">
        <v>590</v>
      </c>
      <c r="B591" s="2">
        <v>3995666</v>
      </c>
      <c r="C591" s="3">
        <v>1.7000000000000001E-2</v>
      </c>
      <c r="D591" s="1">
        <v>0.5</v>
      </c>
      <c r="E591" s="4">
        <v>0.19</v>
      </c>
      <c r="F591" s="4">
        <v>0.35</v>
      </c>
      <c r="G591" s="4">
        <v>0.46</v>
      </c>
      <c r="H591" s="17">
        <f t="shared" si="18"/>
        <v>6.846448728027426E-6</v>
      </c>
      <c r="L591">
        <f t="shared" si="19"/>
        <v>8.5000000000000006E-3</v>
      </c>
    </row>
    <row r="592" spans="1:12" x14ac:dyDescent="0.25">
      <c r="A592" s="1">
        <v>591</v>
      </c>
      <c r="B592" s="2">
        <v>3991407</v>
      </c>
      <c r="C592" s="3">
        <v>1.4999999999999999E-2</v>
      </c>
      <c r="D592" s="1">
        <v>0.5</v>
      </c>
      <c r="E592" s="4">
        <v>0.16</v>
      </c>
      <c r="F592" s="4">
        <v>0.33</v>
      </c>
      <c r="G592" s="4">
        <v>0.5099999999999999</v>
      </c>
      <c r="H592" s="17">
        <f t="shared" si="18"/>
        <v>6.0345450571112398E-6</v>
      </c>
      <c r="L592">
        <f t="shared" si="19"/>
        <v>7.4999999999999997E-3</v>
      </c>
    </row>
    <row r="593" spans="1:12" x14ac:dyDescent="0.25">
      <c r="A593" s="1">
        <v>592</v>
      </c>
      <c r="B593" s="2">
        <v>2789791</v>
      </c>
      <c r="C593" s="3">
        <v>3.5000000000000003E-2</v>
      </c>
      <c r="D593" s="1">
        <v>0.5</v>
      </c>
      <c r="E593" s="4">
        <v>0.18</v>
      </c>
      <c r="F593" s="4">
        <v>0.26</v>
      </c>
      <c r="G593" s="4">
        <v>0.56000000000000005</v>
      </c>
      <c r="H593" s="17">
        <f t="shared" si="18"/>
        <v>9.8416286475724793E-6</v>
      </c>
      <c r="L593">
        <f t="shared" si="19"/>
        <v>1.7500000000000002E-2</v>
      </c>
    </row>
    <row r="594" spans="1:12" x14ac:dyDescent="0.25">
      <c r="A594" s="1">
        <v>593</v>
      </c>
      <c r="B594" s="2">
        <v>3698558</v>
      </c>
      <c r="C594" s="3">
        <v>1.9E-2</v>
      </c>
      <c r="D594" s="1">
        <v>0.5</v>
      </c>
      <c r="E594" s="4">
        <v>0.24</v>
      </c>
      <c r="F594" s="4">
        <v>0.28999999999999998</v>
      </c>
      <c r="G594" s="4">
        <v>0.47</v>
      </c>
      <c r="H594" s="17">
        <f t="shared" si="18"/>
        <v>7.082935633966426E-6</v>
      </c>
      <c r="L594">
        <f t="shared" si="19"/>
        <v>9.4999999999999998E-3</v>
      </c>
    </row>
    <row r="595" spans="1:12" x14ac:dyDescent="0.25">
      <c r="A595" s="1">
        <v>594</v>
      </c>
      <c r="B595" s="2">
        <v>4777292</v>
      </c>
      <c r="C595" s="3">
        <v>2.8000000000000001E-2</v>
      </c>
      <c r="D595" s="1">
        <v>0.67</v>
      </c>
      <c r="E595" s="4">
        <v>0.19</v>
      </c>
      <c r="F595" s="4">
        <v>0.18</v>
      </c>
      <c r="G595" s="4">
        <v>0.63000000000000012</v>
      </c>
      <c r="H595" s="17">
        <f t="shared" si="18"/>
        <v>1.8066410651901945E-5</v>
      </c>
      <c r="L595">
        <f t="shared" si="19"/>
        <v>1.8760000000000002E-2</v>
      </c>
    </row>
    <row r="596" spans="1:12" x14ac:dyDescent="0.25">
      <c r="A596" s="1">
        <v>595</v>
      </c>
      <c r="B596" s="2">
        <v>2088231</v>
      </c>
      <c r="C596" s="3">
        <v>0.02</v>
      </c>
      <c r="D596" s="1">
        <v>0.5</v>
      </c>
      <c r="E596" s="4">
        <v>0.2</v>
      </c>
      <c r="F596" s="4">
        <v>0.24</v>
      </c>
      <c r="G596" s="4">
        <v>0.56000000000000005</v>
      </c>
      <c r="H596" s="17">
        <f t="shared" si="18"/>
        <v>4.209551188058568E-6</v>
      </c>
      <c r="L596">
        <f t="shared" si="19"/>
        <v>0.01</v>
      </c>
    </row>
    <row r="597" spans="1:12" x14ac:dyDescent="0.25">
      <c r="A597" s="1">
        <v>596</v>
      </c>
      <c r="B597" s="2">
        <v>2457760</v>
      </c>
      <c r="C597" s="3">
        <v>2.3E-2</v>
      </c>
      <c r="D597" s="1">
        <v>0.5</v>
      </c>
      <c r="E597" s="4">
        <v>0.25</v>
      </c>
      <c r="F597" s="4">
        <v>0.35</v>
      </c>
      <c r="G597" s="4">
        <v>0.4</v>
      </c>
      <c r="H597" s="17">
        <f t="shared" si="18"/>
        <v>5.6976342689852066E-6</v>
      </c>
      <c r="L597">
        <f t="shared" si="19"/>
        <v>1.15E-2</v>
      </c>
    </row>
    <row r="598" spans="1:12" x14ac:dyDescent="0.25">
      <c r="A598" s="1">
        <v>597</v>
      </c>
      <c r="B598" s="2">
        <v>2734915</v>
      </c>
      <c r="C598" s="3">
        <v>3.4000000000000002E-2</v>
      </c>
      <c r="D598" s="1">
        <v>0.5</v>
      </c>
      <c r="E598" s="4">
        <v>0.2</v>
      </c>
      <c r="F598" s="4">
        <v>0.16</v>
      </c>
      <c r="G598" s="4">
        <v>0.6399999999999999</v>
      </c>
      <c r="H598" s="17">
        <f t="shared" si="18"/>
        <v>9.3723826380949399E-6</v>
      </c>
      <c r="L598">
        <f t="shared" si="19"/>
        <v>1.7000000000000001E-2</v>
      </c>
    </row>
    <row r="599" spans="1:12" x14ac:dyDescent="0.25">
      <c r="A599" s="1">
        <v>598</v>
      </c>
      <c r="B599" s="2">
        <v>4201863</v>
      </c>
      <c r="C599" s="3">
        <v>2.3E-2</v>
      </c>
      <c r="D599" s="1">
        <v>0.67</v>
      </c>
      <c r="E599" s="4">
        <v>0.17</v>
      </c>
      <c r="F599" s="4">
        <v>0.23</v>
      </c>
      <c r="G599" s="4">
        <v>0.6</v>
      </c>
      <c r="H599" s="17">
        <f t="shared" si="18"/>
        <v>1.3052742885387722E-5</v>
      </c>
      <c r="L599">
        <f t="shared" si="19"/>
        <v>1.541E-2</v>
      </c>
    </row>
    <row r="600" spans="1:12" x14ac:dyDescent="0.25">
      <c r="A600" s="1">
        <v>599</v>
      </c>
      <c r="B600" s="2">
        <v>4094199</v>
      </c>
      <c r="C600" s="3">
        <v>0.03</v>
      </c>
      <c r="D600" s="1">
        <v>0.67</v>
      </c>
      <c r="E600" s="4">
        <v>0.15</v>
      </c>
      <c r="F600" s="4">
        <v>0.28999999999999998</v>
      </c>
      <c r="G600" s="4">
        <v>0.55999999999999994</v>
      </c>
      <c r="H600" s="17">
        <f t="shared" si="18"/>
        <v>1.6589078474480257E-5</v>
      </c>
      <c r="L600">
        <f t="shared" si="19"/>
        <v>2.01E-2</v>
      </c>
    </row>
    <row r="601" spans="1:12" x14ac:dyDescent="0.25">
      <c r="A601" s="1">
        <v>600</v>
      </c>
      <c r="B601" s="2">
        <v>4132209</v>
      </c>
      <c r="C601" s="3">
        <v>1.7000000000000001E-2</v>
      </c>
      <c r="D601" s="1">
        <v>0.67</v>
      </c>
      <c r="E601" s="4">
        <v>0.17</v>
      </c>
      <c r="F601" s="4">
        <v>0.24</v>
      </c>
      <c r="G601" s="4">
        <v>0.59</v>
      </c>
      <c r="H601" s="17">
        <f t="shared" si="18"/>
        <v>9.4877505901822804E-6</v>
      </c>
      <c r="L601">
        <f t="shared" si="19"/>
        <v>1.1390000000000001E-2</v>
      </c>
    </row>
    <row r="602" spans="1:12" x14ac:dyDescent="0.25">
      <c r="A602" s="1">
        <v>601</v>
      </c>
      <c r="B602" s="2">
        <v>3097167</v>
      </c>
      <c r="C602" s="3">
        <v>1.7000000000000001E-2</v>
      </c>
      <c r="D602" s="1">
        <v>0.5</v>
      </c>
      <c r="E602" s="4">
        <v>0.17</v>
      </c>
      <c r="F602" s="4">
        <v>0.28000000000000003</v>
      </c>
      <c r="G602" s="4">
        <v>0.54999999999999993</v>
      </c>
      <c r="H602" s="17">
        <f t="shared" si="18"/>
        <v>5.3068987917504927E-6</v>
      </c>
      <c r="L602">
        <f t="shared" si="19"/>
        <v>8.5000000000000006E-3</v>
      </c>
    </row>
    <row r="603" spans="1:12" x14ac:dyDescent="0.25">
      <c r="A603" s="1">
        <v>602</v>
      </c>
      <c r="B603" s="2">
        <v>3714061</v>
      </c>
      <c r="C603" s="3">
        <v>1.7000000000000001E-2</v>
      </c>
      <c r="D603" s="1">
        <v>0.5</v>
      </c>
      <c r="E603" s="4">
        <v>0.15</v>
      </c>
      <c r="F603" s="4">
        <v>0.33</v>
      </c>
      <c r="G603" s="4">
        <v>0.51999999999999991</v>
      </c>
      <c r="H603" s="17">
        <f t="shared" si="18"/>
        <v>6.3639273676193836E-6</v>
      </c>
      <c r="L603">
        <f t="shared" si="19"/>
        <v>8.5000000000000006E-3</v>
      </c>
    </row>
    <row r="604" spans="1:12" x14ac:dyDescent="0.25">
      <c r="A604" s="1">
        <v>603</v>
      </c>
      <c r="B604" s="2">
        <v>3617062</v>
      </c>
      <c r="C604" s="3">
        <v>3.1E-2</v>
      </c>
      <c r="D604" s="1">
        <v>0.5</v>
      </c>
      <c r="E604" s="4">
        <v>0.23</v>
      </c>
      <c r="F604" s="4">
        <v>0.19</v>
      </c>
      <c r="G604" s="4">
        <v>0.58000000000000007</v>
      </c>
      <c r="H604" s="17">
        <f t="shared" si="18"/>
        <v>1.13017294739142E-5</v>
      </c>
      <c r="L604">
        <f t="shared" si="19"/>
        <v>1.55E-2</v>
      </c>
    </row>
    <row r="605" spans="1:12" x14ac:dyDescent="0.25">
      <c r="A605" s="1">
        <v>604</v>
      </c>
      <c r="B605" s="2">
        <v>4726396</v>
      </c>
      <c r="C605" s="3">
        <v>2.3E-2</v>
      </c>
      <c r="D605" s="1">
        <v>0.67</v>
      </c>
      <c r="E605" s="4">
        <v>0.22</v>
      </c>
      <c r="F605" s="4">
        <v>0.28999999999999998</v>
      </c>
      <c r="G605" s="4">
        <v>0.49</v>
      </c>
      <c r="H605" s="17">
        <f t="shared" si="18"/>
        <v>1.4682161641758663E-5</v>
      </c>
      <c r="L605">
        <f t="shared" si="19"/>
        <v>1.541E-2</v>
      </c>
    </row>
    <row r="606" spans="1:12" x14ac:dyDescent="0.25">
      <c r="A606" s="1">
        <v>605</v>
      </c>
      <c r="B606" s="2">
        <v>4657637</v>
      </c>
      <c r="C606" s="3">
        <v>2.3E-2</v>
      </c>
      <c r="D606" s="1">
        <v>0.67</v>
      </c>
      <c r="E606" s="4">
        <v>0.2</v>
      </c>
      <c r="F606" s="4">
        <v>0.28000000000000003</v>
      </c>
      <c r="G606" s="4">
        <v>0.52</v>
      </c>
      <c r="H606" s="17">
        <f t="shared" si="18"/>
        <v>1.4468567446027777E-5</v>
      </c>
      <c r="L606">
        <f t="shared" si="19"/>
        <v>1.541E-2</v>
      </c>
    </row>
    <row r="607" spans="1:12" x14ac:dyDescent="0.25">
      <c r="A607" s="1">
        <v>606</v>
      </c>
      <c r="B607" s="2">
        <v>3162713</v>
      </c>
      <c r="C607" s="3">
        <v>1.6E-2</v>
      </c>
      <c r="D607" s="1">
        <v>0.5</v>
      </c>
      <c r="E607" s="4">
        <v>0.23</v>
      </c>
      <c r="F607" s="4">
        <v>0.24</v>
      </c>
      <c r="G607" s="4">
        <v>0.53</v>
      </c>
      <c r="H607" s="17">
        <f t="shared" si="18"/>
        <v>5.1004327650104901E-6</v>
      </c>
      <c r="L607">
        <f t="shared" si="19"/>
        <v>8.0000000000000002E-3</v>
      </c>
    </row>
    <row r="608" spans="1:12" x14ac:dyDescent="0.25">
      <c r="A608" s="1">
        <v>607</v>
      </c>
      <c r="B608" s="2">
        <v>2611007</v>
      </c>
      <c r="C608" s="3">
        <v>2.3E-2</v>
      </c>
      <c r="D608" s="1">
        <v>0.5</v>
      </c>
      <c r="E608" s="4">
        <v>0.16</v>
      </c>
      <c r="F608" s="4">
        <v>0.19</v>
      </c>
      <c r="G608" s="4">
        <v>0.65</v>
      </c>
      <c r="H608" s="17">
        <f t="shared" si="18"/>
        <v>6.0528948960680695E-6</v>
      </c>
      <c r="L608">
        <f t="shared" si="19"/>
        <v>1.15E-2</v>
      </c>
    </row>
    <row r="609" spans="1:12" x14ac:dyDescent="0.25">
      <c r="A609" s="1">
        <v>608</v>
      </c>
      <c r="B609" s="2">
        <v>4647478</v>
      </c>
      <c r="C609" s="3">
        <v>1.7999999999999999E-2</v>
      </c>
      <c r="D609" s="1">
        <v>0.67</v>
      </c>
      <c r="E609" s="4">
        <v>0.17</v>
      </c>
      <c r="F609" s="4">
        <v>0.28999999999999998</v>
      </c>
      <c r="G609" s="4">
        <v>0.53999999999999992</v>
      </c>
      <c r="H609" s="17">
        <f t="shared" si="18"/>
        <v>1.129852905299726E-5</v>
      </c>
      <c r="L609">
        <f t="shared" si="19"/>
        <v>1.206E-2</v>
      </c>
    </row>
    <row r="610" spans="1:12" x14ac:dyDescent="0.25">
      <c r="A610" s="1">
        <v>609</v>
      </c>
      <c r="B610" s="2">
        <v>3118465</v>
      </c>
      <c r="C610" s="3">
        <v>1.4999999999999999E-2</v>
      </c>
      <c r="D610" s="1">
        <v>0.5</v>
      </c>
      <c r="E610" s="4">
        <v>0.23</v>
      </c>
      <c r="F610" s="4">
        <v>0.22</v>
      </c>
      <c r="G610" s="4">
        <v>0.55000000000000004</v>
      </c>
      <c r="H610" s="17">
        <f t="shared" si="18"/>
        <v>4.7147578664677396E-6</v>
      </c>
      <c r="L610">
        <f t="shared" si="19"/>
        <v>7.4999999999999997E-3</v>
      </c>
    </row>
    <row r="611" spans="1:12" x14ac:dyDescent="0.25">
      <c r="A611" s="1">
        <v>610</v>
      </c>
      <c r="B611" s="2">
        <v>4667228</v>
      </c>
      <c r="C611" s="3">
        <v>2.3E-2</v>
      </c>
      <c r="D611" s="1">
        <v>0.67</v>
      </c>
      <c r="E611" s="4">
        <v>0.25</v>
      </c>
      <c r="F611" s="4">
        <v>0.18</v>
      </c>
      <c r="G611" s="4">
        <v>0.57000000000000006</v>
      </c>
      <c r="H611" s="17">
        <f t="shared" si="18"/>
        <v>1.449836110113118E-5</v>
      </c>
      <c r="L611">
        <f t="shared" si="19"/>
        <v>1.541E-2</v>
      </c>
    </row>
    <row r="612" spans="1:12" x14ac:dyDescent="0.25">
      <c r="A612" s="1">
        <v>611</v>
      </c>
      <c r="B612" s="2">
        <v>4938150</v>
      </c>
      <c r="C612" s="3">
        <v>2.8000000000000001E-2</v>
      </c>
      <c r="D612" s="1">
        <v>0.67</v>
      </c>
      <c r="E612" s="4">
        <v>0.24</v>
      </c>
      <c r="F612" s="4">
        <v>0.31</v>
      </c>
      <c r="G612" s="4">
        <v>0.44999999999999996</v>
      </c>
      <c r="H612" s="17">
        <f t="shared" si="18"/>
        <v>1.8674731576108304E-5</v>
      </c>
      <c r="L612">
        <f t="shared" si="19"/>
        <v>1.8760000000000002E-2</v>
      </c>
    </row>
    <row r="613" spans="1:12" x14ac:dyDescent="0.25">
      <c r="A613" s="1">
        <v>612</v>
      </c>
      <c r="B613" s="2">
        <v>4350333</v>
      </c>
      <c r="C613" s="3">
        <v>2.9000000000000001E-2</v>
      </c>
      <c r="D613" s="1">
        <v>0.67</v>
      </c>
      <c r="E613" s="4">
        <v>0.2</v>
      </c>
      <c r="F613" s="4">
        <v>0.15</v>
      </c>
      <c r="G613" s="4">
        <v>0.64999999999999991</v>
      </c>
      <c r="H613" s="17">
        <f t="shared" si="18"/>
        <v>1.7039331749519359E-5</v>
      </c>
      <c r="L613">
        <f t="shared" si="19"/>
        <v>1.9430000000000003E-2</v>
      </c>
    </row>
    <row r="614" spans="1:12" x14ac:dyDescent="0.25">
      <c r="A614" s="1">
        <v>613</v>
      </c>
      <c r="B614" s="2">
        <v>4101477</v>
      </c>
      <c r="C614" s="3">
        <v>2.7E-2</v>
      </c>
      <c r="D614" s="1">
        <v>0.67</v>
      </c>
      <c r="E614" s="4">
        <v>0.17</v>
      </c>
      <c r="F614" s="4">
        <v>0.2</v>
      </c>
      <c r="G614" s="4">
        <v>0.63</v>
      </c>
      <c r="H614" s="17">
        <f t="shared" si="18"/>
        <v>1.4956711052112581E-5</v>
      </c>
      <c r="L614">
        <f t="shared" si="19"/>
        <v>1.8090000000000002E-2</v>
      </c>
    </row>
    <row r="615" spans="1:12" x14ac:dyDescent="0.25">
      <c r="A615" s="1">
        <v>614</v>
      </c>
      <c r="B615" s="2">
        <v>3062820</v>
      </c>
      <c r="C615" s="3">
        <v>1.6E-2</v>
      </c>
      <c r="D615" s="1">
        <v>0.5</v>
      </c>
      <c r="E615" s="4">
        <v>0.18</v>
      </c>
      <c r="F615" s="4">
        <v>0.21</v>
      </c>
      <c r="G615" s="4">
        <v>0.6100000000000001</v>
      </c>
      <c r="H615" s="17">
        <f t="shared" si="18"/>
        <v>4.9393376766495821E-6</v>
      </c>
      <c r="L615">
        <f t="shared" si="19"/>
        <v>8.0000000000000002E-3</v>
      </c>
    </row>
    <row r="616" spans="1:12" x14ac:dyDescent="0.25">
      <c r="A616" s="1">
        <v>615</v>
      </c>
      <c r="B616" s="2">
        <v>3957603</v>
      </c>
      <c r="C616" s="3">
        <v>2.4E-2</v>
      </c>
      <c r="D616" s="1">
        <v>0.5</v>
      </c>
      <c r="E616" s="4">
        <v>0.19</v>
      </c>
      <c r="F616" s="4">
        <v>0.32</v>
      </c>
      <c r="G616" s="4">
        <v>0.48999999999999994</v>
      </c>
      <c r="H616" s="17">
        <f t="shared" si="18"/>
        <v>9.5734997194357242E-6</v>
      </c>
      <c r="L616">
        <f t="shared" si="19"/>
        <v>1.2E-2</v>
      </c>
    </row>
    <row r="617" spans="1:12" x14ac:dyDescent="0.25">
      <c r="A617" s="1">
        <v>616</v>
      </c>
      <c r="B617" s="2">
        <v>3963304</v>
      </c>
      <c r="C617" s="3">
        <v>3.1E-2</v>
      </c>
      <c r="D617" s="1">
        <v>0.5</v>
      </c>
      <c r="E617" s="4">
        <v>0.16</v>
      </c>
      <c r="F617" s="4">
        <v>0.22</v>
      </c>
      <c r="G617" s="4">
        <v>0.62</v>
      </c>
      <c r="H617" s="17">
        <f t="shared" si="18"/>
        <v>1.2383583591014487E-5</v>
      </c>
      <c r="L617">
        <f t="shared" si="19"/>
        <v>1.55E-2</v>
      </c>
    </row>
    <row r="618" spans="1:12" x14ac:dyDescent="0.25">
      <c r="A618" s="1">
        <v>617</v>
      </c>
      <c r="B618" s="2">
        <v>3893122</v>
      </c>
      <c r="C618" s="3">
        <v>0.03</v>
      </c>
      <c r="D618" s="1">
        <v>0.5</v>
      </c>
      <c r="E618" s="4">
        <v>0.2</v>
      </c>
      <c r="F618" s="4">
        <v>0.34</v>
      </c>
      <c r="G618" s="4">
        <v>0.45999999999999991</v>
      </c>
      <c r="H618" s="17">
        <f t="shared" si="18"/>
        <v>1.177189904303471E-5</v>
      </c>
      <c r="L618">
        <f t="shared" si="19"/>
        <v>1.4999999999999999E-2</v>
      </c>
    </row>
    <row r="619" spans="1:12" x14ac:dyDescent="0.25">
      <c r="A619" s="1">
        <v>618</v>
      </c>
      <c r="B619" s="2">
        <v>3529282</v>
      </c>
      <c r="C619" s="3">
        <v>1.4999999999999999E-2</v>
      </c>
      <c r="D619" s="1">
        <v>0.5</v>
      </c>
      <c r="E619" s="4">
        <v>0.22</v>
      </c>
      <c r="F619" s="4">
        <v>0.27</v>
      </c>
      <c r="G619" s="4">
        <v>0.51</v>
      </c>
      <c r="H619" s="17">
        <f t="shared" si="18"/>
        <v>5.3358655853065522E-6</v>
      </c>
      <c r="L619">
        <f t="shared" si="19"/>
        <v>7.4999999999999997E-3</v>
      </c>
    </row>
    <row r="620" spans="1:12" x14ac:dyDescent="0.25">
      <c r="A620" s="1">
        <v>619</v>
      </c>
      <c r="B620" s="2">
        <v>3237662</v>
      </c>
      <c r="C620" s="3">
        <v>2.4E-2</v>
      </c>
      <c r="D620" s="1">
        <v>0.5</v>
      </c>
      <c r="E620" s="4">
        <v>0.2</v>
      </c>
      <c r="F620" s="4">
        <v>0.32</v>
      </c>
      <c r="G620" s="4">
        <v>0.47999999999999993</v>
      </c>
      <c r="H620" s="17">
        <f t="shared" si="18"/>
        <v>7.8319518781008874E-6</v>
      </c>
      <c r="L620">
        <f t="shared" si="19"/>
        <v>1.2E-2</v>
      </c>
    </row>
    <row r="621" spans="1:12" x14ac:dyDescent="0.25">
      <c r="A621" s="1">
        <v>620</v>
      </c>
      <c r="B621" s="2">
        <v>3774103</v>
      </c>
      <c r="C621" s="3">
        <v>1.7000000000000001E-2</v>
      </c>
      <c r="D621" s="1">
        <v>0.5</v>
      </c>
      <c r="E621" s="4">
        <v>0.23</v>
      </c>
      <c r="F621" s="4">
        <v>0.17</v>
      </c>
      <c r="G621" s="4">
        <v>0.6</v>
      </c>
      <c r="H621" s="17">
        <f t="shared" si="18"/>
        <v>6.4668074568280971E-6</v>
      </c>
      <c r="L621">
        <f t="shared" si="19"/>
        <v>8.5000000000000006E-3</v>
      </c>
    </row>
    <row r="622" spans="1:12" x14ac:dyDescent="0.25">
      <c r="A622" s="1">
        <v>621</v>
      </c>
      <c r="B622" s="2">
        <v>2028736</v>
      </c>
      <c r="C622" s="3">
        <v>3.5000000000000003E-2</v>
      </c>
      <c r="D622" s="1">
        <v>0.5</v>
      </c>
      <c r="E622" s="4">
        <v>0.21</v>
      </c>
      <c r="F622" s="4">
        <v>0.18</v>
      </c>
      <c r="G622" s="4">
        <v>0.6100000000000001</v>
      </c>
      <c r="H622" s="17">
        <f t="shared" si="18"/>
        <v>7.1568322988932148E-6</v>
      </c>
      <c r="L622">
        <f t="shared" si="19"/>
        <v>1.7500000000000002E-2</v>
      </c>
    </row>
    <row r="623" spans="1:12" x14ac:dyDescent="0.25">
      <c r="A623" s="1">
        <v>622</v>
      </c>
      <c r="B623" s="2">
        <v>2893750</v>
      </c>
      <c r="C623" s="3">
        <v>3.1E-2</v>
      </c>
      <c r="D623" s="1">
        <v>0.5</v>
      </c>
      <c r="E623" s="4">
        <v>0.19</v>
      </c>
      <c r="F623" s="4">
        <v>0.35</v>
      </c>
      <c r="G623" s="4">
        <v>0.46</v>
      </c>
      <c r="H623" s="17">
        <f t="shared" si="18"/>
        <v>9.0416972850172917E-6</v>
      </c>
      <c r="L623">
        <f t="shared" si="19"/>
        <v>1.55E-2</v>
      </c>
    </row>
    <row r="624" spans="1:12" x14ac:dyDescent="0.25">
      <c r="A624" s="1">
        <v>623</v>
      </c>
      <c r="B624" s="2">
        <v>3923973</v>
      </c>
      <c r="C624" s="3">
        <v>1.7999999999999999E-2</v>
      </c>
      <c r="D624" s="1">
        <v>0.5</v>
      </c>
      <c r="E624" s="4">
        <v>0.19</v>
      </c>
      <c r="F624" s="4">
        <v>0.23</v>
      </c>
      <c r="G624" s="4">
        <v>0.58000000000000007</v>
      </c>
      <c r="H624" s="17">
        <f t="shared" si="18"/>
        <v>7.1191111920346776E-6</v>
      </c>
      <c r="L624">
        <f t="shared" si="19"/>
        <v>8.9999999999999993E-3</v>
      </c>
    </row>
    <row r="625" spans="1:12" x14ac:dyDescent="0.25">
      <c r="A625" s="1">
        <v>624</v>
      </c>
      <c r="B625" s="2">
        <v>2344462</v>
      </c>
      <c r="C625" s="3">
        <v>2.5000000000000001E-2</v>
      </c>
      <c r="D625" s="1">
        <v>0.5</v>
      </c>
      <c r="E625" s="4">
        <v>0.25</v>
      </c>
      <c r="F625" s="4">
        <v>0.23</v>
      </c>
      <c r="G625" s="4">
        <v>0.52</v>
      </c>
      <c r="H625" s="17">
        <f t="shared" si="18"/>
        <v>5.9075916394415691E-6</v>
      </c>
      <c r="L625">
        <f t="shared" si="19"/>
        <v>1.2500000000000001E-2</v>
      </c>
    </row>
    <row r="626" spans="1:12" x14ac:dyDescent="0.25">
      <c r="A626" s="1">
        <v>625</v>
      </c>
      <c r="B626" s="2">
        <v>3828921</v>
      </c>
      <c r="C626" s="3">
        <v>1.6E-2</v>
      </c>
      <c r="D626" s="1">
        <v>0.5</v>
      </c>
      <c r="E626" s="4">
        <v>0.15</v>
      </c>
      <c r="F626" s="4">
        <v>0.3</v>
      </c>
      <c r="G626" s="4">
        <v>0.54999999999999993</v>
      </c>
      <c r="H626" s="17">
        <f t="shared" si="18"/>
        <v>6.1748107156851511E-6</v>
      </c>
      <c r="L626">
        <f t="shared" si="19"/>
        <v>8.0000000000000002E-3</v>
      </c>
    </row>
    <row r="627" spans="1:12" x14ac:dyDescent="0.25">
      <c r="A627" s="1">
        <v>626</v>
      </c>
      <c r="B627" s="2">
        <v>2063764</v>
      </c>
      <c r="C627" s="3">
        <v>0.02</v>
      </c>
      <c r="D627" s="1">
        <v>0.5</v>
      </c>
      <c r="E627" s="4">
        <v>0.15</v>
      </c>
      <c r="F627" s="4">
        <v>0.25</v>
      </c>
      <c r="G627" s="4">
        <v>0.6</v>
      </c>
      <c r="H627" s="17">
        <f t="shared" si="18"/>
        <v>4.1602294947601588E-6</v>
      </c>
      <c r="L627">
        <f t="shared" si="19"/>
        <v>0.01</v>
      </c>
    </row>
    <row r="628" spans="1:12" x14ac:dyDescent="0.25">
      <c r="A628" s="1">
        <v>627</v>
      </c>
      <c r="B628" s="2">
        <v>3471734</v>
      </c>
      <c r="C628" s="3">
        <v>3.3000000000000002E-2</v>
      </c>
      <c r="D628" s="1">
        <v>0.5</v>
      </c>
      <c r="E628" s="4">
        <v>0.15</v>
      </c>
      <c r="F628" s="4">
        <v>0.17</v>
      </c>
      <c r="G628" s="4">
        <v>0.67999999999999994</v>
      </c>
      <c r="H628" s="17">
        <f t="shared" si="18"/>
        <v>1.1547491285271353E-5</v>
      </c>
      <c r="L628">
        <f t="shared" si="19"/>
        <v>1.6500000000000001E-2</v>
      </c>
    </row>
    <row r="629" spans="1:12" x14ac:dyDescent="0.25">
      <c r="A629" s="1">
        <v>628</v>
      </c>
      <c r="B629" s="2">
        <v>4363697</v>
      </c>
      <c r="C629" s="3">
        <v>3.4000000000000002E-2</v>
      </c>
      <c r="D629" s="1">
        <v>0.67</v>
      </c>
      <c r="E629" s="4">
        <v>0.17</v>
      </c>
      <c r="F629" s="4">
        <v>0.17</v>
      </c>
      <c r="G629" s="4">
        <v>0.65999999999999992</v>
      </c>
      <c r="H629" s="17">
        <f t="shared" si="18"/>
        <v>2.0038516341804901E-5</v>
      </c>
      <c r="L629">
        <f t="shared" si="19"/>
        <v>2.2780000000000002E-2</v>
      </c>
    </row>
    <row r="630" spans="1:12" x14ac:dyDescent="0.25">
      <c r="A630" s="1">
        <v>629</v>
      </c>
      <c r="B630" s="2">
        <v>4139466</v>
      </c>
      <c r="C630" s="3">
        <v>2.8000000000000001E-2</v>
      </c>
      <c r="D630" s="1">
        <v>0.67</v>
      </c>
      <c r="E630" s="4">
        <v>0.25</v>
      </c>
      <c r="F630" s="4">
        <v>0.28000000000000003</v>
      </c>
      <c r="G630" s="4">
        <v>0.47</v>
      </c>
      <c r="H630" s="17">
        <f t="shared" si="18"/>
        <v>1.5654327312541484E-5</v>
      </c>
      <c r="L630">
        <f t="shared" si="19"/>
        <v>1.8760000000000002E-2</v>
      </c>
    </row>
    <row r="631" spans="1:12" x14ac:dyDescent="0.25">
      <c r="A631" s="1">
        <v>630</v>
      </c>
      <c r="B631" s="2">
        <v>4197330</v>
      </c>
      <c r="C631" s="3">
        <v>3.3000000000000002E-2</v>
      </c>
      <c r="D631" s="1">
        <v>0.67</v>
      </c>
      <c r="E631" s="4">
        <v>0.23</v>
      </c>
      <c r="F631" s="4">
        <v>0.34</v>
      </c>
      <c r="G631" s="4">
        <v>0.42999999999999994</v>
      </c>
      <c r="H631" s="17">
        <f t="shared" si="18"/>
        <v>1.8707644750198817E-5</v>
      </c>
      <c r="L631">
        <f t="shared" si="19"/>
        <v>2.2110000000000001E-2</v>
      </c>
    </row>
    <row r="632" spans="1:12" x14ac:dyDescent="0.25">
      <c r="A632" s="1">
        <v>631</v>
      </c>
      <c r="B632" s="2">
        <v>4454865</v>
      </c>
      <c r="C632" s="3">
        <v>2.1000000000000001E-2</v>
      </c>
      <c r="D632" s="1">
        <v>0.67</v>
      </c>
      <c r="E632" s="4">
        <v>0.22</v>
      </c>
      <c r="F632" s="4">
        <v>0.18</v>
      </c>
      <c r="G632" s="4">
        <v>0.60000000000000009</v>
      </c>
      <c r="H632" s="17">
        <f t="shared" si="18"/>
        <v>1.2635309997083886E-5</v>
      </c>
      <c r="L632">
        <f t="shared" si="19"/>
        <v>1.4070000000000001E-2</v>
      </c>
    </row>
    <row r="633" spans="1:12" x14ac:dyDescent="0.25">
      <c r="A633" s="1">
        <v>632</v>
      </c>
      <c r="B633" s="2">
        <v>2305658</v>
      </c>
      <c r="C633" s="3">
        <v>3.5000000000000003E-2</v>
      </c>
      <c r="D633" s="1">
        <v>0.5</v>
      </c>
      <c r="E633" s="4">
        <v>0.23</v>
      </c>
      <c r="F633" s="4">
        <v>0.34</v>
      </c>
      <c r="G633" s="4">
        <v>0.42999999999999994</v>
      </c>
      <c r="H633" s="17">
        <f t="shared" si="18"/>
        <v>8.1337382708255444E-6</v>
      </c>
      <c r="L633">
        <f t="shared" si="19"/>
        <v>1.7500000000000002E-2</v>
      </c>
    </row>
    <row r="634" spans="1:12" x14ac:dyDescent="0.25">
      <c r="A634" s="1">
        <v>633</v>
      </c>
      <c r="B634" s="2">
        <v>2590906</v>
      </c>
      <c r="C634" s="3">
        <v>2.3E-2</v>
      </c>
      <c r="D634" s="1">
        <v>0.5</v>
      </c>
      <c r="E634" s="4">
        <v>0.19</v>
      </c>
      <c r="F634" s="4">
        <v>0.27</v>
      </c>
      <c r="G634" s="4">
        <v>0.54</v>
      </c>
      <c r="H634" s="17">
        <f t="shared" si="18"/>
        <v>6.0062963077433873E-6</v>
      </c>
      <c r="L634">
        <f t="shared" si="19"/>
        <v>1.15E-2</v>
      </c>
    </row>
    <row r="635" spans="1:12" x14ac:dyDescent="0.25">
      <c r="A635" s="1">
        <v>634</v>
      </c>
      <c r="B635" s="2">
        <v>2978275</v>
      </c>
      <c r="C635" s="3">
        <v>2.3E-2</v>
      </c>
      <c r="D635" s="1">
        <v>0.5</v>
      </c>
      <c r="E635" s="4">
        <v>0.15</v>
      </c>
      <c r="F635" s="4">
        <v>0.19</v>
      </c>
      <c r="G635" s="4">
        <v>0.66</v>
      </c>
      <c r="H635" s="17">
        <f t="shared" si="18"/>
        <v>6.9043037979550146E-6</v>
      </c>
      <c r="L635">
        <f t="shared" si="19"/>
        <v>1.15E-2</v>
      </c>
    </row>
    <row r="636" spans="1:12" x14ac:dyDescent="0.25">
      <c r="A636" s="1">
        <v>635</v>
      </c>
      <c r="B636" s="2">
        <v>3845131</v>
      </c>
      <c r="C636" s="3">
        <v>3.3000000000000002E-2</v>
      </c>
      <c r="D636" s="1">
        <v>0.5</v>
      </c>
      <c r="E636" s="4">
        <v>0.23</v>
      </c>
      <c r="F636" s="4">
        <v>0.27</v>
      </c>
      <c r="G636" s="4">
        <v>0.5</v>
      </c>
      <c r="H636" s="17">
        <f t="shared" si="18"/>
        <v>1.2789463914351366E-5</v>
      </c>
      <c r="L636">
        <f t="shared" si="19"/>
        <v>1.6500000000000001E-2</v>
      </c>
    </row>
    <row r="637" spans="1:12" x14ac:dyDescent="0.25">
      <c r="A637" s="1">
        <v>636</v>
      </c>
      <c r="B637" s="2">
        <v>4941496</v>
      </c>
      <c r="C637" s="3">
        <v>3.2000000000000001E-2</v>
      </c>
      <c r="D637" s="1">
        <v>0.67</v>
      </c>
      <c r="E637" s="4">
        <v>0.2</v>
      </c>
      <c r="F637" s="4">
        <v>0.21</v>
      </c>
      <c r="G637" s="4">
        <v>0.59000000000000008</v>
      </c>
      <c r="H637" s="17">
        <f t="shared" si="18"/>
        <v>2.1357011693948516E-5</v>
      </c>
      <c r="L637">
        <f t="shared" si="19"/>
        <v>2.1440000000000001E-2</v>
      </c>
    </row>
    <row r="638" spans="1:12" x14ac:dyDescent="0.25">
      <c r="A638" s="1">
        <v>637</v>
      </c>
      <c r="B638" s="2">
        <v>4228022</v>
      </c>
      <c r="C638" s="3">
        <v>1.6E-2</v>
      </c>
      <c r="D638" s="1">
        <v>0.67</v>
      </c>
      <c r="E638" s="4">
        <v>0.17</v>
      </c>
      <c r="F638" s="4">
        <v>0.28000000000000003</v>
      </c>
      <c r="G638" s="4">
        <v>0.54999999999999993</v>
      </c>
      <c r="H638" s="17">
        <f t="shared" si="18"/>
        <v>9.1366982080195533E-6</v>
      </c>
      <c r="L638">
        <f t="shared" si="19"/>
        <v>1.072E-2</v>
      </c>
    </row>
    <row r="639" spans="1:12" x14ac:dyDescent="0.25">
      <c r="A639" s="1">
        <v>638</v>
      </c>
      <c r="B639" s="2">
        <v>3967798</v>
      </c>
      <c r="C639" s="3">
        <v>3.2000000000000001E-2</v>
      </c>
      <c r="D639" s="1">
        <v>0.5</v>
      </c>
      <c r="E639" s="4">
        <v>0.16</v>
      </c>
      <c r="F639" s="4">
        <v>0.31</v>
      </c>
      <c r="G639" s="4">
        <v>0.52999999999999992</v>
      </c>
      <c r="H639" s="17">
        <f t="shared" si="18"/>
        <v>1.2797548765343611E-5</v>
      </c>
      <c r="L639">
        <f t="shared" si="19"/>
        <v>1.6E-2</v>
      </c>
    </row>
    <row r="640" spans="1:12" x14ac:dyDescent="0.25">
      <c r="A640" s="1">
        <v>639</v>
      </c>
      <c r="B640" s="2">
        <v>2702795</v>
      </c>
      <c r="C640" s="3">
        <v>1.7000000000000001E-2</v>
      </c>
      <c r="D640" s="1">
        <v>0.5</v>
      </c>
      <c r="E640" s="4">
        <v>0.18</v>
      </c>
      <c r="F640" s="4">
        <v>0.33</v>
      </c>
      <c r="G640" s="4">
        <v>0.48999999999999994</v>
      </c>
      <c r="H640" s="17">
        <f t="shared" si="18"/>
        <v>4.6311547035885612E-6</v>
      </c>
      <c r="L640">
        <f t="shared" si="19"/>
        <v>8.5000000000000006E-3</v>
      </c>
    </row>
    <row r="641" spans="1:12" x14ac:dyDescent="0.25">
      <c r="A641" s="1">
        <v>640</v>
      </c>
      <c r="B641" s="2">
        <v>4689490</v>
      </c>
      <c r="C641" s="3">
        <v>1.7999999999999999E-2</v>
      </c>
      <c r="D641" s="1">
        <v>0.67</v>
      </c>
      <c r="E641" s="4">
        <v>0.17</v>
      </c>
      <c r="F641" s="4">
        <v>0.21</v>
      </c>
      <c r="G641" s="4">
        <v>0.62</v>
      </c>
      <c r="H641" s="17">
        <f t="shared" si="18"/>
        <v>1.140066483558182E-5</v>
      </c>
      <c r="L641">
        <f t="shared" si="19"/>
        <v>1.206E-2</v>
      </c>
    </row>
    <row r="642" spans="1:12" x14ac:dyDescent="0.25">
      <c r="A642" s="1">
        <v>641</v>
      </c>
      <c r="B642" s="2">
        <v>3782110</v>
      </c>
      <c r="C642" s="3">
        <v>2.9000000000000001E-2</v>
      </c>
      <c r="D642" s="1">
        <v>0.5</v>
      </c>
      <c r="E642" s="4">
        <v>0.19</v>
      </c>
      <c r="F642" s="4">
        <v>0.19</v>
      </c>
      <c r="G642" s="4">
        <v>0.62000000000000011</v>
      </c>
      <c r="H642" s="17">
        <f t="shared" si="18"/>
        <v>1.10550169897913E-5</v>
      </c>
      <c r="L642">
        <f t="shared" si="19"/>
        <v>1.4500000000000001E-2</v>
      </c>
    </row>
    <row r="643" spans="1:12" x14ac:dyDescent="0.25">
      <c r="A643" s="1">
        <v>642</v>
      </c>
      <c r="B643" s="2">
        <v>4408584</v>
      </c>
      <c r="C643" s="3">
        <v>1.7000000000000001E-2</v>
      </c>
      <c r="D643" s="1">
        <v>0.67</v>
      </c>
      <c r="E643" s="4">
        <v>0.23</v>
      </c>
      <c r="F643" s="4">
        <v>0.33</v>
      </c>
      <c r="G643" s="4">
        <v>0.43999999999999995</v>
      </c>
      <c r="H643" s="17">
        <f t="shared" ref="H643:H706" si="20">B643*C643*D643/SUM($B$2:$B$1797)</f>
        <v>1.0122320881607913E-5</v>
      </c>
      <c r="L643">
        <f t="shared" ref="L643:L706" si="21">C643*D643</f>
        <v>1.1390000000000001E-2</v>
      </c>
    </row>
    <row r="644" spans="1:12" x14ac:dyDescent="0.25">
      <c r="A644" s="1">
        <v>643</v>
      </c>
      <c r="B644" s="2">
        <v>3010003</v>
      </c>
      <c r="C644" s="3">
        <v>1.6E-2</v>
      </c>
      <c r="D644" s="1">
        <v>0.5</v>
      </c>
      <c r="E644" s="4">
        <v>0.22</v>
      </c>
      <c r="F644" s="4">
        <v>0.19</v>
      </c>
      <c r="G644" s="4">
        <v>0.59000000000000008</v>
      </c>
      <c r="H644" s="17">
        <f t="shared" si="20"/>
        <v>4.8541609447268439E-6</v>
      </c>
      <c r="L644">
        <f t="shared" si="21"/>
        <v>8.0000000000000002E-3</v>
      </c>
    </row>
    <row r="645" spans="1:12" x14ac:dyDescent="0.25">
      <c r="A645" s="1">
        <v>644</v>
      </c>
      <c r="B645" s="2">
        <v>3829255</v>
      </c>
      <c r="C645" s="3">
        <v>2.5999999999999999E-2</v>
      </c>
      <c r="D645" s="1">
        <v>0.5</v>
      </c>
      <c r="E645" s="4">
        <v>0.24</v>
      </c>
      <c r="F645" s="4">
        <v>0.25</v>
      </c>
      <c r="G645" s="4">
        <v>0.51</v>
      </c>
      <c r="H645" s="17">
        <f t="shared" si="20"/>
        <v>1.0034942693130199E-5</v>
      </c>
      <c r="L645">
        <f t="shared" si="21"/>
        <v>1.2999999999999999E-2</v>
      </c>
    </row>
    <row r="646" spans="1:12" x14ac:dyDescent="0.25">
      <c r="A646" s="1">
        <v>645</v>
      </c>
      <c r="B646" s="2">
        <v>3591758</v>
      </c>
      <c r="C646" s="3">
        <v>3.4000000000000002E-2</v>
      </c>
      <c r="D646" s="1">
        <v>0.5</v>
      </c>
      <c r="E646" s="4">
        <v>0.15</v>
      </c>
      <c r="F646" s="4">
        <v>0.19</v>
      </c>
      <c r="G646" s="4">
        <v>0.66</v>
      </c>
      <c r="H646" s="17">
        <f t="shared" si="20"/>
        <v>1.2308730004200719E-5</v>
      </c>
      <c r="L646">
        <f t="shared" si="21"/>
        <v>1.7000000000000001E-2</v>
      </c>
    </row>
    <row r="647" spans="1:12" x14ac:dyDescent="0.25">
      <c r="A647" s="1">
        <v>646</v>
      </c>
      <c r="B647" s="2">
        <v>3942741</v>
      </c>
      <c r="C647" s="3">
        <v>3.5000000000000003E-2</v>
      </c>
      <c r="D647" s="1">
        <v>0.5</v>
      </c>
      <c r="E647" s="4">
        <v>0.18</v>
      </c>
      <c r="F647" s="4">
        <v>0.34</v>
      </c>
      <c r="G647" s="4">
        <v>0.47999999999999993</v>
      </c>
      <c r="H647" s="17">
        <f t="shared" si="20"/>
        <v>1.3908924638282425E-5</v>
      </c>
      <c r="L647">
        <f t="shared" si="21"/>
        <v>1.7500000000000002E-2</v>
      </c>
    </row>
    <row r="648" spans="1:12" x14ac:dyDescent="0.25">
      <c r="A648" s="1">
        <v>647</v>
      </c>
      <c r="B648" s="2">
        <v>4673834</v>
      </c>
      <c r="C648" s="3">
        <v>1.7000000000000001E-2</v>
      </c>
      <c r="D648" s="1">
        <v>0.67</v>
      </c>
      <c r="E648" s="4">
        <v>0.21</v>
      </c>
      <c r="F648" s="4">
        <v>0.23</v>
      </c>
      <c r="G648" s="4">
        <v>0.56000000000000005</v>
      </c>
      <c r="H648" s="17">
        <f t="shared" si="20"/>
        <v>1.0731347638010083E-5</v>
      </c>
      <c r="L648">
        <f t="shared" si="21"/>
        <v>1.1390000000000001E-2</v>
      </c>
    </row>
    <row r="649" spans="1:12" x14ac:dyDescent="0.25">
      <c r="A649" s="1">
        <v>648</v>
      </c>
      <c r="B649" s="2">
        <v>3688868</v>
      </c>
      <c r="C649" s="3">
        <v>1.6E-2</v>
      </c>
      <c r="D649" s="1">
        <v>0.5</v>
      </c>
      <c r="E649" s="4">
        <v>0.25</v>
      </c>
      <c r="F649" s="4">
        <v>0.28999999999999998</v>
      </c>
      <c r="G649" s="4">
        <v>0.45999999999999996</v>
      </c>
      <c r="H649" s="17">
        <f t="shared" si="20"/>
        <v>5.948950541196345E-6</v>
      </c>
      <c r="L649">
        <f t="shared" si="21"/>
        <v>8.0000000000000002E-3</v>
      </c>
    </row>
    <row r="650" spans="1:12" x14ac:dyDescent="0.25">
      <c r="A650" s="1">
        <v>649</v>
      </c>
      <c r="B650" s="2">
        <v>4854711</v>
      </c>
      <c r="C650" s="3">
        <v>3.1E-2</v>
      </c>
      <c r="D650" s="1">
        <v>0.67</v>
      </c>
      <c r="E650" s="4">
        <v>0.2</v>
      </c>
      <c r="F650" s="4">
        <v>0.28999999999999998</v>
      </c>
      <c r="G650" s="4">
        <v>0.51</v>
      </c>
      <c r="H650" s="17">
        <f t="shared" si="20"/>
        <v>2.0326243987713661E-5</v>
      </c>
      <c r="L650">
        <f t="shared" si="21"/>
        <v>2.077E-2</v>
      </c>
    </row>
    <row r="651" spans="1:12" x14ac:dyDescent="0.25">
      <c r="A651" s="1">
        <v>650</v>
      </c>
      <c r="B651" s="2">
        <v>4117256</v>
      </c>
      <c r="C651" s="3">
        <v>1.7999999999999999E-2</v>
      </c>
      <c r="D651" s="1">
        <v>0.67</v>
      </c>
      <c r="E651" s="4">
        <v>0.24</v>
      </c>
      <c r="F651" s="4">
        <v>0.16</v>
      </c>
      <c r="G651" s="4">
        <v>0.6</v>
      </c>
      <c r="H651" s="17">
        <f t="shared" si="20"/>
        <v>1.0009501182066336E-5</v>
      </c>
      <c r="L651">
        <f t="shared" si="21"/>
        <v>1.206E-2</v>
      </c>
    </row>
    <row r="652" spans="1:12" x14ac:dyDescent="0.25">
      <c r="A652" s="1">
        <v>651</v>
      </c>
      <c r="B652" s="2">
        <v>4343362</v>
      </c>
      <c r="C652" s="3">
        <v>3.2000000000000001E-2</v>
      </c>
      <c r="D652" s="1">
        <v>0.67</v>
      </c>
      <c r="E652" s="4">
        <v>0.16</v>
      </c>
      <c r="F652" s="4">
        <v>0.24</v>
      </c>
      <c r="G652" s="4">
        <v>0.6</v>
      </c>
      <c r="H652" s="17">
        <f t="shared" si="20"/>
        <v>1.8771892767909073E-5</v>
      </c>
      <c r="L652">
        <f t="shared" si="21"/>
        <v>2.1440000000000001E-2</v>
      </c>
    </row>
    <row r="653" spans="1:12" x14ac:dyDescent="0.25">
      <c r="A653" s="1">
        <v>652</v>
      </c>
      <c r="B653" s="2">
        <v>4561057</v>
      </c>
      <c r="C653" s="3">
        <v>2.5999999999999999E-2</v>
      </c>
      <c r="D653" s="1">
        <v>0.67</v>
      </c>
      <c r="E653" s="4">
        <v>0.2</v>
      </c>
      <c r="F653" s="4">
        <v>0.17</v>
      </c>
      <c r="G653" s="4">
        <v>0.62999999999999989</v>
      </c>
      <c r="H653" s="17">
        <f t="shared" si="20"/>
        <v>1.6016621281224279E-5</v>
      </c>
      <c r="L653">
        <f t="shared" si="21"/>
        <v>1.7420000000000001E-2</v>
      </c>
    </row>
    <row r="654" spans="1:12" x14ac:dyDescent="0.25">
      <c r="A654" s="1">
        <v>653</v>
      </c>
      <c r="B654" s="2">
        <v>2118189</v>
      </c>
      <c r="C654" s="3">
        <v>2.3E-2</v>
      </c>
      <c r="D654" s="1">
        <v>0.5</v>
      </c>
      <c r="E654" s="4">
        <v>0.22</v>
      </c>
      <c r="F654" s="4">
        <v>0.22</v>
      </c>
      <c r="G654" s="4">
        <v>0.56000000000000005</v>
      </c>
      <c r="H654" s="17">
        <f t="shared" si="20"/>
        <v>4.910433172721302E-6</v>
      </c>
      <c r="L654">
        <f t="shared" si="21"/>
        <v>1.15E-2</v>
      </c>
    </row>
    <row r="655" spans="1:12" x14ac:dyDescent="0.25">
      <c r="A655" s="1">
        <v>654</v>
      </c>
      <c r="B655" s="2">
        <v>2740742</v>
      </c>
      <c r="C655" s="3">
        <v>2.4E-2</v>
      </c>
      <c r="D655" s="1">
        <v>0.5</v>
      </c>
      <c r="E655" s="4">
        <v>0.21</v>
      </c>
      <c r="F655" s="4">
        <v>0.33</v>
      </c>
      <c r="G655" s="4">
        <v>0.45999999999999996</v>
      </c>
      <c r="H655" s="17">
        <f t="shared" si="20"/>
        <v>6.6298951077320558E-6</v>
      </c>
      <c r="L655">
        <f t="shared" si="21"/>
        <v>1.2E-2</v>
      </c>
    </row>
    <row r="656" spans="1:12" x14ac:dyDescent="0.25">
      <c r="A656" s="1">
        <v>655</v>
      </c>
      <c r="B656" s="2">
        <v>3440759</v>
      </c>
      <c r="C656" s="3">
        <v>1.7999999999999999E-2</v>
      </c>
      <c r="D656" s="1">
        <v>0.5</v>
      </c>
      <c r="E656" s="4">
        <v>0.18</v>
      </c>
      <c r="F656" s="4">
        <v>0.3</v>
      </c>
      <c r="G656" s="4">
        <v>0.52</v>
      </c>
      <c r="H656" s="17">
        <f t="shared" si="20"/>
        <v>6.2424348755697467E-6</v>
      </c>
      <c r="L656">
        <f t="shared" si="21"/>
        <v>8.9999999999999993E-3</v>
      </c>
    </row>
    <row r="657" spans="1:12" x14ac:dyDescent="0.25">
      <c r="A657" s="1">
        <v>656</v>
      </c>
      <c r="B657" s="2">
        <v>3227794</v>
      </c>
      <c r="C657" s="3">
        <v>3.4000000000000002E-2</v>
      </c>
      <c r="D657" s="1">
        <v>0.5</v>
      </c>
      <c r="E657" s="4">
        <v>0.18</v>
      </c>
      <c r="F657" s="4">
        <v>0.18</v>
      </c>
      <c r="G657" s="4">
        <v>0.64000000000000012</v>
      </c>
      <c r="H657" s="17">
        <f t="shared" si="20"/>
        <v>1.1061448141879006E-5</v>
      </c>
      <c r="L657">
        <f t="shared" si="21"/>
        <v>1.7000000000000001E-2</v>
      </c>
    </row>
    <row r="658" spans="1:12" x14ac:dyDescent="0.25">
      <c r="A658" s="1">
        <v>657</v>
      </c>
      <c r="B658" s="2">
        <v>2052652</v>
      </c>
      <c r="C658" s="3">
        <v>2.1000000000000001E-2</v>
      </c>
      <c r="D658" s="1">
        <v>0.5</v>
      </c>
      <c r="E658" s="4">
        <v>0.2</v>
      </c>
      <c r="F658" s="4">
        <v>0.16</v>
      </c>
      <c r="G658" s="4">
        <v>0.6399999999999999</v>
      </c>
      <c r="H658" s="17">
        <f t="shared" si="20"/>
        <v>4.3447208898509479E-6</v>
      </c>
      <c r="L658">
        <f t="shared" si="21"/>
        <v>1.0500000000000001E-2</v>
      </c>
    </row>
    <row r="659" spans="1:12" x14ac:dyDescent="0.25">
      <c r="A659" s="1">
        <v>658</v>
      </c>
      <c r="B659" s="2">
        <v>3738033</v>
      </c>
      <c r="C659" s="3">
        <v>2.1999999999999999E-2</v>
      </c>
      <c r="D659" s="1">
        <v>0.5</v>
      </c>
      <c r="E659" s="4">
        <v>0.23</v>
      </c>
      <c r="F659" s="4">
        <v>0.31</v>
      </c>
      <c r="G659" s="4">
        <v>0.45999999999999996</v>
      </c>
      <c r="H659" s="17">
        <f t="shared" si="20"/>
        <v>8.2888269457580817E-6</v>
      </c>
      <c r="L659">
        <f t="shared" si="21"/>
        <v>1.0999999999999999E-2</v>
      </c>
    </row>
    <row r="660" spans="1:12" x14ac:dyDescent="0.25">
      <c r="A660" s="1">
        <v>659</v>
      </c>
      <c r="B660" s="2">
        <v>4689494</v>
      </c>
      <c r="C660" s="3">
        <v>1.9E-2</v>
      </c>
      <c r="D660" s="1">
        <v>0.67</v>
      </c>
      <c r="E660" s="4">
        <v>0.16</v>
      </c>
      <c r="F660" s="4">
        <v>0.21</v>
      </c>
      <c r="G660" s="4">
        <v>0.63</v>
      </c>
      <c r="H660" s="17">
        <f t="shared" si="20"/>
        <v>1.2034045368910841E-5</v>
      </c>
      <c r="L660">
        <f t="shared" si="21"/>
        <v>1.273E-2</v>
      </c>
    </row>
    <row r="661" spans="1:12" x14ac:dyDescent="0.25">
      <c r="A661" s="1">
        <v>660</v>
      </c>
      <c r="B661" s="2">
        <v>3107316</v>
      </c>
      <c r="C661" s="3">
        <v>1.7999999999999999E-2</v>
      </c>
      <c r="D661" s="1">
        <v>0.5</v>
      </c>
      <c r="E661" s="4">
        <v>0.25</v>
      </c>
      <c r="F661" s="4">
        <v>0.28000000000000003</v>
      </c>
      <c r="G661" s="4">
        <v>0.47</v>
      </c>
      <c r="H661" s="17">
        <f t="shared" si="20"/>
        <v>5.6374822438351193E-6</v>
      </c>
      <c r="L661">
        <f t="shared" si="21"/>
        <v>8.9999999999999993E-3</v>
      </c>
    </row>
    <row r="662" spans="1:12" x14ac:dyDescent="0.25">
      <c r="A662" s="1">
        <v>661</v>
      </c>
      <c r="B662" s="2">
        <v>3102574</v>
      </c>
      <c r="C662" s="3">
        <v>3.3000000000000002E-2</v>
      </c>
      <c r="D662" s="1">
        <v>0.5</v>
      </c>
      <c r="E662" s="4">
        <v>0.17</v>
      </c>
      <c r="F662" s="4">
        <v>0.22</v>
      </c>
      <c r="G662" s="4">
        <v>0.61</v>
      </c>
      <c r="H662" s="17">
        <f t="shared" si="20"/>
        <v>1.0319611533288405E-5</v>
      </c>
      <c r="L662">
        <f t="shared" si="21"/>
        <v>1.6500000000000001E-2</v>
      </c>
    </row>
    <row r="663" spans="1:12" x14ac:dyDescent="0.25">
      <c r="A663" s="1">
        <v>662</v>
      </c>
      <c r="B663" s="2">
        <v>3581523</v>
      </c>
      <c r="C663" s="3">
        <v>1.4999999999999999E-2</v>
      </c>
      <c r="D663" s="1">
        <v>0.5</v>
      </c>
      <c r="E663" s="4">
        <v>0.19</v>
      </c>
      <c r="F663" s="4">
        <v>0.18</v>
      </c>
      <c r="G663" s="4">
        <v>0.63000000000000012</v>
      </c>
      <c r="H663" s="17">
        <f t="shared" si="20"/>
        <v>5.4148479262025195E-6</v>
      </c>
      <c r="L663">
        <f t="shared" si="21"/>
        <v>7.4999999999999997E-3</v>
      </c>
    </row>
    <row r="664" spans="1:12" x14ac:dyDescent="0.25">
      <c r="A664" s="1">
        <v>663</v>
      </c>
      <c r="B664" s="2">
        <v>2222275</v>
      </c>
      <c r="C664" s="3">
        <v>1.6E-2</v>
      </c>
      <c r="D664" s="1">
        <v>0.5</v>
      </c>
      <c r="E664" s="4">
        <v>0.23</v>
      </c>
      <c r="F664" s="4">
        <v>0.18</v>
      </c>
      <c r="G664" s="4">
        <v>0.59000000000000008</v>
      </c>
      <c r="H664" s="17">
        <f t="shared" si="20"/>
        <v>3.5838105521631865E-6</v>
      </c>
      <c r="L664">
        <f t="shared" si="21"/>
        <v>8.0000000000000002E-3</v>
      </c>
    </row>
    <row r="665" spans="1:12" x14ac:dyDescent="0.25">
      <c r="A665" s="1">
        <v>664</v>
      </c>
      <c r="B665" s="2">
        <v>2396474</v>
      </c>
      <c r="C665" s="3">
        <v>0.03</v>
      </c>
      <c r="D665" s="1">
        <v>0.5</v>
      </c>
      <c r="E665" s="4">
        <v>0.25</v>
      </c>
      <c r="F665" s="4">
        <v>0.23</v>
      </c>
      <c r="G665" s="4">
        <v>0.52</v>
      </c>
      <c r="H665" s="17">
        <f t="shared" si="20"/>
        <v>7.2463822061722109E-6</v>
      </c>
      <c r="L665">
        <f t="shared" si="21"/>
        <v>1.4999999999999999E-2</v>
      </c>
    </row>
    <row r="666" spans="1:12" x14ac:dyDescent="0.25">
      <c r="A666" s="1">
        <v>665</v>
      </c>
      <c r="B666" s="2">
        <v>2889003</v>
      </c>
      <c r="C666" s="3">
        <v>2.7E-2</v>
      </c>
      <c r="D666" s="1">
        <v>0.5</v>
      </c>
      <c r="E666" s="4">
        <v>0.23</v>
      </c>
      <c r="F666" s="4">
        <v>0.35</v>
      </c>
      <c r="G666" s="4">
        <v>0.42000000000000004</v>
      </c>
      <c r="H666" s="17">
        <f t="shared" si="20"/>
        <v>7.8621082221214671E-6</v>
      </c>
      <c r="L666">
        <f t="shared" si="21"/>
        <v>1.35E-2</v>
      </c>
    </row>
    <row r="667" spans="1:12" x14ac:dyDescent="0.25">
      <c r="A667" s="1">
        <v>666</v>
      </c>
      <c r="B667" s="2">
        <v>3743711</v>
      </c>
      <c r="C667" s="3">
        <v>2.5999999999999999E-2</v>
      </c>
      <c r="D667" s="1">
        <v>0.5</v>
      </c>
      <c r="E667" s="4">
        <v>0.2</v>
      </c>
      <c r="F667" s="4">
        <v>0.18</v>
      </c>
      <c r="G667" s="4">
        <v>0.62000000000000011</v>
      </c>
      <c r="H667" s="17">
        <f t="shared" si="20"/>
        <v>9.8107661528524872E-6</v>
      </c>
      <c r="L667">
        <f t="shared" si="21"/>
        <v>1.2999999999999999E-2</v>
      </c>
    </row>
    <row r="668" spans="1:12" x14ac:dyDescent="0.25">
      <c r="A668" s="1">
        <v>667</v>
      </c>
      <c r="B668" s="2">
        <v>3427833</v>
      </c>
      <c r="C668" s="3">
        <v>2.1999999999999999E-2</v>
      </c>
      <c r="D668" s="1">
        <v>0.5</v>
      </c>
      <c r="E668" s="4">
        <v>0.23</v>
      </c>
      <c r="F668" s="4">
        <v>0.31</v>
      </c>
      <c r="G668" s="4">
        <v>0.45999999999999996</v>
      </c>
      <c r="H668" s="17">
        <f t="shared" si="20"/>
        <v>7.6009801240274659E-6</v>
      </c>
      <c r="L668">
        <f t="shared" si="21"/>
        <v>1.0999999999999999E-2</v>
      </c>
    </row>
    <row r="669" spans="1:12" x14ac:dyDescent="0.25">
      <c r="A669" s="1">
        <v>668</v>
      </c>
      <c r="B669" s="2">
        <v>4311715</v>
      </c>
      <c r="C669" s="3">
        <v>3.1E-2</v>
      </c>
      <c r="D669" s="1">
        <v>0.67</v>
      </c>
      <c r="E669" s="4">
        <v>0.17</v>
      </c>
      <c r="F669" s="4">
        <v>0.25</v>
      </c>
      <c r="G669" s="4">
        <v>0.57999999999999996</v>
      </c>
      <c r="H669" s="17">
        <f t="shared" si="20"/>
        <v>1.8052767939324255E-5</v>
      </c>
      <c r="L669">
        <f t="shared" si="21"/>
        <v>2.077E-2</v>
      </c>
    </row>
    <row r="670" spans="1:12" x14ac:dyDescent="0.25">
      <c r="A670" s="1">
        <v>669</v>
      </c>
      <c r="B670" s="2">
        <v>2965194</v>
      </c>
      <c r="C670" s="3">
        <v>1.7999999999999999E-2</v>
      </c>
      <c r="D670" s="1">
        <v>0.5</v>
      </c>
      <c r="E670" s="4">
        <v>0.17</v>
      </c>
      <c r="F670" s="4">
        <v>0.17</v>
      </c>
      <c r="G670" s="4">
        <v>0.65999999999999992</v>
      </c>
      <c r="H670" s="17">
        <f t="shared" si="20"/>
        <v>5.3796358415193159E-6</v>
      </c>
      <c r="L670">
        <f t="shared" si="21"/>
        <v>8.9999999999999993E-3</v>
      </c>
    </row>
    <row r="671" spans="1:12" x14ac:dyDescent="0.25">
      <c r="A671" s="1">
        <v>670</v>
      </c>
      <c r="B671" s="2">
        <v>2628785</v>
      </c>
      <c r="C671" s="3">
        <v>2.7E-2</v>
      </c>
      <c r="D671" s="1">
        <v>0.5</v>
      </c>
      <c r="E671" s="4">
        <v>0.19</v>
      </c>
      <c r="F671" s="4">
        <v>0.19</v>
      </c>
      <c r="G671" s="4">
        <v>0.62000000000000011</v>
      </c>
      <c r="H671" s="17">
        <f t="shared" si="20"/>
        <v>7.1539531674732005E-6</v>
      </c>
      <c r="L671">
        <f t="shared" si="21"/>
        <v>1.35E-2</v>
      </c>
    </row>
    <row r="672" spans="1:12" x14ac:dyDescent="0.25">
      <c r="A672" s="1">
        <v>671</v>
      </c>
      <c r="B672" s="2">
        <v>2664330</v>
      </c>
      <c r="C672" s="3">
        <v>2.3E-2</v>
      </c>
      <c r="D672" s="1">
        <v>0.5</v>
      </c>
      <c r="E672" s="4">
        <v>0.15</v>
      </c>
      <c r="F672" s="4">
        <v>0.19</v>
      </c>
      <c r="G672" s="4">
        <v>0.66</v>
      </c>
      <c r="H672" s="17">
        <f t="shared" si="20"/>
        <v>6.1765094687379386E-6</v>
      </c>
      <c r="L672">
        <f t="shared" si="21"/>
        <v>1.15E-2</v>
      </c>
    </row>
    <row r="673" spans="1:12" x14ac:dyDescent="0.25">
      <c r="A673" s="1">
        <v>672</v>
      </c>
      <c r="B673" s="2">
        <v>3335044</v>
      </c>
      <c r="C673" s="3">
        <v>1.9E-2</v>
      </c>
      <c r="D673" s="1">
        <v>0.5</v>
      </c>
      <c r="E673" s="4">
        <v>0.24</v>
      </c>
      <c r="F673" s="4">
        <v>0.28000000000000003</v>
      </c>
      <c r="G673" s="4">
        <v>0.48</v>
      </c>
      <c r="H673" s="17">
        <f t="shared" si="20"/>
        <v>6.3867869554691103E-6</v>
      </c>
      <c r="L673">
        <f t="shared" si="21"/>
        <v>9.4999999999999998E-3</v>
      </c>
    </row>
    <row r="674" spans="1:12" x14ac:dyDescent="0.25">
      <c r="A674" s="1">
        <v>673</v>
      </c>
      <c r="B674" s="2">
        <v>2173238</v>
      </c>
      <c r="C674" s="3">
        <v>2.1000000000000001E-2</v>
      </c>
      <c r="D674" s="1">
        <v>0.5</v>
      </c>
      <c r="E674" s="4">
        <v>0.21</v>
      </c>
      <c r="F674" s="4">
        <v>0.21</v>
      </c>
      <c r="G674" s="4">
        <v>0.58000000000000007</v>
      </c>
      <c r="H674" s="17">
        <f t="shared" si="20"/>
        <v>4.5999577800902901E-6</v>
      </c>
      <c r="L674">
        <f t="shared" si="21"/>
        <v>1.0500000000000001E-2</v>
      </c>
    </row>
    <row r="675" spans="1:12" x14ac:dyDescent="0.25">
      <c r="A675" s="1">
        <v>674</v>
      </c>
      <c r="B675" s="2">
        <v>3741325</v>
      </c>
      <c r="C675" s="3">
        <v>3.2000000000000001E-2</v>
      </c>
      <c r="D675" s="1">
        <v>0.5</v>
      </c>
      <c r="E675" s="4">
        <v>0.17</v>
      </c>
      <c r="F675" s="4">
        <v>0.34</v>
      </c>
      <c r="G675" s="4">
        <v>0.48999999999999988</v>
      </c>
      <c r="H675" s="17">
        <f t="shared" si="20"/>
        <v>1.2067093419196034E-5</v>
      </c>
      <c r="L675">
        <f t="shared" si="21"/>
        <v>1.6E-2</v>
      </c>
    </row>
    <row r="676" spans="1:12" x14ac:dyDescent="0.25">
      <c r="A676" s="1">
        <v>675</v>
      </c>
      <c r="B676" s="2">
        <v>3123984</v>
      </c>
      <c r="C676" s="3">
        <v>2.5000000000000001E-2</v>
      </c>
      <c r="D676" s="1">
        <v>0.5</v>
      </c>
      <c r="E676" s="4">
        <v>0.23</v>
      </c>
      <c r="F676" s="4">
        <v>0.19</v>
      </c>
      <c r="G676" s="4">
        <v>0.58000000000000007</v>
      </c>
      <c r="H676" s="17">
        <f t="shared" si="20"/>
        <v>7.8718365919981775E-6</v>
      </c>
      <c r="L676">
        <f t="shared" si="21"/>
        <v>1.2500000000000001E-2</v>
      </c>
    </row>
    <row r="677" spans="1:12" x14ac:dyDescent="0.25">
      <c r="A677" s="1">
        <v>676</v>
      </c>
      <c r="B677" s="2">
        <v>4049523</v>
      </c>
      <c r="C677" s="3">
        <v>1.4999999999999999E-2</v>
      </c>
      <c r="D677" s="1">
        <v>0.67</v>
      </c>
      <c r="E677" s="4">
        <v>0.18</v>
      </c>
      <c r="F677" s="4">
        <v>0.26</v>
      </c>
      <c r="G677" s="4">
        <v>0.56000000000000005</v>
      </c>
      <c r="H677" s="17">
        <f t="shared" si="20"/>
        <v>8.2040290214536123E-6</v>
      </c>
      <c r="L677">
        <f t="shared" si="21"/>
        <v>1.005E-2</v>
      </c>
    </row>
    <row r="678" spans="1:12" x14ac:dyDescent="0.25">
      <c r="A678" s="1">
        <v>677</v>
      </c>
      <c r="B678" s="2">
        <v>4883982</v>
      </c>
      <c r="C678" s="3">
        <v>1.7999999999999999E-2</v>
      </c>
      <c r="D678" s="1">
        <v>0.67</v>
      </c>
      <c r="E678" s="4">
        <v>0.25</v>
      </c>
      <c r="F678" s="4">
        <v>0.35</v>
      </c>
      <c r="G678" s="4">
        <v>0.4</v>
      </c>
      <c r="H678" s="17">
        <f t="shared" si="20"/>
        <v>1.1873496232002748E-5</v>
      </c>
      <c r="L678">
        <f t="shared" si="21"/>
        <v>1.206E-2</v>
      </c>
    </row>
    <row r="679" spans="1:12" x14ac:dyDescent="0.25">
      <c r="A679" s="1">
        <v>678</v>
      </c>
      <c r="B679" s="2">
        <v>3125896</v>
      </c>
      <c r="C679" s="3">
        <v>3.2000000000000001E-2</v>
      </c>
      <c r="D679" s="1">
        <v>0.5</v>
      </c>
      <c r="E679" s="4">
        <v>0.17</v>
      </c>
      <c r="F679" s="4">
        <v>0.32</v>
      </c>
      <c r="G679" s="4">
        <v>0.5099999999999999</v>
      </c>
      <c r="H679" s="17">
        <f t="shared" si="20"/>
        <v>1.0082117712492554E-5</v>
      </c>
      <c r="L679">
        <f t="shared" si="21"/>
        <v>1.6E-2</v>
      </c>
    </row>
    <row r="680" spans="1:12" x14ac:dyDescent="0.25">
      <c r="A680" s="1">
        <v>679</v>
      </c>
      <c r="B680" s="2">
        <v>3008657</v>
      </c>
      <c r="C680" s="3">
        <v>3.1E-2</v>
      </c>
      <c r="D680" s="1">
        <v>0.5</v>
      </c>
      <c r="E680" s="4">
        <v>0.21</v>
      </c>
      <c r="F680" s="4">
        <v>0.34</v>
      </c>
      <c r="G680" s="4">
        <v>0.44999999999999996</v>
      </c>
      <c r="H680" s="17">
        <f t="shared" si="20"/>
        <v>9.4007311718179765E-6</v>
      </c>
      <c r="L680">
        <f t="shared" si="21"/>
        <v>1.55E-2</v>
      </c>
    </row>
    <row r="681" spans="1:12" x14ac:dyDescent="0.25">
      <c r="A681" s="1">
        <v>680</v>
      </c>
      <c r="B681" s="2">
        <v>4203432</v>
      </c>
      <c r="C681" s="3">
        <v>1.7000000000000001E-2</v>
      </c>
      <c r="D681" s="1">
        <v>0.67</v>
      </c>
      <c r="E681" s="4">
        <v>0.2</v>
      </c>
      <c r="F681" s="4">
        <v>0.16</v>
      </c>
      <c r="G681" s="4">
        <v>0.6399999999999999</v>
      </c>
      <c r="H681" s="17">
        <f t="shared" si="20"/>
        <v>9.651282023438575E-6</v>
      </c>
      <c r="L681">
        <f t="shared" si="21"/>
        <v>1.1390000000000001E-2</v>
      </c>
    </row>
    <row r="682" spans="1:12" x14ac:dyDescent="0.25">
      <c r="A682" s="1">
        <v>681</v>
      </c>
      <c r="B682" s="2">
        <v>2040367</v>
      </c>
      <c r="C682" s="3">
        <v>0.03</v>
      </c>
      <c r="D682" s="1">
        <v>0.5</v>
      </c>
      <c r="E682" s="4">
        <v>0.23</v>
      </c>
      <c r="F682" s="4">
        <v>0.28000000000000003</v>
      </c>
      <c r="G682" s="4">
        <v>0.49</v>
      </c>
      <c r="H682" s="17">
        <f t="shared" si="20"/>
        <v>6.169597134315237E-6</v>
      </c>
      <c r="L682">
        <f t="shared" si="21"/>
        <v>1.4999999999999999E-2</v>
      </c>
    </row>
    <row r="683" spans="1:12" x14ac:dyDescent="0.25">
      <c r="A683" s="1">
        <v>682</v>
      </c>
      <c r="B683" s="2">
        <v>4168995</v>
      </c>
      <c r="C683" s="3">
        <v>3.1E-2</v>
      </c>
      <c r="D683" s="1">
        <v>0.67</v>
      </c>
      <c r="E683" s="4">
        <v>0.17</v>
      </c>
      <c r="F683" s="4">
        <v>0.32</v>
      </c>
      <c r="G683" s="4">
        <v>0.5099999999999999</v>
      </c>
      <c r="H683" s="17">
        <f t="shared" si="20"/>
        <v>1.7455211969066399E-5</v>
      </c>
      <c r="L683">
        <f t="shared" si="21"/>
        <v>2.077E-2</v>
      </c>
    </row>
    <row r="684" spans="1:12" x14ac:dyDescent="0.25">
      <c r="A684" s="1">
        <v>683</v>
      </c>
      <c r="B684" s="2">
        <v>3836031</v>
      </c>
      <c r="C684" s="3">
        <v>1.6E-2</v>
      </c>
      <c r="D684" s="1">
        <v>0.5</v>
      </c>
      <c r="E684" s="4">
        <v>0.17</v>
      </c>
      <c r="F684" s="4">
        <v>0.22</v>
      </c>
      <c r="G684" s="4">
        <v>0.61</v>
      </c>
      <c r="H684" s="17">
        <f t="shared" si="20"/>
        <v>6.1862768452262206E-6</v>
      </c>
      <c r="L684">
        <f t="shared" si="21"/>
        <v>8.0000000000000002E-3</v>
      </c>
    </row>
    <row r="685" spans="1:12" x14ac:dyDescent="0.25">
      <c r="A685" s="1">
        <v>684</v>
      </c>
      <c r="B685" s="2">
        <v>4895596</v>
      </c>
      <c r="C685" s="3">
        <v>2.3E-2</v>
      </c>
      <c r="D685" s="1">
        <v>0.67</v>
      </c>
      <c r="E685" s="4">
        <v>0.25</v>
      </c>
      <c r="F685" s="4">
        <v>0.28000000000000003</v>
      </c>
      <c r="G685" s="4">
        <v>0.47</v>
      </c>
      <c r="H685" s="17">
        <f t="shared" si="20"/>
        <v>1.5207767568512487E-5</v>
      </c>
      <c r="L685">
        <f t="shared" si="21"/>
        <v>1.541E-2</v>
      </c>
    </row>
    <row r="686" spans="1:12" x14ac:dyDescent="0.25">
      <c r="A686" s="1">
        <v>685</v>
      </c>
      <c r="B686" s="2">
        <v>2773080</v>
      </c>
      <c r="C686" s="3">
        <v>2.3E-2</v>
      </c>
      <c r="D686" s="1">
        <v>0.5</v>
      </c>
      <c r="E686" s="4">
        <v>0.2</v>
      </c>
      <c r="F686" s="4">
        <v>0.28999999999999998</v>
      </c>
      <c r="G686" s="4">
        <v>0.51</v>
      </c>
      <c r="H686" s="17">
        <f t="shared" si="20"/>
        <v>6.4286161539928626E-6</v>
      </c>
      <c r="L686">
        <f t="shared" si="21"/>
        <v>1.15E-2</v>
      </c>
    </row>
    <row r="687" spans="1:12" x14ac:dyDescent="0.25">
      <c r="A687" s="1">
        <v>686</v>
      </c>
      <c r="B687" s="2">
        <v>3333702</v>
      </c>
      <c r="C687" s="3">
        <v>3.3000000000000002E-2</v>
      </c>
      <c r="D687" s="1">
        <v>0.5</v>
      </c>
      <c r="E687" s="4">
        <v>0.18</v>
      </c>
      <c r="F687" s="4">
        <v>0.33</v>
      </c>
      <c r="G687" s="4">
        <v>0.48999999999999994</v>
      </c>
      <c r="H687" s="17">
        <f t="shared" si="20"/>
        <v>1.1088376814782378E-5</v>
      </c>
      <c r="L687">
        <f t="shared" si="21"/>
        <v>1.6500000000000001E-2</v>
      </c>
    </row>
    <row r="688" spans="1:12" x14ac:dyDescent="0.25">
      <c r="A688" s="1">
        <v>687</v>
      </c>
      <c r="B688" s="2">
        <v>4529025</v>
      </c>
      <c r="C688" s="3">
        <v>2.3E-2</v>
      </c>
      <c r="D688" s="1">
        <v>0.67</v>
      </c>
      <c r="E688" s="4">
        <v>0.25</v>
      </c>
      <c r="F688" s="4">
        <v>0.21</v>
      </c>
      <c r="G688" s="4">
        <v>0.54</v>
      </c>
      <c r="H688" s="17">
        <f t="shared" si="20"/>
        <v>1.4069044813334735E-5</v>
      </c>
      <c r="L688">
        <f t="shared" si="21"/>
        <v>1.541E-2</v>
      </c>
    </row>
    <row r="689" spans="1:12" x14ac:dyDescent="0.25">
      <c r="A689" s="1">
        <v>688</v>
      </c>
      <c r="B689" s="2">
        <v>3517288</v>
      </c>
      <c r="C689" s="3">
        <v>2.8000000000000001E-2</v>
      </c>
      <c r="D689" s="1">
        <v>0.5</v>
      </c>
      <c r="E689" s="4">
        <v>0.2</v>
      </c>
      <c r="F689" s="4">
        <v>0.21</v>
      </c>
      <c r="G689" s="4">
        <v>0.59000000000000008</v>
      </c>
      <c r="H689" s="17">
        <f t="shared" si="20"/>
        <v>9.9264331536126986E-6</v>
      </c>
      <c r="L689">
        <f t="shared" si="21"/>
        <v>1.4E-2</v>
      </c>
    </row>
    <row r="690" spans="1:12" x14ac:dyDescent="0.25">
      <c r="A690" s="1">
        <v>689</v>
      </c>
      <c r="B690" s="2">
        <v>2758668</v>
      </c>
      <c r="C690" s="3">
        <v>2.1000000000000001E-2</v>
      </c>
      <c r="D690" s="1">
        <v>0.5</v>
      </c>
      <c r="E690" s="4">
        <v>0.24</v>
      </c>
      <c r="F690" s="4">
        <v>0.26</v>
      </c>
      <c r="G690" s="4">
        <v>0.5</v>
      </c>
      <c r="H690" s="17">
        <f t="shared" si="20"/>
        <v>5.8391010691356041E-6</v>
      </c>
      <c r="L690">
        <f t="shared" si="21"/>
        <v>1.0500000000000001E-2</v>
      </c>
    </row>
    <row r="691" spans="1:12" x14ac:dyDescent="0.25">
      <c r="A691" s="1">
        <v>690</v>
      </c>
      <c r="B691" s="2">
        <v>3432718</v>
      </c>
      <c r="C691" s="3">
        <v>1.7999999999999999E-2</v>
      </c>
      <c r="D691" s="1">
        <v>0.5</v>
      </c>
      <c r="E691" s="4">
        <v>0.15</v>
      </c>
      <c r="F691" s="4">
        <v>0.19</v>
      </c>
      <c r="G691" s="4">
        <v>0.66</v>
      </c>
      <c r="H691" s="17">
        <f t="shared" si="20"/>
        <v>6.2278464028419392E-6</v>
      </c>
      <c r="L691">
        <f t="shared" si="21"/>
        <v>8.9999999999999993E-3</v>
      </c>
    </row>
    <row r="692" spans="1:12" x14ac:dyDescent="0.25">
      <c r="A692" s="1">
        <v>691</v>
      </c>
      <c r="B692" s="2">
        <v>4324847</v>
      </c>
      <c r="C692" s="3">
        <v>2.5999999999999999E-2</v>
      </c>
      <c r="D692" s="1">
        <v>0.67</v>
      </c>
      <c r="E692" s="4">
        <v>0.24</v>
      </c>
      <c r="F692" s="4">
        <v>0.2</v>
      </c>
      <c r="G692" s="4">
        <v>0.56000000000000005</v>
      </c>
      <c r="H692" s="17">
        <f t="shared" si="20"/>
        <v>1.5187145545043393E-5</v>
      </c>
      <c r="L692">
        <f t="shared" si="21"/>
        <v>1.7420000000000001E-2</v>
      </c>
    </row>
    <row r="693" spans="1:12" x14ac:dyDescent="0.25">
      <c r="A693" s="1">
        <v>692</v>
      </c>
      <c r="B693" s="2">
        <v>2719521</v>
      </c>
      <c r="C693" s="3">
        <v>3.1E-2</v>
      </c>
      <c r="D693" s="1">
        <v>0.5</v>
      </c>
      <c r="E693" s="4">
        <v>0.23</v>
      </c>
      <c r="F693" s="4">
        <v>0.32</v>
      </c>
      <c r="G693" s="4">
        <v>0.44999999999999996</v>
      </c>
      <c r="H693" s="17">
        <f t="shared" si="20"/>
        <v>8.4973082133036748E-6</v>
      </c>
      <c r="L693">
        <f t="shared" si="21"/>
        <v>1.55E-2</v>
      </c>
    </row>
    <row r="694" spans="1:12" x14ac:dyDescent="0.25">
      <c r="A694" s="1">
        <v>693</v>
      </c>
      <c r="B694" s="2">
        <v>2835894</v>
      </c>
      <c r="C694" s="3">
        <v>0.03</v>
      </c>
      <c r="D694" s="1">
        <v>0.5</v>
      </c>
      <c r="E694" s="4">
        <v>0.19</v>
      </c>
      <c r="F694" s="4">
        <v>0.25</v>
      </c>
      <c r="G694" s="4">
        <v>0.56000000000000005</v>
      </c>
      <c r="H694" s="17">
        <f t="shared" si="20"/>
        <v>8.5750864896470958E-6</v>
      </c>
      <c r="L694">
        <f t="shared" si="21"/>
        <v>1.4999999999999999E-2</v>
      </c>
    </row>
    <row r="695" spans="1:12" x14ac:dyDescent="0.25">
      <c r="A695" s="1">
        <v>694</v>
      </c>
      <c r="B695" s="2">
        <v>3511428</v>
      </c>
      <c r="C695" s="3">
        <v>3.1E-2</v>
      </c>
      <c r="D695" s="1">
        <v>0.5</v>
      </c>
      <c r="E695" s="4">
        <v>0.24</v>
      </c>
      <c r="F695" s="4">
        <v>0.19</v>
      </c>
      <c r="G695" s="4">
        <v>0.57000000000000006</v>
      </c>
      <c r="H695" s="17">
        <f t="shared" si="20"/>
        <v>1.0971669637713588E-5</v>
      </c>
      <c r="L695">
        <f t="shared" si="21"/>
        <v>1.55E-2</v>
      </c>
    </row>
    <row r="696" spans="1:12" x14ac:dyDescent="0.25">
      <c r="A696" s="1">
        <v>695</v>
      </c>
      <c r="B696" s="2">
        <v>3442882</v>
      </c>
      <c r="C696" s="3">
        <v>2.4E-2</v>
      </c>
      <c r="D696" s="1">
        <v>0.5</v>
      </c>
      <c r="E696" s="4">
        <v>0.25</v>
      </c>
      <c r="F696" s="4">
        <v>0.31</v>
      </c>
      <c r="G696" s="4">
        <v>0.43999999999999995</v>
      </c>
      <c r="H696" s="17">
        <f t="shared" si="20"/>
        <v>8.3283820689064323E-6</v>
      </c>
      <c r="L696">
        <f t="shared" si="21"/>
        <v>1.2E-2</v>
      </c>
    </row>
    <row r="697" spans="1:12" x14ac:dyDescent="0.25">
      <c r="A697" s="1">
        <v>696</v>
      </c>
      <c r="B697" s="2">
        <v>2602815</v>
      </c>
      <c r="C697" s="3">
        <v>2.4E-2</v>
      </c>
      <c r="D697" s="1">
        <v>0.5</v>
      </c>
      <c r="E697" s="4">
        <v>0.2</v>
      </c>
      <c r="F697" s="4">
        <v>0.17</v>
      </c>
      <c r="G697" s="4">
        <v>0.62999999999999989</v>
      </c>
      <c r="H697" s="17">
        <f t="shared" si="20"/>
        <v>6.2962476711896301E-6</v>
      </c>
      <c r="L697">
        <f t="shared" si="21"/>
        <v>1.2E-2</v>
      </c>
    </row>
    <row r="698" spans="1:12" x14ac:dyDescent="0.25">
      <c r="A698" s="1">
        <v>697</v>
      </c>
      <c r="B698" s="2">
        <v>3650238</v>
      </c>
      <c r="C698" s="3">
        <v>3.3000000000000002E-2</v>
      </c>
      <c r="D698" s="1">
        <v>0.5</v>
      </c>
      <c r="E698" s="4">
        <v>0.2</v>
      </c>
      <c r="F698" s="4">
        <v>0.35</v>
      </c>
      <c r="G698" s="4">
        <v>0.45</v>
      </c>
      <c r="H698" s="17">
        <f t="shared" si="20"/>
        <v>1.2141221503193025E-5</v>
      </c>
      <c r="L698">
        <f t="shared" si="21"/>
        <v>1.6500000000000001E-2</v>
      </c>
    </row>
    <row r="699" spans="1:12" x14ac:dyDescent="0.25">
      <c r="A699" s="1">
        <v>698</v>
      </c>
      <c r="B699" s="2">
        <v>2004856</v>
      </c>
      <c r="C699" s="3">
        <v>2.1999999999999999E-2</v>
      </c>
      <c r="D699" s="1">
        <v>0.5</v>
      </c>
      <c r="E699" s="4">
        <v>0.18</v>
      </c>
      <c r="F699" s="4">
        <v>0.18</v>
      </c>
      <c r="G699" s="4">
        <v>0.64000000000000012</v>
      </c>
      <c r="H699" s="17">
        <f t="shared" si="20"/>
        <v>4.4456280710108134E-6</v>
      </c>
      <c r="L699">
        <f t="shared" si="21"/>
        <v>1.0999999999999999E-2</v>
      </c>
    </row>
    <row r="700" spans="1:12" x14ac:dyDescent="0.25">
      <c r="A700" s="1">
        <v>699</v>
      </c>
      <c r="B700" s="2">
        <v>4897297</v>
      </c>
      <c r="C700" s="3">
        <v>3.3000000000000002E-2</v>
      </c>
      <c r="D700" s="1">
        <v>0.67</v>
      </c>
      <c r="E700" s="4">
        <v>0.25</v>
      </c>
      <c r="F700" s="4">
        <v>0.28000000000000003</v>
      </c>
      <c r="G700" s="4">
        <v>0.47</v>
      </c>
      <c r="H700" s="17">
        <f t="shared" si="20"/>
        <v>2.1827421840125608E-5</v>
      </c>
      <c r="L700">
        <f t="shared" si="21"/>
        <v>2.2110000000000001E-2</v>
      </c>
    </row>
    <row r="701" spans="1:12" x14ac:dyDescent="0.25">
      <c r="A701" s="1">
        <v>700</v>
      </c>
      <c r="B701" s="2">
        <v>4634710</v>
      </c>
      <c r="C701" s="3">
        <v>3.1E-2</v>
      </c>
      <c r="D701" s="1">
        <v>0.67</v>
      </c>
      <c r="E701" s="4">
        <v>0.18</v>
      </c>
      <c r="F701" s="4">
        <v>0.27</v>
      </c>
      <c r="G701" s="4">
        <v>0.55000000000000004</v>
      </c>
      <c r="H701" s="17">
        <f t="shared" si="20"/>
        <v>1.9405119330954279E-5</v>
      </c>
      <c r="L701">
        <f t="shared" si="21"/>
        <v>2.077E-2</v>
      </c>
    </row>
    <row r="702" spans="1:12" x14ac:dyDescent="0.25">
      <c r="A702" s="1">
        <v>701</v>
      </c>
      <c r="B702" s="2">
        <v>3034282</v>
      </c>
      <c r="C702" s="3">
        <v>3.4000000000000002E-2</v>
      </c>
      <c r="D702" s="1">
        <v>0.5</v>
      </c>
      <c r="E702" s="4">
        <v>0.25</v>
      </c>
      <c r="F702" s="4">
        <v>0.2</v>
      </c>
      <c r="G702" s="4">
        <v>0.55000000000000004</v>
      </c>
      <c r="H702" s="17">
        <f t="shared" si="20"/>
        <v>1.0398294621911099E-5</v>
      </c>
      <c r="L702">
        <f t="shared" si="21"/>
        <v>1.7000000000000001E-2</v>
      </c>
    </row>
    <row r="703" spans="1:12" x14ac:dyDescent="0.25">
      <c r="A703" s="1">
        <v>702</v>
      </c>
      <c r="B703" s="2">
        <v>4143278</v>
      </c>
      <c r="C703" s="3">
        <v>1.7999999999999999E-2</v>
      </c>
      <c r="D703" s="1">
        <v>0.67</v>
      </c>
      <c r="E703" s="4">
        <v>0.16</v>
      </c>
      <c r="F703" s="4">
        <v>0.26</v>
      </c>
      <c r="G703" s="4">
        <v>0.57999999999999996</v>
      </c>
      <c r="H703" s="17">
        <f t="shared" si="20"/>
        <v>1.0072763519836864E-5</v>
      </c>
      <c r="L703">
        <f t="shared" si="21"/>
        <v>1.206E-2</v>
      </c>
    </row>
    <row r="704" spans="1:12" x14ac:dyDescent="0.25">
      <c r="A704" s="1">
        <v>703</v>
      </c>
      <c r="B704" s="2">
        <v>4990356</v>
      </c>
      <c r="C704" s="3">
        <v>3.4000000000000002E-2</v>
      </c>
      <c r="D704" s="1">
        <v>0.67</v>
      </c>
      <c r="E704" s="4">
        <v>0.24</v>
      </c>
      <c r="F704" s="4">
        <v>0.23</v>
      </c>
      <c r="G704" s="4">
        <v>0.53</v>
      </c>
      <c r="H704" s="17">
        <f t="shared" si="20"/>
        <v>2.2916194744370233E-5</v>
      </c>
      <c r="L704">
        <f t="shared" si="21"/>
        <v>2.2780000000000002E-2</v>
      </c>
    </row>
    <row r="705" spans="1:12" x14ac:dyDescent="0.25">
      <c r="A705" s="1">
        <v>704</v>
      </c>
      <c r="B705" s="2">
        <v>2107860</v>
      </c>
      <c r="C705" s="3">
        <v>1.7000000000000001E-2</v>
      </c>
      <c r="D705" s="1">
        <v>0.5</v>
      </c>
      <c r="E705" s="4">
        <v>0.25</v>
      </c>
      <c r="F705" s="4">
        <v>0.27</v>
      </c>
      <c r="G705" s="4">
        <v>0.48</v>
      </c>
      <c r="H705" s="17">
        <f t="shared" si="20"/>
        <v>3.611752187460086E-6</v>
      </c>
      <c r="L705">
        <f t="shared" si="21"/>
        <v>8.5000000000000006E-3</v>
      </c>
    </row>
    <row r="706" spans="1:12" x14ac:dyDescent="0.25">
      <c r="A706" s="1">
        <v>705</v>
      </c>
      <c r="B706" s="2">
        <v>4368396</v>
      </c>
      <c r="C706" s="3">
        <v>3.3000000000000002E-2</v>
      </c>
      <c r="D706" s="1">
        <v>0.67</v>
      </c>
      <c r="E706" s="4">
        <v>0.22</v>
      </c>
      <c r="F706" s="4">
        <v>0.25</v>
      </c>
      <c r="G706" s="4">
        <v>0.53</v>
      </c>
      <c r="H706" s="17">
        <f t="shared" si="20"/>
        <v>1.9470091819368384E-5</v>
      </c>
      <c r="L706">
        <f t="shared" si="21"/>
        <v>2.2110000000000001E-2</v>
      </c>
    </row>
    <row r="707" spans="1:12" x14ac:dyDescent="0.25">
      <c r="A707" s="1">
        <v>706</v>
      </c>
      <c r="B707" s="2">
        <v>3027699</v>
      </c>
      <c r="C707" s="3">
        <v>2.1000000000000001E-2</v>
      </c>
      <c r="D707" s="1">
        <v>0.5</v>
      </c>
      <c r="E707" s="4">
        <v>0.19</v>
      </c>
      <c r="F707" s="4">
        <v>0.27</v>
      </c>
      <c r="G707" s="4">
        <v>0.54</v>
      </c>
      <c r="H707" s="17">
        <f t="shared" ref="H707:H770" si="22">B707*C707*D707/SUM($B$2:$B$1797)</f>
        <v>6.4085422631214766E-6</v>
      </c>
      <c r="L707">
        <f t="shared" ref="L707:L770" si="23">C707*D707</f>
        <v>1.0500000000000001E-2</v>
      </c>
    </row>
    <row r="708" spans="1:12" x14ac:dyDescent="0.25">
      <c r="A708" s="1">
        <v>707</v>
      </c>
      <c r="B708" s="2">
        <v>4703405</v>
      </c>
      <c r="C708" s="3">
        <v>2.4E-2</v>
      </c>
      <c r="D708" s="1">
        <v>0.67</v>
      </c>
      <c r="E708" s="4">
        <v>0.16</v>
      </c>
      <c r="F708" s="4">
        <v>0.27</v>
      </c>
      <c r="G708" s="4">
        <v>0.56999999999999995</v>
      </c>
      <c r="H708" s="17">
        <f t="shared" si="22"/>
        <v>1.5245991636901444E-5</v>
      </c>
      <c r="L708">
        <f t="shared" si="23"/>
        <v>1.6080000000000001E-2</v>
      </c>
    </row>
    <row r="709" spans="1:12" x14ac:dyDescent="0.25">
      <c r="A709" s="1">
        <v>708</v>
      </c>
      <c r="B709" s="2">
        <v>3925652</v>
      </c>
      <c r="C709" s="3">
        <v>2.1999999999999999E-2</v>
      </c>
      <c r="D709" s="1">
        <v>0.5</v>
      </c>
      <c r="E709" s="4">
        <v>0.25</v>
      </c>
      <c r="F709" s="4">
        <v>0.3</v>
      </c>
      <c r="G709" s="4">
        <v>0.44999999999999996</v>
      </c>
      <c r="H709" s="17">
        <f t="shared" si="22"/>
        <v>8.7048589665391135E-6</v>
      </c>
      <c r="L709">
        <f t="shared" si="23"/>
        <v>1.0999999999999999E-2</v>
      </c>
    </row>
    <row r="710" spans="1:12" x14ac:dyDescent="0.25">
      <c r="A710" s="1">
        <v>709</v>
      </c>
      <c r="B710" s="2">
        <v>4167402</v>
      </c>
      <c r="C710" s="3">
        <v>3.2000000000000001E-2</v>
      </c>
      <c r="D710" s="1">
        <v>0.67</v>
      </c>
      <c r="E710" s="4">
        <v>0.22</v>
      </c>
      <c r="F710" s="4">
        <v>0.23</v>
      </c>
      <c r="G710" s="4">
        <v>0.55000000000000004</v>
      </c>
      <c r="H710" s="17">
        <f t="shared" si="22"/>
        <v>1.801139842011092E-5</v>
      </c>
      <c r="L710">
        <f t="shared" si="23"/>
        <v>2.1440000000000001E-2</v>
      </c>
    </row>
    <row r="711" spans="1:12" x14ac:dyDescent="0.25">
      <c r="A711" s="1">
        <v>710</v>
      </c>
      <c r="B711" s="2">
        <v>4696838</v>
      </c>
      <c r="C711" s="3">
        <v>2.4E-2</v>
      </c>
      <c r="D711" s="1">
        <v>0.67</v>
      </c>
      <c r="E711" s="4">
        <v>0.19</v>
      </c>
      <c r="F711" s="4">
        <v>0.34</v>
      </c>
      <c r="G711" s="4">
        <v>0.46999999999999992</v>
      </c>
      <c r="H711" s="17">
        <f t="shared" si="22"/>
        <v>1.5224704839978888E-5</v>
      </c>
      <c r="L711">
        <f t="shared" si="23"/>
        <v>1.6080000000000001E-2</v>
      </c>
    </row>
    <row r="712" spans="1:12" x14ac:dyDescent="0.25">
      <c r="A712" s="1">
        <v>711</v>
      </c>
      <c r="B712" s="2">
        <v>3788459</v>
      </c>
      <c r="C712" s="3">
        <v>2.7E-2</v>
      </c>
      <c r="D712" s="1">
        <v>0.5</v>
      </c>
      <c r="E712" s="4">
        <v>0.23</v>
      </c>
      <c r="F712" s="4">
        <v>0.15</v>
      </c>
      <c r="G712" s="4">
        <v>0.62</v>
      </c>
      <c r="H712" s="17">
        <f t="shared" si="22"/>
        <v>1.0309880139643354E-5</v>
      </c>
      <c r="L712">
        <f t="shared" si="23"/>
        <v>1.35E-2</v>
      </c>
    </row>
    <row r="713" spans="1:12" x14ac:dyDescent="0.25">
      <c r="A713" s="1">
        <v>712</v>
      </c>
      <c r="B713" s="2">
        <v>3980344</v>
      </c>
      <c r="C713" s="3">
        <v>0.02</v>
      </c>
      <c r="D713" s="1">
        <v>0.5</v>
      </c>
      <c r="E713" s="4">
        <v>0.25</v>
      </c>
      <c r="F713" s="4">
        <v>0.19</v>
      </c>
      <c r="G713" s="4">
        <v>0.56000000000000005</v>
      </c>
      <c r="H713" s="17">
        <f t="shared" si="22"/>
        <v>8.0237587767262305E-6</v>
      </c>
      <c r="L713">
        <f t="shared" si="23"/>
        <v>0.01</v>
      </c>
    </row>
    <row r="714" spans="1:12" x14ac:dyDescent="0.25">
      <c r="A714" s="1">
        <v>713</v>
      </c>
      <c r="B714" s="2">
        <v>2460759</v>
      </c>
      <c r="C714" s="3">
        <v>3.5000000000000003E-2</v>
      </c>
      <c r="D714" s="1">
        <v>0.5</v>
      </c>
      <c r="E714" s="4">
        <v>0.17</v>
      </c>
      <c r="F714" s="4">
        <v>0.3</v>
      </c>
      <c r="G714" s="4">
        <v>0.52999999999999992</v>
      </c>
      <c r="H714" s="17">
        <f t="shared" si="22"/>
        <v>8.6808926794773535E-6</v>
      </c>
      <c r="L714">
        <f t="shared" si="23"/>
        <v>1.7500000000000002E-2</v>
      </c>
    </row>
    <row r="715" spans="1:12" x14ac:dyDescent="0.25">
      <c r="A715" s="1">
        <v>714</v>
      </c>
      <c r="B715" s="2">
        <v>4387051</v>
      </c>
      <c r="C715" s="3">
        <v>3.4000000000000002E-2</v>
      </c>
      <c r="D715" s="1">
        <v>0.67</v>
      </c>
      <c r="E715" s="4">
        <v>0.2</v>
      </c>
      <c r="F715" s="4">
        <v>0.31</v>
      </c>
      <c r="G715" s="4">
        <v>0.48999999999999994</v>
      </c>
      <c r="H715" s="17">
        <f t="shared" si="22"/>
        <v>2.0145760156085892E-5</v>
      </c>
      <c r="L715">
        <f t="shared" si="23"/>
        <v>2.2780000000000002E-2</v>
      </c>
    </row>
    <row r="716" spans="1:12" x14ac:dyDescent="0.25">
      <c r="A716" s="1">
        <v>715</v>
      </c>
      <c r="B716" s="2">
        <v>2408203</v>
      </c>
      <c r="C716" s="3">
        <v>0.02</v>
      </c>
      <c r="D716" s="1">
        <v>0.5</v>
      </c>
      <c r="E716" s="4">
        <v>0.15</v>
      </c>
      <c r="F716" s="4">
        <v>0.19</v>
      </c>
      <c r="G716" s="4">
        <v>0.66</v>
      </c>
      <c r="H716" s="17">
        <f t="shared" si="22"/>
        <v>4.8545653233460313E-6</v>
      </c>
      <c r="L716">
        <f t="shared" si="23"/>
        <v>0.01</v>
      </c>
    </row>
    <row r="717" spans="1:12" x14ac:dyDescent="0.25">
      <c r="A717" s="1">
        <v>716</v>
      </c>
      <c r="B717" s="2">
        <v>4013009</v>
      </c>
      <c r="C717" s="3">
        <v>2.1999999999999999E-2</v>
      </c>
      <c r="D717" s="1">
        <v>0.67</v>
      </c>
      <c r="E717" s="4">
        <v>0.23</v>
      </c>
      <c r="F717" s="4">
        <v>0.32</v>
      </c>
      <c r="G717" s="4">
        <v>0.44999999999999996</v>
      </c>
      <c r="H717" s="17">
        <f t="shared" si="22"/>
        <v>1.1924079792209267E-5</v>
      </c>
      <c r="L717">
        <f t="shared" si="23"/>
        <v>1.474E-2</v>
      </c>
    </row>
    <row r="718" spans="1:12" x14ac:dyDescent="0.25">
      <c r="A718" s="1">
        <v>717</v>
      </c>
      <c r="B718" s="2">
        <v>2407573</v>
      </c>
      <c r="C718" s="3">
        <v>1.6E-2</v>
      </c>
      <c r="D718" s="1">
        <v>0.5</v>
      </c>
      <c r="E718" s="4">
        <v>0.25</v>
      </c>
      <c r="F718" s="4">
        <v>0.35</v>
      </c>
      <c r="G718" s="4">
        <v>0.4</v>
      </c>
      <c r="H718" s="17">
        <f t="shared" si="22"/>
        <v>3.8826362725149581E-6</v>
      </c>
      <c r="L718">
        <f t="shared" si="23"/>
        <v>8.0000000000000002E-3</v>
      </c>
    </row>
    <row r="719" spans="1:12" x14ac:dyDescent="0.25">
      <c r="A719" s="1">
        <v>718</v>
      </c>
      <c r="B719" s="2">
        <v>3181832</v>
      </c>
      <c r="C719" s="3">
        <v>0.02</v>
      </c>
      <c r="D719" s="1">
        <v>0.5</v>
      </c>
      <c r="E719" s="4">
        <v>0.24</v>
      </c>
      <c r="F719" s="4">
        <v>0.21</v>
      </c>
      <c r="G719" s="4">
        <v>0.55000000000000004</v>
      </c>
      <c r="H719" s="17">
        <f t="shared" si="22"/>
        <v>6.4140819075105998E-6</v>
      </c>
      <c r="L719">
        <f t="shared" si="23"/>
        <v>0.01</v>
      </c>
    </row>
    <row r="720" spans="1:12" x14ac:dyDescent="0.25">
      <c r="A720" s="1">
        <v>719</v>
      </c>
      <c r="B720" s="2">
        <v>4981607</v>
      </c>
      <c r="C720" s="3">
        <v>2.9000000000000001E-2</v>
      </c>
      <c r="D720" s="1">
        <v>0.67</v>
      </c>
      <c r="E720" s="4">
        <v>0.22</v>
      </c>
      <c r="F720" s="4">
        <v>0.31</v>
      </c>
      <c r="G720" s="4">
        <v>0.47</v>
      </c>
      <c r="H720" s="17">
        <f t="shared" si="22"/>
        <v>1.9511898127965814E-5</v>
      </c>
      <c r="L720">
        <f t="shared" si="23"/>
        <v>1.9430000000000003E-2</v>
      </c>
    </row>
    <row r="721" spans="1:12" x14ac:dyDescent="0.25">
      <c r="A721" s="1">
        <v>720</v>
      </c>
      <c r="B721" s="2">
        <v>2133293</v>
      </c>
      <c r="C721" s="3">
        <v>2.4E-2</v>
      </c>
      <c r="D721" s="1">
        <v>0.5</v>
      </c>
      <c r="E721" s="4">
        <v>0.15</v>
      </c>
      <c r="F721" s="4">
        <v>0.16</v>
      </c>
      <c r="G721" s="4">
        <v>0.69</v>
      </c>
      <c r="H721" s="17">
        <f t="shared" si="22"/>
        <v>5.1604670647799165E-6</v>
      </c>
      <c r="L721">
        <f t="shared" si="23"/>
        <v>1.2E-2</v>
      </c>
    </row>
    <row r="722" spans="1:12" x14ac:dyDescent="0.25">
      <c r="A722" s="1">
        <v>721</v>
      </c>
      <c r="B722" s="2">
        <v>2403856</v>
      </c>
      <c r="C722" s="3">
        <v>2.1999999999999999E-2</v>
      </c>
      <c r="D722" s="1">
        <v>0.5</v>
      </c>
      <c r="E722" s="4">
        <v>0.25</v>
      </c>
      <c r="F722" s="4">
        <v>0.31</v>
      </c>
      <c r="G722" s="4">
        <v>0.43999999999999995</v>
      </c>
      <c r="H722" s="17">
        <f t="shared" si="22"/>
        <v>5.3303826869699212E-6</v>
      </c>
      <c r="L722">
        <f t="shared" si="23"/>
        <v>1.0999999999999999E-2</v>
      </c>
    </row>
    <row r="723" spans="1:12" x14ac:dyDescent="0.25">
      <c r="A723" s="1">
        <v>722</v>
      </c>
      <c r="B723" s="2">
        <v>2093696</v>
      </c>
      <c r="C723" s="3">
        <v>2.3E-2</v>
      </c>
      <c r="D723" s="1">
        <v>0.5</v>
      </c>
      <c r="E723" s="4">
        <v>0.16</v>
      </c>
      <c r="F723" s="4">
        <v>0.19</v>
      </c>
      <c r="G723" s="4">
        <v>0.65</v>
      </c>
      <c r="H723" s="17">
        <f t="shared" si="22"/>
        <v>4.8536529516459108E-6</v>
      </c>
      <c r="L723">
        <f t="shared" si="23"/>
        <v>1.15E-2</v>
      </c>
    </row>
    <row r="724" spans="1:12" x14ac:dyDescent="0.25">
      <c r="A724" s="1">
        <v>723</v>
      </c>
      <c r="B724" s="2">
        <v>2376606</v>
      </c>
      <c r="C724" s="3">
        <v>2.7E-2</v>
      </c>
      <c r="D724" s="1">
        <v>0.5</v>
      </c>
      <c r="E724" s="4">
        <v>0.23</v>
      </c>
      <c r="F724" s="4">
        <v>0.23</v>
      </c>
      <c r="G724" s="4">
        <v>0.54</v>
      </c>
      <c r="H724" s="17">
        <f t="shared" si="22"/>
        <v>6.467675379133636E-6</v>
      </c>
      <c r="L724">
        <f t="shared" si="23"/>
        <v>1.35E-2</v>
      </c>
    </row>
    <row r="725" spans="1:12" x14ac:dyDescent="0.25">
      <c r="A725" s="1">
        <v>724</v>
      </c>
      <c r="B725" s="2">
        <v>3449521</v>
      </c>
      <c r="C725" s="3">
        <v>2.7E-2</v>
      </c>
      <c r="D725" s="1">
        <v>0.5</v>
      </c>
      <c r="E725" s="4">
        <v>0.19</v>
      </c>
      <c r="F725" s="4">
        <v>0.27</v>
      </c>
      <c r="G725" s="4">
        <v>0.54</v>
      </c>
      <c r="H725" s="17">
        <f t="shared" si="22"/>
        <v>9.3874971457214354E-6</v>
      </c>
      <c r="L725">
        <f t="shared" si="23"/>
        <v>1.35E-2</v>
      </c>
    </row>
    <row r="726" spans="1:12" x14ac:dyDescent="0.25">
      <c r="A726" s="1">
        <v>725</v>
      </c>
      <c r="B726" s="2">
        <v>4542248</v>
      </c>
      <c r="C726" s="3">
        <v>2.5999999999999999E-2</v>
      </c>
      <c r="D726" s="1">
        <v>0.67</v>
      </c>
      <c r="E726" s="4">
        <v>0.19</v>
      </c>
      <c r="F726" s="4">
        <v>0.3</v>
      </c>
      <c r="G726" s="4">
        <v>0.51</v>
      </c>
      <c r="H726" s="17">
        <f t="shared" si="22"/>
        <v>1.5950571541070068E-5</v>
      </c>
      <c r="L726">
        <f t="shared" si="23"/>
        <v>1.7420000000000001E-2</v>
      </c>
    </row>
    <row r="727" spans="1:12" x14ac:dyDescent="0.25">
      <c r="A727" s="1">
        <v>726</v>
      </c>
      <c r="B727" s="2">
        <v>2957218</v>
      </c>
      <c r="C727" s="3">
        <v>0.03</v>
      </c>
      <c r="D727" s="1">
        <v>0.5</v>
      </c>
      <c r="E727" s="4">
        <v>0.25</v>
      </c>
      <c r="F727" s="4">
        <v>0.16</v>
      </c>
      <c r="G727" s="4">
        <v>0.59</v>
      </c>
      <c r="H727" s="17">
        <f t="shared" si="22"/>
        <v>8.9419421595945426E-6</v>
      </c>
      <c r="L727">
        <f t="shared" si="23"/>
        <v>1.4999999999999999E-2</v>
      </c>
    </row>
    <row r="728" spans="1:12" x14ac:dyDescent="0.25">
      <c r="A728" s="1">
        <v>727</v>
      </c>
      <c r="B728" s="2">
        <v>3567766</v>
      </c>
      <c r="C728" s="3">
        <v>1.7999999999999999E-2</v>
      </c>
      <c r="D728" s="1">
        <v>0.5</v>
      </c>
      <c r="E728" s="4">
        <v>0.16</v>
      </c>
      <c r="F728" s="4">
        <v>0.21</v>
      </c>
      <c r="G728" s="4">
        <v>0.63</v>
      </c>
      <c r="H728" s="17">
        <f t="shared" si="22"/>
        <v>6.4728587228201603E-6</v>
      </c>
      <c r="L728">
        <f t="shared" si="23"/>
        <v>8.9999999999999993E-3</v>
      </c>
    </row>
    <row r="729" spans="1:12" x14ac:dyDescent="0.25">
      <c r="A729" s="1">
        <v>728</v>
      </c>
      <c r="B729" s="2">
        <v>2837369</v>
      </c>
      <c r="C729" s="3">
        <v>1.7000000000000001E-2</v>
      </c>
      <c r="D729" s="1">
        <v>0.5</v>
      </c>
      <c r="E729" s="4">
        <v>0.24</v>
      </c>
      <c r="F729" s="4">
        <v>0.27</v>
      </c>
      <c r="G729" s="4">
        <v>0.49</v>
      </c>
      <c r="H729" s="17">
        <f t="shared" si="22"/>
        <v>4.8617430438366093E-6</v>
      </c>
      <c r="L729">
        <f t="shared" si="23"/>
        <v>8.5000000000000006E-3</v>
      </c>
    </row>
    <row r="730" spans="1:12" x14ac:dyDescent="0.25">
      <c r="A730" s="1">
        <v>729</v>
      </c>
      <c r="B730" s="2">
        <v>4973974</v>
      </c>
      <c r="C730" s="3">
        <v>3.1E-2</v>
      </c>
      <c r="D730" s="1">
        <v>0.67</v>
      </c>
      <c r="E730" s="4">
        <v>0.15</v>
      </c>
      <c r="F730" s="4">
        <v>0.32</v>
      </c>
      <c r="G730" s="4">
        <v>0.52999999999999992</v>
      </c>
      <c r="H730" s="17">
        <f t="shared" si="22"/>
        <v>2.0825587581329568E-5</v>
      </c>
      <c r="L730">
        <f t="shared" si="23"/>
        <v>2.077E-2</v>
      </c>
    </row>
    <row r="731" spans="1:12" x14ac:dyDescent="0.25">
      <c r="A731" s="1">
        <v>730</v>
      </c>
      <c r="B731" s="2">
        <v>2088545</v>
      </c>
      <c r="C731" s="3">
        <v>1.7999999999999999E-2</v>
      </c>
      <c r="D731" s="1">
        <v>0.5</v>
      </c>
      <c r="E731" s="4">
        <v>0.22</v>
      </c>
      <c r="F731" s="4">
        <v>0.23</v>
      </c>
      <c r="G731" s="4">
        <v>0.55000000000000004</v>
      </c>
      <c r="H731" s="17">
        <f t="shared" si="22"/>
        <v>3.7891657472077573E-6</v>
      </c>
      <c r="L731">
        <f t="shared" si="23"/>
        <v>8.9999999999999993E-3</v>
      </c>
    </row>
    <row r="732" spans="1:12" x14ac:dyDescent="0.25">
      <c r="A732" s="1">
        <v>731</v>
      </c>
      <c r="B732" s="2">
        <v>3959988</v>
      </c>
      <c r="C732" s="3">
        <v>3.4000000000000002E-2</v>
      </c>
      <c r="D732" s="1">
        <v>0.5</v>
      </c>
      <c r="E732" s="4">
        <v>0.16</v>
      </c>
      <c r="F732" s="4">
        <v>0.19</v>
      </c>
      <c r="G732" s="4">
        <v>0.65</v>
      </c>
      <c r="H732" s="17">
        <f t="shared" si="22"/>
        <v>1.3570631181687295E-5</v>
      </c>
      <c r="L732">
        <f t="shared" si="23"/>
        <v>1.7000000000000001E-2</v>
      </c>
    </row>
    <row r="733" spans="1:12" x14ac:dyDescent="0.25">
      <c r="A733" s="1">
        <v>732</v>
      </c>
      <c r="B733" s="2">
        <v>3968495</v>
      </c>
      <c r="C733" s="3">
        <v>1.7999999999999999E-2</v>
      </c>
      <c r="D733" s="1">
        <v>0.5</v>
      </c>
      <c r="E733" s="4">
        <v>0.24</v>
      </c>
      <c r="F733" s="4">
        <v>0.25</v>
      </c>
      <c r="G733" s="4">
        <v>0.51</v>
      </c>
      <c r="H733" s="17">
        <f t="shared" si="22"/>
        <v>7.1998857204251031E-6</v>
      </c>
      <c r="L733">
        <f t="shared" si="23"/>
        <v>8.9999999999999993E-3</v>
      </c>
    </row>
    <row r="734" spans="1:12" x14ac:dyDescent="0.25">
      <c r="A734" s="1">
        <v>733</v>
      </c>
      <c r="B734" s="2">
        <v>3089829</v>
      </c>
      <c r="C734" s="3">
        <v>0.03</v>
      </c>
      <c r="D734" s="1">
        <v>0.5</v>
      </c>
      <c r="E734" s="4">
        <v>0.16</v>
      </c>
      <c r="F734" s="4">
        <v>0.31</v>
      </c>
      <c r="G734" s="4">
        <v>0.52999999999999992</v>
      </c>
      <c r="H734" s="17">
        <f t="shared" si="22"/>
        <v>9.3429271027830356E-6</v>
      </c>
      <c r="L734">
        <f t="shared" si="23"/>
        <v>1.4999999999999999E-2</v>
      </c>
    </row>
    <row r="735" spans="1:12" x14ac:dyDescent="0.25">
      <c r="A735" s="1">
        <v>734</v>
      </c>
      <c r="B735" s="2">
        <v>3875985</v>
      </c>
      <c r="C735" s="3">
        <v>2.5000000000000001E-2</v>
      </c>
      <c r="D735" s="1">
        <v>0.5</v>
      </c>
      <c r="E735" s="4">
        <v>0.17</v>
      </c>
      <c r="F735" s="4">
        <v>0.15</v>
      </c>
      <c r="G735" s="4">
        <v>0.67999999999999994</v>
      </c>
      <c r="H735" s="17">
        <f t="shared" si="22"/>
        <v>9.7667339375092995E-6</v>
      </c>
      <c r="L735">
        <f t="shared" si="23"/>
        <v>1.2500000000000001E-2</v>
      </c>
    </row>
    <row r="736" spans="1:12" x14ac:dyDescent="0.25">
      <c r="A736" s="1">
        <v>735</v>
      </c>
      <c r="B736" s="2">
        <v>4566063</v>
      </c>
      <c r="C736" s="3">
        <v>3.1E-2</v>
      </c>
      <c r="D736" s="1">
        <v>0.67</v>
      </c>
      <c r="E736" s="4">
        <v>0.18</v>
      </c>
      <c r="F736" s="4">
        <v>0.34</v>
      </c>
      <c r="G736" s="4">
        <v>0.47999999999999993</v>
      </c>
      <c r="H736" s="17">
        <f t="shared" si="22"/>
        <v>1.9117700435983069E-5</v>
      </c>
      <c r="L736">
        <f t="shared" si="23"/>
        <v>2.077E-2</v>
      </c>
    </row>
    <row r="737" spans="1:12" x14ac:dyDescent="0.25">
      <c r="A737" s="1">
        <v>736</v>
      </c>
      <c r="B737" s="2">
        <v>4498987</v>
      </c>
      <c r="C737" s="3">
        <v>0.03</v>
      </c>
      <c r="D737" s="1">
        <v>0.67</v>
      </c>
      <c r="E737" s="4">
        <v>0.16</v>
      </c>
      <c r="F737" s="4">
        <v>0.16</v>
      </c>
      <c r="G737" s="4">
        <v>0.67999999999999994</v>
      </c>
      <c r="H737" s="17">
        <f t="shared" si="22"/>
        <v>1.822921855988595E-5</v>
      </c>
      <c r="L737">
        <f t="shared" si="23"/>
        <v>2.01E-2</v>
      </c>
    </row>
    <row r="738" spans="1:12" x14ac:dyDescent="0.25">
      <c r="A738" s="1">
        <v>737</v>
      </c>
      <c r="B738" s="2">
        <v>2843783</v>
      </c>
      <c r="C738" s="3">
        <v>1.9E-2</v>
      </c>
      <c r="D738" s="1">
        <v>0.5</v>
      </c>
      <c r="E738" s="4">
        <v>0.17</v>
      </c>
      <c r="F738" s="4">
        <v>0.28999999999999998</v>
      </c>
      <c r="G738" s="4">
        <v>0.53999999999999992</v>
      </c>
      <c r="H738" s="17">
        <f t="shared" si="22"/>
        <v>5.4459959654459778E-6</v>
      </c>
      <c r="L738">
        <f t="shared" si="23"/>
        <v>9.4999999999999998E-3</v>
      </c>
    </row>
    <row r="739" spans="1:12" x14ac:dyDescent="0.25">
      <c r="A739" s="1">
        <v>738</v>
      </c>
      <c r="B739" s="2">
        <v>4209744</v>
      </c>
      <c r="C739" s="3">
        <v>2.5000000000000001E-2</v>
      </c>
      <c r="D739" s="1">
        <v>0.67</v>
      </c>
      <c r="E739" s="4">
        <v>0.2</v>
      </c>
      <c r="F739" s="4">
        <v>0.15</v>
      </c>
      <c r="G739" s="4">
        <v>0.64999999999999991</v>
      </c>
      <c r="H739" s="17">
        <f t="shared" si="22"/>
        <v>1.4214374527934204E-5</v>
      </c>
      <c r="L739">
        <f t="shared" si="23"/>
        <v>1.6750000000000001E-2</v>
      </c>
    </row>
    <row r="740" spans="1:12" x14ac:dyDescent="0.25">
      <c r="A740" s="1">
        <v>739</v>
      </c>
      <c r="B740" s="2">
        <v>4462204</v>
      </c>
      <c r="C740" s="3">
        <v>2.4E-2</v>
      </c>
      <c r="D740" s="1">
        <v>0.67</v>
      </c>
      <c r="E740" s="4">
        <v>0.15</v>
      </c>
      <c r="F740" s="4">
        <v>0.33</v>
      </c>
      <c r="G740" s="4">
        <v>0.51999999999999991</v>
      </c>
      <c r="H740" s="17">
        <f t="shared" si="22"/>
        <v>1.4464143501601111E-5</v>
      </c>
      <c r="L740">
        <f t="shared" si="23"/>
        <v>1.6080000000000001E-2</v>
      </c>
    </row>
    <row r="741" spans="1:12" x14ac:dyDescent="0.25">
      <c r="A741" s="1">
        <v>740</v>
      </c>
      <c r="B741" s="2">
        <v>3756924</v>
      </c>
      <c r="C741" s="3">
        <v>1.4999999999999999E-2</v>
      </c>
      <c r="D741" s="1">
        <v>0.5</v>
      </c>
      <c r="E741" s="4">
        <v>0.17</v>
      </c>
      <c r="F741" s="4">
        <v>0.19</v>
      </c>
      <c r="G741" s="4">
        <v>0.64</v>
      </c>
      <c r="H741" s="17">
        <f t="shared" si="22"/>
        <v>5.6800339214073106E-6</v>
      </c>
      <c r="L741">
        <f t="shared" si="23"/>
        <v>7.4999999999999997E-3</v>
      </c>
    </row>
    <row r="742" spans="1:12" x14ac:dyDescent="0.25">
      <c r="A742" s="1">
        <v>741</v>
      </c>
      <c r="B742" s="2">
        <v>2611642</v>
      </c>
      <c r="C742" s="3">
        <v>2.5000000000000001E-2</v>
      </c>
      <c r="D742" s="1">
        <v>0.5</v>
      </c>
      <c r="E742" s="4">
        <v>0.18</v>
      </c>
      <c r="F742" s="4">
        <v>0.27</v>
      </c>
      <c r="G742" s="4">
        <v>0.55000000000000004</v>
      </c>
      <c r="H742" s="17">
        <f t="shared" si="22"/>
        <v>6.5808336600953474E-6</v>
      </c>
      <c r="L742">
        <f t="shared" si="23"/>
        <v>1.2500000000000001E-2</v>
      </c>
    </row>
    <row r="743" spans="1:12" x14ac:dyDescent="0.25">
      <c r="A743" s="1">
        <v>742</v>
      </c>
      <c r="B743" s="2">
        <v>4544266</v>
      </c>
      <c r="C743" s="3">
        <v>1.7999999999999999E-2</v>
      </c>
      <c r="D743" s="1">
        <v>0.67</v>
      </c>
      <c r="E743" s="4">
        <v>0.15</v>
      </c>
      <c r="F743" s="4">
        <v>0.33</v>
      </c>
      <c r="G743" s="4">
        <v>0.51999999999999991</v>
      </c>
      <c r="H743" s="17">
        <f t="shared" si="22"/>
        <v>1.1047609354051305E-5</v>
      </c>
      <c r="L743">
        <f t="shared" si="23"/>
        <v>1.206E-2</v>
      </c>
    </row>
    <row r="744" spans="1:12" x14ac:dyDescent="0.25">
      <c r="A744" s="1">
        <v>743</v>
      </c>
      <c r="B744" s="2">
        <v>4433689</v>
      </c>
      <c r="C744" s="3">
        <v>1.9E-2</v>
      </c>
      <c r="D744" s="1">
        <v>0.67</v>
      </c>
      <c r="E744" s="4">
        <v>0.24</v>
      </c>
      <c r="F744" s="4">
        <v>0.26</v>
      </c>
      <c r="G744" s="4">
        <v>0.5</v>
      </c>
      <c r="H744" s="17">
        <f t="shared" si="22"/>
        <v>1.13776058947172E-5</v>
      </c>
      <c r="L744">
        <f t="shared" si="23"/>
        <v>1.273E-2</v>
      </c>
    </row>
    <row r="745" spans="1:12" x14ac:dyDescent="0.25">
      <c r="A745" s="1">
        <v>744</v>
      </c>
      <c r="B745" s="2">
        <v>2083580</v>
      </c>
      <c r="C745" s="3">
        <v>1.6E-2</v>
      </c>
      <c r="D745" s="1">
        <v>0.5</v>
      </c>
      <c r="E745" s="4">
        <v>0.19</v>
      </c>
      <c r="F745" s="4">
        <v>0.34</v>
      </c>
      <c r="G745" s="4">
        <v>0.46999999999999992</v>
      </c>
      <c r="H745" s="17">
        <f t="shared" si="22"/>
        <v>3.3601403922899599E-6</v>
      </c>
      <c r="L745">
        <f t="shared" si="23"/>
        <v>8.0000000000000002E-3</v>
      </c>
    </row>
    <row r="746" spans="1:12" x14ac:dyDescent="0.25">
      <c r="A746" s="1">
        <v>745</v>
      </c>
      <c r="B746" s="2">
        <v>2979406</v>
      </c>
      <c r="C746" s="3">
        <v>2.5999999999999999E-2</v>
      </c>
      <c r="D746" s="1">
        <v>0.5</v>
      </c>
      <c r="E746" s="4">
        <v>0.22</v>
      </c>
      <c r="F746" s="4">
        <v>0.24</v>
      </c>
      <c r="G746" s="4">
        <v>0.54</v>
      </c>
      <c r="H746" s="17">
        <f t="shared" si="22"/>
        <v>7.8078290606314495E-6</v>
      </c>
      <c r="L746">
        <f t="shared" si="23"/>
        <v>1.2999999999999999E-2</v>
      </c>
    </row>
    <row r="747" spans="1:12" x14ac:dyDescent="0.25">
      <c r="A747" s="1">
        <v>746</v>
      </c>
      <c r="B747" s="2">
        <v>3143108</v>
      </c>
      <c r="C747" s="3">
        <v>1.7000000000000001E-2</v>
      </c>
      <c r="D747" s="1">
        <v>0.5</v>
      </c>
      <c r="E747" s="4">
        <v>0.17</v>
      </c>
      <c r="F747" s="4">
        <v>0.16</v>
      </c>
      <c r="G747" s="4">
        <v>0.66999999999999993</v>
      </c>
      <c r="H747" s="17">
        <f t="shared" si="22"/>
        <v>5.3856172584627513E-6</v>
      </c>
      <c r="L747">
        <f t="shared" si="23"/>
        <v>8.5000000000000006E-3</v>
      </c>
    </row>
    <row r="748" spans="1:12" x14ac:dyDescent="0.25">
      <c r="A748" s="1">
        <v>747</v>
      </c>
      <c r="B748" s="2">
        <v>3584049</v>
      </c>
      <c r="C748" s="3">
        <v>1.6E-2</v>
      </c>
      <c r="D748" s="1">
        <v>0.5</v>
      </c>
      <c r="E748" s="4">
        <v>0.25</v>
      </c>
      <c r="F748" s="4">
        <v>0.33</v>
      </c>
      <c r="G748" s="4">
        <v>0.41999999999999993</v>
      </c>
      <c r="H748" s="17">
        <f t="shared" si="22"/>
        <v>5.7799114086555063E-6</v>
      </c>
      <c r="L748">
        <f t="shared" si="23"/>
        <v>8.0000000000000002E-3</v>
      </c>
    </row>
    <row r="749" spans="1:12" x14ac:dyDescent="0.25">
      <c r="A749" s="1">
        <v>748</v>
      </c>
      <c r="B749" s="2">
        <v>4707589</v>
      </c>
      <c r="C749" s="3">
        <v>1.9E-2</v>
      </c>
      <c r="D749" s="1">
        <v>0.67</v>
      </c>
      <c r="E749" s="4">
        <v>0.15</v>
      </c>
      <c r="F749" s="4">
        <v>0.33</v>
      </c>
      <c r="G749" s="4">
        <v>0.51999999999999991</v>
      </c>
      <c r="H749" s="17">
        <f t="shared" si="22"/>
        <v>1.2080480240338429E-5</v>
      </c>
      <c r="L749">
        <f t="shared" si="23"/>
        <v>1.273E-2</v>
      </c>
    </row>
    <row r="750" spans="1:12" x14ac:dyDescent="0.25">
      <c r="A750" s="1">
        <v>749</v>
      </c>
      <c r="B750" s="2">
        <v>1855379</v>
      </c>
      <c r="C750" s="3">
        <v>3.2000000000000001E-2</v>
      </c>
      <c r="D750" s="1">
        <v>0.5</v>
      </c>
      <c r="E750" s="4">
        <v>0.25</v>
      </c>
      <c r="F750" s="4">
        <v>0.16</v>
      </c>
      <c r="G750" s="4">
        <v>0.59</v>
      </c>
      <c r="H750" s="17">
        <f t="shared" si="22"/>
        <v>5.9842520286301024E-6</v>
      </c>
      <c r="L750">
        <f t="shared" si="23"/>
        <v>1.6E-2</v>
      </c>
    </row>
    <row r="751" spans="1:12" x14ac:dyDescent="0.25">
      <c r="A751" s="1">
        <v>750</v>
      </c>
      <c r="B751" s="2">
        <v>1844622</v>
      </c>
      <c r="C751" s="3">
        <v>2.1999999999999999E-2</v>
      </c>
      <c r="D751" s="1">
        <v>0.5</v>
      </c>
      <c r="E751" s="4">
        <v>0.17</v>
      </c>
      <c r="F751" s="4">
        <v>0.22</v>
      </c>
      <c r="G751" s="4">
        <v>0.61</v>
      </c>
      <c r="H751" s="17">
        <f t="shared" si="22"/>
        <v>4.0903203739341424E-6</v>
      </c>
      <c r="L751">
        <f t="shared" si="23"/>
        <v>1.0999999999999999E-2</v>
      </c>
    </row>
    <row r="752" spans="1:12" x14ac:dyDescent="0.25">
      <c r="A752" s="1">
        <v>751</v>
      </c>
      <c r="B752" s="2">
        <v>1041834</v>
      </c>
      <c r="C752" s="3">
        <v>1.9E-2</v>
      </c>
      <c r="D752" s="1">
        <v>0.5</v>
      </c>
      <c r="E752" s="4">
        <v>0.15</v>
      </c>
      <c r="F752" s="4">
        <v>0.21</v>
      </c>
      <c r="G752" s="4">
        <v>0.64</v>
      </c>
      <c r="H752" s="17">
        <f t="shared" si="22"/>
        <v>1.9951676202665408E-6</v>
      </c>
      <c r="L752">
        <f t="shared" si="23"/>
        <v>9.4999999999999998E-3</v>
      </c>
    </row>
    <row r="753" spans="1:12" x14ac:dyDescent="0.25">
      <c r="A753" s="1">
        <v>752</v>
      </c>
      <c r="B753" s="2">
        <v>1975306</v>
      </c>
      <c r="C753" s="3">
        <v>3.2000000000000001E-2</v>
      </c>
      <c r="D753" s="1">
        <v>0.5</v>
      </c>
      <c r="E753" s="4">
        <v>0.19</v>
      </c>
      <c r="F753" s="4">
        <v>0.28000000000000003</v>
      </c>
      <c r="G753" s="4">
        <v>0.53</v>
      </c>
      <c r="H753" s="17">
        <f t="shared" si="22"/>
        <v>6.371058925246655E-6</v>
      </c>
      <c r="L753">
        <f t="shared" si="23"/>
        <v>1.6E-2</v>
      </c>
    </row>
    <row r="754" spans="1:12" x14ac:dyDescent="0.25">
      <c r="A754" s="1">
        <v>753</v>
      </c>
      <c r="B754" s="2">
        <v>1388430</v>
      </c>
      <c r="C754" s="3">
        <v>2.4E-2</v>
      </c>
      <c r="D754" s="1">
        <v>0.5</v>
      </c>
      <c r="E754" s="4">
        <v>0.23</v>
      </c>
      <c r="F754" s="4">
        <v>0.21</v>
      </c>
      <c r="G754" s="4">
        <v>0.56000000000000005</v>
      </c>
      <c r="H754" s="17">
        <f t="shared" si="22"/>
        <v>3.3586325398116341E-6</v>
      </c>
      <c r="L754">
        <f t="shared" si="23"/>
        <v>1.2E-2</v>
      </c>
    </row>
    <row r="755" spans="1:12" x14ac:dyDescent="0.25">
      <c r="A755" s="1">
        <v>754</v>
      </c>
      <c r="B755" s="2">
        <v>1617221</v>
      </c>
      <c r="C755" s="3">
        <v>0.02</v>
      </c>
      <c r="D755" s="1">
        <v>0.5</v>
      </c>
      <c r="E755" s="4">
        <v>0.16</v>
      </c>
      <c r="F755" s="4">
        <v>0.18</v>
      </c>
      <c r="G755" s="4">
        <v>0.66</v>
      </c>
      <c r="H755" s="17">
        <f t="shared" si="22"/>
        <v>3.2600677711916281E-6</v>
      </c>
      <c r="L755">
        <f t="shared" si="23"/>
        <v>0.01</v>
      </c>
    </row>
    <row r="756" spans="1:12" x14ac:dyDescent="0.25">
      <c r="A756" s="1">
        <v>755</v>
      </c>
      <c r="B756" s="2">
        <v>1170980</v>
      </c>
      <c r="C756" s="3">
        <v>2.9000000000000001E-2</v>
      </c>
      <c r="D756" s="1">
        <v>0.5</v>
      </c>
      <c r="E756" s="4">
        <v>0.15</v>
      </c>
      <c r="F756" s="4">
        <v>0.33</v>
      </c>
      <c r="G756" s="4">
        <v>0.51999999999999991</v>
      </c>
      <c r="H756" s="17">
        <f t="shared" si="22"/>
        <v>3.4227465078238904E-6</v>
      </c>
      <c r="L756">
        <f t="shared" si="23"/>
        <v>1.4500000000000001E-2</v>
      </c>
    </row>
    <row r="757" spans="1:12" x14ac:dyDescent="0.25">
      <c r="A757" s="1">
        <v>756</v>
      </c>
      <c r="B757" s="2">
        <v>1273330</v>
      </c>
      <c r="C757" s="3">
        <v>1.4999999999999999E-2</v>
      </c>
      <c r="D757" s="1">
        <v>0.5</v>
      </c>
      <c r="E757" s="4">
        <v>0.16</v>
      </c>
      <c r="F757" s="4">
        <v>0.25</v>
      </c>
      <c r="G757" s="4">
        <v>0.59</v>
      </c>
      <c r="H757" s="17">
        <f t="shared" si="22"/>
        <v>1.9251274694791725E-6</v>
      </c>
      <c r="L757">
        <f t="shared" si="23"/>
        <v>7.4999999999999997E-3</v>
      </c>
    </row>
    <row r="758" spans="1:12" x14ac:dyDescent="0.25">
      <c r="A758" s="1">
        <v>757</v>
      </c>
      <c r="B758" s="2">
        <v>1017835</v>
      </c>
      <c r="C758" s="3">
        <v>2.9000000000000001E-2</v>
      </c>
      <c r="D758" s="1">
        <v>0.5</v>
      </c>
      <c r="E758" s="4">
        <v>0.17</v>
      </c>
      <c r="F758" s="4">
        <v>0.28999999999999998</v>
      </c>
      <c r="G758" s="4">
        <v>0.53999999999999992</v>
      </c>
      <c r="H758" s="17">
        <f t="shared" si="22"/>
        <v>2.9751073389732784E-6</v>
      </c>
      <c r="L758">
        <f t="shared" si="23"/>
        <v>1.4500000000000001E-2</v>
      </c>
    </row>
    <row r="759" spans="1:12" x14ac:dyDescent="0.25">
      <c r="A759" s="1">
        <v>758</v>
      </c>
      <c r="B759" s="2">
        <v>1225982</v>
      </c>
      <c r="C759" s="3">
        <v>0.02</v>
      </c>
      <c r="D759" s="1">
        <v>0.5</v>
      </c>
      <c r="E759" s="4">
        <v>0.24</v>
      </c>
      <c r="F759" s="4">
        <v>0.17</v>
      </c>
      <c r="G759" s="4">
        <v>0.59</v>
      </c>
      <c r="H759" s="17">
        <f t="shared" si="22"/>
        <v>2.4713903704323986E-6</v>
      </c>
      <c r="L759">
        <f t="shared" si="23"/>
        <v>0.01</v>
      </c>
    </row>
    <row r="760" spans="1:12" x14ac:dyDescent="0.25">
      <c r="A760" s="1">
        <v>759</v>
      </c>
      <c r="B760" s="2">
        <v>1544484</v>
      </c>
      <c r="C760" s="3">
        <v>0.03</v>
      </c>
      <c r="D760" s="1">
        <v>0.5</v>
      </c>
      <c r="E760" s="4">
        <v>0.25</v>
      </c>
      <c r="F760" s="4">
        <v>0.33</v>
      </c>
      <c r="G760" s="4">
        <v>0.41999999999999993</v>
      </c>
      <c r="H760" s="17">
        <f t="shared" si="22"/>
        <v>4.6701618191216258E-6</v>
      </c>
      <c r="L760">
        <f t="shared" si="23"/>
        <v>1.4999999999999999E-2</v>
      </c>
    </row>
    <row r="761" spans="1:12" x14ac:dyDescent="0.25">
      <c r="A761" s="1">
        <v>760</v>
      </c>
      <c r="B761" s="2">
        <v>1252036</v>
      </c>
      <c r="C761" s="3">
        <v>2.9000000000000001E-2</v>
      </c>
      <c r="D761" s="1">
        <v>0.5</v>
      </c>
      <c r="E761" s="4">
        <v>0.17</v>
      </c>
      <c r="F761" s="4">
        <v>0.32</v>
      </c>
      <c r="G761" s="4">
        <v>0.5099999999999999</v>
      </c>
      <c r="H761" s="17">
        <f t="shared" si="22"/>
        <v>3.6596712554183613E-6</v>
      </c>
      <c r="L761">
        <f t="shared" si="23"/>
        <v>1.4500000000000001E-2</v>
      </c>
    </row>
    <row r="762" spans="1:12" x14ac:dyDescent="0.25">
      <c r="A762" s="1">
        <v>761</v>
      </c>
      <c r="B762" s="2">
        <v>1994172</v>
      </c>
      <c r="C762" s="3">
        <v>3.1E-2</v>
      </c>
      <c r="D762" s="1">
        <v>0.5</v>
      </c>
      <c r="E762" s="4">
        <v>0.15</v>
      </c>
      <c r="F762" s="4">
        <v>0.24</v>
      </c>
      <c r="G762" s="4">
        <v>0.61</v>
      </c>
      <c r="H762" s="17">
        <f t="shared" si="22"/>
        <v>6.2309112944302381E-6</v>
      </c>
      <c r="L762">
        <f t="shared" si="23"/>
        <v>1.55E-2</v>
      </c>
    </row>
    <row r="763" spans="1:12" x14ac:dyDescent="0.25">
      <c r="A763" s="1">
        <v>762</v>
      </c>
      <c r="B763" s="2">
        <v>1353946</v>
      </c>
      <c r="C763" s="3">
        <v>3.5000000000000003E-2</v>
      </c>
      <c r="D763" s="1">
        <v>0.5</v>
      </c>
      <c r="E763" s="4">
        <v>0.23</v>
      </c>
      <c r="F763" s="4">
        <v>0.2</v>
      </c>
      <c r="G763" s="4">
        <v>0.57000000000000006</v>
      </c>
      <c r="H763" s="17">
        <f t="shared" si="22"/>
        <v>4.7763555552606519E-6</v>
      </c>
      <c r="L763">
        <f t="shared" si="23"/>
        <v>1.7500000000000002E-2</v>
      </c>
    </row>
    <row r="764" spans="1:12" x14ac:dyDescent="0.25">
      <c r="A764" s="1">
        <v>763</v>
      </c>
      <c r="B764" s="2">
        <v>1663696</v>
      </c>
      <c r="C764" s="3">
        <v>2.7E-2</v>
      </c>
      <c r="D764" s="1">
        <v>0.5</v>
      </c>
      <c r="E764" s="4">
        <v>0.16</v>
      </c>
      <c r="F764" s="4">
        <v>0.31</v>
      </c>
      <c r="G764" s="4">
        <v>0.52999999999999992</v>
      </c>
      <c r="H764" s="17">
        <f t="shared" si="22"/>
        <v>4.5275681613036042E-6</v>
      </c>
      <c r="L764">
        <f t="shared" si="23"/>
        <v>1.35E-2</v>
      </c>
    </row>
    <row r="765" spans="1:12" x14ac:dyDescent="0.25">
      <c r="A765" s="1">
        <v>764</v>
      </c>
      <c r="B765" s="2">
        <v>1017364</v>
      </c>
      <c r="C765" s="3">
        <v>2.1999999999999999E-2</v>
      </c>
      <c r="D765" s="1">
        <v>0.5</v>
      </c>
      <c r="E765" s="4">
        <v>0.16</v>
      </c>
      <c r="F765" s="4">
        <v>0.27</v>
      </c>
      <c r="G765" s="4">
        <v>0.56999999999999995</v>
      </c>
      <c r="H765" s="17">
        <f t="shared" si="22"/>
        <v>2.2559335717058209E-6</v>
      </c>
      <c r="L765">
        <f t="shared" si="23"/>
        <v>1.0999999999999999E-2</v>
      </c>
    </row>
    <row r="766" spans="1:12" x14ac:dyDescent="0.25">
      <c r="A766" s="1">
        <v>765</v>
      </c>
      <c r="B766" s="2">
        <v>1877040</v>
      </c>
      <c r="C766" s="3">
        <v>1.7999999999999999E-2</v>
      </c>
      <c r="D766" s="1">
        <v>0.5</v>
      </c>
      <c r="E766" s="4">
        <v>0.22</v>
      </c>
      <c r="F766" s="4">
        <v>0.24</v>
      </c>
      <c r="G766" s="4">
        <v>0.54</v>
      </c>
      <c r="H766" s="17">
        <f t="shared" si="22"/>
        <v>3.4054404736976449E-6</v>
      </c>
      <c r="L766">
        <f t="shared" si="23"/>
        <v>8.9999999999999993E-3</v>
      </c>
    </row>
    <row r="767" spans="1:12" x14ac:dyDescent="0.25">
      <c r="A767" s="1">
        <v>766</v>
      </c>
      <c r="B767" s="2">
        <v>1389613</v>
      </c>
      <c r="C767" s="3">
        <v>3.5000000000000003E-2</v>
      </c>
      <c r="D767" s="1">
        <v>0.5</v>
      </c>
      <c r="E767" s="4">
        <v>0.19</v>
      </c>
      <c r="F767" s="4">
        <v>0.32</v>
      </c>
      <c r="G767" s="4">
        <v>0.48999999999999994</v>
      </c>
      <c r="H767" s="17">
        <f t="shared" si="22"/>
        <v>4.9021790914943571E-6</v>
      </c>
      <c r="L767">
        <f t="shared" si="23"/>
        <v>1.7500000000000002E-2</v>
      </c>
    </row>
    <row r="768" spans="1:12" x14ac:dyDescent="0.25">
      <c r="A768" s="1">
        <v>767</v>
      </c>
      <c r="B768" s="2">
        <v>1787307</v>
      </c>
      <c r="C768" s="3">
        <v>1.9E-2</v>
      </c>
      <c r="D768" s="1">
        <v>0.5</v>
      </c>
      <c r="E768" s="4">
        <v>0.16</v>
      </c>
      <c r="F768" s="4">
        <v>0.34</v>
      </c>
      <c r="G768" s="4">
        <v>0.49999999999999989</v>
      </c>
      <c r="H768" s="17">
        <f t="shared" si="22"/>
        <v>3.4227881350346893E-6</v>
      </c>
      <c r="L768">
        <f t="shared" si="23"/>
        <v>9.4999999999999998E-3</v>
      </c>
    </row>
    <row r="769" spans="1:12" x14ac:dyDescent="0.25">
      <c r="A769" s="1">
        <v>768</v>
      </c>
      <c r="B769" s="2">
        <v>1818917</v>
      </c>
      <c r="C769" s="3">
        <v>2.9000000000000001E-2</v>
      </c>
      <c r="D769" s="1">
        <v>0.5</v>
      </c>
      <c r="E769" s="4">
        <v>0.25</v>
      </c>
      <c r="F769" s="4">
        <v>0.28999999999999998</v>
      </c>
      <c r="G769" s="4">
        <v>0.45999999999999996</v>
      </c>
      <c r="H769" s="17">
        <f t="shared" si="22"/>
        <v>5.3166508478125227E-6</v>
      </c>
      <c r="L769">
        <f t="shared" si="23"/>
        <v>1.4500000000000001E-2</v>
      </c>
    </row>
    <row r="770" spans="1:12" x14ac:dyDescent="0.25">
      <c r="A770" s="1">
        <v>769</v>
      </c>
      <c r="B770" s="2">
        <v>1821241</v>
      </c>
      <c r="C770" s="3">
        <v>3.1E-2</v>
      </c>
      <c r="D770" s="1">
        <v>0.5</v>
      </c>
      <c r="E770" s="4">
        <v>0.21</v>
      </c>
      <c r="F770" s="4">
        <v>0.32</v>
      </c>
      <c r="G770" s="4">
        <v>0.47</v>
      </c>
      <c r="H770" s="17">
        <f t="shared" si="22"/>
        <v>5.6905779023972964E-6</v>
      </c>
      <c r="L770">
        <f t="shared" si="23"/>
        <v>1.55E-2</v>
      </c>
    </row>
    <row r="771" spans="1:12" x14ac:dyDescent="0.25">
      <c r="A771" s="1">
        <v>770</v>
      </c>
      <c r="B771" s="2">
        <v>1851365</v>
      </c>
      <c r="C771" s="3">
        <v>1.9E-2</v>
      </c>
      <c r="D771" s="1">
        <v>0.5</v>
      </c>
      <c r="E771" s="4">
        <v>0.22</v>
      </c>
      <c r="F771" s="4">
        <v>0.22</v>
      </c>
      <c r="G771" s="4">
        <v>0.56000000000000005</v>
      </c>
      <c r="H771" s="17">
        <f t="shared" ref="H771:H834" si="24">B771*C771*D771/SUM($B$2:$B$1797)</f>
        <v>3.5454626181279976E-6</v>
      </c>
      <c r="L771">
        <f t="shared" ref="L771:L834" si="25">C771*D771</f>
        <v>9.4999999999999998E-3</v>
      </c>
    </row>
    <row r="772" spans="1:12" x14ac:dyDescent="0.25">
      <c r="A772" s="1">
        <v>771</v>
      </c>
      <c r="B772" s="2">
        <v>1456204</v>
      </c>
      <c r="C772" s="3">
        <v>1.9E-2</v>
      </c>
      <c r="D772" s="1">
        <v>0.5</v>
      </c>
      <c r="E772" s="4">
        <v>0.25</v>
      </c>
      <c r="F772" s="4">
        <v>0.25</v>
      </c>
      <c r="G772" s="4">
        <v>0.5</v>
      </c>
      <c r="H772" s="17">
        <f t="shared" si="24"/>
        <v>2.7887082484374844E-6</v>
      </c>
      <c r="L772">
        <f t="shared" si="25"/>
        <v>9.4999999999999998E-3</v>
      </c>
    </row>
    <row r="773" spans="1:12" x14ac:dyDescent="0.25">
      <c r="A773" s="1">
        <v>772</v>
      </c>
      <c r="B773" s="2">
        <v>1651803</v>
      </c>
      <c r="C773" s="3">
        <v>1.4999999999999999E-2</v>
      </c>
      <c r="D773" s="1">
        <v>0.5</v>
      </c>
      <c r="E773" s="4">
        <v>0.19</v>
      </c>
      <c r="F773" s="4">
        <v>0.2</v>
      </c>
      <c r="G773" s="4">
        <v>0.6100000000000001</v>
      </c>
      <c r="H773" s="17">
        <f t="shared" si="24"/>
        <v>2.4973348067414618E-6</v>
      </c>
      <c r="L773">
        <f t="shared" si="25"/>
        <v>7.4999999999999997E-3</v>
      </c>
    </row>
    <row r="774" spans="1:12" x14ac:dyDescent="0.25">
      <c r="A774" s="1">
        <v>773</v>
      </c>
      <c r="B774" s="2">
        <v>1759705</v>
      </c>
      <c r="C774" s="3">
        <v>3.4000000000000002E-2</v>
      </c>
      <c r="D774" s="1">
        <v>0.5</v>
      </c>
      <c r="E774" s="4">
        <v>0.21</v>
      </c>
      <c r="F774" s="4">
        <v>0.32</v>
      </c>
      <c r="G774" s="4">
        <v>0.47</v>
      </c>
      <c r="H774" s="17">
        <f t="shared" si="24"/>
        <v>6.0303989667572328E-6</v>
      </c>
      <c r="L774">
        <f t="shared" si="25"/>
        <v>1.7000000000000001E-2</v>
      </c>
    </row>
    <row r="775" spans="1:12" x14ac:dyDescent="0.25">
      <c r="A775" s="1">
        <v>774</v>
      </c>
      <c r="B775" s="2">
        <v>1347301</v>
      </c>
      <c r="C775" s="3">
        <v>1.7999999999999999E-2</v>
      </c>
      <c r="D775" s="1">
        <v>0.5</v>
      </c>
      <c r="E775" s="4">
        <v>0.25</v>
      </c>
      <c r="F775" s="4">
        <v>0.17</v>
      </c>
      <c r="G775" s="4">
        <v>0.57999999999999996</v>
      </c>
      <c r="H775" s="17">
        <f t="shared" si="24"/>
        <v>2.44435566405261E-6</v>
      </c>
      <c r="L775">
        <f t="shared" si="25"/>
        <v>8.9999999999999993E-3</v>
      </c>
    </row>
    <row r="776" spans="1:12" x14ac:dyDescent="0.25">
      <c r="A776" s="1">
        <v>775</v>
      </c>
      <c r="B776" s="2">
        <v>1546315</v>
      </c>
      <c r="C776" s="3">
        <v>0.02</v>
      </c>
      <c r="D776" s="1">
        <v>0.5</v>
      </c>
      <c r="E776" s="4">
        <v>0.17</v>
      </c>
      <c r="F776" s="4">
        <v>0.22</v>
      </c>
      <c r="G776" s="4">
        <v>0.61</v>
      </c>
      <c r="H776" s="17">
        <f t="shared" si="24"/>
        <v>3.1171322259667552E-6</v>
      </c>
      <c r="L776">
        <f t="shared" si="25"/>
        <v>0.01</v>
      </c>
    </row>
    <row r="777" spans="1:12" x14ac:dyDescent="0.25">
      <c r="A777" s="1">
        <v>776</v>
      </c>
      <c r="B777" s="2">
        <v>1297719</v>
      </c>
      <c r="C777" s="3">
        <v>1.7000000000000001E-2</v>
      </c>
      <c r="D777" s="1">
        <v>0.5</v>
      </c>
      <c r="E777" s="4">
        <v>0.19</v>
      </c>
      <c r="F777" s="4">
        <v>0.26</v>
      </c>
      <c r="G777" s="4">
        <v>0.55000000000000004</v>
      </c>
      <c r="H777" s="17">
        <f t="shared" si="24"/>
        <v>2.2236009208194639E-6</v>
      </c>
      <c r="L777">
        <f t="shared" si="25"/>
        <v>8.5000000000000006E-3</v>
      </c>
    </row>
    <row r="778" spans="1:12" x14ac:dyDescent="0.25">
      <c r="A778" s="1">
        <v>777</v>
      </c>
      <c r="B778" s="2">
        <v>1861726</v>
      </c>
      <c r="C778" s="3">
        <v>1.7000000000000001E-2</v>
      </c>
      <c r="D778" s="1">
        <v>0.5</v>
      </c>
      <c r="E778" s="4">
        <v>0.23</v>
      </c>
      <c r="F778" s="4">
        <v>0.18</v>
      </c>
      <c r="G778" s="4">
        <v>0.59000000000000008</v>
      </c>
      <c r="H778" s="17">
        <f t="shared" si="24"/>
        <v>3.1900092762096704E-6</v>
      </c>
      <c r="L778">
        <f t="shared" si="25"/>
        <v>8.5000000000000006E-3</v>
      </c>
    </row>
    <row r="779" spans="1:12" x14ac:dyDescent="0.25">
      <c r="A779" s="1">
        <v>778</v>
      </c>
      <c r="B779" s="2">
        <v>1845292</v>
      </c>
      <c r="C779" s="3">
        <v>3.5000000000000003E-2</v>
      </c>
      <c r="D779" s="1">
        <v>0.5</v>
      </c>
      <c r="E779" s="4">
        <v>0.23</v>
      </c>
      <c r="F779" s="4">
        <v>0.24</v>
      </c>
      <c r="G779" s="4">
        <v>0.53</v>
      </c>
      <c r="H779" s="17">
        <f t="shared" si="24"/>
        <v>6.5096914465407316E-6</v>
      </c>
      <c r="L779">
        <f t="shared" si="25"/>
        <v>1.7500000000000002E-2</v>
      </c>
    </row>
    <row r="780" spans="1:12" x14ac:dyDescent="0.25">
      <c r="A780" s="1">
        <v>779</v>
      </c>
      <c r="B780" s="2">
        <v>1787515</v>
      </c>
      <c r="C780" s="3">
        <v>2.5000000000000001E-2</v>
      </c>
      <c r="D780" s="1">
        <v>0.5</v>
      </c>
      <c r="E780" s="4">
        <v>0.15</v>
      </c>
      <c r="F780" s="4">
        <v>0.35</v>
      </c>
      <c r="G780" s="4">
        <v>0.5</v>
      </c>
      <c r="H780" s="17">
        <f t="shared" si="24"/>
        <v>4.5041927185752616E-6</v>
      </c>
      <c r="L780">
        <f t="shared" si="25"/>
        <v>1.2500000000000001E-2</v>
      </c>
    </row>
    <row r="781" spans="1:12" x14ac:dyDescent="0.25">
      <c r="A781" s="1">
        <v>780</v>
      </c>
      <c r="B781" s="2">
        <v>1340261</v>
      </c>
      <c r="C781" s="3">
        <v>1.4999999999999999E-2</v>
      </c>
      <c r="D781" s="1">
        <v>0.5</v>
      </c>
      <c r="E781" s="4">
        <v>0.18</v>
      </c>
      <c r="F781" s="4">
        <v>0.28000000000000003</v>
      </c>
      <c r="G781" s="4">
        <v>0.54</v>
      </c>
      <c r="H781" s="17">
        <f t="shared" si="24"/>
        <v>2.0263193888242838E-6</v>
      </c>
      <c r="L781">
        <f t="shared" si="25"/>
        <v>7.4999999999999997E-3</v>
      </c>
    </row>
    <row r="782" spans="1:12" x14ac:dyDescent="0.25">
      <c r="A782" s="1">
        <v>781</v>
      </c>
      <c r="B782" s="2">
        <v>1336224</v>
      </c>
      <c r="C782" s="3">
        <v>2.4E-2</v>
      </c>
      <c r="D782" s="1">
        <v>0.5</v>
      </c>
      <c r="E782" s="4">
        <v>0.24</v>
      </c>
      <c r="F782" s="4">
        <v>0.32</v>
      </c>
      <c r="G782" s="4">
        <v>0.43999999999999995</v>
      </c>
      <c r="H782" s="17">
        <f t="shared" si="24"/>
        <v>3.2323454598915761E-6</v>
      </c>
      <c r="L782">
        <f t="shared" si="25"/>
        <v>1.2E-2</v>
      </c>
    </row>
    <row r="783" spans="1:12" x14ac:dyDescent="0.25">
      <c r="A783" s="1">
        <v>782</v>
      </c>
      <c r="B783" s="2">
        <v>1803817</v>
      </c>
      <c r="C783" s="3">
        <v>2.5000000000000001E-2</v>
      </c>
      <c r="D783" s="1">
        <v>0.5</v>
      </c>
      <c r="E783" s="4">
        <v>0.17</v>
      </c>
      <c r="F783" s="4">
        <v>0.16</v>
      </c>
      <c r="G783" s="4">
        <v>0.66999999999999993</v>
      </c>
      <c r="H783" s="17">
        <f t="shared" si="24"/>
        <v>4.545270611459078E-6</v>
      </c>
      <c r="L783">
        <f t="shared" si="25"/>
        <v>1.2500000000000001E-2</v>
      </c>
    </row>
    <row r="784" spans="1:12" x14ac:dyDescent="0.25">
      <c r="A784" s="1">
        <v>783</v>
      </c>
      <c r="B784" s="2">
        <v>1702054</v>
      </c>
      <c r="C784" s="3">
        <v>3.5000000000000003E-2</v>
      </c>
      <c r="D784" s="1">
        <v>0.5</v>
      </c>
      <c r="E784" s="4">
        <v>0.21</v>
      </c>
      <c r="F784" s="4">
        <v>0.16</v>
      </c>
      <c r="G784" s="4">
        <v>0.63</v>
      </c>
      <c r="H784" s="17">
        <f t="shared" si="24"/>
        <v>6.0043864956605454E-6</v>
      </c>
      <c r="L784">
        <f t="shared" si="25"/>
        <v>1.7500000000000002E-2</v>
      </c>
    </row>
    <row r="785" spans="1:12" x14ac:dyDescent="0.25">
      <c r="A785" s="1">
        <v>784</v>
      </c>
      <c r="B785" s="2">
        <v>1993634</v>
      </c>
      <c r="C785" s="3">
        <v>2.4E-2</v>
      </c>
      <c r="D785" s="1">
        <v>0.5</v>
      </c>
      <c r="E785" s="4">
        <v>0.17</v>
      </c>
      <c r="F785" s="4">
        <v>0.17</v>
      </c>
      <c r="G785" s="4">
        <v>0.65999999999999992</v>
      </c>
      <c r="H785" s="17">
        <f t="shared" si="24"/>
        <v>4.8226298948271264E-6</v>
      </c>
      <c r="L785">
        <f t="shared" si="25"/>
        <v>1.2E-2</v>
      </c>
    </row>
    <row r="786" spans="1:12" x14ac:dyDescent="0.25">
      <c r="A786" s="1">
        <v>785</v>
      </c>
      <c r="B786" s="2">
        <v>1033399</v>
      </c>
      <c r="C786" s="3">
        <v>1.7000000000000001E-2</v>
      </c>
      <c r="D786" s="1">
        <v>0.5</v>
      </c>
      <c r="E786" s="4">
        <v>0.24</v>
      </c>
      <c r="F786" s="4">
        <v>0.35</v>
      </c>
      <c r="G786" s="4">
        <v>0.41000000000000003</v>
      </c>
      <c r="H786" s="17">
        <f t="shared" si="24"/>
        <v>1.770696867329455E-6</v>
      </c>
      <c r="L786">
        <f t="shared" si="25"/>
        <v>8.5000000000000006E-3</v>
      </c>
    </row>
    <row r="787" spans="1:12" x14ac:dyDescent="0.25">
      <c r="A787" s="1">
        <v>786</v>
      </c>
      <c r="B787" s="2">
        <v>1835943</v>
      </c>
      <c r="C787" s="3">
        <v>2.1000000000000001E-2</v>
      </c>
      <c r="D787" s="1">
        <v>0.5</v>
      </c>
      <c r="E787" s="4">
        <v>0.23</v>
      </c>
      <c r="F787" s="4">
        <v>0.3</v>
      </c>
      <c r="G787" s="4">
        <v>0.47</v>
      </c>
      <c r="H787" s="17">
        <f t="shared" si="24"/>
        <v>3.8860264207842435E-6</v>
      </c>
      <c r="L787">
        <f t="shared" si="25"/>
        <v>1.0500000000000001E-2</v>
      </c>
    </row>
    <row r="788" spans="1:12" x14ac:dyDescent="0.25">
      <c r="A788" s="1">
        <v>787</v>
      </c>
      <c r="B788" s="2">
        <v>1357771</v>
      </c>
      <c r="C788" s="3">
        <v>2.5000000000000001E-2</v>
      </c>
      <c r="D788" s="1">
        <v>0.5</v>
      </c>
      <c r="E788" s="4">
        <v>0.17</v>
      </c>
      <c r="F788" s="4">
        <v>0.21</v>
      </c>
      <c r="G788" s="4">
        <v>0.62</v>
      </c>
      <c r="H788" s="17">
        <f t="shared" si="24"/>
        <v>3.4213208010521041E-6</v>
      </c>
      <c r="L788">
        <f t="shared" si="25"/>
        <v>1.2500000000000001E-2</v>
      </c>
    </row>
    <row r="789" spans="1:12" x14ac:dyDescent="0.25">
      <c r="A789" s="1">
        <v>788</v>
      </c>
      <c r="B789" s="2">
        <v>1870058</v>
      </c>
      <c r="C789" s="3">
        <v>2.8000000000000001E-2</v>
      </c>
      <c r="D789" s="1">
        <v>0.5</v>
      </c>
      <c r="E789" s="4">
        <v>0.19</v>
      </c>
      <c r="F789" s="4">
        <v>0.19</v>
      </c>
      <c r="G789" s="4">
        <v>0.62000000000000011</v>
      </c>
      <c r="H789" s="17">
        <f t="shared" si="24"/>
        <v>5.2776473608014634E-6</v>
      </c>
      <c r="L789">
        <f t="shared" si="25"/>
        <v>1.4E-2</v>
      </c>
    </row>
    <row r="790" spans="1:12" x14ac:dyDescent="0.25">
      <c r="A790" s="1">
        <v>789</v>
      </c>
      <c r="B790" s="2">
        <v>1516918</v>
      </c>
      <c r="C790" s="3">
        <v>1.6E-2</v>
      </c>
      <c r="D790" s="1">
        <v>0.5</v>
      </c>
      <c r="E790" s="4">
        <v>0.25</v>
      </c>
      <c r="F790" s="4">
        <v>0.26</v>
      </c>
      <c r="G790" s="4">
        <v>0.49</v>
      </c>
      <c r="H790" s="17">
        <f t="shared" si="24"/>
        <v>2.4462979312489574E-6</v>
      </c>
      <c r="L790">
        <f t="shared" si="25"/>
        <v>8.0000000000000002E-3</v>
      </c>
    </row>
    <row r="791" spans="1:12" x14ac:dyDescent="0.25">
      <c r="A791" s="1">
        <v>790</v>
      </c>
      <c r="B791" s="2">
        <v>1846070</v>
      </c>
      <c r="C791" s="3">
        <v>2.3E-2</v>
      </c>
      <c r="D791" s="1">
        <v>0.5</v>
      </c>
      <c r="E791" s="4">
        <v>0.24</v>
      </c>
      <c r="F791" s="4">
        <v>0.21</v>
      </c>
      <c r="G791" s="4">
        <v>0.55000000000000004</v>
      </c>
      <c r="H791" s="17">
        <f t="shared" si="24"/>
        <v>4.2796008133200649E-6</v>
      </c>
      <c r="L791">
        <f t="shared" si="25"/>
        <v>1.15E-2</v>
      </c>
    </row>
    <row r="792" spans="1:12" x14ac:dyDescent="0.25">
      <c r="A792" s="1">
        <v>791</v>
      </c>
      <c r="B792" s="2">
        <v>1753777</v>
      </c>
      <c r="C792" s="3">
        <v>2.8000000000000001E-2</v>
      </c>
      <c r="D792" s="1">
        <v>0.5</v>
      </c>
      <c r="E792" s="4">
        <v>0.2</v>
      </c>
      <c r="F792" s="4">
        <v>0.25</v>
      </c>
      <c r="G792" s="4">
        <v>0.55000000000000004</v>
      </c>
      <c r="H792" s="17">
        <f t="shared" si="24"/>
        <v>4.9494810083346656E-6</v>
      </c>
      <c r="L792">
        <f t="shared" si="25"/>
        <v>1.4E-2</v>
      </c>
    </row>
    <row r="793" spans="1:12" x14ac:dyDescent="0.25">
      <c r="A793" s="1">
        <v>792</v>
      </c>
      <c r="B793" s="2">
        <v>1911073</v>
      </c>
      <c r="C793" s="3">
        <v>3.1E-2</v>
      </c>
      <c r="D793" s="1">
        <v>0.5</v>
      </c>
      <c r="E793" s="4">
        <v>0.23</v>
      </c>
      <c r="F793" s="4">
        <v>0.35</v>
      </c>
      <c r="G793" s="4">
        <v>0.42000000000000004</v>
      </c>
      <c r="H793" s="17">
        <f t="shared" si="24"/>
        <v>5.9712634317304015E-6</v>
      </c>
      <c r="L793">
        <f t="shared" si="25"/>
        <v>1.55E-2</v>
      </c>
    </row>
    <row r="794" spans="1:12" x14ac:dyDescent="0.25">
      <c r="A794" s="1">
        <v>793</v>
      </c>
      <c r="B794" s="2">
        <v>1565729</v>
      </c>
      <c r="C794" s="3">
        <v>3.2000000000000001E-2</v>
      </c>
      <c r="D794" s="1">
        <v>0.5</v>
      </c>
      <c r="E794" s="4">
        <v>0.21</v>
      </c>
      <c r="F794" s="4">
        <v>0.24</v>
      </c>
      <c r="G794" s="4">
        <v>0.55000000000000004</v>
      </c>
      <c r="H794" s="17">
        <f t="shared" si="24"/>
        <v>5.0500285626467596E-6</v>
      </c>
      <c r="L794">
        <f t="shared" si="25"/>
        <v>1.6E-2</v>
      </c>
    </row>
    <row r="795" spans="1:12" x14ac:dyDescent="0.25">
      <c r="A795" s="1">
        <v>794</v>
      </c>
      <c r="B795" s="2">
        <v>1541913</v>
      </c>
      <c r="C795" s="3">
        <v>2.5999999999999999E-2</v>
      </c>
      <c r="D795" s="1">
        <v>0.5</v>
      </c>
      <c r="E795" s="4">
        <v>0.25</v>
      </c>
      <c r="F795" s="4">
        <v>0.3</v>
      </c>
      <c r="G795" s="4">
        <v>0.44999999999999996</v>
      </c>
      <c r="H795" s="17">
        <f t="shared" si="24"/>
        <v>4.0407360159593622E-6</v>
      </c>
      <c r="L795">
        <f t="shared" si="25"/>
        <v>1.2999999999999999E-2</v>
      </c>
    </row>
    <row r="796" spans="1:12" x14ac:dyDescent="0.25">
      <c r="A796" s="1">
        <v>795</v>
      </c>
      <c r="B796" s="2">
        <v>1910856</v>
      </c>
      <c r="C796" s="3">
        <v>2.1999999999999999E-2</v>
      </c>
      <c r="D796" s="1">
        <v>0.5</v>
      </c>
      <c r="E796" s="4">
        <v>0.22</v>
      </c>
      <c r="F796" s="4">
        <v>0.31</v>
      </c>
      <c r="G796" s="4">
        <v>0.47</v>
      </c>
      <c r="H796" s="17">
        <f t="shared" si="24"/>
        <v>4.2371896401833542E-6</v>
      </c>
      <c r="L796">
        <f t="shared" si="25"/>
        <v>1.0999999999999999E-2</v>
      </c>
    </row>
    <row r="797" spans="1:12" x14ac:dyDescent="0.25">
      <c r="A797" s="1">
        <v>796</v>
      </c>
      <c r="B797" s="2">
        <v>1227313</v>
      </c>
      <c r="C797" s="3">
        <v>0.03</v>
      </c>
      <c r="D797" s="1">
        <v>0.5</v>
      </c>
      <c r="E797" s="4">
        <v>0.22</v>
      </c>
      <c r="F797" s="4">
        <v>0.25</v>
      </c>
      <c r="G797" s="4">
        <v>0.53</v>
      </c>
      <c r="H797" s="17">
        <f t="shared" si="24"/>
        <v>3.7111101913076603E-6</v>
      </c>
      <c r="L797">
        <f t="shared" si="25"/>
        <v>1.4999999999999999E-2</v>
      </c>
    </row>
    <row r="798" spans="1:12" x14ac:dyDescent="0.25">
      <c r="A798" s="1">
        <v>797</v>
      </c>
      <c r="B798" s="2">
        <v>1758836</v>
      </c>
      <c r="C798" s="3">
        <v>2.5999999999999999E-2</v>
      </c>
      <c r="D798" s="1">
        <v>0.5</v>
      </c>
      <c r="E798" s="4">
        <v>0.21</v>
      </c>
      <c r="F798" s="4">
        <v>0.25</v>
      </c>
      <c r="G798" s="4">
        <v>0.54</v>
      </c>
      <c r="H798" s="17">
        <f t="shared" si="24"/>
        <v>4.609204262086058E-6</v>
      </c>
      <c r="L798">
        <f t="shared" si="25"/>
        <v>1.2999999999999999E-2</v>
      </c>
    </row>
    <row r="799" spans="1:12" x14ac:dyDescent="0.25">
      <c r="A799" s="1">
        <v>798</v>
      </c>
      <c r="B799" s="2">
        <v>1473870</v>
      </c>
      <c r="C799" s="3">
        <v>2.7E-2</v>
      </c>
      <c r="D799" s="1">
        <v>0.5</v>
      </c>
      <c r="E799" s="4">
        <v>0.16</v>
      </c>
      <c r="F799" s="4">
        <v>0.23</v>
      </c>
      <c r="G799" s="4">
        <v>0.61</v>
      </c>
      <c r="H799" s="17">
        <f t="shared" si="24"/>
        <v>4.0109772974753459E-6</v>
      </c>
      <c r="L799">
        <f t="shared" si="25"/>
        <v>1.35E-2</v>
      </c>
    </row>
    <row r="800" spans="1:12" x14ac:dyDescent="0.25">
      <c r="A800" s="1">
        <v>799</v>
      </c>
      <c r="B800" s="2">
        <v>1835690</v>
      </c>
      <c r="C800" s="3">
        <v>2.5000000000000001E-2</v>
      </c>
      <c r="D800" s="1">
        <v>0.5</v>
      </c>
      <c r="E800" s="4">
        <v>0.25</v>
      </c>
      <c r="F800" s="4">
        <v>0.26</v>
      </c>
      <c r="G800" s="4">
        <v>0.49</v>
      </c>
      <c r="H800" s="17">
        <f t="shared" si="24"/>
        <v>4.6255844183469356E-6</v>
      </c>
      <c r="L800">
        <f t="shared" si="25"/>
        <v>1.2500000000000001E-2</v>
      </c>
    </row>
    <row r="801" spans="1:12" x14ac:dyDescent="0.25">
      <c r="A801" s="1">
        <v>800</v>
      </c>
      <c r="B801" s="2">
        <v>1440083</v>
      </c>
      <c r="C801" s="3">
        <v>1.7000000000000001E-2</v>
      </c>
      <c r="D801" s="1">
        <v>0.5</v>
      </c>
      <c r="E801" s="4">
        <v>0.21</v>
      </c>
      <c r="F801" s="4">
        <v>0.28999999999999998</v>
      </c>
      <c r="G801" s="4">
        <v>0.5</v>
      </c>
      <c r="H801" s="17">
        <f t="shared" si="24"/>
        <v>2.4675371824381516E-6</v>
      </c>
      <c r="L801">
        <f t="shared" si="25"/>
        <v>8.5000000000000006E-3</v>
      </c>
    </row>
    <row r="802" spans="1:12" x14ac:dyDescent="0.25">
      <c r="A802" s="1">
        <v>801</v>
      </c>
      <c r="B802" s="2">
        <v>1825083</v>
      </c>
      <c r="C802" s="3">
        <v>2.3E-2</v>
      </c>
      <c r="D802" s="1">
        <v>0.5</v>
      </c>
      <c r="E802" s="4">
        <v>0.2</v>
      </c>
      <c r="F802" s="4">
        <v>0.34</v>
      </c>
      <c r="G802" s="4">
        <v>0.45999999999999991</v>
      </c>
      <c r="H802" s="17">
        <f t="shared" si="24"/>
        <v>4.2309482799550524E-6</v>
      </c>
      <c r="L802">
        <f t="shared" si="25"/>
        <v>1.15E-2</v>
      </c>
    </row>
    <row r="803" spans="1:12" x14ac:dyDescent="0.25">
      <c r="A803" s="1">
        <v>802</v>
      </c>
      <c r="B803" s="2">
        <v>1233894</v>
      </c>
      <c r="C803" s="3">
        <v>2.3E-2</v>
      </c>
      <c r="D803" s="1">
        <v>0.5</v>
      </c>
      <c r="E803" s="4">
        <v>0.23</v>
      </c>
      <c r="F803" s="4">
        <v>0.25</v>
      </c>
      <c r="G803" s="4">
        <v>0.52</v>
      </c>
      <c r="H803" s="17">
        <f t="shared" si="24"/>
        <v>2.8604407015718513E-6</v>
      </c>
      <c r="L803">
        <f t="shared" si="25"/>
        <v>1.15E-2</v>
      </c>
    </row>
    <row r="804" spans="1:12" x14ac:dyDescent="0.25">
      <c r="A804" s="1">
        <v>803</v>
      </c>
      <c r="B804" s="2">
        <v>1826592</v>
      </c>
      <c r="C804" s="3">
        <v>3.5000000000000003E-2</v>
      </c>
      <c r="D804" s="1">
        <v>0.5</v>
      </c>
      <c r="E804" s="4">
        <v>0.2</v>
      </c>
      <c r="F804" s="4">
        <v>0.21</v>
      </c>
      <c r="G804" s="4">
        <v>0.59000000000000008</v>
      </c>
      <c r="H804" s="17">
        <f t="shared" si="24"/>
        <v>6.443722900613956E-6</v>
      </c>
      <c r="L804">
        <f t="shared" si="25"/>
        <v>1.7500000000000002E-2</v>
      </c>
    </row>
    <row r="805" spans="1:12" x14ac:dyDescent="0.25">
      <c r="A805" s="1">
        <v>804</v>
      </c>
      <c r="B805" s="2">
        <v>1065401</v>
      </c>
      <c r="C805" s="3">
        <v>2.3E-2</v>
      </c>
      <c r="D805" s="1">
        <v>0.5</v>
      </c>
      <c r="E805" s="4">
        <v>0.17</v>
      </c>
      <c r="F805" s="4">
        <v>0.26</v>
      </c>
      <c r="G805" s="4">
        <v>0.56999999999999995</v>
      </c>
      <c r="H805" s="17">
        <f t="shared" si="24"/>
        <v>2.4698364558830431E-6</v>
      </c>
      <c r="L805">
        <f t="shared" si="25"/>
        <v>1.15E-2</v>
      </c>
    </row>
    <row r="806" spans="1:12" x14ac:dyDescent="0.25">
      <c r="A806" s="1">
        <v>805</v>
      </c>
      <c r="B806" s="2">
        <v>1391714</v>
      </c>
      <c r="C806" s="3">
        <v>2.3E-2</v>
      </c>
      <c r="D806" s="1">
        <v>0.5</v>
      </c>
      <c r="E806" s="4">
        <v>0.19</v>
      </c>
      <c r="F806" s="4">
        <v>0.28000000000000003</v>
      </c>
      <c r="G806" s="4">
        <v>0.53</v>
      </c>
      <c r="H806" s="17">
        <f t="shared" si="24"/>
        <v>3.2263025596585829E-6</v>
      </c>
      <c r="L806">
        <f t="shared" si="25"/>
        <v>1.15E-2</v>
      </c>
    </row>
    <row r="807" spans="1:12" x14ac:dyDescent="0.25">
      <c r="A807" s="1">
        <v>806</v>
      </c>
      <c r="B807" s="2">
        <v>1348100</v>
      </c>
      <c r="C807" s="3">
        <v>2.5000000000000001E-2</v>
      </c>
      <c r="D807" s="1">
        <v>0.5</v>
      </c>
      <c r="E807" s="4">
        <v>0.22</v>
      </c>
      <c r="F807" s="4">
        <v>0.28999999999999998</v>
      </c>
      <c r="G807" s="4">
        <v>0.49</v>
      </c>
      <c r="H807" s="17">
        <f t="shared" si="24"/>
        <v>3.3969517480476025E-6</v>
      </c>
      <c r="L807">
        <f t="shared" si="25"/>
        <v>1.2500000000000001E-2</v>
      </c>
    </row>
    <row r="808" spans="1:12" x14ac:dyDescent="0.25">
      <c r="A808" s="1">
        <v>807</v>
      </c>
      <c r="B808" s="2">
        <v>1165381</v>
      </c>
      <c r="C808" s="3">
        <v>2.5000000000000001E-2</v>
      </c>
      <c r="D808" s="1">
        <v>0.5</v>
      </c>
      <c r="E808" s="4">
        <v>0.23</v>
      </c>
      <c r="F808" s="4">
        <v>0.15</v>
      </c>
      <c r="G808" s="4">
        <v>0.62</v>
      </c>
      <c r="H808" s="17">
        <f t="shared" si="24"/>
        <v>2.9365351421196226E-6</v>
      </c>
      <c r="L808">
        <f t="shared" si="25"/>
        <v>1.2500000000000001E-2</v>
      </c>
    </row>
    <row r="809" spans="1:12" x14ac:dyDescent="0.25">
      <c r="A809" s="1">
        <v>808</v>
      </c>
      <c r="B809" s="2">
        <v>1226605</v>
      </c>
      <c r="C809" s="3">
        <v>3.5000000000000003E-2</v>
      </c>
      <c r="D809" s="1">
        <v>0.5</v>
      </c>
      <c r="E809" s="4">
        <v>0.16</v>
      </c>
      <c r="F809" s="4">
        <v>0.34</v>
      </c>
      <c r="G809" s="4">
        <v>0.49999999999999989</v>
      </c>
      <c r="H809" s="17">
        <f t="shared" si="24"/>
        <v>4.3271309238776812E-6</v>
      </c>
      <c r="L809">
        <f t="shared" si="25"/>
        <v>1.7500000000000002E-2</v>
      </c>
    </row>
    <row r="810" spans="1:12" x14ac:dyDescent="0.25">
      <c r="A810" s="1">
        <v>809</v>
      </c>
      <c r="B810" s="2">
        <v>1254530</v>
      </c>
      <c r="C810" s="3">
        <v>2.4E-2</v>
      </c>
      <c r="D810" s="1">
        <v>0.5</v>
      </c>
      <c r="E810" s="4">
        <v>0.25</v>
      </c>
      <c r="F810" s="4">
        <v>0.2</v>
      </c>
      <c r="G810" s="4">
        <v>0.55000000000000004</v>
      </c>
      <c r="H810" s="17">
        <f t="shared" si="24"/>
        <v>3.0347264753497758E-6</v>
      </c>
      <c r="L810">
        <f t="shared" si="25"/>
        <v>1.2E-2</v>
      </c>
    </row>
    <row r="811" spans="1:12" x14ac:dyDescent="0.25">
      <c r="A811" s="1">
        <v>810</v>
      </c>
      <c r="B811" s="2">
        <v>1482662</v>
      </c>
      <c r="C811" s="3">
        <v>0.02</v>
      </c>
      <c r="D811" s="1">
        <v>0.5</v>
      </c>
      <c r="E811" s="4">
        <v>0.19</v>
      </c>
      <c r="F811" s="4">
        <v>0.3</v>
      </c>
      <c r="G811" s="4">
        <v>0.51</v>
      </c>
      <c r="H811" s="17">
        <f t="shared" si="24"/>
        <v>2.988817608583194E-6</v>
      </c>
      <c r="L811">
        <f t="shared" si="25"/>
        <v>0.01</v>
      </c>
    </row>
    <row r="812" spans="1:12" x14ac:dyDescent="0.25">
      <c r="A812" s="1">
        <v>811</v>
      </c>
      <c r="B812" s="2">
        <v>1233696</v>
      </c>
      <c r="C812" s="3">
        <v>1.7000000000000001E-2</v>
      </c>
      <c r="D812" s="1">
        <v>0.5</v>
      </c>
      <c r="E812" s="4">
        <v>0.22</v>
      </c>
      <c r="F812" s="4">
        <v>0.26</v>
      </c>
      <c r="G812" s="4">
        <v>0.52</v>
      </c>
      <c r="H812" s="17">
        <f t="shared" si="24"/>
        <v>2.1138995126150494E-6</v>
      </c>
      <c r="L812">
        <f t="shared" si="25"/>
        <v>8.5000000000000006E-3</v>
      </c>
    </row>
    <row r="813" spans="1:12" x14ac:dyDescent="0.25">
      <c r="A813" s="1">
        <v>812</v>
      </c>
      <c r="B813" s="2">
        <v>1517449</v>
      </c>
      <c r="C813" s="3">
        <v>2.1999999999999999E-2</v>
      </c>
      <c r="D813" s="1">
        <v>0.5</v>
      </c>
      <c r="E813" s="4">
        <v>0.25</v>
      </c>
      <c r="F813" s="4">
        <v>0.2</v>
      </c>
      <c r="G813" s="4">
        <v>0.55000000000000004</v>
      </c>
      <c r="H813" s="17">
        <f t="shared" si="24"/>
        <v>3.3648371108584794E-6</v>
      </c>
      <c r="L813">
        <f t="shared" si="25"/>
        <v>1.0999999999999999E-2</v>
      </c>
    </row>
    <row r="814" spans="1:12" x14ac:dyDescent="0.25">
      <c r="A814" s="1">
        <v>813</v>
      </c>
      <c r="B814" s="2">
        <v>1347733</v>
      </c>
      <c r="C814" s="3">
        <v>1.7000000000000001E-2</v>
      </c>
      <c r="D814" s="1">
        <v>0.5</v>
      </c>
      <c r="E814" s="4">
        <v>0.16</v>
      </c>
      <c r="F814" s="4">
        <v>0.24</v>
      </c>
      <c r="G814" s="4">
        <v>0.6</v>
      </c>
      <c r="H814" s="17">
        <f t="shared" si="24"/>
        <v>2.3092983456501591E-6</v>
      </c>
      <c r="L814">
        <f t="shared" si="25"/>
        <v>8.5000000000000006E-3</v>
      </c>
    </row>
    <row r="815" spans="1:12" x14ac:dyDescent="0.25">
      <c r="A815" s="1">
        <v>814</v>
      </c>
      <c r="B815" s="2">
        <v>1804463</v>
      </c>
      <c r="C815" s="3">
        <v>3.2000000000000001E-2</v>
      </c>
      <c r="D815" s="1">
        <v>0.5</v>
      </c>
      <c r="E815" s="4">
        <v>0.2</v>
      </c>
      <c r="F815" s="4">
        <v>0.2</v>
      </c>
      <c r="G815" s="4">
        <v>0.60000000000000009</v>
      </c>
      <c r="H815" s="17">
        <f t="shared" si="24"/>
        <v>5.8200299606376706E-6</v>
      </c>
      <c r="L815">
        <f t="shared" si="25"/>
        <v>1.6E-2</v>
      </c>
    </row>
    <row r="816" spans="1:12" x14ac:dyDescent="0.25">
      <c r="A816" s="1">
        <v>815</v>
      </c>
      <c r="B816" s="2">
        <v>1898245</v>
      </c>
      <c r="C816" s="3">
        <v>1.9E-2</v>
      </c>
      <c r="D816" s="1">
        <v>0.5</v>
      </c>
      <c r="E816" s="4">
        <v>0.17</v>
      </c>
      <c r="F816" s="4">
        <v>0.23</v>
      </c>
      <c r="G816" s="4">
        <v>0.6</v>
      </c>
      <c r="H816" s="17">
        <f t="shared" si="24"/>
        <v>3.6352403159551903E-6</v>
      </c>
      <c r="L816">
        <f t="shared" si="25"/>
        <v>9.4999999999999998E-3</v>
      </c>
    </row>
    <row r="817" spans="1:12" x14ac:dyDescent="0.25">
      <c r="A817" s="1">
        <v>816</v>
      </c>
      <c r="B817" s="2">
        <v>1239198</v>
      </c>
      <c r="C817" s="3">
        <v>3.1E-2</v>
      </c>
      <c r="D817" s="1">
        <v>0.5</v>
      </c>
      <c r="E817" s="4">
        <v>0.19</v>
      </c>
      <c r="F817" s="4">
        <v>0.23</v>
      </c>
      <c r="G817" s="4">
        <v>0.58000000000000007</v>
      </c>
      <c r="H817" s="17">
        <f t="shared" si="24"/>
        <v>3.8719492672825425E-6</v>
      </c>
      <c r="L817">
        <f t="shared" si="25"/>
        <v>1.55E-2</v>
      </c>
    </row>
    <row r="818" spans="1:12" x14ac:dyDescent="0.25">
      <c r="A818" s="1">
        <v>817</v>
      </c>
      <c r="B818" s="2">
        <v>1902690</v>
      </c>
      <c r="C818" s="3">
        <v>1.9E-2</v>
      </c>
      <c r="D818" s="1">
        <v>0.5</v>
      </c>
      <c r="E818" s="4">
        <v>0.24</v>
      </c>
      <c r="F818" s="4">
        <v>0.24</v>
      </c>
      <c r="G818" s="4">
        <v>0.52</v>
      </c>
      <c r="H818" s="17">
        <f t="shared" si="24"/>
        <v>3.6437527277905548E-6</v>
      </c>
      <c r="L818">
        <f t="shared" si="25"/>
        <v>9.4999999999999998E-3</v>
      </c>
    </row>
    <row r="819" spans="1:12" x14ac:dyDescent="0.25">
      <c r="A819" s="1">
        <v>818</v>
      </c>
      <c r="B819" s="2">
        <v>1127135</v>
      </c>
      <c r="C819" s="3">
        <v>2.1999999999999999E-2</v>
      </c>
      <c r="D819" s="1">
        <v>0.5</v>
      </c>
      <c r="E819" s="4">
        <v>0.16</v>
      </c>
      <c r="F819" s="4">
        <v>0.35</v>
      </c>
      <c r="G819" s="4">
        <v>0.49</v>
      </c>
      <c r="H819" s="17">
        <f t="shared" si="24"/>
        <v>2.4993430928798741E-6</v>
      </c>
      <c r="L819">
        <f t="shared" si="25"/>
        <v>1.0999999999999999E-2</v>
      </c>
    </row>
    <row r="820" spans="1:12" x14ac:dyDescent="0.25">
      <c r="A820" s="1">
        <v>819</v>
      </c>
      <c r="B820" s="2">
        <v>1243498</v>
      </c>
      <c r="C820" s="3">
        <v>2.9000000000000001E-2</v>
      </c>
      <c r="D820" s="1">
        <v>0.5</v>
      </c>
      <c r="E820" s="4">
        <v>0.2</v>
      </c>
      <c r="F820" s="4">
        <v>0.24</v>
      </c>
      <c r="G820" s="4">
        <v>0.56000000000000005</v>
      </c>
      <c r="H820" s="17">
        <f t="shared" si="24"/>
        <v>3.6347148858101699E-6</v>
      </c>
      <c r="L820">
        <f t="shared" si="25"/>
        <v>1.4500000000000001E-2</v>
      </c>
    </row>
    <row r="821" spans="1:12" x14ac:dyDescent="0.25">
      <c r="A821" s="1">
        <v>820</v>
      </c>
      <c r="B821" s="2">
        <v>1706509</v>
      </c>
      <c r="C821" s="3">
        <v>1.7999999999999999E-2</v>
      </c>
      <c r="D821" s="1">
        <v>0.5</v>
      </c>
      <c r="E821" s="4">
        <v>0.17</v>
      </c>
      <c r="F821" s="4">
        <v>0.3</v>
      </c>
      <c r="G821" s="4">
        <v>0.52999999999999992</v>
      </c>
      <c r="H821" s="17">
        <f t="shared" si="24"/>
        <v>3.0960527305381316E-6</v>
      </c>
      <c r="L821">
        <f t="shared" si="25"/>
        <v>8.9999999999999993E-3</v>
      </c>
    </row>
    <row r="822" spans="1:12" x14ac:dyDescent="0.25">
      <c r="A822" s="1">
        <v>821</v>
      </c>
      <c r="B822" s="2">
        <v>1583150</v>
      </c>
      <c r="C822" s="3">
        <v>3.1E-2</v>
      </c>
      <c r="D822" s="1">
        <v>0.5</v>
      </c>
      <c r="E822" s="4">
        <v>0.15</v>
      </c>
      <c r="F822" s="4">
        <v>0.21</v>
      </c>
      <c r="G822" s="4">
        <v>0.64</v>
      </c>
      <c r="H822" s="17">
        <f t="shared" si="24"/>
        <v>4.9466481405702378E-6</v>
      </c>
      <c r="L822">
        <f t="shared" si="25"/>
        <v>1.55E-2</v>
      </c>
    </row>
    <row r="823" spans="1:12" x14ac:dyDescent="0.25">
      <c r="A823" s="1">
        <v>822</v>
      </c>
      <c r="B823" s="2">
        <v>1678988</v>
      </c>
      <c r="C823" s="3">
        <v>1.2E-2</v>
      </c>
      <c r="D823" s="1">
        <v>0.5</v>
      </c>
      <c r="E823" s="4">
        <v>0.19</v>
      </c>
      <c r="F823" s="4">
        <v>0.22</v>
      </c>
      <c r="G823" s="4">
        <v>0.59000000000000008</v>
      </c>
      <c r="H823" s="17">
        <f t="shared" si="24"/>
        <v>2.0307483023102554E-6</v>
      </c>
      <c r="L823">
        <f t="shared" si="25"/>
        <v>6.0000000000000001E-3</v>
      </c>
    </row>
    <row r="824" spans="1:12" x14ac:dyDescent="0.25">
      <c r="A824" s="1">
        <v>823</v>
      </c>
      <c r="B824" s="2">
        <v>1112954</v>
      </c>
      <c r="C824" s="3">
        <v>2.5999999999999999E-2</v>
      </c>
      <c r="D824" s="1">
        <v>0.5</v>
      </c>
      <c r="E824" s="4">
        <v>0.23</v>
      </c>
      <c r="F824" s="4">
        <v>0.18</v>
      </c>
      <c r="G824" s="4">
        <v>0.59000000000000008</v>
      </c>
      <c r="H824" s="17">
        <f t="shared" si="24"/>
        <v>2.9166063921285026E-6</v>
      </c>
      <c r="L824">
        <f t="shared" si="25"/>
        <v>1.2999999999999999E-2</v>
      </c>
    </row>
    <row r="825" spans="1:12" x14ac:dyDescent="0.25">
      <c r="A825" s="1">
        <v>824</v>
      </c>
      <c r="B825" s="2">
        <v>1418863</v>
      </c>
      <c r="C825" s="3">
        <v>0.03</v>
      </c>
      <c r="D825" s="1">
        <v>0.5</v>
      </c>
      <c r="E825" s="4">
        <v>0.23</v>
      </c>
      <c r="F825" s="4">
        <v>0.18</v>
      </c>
      <c r="G825" s="4">
        <v>0.59000000000000008</v>
      </c>
      <c r="H825" s="17">
        <f t="shared" si="24"/>
        <v>4.2903130166219704E-6</v>
      </c>
      <c r="L825">
        <f t="shared" si="25"/>
        <v>1.4999999999999999E-2</v>
      </c>
    </row>
    <row r="826" spans="1:12" x14ac:dyDescent="0.25">
      <c r="A826" s="1">
        <v>825</v>
      </c>
      <c r="B826" s="2">
        <v>1490975</v>
      </c>
      <c r="C826" s="3">
        <v>2.5000000000000001E-2</v>
      </c>
      <c r="D826" s="1">
        <v>0.5</v>
      </c>
      <c r="E826" s="4">
        <v>0.17</v>
      </c>
      <c r="F826" s="4">
        <v>0.33</v>
      </c>
      <c r="G826" s="4">
        <v>0.49999999999999989</v>
      </c>
      <c r="H826" s="17">
        <f t="shared" si="24"/>
        <v>3.7569691658966505E-6</v>
      </c>
      <c r="L826">
        <f t="shared" si="25"/>
        <v>1.2500000000000001E-2</v>
      </c>
    </row>
    <row r="827" spans="1:12" x14ac:dyDescent="0.25">
      <c r="A827" s="1">
        <v>826</v>
      </c>
      <c r="B827" s="2">
        <v>1649970</v>
      </c>
      <c r="C827" s="3">
        <v>1.9E-2</v>
      </c>
      <c r="D827" s="1">
        <v>0.5</v>
      </c>
      <c r="E827" s="4">
        <v>0.19</v>
      </c>
      <c r="F827" s="4">
        <v>0.17</v>
      </c>
      <c r="G827" s="4">
        <v>0.6399999999999999</v>
      </c>
      <c r="H827" s="17">
        <f t="shared" si="24"/>
        <v>3.1597804625412344E-6</v>
      </c>
      <c r="L827">
        <f t="shared" si="25"/>
        <v>9.4999999999999998E-3</v>
      </c>
    </row>
    <row r="828" spans="1:12" x14ac:dyDescent="0.25">
      <c r="A828" s="1">
        <v>827</v>
      </c>
      <c r="B828" s="2">
        <v>1712224</v>
      </c>
      <c r="C828" s="3">
        <v>2.7E-2</v>
      </c>
      <c r="D828" s="1">
        <v>0.5</v>
      </c>
      <c r="E828" s="4">
        <v>0.24</v>
      </c>
      <c r="F828" s="4">
        <v>0.23</v>
      </c>
      <c r="G828" s="4">
        <v>0.53</v>
      </c>
      <c r="H828" s="17">
        <f t="shared" si="24"/>
        <v>4.659631848258277E-6</v>
      </c>
      <c r="L828">
        <f t="shared" si="25"/>
        <v>1.35E-2</v>
      </c>
    </row>
    <row r="829" spans="1:12" x14ac:dyDescent="0.25">
      <c r="A829" s="1">
        <v>828</v>
      </c>
      <c r="B829" s="2">
        <v>1637367</v>
      </c>
      <c r="C829" s="3">
        <v>1.7999999999999999E-2</v>
      </c>
      <c r="D829" s="1">
        <v>0.5</v>
      </c>
      <c r="E829" s="4">
        <v>0.15</v>
      </c>
      <c r="F829" s="4">
        <v>0.3</v>
      </c>
      <c r="G829" s="4">
        <v>0.54999999999999993</v>
      </c>
      <c r="H829" s="17">
        <f t="shared" si="24"/>
        <v>2.9706110962456273E-6</v>
      </c>
      <c r="L829">
        <f t="shared" si="25"/>
        <v>8.9999999999999993E-3</v>
      </c>
    </row>
    <row r="830" spans="1:12" x14ac:dyDescent="0.25">
      <c r="A830" s="1">
        <v>829</v>
      </c>
      <c r="B830" s="2">
        <v>1839195</v>
      </c>
      <c r="C830" s="3">
        <v>1.7999999999999999E-2</v>
      </c>
      <c r="D830" s="1">
        <v>0.5</v>
      </c>
      <c r="E830" s="4">
        <v>0.17</v>
      </c>
      <c r="F830" s="4">
        <v>0.15</v>
      </c>
      <c r="G830" s="4">
        <v>0.67999999999999994</v>
      </c>
      <c r="H830" s="17">
        <f t="shared" si="24"/>
        <v>3.3367797660264779E-6</v>
      </c>
      <c r="L830">
        <f t="shared" si="25"/>
        <v>8.9999999999999993E-3</v>
      </c>
    </row>
    <row r="831" spans="1:12" x14ac:dyDescent="0.25">
      <c r="A831" s="1">
        <v>830</v>
      </c>
      <c r="B831" s="2">
        <v>1668414</v>
      </c>
      <c r="C831" s="3">
        <v>2.7E-2</v>
      </c>
      <c r="D831" s="1">
        <v>0.5</v>
      </c>
      <c r="E831" s="4">
        <v>0.21</v>
      </c>
      <c r="F831" s="4">
        <v>0.21</v>
      </c>
      <c r="G831" s="4">
        <v>0.58000000000000007</v>
      </c>
      <c r="H831" s="17">
        <f t="shared" si="24"/>
        <v>4.5404076864241974E-6</v>
      </c>
      <c r="L831">
        <f t="shared" si="25"/>
        <v>1.35E-2</v>
      </c>
    </row>
    <row r="832" spans="1:12" x14ac:dyDescent="0.25">
      <c r="A832" s="1">
        <v>831</v>
      </c>
      <c r="B832" s="2">
        <v>1867325</v>
      </c>
      <c r="C832" s="3">
        <v>1.0999999999999999E-2</v>
      </c>
      <c r="D832" s="1">
        <v>0.5</v>
      </c>
      <c r="E832" s="4">
        <v>0.17</v>
      </c>
      <c r="F832" s="4">
        <v>0.33</v>
      </c>
      <c r="G832" s="4">
        <v>0.49999999999999989</v>
      </c>
      <c r="H832" s="17">
        <f t="shared" si="24"/>
        <v>2.0703313449196017E-6</v>
      </c>
      <c r="L832">
        <f t="shared" si="25"/>
        <v>5.4999999999999997E-3</v>
      </c>
    </row>
    <row r="833" spans="1:12" x14ac:dyDescent="0.25">
      <c r="A833" s="1">
        <v>832</v>
      </c>
      <c r="B833" s="2">
        <v>1026731</v>
      </c>
      <c r="C833" s="3">
        <v>1.2999999999999999E-2</v>
      </c>
      <c r="D833" s="1">
        <v>0.5</v>
      </c>
      <c r="E833" s="4">
        <v>0.19</v>
      </c>
      <c r="F833" s="4">
        <v>0.21</v>
      </c>
      <c r="G833" s="4">
        <v>0.60000000000000009</v>
      </c>
      <c r="H833" s="17">
        <f t="shared" si="24"/>
        <v>1.3453252324878159E-6</v>
      </c>
      <c r="L833">
        <f t="shared" si="25"/>
        <v>6.4999999999999997E-3</v>
      </c>
    </row>
    <row r="834" spans="1:12" x14ac:dyDescent="0.25">
      <c r="A834" s="1">
        <v>833</v>
      </c>
      <c r="B834" s="2">
        <v>1738047</v>
      </c>
      <c r="C834" s="3">
        <v>1.7999999999999999E-2</v>
      </c>
      <c r="D834" s="1">
        <v>0.5</v>
      </c>
      <c r="E834" s="4">
        <v>0.23</v>
      </c>
      <c r="F834" s="4">
        <v>0.19</v>
      </c>
      <c r="G834" s="4">
        <v>0.58000000000000007</v>
      </c>
      <c r="H834" s="17">
        <f t="shared" si="24"/>
        <v>3.1532708940612727E-6</v>
      </c>
      <c r="L834">
        <f t="shared" si="25"/>
        <v>8.9999999999999993E-3</v>
      </c>
    </row>
    <row r="835" spans="1:12" x14ac:dyDescent="0.25">
      <c r="A835" s="1">
        <v>834</v>
      </c>
      <c r="B835" s="2">
        <v>1449775</v>
      </c>
      <c r="C835" s="3">
        <v>0.02</v>
      </c>
      <c r="D835" s="1">
        <v>0.5</v>
      </c>
      <c r="E835" s="4">
        <v>0.25</v>
      </c>
      <c r="F835" s="4">
        <v>0.3</v>
      </c>
      <c r="G835" s="4">
        <v>0.44999999999999996</v>
      </c>
      <c r="H835" s="17">
        <f t="shared" ref="H835:H898" si="26">B835*C835*D835/SUM($B$2:$B$1797)</f>
        <v>2.9225224956758183E-6</v>
      </c>
      <c r="L835">
        <f t="shared" ref="L835:L898" si="27">C835*D835</f>
        <v>0.01</v>
      </c>
    </row>
    <row r="836" spans="1:12" x14ac:dyDescent="0.25">
      <c r="A836" s="1">
        <v>835</v>
      </c>
      <c r="B836" s="2">
        <v>1808226</v>
      </c>
      <c r="C836" s="3">
        <v>2.5000000000000001E-2</v>
      </c>
      <c r="D836" s="1">
        <v>0.5</v>
      </c>
      <c r="E836" s="4">
        <v>0.21</v>
      </c>
      <c r="F836" s="4">
        <v>0.25</v>
      </c>
      <c r="G836" s="4">
        <v>0.54</v>
      </c>
      <c r="H836" s="17">
        <f t="shared" si="26"/>
        <v>4.5563804402975486E-6</v>
      </c>
      <c r="L836">
        <f t="shared" si="27"/>
        <v>1.2500000000000001E-2</v>
      </c>
    </row>
    <row r="837" spans="1:12" x14ac:dyDescent="0.25">
      <c r="A837" s="1">
        <v>836</v>
      </c>
      <c r="B837" s="2">
        <v>1769894</v>
      </c>
      <c r="C837" s="3">
        <v>2.9000000000000001E-2</v>
      </c>
      <c r="D837" s="1">
        <v>0.5</v>
      </c>
      <c r="E837" s="4">
        <v>0.22</v>
      </c>
      <c r="F837" s="4">
        <v>0.19</v>
      </c>
      <c r="G837" s="4">
        <v>0.59000000000000008</v>
      </c>
      <c r="H837" s="17">
        <f t="shared" si="26"/>
        <v>5.1733577923777154E-6</v>
      </c>
      <c r="L837">
        <f t="shared" si="27"/>
        <v>1.4500000000000001E-2</v>
      </c>
    </row>
    <row r="838" spans="1:12" x14ac:dyDescent="0.25">
      <c r="A838" s="1">
        <v>837</v>
      </c>
      <c r="B838" s="2">
        <v>1470809</v>
      </c>
      <c r="C838" s="3">
        <v>1.4999999999999999E-2</v>
      </c>
      <c r="D838" s="1">
        <v>0.5</v>
      </c>
      <c r="E838" s="4">
        <v>0.22</v>
      </c>
      <c r="F838" s="4">
        <v>0.28999999999999998</v>
      </c>
      <c r="G838" s="4">
        <v>0.49</v>
      </c>
      <c r="H838" s="17">
        <f t="shared" si="26"/>
        <v>2.223692843376966E-6</v>
      </c>
      <c r="L838">
        <f t="shared" si="27"/>
        <v>7.4999999999999997E-3</v>
      </c>
    </row>
    <row r="839" spans="1:12" x14ac:dyDescent="0.25">
      <c r="A839" s="1">
        <v>838</v>
      </c>
      <c r="B839" s="2">
        <v>1174993</v>
      </c>
      <c r="C839" s="3">
        <v>2.9000000000000001E-2</v>
      </c>
      <c r="D839" s="1">
        <v>0.5</v>
      </c>
      <c r="E839" s="4">
        <v>0.19</v>
      </c>
      <c r="F839" s="4">
        <v>0.24</v>
      </c>
      <c r="G839" s="4">
        <v>0.57000000000000006</v>
      </c>
      <c r="H839" s="17">
        <f t="shared" si="26"/>
        <v>3.4344764107563891E-6</v>
      </c>
      <c r="L839">
        <f t="shared" si="27"/>
        <v>1.4500000000000001E-2</v>
      </c>
    </row>
    <row r="840" spans="1:12" x14ac:dyDescent="0.25">
      <c r="A840" s="1">
        <v>839</v>
      </c>
      <c r="B840" s="2">
        <v>1060810</v>
      </c>
      <c r="C840" s="3">
        <v>0.02</v>
      </c>
      <c r="D840" s="1">
        <v>0.5</v>
      </c>
      <c r="E840" s="4">
        <v>0.19</v>
      </c>
      <c r="F840" s="4">
        <v>0.21</v>
      </c>
      <c r="G840" s="4">
        <v>0.60000000000000009</v>
      </c>
      <c r="H840" s="17">
        <f t="shared" si="26"/>
        <v>2.1384291277183458E-6</v>
      </c>
      <c r="L840">
        <f t="shared" si="27"/>
        <v>0.01</v>
      </c>
    </row>
    <row r="841" spans="1:12" x14ac:dyDescent="0.25">
      <c r="A841" s="1">
        <v>840</v>
      </c>
      <c r="B841" s="2">
        <v>1323300</v>
      </c>
      <c r="C841" s="3">
        <v>1.4E-2</v>
      </c>
      <c r="D841" s="1">
        <v>0.5</v>
      </c>
      <c r="E841" s="4">
        <v>0.17</v>
      </c>
      <c r="F841" s="4">
        <v>0.27</v>
      </c>
      <c r="G841" s="4">
        <v>0.55999999999999994</v>
      </c>
      <c r="H841" s="17">
        <f t="shared" si="26"/>
        <v>1.8672978999979082E-6</v>
      </c>
      <c r="L841">
        <f t="shared" si="27"/>
        <v>7.0000000000000001E-3</v>
      </c>
    </row>
    <row r="842" spans="1:12" x14ac:dyDescent="0.25">
      <c r="A842" s="1">
        <v>841</v>
      </c>
      <c r="B842" s="2">
        <v>1610061</v>
      </c>
      <c r="C842" s="3">
        <v>1.9E-2</v>
      </c>
      <c r="D842" s="1">
        <v>0.5</v>
      </c>
      <c r="E842" s="4">
        <v>0.18</v>
      </c>
      <c r="F842" s="4">
        <v>0.31</v>
      </c>
      <c r="G842" s="4">
        <v>0.51</v>
      </c>
      <c r="H842" s="17">
        <f t="shared" si="26"/>
        <v>3.0833526011379617E-6</v>
      </c>
      <c r="L842">
        <f t="shared" si="27"/>
        <v>9.4999999999999998E-3</v>
      </c>
    </row>
    <row r="843" spans="1:12" x14ac:dyDescent="0.25">
      <c r="A843" s="1">
        <v>842</v>
      </c>
      <c r="B843" s="2">
        <v>1704291</v>
      </c>
      <c r="C843" s="3">
        <v>2.7E-2</v>
      </c>
      <c r="D843" s="1">
        <v>0.5</v>
      </c>
      <c r="E843" s="4">
        <v>0.2</v>
      </c>
      <c r="F843" s="4">
        <v>0.16</v>
      </c>
      <c r="G843" s="4">
        <v>0.6399999999999999</v>
      </c>
      <c r="H843" s="17">
        <f t="shared" si="26"/>
        <v>4.6380430494491063E-6</v>
      </c>
      <c r="L843">
        <f t="shared" si="27"/>
        <v>1.35E-2</v>
      </c>
    </row>
    <row r="844" spans="1:12" x14ac:dyDescent="0.25">
      <c r="A844" s="1">
        <v>843</v>
      </c>
      <c r="B844" s="2">
        <v>1221483</v>
      </c>
      <c r="C844" s="3">
        <v>0.03</v>
      </c>
      <c r="D844" s="1">
        <v>0.5</v>
      </c>
      <c r="E844" s="4">
        <v>0.22</v>
      </c>
      <c r="F844" s="4">
        <v>0.28000000000000003</v>
      </c>
      <c r="G844" s="4">
        <v>0.5</v>
      </c>
      <c r="H844" s="17">
        <f t="shared" si="26"/>
        <v>3.6934816218919338E-6</v>
      </c>
      <c r="L844">
        <f t="shared" si="27"/>
        <v>1.4999999999999999E-2</v>
      </c>
    </row>
    <row r="845" spans="1:12" x14ac:dyDescent="0.25">
      <c r="A845" s="1">
        <v>844</v>
      </c>
      <c r="B845" s="2">
        <v>1326440</v>
      </c>
      <c r="C845" s="3">
        <v>1.2E-2</v>
      </c>
      <c r="D845" s="1">
        <v>0.5</v>
      </c>
      <c r="E845" s="4">
        <v>0.15</v>
      </c>
      <c r="F845" s="4">
        <v>0.19</v>
      </c>
      <c r="G845" s="4">
        <v>0.66</v>
      </c>
      <c r="H845" s="17">
        <f t="shared" si="26"/>
        <v>1.6043389101747096E-6</v>
      </c>
      <c r="L845">
        <f t="shared" si="27"/>
        <v>6.0000000000000001E-3</v>
      </c>
    </row>
    <row r="846" spans="1:12" x14ac:dyDescent="0.25">
      <c r="A846" s="1">
        <v>845</v>
      </c>
      <c r="B846" s="2">
        <v>1487681</v>
      </c>
      <c r="C846" s="3">
        <v>2.4E-2</v>
      </c>
      <c r="D846" s="1">
        <v>0.5</v>
      </c>
      <c r="E846" s="4">
        <v>0.17</v>
      </c>
      <c r="F846" s="4">
        <v>0.32</v>
      </c>
      <c r="G846" s="4">
        <v>0.5099999999999999</v>
      </c>
      <c r="H846" s="17">
        <f t="shared" si="26"/>
        <v>3.5987221649341421E-6</v>
      </c>
      <c r="L846">
        <f t="shared" si="27"/>
        <v>1.2E-2</v>
      </c>
    </row>
    <row r="847" spans="1:12" x14ac:dyDescent="0.25">
      <c r="A847" s="1">
        <v>846</v>
      </c>
      <c r="B847" s="2">
        <v>1281988</v>
      </c>
      <c r="C847" s="3">
        <v>2.1999999999999999E-2</v>
      </c>
      <c r="D847" s="1">
        <v>0.5</v>
      </c>
      <c r="E847" s="4">
        <v>0.21</v>
      </c>
      <c r="F847" s="4">
        <v>0.34</v>
      </c>
      <c r="G847" s="4">
        <v>0.44999999999999996</v>
      </c>
      <c r="H847" s="17">
        <f t="shared" si="26"/>
        <v>2.8427187985067308E-6</v>
      </c>
      <c r="L847">
        <f t="shared" si="27"/>
        <v>1.0999999999999999E-2</v>
      </c>
    </row>
    <row r="848" spans="1:12" x14ac:dyDescent="0.25">
      <c r="A848" s="1">
        <v>847</v>
      </c>
      <c r="B848" s="2">
        <v>1797807</v>
      </c>
      <c r="C848" s="3">
        <v>1.0999999999999999E-2</v>
      </c>
      <c r="D848" s="1">
        <v>0.5</v>
      </c>
      <c r="E848" s="4">
        <v>0.17</v>
      </c>
      <c r="F848" s="4">
        <v>0.33</v>
      </c>
      <c r="G848" s="4">
        <v>0.49999999999999989</v>
      </c>
      <c r="H848" s="17">
        <f t="shared" si="26"/>
        <v>1.993255691545861E-6</v>
      </c>
      <c r="L848">
        <f t="shared" si="27"/>
        <v>5.4999999999999997E-3</v>
      </c>
    </row>
    <row r="849" spans="1:12" x14ac:dyDescent="0.25">
      <c r="A849" s="1">
        <v>848</v>
      </c>
      <c r="B849" s="2">
        <v>1572163</v>
      </c>
      <c r="C849" s="3">
        <v>2.7E-2</v>
      </c>
      <c r="D849" s="1">
        <v>0.5</v>
      </c>
      <c r="E849" s="4">
        <v>0.23</v>
      </c>
      <c r="F849" s="4">
        <v>0.28000000000000003</v>
      </c>
      <c r="G849" s="4">
        <v>0.49</v>
      </c>
      <c r="H849" s="17">
        <f t="shared" si="26"/>
        <v>4.2784710326763776E-6</v>
      </c>
      <c r="L849">
        <f t="shared" si="27"/>
        <v>1.35E-2</v>
      </c>
    </row>
    <row r="850" spans="1:12" x14ac:dyDescent="0.25">
      <c r="A850" s="1">
        <v>849</v>
      </c>
      <c r="B850" s="2">
        <v>1612390</v>
      </c>
      <c r="C850" s="3">
        <v>2.9000000000000001E-2</v>
      </c>
      <c r="D850" s="1">
        <v>0.5</v>
      </c>
      <c r="E850" s="4">
        <v>0.21</v>
      </c>
      <c r="F850" s="4">
        <v>0.31</v>
      </c>
      <c r="G850" s="4">
        <v>0.48</v>
      </c>
      <c r="H850" s="17">
        <f t="shared" si="26"/>
        <v>4.7129773708775247E-6</v>
      </c>
      <c r="L850">
        <f t="shared" si="27"/>
        <v>1.4500000000000001E-2</v>
      </c>
    </row>
    <row r="851" spans="1:12" x14ac:dyDescent="0.25">
      <c r="A851" s="1">
        <v>850</v>
      </c>
      <c r="B851" s="2">
        <v>1836290</v>
      </c>
      <c r="C851" s="3">
        <v>1.9E-2</v>
      </c>
      <c r="D851" s="1">
        <v>0.5</v>
      </c>
      <c r="E851" s="4">
        <v>0.16</v>
      </c>
      <c r="F851" s="4">
        <v>0.24</v>
      </c>
      <c r="G851" s="4">
        <v>0.6</v>
      </c>
      <c r="H851" s="17">
        <f t="shared" si="26"/>
        <v>3.5165931899124494E-6</v>
      </c>
      <c r="L851">
        <f t="shared" si="27"/>
        <v>9.4999999999999998E-3</v>
      </c>
    </row>
    <row r="852" spans="1:12" x14ac:dyDescent="0.25">
      <c r="A852" s="1">
        <v>851</v>
      </c>
      <c r="B852" s="2">
        <v>1601172</v>
      </c>
      <c r="C852" s="3">
        <v>2.3E-2</v>
      </c>
      <c r="D852" s="1">
        <v>0.5</v>
      </c>
      <c r="E852" s="4">
        <v>0.18</v>
      </c>
      <c r="F852" s="4">
        <v>0.2</v>
      </c>
      <c r="G852" s="4">
        <v>0.62000000000000011</v>
      </c>
      <c r="H852" s="17">
        <f t="shared" si="26"/>
        <v>3.7118727856827283E-6</v>
      </c>
      <c r="L852">
        <f t="shared" si="27"/>
        <v>1.15E-2</v>
      </c>
    </row>
    <row r="853" spans="1:12" x14ac:dyDescent="0.25">
      <c r="A853" s="1">
        <v>852</v>
      </c>
      <c r="B853" s="2">
        <v>1742268</v>
      </c>
      <c r="C853" s="3">
        <v>2.5000000000000001E-2</v>
      </c>
      <c r="D853" s="1">
        <v>0.5</v>
      </c>
      <c r="E853" s="4">
        <v>0.2</v>
      </c>
      <c r="F853" s="4">
        <v>0.18</v>
      </c>
      <c r="G853" s="4">
        <v>0.62000000000000011</v>
      </c>
      <c r="H853" s="17">
        <f t="shared" si="26"/>
        <v>4.390179013550479E-6</v>
      </c>
      <c r="L853">
        <f t="shared" si="27"/>
        <v>1.2500000000000001E-2</v>
      </c>
    </row>
    <row r="854" spans="1:12" x14ac:dyDescent="0.25">
      <c r="A854" s="1">
        <v>853</v>
      </c>
      <c r="B854" s="2">
        <v>1429741</v>
      </c>
      <c r="C854" s="3">
        <v>1.0999999999999999E-2</v>
      </c>
      <c r="D854" s="1">
        <v>0.5</v>
      </c>
      <c r="E854" s="4">
        <v>0.18</v>
      </c>
      <c r="F854" s="4">
        <v>0.19</v>
      </c>
      <c r="G854" s="4">
        <v>0.63000000000000012</v>
      </c>
      <c r="H854" s="17">
        <f t="shared" si="26"/>
        <v>1.5851753751578844E-6</v>
      </c>
      <c r="L854">
        <f t="shared" si="27"/>
        <v>5.4999999999999997E-3</v>
      </c>
    </row>
    <row r="855" spans="1:12" x14ac:dyDescent="0.25">
      <c r="A855" s="1">
        <v>854</v>
      </c>
      <c r="B855" s="2">
        <v>1459285</v>
      </c>
      <c r="C855" s="3">
        <v>1.7000000000000001E-2</v>
      </c>
      <c r="D855" s="1">
        <v>0.5</v>
      </c>
      <c r="E855" s="4">
        <v>0.25</v>
      </c>
      <c r="F855" s="4">
        <v>0.2</v>
      </c>
      <c r="G855" s="4">
        <v>0.55000000000000004</v>
      </c>
      <c r="H855" s="17">
        <f t="shared" si="26"/>
        <v>2.5004392089027217E-6</v>
      </c>
      <c r="L855">
        <f t="shared" si="27"/>
        <v>8.5000000000000006E-3</v>
      </c>
    </row>
    <row r="856" spans="1:12" x14ac:dyDescent="0.25">
      <c r="A856" s="1">
        <v>855</v>
      </c>
      <c r="B856" s="2">
        <v>1103261</v>
      </c>
      <c r="C856" s="3">
        <v>1.7000000000000001E-2</v>
      </c>
      <c r="D856" s="1">
        <v>0.5</v>
      </c>
      <c r="E856" s="4">
        <v>0.24</v>
      </c>
      <c r="F856" s="4">
        <v>0.2</v>
      </c>
      <c r="G856" s="4">
        <v>0.56000000000000005</v>
      </c>
      <c r="H856" s="17">
        <f t="shared" si="26"/>
        <v>1.8904032194213098E-6</v>
      </c>
      <c r="L856">
        <f t="shared" si="27"/>
        <v>8.5000000000000006E-3</v>
      </c>
    </row>
    <row r="857" spans="1:12" x14ac:dyDescent="0.25">
      <c r="A857" s="1">
        <v>856</v>
      </c>
      <c r="B857" s="2">
        <v>1531637</v>
      </c>
      <c r="C857" s="3">
        <v>2.5999999999999999E-2</v>
      </c>
      <c r="D857" s="1">
        <v>0.5</v>
      </c>
      <c r="E857" s="4">
        <v>0.17</v>
      </c>
      <c r="F857" s="4">
        <v>0.28000000000000003</v>
      </c>
      <c r="G857" s="4">
        <v>0.54999999999999993</v>
      </c>
      <c r="H857" s="17">
        <f t="shared" si="26"/>
        <v>4.0138067383023231E-6</v>
      </c>
      <c r="L857">
        <f t="shared" si="27"/>
        <v>1.2999999999999999E-2</v>
      </c>
    </row>
    <row r="858" spans="1:12" x14ac:dyDescent="0.25">
      <c r="A858" s="1">
        <v>857</v>
      </c>
      <c r="B858" s="2">
        <v>1383955</v>
      </c>
      <c r="C858" s="3">
        <v>2.5999999999999999E-2</v>
      </c>
      <c r="D858" s="1">
        <v>0.5</v>
      </c>
      <c r="E858" s="4">
        <v>0.18</v>
      </c>
      <c r="F858" s="4">
        <v>0.27</v>
      </c>
      <c r="G858" s="4">
        <v>0.55000000000000004</v>
      </c>
      <c r="H858" s="17">
        <f t="shared" si="26"/>
        <v>3.6267914032549434E-6</v>
      </c>
      <c r="L858">
        <f t="shared" si="27"/>
        <v>1.2999999999999999E-2</v>
      </c>
    </row>
    <row r="859" spans="1:12" x14ac:dyDescent="0.25">
      <c r="A859" s="1">
        <v>858</v>
      </c>
      <c r="B859" s="2">
        <v>1359986</v>
      </c>
      <c r="C859" s="3">
        <v>0.03</v>
      </c>
      <c r="D859" s="1">
        <v>0.5</v>
      </c>
      <c r="E859" s="4">
        <v>0.23</v>
      </c>
      <c r="F859" s="4">
        <v>0.26</v>
      </c>
      <c r="G859" s="4">
        <v>0.51</v>
      </c>
      <c r="H859" s="17">
        <f t="shared" si="26"/>
        <v>4.1122826081331654E-6</v>
      </c>
      <c r="L859">
        <f t="shared" si="27"/>
        <v>1.4999999999999999E-2</v>
      </c>
    </row>
    <row r="860" spans="1:12" x14ac:dyDescent="0.25">
      <c r="A860" s="1">
        <v>859</v>
      </c>
      <c r="B860" s="2">
        <v>1805339</v>
      </c>
      <c r="C860" s="3">
        <v>0.01</v>
      </c>
      <c r="D860" s="1">
        <v>0.5</v>
      </c>
      <c r="E860" s="4">
        <v>0.21</v>
      </c>
      <c r="F860" s="4">
        <v>0.24</v>
      </c>
      <c r="G860" s="4">
        <v>0.55000000000000004</v>
      </c>
      <c r="H860" s="17">
        <f t="shared" si="26"/>
        <v>1.8196423030542276E-6</v>
      </c>
      <c r="L860">
        <f t="shared" si="27"/>
        <v>5.0000000000000001E-3</v>
      </c>
    </row>
    <row r="861" spans="1:12" x14ac:dyDescent="0.25">
      <c r="A861" s="1">
        <v>860</v>
      </c>
      <c r="B861" s="2">
        <v>1047054</v>
      </c>
      <c r="C861" s="3">
        <v>1.4E-2</v>
      </c>
      <c r="D861" s="1">
        <v>0.5</v>
      </c>
      <c r="E861" s="4">
        <v>0.24</v>
      </c>
      <c r="F861" s="4">
        <v>0.22</v>
      </c>
      <c r="G861" s="4">
        <v>0.54</v>
      </c>
      <c r="H861" s="17">
        <f t="shared" si="26"/>
        <v>1.4774894093436178E-6</v>
      </c>
      <c r="L861">
        <f t="shared" si="27"/>
        <v>7.0000000000000001E-3</v>
      </c>
    </row>
    <row r="862" spans="1:12" x14ac:dyDescent="0.25">
      <c r="A862" s="1">
        <v>861</v>
      </c>
      <c r="B862" s="2">
        <v>1467788</v>
      </c>
      <c r="C862" s="3">
        <v>2.1000000000000001E-2</v>
      </c>
      <c r="D862" s="1">
        <v>0.5</v>
      </c>
      <c r="E862" s="4">
        <v>0.16</v>
      </c>
      <c r="F862" s="4">
        <v>0.33</v>
      </c>
      <c r="G862" s="4">
        <v>0.5099999999999999</v>
      </c>
      <c r="H862" s="17">
        <f t="shared" si="26"/>
        <v>3.106775617821503E-6</v>
      </c>
      <c r="L862">
        <f t="shared" si="27"/>
        <v>1.0500000000000001E-2</v>
      </c>
    </row>
    <row r="863" spans="1:12" x14ac:dyDescent="0.25">
      <c r="A863" s="1">
        <v>862</v>
      </c>
      <c r="B863" s="2">
        <v>1010592</v>
      </c>
      <c r="C863" s="3">
        <v>0.01</v>
      </c>
      <c r="D863" s="1">
        <v>0.5</v>
      </c>
      <c r="E863" s="4">
        <v>0.23</v>
      </c>
      <c r="F863" s="4">
        <v>0.35</v>
      </c>
      <c r="G863" s="4">
        <v>0.42000000000000004</v>
      </c>
      <c r="H863" s="17">
        <f t="shared" si="26"/>
        <v>1.0185986977117196E-6</v>
      </c>
      <c r="L863">
        <f t="shared" si="27"/>
        <v>5.0000000000000001E-3</v>
      </c>
    </row>
    <row r="864" spans="1:12" x14ac:dyDescent="0.25">
      <c r="A864" s="1">
        <v>863</v>
      </c>
      <c r="B864" s="2">
        <v>1004085</v>
      </c>
      <c r="C864" s="3">
        <v>1.7999999999999999E-2</v>
      </c>
      <c r="D864" s="1">
        <v>0.5</v>
      </c>
      <c r="E864" s="4">
        <v>0.18</v>
      </c>
      <c r="F864" s="4">
        <v>0.22</v>
      </c>
      <c r="G864" s="4">
        <v>0.60000000000000009</v>
      </c>
      <c r="H864" s="17">
        <f t="shared" si="26"/>
        <v>1.8216722595324023E-6</v>
      </c>
      <c r="L864">
        <f t="shared" si="27"/>
        <v>8.9999999999999993E-3</v>
      </c>
    </row>
    <row r="865" spans="1:12" x14ac:dyDescent="0.25">
      <c r="A865" s="1">
        <v>864</v>
      </c>
      <c r="B865" s="2">
        <v>1461335</v>
      </c>
      <c r="C865" s="3">
        <v>1.4E-2</v>
      </c>
      <c r="D865" s="1">
        <v>0.5</v>
      </c>
      <c r="E865" s="4">
        <v>0.2</v>
      </c>
      <c r="F865" s="4">
        <v>0.22</v>
      </c>
      <c r="G865" s="4">
        <v>0.58000000000000007</v>
      </c>
      <c r="H865" s="17">
        <f t="shared" si="26"/>
        <v>2.0620779692386026E-6</v>
      </c>
      <c r="L865">
        <f t="shared" si="27"/>
        <v>7.0000000000000001E-3</v>
      </c>
    </row>
    <row r="866" spans="1:12" x14ac:dyDescent="0.25">
      <c r="A866" s="1">
        <v>865</v>
      </c>
      <c r="B866" s="2">
        <v>1521665</v>
      </c>
      <c r="C866" s="3">
        <v>1.6E-2</v>
      </c>
      <c r="D866" s="1">
        <v>0.5</v>
      </c>
      <c r="E866" s="4">
        <v>0.21</v>
      </c>
      <c r="F866" s="4">
        <v>0.28999999999999998</v>
      </c>
      <c r="G866" s="4">
        <v>0.5</v>
      </c>
      <c r="H866" s="17">
        <f t="shared" si="26"/>
        <v>2.4539533063448017E-6</v>
      </c>
      <c r="L866">
        <f t="shared" si="27"/>
        <v>8.0000000000000002E-3</v>
      </c>
    </row>
    <row r="867" spans="1:12" x14ac:dyDescent="0.25">
      <c r="A867" s="1">
        <v>866</v>
      </c>
      <c r="B867" s="2">
        <v>1957326</v>
      </c>
      <c r="C867" s="3">
        <v>1.9E-2</v>
      </c>
      <c r="D867" s="1">
        <v>0.5</v>
      </c>
      <c r="E867" s="4">
        <v>0.19</v>
      </c>
      <c r="F867" s="4">
        <v>0.23</v>
      </c>
      <c r="G867" s="4">
        <v>0.58000000000000007</v>
      </c>
      <c r="H867" s="17">
        <f t="shared" si="26"/>
        <v>3.7483835788674849E-6</v>
      </c>
      <c r="L867">
        <f t="shared" si="27"/>
        <v>9.4999999999999998E-3</v>
      </c>
    </row>
    <row r="868" spans="1:12" x14ac:dyDescent="0.25">
      <c r="A868" s="1">
        <v>867</v>
      </c>
      <c r="B868" s="2">
        <v>1244894</v>
      </c>
      <c r="C868" s="3">
        <v>1.7000000000000001E-2</v>
      </c>
      <c r="D868" s="1">
        <v>0.5</v>
      </c>
      <c r="E868" s="4">
        <v>0.19</v>
      </c>
      <c r="F868" s="4">
        <v>0.2</v>
      </c>
      <c r="G868" s="4">
        <v>0.6100000000000001</v>
      </c>
      <c r="H868" s="17">
        <f t="shared" si="26"/>
        <v>2.1330869354017516E-6</v>
      </c>
      <c r="L868">
        <f t="shared" si="27"/>
        <v>8.5000000000000006E-3</v>
      </c>
    </row>
    <row r="869" spans="1:12" x14ac:dyDescent="0.25">
      <c r="A869" s="1">
        <v>868</v>
      </c>
      <c r="B869" s="2">
        <v>1070972</v>
      </c>
      <c r="C869" s="3">
        <v>2.9000000000000001E-2</v>
      </c>
      <c r="D869" s="1">
        <v>0.5</v>
      </c>
      <c r="E869" s="4">
        <v>0.15</v>
      </c>
      <c r="F869" s="4">
        <v>0.27</v>
      </c>
      <c r="G869" s="4">
        <v>0.57999999999999996</v>
      </c>
      <c r="H869" s="17">
        <f t="shared" si="26"/>
        <v>3.130425517922738E-6</v>
      </c>
      <c r="L869">
        <f t="shared" si="27"/>
        <v>1.4500000000000001E-2</v>
      </c>
    </row>
    <row r="870" spans="1:12" x14ac:dyDescent="0.25">
      <c r="A870" s="1">
        <v>869</v>
      </c>
      <c r="B870" s="2">
        <v>1372533</v>
      </c>
      <c r="C870" s="3">
        <v>2.4E-2</v>
      </c>
      <c r="D870" s="1">
        <v>0.5</v>
      </c>
      <c r="E870" s="4">
        <v>0.19</v>
      </c>
      <c r="F870" s="4">
        <v>0.23</v>
      </c>
      <c r="G870" s="4">
        <v>0.58000000000000007</v>
      </c>
      <c r="H870" s="17">
        <f t="shared" si="26"/>
        <v>3.3201774635849712E-6</v>
      </c>
      <c r="L870">
        <f t="shared" si="27"/>
        <v>1.2E-2</v>
      </c>
    </row>
    <row r="871" spans="1:12" x14ac:dyDescent="0.25">
      <c r="A871" s="1">
        <v>870</v>
      </c>
      <c r="B871" s="2">
        <v>1805851</v>
      </c>
      <c r="C871" s="3">
        <v>1.7999999999999999E-2</v>
      </c>
      <c r="D871" s="1">
        <v>0.5</v>
      </c>
      <c r="E871" s="4">
        <v>0.17</v>
      </c>
      <c r="F871" s="4">
        <v>0.3</v>
      </c>
      <c r="G871" s="4">
        <v>0.52999999999999992</v>
      </c>
      <c r="H871" s="17">
        <f t="shared" si="26"/>
        <v>3.2762850471313167E-6</v>
      </c>
      <c r="L871">
        <f t="shared" si="27"/>
        <v>8.9999999999999993E-3</v>
      </c>
    </row>
    <row r="872" spans="1:12" x14ac:dyDescent="0.25">
      <c r="A872" s="1">
        <v>871</v>
      </c>
      <c r="B872" s="2">
        <v>1181103</v>
      </c>
      <c r="C872" s="3">
        <v>1.0999999999999999E-2</v>
      </c>
      <c r="D872" s="1">
        <v>0.5</v>
      </c>
      <c r="E872" s="4">
        <v>0.21</v>
      </c>
      <c r="F872" s="4">
        <v>0.26</v>
      </c>
      <c r="G872" s="4">
        <v>0.53</v>
      </c>
      <c r="H872" s="17">
        <f t="shared" si="26"/>
        <v>1.3095066806681091E-6</v>
      </c>
      <c r="L872">
        <f t="shared" si="27"/>
        <v>5.4999999999999997E-3</v>
      </c>
    </row>
    <row r="873" spans="1:12" x14ac:dyDescent="0.25">
      <c r="A873" s="1">
        <v>872</v>
      </c>
      <c r="B873" s="2">
        <v>1859948</v>
      </c>
      <c r="C873" s="3">
        <v>0.02</v>
      </c>
      <c r="D873" s="1">
        <v>0.5</v>
      </c>
      <c r="E873" s="4">
        <v>0.16</v>
      </c>
      <c r="F873" s="4">
        <v>0.24</v>
      </c>
      <c r="G873" s="4">
        <v>0.6</v>
      </c>
      <c r="H873" s="17">
        <f t="shared" si="26"/>
        <v>3.7493679162540715E-6</v>
      </c>
      <c r="L873">
        <f t="shared" si="27"/>
        <v>0.01</v>
      </c>
    </row>
    <row r="874" spans="1:12" x14ac:dyDescent="0.25">
      <c r="A874" s="1">
        <v>873</v>
      </c>
      <c r="B874" s="2">
        <v>1637149</v>
      </c>
      <c r="C874" s="3">
        <v>1.2E-2</v>
      </c>
      <c r="D874" s="1">
        <v>0.5</v>
      </c>
      <c r="E874" s="4">
        <v>0.25</v>
      </c>
      <c r="F874" s="4">
        <v>0.18</v>
      </c>
      <c r="G874" s="4">
        <v>0.57000000000000006</v>
      </c>
      <c r="H874" s="17">
        <f t="shared" si="26"/>
        <v>1.9801437248979338E-6</v>
      </c>
      <c r="L874">
        <f t="shared" si="27"/>
        <v>6.0000000000000001E-3</v>
      </c>
    </row>
    <row r="875" spans="1:12" x14ac:dyDescent="0.25">
      <c r="A875" s="1">
        <v>874</v>
      </c>
      <c r="B875" s="2">
        <v>1937779</v>
      </c>
      <c r="C875" s="3">
        <v>1.2E-2</v>
      </c>
      <c r="D875" s="1">
        <v>0.5</v>
      </c>
      <c r="E875" s="4">
        <v>0.19</v>
      </c>
      <c r="F875" s="4">
        <v>0.3</v>
      </c>
      <c r="G875" s="4">
        <v>0.51</v>
      </c>
      <c r="H875" s="17">
        <f t="shared" si="26"/>
        <v>2.3437579151860908E-6</v>
      </c>
      <c r="L875">
        <f t="shared" si="27"/>
        <v>6.0000000000000001E-3</v>
      </c>
    </row>
    <row r="876" spans="1:12" x14ac:dyDescent="0.25">
      <c r="A876" s="1">
        <v>875</v>
      </c>
      <c r="B876" s="2">
        <v>1107914</v>
      </c>
      <c r="C876" s="3">
        <v>1.2999999999999999E-2</v>
      </c>
      <c r="D876" s="1">
        <v>0.5</v>
      </c>
      <c r="E876" s="4">
        <v>0.22</v>
      </c>
      <c r="F876" s="4">
        <v>0.27</v>
      </c>
      <c r="G876" s="4">
        <v>0.51</v>
      </c>
      <c r="H876" s="17">
        <f t="shared" si="26"/>
        <v>1.4516992860121163E-6</v>
      </c>
      <c r="L876">
        <f t="shared" si="27"/>
        <v>6.4999999999999997E-3</v>
      </c>
    </row>
    <row r="877" spans="1:12" x14ac:dyDescent="0.25">
      <c r="A877" s="1">
        <v>876</v>
      </c>
      <c r="B877" s="2">
        <v>1467383</v>
      </c>
      <c r="C877" s="3">
        <v>2.1999999999999999E-2</v>
      </c>
      <c r="D877" s="1">
        <v>0.5</v>
      </c>
      <c r="E877" s="4">
        <v>0.23</v>
      </c>
      <c r="F877" s="4">
        <v>0.3</v>
      </c>
      <c r="G877" s="4">
        <v>0.47</v>
      </c>
      <c r="H877" s="17">
        <f t="shared" si="26"/>
        <v>3.2538192547115905E-6</v>
      </c>
      <c r="L877">
        <f t="shared" si="27"/>
        <v>1.0999999999999999E-2</v>
      </c>
    </row>
    <row r="878" spans="1:12" x14ac:dyDescent="0.25">
      <c r="A878" s="1">
        <v>877</v>
      </c>
      <c r="B878" s="2">
        <v>1317040</v>
      </c>
      <c r="C878" s="3">
        <v>1.7999999999999999E-2</v>
      </c>
      <c r="D878" s="1">
        <v>0.5</v>
      </c>
      <c r="E878" s="4">
        <v>0.24</v>
      </c>
      <c r="F878" s="4">
        <v>0.32</v>
      </c>
      <c r="G878" s="4">
        <v>0.43999999999999995</v>
      </c>
      <c r="H878" s="17">
        <f t="shared" si="26"/>
        <v>2.3894543118307264E-6</v>
      </c>
      <c r="L878">
        <f t="shared" si="27"/>
        <v>8.9999999999999993E-3</v>
      </c>
    </row>
    <row r="879" spans="1:12" x14ac:dyDescent="0.25">
      <c r="A879" s="1">
        <v>878</v>
      </c>
      <c r="B879" s="2">
        <v>1211165</v>
      </c>
      <c r="C879" s="3">
        <v>1.0999999999999999E-2</v>
      </c>
      <c r="D879" s="1">
        <v>0.5</v>
      </c>
      <c r="E879" s="4">
        <v>0.21</v>
      </c>
      <c r="F879" s="4">
        <v>0.26</v>
      </c>
      <c r="G879" s="4">
        <v>0.53</v>
      </c>
      <c r="H879" s="17">
        <f t="shared" si="26"/>
        <v>1.3428368727294656E-6</v>
      </c>
      <c r="L879">
        <f t="shared" si="27"/>
        <v>5.4999999999999997E-3</v>
      </c>
    </row>
    <row r="880" spans="1:12" x14ac:dyDescent="0.25">
      <c r="A880" s="1">
        <v>879</v>
      </c>
      <c r="B880" s="2">
        <v>1184417</v>
      </c>
      <c r="C880" s="3">
        <v>2.9000000000000001E-2</v>
      </c>
      <c r="D880" s="1">
        <v>0.5</v>
      </c>
      <c r="E880" s="4">
        <v>0.2</v>
      </c>
      <c r="F880" s="4">
        <v>0.25</v>
      </c>
      <c r="G880" s="4">
        <v>0.55000000000000004</v>
      </c>
      <c r="H880" s="17">
        <f t="shared" si="26"/>
        <v>3.4620225371545623E-6</v>
      </c>
      <c r="L880">
        <f t="shared" si="27"/>
        <v>1.4500000000000001E-2</v>
      </c>
    </row>
    <row r="881" spans="1:12" x14ac:dyDescent="0.25">
      <c r="A881" s="1">
        <v>880</v>
      </c>
      <c r="B881" s="2">
        <v>1896714</v>
      </c>
      <c r="C881" s="3">
        <v>1.2E-2</v>
      </c>
      <c r="D881" s="1">
        <v>0.5</v>
      </c>
      <c r="E881" s="4">
        <v>0.18</v>
      </c>
      <c r="F881" s="4">
        <v>0.35</v>
      </c>
      <c r="G881" s="4">
        <v>0.47000000000000003</v>
      </c>
      <c r="H881" s="17">
        <f t="shared" si="26"/>
        <v>2.2940894964514895E-6</v>
      </c>
      <c r="L881">
        <f t="shared" si="27"/>
        <v>6.0000000000000001E-3</v>
      </c>
    </row>
    <row r="882" spans="1:12" x14ac:dyDescent="0.25">
      <c r="A882" s="1">
        <v>881</v>
      </c>
      <c r="B882" s="2">
        <v>1993200</v>
      </c>
      <c r="C882" s="3">
        <v>1.4999999999999999E-2</v>
      </c>
      <c r="D882" s="1">
        <v>0.5</v>
      </c>
      <c r="E882" s="4">
        <v>0.21</v>
      </c>
      <c r="F882" s="4">
        <v>0.26</v>
      </c>
      <c r="G882" s="4">
        <v>0.53</v>
      </c>
      <c r="H882" s="17">
        <f t="shared" si="26"/>
        <v>3.0134875265374148E-6</v>
      </c>
      <c r="L882">
        <f t="shared" si="27"/>
        <v>7.4999999999999997E-3</v>
      </c>
    </row>
    <row r="883" spans="1:12" x14ac:dyDescent="0.25">
      <c r="A883" s="1">
        <v>882</v>
      </c>
      <c r="B883" s="2">
        <v>1785661</v>
      </c>
      <c r="C883" s="3">
        <v>2.5000000000000001E-2</v>
      </c>
      <c r="D883" s="1">
        <v>0.5</v>
      </c>
      <c r="E883" s="4">
        <v>0.24</v>
      </c>
      <c r="F883" s="4">
        <v>0.2</v>
      </c>
      <c r="G883" s="4">
        <v>0.56000000000000005</v>
      </c>
      <c r="H883" s="17">
        <f t="shared" si="26"/>
        <v>4.4995209964916774E-6</v>
      </c>
      <c r="L883">
        <f t="shared" si="27"/>
        <v>1.2500000000000001E-2</v>
      </c>
    </row>
    <row r="884" spans="1:12" x14ac:dyDescent="0.25">
      <c r="A884" s="1">
        <v>883</v>
      </c>
      <c r="B884" s="2">
        <v>1244472</v>
      </c>
      <c r="C884" s="3">
        <v>0.01</v>
      </c>
      <c r="D884" s="1">
        <v>0.5</v>
      </c>
      <c r="E884" s="4">
        <v>0.16</v>
      </c>
      <c r="F884" s="4">
        <v>0.24</v>
      </c>
      <c r="G884" s="4">
        <v>0.6</v>
      </c>
      <c r="H884" s="17">
        <f t="shared" si="26"/>
        <v>1.254331677411556E-6</v>
      </c>
      <c r="L884">
        <f t="shared" si="27"/>
        <v>5.0000000000000001E-3</v>
      </c>
    </row>
    <row r="885" spans="1:12" x14ac:dyDescent="0.25">
      <c r="A885" s="1">
        <v>884</v>
      </c>
      <c r="B885" s="2">
        <v>1109953</v>
      </c>
      <c r="C885" s="3">
        <v>1.4E-2</v>
      </c>
      <c r="D885" s="1">
        <v>0.5</v>
      </c>
      <c r="E885" s="4">
        <v>0.22</v>
      </c>
      <c r="F885" s="4">
        <v>0.25</v>
      </c>
      <c r="G885" s="4">
        <v>0.53</v>
      </c>
      <c r="H885" s="17">
        <f t="shared" si="26"/>
        <v>1.5662456782259338E-6</v>
      </c>
      <c r="L885">
        <f t="shared" si="27"/>
        <v>7.0000000000000001E-3</v>
      </c>
    </row>
    <row r="886" spans="1:12" x14ac:dyDescent="0.25">
      <c r="A886" s="1">
        <v>885</v>
      </c>
      <c r="B886" s="2">
        <v>1237855</v>
      </c>
      <c r="C886" s="3">
        <v>2.9000000000000001E-2</v>
      </c>
      <c r="D886" s="1">
        <v>0.5</v>
      </c>
      <c r="E886" s="4">
        <v>0.2</v>
      </c>
      <c r="F886" s="4">
        <v>0.15</v>
      </c>
      <c r="G886" s="4">
        <v>0.64999999999999991</v>
      </c>
      <c r="H886" s="17">
        <f t="shared" si="26"/>
        <v>3.6182205318983602E-6</v>
      </c>
      <c r="L886">
        <f t="shared" si="27"/>
        <v>1.4500000000000001E-2</v>
      </c>
    </row>
    <row r="887" spans="1:12" x14ac:dyDescent="0.25">
      <c r="A887" s="1">
        <v>886</v>
      </c>
      <c r="B887" s="2">
        <v>1082154</v>
      </c>
      <c r="C887" s="3">
        <v>1.7000000000000001E-2</v>
      </c>
      <c r="D887" s="1">
        <v>0.5</v>
      </c>
      <c r="E887" s="4">
        <v>0.2</v>
      </c>
      <c r="F887" s="4">
        <v>0.26</v>
      </c>
      <c r="G887" s="4">
        <v>0.54</v>
      </c>
      <c r="H887" s="17">
        <f t="shared" si="26"/>
        <v>1.8542370350349085E-6</v>
      </c>
      <c r="L887">
        <f t="shared" si="27"/>
        <v>8.5000000000000006E-3</v>
      </c>
    </row>
    <row r="888" spans="1:12" x14ac:dyDescent="0.25">
      <c r="A888" s="1">
        <v>887</v>
      </c>
      <c r="B888" s="2">
        <v>1855775</v>
      </c>
      <c r="C888" s="3">
        <v>2.3E-2</v>
      </c>
      <c r="D888" s="1">
        <v>0.5</v>
      </c>
      <c r="E888" s="4">
        <v>0.17</v>
      </c>
      <c r="F888" s="4">
        <v>0.27</v>
      </c>
      <c r="G888" s="4">
        <v>0.55999999999999994</v>
      </c>
      <c r="H888" s="17">
        <f t="shared" si="26"/>
        <v>4.3020991616455726E-6</v>
      </c>
      <c r="L888">
        <f t="shared" si="27"/>
        <v>1.15E-2</v>
      </c>
    </row>
    <row r="889" spans="1:12" x14ac:dyDescent="0.25">
      <c r="A889" s="1">
        <v>888</v>
      </c>
      <c r="B889" s="2">
        <v>1234441</v>
      </c>
      <c r="C889" s="3">
        <v>2.5000000000000001E-2</v>
      </c>
      <c r="D889" s="1">
        <v>0.5</v>
      </c>
      <c r="E889" s="4">
        <v>0.16</v>
      </c>
      <c r="F889" s="4">
        <v>0.16</v>
      </c>
      <c r="G889" s="4">
        <v>0.67999999999999994</v>
      </c>
      <c r="H889" s="17">
        <f t="shared" si="26"/>
        <v>3.1105530100227216E-6</v>
      </c>
      <c r="L889">
        <f t="shared" si="27"/>
        <v>1.2500000000000001E-2</v>
      </c>
    </row>
    <row r="890" spans="1:12" x14ac:dyDescent="0.25">
      <c r="A890" s="1">
        <v>889</v>
      </c>
      <c r="B890" s="2">
        <v>1511320</v>
      </c>
      <c r="C890" s="3">
        <v>1.2E-2</v>
      </c>
      <c r="D890" s="1">
        <v>0.5</v>
      </c>
      <c r="E890" s="4">
        <v>0.15</v>
      </c>
      <c r="F890" s="4">
        <v>0.25</v>
      </c>
      <c r="G890" s="4">
        <v>0.6</v>
      </c>
      <c r="H890" s="17">
        <f t="shared" si="26"/>
        <v>1.8279526263722761E-6</v>
      </c>
      <c r="L890">
        <f t="shared" si="27"/>
        <v>6.0000000000000001E-3</v>
      </c>
    </row>
    <row r="891" spans="1:12" x14ac:dyDescent="0.25">
      <c r="A891" s="1">
        <v>890</v>
      </c>
      <c r="B891" s="2">
        <v>1950177</v>
      </c>
      <c r="C891" s="3">
        <v>1.9E-2</v>
      </c>
      <c r="D891" s="1">
        <v>0.5</v>
      </c>
      <c r="E891" s="4">
        <v>0.23</v>
      </c>
      <c r="F891" s="4">
        <v>0.23</v>
      </c>
      <c r="G891" s="4">
        <v>0.54</v>
      </c>
      <c r="H891" s="17">
        <f t="shared" si="26"/>
        <v>3.7346928629594941E-6</v>
      </c>
      <c r="L891">
        <f t="shared" si="27"/>
        <v>9.4999999999999998E-3</v>
      </c>
    </row>
    <row r="892" spans="1:12" x14ac:dyDescent="0.25">
      <c r="A892" s="1">
        <v>891</v>
      </c>
      <c r="B892" s="2">
        <v>1114960</v>
      </c>
      <c r="C892" s="3">
        <v>1.9E-2</v>
      </c>
      <c r="D892" s="1">
        <v>0.5</v>
      </c>
      <c r="E892" s="4">
        <v>0.16</v>
      </c>
      <c r="F892" s="4">
        <v>0.31</v>
      </c>
      <c r="G892" s="4">
        <v>0.52999999999999992</v>
      </c>
      <c r="H892" s="17">
        <f t="shared" si="26"/>
        <v>2.1352078065146484E-6</v>
      </c>
      <c r="L892">
        <f t="shared" si="27"/>
        <v>9.4999999999999998E-3</v>
      </c>
    </row>
    <row r="893" spans="1:12" x14ac:dyDescent="0.25">
      <c r="A893" s="1">
        <v>892</v>
      </c>
      <c r="B893" s="2">
        <v>1416142</v>
      </c>
      <c r="C893" s="3">
        <v>0.03</v>
      </c>
      <c r="D893" s="1">
        <v>0.5</v>
      </c>
      <c r="E893" s="4">
        <v>0.25</v>
      </c>
      <c r="F893" s="4">
        <v>0.31</v>
      </c>
      <c r="G893" s="4">
        <v>0.43999999999999995</v>
      </c>
      <c r="H893" s="17">
        <f t="shared" si="26"/>
        <v>4.2820853429718522E-6</v>
      </c>
      <c r="L893">
        <f t="shared" si="27"/>
        <v>1.4999999999999999E-2</v>
      </c>
    </row>
    <row r="894" spans="1:12" x14ac:dyDescent="0.25">
      <c r="A894" s="1">
        <v>893</v>
      </c>
      <c r="B894" s="2">
        <v>1047271</v>
      </c>
      <c r="C894" s="3">
        <v>0.01</v>
      </c>
      <c r="D894" s="1">
        <v>0.5</v>
      </c>
      <c r="E894" s="4">
        <v>0.18</v>
      </c>
      <c r="F894" s="4">
        <v>0.19</v>
      </c>
      <c r="G894" s="4">
        <v>0.63000000000000012</v>
      </c>
      <c r="H894" s="17">
        <f t="shared" si="26"/>
        <v>1.0555682973457641E-6</v>
      </c>
      <c r="L894">
        <f t="shared" si="27"/>
        <v>5.0000000000000001E-3</v>
      </c>
    </row>
    <row r="895" spans="1:12" x14ac:dyDescent="0.25">
      <c r="A895" s="1">
        <v>894</v>
      </c>
      <c r="B895" s="2">
        <v>1057543</v>
      </c>
      <c r="C895" s="3">
        <v>0.01</v>
      </c>
      <c r="D895" s="1">
        <v>0.5</v>
      </c>
      <c r="E895" s="4">
        <v>0.16</v>
      </c>
      <c r="F895" s="4">
        <v>0.26</v>
      </c>
      <c r="G895" s="4">
        <v>0.57999999999999996</v>
      </c>
      <c r="H895" s="17">
        <f t="shared" si="26"/>
        <v>1.0659216801381222E-6</v>
      </c>
      <c r="L895">
        <f t="shared" si="27"/>
        <v>5.0000000000000001E-3</v>
      </c>
    </row>
    <row r="896" spans="1:12" x14ac:dyDescent="0.25">
      <c r="A896" s="1">
        <v>895</v>
      </c>
      <c r="B896" s="2">
        <v>1149294</v>
      </c>
      <c r="C896" s="3">
        <v>0.01</v>
      </c>
      <c r="D896" s="1">
        <v>0.5</v>
      </c>
      <c r="E896" s="4">
        <v>0.23</v>
      </c>
      <c r="F896" s="4">
        <v>0.31</v>
      </c>
      <c r="G896" s="4">
        <v>0.45999999999999996</v>
      </c>
      <c r="H896" s="17">
        <f t="shared" si="26"/>
        <v>1.1583996030919432E-6</v>
      </c>
      <c r="L896">
        <f t="shared" si="27"/>
        <v>5.0000000000000001E-3</v>
      </c>
    </row>
    <row r="897" spans="1:12" x14ac:dyDescent="0.25">
      <c r="A897" s="1">
        <v>896</v>
      </c>
      <c r="B897" s="2">
        <v>1831605</v>
      </c>
      <c r="C897" s="3">
        <v>0.02</v>
      </c>
      <c r="D897" s="1">
        <v>0.5</v>
      </c>
      <c r="E897" s="4">
        <v>0.17</v>
      </c>
      <c r="F897" s="4">
        <v>0.3</v>
      </c>
      <c r="G897" s="4">
        <v>0.52999999999999992</v>
      </c>
      <c r="H897" s="17">
        <f t="shared" si="26"/>
        <v>3.6922328055679723E-6</v>
      </c>
      <c r="L897">
        <f t="shared" si="27"/>
        <v>0.01</v>
      </c>
    </row>
    <row r="898" spans="1:12" x14ac:dyDescent="0.25">
      <c r="A898" s="1">
        <v>897</v>
      </c>
      <c r="B898" s="2">
        <v>1826180</v>
      </c>
      <c r="C898" s="3">
        <v>2.4E-2</v>
      </c>
      <c r="D898" s="1">
        <v>0.5</v>
      </c>
      <c r="E898" s="4">
        <v>0.2</v>
      </c>
      <c r="F898" s="4">
        <v>0.16</v>
      </c>
      <c r="G898" s="4">
        <v>0.6399999999999999</v>
      </c>
      <c r="H898" s="17">
        <f t="shared" si="26"/>
        <v>4.4175562120907857E-6</v>
      </c>
      <c r="L898">
        <f t="shared" si="27"/>
        <v>1.2E-2</v>
      </c>
    </row>
    <row r="899" spans="1:12" x14ac:dyDescent="0.25">
      <c r="A899" s="1">
        <v>898</v>
      </c>
      <c r="B899" s="2">
        <v>1780898</v>
      </c>
      <c r="C899" s="3">
        <v>2.5000000000000001E-2</v>
      </c>
      <c r="D899" s="1">
        <v>0.5</v>
      </c>
      <c r="E899" s="4">
        <v>0.21</v>
      </c>
      <c r="F899" s="4">
        <v>0.31</v>
      </c>
      <c r="G899" s="4">
        <v>0.48</v>
      </c>
      <c r="H899" s="17">
        <f t="shared" ref="H899:H962" si="28">B899*C899*D899/SUM($B$2:$B$1797)</f>
        <v>4.487519155993235E-6</v>
      </c>
      <c r="L899">
        <f t="shared" ref="L899:L962" si="29">C899*D899</f>
        <v>1.2500000000000001E-2</v>
      </c>
    </row>
    <row r="900" spans="1:12" x14ac:dyDescent="0.25">
      <c r="A900" s="1">
        <v>899</v>
      </c>
      <c r="B900" s="2">
        <v>1509210</v>
      </c>
      <c r="C900" s="3">
        <v>1.4E-2</v>
      </c>
      <c r="D900" s="1">
        <v>0.5</v>
      </c>
      <c r="E900" s="4">
        <v>0.19</v>
      </c>
      <c r="F900" s="4">
        <v>0.16</v>
      </c>
      <c r="G900" s="4">
        <v>0.64999999999999991</v>
      </c>
      <c r="H900" s="17">
        <f t="shared" si="28"/>
        <v>2.1296339935432953E-6</v>
      </c>
      <c r="L900">
        <f t="shared" si="29"/>
        <v>7.0000000000000001E-3</v>
      </c>
    </row>
    <row r="901" spans="1:12" x14ac:dyDescent="0.25">
      <c r="A901" s="1">
        <v>900</v>
      </c>
      <c r="B901" s="2">
        <v>1361998</v>
      </c>
      <c r="C901" s="3">
        <v>2.3E-2</v>
      </c>
      <c r="D901" s="1">
        <v>0.5</v>
      </c>
      <c r="E901" s="4">
        <v>0.2</v>
      </c>
      <c r="F901" s="4">
        <v>0.15</v>
      </c>
      <c r="G901" s="4">
        <v>0.64999999999999991</v>
      </c>
      <c r="H901" s="17">
        <f t="shared" si="28"/>
        <v>3.1574142630237752E-6</v>
      </c>
      <c r="L901">
        <f t="shared" si="29"/>
        <v>1.15E-2</v>
      </c>
    </row>
    <row r="902" spans="1:12" x14ac:dyDescent="0.25">
      <c r="A902" s="1">
        <v>901</v>
      </c>
      <c r="B902" s="2">
        <v>1335645</v>
      </c>
      <c r="C902" s="3">
        <v>2.7E-2</v>
      </c>
      <c r="D902" s="1">
        <v>0.5</v>
      </c>
      <c r="E902" s="4">
        <v>0.16</v>
      </c>
      <c r="F902" s="4">
        <v>0.23</v>
      </c>
      <c r="G902" s="4">
        <v>0.61</v>
      </c>
      <c r="H902" s="17">
        <f t="shared" si="28"/>
        <v>3.6348129566966277E-6</v>
      </c>
      <c r="L902">
        <f t="shared" si="29"/>
        <v>1.35E-2</v>
      </c>
    </row>
    <row r="903" spans="1:12" x14ac:dyDescent="0.25">
      <c r="A903" s="1">
        <v>902</v>
      </c>
      <c r="B903" s="2">
        <v>1568873</v>
      </c>
      <c r="C903" s="3">
        <v>1.4999999999999999E-2</v>
      </c>
      <c r="D903" s="1">
        <v>0.5</v>
      </c>
      <c r="E903" s="4">
        <v>0.24</v>
      </c>
      <c r="F903" s="4">
        <v>0.33</v>
      </c>
      <c r="G903" s="4">
        <v>0.42999999999999994</v>
      </c>
      <c r="H903" s="17">
        <f t="shared" si="28"/>
        <v>2.3719542525694026E-6</v>
      </c>
      <c r="L903">
        <f t="shared" si="29"/>
        <v>7.4999999999999997E-3</v>
      </c>
    </row>
    <row r="904" spans="1:12" x14ac:dyDescent="0.25">
      <c r="A904" s="1">
        <v>903</v>
      </c>
      <c r="B904" s="2">
        <v>1390047</v>
      </c>
      <c r="C904" s="3">
        <v>2.4E-2</v>
      </c>
      <c r="D904" s="1">
        <v>0.5</v>
      </c>
      <c r="E904" s="4">
        <v>0.17</v>
      </c>
      <c r="F904" s="4">
        <v>0.32</v>
      </c>
      <c r="G904" s="4">
        <v>0.5099999999999999</v>
      </c>
      <c r="H904" s="17">
        <f t="shared" si="28"/>
        <v>3.3625440865348221E-6</v>
      </c>
      <c r="L904">
        <f t="shared" si="29"/>
        <v>1.2E-2</v>
      </c>
    </row>
    <row r="905" spans="1:12" x14ac:dyDescent="0.25">
      <c r="A905" s="1">
        <v>904</v>
      </c>
      <c r="B905" s="2">
        <v>1858209</v>
      </c>
      <c r="C905" s="3">
        <v>1.7999999999999999E-2</v>
      </c>
      <c r="D905" s="1">
        <v>0.5</v>
      </c>
      <c r="E905" s="4">
        <v>0.17</v>
      </c>
      <c r="F905" s="4">
        <v>0.35</v>
      </c>
      <c r="G905" s="4">
        <v>0.48</v>
      </c>
      <c r="H905" s="17">
        <f t="shared" si="28"/>
        <v>3.3712761247438665E-6</v>
      </c>
      <c r="L905">
        <f t="shared" si="29"/>
        <v>8.9999999999999993E-3</v>
      </c>
    </row>
    <row r="906" spans="1:12" x14ac:dyDescent="0.25">
      <c r="A906" s="1">
        <v>905</v>
      </c>
      <c r="B906" s="2">
        <v>1371449</v>
      </c>
      <c r="C906" s="3">
        <v>2.5999999999999999E-2</v>
      </c>
      <c r="D906" s="1">
        <v>0.5</v>
      </c>
      <c r="E906" s="4">
        <v>0.15</v>
      </c>
      <c r="F906" s="4">
        <v>0.28000000000000003</v>
      </c>
      <c r="G906" s="4">
        <v>0.56999999999999995</v>
      </c>
      <c r="H906" s="17">
        <f t="shared" si="28"/>
        <v>3.5940181893216096E-6</v>
      </c>
      <c r="L906">
        <f t="shared" si="29"/>
        <v>1.2999999999999999E-2</v>
      </c>
    </row>
    <row r="907" spans="1:12" x14ac:dyDescent="0.25">
      <c r="A907" s="1">
        <v>906</v>
      </c>
      <c r="B907" s="2">
        <v>1170425</v>
      </c>
      <c r="C907" s="3">
        <v>2.9000000000000001E-2</v>
      </c>
      <c r="D907" s="1">
        <v>0.5</v>
      </c>
      <c r="E907" s="4">
        <v>0.18</v>
      </c>
      <c r="F907" s="4">
        <v>0.19</v>
      </c>
      <c r="G907" s="4">
        <v>0.63000000000000012</v>
      </c>
      <c r="H907" s="17">
        <f t="shared" si="28"/>
        <v>3.4211242561100766E-6</v>
      </c>
      <c r="L907">
        <f t="shared" si="29"/>
        <v>1.4500000000000001E-2</v>
      </c>
    </row>
    <row r="908" spans="1:12" x14ac:dyDescent="0.25">
      <c r="A908" s="1">
        <v>907</v>
      </c>
      <c r="B908" s="2">
        <v>1287476</v>
      </c>
      <c r="C908" s="3">
        <v>1.9E-2</v>
      </c>
      <c r="D908" s="1">
        <v>0.5</v>
      </c>
      <c r="E908" s="4">
        <v>0.2</v>
      </c>
      <c r="F908" s="4">
        <v>0.24</v>
      </c>
      <c r="G908" s="4">
        <v>0.56000000000000005</v>
      </c>
      <c r="H908" s="17">
        <f t="shared" si="28"/>
        <v>2.4655851383908424E-6</v>
      </c>
      <c r="L908">
        <f t="shared" si="29"/>
        <v>9.4999999999999998E-3</v>
      </c>
    </row>
    <row r="909" spans="1:12" x14ac:dyDescent="0.25">
      <c r="A909" s="1">
        <v>908</v>
      </c>
      <c r="B909" s="2">
        <v>1771295</v>
      </c>
      <c r="C909" s="3">
        <v>0.03</v>
      </c>
      <c r="D909" s="1">
        <v>0.5</v>
      </c>
      <c r="E909" s="4">
        <v>0.22</v>
      </c>
      <c r="F909" s="4">
        <v>0.2</v>
      </c>
      <c r="G909" s="4">
        <v>0.58000000000000007</v>
      </c>
      <c r="H909" s="17">
        <f t="shared" si="28"/>
        <v>5.3559857398335246E-6</v>
      </c>
      <c r="L909">
        <f t="shared" si="29"/>
        <v>1.4999999999999999E-2</v>
      </c>
    </row>
    <row r="910" spans="1:12" x14ac:dyDescent="0.25">
      <c r="A910" s="1">
        <v>909</v>
      </c>
      <c r="B910" s="2">
        <v>1444106</v>
      </c>
      <c r="C910" s="3">
        <v>2.9000000000000001E-2</v>
      </c>
      <c r="D910" s="1">
        <v>0.5</v>
      </c>
      <c r="E910" s="4">
        <v>0.23</v>
      </c>
      <c r="F910" s="4">
        <v>0.25</v>
      </c>
      <c r="G910" s="4">
        <v>0.52</v>
      </c>
      <c r="H910" s="17">
        <f t="shared" si="28"/>
        <v>4.2210872674405433E-6</v>
      </c>
      <c r="L910">
        <f t="shared" si="29"/>
        <v>1.4500000000000001E-2</v>
      </c>
    </row>
    <row r="911" spans="1:12" x14ac:dyDescent="0.25">
      <c r="A911" s="1">
        <v>910</v>
      </c>
      <c r="B911" s="2">
        <v>1269382</v>
      </c>
      <c r="C911" s="3">
        <v>1.4999999999999999E-2</v>
      </c>
      <c r="D911" s="1">
        <v>0.5</v>
      </c>
      <c r="E911" s="4">
        <v>0.23</v>
      </c>
      <c r="F911" s="4">
        <v>0.2</v>
      </c>
      <c r="G911" s="4">
        <v>0.57000000000000006</v>
      </c>
      <c r="H911" s="17">
        <f t="shared" si="28"/>
        <v>1.9191585507782043E-6</v>
      </c>
      <c r="L911">
        <f t="shared" si="29"/>
        <v>7.4999999999999997E-3</v>
      </c>
    </row>
    <row r="912" spans="1:12" x14ac:dyDescent="0.25">
      <c r="A912" s="1">
        <v>911</v>
      </c>
      <c r="B912" s="2">
        <v>1790422</v>
      </c>
      <c r="C912" s="3">
        <v>1.0999999999999999E-2</v>
      </c>
      <c r="D912" s="1">
        <v>0.5</v>
      </c>
      <c r="E912" s="4">
        <v>0.24</v>
      </c>
      <c r="F912" s="4">
        <v>0.33</v>
      </c>
      <c r="G912" s="4">
        <v>0.42999999999999994</v>
      </c>
      <c r="H912" s="17">
        <f t="shared" si="28"/>
        <v>1.9850678308455378E-6</v>
      </c>
      <c r="L912">
        <f t="shared" si="29"/>
        <v>5.4999999999999997E-3</v>
      </c>
    </row>
    <row r="913" spans="1:12" x14ac:dyDescent="0.25">
      <c r="A913" s="1">
        <v>912</v>
      </c>
      <c r="B913" s="2">
        <v>1000357</v>
      </c>
      <c r="C913" s="3">
        <v>1.9E-2</v>
      </c>
      <c r="D913" s="1">
        <v>0.5</v>
      </c>
      <c r="E913" s="4">
        <v>0.21</v>
      </c>
      <c r="F913" s="4">
        <v>0.28999999999999998</v>
      </c>
      <c r="G913" s="4">
        <v>0.5</v>
      </c>
      <c r="H913" s="17">
        <f t="shared" si="28"/>
        <v>1.9157369553181947E-6</v>
      </c>
      <c r="L913">
        <f t="shared" si="29"/>
        <v>9.4999999999999998E-3</v>
      </c>
    </row>
    <row r="914" spans="1:12" x14ac:dyDescent="0.25">
      <c r="A914" s="1">
        <v>913</v>
      </c>
      <c r="B914" s="2">
        <v>1399492</v>
      </c>
      <c r="C914" s="3">
        <v>0.02</v>
      </c>
      <c r="D914" s="1">
        <v>0.5</v>
      </c>
      <c r="E914" s="4">
        <v>0.24</v>
      </c>
      <c r="F914" s="4">
        <v>0.22</v>
      </c>
      <c r="G914" s="4">
        <v>0.54</v>
      </c>
      <c r="H914" s="17">
        <f t="shared" si="28"/>
        <v>2.8211597334195597E-6</v>
      </c>
      <c r="L914">
        <f t="shared" si="29"/>
        <v>0.01</v>
      </c>
    </row>
    <row r="915" spans="1:12" x14ac:dyDescent="0.25">
      <c r="A915" s="1">
        <v>914</v>
      </c>
      <c r="B915" s="2">
        <v>1458471</v>
      </c>
      <c r="C915" s="3">
        <v>1.7000000000000001E-2</v>
      </c>
      <c r="D915" s="1">
        <v>0.5</v>
      </c>
      <c r="E915" s="4">
        <v>0.2</v>
      </c>
      <c r="F915" s="4">
        <v>0.18</v>
      </c>
      <c r="G915" s="4">
        <v>0.62000000000000011</v>
      </c>
      <c r="H915" s="17">
        <f t="shared" si="28"/>
        <v>2.4990444453602701E-6</v>
      </c>
      <c r="L915">
        <f t="shared" si="29"/>
        <v>8.5000000000000006E-3</v>
      </c>
    </row>
    <row r="916" spans="1:12" x14ac:dyDescent="0.25">
      <c r="A916" s="1">
        <v>915</v>
      </c>
      <c r="B916" s="2">
        <v>1162623</v>
      </c>
      <c r="C916" s="3">
        <v>1.7000000000000001E-2</v>
      </c>
      <c r="D916" s="1">
        <v>0.5</v>
      </c>
      <c r="E916" s="4">
        <v>0.22</v>
      </c>
      <c r="F916" s="4">
        <v>0.26</v>
      </c>
      <c r="G916" s="4">
        <v>0.52</v>
      </c>
      <c r="H916" s="17">
        <f t="shared" si="28"/>
        <v>1.9921181498967708E-6</v>
      </c>
      <c r="L916">
        <f t="shared" si="29"/>
        <v>8.5000000000000006E-3</v>
      </c>
    </row>
    <row r="917" spans="1:12" x14ac:dyDescent="0.25">
      <c r="A917" s="1">
        <v>916</v>
      </c>
      <c r="B917" s="2">
        <v>1936478</v>
      </c>
      <c r="C917" s="3">
        <v>2.5999999999999999E-2</v>
      </c>
      <c r="D917" s="1">
        <v>0.5</v>
      </c>
      <c r="E917" s="4">
        <v>0.17</v>
      </c>
      <c r="F917" s="4">
        <v>0.18</v>
      </c>
      <c r="G917" s="4">
        <v>0.65</v>
      </c>
      <c r="H917" s="17">
        <f t="shared" si="28"/>
        <v>5.0747327499754872E-6</v>
      </c>
      <c r="L917">
        <f t="shared" si="29"/>
        <v>1.2999999999999999E-2</v>
      </c>
    </row>
    <row r="918" spans="1:12" x14ac:dyDescent="0.25">
      <c r="A918" s="1">
        <v>917</v>
      </c>
      <c r="B918" s="2">
        <v>1279122</v>
      </c>
      <c r="C918" s="3">
        <v>2.4E-2</v>
      </c>
      <c r="D918" s="1">
        <v>0.5</v>
      </c>
      <c r="E918" s="4">
        <v>0.23</v>
      </c>
      <c r="F918" s="4">
        <v>0.16</v>
      </c>
      <c r="G918" s="4">
        <v>0.61</v>
      </c>
      <c r="H918" s="17">
        <f t="shared" si="28"/>
        <v>3.0942148841417549E-6</v>
      </c>
      <c r="L918">
        <f t="shared" si="29"/>
        <v>1.2E-2</v>
      </c>
    </row>
    <row r="919" spans="1:12" x14ac:dyDescent="0.25">
      <c r="A919" s="1">
        <v>918</v>
      </c>
      <c r="B919" s="2">
        <v>1629358</v>
      </c>
      <c r="C919" s="3">
        <v>1.9E-2</v>
      </c>
      <c r="D919" s="1">
        <v>0.5</v>
      </c>
      <c r="E919" s="4">
        <v>0.18</v>
      </c>
      <c r="F919" s="4">
        <v>0.22</v>
      </c>
      <c r="G919" s="4">
        <v>0.60000000000000009</v>
      </c>
      <c r="H919" s="17">
        <f t="shared" si="28"/>
        <v>3.1203073843071457E-6</v>
      </c>
      <c r="L919">
        <f t="shared" si="29"/>
        <v>9.4999999999999998E-3</v>
      </c>
    </row>
    <row r="920" spans="1:12" x14ac:dyDescent="0.25">
      <c r="A920" s="1">
        <v>919</v>
      </c>
      <c r="B920" s="2">
        <v>1613939</v>
      </c>
      <c r="C920" s="3">
        <v>1.7999999999999999E-2</v>
      </c>
      <c r="D920" s="1">
        <v>0.5</v>
      </c>
      <c r="E920" s="4">
        <v>0.17</v>
      </c>
      <c r="F920" s="4">
        <v>0.28999999999999998</v>
      </c>
      <c r="G920" s="4">
        <v>0.53999999999999992</v>
      </c>
      <c r="H920" s="17">
        <f t="shared" si="28"/>
        <v>2.9281065894595235E-6</v>
      </c>
      <c r="L920">
        <f t="shared" si="29"/>
        <v>8.9999999999999993E-3</v>
      </c>
    </row>
    <row r="921" spans="1:12" x14ac:dyDescent="0.25">
      <c r="A921" s="1">
        <v>920</v>
      </c>
      <c r="B921" s="2">
        <v>1975750</v>
      </c>
      <c r="C921" s="3">
        <v>2.5000000000000001E-2</v>
      </c>
      <c r="D921" s="1">
        <v>0.5</v>
      </c>
      <c r="E921" s="4">
        <v>0.25</v>
      </c>
      <c r="F921" s="4">
        <v>0.35</v>
      </c>
      <c r="G921" s="4">
        <v>0.4</v>
      </c>
      <c r="H921" s="17">
        <f t="shared" si="28"/>
        <v>4.9785085796343376E-6</v>
      </c>
      <c r="L921">
        <f t="shared" si="29"/>
        <v>1.2500000000000001E-2</v>
      </c>
    </row>
    <row r="922" spans="1:12" x14ac:dyDescent="0.25">
      <c r="A922" s="1">
        <v>921</v>
      </c>
      <c r="B922" s="2">
        <v>1209965</v>
      </c>
      <c r="C922" s="3">
        <v>0.01</v>
      </c>
      <c r="D922" s="1">
        <v>0.5</v>
      </c>
      <c r="E922" s="4">
        <v>0.22</v>
      </c>
      <c r="F922" s="4">
        <v>0.26</v>
      </c>
      <c r="G922" s="4">
        <v>0.52</v>
      </c>
      <c r="H922" s="17">
        <f t="shared" si="28"/>
        <v>1.2195512860548677E-6</v>
      </c>
      <c r="L922">
        <f t="shared" si="29"/>
        <v>5.0000000000000001E-3</v>
      </c>
    </row>
    <row r="923" spans="1:12" x14ac:dyDescent="0.25">
      <c r="A923" s="1">
        <v>922</v>
      </c>
      <c r="B923" s="2">
        <v>1796548</v>
      </c>
      <c r="C923" s="3">
        <v>0.03</v>
      </c>
      <c r="D923" s="1">
        <v>0.5</v>
      </c>
      <c r="E923" s="4">
        <v>0.19</v>
      </c>
      <c r="F923" s="4">
        <v>0.25</v>
      </c>
      <c r="G923" s="4">
        <v>0.56000000000000005</v>
      </c>
      <c r="H923" s="17">
        <f t="shared" si="28"/>
        <v>5.4323449616955043E-6</v>
      </c>
      <c r="L923">
        <f t="shared" si="29"/>
        <v>1.4999999999999999E-2</v>
      </c>
    </row>
    <row r="924" spans="1:12" x14ac:dyDescent="0.25">
      <c r="A924" s="1">
        <v>923</v>
      </c>
      <c r="B924" s="2">
        <v>1325954</v>
      </c>
      <c r="C924" s="3">
        <v>0.01</v>
      </c>
      <c r="D924" s="1">
        <v>0.5</v>
      </c>
      <c r="E924" s="4">
        <v>0.17</v>
      </c>
      <c r="F924" s="4">
        <v>0.31</v>
      </c>
      <c r="G924" s="4">
        <v>0.51999999999999991</v>
      </c>
      <c r="H924" s="17">
        <f t="shared" si="28"/>
        <v>1.3364592413413578E-6</v>
      </c>
      <c r="L924">
        <f t="shared" si="29"/>
        <v>5.0000000000000001E-3</v>
      </c>
    </row>
    <row r="925" spans="1:12" x14ac:dyDescent="0.25">
      <c r="A925" s="1">
        <v>924</v>
      </c>
      <c r="B925" s="2">
        <v>1598579</v>
      </c>
      <c r="C925" s="3">
        <v>2.7E-2</v>
      </c>
      <c r="D925" s="1">
        <v>0.5</v>
      </c>
      <c r="E925" s="4">
        <v>0.19</v>
      </c>
      <c r="F925" s="4">
        <v>0.2</v>
      </c>
      <c r="G925" s="4">
        <v>0.6100000000000001</v>
      </c>
      <c r="H925" s="17">
        <f t="shared" si="28"/>
        <v>4.3503593106724754E-6</v>
      </c>
      <c r="L925">
        <f t="shared" si="29"/>
        <v>1.35E-2</v>
      </c>
    </row>
    <row r="926" spans="1:12" x14ac:dyDescent="0.25">
      <c r="A926" s="1">
        <v>925</v>
      </c>
      <c r="B926" s="2">
        <v>1119446</v>
      </c>
      <c r="C926" s="3">
        <v>2.1000000000000001E-2</v>
      </c>
      <c r="D926" s="1">
        <v>0.5</v>
      </c>
      <c r="E926" s="4">
        <v>0.2</v>
      </c>
      <c r="F926" s="4">
        <v>0.27</v>
      </c>
      <c r="G926" s="4">
        <v>0.53</v>
      </c>
      <c r="H926" s="17">
        <f t="shared" si="28"/>
        <v>2.3694617603276562E-6</v>
      </c>
      <c r="L926">
        <f t="shared" si="29"/>
        <v>1.0500000000000001E-2</v>
      </c>
    </row>
    <row r="927" spans="1:12" x14ac:dyDescent="0.25">
      <c r="A927" s="1">
        <v>926</v>
      </c>
      <c r="B927" s="2">
        <v>1635353</v>
      </c>
      <c r="C927" s="3">
        <v>1.9E-2</v>
      </c>
      <c r="D927" s="1">
        <v>0.5</v>
      </c>
      <c r="E927" s="4">
        <v>0.22</v>
      </c>
      <c r="F927" s="4">
        <v>0.28000000000000003</v>
      </c>
      <c r="G927" s="4">
        <v>0.5</v>
      </c>
      <c r="H927" s="17">
        <f t="shared" si="28"/>
        <v>3.1317881287285194E-6</v>
      </c>
      <c r="L927">
        <f t="shared" si="29"/>
        <v>9.4999999999999998E-3</v>
      </c>
    </row>
    <row r="928" spans="1:12" x14ac:dyDescent="0.25">
      <c r="A928" s="1">
        <v>927</v>
      </c>
      <c r="B928" s="2">
        <v>1140787</v>
      </c>
      <c r="C928" s="3">
        <v>1.0999999999999999E-2</v>
      </c>
      <c r="D928" s="1">
        <v>0.5</v>
      </c>
      <c r="E928" s="4">
        <v>0.23</v>
      </c>
      <c r="F928" s="4">
        <v>0.31</v>
      </c>
      <c r="G928" s="4">
        <v>0.45999999999999996</v>
      </c>
      <c r="H928" s="17">
        <f t="shared" si="28"/>
        <v>1.2648077244061949E-6</v>
      </c>
      <c r="L928">
        <f t="shared" si="29"/>
        <v>5.4999999999999997E-3</v>
      </c>
    </row>
    <row r="929" spans="1:12" x14ac:dyDescent="0.25">
      <c r="A929" s="1">
        <v>928</v>
      </c>
      <c r="B929" s="2">
        <v>1324962</v>
      </c>
      <c r="C929" s="3">
        <v>2.1000000000000001E-2</v>
      </c>
      <c r="D929" s="1">
        <v>0.5</v>
      </c>
      <c r="E929" s="4">
        <v>0.22</v>
      </c>
      <c r="F929" s="4">
        <v>0.18</v>
      </c>
      <c r="G929" s="4">
        <v>0.60000000000000009</v>
      </c>
      <c r="H929" s="17">
        <f t="shared" si="28"/>
        <v>2.8044647020823266E-6</v>
      </c>
      <c r="L929">
        <f t="shared" si="29"/>
        <v>1.0500000000000001E-2</v>
      </c>
    </row>
    <row r="930" spans="1:12" x14ac:dyDescent="0.25">
      <c r="A930" s="1">
        <v>929</v>
      </c>
      <c r="B930" s="2">
        <v>1867959</v>
      </c>
      <c r="C930" s="3">
        <v>2.8000000000000001E-2</v>
      </c>
      <c r="D930" s="1">
        <v>0.5</v>
      </c>
      <c r="E930" s="4">
        <v>0.24</v>
      </c>
      <c r="F930" s="4">
        <v>0.33</v>
      </c>
      <c r="G930" s="4">
        <v>0.42999999999999994</v>
      </c>
      <c r="H930" s="17">
        <f t="shared" si="28"/>
        <v>5.2717235970410225E-6</v>
      </c>
      <c r="L930">
        <f t="shared" si="29"/>
        <v>1.4E-2</v>
      </c>
    </row>
    <row r="931" spans="1:12" x14ac:dyDescent="0.25">
      <c r="A931" s="1">
        <v>930</v>
      </c>
      <c r="B931" s="2">
        <v>1487272</v>
      </c>
      <c r="C931" s="3">
        <v>0.02</v>
      </c>
      <c r="D931" s="1">
        <v>0.5</v>
      </c>
      <c r="E931" s="4">
        <v>0.19</v>
      </c>
      <c r="F931" s="4">
        <v>0.19</v>
      </c>
      <c r="G931" s="4">
        <v>0.62000000000000011</v>
      </c>
      <c r="H931" s="17">
        <f t="shared" si="28"/>
        <v>2.9981106566113819E-6</v>
      </c>
      <c r="L931">
        <f t="shared" si="29"/>
        <v>0.01</v>
      </c>
    </row>
    <row r="932" spans="1:12" x14ac:dyDescent="0.25">
      <c r="A932" s="1">
        <v>931</v>
      </c>
      <c r="B932" s="2">
        <v>1427919</v>
      </c>
      <c r="C932" s="3">
        <v>2.3E-2</v>
      </c>
      <c r="D932" s="1">
        <v>0.5</v>
      </c>
      <c r="E932" s="4">
        <v>0.19</v>
      </c>
      <c r="F932" s="4">
        <v>0.24</v>
      </c>
      <c r="G932" s="4">
        <v>0.57000000000000006</v>
      </c>
      <c r="H932" s="17">
        <f t="shared" si="28"/>
        <v>3.3102338014025327E-6</v>
      </c>
      <c r="L932">
        <f t="shared" si="29"/>
        <v>1.15E-2</v>
      </c>
    </row>
    <row r="933" spans="1:12" x14ac:dyDescent="0.25">
      <c r="A933" s="1">
        <v>932</v>
      </c>
      <c r="B933" s="2">
        <v>1624072</v>
      </c>
      <c r="C933" s="3">
        <v>1.0999999999999999E-2</v>
      </c>
      <c r="D933" s="1">
        <v>0.5</v>
      </c>
      <c r="E933" s="4">
        <v>0.16</v>
      </c>
      <c r="F933" s="4">
        <v>0.16</v>
      </c>
      <c r="G933" s="4">
        <v>0.67999999999999994</v>
      </c>
      <c r="H933" s="17">
        <f t="shared" si="28"/>
        <v>1.8006330810149639E-6</v>
      </c>
      <c r="L933">
        <f t="shared" si="29"/>
        <v>5.4999999999999997E-3</v>
      </c>
    </row>
    <row r="934" spans="1:12" x14ac:dyDescent="0.25">
      <c r="A934" s="1">
        <v>933</v>
      </c>
      <c r="B934" s="2">
        <v>1253246</v>
      </c>
      <c r="C934" s="3">
        <v>2.7E-2</v>
      </c>
      <c r="D934" s="1">
        <v>0.5</v>
      </c>
      <c r="E934" s="4">
        <v>0.17</v>
      </c>
      <c r="F934" s="4">
        <v>0.16</v>
      </c>
      <c r="G934" s="4">
        <v>0.66999999999999993</v>
      </c>
      <c r="H934" s="17">
        <f t="shared" si="28"/>
        <v>3.4105730180760769E-6</v>
      </c>
      <c r="L934">
        <f t="shared" si="29"/>
        <v>1.35E-2</v>
      </c>
    </row>
    <row r="935" spans="1:12" x14ac:dyDescent="0.25">
      <c r="A935" s="1">
        <v>934</v>
      </c>
      <c r="B935" s="2">
        <v>1536868</v>
      </c>
      <c r="C935" s="3">
        <v>1.0999999999999999E-2</v>
      </c>
      <c r="D935" s="1">
        <v>0.5</v>
      </c>
      <c r="E935" s="4">
        <v>0.15</v>
      </c>
      <c r="F935" s="4">
        <v>0.33</v>
      </c>
      <c r="G935" s="4">
        <v>0.51999999999999991</v>
      </c>
      <c r="H935" s="17">
        <f t="shared" si="28"/>
        <v>1.7039486931326357E-6</v>
      </c>
      <c r="L935">
        <f t="shared" si="29"/>
        <v>5.4999999999999997E-3</v>
      </c>
    </row>
    <row r="936" spans="1:12" x14ac:dyDescent="0.25">
      <c r="A936" s="1">
        <v>935</v>
      </c>
      <c r="B936" s="2">
        <v>1661935</v>
      </c>
      <c r="C936" s="3">
        <v>2.4E-2</v>
      </c>
      <c r="D936" s="1">
        <v>0.5</v>
      </c>
      <c r="E936" s="4">
        <v>0.24</v>
      </c>
      <c r="F936" s="4">
        <v>0.27</v>
      </c>
      <c r="G936" s="4">
        <v>0.49</v>
      </c>
      <c r="H936" s="17">
        <f t="shared" si="28"/>
        <v>4.020245147434043E-6</v>
      </c>
      <c r="L936">
        <f t="shared" si="29"/>
        <v>1.2E-2</v>
      </c>
    </row>
    <row r="937" spans="1:12" x14ac:dyDescent="0.25">
      <c r="A937" s="1">
        <v>936</v>
      </c>
      <c r="B937" s="2">
        <v>1756686</v>
      </c>
      <c r="C937" s="3">
        <v>2.4E-2</v>
      </c>
      <c r="D937" s="1">
        <v>0.5</v>
      </c>
      <c r="E937" s="4">
        <v>0.23</v>
      </c>
      <c r="F937" s="4">
        <v>0.2</v>
      </c>
      <c r="G937" s="4">
        <v>0.57000000000000006</v>
      </c>
      <c r="H937" s="17">
        <f t="shared" si="28"/>
        <v>4.2494492065365483E-6</v>
      </c>
      <c r="L937">
        <f t="shared" si="29"/>
        <v>1.2E-2</v>
      </c>
    </row>
    <row r="938" spans="1:12" x14ac:dyDescent="0.25">
      <c r="A938" s="1">
        <v>937</v>
      </c>
      <c r="B938" s="2">
        <v>1525257</v>
      </c>
      <c r="C938" s="3">
        <v>2.3E-2</v>
      </c>
      <c r="D938" s="1">
        <v>0.5</v>
      </c>
      <c r="E938" s="4">
        <v>0.19</v>
      </c>
      <c r="F938" s="4">
        <v>0.19</v>
      </c>
      <c r="G938" s="4">
        <v>0.62000000000000011</v>
      </c>
      <c r="H938" s="17">
        <f t="shared" si="28"/>
        <v>3.5358849327068429E-6</v>
      </c>
      <c r="L938">
        <f t="shared" si="29"/>
        <v>1.15E-2</v>
      </c>
    </row>
    <row r="939" spans="1:12" x14ac:dyDescent="0.25">
      <c r="A939" s="1">
        <v>938</v>
      </c>
      <c r="B939" s="2">
        <v>1705264</v>
      </c>
      <c r="C939" s="3">
        <v>1.0999999999999999E-2</v>
      </c>
      <c r="D939" s="1">
        <v>0.5</v>
      </c>
      <c r="E939" s="4">
        <v>0.15</v>
      </c>
      <c r="F939" s="4">
        <v>0.31</v>
      </c>
      <c r="G939" s="4">
        <v>0.53999999999999992</v>
      </c>
      <c r="H939" s="17">
        <f t="shared" si="28"/>
        <v>1.890651873971044E-6</v>
      </c>
      <c r="L939">
        <f t="shared" si="29"/>
        <v>5.4999999999999997E-3</v>
      </c>
    </row>
    <row r="940" spans="1:12" x14ac:dyDescent="0.25">
      <c r="A940" s="1">
        <v>939</v>
      </c>
      <c r="B940" s="2">
        <v>1772213</v>
      </c>
      <c r="C940" s="3">
        <v>1.9E-2</v>
      </c>
      <c r="D940" s="1">
        <v>0.5</v>
      </c>
      <c r="E940" s="4">
        <v>0.16</v>
      </c>
      <c r="F940" s="4">
        <v>0.16</v>
      </c>
      <c r="G940" s="4">
        <v>0.67999999999999994</v>
      </c>
      <c r="H940" s="17">
        <f t="shared" si="28"/>
        <v>3.3938823208067955E-6</v>
      </c>
      <c r="L940">
        <f t="shared" si="29"/>
        <v>9.4999999999999998E-3</v>
      </c>
    </row>
    <row r="941" spans="1:12" x14ac:dyDescent="0.25">
      <c r="A941" s="1">
        <v>940</v>
      </c>
      <c r="B941" s="2">
        <v>1034404</v>
      </c>
      <c r="C941" s="3">
        <v>2.5000000000000001E-2</v>
      </c>
      <c r="D941" s="1">
        <v>0.5</v>
      </c>
      <c r="E941" s="4">
        <v>0.24</v>
      </c>
      <c r="F941" s="4">
        <v>0.34</v>
      </c>
      <c r="G941" s="4">
        <v>0.41999999999999993</v>
      </c>
      <c r="H941" s="17">
        <f t="shared" si="28"/>
        <v>2.6064983873506658E-6</v>
      </c>
      <c r="L941">
        <f t="shared" si="29"/>
        <v>1.2500000000000001E-2</v>
      </c>
    </row>
    <row r="942" spans="1:12" x14ac:dyDescent="0.25">
      <c r="A942" s="1">
        <v>941</v>
      </c>
      <c r="B942" s="2">
        <v>1678748</v>
      </c>
      <c r="C942" s="3">
        <v>1.2999999999999999E-2</v>
      </c>
      <c r="D942" s="1">
        <v>0.5</v>
      </c>
      <c r="E942" s="4">
        <v>0.2</v>
      </c>
      <c r="F942" s="4">
        <v>0.25</v>
      </c>
      <c r="G942" s="4">
        <v>0.55000000000000004</v>
      </c>
      <c r="H942" s="17">
        <f t="shared" si="28"/>
        <v>2.1996628555955318E-6</v>
      </c>
      <c r="L942">
        <f t="shared" si="29"/>
        <v>6.4999999999999997E-3</v>
      </c>
    </row>
    <row r="943" spans="1:12" x14ac:dyDescent="0.25">
      <c r="A943" s="1">
        <v>942</v>
      </c>
      <c r="B943" s="2">
        <v>1398972</v>
      </c>
      <c r="C943" s="3">
        <v>2.1000000000000001E-2</v>
      </c>
      <c r="D943" s="1">
        <v>0.5</v>
      </c>
      <c r="E943" s="4">
        <v>0.18</v>
      </c>
      <c r="F943" s="4">
        <v>0.21</v>
      </c>
      <c r="G943" s="4">
        <v>0.6100000000000001</v>
      </c>
      <c r="H943" s="17">
        <f t="shared" si="28"/>
        <v>2.9611170684151821E-6</v>
      </c>
      <c r="L943">
        <f t="shared" si="29"/>
        <v>1.0500000000000001E-2</v>
      </c>
    </row>
    <row r="944" spans="1:12" x14ac:dyDescent="0.25">
      <c r="A944" s="1">
        <v>943</v>
      </c>
      <c r="B944" s="2">
        <v>1619817</v>
      </c>
      <c r="C944" s="3">
        <v>1.7999999999999999E-2</v>
      </c>
      <c r="D944" s="1">
        <v>0.5</v>
      </c>
      <c r="E944" s="4">
        <v>0.16</v>
      </c>
      <c r="F944" s="4">
        <v>0.35</v>
      </c>
      <c r="G944" s="4">
        <v>0.49</v>
      </c>
      <c r="H944" s="17">
        <f t="shared" si="28"/>
        <v>2.9387708156371194E-6</v>
      </c>
      <c r="L944">
        <f t="shared" si="29"/>
        <v>8.9999999999999993E-3</v>
      </c>
    </row>
    <row r="945" spans="1:12" x14ac:dyDescent="0.25">
      <c r="A945" s="1">
        <v>944</v>
      </c>
      <c r="B945" s="2">
        <v>1481023</v>
      </c>
      <c r="C945" s="3">
        <v>1.4999999999999999E-2</v>
      </c>
      <c r="D945" s="1">
        <v>0.5</v>
      </c>
      <c r="E945" s="4">
        <v>0.23</v>
      </c>
      <c r="F945" s="4">
        <v>0.23</v>
      </c>
      <c r="G945" s="4">
        <v>0.54</v>
      </c>
      <c r="H945" s="17">
        <f t="shared" si="28"/>
        <v>2.2391352282836753E-6</v>
      </c>
      <c r="L945">
        <f t="shared" si="29"/>
        <v>7.4999999999999997E-3</v>
      </c>
    </row>
    <row r="946" spans="1:12" x14ac:dyDescent="0.25">
      <c r="A946" s="1">
        <v>945</v>
      </c>
      <c r="B946" s="2">
        <v>1543745</v>
      </c>
      <c r="C946" s="3">
        <v>2.8000000000000001E-2</v>
      </c>
      <c r="D946" s="1">
        <v>0.5</v>
      </c>
      <c r="E946" s="4">
        <v>0.19</v>
      </c>
      <c r="F946" s="4">
        <v>0.2</v>
      </c>
      <c r="G946" s="4">
        <v>0.6100000000000001</v>
      </c>
      <c r="H946" s="17">
        <f t="shared" si="28"/>
        <v>4.3567321040312408E-6</v>
      </c>
      <c r="L946">
        <f t="shared" si="29"/>
        <v>1.4E-2</v>
      </c>
    </row>
    <row r="947" spans="1:12" x14ac:dyDescent="0.25">
      <c r="A947" s="1">
        <v>946</v>
      </c>
      <c r="B947" s="2">
        <v>1258333</v>
      </c>
      <c r="C947" s="3">
        <v>1.4999999999999999E-2</v>
      </c>
      <c r="D947" s="1">
        <v>0.5</v>
      </c>
      <c r="E947" s="4">
        <v>0.21</v>
      </c>
      <c r="F947" s="4">
        <v>0.16</v>
      </c>
      <c r="G947" s="4">
        <v>0.63</v>
      </c>
      <c r="H947" s="17">
        <f t="shared" si="28"/>
        <v>1.9024537425900083E-6</v>
      </c>
      <c r="L947">
        <f t="shared" si="29"/>
        <v>7.4999999999999997E-3</v>
      </c>
    </row>
    <row r="948" spans="1:12" x14ac:dyDescent="0.25">
      <c r="A948" s="1">
        <v>947</v>
      </c>
      <c r="B948" s="2">
        <v>1408590</v>
      </c>
      <c r="C948" s="3">
        <v>2.7E-2</v>
      </c>
      <c r="D948" s="1">
        <v>0.5</v>
      </c>
      <c r="E948" s="4">
        <v>0.18</v>
      </c>
      <c r="F948" s="4">
        <v>0.31</v>
      </c>
      <c r="G948" s="4">
        <v>0.51</v>
      </c>
      <c r="H948" s="17">
        <f t="shared" si="28"/>
        <v>3.8333248600289018E-6</v>
      </c>
      <c r="L948">
        <f t="shared" si="29"/>
        <v>1.35E-2</v>
      </c>
    </row>
    <row r="949" spans="1:12" x14ac:dyDescent="0.25">
      <c r="A949" s="1">
        <v>948</v>
      </c>
      <c r="B949" s="2">
        <v>1912696</v>
      </c>
      <c r="C949" s="3">
        <v>2.8000000000000001E-2</v>
      </c>
      <c r="D949" s="1">
        <v>0.5</v>
      </c>
      <c r="E949" s="4">
        <v>0.23</v>
      </c>
      <c r="F949" s="4">
        <v>0.34</v>
      </c>
      <c r="G949" s="4">
        <v>0.42999999999999994</v>
      </c>
      <c r="H949" s="17">
        <f t="shared" si="28"/>
        <v>5.3979796329394676E-6</v>
      </c>
      <c r="L949">
        <f t="shared" si="29"/>
        <v>1.4E-2</v>
      </c>
    </row>
    <row r="950" spans="1:12" x14ac:dyDescent="0.25">
      <c r="A950" s="1">
        <v>949</v>
      </c>
      <c r="B950" s="2">
        <v>1837732</v>
      </c>
      <c r="C950" s="3">
        <v>2.5999999999999999E-2</v>
      </c>
      <c r="D950" s="1">
        <v>0.5</v>
      </c>
      <c r="E950" s="4">
        <v>0.16</v>
      </c>
      <c r="F950" s="4">
        <v>0.2</v>
      </c>
      <c r="G950" s="4">
        <v>0.64</v>
      </c>
      <c r="H950" s="17">
        <f t="shared" si="28"/>
        <v>4.8159590587024237E-6</v>
      </c>
      <c r="L950">
        <f t="shared" si="29"/>
        <v>1.2999999999999999E-2</v>
      </c>
    </row>
    <row r="951" spans="1:12" x14ac:dyDescent="0.25">
      <c r="A951" s="1">
        <v>950</v>
      </c>
      <c r="B951" s="2">
        <v>1414645</v>
      </c>
      <c r="C951" s="3">
        <v>2.1000000000000001E-2</v>
      </c>
      <c r="D951" s="1">
        <v>0.5</v>
      </c>
      <c r="E951" s="4">
        <v>0.15</v>
      </c>
      <c r="F951" s="4">
        <v>0.35</v>
      </c>
      <c r="G951" s="4">
        <v>0.5</v>
      </c>
      <c r="H951" s="17">
        <f t="shared" si="28"/>
        <v>2.9942911332379741E-6</v>
      </c>
      <c r="L951">
        <f t="shared" si="29"/>
        <v>1.0500000000000001E-2</v>
      </c>
    </row>
    <row r="952" spans="1:12" x14ac:dyDescent="0.25">
      <c r="A952" s="1">
        <v>951</v>
      </c>
      <c r="B952" s="2">
        <v>1267617</v>
      </c>
      <c r="C952" s="3">
        <v>1.6E-2</v>
      </c>
      <c r="D952" s="1">
        <v>0.5</v>
      </c>
      <c r="E952" s="4">
        <v>0.25</v>
      </c>
      <c r="F952" s="4">
        <v>0.27</v>
      </c>
      <c r="G952" s="4">
        <v>0.48</v>
      </c>
      <c r="H952" s="17">
        <f t="shared" si="28"/>
        <v>2.044256080233743E-6</v>
      </c>
      <c r="L952">
        <f t="shared" si="29"/>
        <v>8.0000000000000002E-3</v>
      </c>
    </row>
    <row r="953" spans="1:12" x14ac:dyDescent="0.25">
      <c r="A953" s="1">
        <v>952</v>
      </c>
      <c r="B953" s="2">
        <v>1715094</v>
      </c>
      <c r="C953" s="3">
        <v>0.01</v>
      </c>
      <c r="D953" s="1">
        <v>0.5</v>
      </c>
      <c r="E953" s="4">
        <v>0.2</v>
      </c>
      <c r="F953" s="4">
        <v>0.25</v>
      </c>
      <c r="G953" s="4">
        <v>0.55000000000000004</v>
      </c>
      <c r="H953" s="17">
        <f t="shared" si="28"/>
        <v>1.7286823118065291E-6</v>
      </c>
      <c r="L953">
        <f t="shared" si="29"/>
        <v>5.0000000000000001E-3</v>
      </c>
    </row>
    <row r="954" spans="1:12" x14ac:dyDescent="0.25">
      <c r="A954" s="1">
        <v>953</v>
      </c>
      <c r="B954" s="2">
        <v>1654785</v>
      </c>
      <c r="C954" s="3">
        <v>2.1000000000000001E-2</v>
      </c>
      <c r="D954" s="1">
        <v>0.5</v>
      </c>
      <c r="E954" s="4">
        <v>0.15</v>
      </c>
      <c r="F954" s="4">
        <v>0.35</v>
      </c>
      <c r="G954" s="4">
        <v>0.5</v>
      </c>
      <c r="H954" s="17">
        <f t="shared" si="28"/>
        <v>3.5025805434686447E-6</v>
      </c>
      <c r="L954">
        <f t="shared" si="29"/>
        <v>1.0500000000000001E-2</v>
      </c>
    </row>
    <row r="955" spans="1:12" x14ac:dyDescent="0.25">
      <c r="A955" s="1">
        <v>954</v>
      </c>
      <c r="B955" s="2">
        <v>1834244</v>
      </c>
      <c r="C955" s="3">
        <v>0.01</v>
      </c>
      <c r="D955" s="1">
        <v>0.5</v>
      </c>
      <c r="E955" s="4">
        <v>0.22</v>
      </c>
      <c r="F955" s="4">
        <v>0.28000000000000003</v>
      </c>
      <c r="G955" s="4">
        <v>0.5</v>
      </c>
      <c r="H955" s="17">
        <f t="shared" si="28"/>
        <v>1.8487763109994292E-6</v>
      </c>
      <c r="L955">
        <f t="shared" si="29"/>
        <v>5.0000000000000001E-3</v>
      </c>
    </row>
    <row r="956" spans="1:12" x14ac:dyDescent="0.25">
      <c r="A956" s="1">
        <v>955</v>
      </c>
      <c r="B956" s="2">
        <v>1954746</v>
      </c>
      <c r="C956" s="3">
        <v>1.4E-2</v>
      </c>
      <c r="D956" s="1">
        <v>0.5</v>
      </c>
      <c r="E956" s="4">
        <v>0.24</v>
      </c>
      <c r="F956" s="4">
        <v>0.17</v>
      </c>
      <c r="G956" s="4">
        <v>0.59</v>
      </c>
      <c r="H956" s="17">
        <f t="shared" si="28"/>
        <v>2.7583262305065447E-6</v>
      </c>
      <c r="L956">
        <f t="shared" si="29"/>
        <v>7.0000000000000001E-3</v>
      </c>
    </row>
    <row r="957" spans="1:12" x14ac:dyDescent="0.25">
      <c r="A957" s="1">
        <v>956</v>
      </c>
      <c r="B957" s="2">
        <v>1486976</v>
      </c>
      <c r="C957" s="3">
        <v>2.8000000000000001E-2</v>
      </c>
      <c r="D957" s="1">
        <v>0.5</v>
      </c>
      <c r="E957" s="4">
        <v>0.22</v>
      </c>
      <c r="F957" s="4">
        <v>0.17</v>
      </c>
      <c r="G957" s="4">
        <v>0.61</v>
      </c>
      <c r="H957" s="17">
        <f t="shared" si="28"/>
        <v>4.1965195528561768E-6</v>
      </c>
      <c r="L957">
        <f t="shared" si="29"/>
        <v>1.4E-2</v>
      </c>
    </row>
    <row r="958" spans="1:12" x14ac:dyDescent="0.25">
      <c r="A958" s="1">
        <v>957</v>
      </c>
      <c r="B958" s="2">
        <v>1781101</v>
      </c>
      <c r="C958" s="3">
        <v>0.03</v>
      </c>
      <c r="D958" s="1">
        <v>0.5</v>
      </c>
      <c r="E958" s="4">
        <v>0.23</v>
      </c>
      <c r="F958" s="4">
        <v>0.28000000000000003</v>
      </c>
      <c r="G958" s="4">
        <v>0.49</v>
      </c>
      <c r="H958" s="17">
        <f t="shared" si="28"/>
        <v>5.3856368121646758E-6</v>
      </c>
      <c r="L958">
        <f t="shared" si="29"/>
        <v>1.4999999999999999E-2</v>
      </c>
    </row>
    <row r="959" spans="1:12" x14ac:dyDescent="0.25">
      <c r="A959" s="1">
        <v>958</v>
      </c>
      <c r="B959" s="2">
        <v>1352694</v>
      </c>
      <c r="C959" s="3">
        <v>2.3E-2</v>
      </c>
      <c r="D959" s="1">
        <v>0.5</v>
      </c>
      <c r="E959" s="4">
        <v>0.25</v>
      </c>
      <c r="F959" s="4">
        <v>0.31</v>
      </c>
      <c r="G959" s="4">
        <v>0.43999999999999995</v>
      </c>
      <c r="H959" s="17">
        <f t="shared" si="28"/>
        <v>3.1358455218779195E-6</v>
      </c>
      <c r="L959">
        <f t="shared" si="29"/>
        <v>1.15E-2</v>
      </c>
    </row>
    <row r="960" spans="1:12" x14ac:dyDescent="0.25">
      <c r="A960" s="1">
        <v>959</v>
      </c>
      <c r="B960" s="2">
        <v>1961922</v>
      </c>
      <c r="C960" s="3">
        <v>1.2999999999999999E-2</v>
      </c>
      <c r="D960" s="1">
        <v>0.5</v>
      </c>
      <c r="E960" s="4">
        <v>0.18</v>
      </c>
      <c r="F960" s="4">
        <v>0.22</v>
      </c>
      <c r="G960" s="4">
        <v>0.60000000000000009</v>
      </c>
      <c r="H960" s="17">
        <f t="shared" si="28"/>
        <v>2.5707056383541171E-6</v>
      </c>
      <c r="L960">
        <f t="shared" si="29"/>
        <v>6.4999999999999997E-3</v>
      </c>
    </row>
    <row r="961" spans="1:12" x14ac:dyDescent="0.25">
      <c r="A961" s="1">
        <v>960</v>
      </c>
      <c r="B961" s="2">
        <v>1686570</v>
      </c>
      <c r="C961" s="3">
        <v>2.5000000000000001E-2</v>
      </c>
      <c r="D961" s="1">
        <v>0.5</v>
      </c>
      <c r="E961" s="4">
        <v>0.16</v>
      </c>
      <c r="F961" s="4">
        <v>0.16</v>
      </c>
      <c r="G961" s="4">
        <v>0.67999999999999994</v>
      </c>
      <c r="H961" s="17">
        <f t="shared" si="28"/>
        <v>4.249830806100916E-6</v>
      </c>
      <c r="L961">
        <f t="shared" si="29"/>
        <v>1.2500000000000001E-2</v>
      </c>
    </row>
    <row r="962" spans="1:12" x14ac:dyDescent="0.25">
      <c r="A962" s="1">
        <v>961</v>
      </c>
      <c r="B962" s="2">
        <v>1328941</v>
      </c>
      <c r="C962" s="3">
        <v>1.4999999999999999E-2</v>
      </c>
      <c r="D962" s="1">
        <v>0.5</v>
      </c>
      <c r="E962" s="4">
        <v>0.23</v>
      </c>
      <c r="F962" s="4">
        <v>0.15</v>
      </c>
      <c r="G962" s="4">
        <v>0.62</v>
      </c>
      <c r="H962" s="17">
        <f t="shared" si="28"/>
        <v>2.0092048600261683E-6</v>
      </c>
      <c r="L962">
        <f t="shared" si="29"/>
        <v>7.4999999999999997E-3</v>
      </c>
    </row>
    <row r="963" spans="1:12" x14ac:dyDescent="0.25">
      <c r="A963" s="1">
        <v>962</v>
      </c>
      <c r="B963" s="2">
        <v>1528669</v>
      </c>
      <c r="C963" s="3">
        <v>1.7000000000000001E-2</v>
      </c>
      <c r="D963" s="1">
        <v>0.5</v>
      </c>
      <c r="E963" s="4">
        <v>0.25</v>
      </c>
      <c r="F963" s="4">
        <v>0.35</v>
      </c>
      <c r="G963" s="4">
        <v>0.4</v>
      </c>
      <c r="H963" s="17">
        <f t="shared" ref="H963:H1026" si="30">B963*C963*D963/SUM($B$2:$B$1797)</f>
        <v>2.6193265229438496E-6</v>
      </c>
      <c r="L963">
        <f t="shared" ref="L963:L1026" si="31">C963*D963</f>
        <v>8.5000000000000006E-3</v>
      </c>
    </row>
    <row r="964" spans="1:12" x14ac:dyDescent="0.25">
      <c r="A964" s="1">
        <v>963</v>
      </c>
      <c r="B964" s="2">
        <v>1161658</v>
      </c>
      <c r="C964" s="3">
        <v>0.01</v>
      </c>
      <c r="D964" s="1">
        <v>0.5</v>
      </c>
      <c r="E964" s="4">
        <v>0.18</v>
      </c>
      <c r="F964" s="4">
        <v>0.26</v>
      </c>
      <c r="G964" s="4">
        <v>0.56000000000000005</v>
      </c>
      <c r="H964" s="17">
        <f t="shared" si="30"/>
        <v>1.1708615603392871E-6</v>
      </c>
      <c r="L964">
        <f t="shared" si="31"/>
        <v>5.0000000000000001E-3</v>
      </c>
    </row>
    <row r="965" spans="1:12" x14ac:dyDescent="0.25">
      <c r="A965" s="1">
        <v>964</v>
      </c>
      <c r="B965" s="2">
        <v>1785126</v>
      </c>
      <c r="C965" s="3">
        <v>1.6E-2</v>
      </c>
      <c r="D965" s="1">
        <v>0.5</v>
      </c>
      <c r="E965" s="4">
        <v>0.18</v>
      </c>
      <c r="F965" s="4">
        <v>0.33</v>
      </c>
      <c r="G965" s="4">
        <v>0.48999999999999994</v>
      </c>
      <c r="H965" s="17">
        <f t="shared" si="30"/>
        <v>2.8788306558553104E-6</v>
      </c>
      <c r="L965">
        <f t="shared" si="31"/>
        <v>8.0000000000000002E-3</v>
      </c>
    </row>
    <row r="966" spans="1:12" x14ac:dyDescent="0.25">
      <c r="A966" s="1">
        <v>965</v>
      </c>
      <c r="B966" s="2">
        <v>1952102</v>
      </c>
      <c r="C966" s="3">
        <v>1.7000000000000001E-2</v>
      </c>
      <c r="D966" s="1">
        <v>0.5</v>
      </c>
      <c r="E966" s="4">
        <v>0.19</v>
      </c>
      <c r="F966" s="4">
        <v>0.26</v>
      </c>
      <c r="G966" s="4">
        <v>0.55000000000000004</v>
      </c>
      <c r="H966" s="17">
        <f t="shared" si="30"/>
        <v>3.3448657257337817E-6</v>
      </c>
      <c r="L966">
        <f t="shared" si="31"/>
        <v>8.5000000000000006E-3</v>
      </c>
    </row>
    <row r="967" spans="1:12" x14ac:dyDescent="0.25">
      <c r="A967" s="1">
        <v>966</v>
      </c>
      <c r="B967" s="2">
        <v>1843582</v>
      </c>
      <c r="C967" s="3">
        <v>2.4E-2</v>
      </c>
      <c r="D967" s="1">
        <v>0.5</v>
      </c>
      <c r="E967" s="4">
        <v>0.17</v>
      </c>
      <c r="F967" s="4">
        <v>0.35</v>
      </c>
      <c r="G967" s="4">
        <v>0.48</v>
      </c>
      <c r="H967" s="17">
        <f t="shared" si="30"/>
        <v>4.4596519053974721E-6</v>
      </c>
      <c r="L967">
        <f t="shared" si="31"/>
        <v>1.2E-2</v>
      </c>
    </row>
    <row r="968" spans="1:12" x14ac:dyDescent="0.25">
      <c r="A968" s="1">
        <v>967</v>
      </c>
      <c r="B968" s="2">
        <v>1196476</v>
      </c>
      <c r="C968" s="3">
        <v>2.5999999999999999E-2</v>
      </c>
      <c r="D968" s="1">
        <v>0.5</v>
      </c>
      <c r="E968" s="4">
        <v>0.21</v>
      </c>
      <c r="F968" s="4">
        <v>0.21</v>
      </c>
      <c r="G968" s="4">
        <v>0.58000000000000007</v>
      </c>
      <c r="H968" s="17">
        <f t="shared" si="30"/>
        <v>3.1354840807691446E-6</v>
      </c>
      <c r="L968">
        <f t="shared" si="31"/>
        <v>1.2999999999999999E-2</v>
      </c>
    </row>
    <row r="969" spans="1:12" x14ac:dyDescent="0.25">
      <c r="A969" s="1">
        <v>968</v>
      </c>
      <c r="B969" s="2">
        <v>1793437</v>
      </c>
      <c r="C969" s="3">
        <v>0.03</v>
      </c>
      <c r="D969" s="1">
        <v>0.5</v>
      </c>
      <c r="E969" s="4">
        <v>0.16</v>
      </c>
      <c r="F969" s="4">
        <v>0.21</v>
      </c>
      <c r="G969" s="4">
        <v>0.63</v>
      </c>
      <c r="H969" s="17">
        <f t="shared" si="30"/>
        <v>5.4229380183932188E-6</v>
      </c>
      <c r="L969">
        <f t="shared" si="31"/>
        <v>1.4999999999999999E-2</v>
      </c>
    </row>
    <row r="970" spans="1:12" x14ac:dyDescent="0.25">
      <c r="A970" s="1">
        <v>969</v>
      </c>
      <c r="B970" s="2">
        <v>1294835</v>
      </c>
      <c r="C970" s="3">
        <v>0.01</v>
      </c>
      <c r="D970" s="1">
        <v>0.5</v>
      </c>
      <c r="E970" s="4">
        <v>0.17</v>
      </c>
      <c r="F970" s="4">
        <v>0.32</v>
      </c>
      <c r="G970" s="4">
        <v>0.5099999999999999</v>
      </c>
      <c r="H970" s="17">
        <f t="shared" si="30"/>
        <v>1.3050936923620555E-6</v>
      </c>
      <c r="L970">
        <f t="shared" si="31"/>
        <v>5.0000000000000001E-3</v>
      </c>
    </row>
    <row r="971" spans="1:12" x14ac:dyDescent="0.25">
      <c r="A971" s="1">
        <v>970</v>
      </c>
      <c r="B971" s="2">
        <v>1893590</v>
      </c>
      <c r="C971" s="3">
        <v>1.4E-2</v>
      </c>
      <c r="D971" s="1">
        <v>0.5</v>
      </c>
      <c r="E971" s="4">
        <v>0.22</v>
      </c>
      <c r="F971" s="4">
        <v>0.25</v>
      </c>
      <c r="G971" s="4">
        <v>0.53</v>
      </c>
      <c r="H971" s="17">
        <f t="shared" si="30"/>
        <v>2.6720294947910822E-6</v>
      </c>
      <c r="L971">
        <f t="shared" si="31"/>
        <v>7.0000000000000001E-3</v>
      </c>
    </row>
    <row r="972" spans="1:12" x14ac:dyDescent="0.25">
      <c r="A972" s="1">
        <v>971</v>
      </c>
      <c r="B972" s="2">
        <v>1039778</v>
      </c>
      <c r="C972" s="3">
        <v>2.5999999999999999E-2</v>
      </c>
      <c r="D972" s="1">
        <v>0.5</v>
      </c>
      <c r="E972" s="4">
        <v>0.21</v>
      </c>
      <c r="F972" s="4">
        <v>0.35</v>
      </c>
      <c r="G972" s="4">
        <v>0.44000000000000006</v>
      </c>
      <c r="H972" s="17">
        <f t="shared" si="30"/>
        <v>2.7248414230907928E-6</v>
      </c>
      <c r="L972">
        <f t="shared" si="31"/>
        <v>1.2999999999999999E-2</v>
      </c>
    </row>
    <row r="973" spans="1:12" x14ac:dyDescent="0.25">
      <c r="A973" s="1">
        <v>972</v>
      </c>
      <c r="B973" s="2">
        <v>1266668</v>
      </c>
      <c r="C973" s="3">
        <v>2.5000000000000001E-2</v>
      </c>
      <c r="D973" s="1">
        <v>0.5</v>
      </c>
      <c r="E973" s="4">
        <v>0.22</v>
      </c>
      <c r="F973" s="4">
        <v>0.28999999999999998</v>
      </c>
      <c r="G973" s="4">
        <v>0.49</v>
      </c>
      <c r="H973" s="17">
        <f t="shared" si="30"/>
        <v>3.1917588285705519E-6</v>
      </c>
      <c r="L973">
        <f t="shared" si="31"/>
        <v>1.2500000000000001E-2</v>
      </c>
    </row>
    <row r="974" spans="1:12" x14ac:dyDescent="0.25">
      <c r="A974" s="1">
        <v>973</v>
      </c>
      <c r="B974" s="2">
        <v>1257903</v>
      </c>
      <c r="C974" s="3">
        <v>1.7000000000000001E-2</v>
      </c>
      <c r="D974" s="1">
        <v>0.5</v>
      </c>
      <c r="E974" s="4">
        <v>0.15</v>
      </c>
      <c r="F974" s="4">
        <v>0.16</v>
      </c>
      <c r="G974" s="4">
        <v>0.69</v>
      </c>
      <c r="H974" s="17">
        <f t="shared" si="30"/>
        <v>2.1553774500501006E-6</v>
      </c>
      <c r="L974">
        <f t="shared" si="31"/>
        <v>8.5000000000000006E-3</v>
      </c>
    </row>
    <row r="975" spans="1:12" x14ac:dyDescent="0.25">
      <c r="A975" s="1">
        <v>974</v>
      </c>
      <c r="B975" s="2">
        <v>1214443</v>
      </c>
      <c r="C975" s="3">
        <v>2.7E-2</v>
      </c>
      <c r="D975" s="1">
        <v>0.5</v>
      </c>
      <c r="E975" s="4">
        <v>0.16</v>
      </c>
      <c r="F975" s="4">
        <v>0.28000000000000003</v>
      </c>
      <c r="G975" s="4">
        <v>0.55999999999999994</v>
      </c>
      <c r="H975" s="17">
        <f t="shared" si="30"/>
        <v>3.3049748635075359E-6</v>
      </c>
      <c r="L975">
        <f t="shared" si="31"/>
        <v>1.35E-2</v>
      </c>
    </row>
    <row r="976" spans="1:12" x14ac:dyDescent="0.25">
      <c r="A976" s="1">
        <v>975</v>
      </c>
      <c r="B976" s="2">
        <v>1137525</v>
      </c>
      <c r="C976" s="3">
        <v>1.9E-2</v>
      </c>
      <c r="D976" s="1">
        <v>0.5</v>
      </c>
      <c r="E976" s="4">
        <v>0.15</v>
      </c>
      <c r="F976" s="4">
        <v>0.22</v>
      </c>
      <c r="G976" s="4">
        <v>0.63</v>
      </c>
      <c r="H976" s="17">
        <f t="shared" si="30"/>
        <v>2.1784209838071103E-6</v>
      </c>
      <c r="L976">
        <f t="shared" si="31"/>
        <v>9.4999999999999998E-3</v>
      </c>
    </row>
    <row r="977" spans="1:12" x14ac:dyDescent="0.25">
      <c r="A977" s="1">
        <v>976</v>
      </c>
      <c r="B977" s="2">
        <v>1081724</v>
      </c>
      <c r="C977" s="3">
        <v>0.02</v>
      </c>
      <c r="D977" s="1">
        <v>0.5</v>
      </c>
      <c r="E977" s="4">
        <v>0.19</v>
      </c>
      <c r="F977" s="4">
        <v>0.18</v>
      </c>
      <c r="G977" s="4">
        <v>0.63000000000000012</v>
      </c>
      <c r="H977" s="17">
        <f t="shared" si="30"/>
        <v>2.1805885217447043E-6</v>
      </c>
      <c r="L977">
        <f t="shared" si="31"/>
        <v>0.01</v>
      </c>
    </row>
    <row r="978" spans="1:12" x14ac:dyDescent="0.25">
      <c r="A978" s="1">
        <v>977</v>
      </c>
      <c r="B978" s="2">
        <v>1851402</v>
      </c>
      <c r="C978" s="3">
        <v>1.7999999999999999E-2</v>
      </c>
      <c r="D978" s="1">
        <v>0.5</v>
      </c>
      <c r="E978" s="4">
        <v>0.22</v>
      </c>
      <c r="F978" s="4">
        <v>0.28000000000000003</v>
      </c>
      <c r="G978" s="4">
        <v>0.5</v>
      </c>
      <c r="H978" s="17">
        <f t="shared" si="30"/>
        <v>3.3589264500941737E-6</v>
      </c>
      <c r="L978">
        <f t="shared" si="31"/>
        <v>8.9999999999999993E-3</v>
      </c>
    </row>
    <row r="979" spans="1:12" x14ac:dyDescent="0.25">
      <c r="A979" s="1">
        <v>978</v>
      </c>
      <c r="B979" s="2">
        <v>1766748</v>
      </c>
      <c r="C979" s="3">
        <v>2.3E-2</v>
      </c>
      <c r="D979" s="1">
        <v>0.5</v>
      </c>
      <c r="E979" s="4">
        <v>0.21</v>
      </c>
      <c r="F979" s="4">
        <v>0.34</v>
      </c>
      <c r="G979" s="4">
        <v>0.44999999999999996</v>
      </c>
      <c r="H979" s="17">
        <f t="shared" si="30"/>
        <v>4.095714776650721E-6</v>
      </c>
      <c r="L979">
        <f t="shared" si="31"/>
        <v>1.15E-2</v>
      </c>
    </row>
    <row r="980" spans="1:12" x14ac:dyDescent="0.25">
      <c r="A980" s="1">
        <v>979</v>
      </c>
      <c r="B980" s="2">
        <v>1579073</v>
      </c>
      <c r="C980" s="3">
        <v>1.4E-2</v>
      </c>
      <c r="D980" s="1">
        <v>0.5</v>
      </c>
      <c r="E980" s="4">
        <v>0.25</v>
      </c>
      <c r="F980" s="4">
        <v>0.34</v>
      </c>
      <c r="G980" s="4">
        <v>0.40999999999999992</v>
      </c>
      <c r="H980" s="17">
        <f t="shared" si="30"/>
        <v>2.2282171063578906E-6</v>
      </c>
      <c r="L980">
        <f t="shared" si="31"/>
        <v>7.0000000000000001E-3</v>
      </c>
    </row>
    <row r="981" spans="1:12" x14ac:dyDescent="0.25">
      <c r="A981" s="1">
        <v>980</v>
      </c>
      <c r="B981" s="2">
        <v>1931908</v>
      </c>
      <c r="C981" s="3">
        <v>1.0999999999999999E-2</v>
      </c>
      <c r="D981" s="1">
        <v>0.5</v>
      </c>
      <c r="E981" s="4">
        <v>0.2</v>
      </c>
      <c r="F981" s="4">
        <v>0.3</v>
      </c>
      <c r="G981" s="4">
        <v>0.49999999999999994</v>
      </c>
      <c r="H981" s="17">
        <f t="shared" si="30"/>
        <v>2.1419354894841222E-6</v>
      </c>
      <c r="L981">
        <f t="shared" si="31"/>
        <v>5.4999999999999997E-3</v>
      </c>
    </row>
    <row r="982" spans="1:12" x14ac:dyDescent="0.25">
      <c r="A982" s="1">
        <v>981</v>
      </c>
      <c r="B982" s="2">
        <v>1914207</v>
      </c>
      <c r="C982" s="3">
        <v>1.2999999999999999E-2</v>
      </c>
      <c r="D982" s="1">
        <v>0.5</v>
      </c>
      <c r="E982" s="4">
        <v>0.2</v>
      </c>
      <c r="F982" s="4">
        <v>0.24</v>
      </c>
      <c r="G982" s="4">
        <v>0.56000000000000005</v>
      </c>
      <c r="H982" s="17">
        <f t="shared" si="30"/>
        <v>2.5081846922950655E-6</v>
      </c>
      <c r="L982">
        <f t="shared" si="31"/>
        <v>6.4999999999999997E-3</v>
      </c>
    </row>
    <row r="983" spans="1:12" x14ac:dyDescent="0.25">
      <c r="A983" s="1">
        <v>982</v>
      </c>
      <c r="B983" s="2">
        <v>1558787</v>
      </c>
      <c r="C983" s="3">
        <v>0.03</v>
      </c>
      <c r="D983" s="1">
        <v>0.5</v>
      </c>
      <c r="E983" s="4">
        <v>0.18</v>
      </c>
      <c r="F983" s="4">
        <v>0.16</v>
      </c>
      <c r="G983" s="4">
        <v>0.65999999999999992</v>
      </c>
      <c r="H983" s="17">
        <f t="shared" si="30"/>
        <v>4.7134107776727645E-6</v>
      </c>
      <c r="L983">
        <f t="shared" si="31"/>
        <v>1.4999999999999999E-2</v>
      </c>
    </row>
    <row r="984" spans="1:12" x14ac:dyDescent="0.25">
      <c r="A984" s="1">
        <v>983</v>
      </c>
      <c r="B984" s="2">
        <v>1049874</v>
      </c>
      <c r="C984" s="3">
        <v>2.7E-2</v>
      </c>
      <c r="D984" s="1">
        <v>0.5</v>
      </c>
      <c r="E984" s="4">
        <v>0.24</v>
      </c>
      <c r="F984" s="4">
        <v>0.15</v>
      </c>
      <c r="G984" s="4">
        <v>0.61</v>
      </c>
      <c r="H984" s="17">
        <f t="shared" si="30"/>
        <v>2.8571181849210793E-6</v>
      </c>
      <c r="L984">
        <f t="shared" si="31"/>
        <v>1.35E-2</v>
      </c>
    </row>
    <row r="985" spans="1:12" x14ac:dyDescent="0.25">
      <c r="A985" s="1">
        <v>984</v>
      </c>
      <c r="B985" s="2">
        <v>1607364</v>
      </c>
      <c r="C985" s="3">
        <v>1.0999999999999999E-2</v>
      </c>
      <c r="D985" s="1">
        <v>0.5</v>
      </c>
      <c r="E985" s="4">
        <v>0.18</v>
      </c>
      <c r="F985" s="4">
        <v>0.3</v>
      </c>
      <c r="G985" s="4">
        <v>0.52</v>
      </c>
      <c r="H985" s="17">
        <f t="shared" si="30"/>
        <v>1.7821086698327023E-6</v>
      </c>
      <c r="L985">
        <f t="shared" si="31"/>
        <v>5.4999999999999997E-3</v>
      </c>
    </row>
    <row r="986" spans="1:12" x14ac:dyDescent="0.25">
      <c r="A986" s="1">
        <v>985</v>
      </c>
      <c r="B986" s="2">
        <v>1948581</v>
      </c>
      <c r="C986" s="3">
        <v>2.5000000000000001E-2</v>
      </c>
      <c r="D986" s="1">
        <v>0.5</v>
      </c>
      <c r="E986" s="4">
        <v>0.17</v>
      </c>
      <c r="F986" s="4">
        <v>0.25</v>
      </c>
      <c r="G986" s="4">
        <v>0.57999999999999996</v>
      </c>
      <c r="H986" s="17">
        <f t="shared" si="30"/>
        <v>4.9100479446349273E-6</v>
      </c>
      <c r="L986">
        <f t="shared" si="31"/>
        <v>1.2500000000000001E-2</v>
      </c>
    </row>
    <row r="987" spans="1:12" x14ac:dyDescent="0.25">
      <c r="A987" s="1">
        <v>986</v>
      </c>
      <c r="B987" s="2">
        <v>1051155</v>
      </c>
      <c r="C987" s="3">
        <v>0.01</v>
      </c>
      <c r="D987" s="1">
        <v>0.5</v>
      </c>
      <c r="E987" s="4">
        <v>0.2</v>
      </c>
      <c r="F987" s="4">
        <v>0.25</v>
      </c>
      <c r="G987" s="4">
        <v>0.55000000000000004</v>
      </c>
      <c r="H987" s="17">
        <f t="shared" si="30"/>
        <v>1.0594830694218464E-6</v>
      </c>
      <c r="L987">
        <f t="shared" si="31"/>
        <v>5.0000000000000001E-3</v>
      </c>
    </row>
    <row r="988" spans="1:12" x14ac:dyDescent="0.25">
      <c r="A988" s="1">
        <v>987</v>
      </c>
      <c r="B988" s="2">
        <v>1372266</v>
      </c>
      <c r="C988" s="3">
        <v>2.8000000000000001E-2</v>
      </c>
      <c r="D988" s="1">
        <v>0.5</v>
      </c>
      <c r="E988" s="4">
        <v>0.21</v>
      </c>
      <c r="F988" s="4">
        <v>0.15</v>
      </c>
      <c r="G988" s="4">
        <v>0.64</v>
      </c>
      <c r="H988" s="17">
        <f t="shared" si="30"/>
        <v>3.8727868511124151E-6</v>
      </c>
      <c r="L988">
        <f t="shared" si="31"/>
        <v>1.4E-2</v>
      </c>
    </row>
    <row r="989" spans="1:12" x14ac:dyDescent="0.25">
      <c r="A989" s="1">
        <v>988</v>
      </c>
      <c r="B989" s="2">
        <v>1489489</v>
      </c>
      <c r="C989" s="3">
        <v>1.4999999999999999E-2</v>
      </c>
      <c r="D989" s="1">
        <v>0.5</v>
      </c>
      <c r="E989" s="4">
        <v>0.17</v>
      </c>
      <c r="F989" s="4">
        <v>0.17</v>
      </c>
      <c r="G989" s="4">
        <v>0.65999999999999992</v>
      </c>
      <c r="H989" s="17">
        <f t="shared" si="30"/>
        <v>2.2519348396621954E-6</v>
      </c>
      <c r="L989">
        <f t="shared" si="31"/>
        <v>7.4999999999999997E-3</v>
      </c>
    </row>
    <row r="990" spans="1:12" x14ac:dyDescent="0.25">
      <c r="A990" s="1">
        <v>989</v>
      </c>
      <c r="B990" s="2">
        <v>1482466</v>
      </c>
      <c r="C990" s="3">
        <v>2.1999999999999999E-2</v>
      </c>
      <c r="D990" s="1">
        <v>0.5</v>
      </c>
      <c r="E990" s="4">
        <v>0.22</v>
      </c>
      <c r="F990" s="4">
        <v>0.24</v>
      </c>
      <c r="G990" s="4">
        <v>0.54</v>
      </c>
      <c r="H990" s="17">
        <f t="shared" si="30"/>
        <v>3.2872647531389365E-6</v>
      </c>
      <c r="L990">
        <f t="shared" si="31"/>
        <v>1.0999999999999999E-2</v>
      </c>
    </row>
    <row r="991" spans="1:12" x14ac:dyDescent="0.25">
      <c r="A991" s="1">
        <v>990</v>
      </c>
      <c r="B991" s="2">
        <v>1446239</v>
      </c>
      <c r="C991" s="3">
        <v>2.1000000000000001E-2</v>
      </c>
      <c r="D991" s="1">
        <v>0.5</v>
      </c>
      <c r="E991" s="4">
        <v>0.19</v>
      </c>
      <c r="F991" s="4">
        <v>0.17</v>
      </c>
      <c r="G991" s="4">
        <v>0.6399999999999999</v>
      </c>
      <c r="H991" s="17">
        <f t="shared" si="30"/>
        <v>3.0611641890671896E-6</v>
      </c>
      <c r="L991">
        <f t="shared" si="31"/>
        <v>1.0500000000000001E-2</v>
      </c>
    </row>
    <row r="992" spans="1:12" x14ac:dyDescent="0.25">
      <c r="A992" s="1">
        <v>991</v>
      </c>
      <c r="B992" s="2">
        <v>1150360</v>
      </c>
      <c r="C992" s="3">
        <v>2.7E-2</v>
      </c>
      <c r="D992" s="1">
        <v>0.5</v>
      </c>
      <c r="E992" s="4">
        <v>0.16</v>
      </c>
      <c r="F992" s="4">
        <v>0.34</v>
      </c>
      <c r="G992" s="4">
        <v>0.49999999999999989</v>
      </c>
      <c r="H992" s="17">
        <f t="shared" si="30"/>
        <v>3.1305799316925776E-6</v>
      </c>
      <c r="L992">
        <f t="shared" si="31"/>
        <v>1.35E-2</v>
      </c>
    </row>
    <row r="993" spans="1:12" x14ac:dyDescent="0.25">
      <c r="A993" s="1">
        <v>992</v>
      </c>
      <c r="B993" s="2">
        <v>1465219</v>
      </c>
      <c r="C993" s="3">
        <v>2.5000000000000001E-2</v>
      </c>
      <c r="D993" s="1">
        <v>0.5</v>
      </c>
      <c r="E993" s="4">
        <v>0.2</v>
      </c>
      <c r="F993" s="4">
        <v>0.2</v>
      </c>
      <c r="G993" s="4">
        <v>0.60000000000000009</v>
      </c>
      <c r="H993" s="17">
        <f t="shared" si="30"/>
        <v>3.6920690181162822E-6</v>
      </c>
      <c r="L993">
        <f t="shared" si="31"/>
        <v>1.2500000000000001E-2</v>
      </c>
    </row>
    <row r="994" spans="1:12" x14ac:dyDescent="0.25">
      <c r="A994" s="1">
        <v>993</v>
      </c>
      <c r="B994" s="2">
        <v>1098511</v>
      </c>
      <c r="C994" s="3">
        <v>2.9000000000000001E-2</v>
      </c>
      <c r="D994" s="1">
        <v>0.5</v>
      </c>
      <c r="E994" s="4">
        <v>0.19</v>
      </c>
      <c r="F994" s="4">
        <v>0.33</v>
      </c>
      <c r="G994" s="4">
        <v>0.47999999999999993</v>
      </c>
      <c r="H994" s="17">
        <f t="shared" si="30"/>
        <v>3.2109213556645974E-6</v>
      </c>
      <c r="L994">
        <f t="shared" si="31"/>
        <v>1.4500000000000001E-2</v>
      </c>
    </row>
    <row r="995" spans="1:12" x14ac:dyDescent="0.25">
      <c r="A995" s="1">
        <v>994</v>
      </c>
      <c r="B995" s="2">
        <v>1861648</v>
      </c>
      <c r="C995" s="3">
        <v>2.9000000000000001E-2</v>
      </c>
      <c r="D995" s="1">
        <v>0.5</v>
      </c>
      <c r="E995" s="4">
        <v>0.22</v>
      </c>
      <c r="F995" s="4">
        <v>0.16</v>
      </c>
      <c r="G995" s="4">
        <v>0.62</v>
      </c>
      <c r="H995" s="17">
        <f t="shared" si="30"/>
        <v>5.4415525378719796E-6</v>
      </c>
      <c r="L995">
        <f t="shared" si="31"/>
        <v>1.4500000000000001E-2</v>
      </c>
    </row>
    <row r="996" spans="1:12" x14ac:dyDescent="0.25">
      <c r="A996" s="1">
        <v>995</v>
      </c>
      <c r="B996" s="2">
        <v>1786635</v>
      </c>
      <c r="C996" s="3">
        <v>2.1999999999999999E-2</v>
      </c>
      <c r="D996" s="1">
        <v>0.5</v>
      </c>
      <c r="E996" s="4">
        <v>0.18</v>
      </c>
      <c r="F996" s="4">
        <v>0.34</v>
      </c>
      <c r="G996" s="4">
        <v>0.47999999999999993</v>
      </c>
      <c r="H996" s="17">
        <f t="shared" si="30"/>
        <v>3.9617382538448674E-6</v>
      </c>
      <c r="L996">
        <f t="shared" si="31"/>
        <v>1.0999999999999999E-2</v>
      </c>
    </row>
    <row r="997" spans="1:12" x14ac:dyDescent="0.25">
      <c r="A997" s="1">
        <v>996</v>
      </c>
      <c r="B997" s="2">
        <v>1767165</v>
      </c>
      <c r="C997" s="3">
        <v>2.7E-2</v>
      </c>
      <c r="D997" s="1">
        <v>0.5</v>
      </c>
      <c r="E997" s="4">
        <v>0.15</v>
      </c>
      <c r="F997" s="4">
        <v>0.17</v>
      </c>
      <c r="G997" s="4">
        <v>0.67999999999999994</v>
      </c>
      <c r="H997" s="17">
        <f t="shared" si="30"/>
        <v>4.8091478189345195E-6</v>
      </c>
      <c r="L997">
        <f t="shared" si="31"/>
        <v>1.35E-2</v>
      </c>
    </row>
    <row r="998" spans="1:12" x14ac:dyDescent="0.25">
      <c r="A998" s="1">
        <v>997</v>
      </c>
      <c r="B998" s="2">
        <v>1034947</v>
      </c>
      <c r="C998" s="3">
        <v>1.9E-2</v>
      </c>
      <c r="D998" s="1">
        <v>0.5</v>
      </c>
      <c r="E998" s="4">
        <v>0.24</v>
      </c>
      <c r="F998" s="4">
        <v>0.28000000000000003</v>
      </c>
      <c r="G998" s="4">
        <v>0.48</v>
      </c>
      <c r="H998" s="17">
        <f t="shared" si="30"/>
        <v>1.9819786483182501E-6</v>
      </c>
      <c r="L998">
        <f t="shared" si="31"/>
        <v>9.4999999999999998E-3</v>
      </c>
    </row>
    <row r="999" spans="1:12" x14ac:dyDescent="0.25">
      <c r="A999" s="1">
        <v>998</v>
      </c>
      <c r="B999" s="2">
        <v>1941954</v>
      </c>
      <c r="C999" s="3">
        <v>1.4E-2</v>
      </c>
      <c r="D999" s="1">
        <v>0.5</v>
      </c>
      <c r="E999" s="4">
        <v>0.2</v>
      </c>
      <c r="F999" s="4">
        <v>0.34</v>
      </c>
      <c r="G999" s="4">
        <v>0.45999999999999991</v>
      </c>
      <c r="H999" s="17">
        <f t="shared" si="30"/>
        <v>2.7402755430307093E-6</v>
      </c>
      <c r="L999">
        <f t="shared" si="31"/>
        <v>7.0000000000000001E-3</v>
      </c>
    </row>
    <row r="1000" spans="1:12" x14ac:dyDescent="0.25">
      <c r="A1000" s="1">
        <v>999</v>
      </c>
      <c r="B1000" s="2">
        <v>1149437</v>
      </c>
      <c r="C1000" s="3">
        <v>2.9000000000000001E-2</v>
      </c>
      <c r="D1000" s="1">
        <v>0.5</v>
      </c>
      <c r="E1000" s="4">
        <v>0.18</v>
      </c>
      <c r="F1000" s="4">
        <v>0.31</v>
      </c>
      <c r="G1000" s="4">
        <v>0.51</v>
      </c>
      <c r="H1000" s="17">
        <f t="shared" si="30"/>
        <v>3.359776834543348E-6</v>
      </c>
      <c r="L1000">
        <f t="shared" si="31"/>
        <v>1.4500000000000001E-2</v>
      </c>
    </row>
    <row r="1001" spans="1:12" x14ac:dyDescent="0.25">
      <c r="A1001" s="1">
        <v>1000</v>
      </c>
      <c r="B1001" s="2">
        <v>1852306</v>
      </c>
      <c r="C1001" s="3">
        <v>1.6E-2</v>
      </c>
      <c r="D1001" s="1">
        <v>0.5</v>
      </c>
      <c r="E1001" s="4">
        <v>0.23</v>
      </c>
      <c r="F1001" s="4">
        <v>0.21</v>
      </c>
      <c r="G1001" s="4">
        <v>0.56000000000000005</v>
      </c>
      <c r="H1001" s="17">
        <f t="shared" si="30"/>
        <v>2.9871702595921668E-6</v>
      </c>
      <c r="L1001">
        <f t="shared" si="31"/>
        <v>8.0000000000000002E-3</v>
      </c>
    </row>
    <row r="1002" spans="1:12" x14ac:dyDescent="0.25">
      <c r="A1002" s="1">
        <v>1001</v>
      </c>
      <c r="B1002" s="2">
        <v>1178638</v>
      </c>
      <c r="C1002" s="3">
        <v>1.6E-2</v>
      </c>
      <c r="D1002" s="1">
        <v>0.5</v>
      </c>
      <c r="E1002" s="4">
        <v>0.25</v>
      </c>
      <c r="F1002" s="4">
        <v>0.18</v>
      </c>
      <c r="G1002" s="4">
        <v>0.57000000000000006</v>
      </c>
      <c r="H1002" s="17">
        <f t="shared" si="30"/>
        <v>1.9007617426198437E-6</v>
      </c>
      <c r="L1002">
        <f t="shared" si="31"/>
        <v>8.0000000000000002E-3</v>
      </c>
    </row>
    <row r="1003" spans="1:12" x14ac:dyDescent="0.25">
      <c r="A1003" s="1">
        <v>1002</v>
      </c>
      <c r="B1003" s="2">
        <v>1608077</v>
      </c>
      <c r="C1003" s="3">
        <v>2.9000000000000001E-2</v>
      </c>
      <c r="D1003" s="1">
        <v>0.5</v>
      </c>
      <c r="E1003" s="4">
        <v>0.24</v>
      </c>
      <c r="F1003" s="4">
        <v>0.19</v>
      </c>
      <c r="G1003" s="4">
        <v>0.57000000000000006</v>
      </c>
      <c r="H1003" s="17">
        <f t="shared" si="30"/>
        <v>4.7003705751267471E-6</v>
      </c>
      <c r="L1003">
        <f t="shared" si="31"/>
        <v>1.4500000000000001E-2</v>
      </c>
    </row>
    <row r="1004" spans="1:12" x14ac:dyDescent="0.25">
      <c r="A1004" s="1">
        <v>1003</v>
      </c>
      <c r="B1004" s="2">
        <v>1783716</v>
      </c>
      <c r="C1004" s="3">
        <v>2.1000000000000001E-2</v>
      </c>
      <c r="D1004" s="1">
        <v>0.5</v>
      </c>
      <c r="E1004" s="4">
        <v>0.23</v>
      </c>
      <c r="F1004" s="4">
        <v>0.25</v>
      </c>
      <c r="G1004" s="4">
        <v>0.52</v>
      </c>
      <c r="H1004" s="17">
        <f t="shared" si="30"/>
        <v>3.7754807764596109E-6</v>
      </c>
      <c r="L1004">
        <f t="shared" si="31"/>
        <v>1.0500000000000001E-2</v>
      </c>
    </row>
    <row r="1005" spans="1:12" x14ac:dyDescent="0.25">
      <c r="A1005" s="1">
        <v>1004</v>
      </c>
      <c r="B1005" s="2">
        <v>1243422</v>
      </c>
      <c r="C1005" s="3">
        <v>2.5000000000000001E-2</v>
      </c>
      <c r="D1005" s="1">
        <v>0.5</v>
      </c>
      <c r="E1005" s="4">
        <v>0.25</v>
      </c>
      <c r="F1005" s="4">
        <v>0.15</v>
      </c>
      <c r="G1005" s="4">
        <v>0.6</v>
      </c>
      <c r="H1005" s="17">
        <f t="shared" si="30"/>
        <v>3.1331833962323617E-6</v>
      </c>
      <c r="L1005">
        <f t="shared" si="31"/>
        <v>1.2500000000000001E-2</v>
      </c>
    </row>
    <row r="1006" spans="1:12" x14ac:dyDescent="0.25">
      <c r="A1006" s="1">
        <v>1005</v>
      </c>
      <c r="B1006" s="2">
        <v>1955106</v>
      </c>
      <c r="C1006" s="3">
        <v>1.9E-2</v>
      </c>
      <c r="D1006" s="1">
        <v>0.5</v>
      </c>
      <c r="E1006" s="4">
        <v>0.19</v>
      </c>
      <c r="F1006" s="4">
        <v>0.25</v>
      </c>
      <c r="G1006" s="4">
        <v>0.56000000000000005</v>
      </c>
      <c r="H1006" s="17">
        <f t="shared" si="30"/>
        <v>3.7441321605830061E-6</v>
      </c>
      <c r="L1006">
        <f t="shared" si="31"/>
        <v>9.4999999999999998E-3</v>
      </c>
    </row>
    <row r="1007" spans="1:12" x14ac:dyDescent="0.25">
      <c r="A1007" s="1">
        <v>1006</v>
      </c>
      <c r="B1007" s="2">
        <v>1147498</v>
      </c>
      <c r="C1007" s="3">
        <v>1.2E-2</v>
      </c>
      <c r="D1007" s="1">
        <v>0.5</v>
      </c>
      <c r="E1007" s="4">
        <v>0.24</v>
      </c>
      <c r="F1007" s="4">
        <v>0.34</v>
      </c>
      <c r="G1007" s="4">
        <v>0.41999999999999993</v>
      </c>
      <c r="H1007" s="17">
        <f t="shared" si="30"/>
        <v>1.3879072485356735E-6</v>
      </c>
      <c r="L1007">
        <f t="shared" si="31"/>
        <v>6.0000000000000001E-3</v>
      </c>
    </row>
    <row r="1008" spans="1:12" x14ac:dyDescent="0.25">
      <c r="A1008" s="1">
        <v>1007</v>
      </c>
      <c r="B1008" s="2">
        <v>1347162</v>
      </c>
      <c r="C1008" s="3">
        <v>2.5000000000000001E-2</v>
      </c>
      <c r="D1008" s="1">
        <v>0.5</v>
      </c>
      <c r="E1008" s="4">
        <v>0.2</v>
      </c>
      <c r="F1008" s="4">
        <v>0.28000000000000003</v>
      </c>
      <c r="G1008" s="4">
        <v>0.52</v>
      </c>
      <c r="H1008" s="17">
        <f t="shared" si="30"/>
        <v>3.394588169129371E-6</v>
      </c>
      <c r="L1008">
        <f t="shared" si="31"/>
        <v>1.2500000000000001E-2</v>
      </c>
    </row>
    <row r="1009" spans="1:12" x14ac:dyDescent="0.25">
      <c r="A1009" s="1">
        <v>1008</v>
      </c>
      <c r="B1009" s="2">
        <v>1454793</v>
      </c>
      <c r="C1009" s="3">
        <v>1.4999999999999999E-2</v>
      </c>
      <c r="D1009" s="1">
        <v>0.5</v>
      </c>
      <c r="E1009" s="4">
        <v>0.19</v>
      </c>
      <c r="F1009" s="4">
        <v>0.35</v>
      </c>
      <c r="G1009" s="4">
        <v>0.46</v>
      </c>
      <c r="H1009" s="17">
        <f t="shared" si="30"/>
        <v>2.1994785065191376E-6</v>
      </c>
      <c r="L1009">
        <f t="shared" si="31"/>
        <v>7.4999999999999997E-3</v>
      </c>
    </row>
    <row r="1010" spans="1:12" x14ac:dyDescent="0.25">
      <c r="A1010" s="1">
        <v>1009</v>
      </c>
      <c r="B1010" s="2">
        <v>1993255</v>
      </c>
      <c r="C1010" s="3">
        <v>2.9000000000000001E-2</v>
      </c>
      <c r="D1010" s="1">
        <v>0.5</v>
      </c>
      <c r="E1010" s="4">
        <v>0.21</v>
      </c>
      <c r="F1010" s="4">
        <v>0.32</v>
      </c>
      <c r="G1010" s="4">
        <v>0.47</v>
      </c>
      <c r="H1010" s="17">
        <f t="shared" si="30"/>
        <v>5.8262366483223538E-6</v>
      </c>
      <c r="L1010">
        <f t="shared" si="31"/>
        <v>1.4500000000000001E-2</v>
      </c>
    </row>
    <row r="1011" spans="1:12" x14ac:dyDescent="0.25">
      <c r="A1011" s="1">
        <v>1010</v>
      </c>
      <c r="B1011" s="2">
        <v>1588721</v>
      </c>
      <c r="C1011" s="3">
        <v>0.03</v>
      </c>
      <c r="D1011" s="1">
        <v>0.5</v>
      </c>
      <c r="E1011" s="4">
        <v>0.18</v>
      </c>
      <c r="F1011" s="4">
        <v>0.24</v>
      </c>
      <c r="G1011" s="4">
        <v>0.58000000000000007</v>
      </c>
      <c r="H1011" s="17">
        <f t="shared" si="30"/>
        <v>4.8039242591290869E-6</v>
      </c>
      <c r="L1011">
        <f t="shared" si="31"/>
        <v>1.4999999999999999E-2</v>
      </c>
    </row>
    <row r="1012" spans="1:12" x14ac:dyDescent="0.25">
      <c r="A1012" s="1">
        <v>1011</v>
      </c>
      <c r="B1012" s="2">
        <v>1519242</v>
      </c>
      <c r="C1012" s="3">
        <v>1.4999999999999999E-2</v>
      </c>
      <c r="D1012" s="1">
        <v>0.5</v>
      </c>
      <c r="E1012" s="4">
        <v>0.15</v>
      </c>
      <c r="F1012" s="4">
        <v>0.25</v>
      </c>
      <c r="G1012" s="4">
        <v>0.6</v>
      </c>
      <c r="H1012" s="17">
        <f t="shared" si="30"/>
        <v>2.2969179293556866E-6</v>
      </c>
      <c r="L1012">
        <f t="shared" si="31"/>
        <v>7.4999999999999997E-3</v>
      </c>
    </row>
    <row r="1013" spans="1:12" x14ac:dyDescent="0.25">
      <c r="A1013" s="1">
        <v>1012</v>
      </c>
      <c r="B1013" s="2">
        <v>1444865</v>
      </c>
      <c r="C1013" s="3">
        <v>1.7000000000000001E-2</v>
      </c>
      <c r="D1013" s="1">
        <v>0.5</v>
      </c>
      <c r="E1013" s="4">
        <v>0.17</v>
      </c>
      <c r="F1013" s="4">
        <v>0.25</v>
      </c>
      <c r="G1013" s="4">
        <v>0.57999999999999996</v>
      </c>
      <c r="H1013" s="17">
        <f t="shared" si="30"/>
        <v>2.4757309898828751E-6</v>
      </c>
      <c r="L1013">
        <f t="shared" si="31"/>
        <v>8.5000000000000006E-3</v>
      </c>
    </row>
    <row r="1014" spans="1:12" x14ac:dyDescent="0.25">
      <c r="A1014" s="1">
        <v>1013</v>
      </c>
      <c r="B1014" s="2">
        <v>1925461</v>
      </c>
      <c r="C1014" s="3">
        <v>1.2999999999999999E-2</v>
      </c>
      <c r="D1014" s="1">
        <v>0.5</v>
      </c>
      <c r="E1014" s="4">
        <v>0.19</v>
      </c>
      <c r="F1014" s="4">
        <v>0.31</v>
      </c>
      <c r="G1014" s="4">
        <v>0.49999999999999994</v>
      </c>
      <c r="H1014" s="17">
        <f t="shared" si="30"/>
        <v>2.5229308041456066E-6</v>
      </c>
      <c r="L1014">
        <f t="shared" si="31"/>
        <v>6.4999999999999997E-3</v>
      </c>
    </row>
    <row r="1015" spans="1:12" x14ac:dyDescent="0.25">
      <c r="A1015" s="1">
        <v>1014</v>
      </c>
      <c r="B1015" s="2">
        <v>1938056</v>
      </c>
      <c r="C1015" s="3">
        <v>1.2E-2</v>
      </c>
      <c r="D1015" s="1">
        <v>0.5</v>
      </c>
      <c r="E1015" s="4">
        <v>0.21</v>
      </c>
      <c r="F1015" s="4">
        <v>0.28999999999999998</v>
      </c>
      <c r="G1015" s="4">
        <v>0.5</v>
      </c>
      <c r="H1015" s="17">
        <f t="shared" si="30"/>
        <v>2.34409294871804E-6</v>
      </c>
      <c r="L1015">
        <f t="shared" si="31"/>
        <v>6.0000000000000001E-3</v>
      </c>
    </row>
    <row r="1016" spans="1:12" x14ac:dyDescent="0.25">
      <c r="A1016" s="1">
        <v>1015</v>
      </c>
      <c r="B1016" s="2">
        <v>1775668</v>
      </c>
      <c r="C1016" s="3">
        <v>1.7999999999999999E-2</v>
      </c>
      <c r="D1016" s="1">
        <v>0.5</v>
      </c>
      <c r="E1016" s="4">
        <v>0.15</v>
      </c>
      <c r="F1016" s="4">
        <v>0.16</v>
      </c>
      <c r="G1016" s="4">
        <v>0.69</v>
      </c>
      <c r="H1016" s="17">
        <f t="shared" si="30"/>
        <v>3.221525207267693E-6</v>
      </c>
      <c r="L1016">
        <f t="shared" si="31"/>
        <v>8.9999999999999993E-3</v>
      </c>
    </row>
    <row r="1017" spans="1:12" x14ac:dyDescent="0.25">
      <c r="A1017" s="1">
        <v>1016</v>
      </c>
      <c r="B1017" s="2">
        <v>1609894</v>
      </c>
      <c r="C1017" s="3">
        <v>1.4E-2</v>
      </c>
      <c r="D1017" s="1">
        <v>0.5</v>
      </c>
      <c r="E1017" s="4">
        <v>0.15</v>
      </c>
      <c r="F1017" s="4">
        <v>0.28000000000000003</v>
      </c>
      <c r="G1017" s="4">
        <v>0.56999999999999995</v>
      </c>
      <c r="H1017" s="17">
        <f t="shared" si="30"/>
        <v>2.271708369545252E-6</v>
      </c>
      <c r="L1017">
        <f t="shared" si="31"/>
        <v>7.0000000000000001E-3</v>
      </c>
    </row>
    <row r="1018" spans="1:12" x14ac:dyDescent="0.25">
      <c r="A1018" s="1">
        <v>1017</v>
      </c>
      <c r="B1018" s="2">
        <v>1132499</v>
      </c>
      <c r="C1018" s="3">
        <v>2.8000000000000001E-2</v>
      </c>
      <c r="D1018" s="1">
        <v>0.5</v>
      </c>
      <c r="E1018" s="4">
        <v>0.19</v>
      </c>
      <c r="F1018" s="4">
        <v>0.35</v>
      </c>
      <c r="G1018" s="4">
        <v>0.46</v>
      </c>
      <c r="H1018" s="17">
        <f t="shared" si="30"/>
        <v>3.1961203120225664E-6</v>
      </c>
      <c r="L1018">
        <f t="shared" si="31"/>
        <v>1.4E-2</v>
      </c>
    </row>
    <row r="1019" spans="1:12" x14ac:dyDescent="0.25">
      <c r="A1019" s="1">
        <v>1018</v>
      </c>
      <c r="B1019" s="2">
        <v>1674379</v>
      </c>
      <c r="C1019" s="3">
        <v>2.7E-2</v>
      </c>
      <c r="D1019" s="1">
        <v>0.5</v>
      </c>
      <c r="E1019" s="4">
        <v>0.19</v>
      </c>
      <c r="F1019" s="4">
        <v>0.25</v>
      </c>
      <c r="G1019" s="4">
        <v>0.56000000000000005</v>
      </c>
      <c r="H1019" s="17">
        <f t="shared" si="30"/>
        <v>4.5566407867515267E-6</v>
      </c>
      <c r="L1019">
        <f t="shared" si="31"/>
        <v>1.35E-2</v>
      </c>
    </row>
    <row r="1020" spans="1:12" x14ac:dyDescent="0.25">
      <c r="A1020" s="1">
        <v>1019</v>
      </c>
      <c r="B1020" s="2">
        <v>1881488</v>
      </c>
      <c r="C1020" s="3">
        <v>2.5000000000000001E-2</v>
      </c>
      <c r="D1020" s="1">
        <v>0.5</v>
      </c>
      <c r="E1020" s="4">
        <v>0.19</v>
      </c>
      <c r="F1020" s="4">
        <v>0.3</v>
      </c>
      <c r="G1020" s="4">
        <v>0.51</v>
      </c>
      <c r="H1020" s="17">
        <f t="shared" si="30"/>
        <v>4.7409865370006588E-6</v>
      </c>
      <c r="L1020">
        <f t="shared" si="31"/>
        <v>1.2500000000000001E-2</v>
      </c>
    </row>
    <row r="1021" spans="1:12" x14ac:dyDescent="0.25">
      <c r="A1021" s="1">
        <v>1020</v>
      </c>
      <c r="B1021" s="2">
        <v>1505137</v>
      </c>
      <c r="C1021" s="3">
        <v>1.4999999999999999E-2</v>
      </c>
      <c r="D1021" s="1">
        <v>0.5</v>
      </c>
      <c r="E1021" s="4">
        <v>0.24</v>
      </c>
      <c r="F1021" s="4">
        <v>0.25</v>
      </c>
      <c r="G1021" s="4">
        <v>0.51</v>
      </c>
      <c r="H1021" s="17">
        <f t="shared" si="30"/>
        <v>2.2755928031456678E-6</v>
      </c>
      <c r="L1021">
        <f t="shared" si="31"/>
        <v>7.4999999999999997E-3</v>
      </c>
    </row>
    <row r="1022" spans="1:12" x14ac:dyDescent="0.25">
      <c r="A1022" s="1">
        <v>1021</v>
      </c>
      <c r="B1022" s="2">
        <v>1085837</v>
      </c>
      <c r="C1022" s="3">
        <v>2.9000000000000001E-2</v>
      </c>
      <c r="D1022" s="1">
        <v>0.5</v>
      </c>
      <c r="E1022" s="4">
        <v>0.15</v>
      </c>
      <c r="F1022" s="4">
        <v>0.2</v>
      </c>
      <c r="G1022" s="4">
        <v>0.65</v>
      </c>
      <c r="H1022" s="17">
        <f t="shared" si="30"/>
        <v>3.1738755570684127E-6</v>
      </c>
      <c r="L1022">
        <f t="shared" si="31"/>
        <v>1.4500000000000001E-2</v>
      </c>
    </row>
    <row r="1023" spans="1:12" x14ac:dyDescent="0.25">
      <c r="A1023" s="1">
        <v>1022</v>
      </c>
      <c r="B1023" s="2">
        <v>1198396</v>
      </c>
      <c r="C1023" s="3">
        <v>2.9000000000000001E-2</v>
      </c>
      <c r="D1023" s="1">
        <v>0.5</v>
      </c>
      <c r="E1023" s="4">
        <v>0.2</v>
      </c>
      <c r="F1023" s="4">
        <v>0.3</v>
      </c>
      <c r="G1023" s="4">
        <v>0.49999999999999994</v>
      </c>
      <c r="H1023" s="17">
        <f t="shared" si="30"/>
        <v>3.502882819510256E-6</v>
      </c>
      <c r="L1023">
        <f t="shared" si="31"/>
        <v>1.4500000000000001E-2</v>
      </c>
    </row>
    <row r="1024" spans="1:12" x14ac:dyDescent="0.25">
      <c r="A1024" s="1">
        <v>1023</v>
      </c>
      <c r="B1024" s="2">
        <v>1233019</v>
      </c>
      <c r="C1024" s="3">
        <v>2.8000000000000001E-2</v>
      </c>
      <c r="D1024" s="1">
        <v>0.5</v>
      </c>
      <c r="E1024" s="4">
        <v>0.23</v>
      </c>
      <c r="F1024" s="4">
        <v>0.16</v>
      </c>
      <c r="G1024" s="4">
        <v>0.61</v>
      </c>
      <c r="H1024" s="17">
        <f t="shared" si="30"/>
        <v>3.4798062258860737E-6</v>
      </c>
      <c r="L1024">
        <f t="shared" si="31"/>
        <v>1.4E-2</v>
      </c>
    </row>
    <row r="1025" spans="1:12" x14ac:dyDescent="0.25">
      <c r="A1025" s="1">
        <v>1024</v>
      </c>
      <c r="B1025" s="2">
        <v>1117481</v>
      </c>
      <c r="C1025" s="3">
        <v>2.5000000000000001E-2</v>
      </c>
      <c r="D1025" s="1">
        <v>0.5</v>
      </c>
      <c r="E1025" s="4">
        <v>0.18</v>
      </c>
      <c r="F1025" s="4">
        <v>0.22</v>
      </c>
      <c r="G1025" s="4">
        <v>0.60000000000000009</v>
      </c>
      <c r="H1025" s="17">
        <f t="shared" si="30"/>
        <v>2.8158363892589447E-6</v>
      </c>
      <c r="L1025">
        <f t="shared" si="31"/>
        <v>1.2500000000000001E-2</v>
      </c>
    </row>
    <row r="1026" spans="1:12" x14ac:dyDescent="0.25">
      <c r="A1026" s="1">
        <v>1025</v>
      </c>
      <c r="B1026" s="2">
        <v>1792703</v>
      </c>
      <c r="C1026" s="3">
        <v>0.03</v>
      </c>
      <c r="D1026" s="1">
        <v>0.5</v>
      </c>
      <c r="E1026" s="4">
        <v>0.23</v>
      </c>
      <c r="F1026" s="4">
        <v>0.32</v>
      </c>
      <c r="G1026" s="4">
        <v>0.44999999999999996</v>
      </c>
      <c r="H1026" s="17">
        <f t="shared" si="30"/>
        <v>5.4207185724324735E-6</v>
      </c>
      <c r="L1026">
        <f t="shared" si="31"/>
        <v>1.4999999999999999E-2</v>
      </c>
    </row>
    <row r="1027" spans="1:12" x14ac:dyDescent="0.25">
      <c r="A1027" s="1">
        <v>1026</v>
      </c>
      <c r="B1027" s="2">
        <v>1523855</v>
      </c>
      <c r="C1027" s="3">
        <v>1.7000000000000001E-2</v>
      </c>
      <c r="D1027" s="1">
        <v>0.5</v>
      </c>
      <c r="E1027" s="4">
        <v>0.23</v>
      </c>
      <c r="F1027" s="4">
        <v>0.18</v>
      </c>
      <c r="G1027" s="4">
        <v>0.59000000000000008</v>
      </c>
      <c r="H1027" s="17">
        <f t="shared" ref="H1027:H1090" si="32">B1027*C1027*D1027/SUM($B$2:$B$1797)</f>
        <v>2.6110778844999143E-6</v>
      </c>
      <c r="L1027">
        <f t="shared" ref="L1027:L1090" si="33">C1027*D1027</f>
        <v>8.5000000000000006E-3</v>
      </c>
    </row>
    <row r="1028" spans="1:12" x14ac:dyDescent="0.25">
      <c r="A1028" s="1">
        <v>1027</v>
      </c>
      <c r="B1028" s="2">
        <v>1612167</v>
      </c>
      <c r="C1028" s="3">
        <v>2.1999999999999999E-2</v>
      </c>
      <c r="D1028" s="1">
        <v>0.5</v>
      </c>
      <c r="E1028" s="4">
        <v>0.22</v>
      </c>
      <c r="F1028" s="4">
        <v>0.21</v>
      </c>
      <c r="G1028" s="4">
        <v>0.57000000000000006</v>
      </c>
      <c r="H1028" s="17">
        <f t="shared" si="32"/>
        <v>3.5748676565086419E-6</v>
      </c>
      <c r="L1028">
        <f t="shared" si="33"/>
        <v>1.0999999999999999E-2</v>
      </c>
    </row>
    <row r="1029" spans="1:12" x14ac:dyDescent="0.25">
      <c r="A1029" s="1">
        <v>1028</v>
      </c>
      <c r="B1029" s="2">
        <v>1038792</v>
      </c>
      <c r="C1029" s="3">
        <v>1.9E-2</v>
      </c>
      <c r="D1029" s="1">
        <v>0.5</v>
      </c>
      <c r="E1029" s="4">
        <v>0.18</v>
      </c>
      <c r="F1029" s="4">
        <v>0.3</v>
      </c>
      <c r="G1029" s="4">
        <v>0.52</v>
      </c>
      <c r="H1029" s="17">
        <f t="shared" si="32"/>
        <v>1.9893420281848359E-6</v>
      </c>
      <c r="L1029">
        <f t="shared" si="33"/>
        <v>9.4999999999999998E-3</v>
      </c>
    </row>
    <row r="1030" spans="1:12" x14ac:dyDescent="0.25">
      <c r="A1030" s="1">
        <v>1029</v>
      </c>
      <c r="B1030" s="2">
        <v>1516998</v>
      </c>
      <c r="C1030" s="3">
        <v>1.7999999999999999E-2</v>
      </c>
      <c r="D1030" s="1">
        <v>0.5</v>
      </c>
      <c r="E1030" s="4">
        <v>0.17</v>
      </c>
      <c r="F1030" s="4">
        <v>0.18</v>
      </c>
      <c r="G1030" s="4">
        <v>0.65</v>
      </c>
      <c r="H1030" s="17">
        <f t="shared" si="32"/>
        <v>2.7522303135353429E-6</v>
      </c>
      <c r="L1030">
        <f t="shared" si="33"/>
        <v>8.9999999999999993E-3</v>
      </c>
    </row>
    <row r="1031" spans="1:12" x14ac:dyDescent="0.25">
      <c r="A1031" s="1">
        <v>1030</v>
      </c>
      <c r="B1031" s="2">
        <v>1682505</v>
      </c>
      <c r="C1031" s="3">
        <v>2.9000000000000001E-2</v>
      </c>
      <c r="D1031" s="1">
        <v>0.5</v>
      </c>
      <c r="E1031" s="4">
        <v>0.23</v>
      </c>
      <c r="F1031" s="4">
        <v>0.22</v>
      </c>
      <c r="G1031" s="4">
        <v>0.55000000000000004</v>
      </c>
      <c r="H1031" s="17">
        <f t="shared" si="32"/>
        <v>4.9179218373893966E-6</v>
      </c>
      <c r="L1031">
        <f t="shared" si="33"/>
        <v>1.4500000000000001E-2</v>
      </c>
    </row>
    <row r="1032" spans="1:12" x14ac:dyDescent="0.25">
      <c r="A1032" s="1">
        <v>1031</v>
      </c>
      <c r="B1032" s="2">
        <v>1895803</v>
      </c>
      <c r="C1032" s="3">
        <v>1.7999999999999999E-2</v>
      </c>
      <c r="D1032" s="1">
        <v>0.5</v>
      </c>
      <c r="E1032" s="4">
        <v>0.21</v>
      </c>
      <c r="F1032" s="4">
        <v>0.16</v>
      </c>
      <c r="G1032" s="4">
        <v>0.63</v>
      </c>
      <c r="H1032" s="17">
        <f t="shared" si="32"/>
        <v>3.4394814529031971E-6</v>
      </c>
      <c r="L1032">
        <f t="shared" si="33"/>
        <v>8.9999999999999993E-3</v>
      </c>
    </row>
    <row r="1033" spans="1:12" x14ac:dyDescent="0.25">
      <c r="A1033" s="1">
        <v>1032</v>
      </c>
      <c r="B1033" s="2">
        <v>1940902</v>
      </c>
      <c r="C1033" s="3">
        <v>1.2999999999999999E-2</v>
      </c>
      <c r="D1033" s="1">
        <v>0.5</v>
      </c>
      <c r="E1033" s="4">
        <v>0.16</v>
      </c>
      <c r="F1033" s="4">
        <v>0.24</v>
      </c>
      <c r="G1033" s="4">
        <v>0.6</v>
      </c>
      <c r="H1033" s="17">
        <f t="shared" si="32"/>
        <v>2.5431631404779508E-6</v>
      </c>
      <c r="L1033">
        <f t="shared" si="33"/>
        <v>6.4999999999999997E-3</v>
      </c>
    </row>
    <row r="1034" spans="1:12" x14ac:dyDescent="0.25">
      <c r="A1034" s="1">
        <v>1033</v>
      </c>
      <c r="B1034" s="2">
        <v>1735801</v>
      </c>
      <c r="C1034" s="3">
        <v>0.03</v>
      </c>
      <c r="D1034" s="1">
        <v>0.5</v>
      </c>
      <c r="E1034" s="4">
        <v>0.25</v>
      </c>
      <c r="F1034" s="4">
        <v>0.16</v>
      </c>
      <c r="G1034" s="4">
        <v>0.59</v>
      </c>
      <c r="H1034" s="17">
        <f t="shared" si="32"/>
        <v>5.2486601064129753E-6</v>
      </c>
      <c r="L1034">
        <f t="shared" si="33"/>
        <v>1.4999999999999999E-2</v>
      </c>
    </row>
    <row r="1035" spans="1:12" x14ac:dyDescent="0.25">
      <c r="A1035" s="1">
        <v>1034</v>
      </c>
      <c r="B1035" s="2">
        <v>1120597</v>
      </c>
      <c r="C1035" s="3">
        <v>1.2999999999999999E-2</v>
      </c>
      <c r="D1035" s="1">
        <v>0.5</v>
      </c>
      <c r="E1035" s="4">
        <v>0.17</v>
      </c>
      <c r="F1035" s="4">
        <v>0.33</v>
      </c>
      <c r="G1035" s="4">
        <v>0.49999999999999989</v>
      </c>
      <c r="H1035" s="17">
        <f t="shared" si="32"/>
        <v>1.4683178160103758E-6</v>
      </c>
      <c r="L1035">
        <f t="shared" si="33"/>
        <v>6.4999999999999997E-3</v>
      </c>
    </row>
    <row r="1036" spans="1:12" x14ac:dyDescent="0.25">
      <c r="A1036" s="1">
        <v>1035</v>
      </c>
      <c r="B1036" s="2">
        <v>1656179</v>
      </c>
      <c r="C1036" s="3">
        <v>1.9E-2</v>
      </c>
      <c r="D1036" s="1">
        <v>0.5</v>
      </c>
      <c r="E1036" s="4">
        <v>0.18</v>
      </c>
      <c r="F1036" s="4">
        <v>0.27</v>
      </c>
      <c r="G1036" s="4">
        <v>0.55000000000000004</v>
      </c>
      <c r="H1036" s="17">
        <f t="shared" si="32"/>
        <v>3.1716710283648061E-6</v>
      </c>
      <c r="L1036">
        <f t="shared" si="33"/>
        <v>9.4999999999999998E-3</v>
      </c>
    </row>
    <row r="1037" spans="1:12" x14ac:dyDescent="0.25">
      <c r="A1037" s="1">
        <v>1036</v>
      </c>
      <c r="B1037" s="2">
        <v>1058458</v>
      </c>
      <c r="C1037" s="3">
        <v>1.2999999999999999E-2</v>
      </c>
      <c r="D1037" s="1">
        <v>0.5</v>
      </c>
      <c r="E1037" s="4">
        <v>0.22</v>
      </c>
      <c r="F1037" s="4">
        <v>0.17</v>
      </c>
      <c r="G1037" s="4">
        <v>0.61</v>
      </c>
      <c r="H1037" s="17">
        <f t="shared" si="32"/>
        <v>1.3868971083259284E-6</v>
      </c>
      <c r="L1037">
        <f t="shared" si="33"/>
        <v>6.4999999999999997E-3</v>
      </c>
    </row>
    <row r="1038" spans="1:12" x14ac:dyDescent="0.25">
      <c r="A1038" s="1">
        <v>1037</v>
      </c>
      <c r="B1038" s="2">
        <v>1914519</v>
      </c>
      <c r="C1038" s="3">
        <v>1.7999999999999999E-2</v>
      </c>
      <c r="D1038" s="1">
        <v>0.5</v>
      </c>
      <c r="E1038" s="4">
        <v>0.24</v>
      </c>
      <c r="F1038" s="4">
        <v>0.31</v>
      </c>
      <c r="G1038" s="4">
        <v>0.44999999999999996</v>
      </c>
      <c r="H1038" s="17">
        <f t="shared" si="32"/>
        <v>3.4734371618415921E-6</v>
      </c>
      <c r="L1038">
        <f t="shared" si="33"/>
        <v>8.9999999999999993E-3</v>
      </c>
    </row>
    <row r="1039" spans="1:12" x14ac:dyDescent="0.25">
      <c r="A1039" s="1">
        <v>1038</v>
      </c>
      <c r="B1039" s="2">
        <v>1115424</v>
      </c>
      <c r="C1039" s="3">
        <v>2.8000000000000001E-2</v>
      </c>
      <c r="D1039" s="1">
        <v>0.5</v>
      </c>
      <c r="E1039" s="4">
        <v>0.24</v>
      </c>
      <c r="F1039" s="4">
        <v>0.2</v>
      </c>
      <c r="G1039" s="4">
        <v>0.56000000000000005</v>
      </c>
      <c r="H1039" s="17">
        <f t="shared" si="32"/>
        <v>3.1479315239284617E-6</v>
      </c>
      <c r="L1039">
        <f t="shared" si="33"/>
        <v>1.4E-2</v>
      </c>
    </row>
    <row r="1040" spans="1:12" x14ac:dyDescent="0.25">
      <c r="A1040" s="1">
        <v>1039</v>
      </c>
      <c r="B1040" s="2">
        <v>1532797</v>
      </c>
      <c r="C1040" s="3">
        <v>2.4E-2</v>
      </c>
      <c r="D1040" s="1">
        <v>0.5</v>
      </c>
      <c r="E1040" s="4">
        <v>0.19</v>
      </c>
      <c r="F1040" s="4">
        <v>0.18</v>
      </c>
      <c r="G1040" s="4">
        <v>0.63000000000000012</v>
      </c>
      <c r="H1040" s="17">
        <f t="shared" si="32"/>
        <v>3.7078584308360189E-6</v>
      </c>
      <c r="L1040">
        <f t="shared" si="33"/>
        <v>1.2E-2</v>
      </c>
    </row>
    <row r="1041" spans="1:12" x14ac:dyDescent="0.25">
      <c r="A1041" s="1">
        <v>1040</v>
      </c>
      <c r="B1041" s="2">
        <v>1721240</v>
      </c>
      <c r="C1041" s="3">
        <v>1.2E-2</v>
      </c>
      <c r="D1041" s="1">
        <v>0.5</v>
      </c>
      <c r="E1041" s="4">
        <v>0.25</v>
      </c>
      <c r="F1041" s="4">
        <v>0.35</v>
      </c>
      <c r="G1041" s="4">
        <v>0.4</v>
      </c>
      <c r="H1041" s="17">
        <f t="shared" si="32"/>
        <v>2.0818524062521616E-6</v>
      </c>
      <c r="L1041">
        <f t="shared" si="33"/>
        <v>6.0000000000000001E-3</v>
      </c>
    </row>
    <row r="1042" spans="1:12" x14ac:dyDescent="0.25">
      <c r="A1042" s="1">
        <v>1041</v>
      </c>
      <c r="B1042" s="2">
        <v>1989846</v>
      </c>
      <c r="C1042" s="3">
        <v>0.03</v>
      </c>
      <c r="D1042" s="1">
        <v>0.5</v>
      </c>
      <c r="E1042" s="4">
        <v>0.23</v>
      </c>
      <c r="F1042" s="4">
        <v>0.2</v>
      </c>
      <c r="G1042" s="4">
        <v>0.57000000000000006</v>
      </c>
      <c r="H1042" s="17">
        <f t="shared" si="32"/>
        <v>6.0168333340661937E-6</v>
      </c>
      <c r="L1042">
        <f t="shared" si="33"/>
        <v>1.4999999999999999E-2</v>
      </c>
    </row>
    <row r="1043" spans="1:12" x14ac:dyDescent="0.25">
      <c r="A1043" s="1">
        <v>1042</v>
      </c>
      <c r="B1043" s="2">
        <v>1743270</v>
      </c>
      <c r="C1043" s="3">
        <v>1.0999999999999999E-2</v>
      </c>
      <c r="D1043" s="1">
        <v>0.5</v>
      </c>
      <c r="E1043" s="4">
        <v>0.21</v>
      </c>
      <c r="F1043" s="4">
        <v>0.28999999999999998</v>
      </c>
      <c r="G1043" s="4">
        <v>0.5</v>
      </c>
      <c r="H1043" s="17">
        <f t="shared" si="32"/>
        <v>1.9327896984499185E-6</v>
      </c>
      <c r="L1043">
        <f t="shared" si="33"/>
        <v>5.4999999999999997E-3</v>
      </c>
    </row>
    <row r="1044" spans="1:12" x14ac:dyDescent="0.25">
      <c r="A1044" s="1">
        <v>1043</v>
      </c>
      <c r="B1044" s="2">
        <v>1872594</v>
      </c>
      <c r="C1044" s="3">
        <v>2.8000000000000001E-2</v>
      </c>
      <c r="D1044" s="1">
        <v>0.5</v>
      </c>
      <c r="E1044" s="4">
        <v>0.15</v>
      </c>
      <c r="F1044" s="4">
        <v>0.34</v>
      </c>
      <c r="G1044" s="4">
        <v>0.5099999999999999</v>
      </c>
      <c r="H1044" s="17">
        <f t="shared" si="32"/>
        <v>5.2848044188750591E-6</v>
      </c>
      <c r="L1044">
        <f t="shared" si="33"/>
        <v>1.4E-2</v>
      </c>
    </row>
    <row r="1045" spans="1:12" x14ac:dyDescent="0.25">
      <c r="A1045" s="1">
        <v>1044</v>
      </c>
      <c r="B1045" s="2">
        <v>1659680</v>
      </c>
      <c r="C1045" s="3">
        <v>2.5000000000000001E-2</v>
      </c>
      <c r="D1045" s="1">
        <v>0.5</v>
      </c>
      <c r="E1045" s="4">
        <v>0.18</v>
      </c>
      <c r="F1045" s="4">
        <v>0.32</v>
      </c>
      <c r="G1045" s="4">
        <v>0.49999999999999994</v>
      </c>
      <c r="H1045" s="17">
        <f t="shared" si="32"/>
        <v>4.1820731972402976E-6</v>
      </c>
      <c r="L1045">
        <f t="shared" si="33"/>
        <v>1.2500000000000001E-2</v>
      </c>
    </row>
    <row r="1046" spans="1:12" x14ac:dyDescent="0.25">
      <c r="A1046" s="1">
        <v>1045</v>
      </c>
      <c r="B1046" s="2">
        <v>1369587</v>
      </c>
      <c r="C1046" s="3">
        <v>1.0999999999999999E-2</v>
      </c>
      <c r="D1046" s="1">
        <v>0.5</v>
      </c>
      <c r="E1046" s="4">
        <v>0.23</v>
      </c>
      <c r="F1046" s="4">
        <v>0.27</v>
      </c>
      <c r="G1046" s="4">
        <v>0.5</v>
      </c>
      <c r="H1046" s="17">
        <f t="shared" si="32"/>
        <v>1.5184817295834429E-6</v>
      </c>
      <c r="L1046">
        <f t="shared" si="33"/>
        <v>5.4999999999999997E-3</v>
      </c>
    </row>
    <row r="1047" spans="1:12" x14ac:dyDescent="0.25">
      <c r="A1047" s="1">
        <v>1046</v>
      </c>
      <c r="B1047" s="2">
        <v>1440012</v>
      </c>
      <c r="C1047" s="3">
        <v>1.0999999999999999E-2</v>
      </c>
      <c r="D1047" s="1">
        <v>0.5</v>
      </c>
      <c r="E1047" s="4">
        <v>0.2</v>
      </c>
      <c r="F1047" s="4">
        <v>0.35</v>
      </c>
      <c r="G1047" s="4">
        <v>0.45</v>
      </c>
      <c r="H1047" s="17">
        <f t="shared" si="32"/>
        <v>1.5965629875144209E-6</v>
      </c>
      <c r="L1047">
        <f t="shared" si="33"/>
        <v>5.4999999999999997E-3</v>
      </c>
    </row>
    <row r="1048" spans="1:12" x14ac:dyDescent="0.25">
      <c r="A1048" s="1">
        <v>1047</v>
      </c>
      <c r="B1048" s="2">
        <v>1931064</v>
      </c>
      <c r="C1048" s="3">
        <v>1.7999999999999999E-2</v>
      </c>
      <c r="D1048" s="1">
        <v>0.5</v>
      </c>
      <c r="E1048" s="4">
        <v>0.21</v>
      </c>
      <c r="F1048" s="4">
        <v>0.18</v>
      </c>
      <c r="G1048" s="4">
        <v>0.6100000000000001</v>
      </c>
      <c r="H1048" s="17">
        <f t="shared" si="32"/>
        <v>3.5034541101417495E-6</v>
      </c>
      <c r="L1048">
        <f t="shared" si="33"/>
        <v>8.9999999999999993E-3</v>
      </c>
    </row>
    <row r="1049" spans="1:12" x14ac:dyDescent="0.25">
      <c r="A1049" s="1">
        <v>1048</v>
      </c>
      <c r="B1049" s="2">
        <v>1278676</v>
      </c>
      <c r="C1049" s="3">
        <v>2.4E-2</v>
      </c>
      <c r="D1049" s="1">
        <v>0.5</v>
      </c>
      <c r="E1049" s="4">
        <v>0.18</v>
      </c>
      <c r="F1049" s="4">
        <v>0.24</v>
      </c>
      <c r="G1049" s="4">
        <v>0.58000000000000007</v>
      </c>
      <c r="H1049" s="17">
        <f t="shared" si="32"/>
        <v>3.0931360035984393E-6</v>
      </c>
      <c r="L1049">
        <f t="shared" si="33"/>
        <v>1.2E-2</v>
      </c>
    </row>
    <row r="1050" spans="1:12" x14ac:dyDescent="0.25">
      <c r="A1050" s="1">
        <v>1049</v>
      </c>
      <c r="B1050" s="2">
        <v>1001415</v>
      </c>
      <c r="C1050" s="3">
        <v>1.6E-2</v>
      </c>
      <c r="D1050" s="1">
        <v>0.5</v>
      </c>
      <c r="E1050" s="4">
        <v>0.24</v>
      </c>
      <c r="F1050" s="4">
        <v>0.34</v>
      </c>
      <c r="G1050" s="4">
        <v>0.41999999999999993</v>
      </c>
      <c r="H1050" s="17">
        <f t="shared" si="32"/>
        <v>1.6149583845808899E-6</v>
      </c>
      <c r="L1050">
        <f t="shared" si="33"/>
        <v>8.0000000000000002E-3</v>
      </c>
    </row>
    <row r="1051" spans="1:12" x14ac:dyDescent="0.25">
      <c r="A1051" s="1">
        <v>1050</v>
      </c>
      <c r="B1051" s="2">
        <v>1204497</v>
      </c>
      <c r="C1051" s="3">
        <v>1.7999999999999999E-2</v>
      </c>
      <c r="D1051" s="1">
        <v>0.5</v>
      </c>
      <c r="E1051" s="4">
        <v>0.19</v>
      </c>
      <c r="F1051" s="4">
        <v>0.28000000000000003</v>
      </c>
      <c r="G1051" s="4">
        <v>0.53</v>
      </c>
      <c r="H1051" s="17">
        <f t="shared" si="32"/>
        <v>2.1852719357325327E-6</v>
      </c>
      <c r="L1051">
        <f t="shared" si="33"/>
        <v>8.9999999999999993E-3</v>
      </c>
    </row>
    <row r="1052" spans="1:12" x14ac:dyDescent="0.25">
      <c r="A1052" s="1">
        <v>1051</v>
      </c>
      <c r="B1052" s="2">
        <v>1407997</v>
      </c>
      <c r="C1052" s="3">
        <v>1.0999999999999999E-2</v>
      </c>
      <c r="D1052" s="1">
        <v>0.5</v>
      </c>
      <c r="E1052" s="4">
        <v>0.24</v>
      </c>
      <c r="F1052" s="4">
        <v>0.15</v>
      </c>
      <c r="G1052" s="4">
        <v>0.61</v>
      </c>
      <c r="H1052" s="17">
        <f t="shared" si="32"/>
        <v>1.5610674749455852E-6</v>
      </c>
      <c r="L1052">
        <f t="shared" si="33"/>
        <v>5.4999999999999997E-3</v>
      </c>
    </row>
    <row r="1053" spans="1:12" x14ac:dyDescent="0.25">
      <c r="A1053" s="1">
        <v>1052</v>
      </c>
      <c r="B1053" s="2">
        <v>1929970</v>
      </c>
      <c r="C1053" s="3">
        <v>1.0999999999999999E-2</v>
      </c>
      <c r="D1053" s="1">
        <v>0.5</v>
      </c>
      <c r="E1053" s="4">
        <v>0.18</v>
      </c>
      <c r="F1053" s="4">
        <v>0.22</v>
      </c>
      <c r="G1053" s="4">
        <v>0.60000000000000009</v>
      </c>
      <c r="H1053" s="17">
        <f t="shared" si="32"/>
        <v>2.139786799702507E-6</v>
      </c>
      <c r="L1053">
        <f t="shared" si="33"/>
        <v>5.4999999999999997E-3</v>
      </c>
    </row>
    <row r="1054" spans="1:12" x14ac:dyDescent="0.25">
      <c r="A1054" s="1">
        <v>1053</v>
      </c>
      <c r="B1054" s="2">
        <v>1553643</v>
      </c>
      <c r="C1054" s="3">
        <v>1.6E-2</v>
      </c>
      <c r="D1054" s="1">
        <v>0.5</v>
      </c>
      <c r="E1054" s="4">
        <v>0.22</v>
      </c>
      <c r="F1054" s="4">
        <v>0.23</v>
      </c>
      <c r="G1054" s="4">
        <v>0.55000000000000004</v>
      </c>
      <c r="H1054" s="17">
        <f t="shared" si="32"/>
        <v>2.5055234737800088E-6</v>
      </c>
      <c r="L1054">
        <f t="shared" si="33"/>
        <v>8.0000000000000002E-3</v>
      </c>
    </row>
    <row r="1055" spans="1:12" x14ac:dyDescent="0.25">
      <c r="A1055" s="1">
        <v>1054</v>
      </c>
      <c r="B1055" s="2">
        <v>1981019</v>
      </c>
      <c r="C1055" s="3">
        <v>1.7000000000000001E-2</v>
      </c>
      <c r="D1055" s="1">
        <v>0.5</v>
      </c>
      <c r="E1055" s="4">
        <v>0.18</v>
      </c>
      <c r="F1055" s="4">
        <v>0.17</v>
      </c>
      <c r="G1055" s="4">
        <v>0.64999999999999991</v>
      </c>
      <c r="H1055" s="17">
        <f t="shared" si="32"/>
        <v>3.3944141008653288E-6</v>
      </c>
      <c r="L1055">
        <f t="shared" si="33"/>
        <v>8.5000000000000006E-3</v>
      </c>
    </row>
    <row r="1056" spans="1:12" x14ac:dyDescent="0.25">
      <c r="A1056" s="1">
        <v>1055</v>
      </c>
      <c r="B1056" s="2">
        <v>1062532</v>
      </c>
      <c r="C1056" s="3">
        <v>2.1000000000000001E-2</v>
      </c>
      <c r="D1056" s="1">
        <v>0.5</v>
      </c>
      <c r="E1056" s="4">
        <v>0.22</v>
      </c>
      <c r="F1056" s="4">
        <v>0.23</v>
      </c>
      <c r="G1056" s="4">
        <v>0.55000000000000004</v>
      </c>
      <c r="H1056" s="17">
        <f t="shared" si="32"/>
        <v>2.2489954344599611E-6</v>
      </c>
      <c r="L1056">
        <f t="shared" si="33"/>
        <v>1.0500000000000001E-2</v>
      </c>
    </row>
    <row r="1057" spans="1:12" x14ac:dyDescent="0.25">
      <c r="A1057" s="1">
        <v>1056</v>
      </c>
      <c r="B1057" s="2">
        <v>1931854</v>
      </c>
      <c r="C1057" s="3">
        <v>2.9000000000000001E-2</v>
      </c>
      <c r="D1057" s="1">
        <v>0.5</v>
      </c>
      <c r="E1057" s="4">
        <v>0.2</v>
      </c>
      <c r="F1057" s="4">
        <v>0.28000000000000003</v>
      </c>
      <c r="G1057" s="4">
        <v>0.52</v>
      </c>
      <c r="H1057" s="17">
        <f t="shared" si="32"/>
        <v>5.6467629952053957E-6</v>
      </c>
      <c r="L1057">
        <f t="shared" si="33"/>
        <v>1.4500000000000001E-2</v>
      </c>
    </row>
    <row r="1058" spans="1:12" x14ac:dyDescent="0.25">
      <c r="A1058" s="1">
        <v>1057</v>
      </c>
      <c r="B1058" s="2">
        <v>1320038</v>
      </c>
      <c r="C1058" s="3">
        <v>1.4999999999999999E-2</v>
      </c>
      <c r="D1058" s="1">
        <v>0.5</v>
      </c>
      <c r="E1058" s="4">
        <v>0.2</v>
      </c>
      <c r="F1058" s="4">
        <v>0.21</v>
      </c>
      <c r="G1058" s="4">
        <v>0.59000000000000008</v>
      </c>
      <c r="H1058" s="17">
        <f t="shared" si="32"/>
        <v>1.9957445552656009E-6</v>
      </c>
      <c r="L1058">
        <f t="shared" si="33"/>
        <v>7.4999999999999997E-3</v>
      </c>
    </row>
    <row r="1059" spans="1:12" x14ac:dyDescent="0.25">
      <c r="A1059" s="1">
        <v>1058</v>
      </c>
      <c r="B1059" s="2">
        <v>1566792</v>
      </c>
      <c r="C1059" s="3">
        <v>2.4E-2</v>
      </c>
      <c r="D1059" s="1">
        <v>0.5</v>
      </c>
      <c r="E1059" s="4">
        <v>0.2</v>
      </c>
      <c r="F1059" s="4">
        <v>0.21</v>
      </c>
      <c r="G1059" s="4">
        <v>0.59000000000000008</v>
      </c>
      <c r="H1059" s="17">
        <f t="shared" si="32"/>
        <v>3.7900928345804611E-6</v>
      </c>
      <c r="L1059">
        <f t="shared" si="33"/>
        <v>1.2E-2</v>
      </c>
    </row>
    <row r="1060" spans="1:12" x14ac:dyDescent="0.25">
      <c r="A1060" s="1">
        <v>1059</v>
      </c>
      <c r="B1060" s="2">
        <v>1200644</v>
      </c>
      <c r="C1060" s="3">
        <v>2.7E-2</v>
      </c>
      <c r="D1060" s="1">
        <v>0.5</v>
      </c>
      <c r="E1060" s="4">
        <v>0.15</v>
      </c>
      <c r="F1060" s="4">
        <v>0.21</v>
      </c>
      <c r="G1060" s="4">
        <v>0.64</v>
      </c>
      <c r="H1060" s="17">
        <f t="shared" si="32"/>
        <v>3.2674223821300313E-6</v>
      </c>
      <c r="L1060">
        <f t="shared" si="33"/>
        <v>1.35E-2</v>
      </c>
    </row>
    <row r="1061" spans="1:12" x14ac:dyDescent="0.25">
      <c r="A1061" s="1">
        <v>1060</v>
      </c>
      <c r="B1061" s="2">
        <v>1456727</v>
      </c>
      <c r="C1061" s="3">
        <v>2.1999999999999999E-2</v>
      </c>
      <c r="D1061" s="1">
        <v>0.5</v>
      </c>
      <c r="E1061" s="4">
        <v>0.24</v>
      </c>
      <c r="F1061" s="4">
        <v>0.23</v>
      </c>
      <c r="G1061" s="4">
        <v>0.53</v>
      </c>
      <c r="H1061" s="17">
        <f t="shared" si="32"/>
        <v>3.2301903194041712E-6</v>
      </c>
      <c r="L1061">
        <f t="shared" si="33"/>
        <v>1.0999999999999999E-2</v>
      </c>
    </row>
    <row r="1062" spans="1:12" x14ac:dyDescent="0.25">
      <c r="A1062" s="1">
        <v>1061</v>
      </c>
      <c r="B1062" s="2">
        <v>1184664</v>
      </c>
      <c r="C1062" s="3">
        <v>1.9E-2</v>
      </c>
      <c r="D1062" s="1">
        <v>0.5</v>
      </c>
      <c r="E1062" s="4">
        <v>0.24</v>
      </c>
      <c r="F1062" s="4">
        <v>0.32</v>
      </c>
      <c r="G1062" s="4">
        <v>0.43999999999999995</v>
      </c>
      <c r="H1062" s="17">
        <f t="shared" si="32"/>
        <v>2.2686946804341588E-6</v>
      </c>
      <c r="L1062">
        <f t="shared" si="33"/>
        <v>9.4999999999999998E-3</v>
      </c>
    </row>
    <row r="1063" spans="1:12" x14ac:dyDescent="0.25">
      <c r="A1063" s="1">
        <v>1062</v>
      </c>
      <c r="B1063" s="2">
        <v>1264563</v>
      </c>
      <c r="C1063" s="3">
        <v>2.7E-2</v>
      </c>
      <c r="D1063" s="1">
        <v>0.5</v>
      </c>
      <c r="E1063" s="4">
        <v>0.22</v>
      </c>
      <c r="F1063" s="4">
        <v>0.27</v>
      </c>
      <c r="G1063" s="4">
        <v>0.51</v>
      </c>
      <c r="H1063" s="17">
        <f t="shared" si="32"/>
        <v>3.4413710057381697E-6</v>
      </c>
      <c r="L1063">
        <f t="shared" si="33"/>
        <v>1.35E-2</v>
      </c>
    </row>
    <row r="1064" spans="1:12" x14ac:dyDescent="0.25">
      <c r="A1064" s="1">
        <v>1063</v>
      </c>
      <c r="B1064" s="2">
        <v>1602495</v>
      </c>
      <c r="C1064" s="3">
        <v>2.1999999999999999E-2</v>
      </c>
      <c r="D1064" s="1">
        <v>0.5</v>
      </c>
      <c r="E1064" s="4">
        <v>0.23</v>
      </c>
      <c r="F1064" s="4">
        <v>0.15</v>
      </c>
      <c r="G1064" s="4">
        <v>0.62</v>
      </c>
      <c r="H1064" s="17">
        <f t="shared" si="32"/>
        <v>3.5534206724345658E-6</v>
      </c>
      <c r="L1064">
        <f t="shared" si="33"/>
        <v>1.0999999999999999E-2</v>
      </c>
    </row>
    <row r="1065" spans="1:12" x14ac:dyDescent="0.25">
      <c r="A1065" s="1">
        <v>1064</v>
      </c>
      <c r="B1065" s="2">
        <v>1240028</v>
      </c>
      <c r="C1065" s="3">
        <v>0.03</v>
      </c>
      <c r="D1065" s="1">
        <v>0.5</v>
      </c>
      <c r="E1065" s="4">
        <v>0.19</v>
      </c>
      <c r="F1065" s="4">
        <v>0.18</v>
      </c>
      <c r="G1065" s="4">
        <v>0.63000000000000012</v>
      </c>
      <c r="H1065" s="17">
        <f t="shared" si="32"/>
        <v>3.7495574057366417E-6</v>
      </c>
      <c r="L1065">
        <f t="shared" si="33"/>
        <v>1.4999999999999999E-2</v>
      </c>
    </row>
    <row r="1066" spans="1:12" x14ac:dyDescent="0.25">
      <c r="A1066" s="1">
        <v>1065</v>
      </c>
      <c r="B1066" s="2">
        <v>1263475</v>
      </c>
      <c r="C1066" s="3">
        <v>1.2E-2</v>
      </c>
      <c r="D1066" s="1">
        <v>0.5</v>
      </c>
      <c r="E1066" s="4">
        <v>0.25</v>
      </c>
      <c r="F1066" s="4">
        <v>0.28000000000000003</v>
      </c>
      <c r="G1066" s="4">
        <v>0.47</v>
      </c>
      <c r="H1066" s="17">
        <f t="shared" si="32"/>
        <v>1.5281822807914351E-6</v>
      </c>
      <c r="L1066">
        <f t="shared" si="33"/>
        <v>6.0000000000000001E-3</v>
      </c>
    </row>
    <row r="1067" spans="1:12" x14ac:dyDescent="0.25">
      <c r="A1067" s="1">
        <v>1066</v>
      </c>
      <c r="B1067" s="2">
        <v>1992524</v>
      </c>
      <c r="C1067" s="3">
        <v>2.9000000000000001E-2</v>
      </c>
      <c r="D1067" s="1">
        <v>0.5</v>
      </c>
      <c r="E1067" s="4">
        <v>0.2</v>
      </c>
      <c r="F1067" s="4">
        <v>0.15</v>
      </c>
      <c r="G1067" s="4">
        <v>0.64999999999999991</v>
      </c>
      <c r="H1067" s="17">
        <f t="shared" si="32"/>
        <v>5.8240999528218165E-6</v>
      </c>
      <c r="L1067">
        <f t="shared" si="33"/>
        <v>1.4500000000000001E-2</v>
      </c>
    </row>
    <row r="1068" spans="1:12" x14ac:dyDescent="0.25">
      <c r="A1068" s="1">
        <v>1067</v>
      </c>
      <c r="B1068" s="2">
        <v>1974326</v>
      </c>
      <c r="C1068" s="3">
        <v>2.1999999999999999E-2</v>
      </c>
      <c r="D1068" s="1">
        <v>0.5</v>
      </c>
      <c r="E1068" s="4">
        <v>0.16</v>
      </c>
      <c r="F1068" s="4">
        <v>0.19</v>
      </c>
      <c r="G1068" s="4">
        <v>0.65</v>
      </c>
      <c r="H1068" s="17">
        <f t="shared" si="32"/>
        <v>4.3779299295941924E-6</v>
      </c>
      <c r="L1068">
        <f t="shared" si="33"/>
        <v>1.0999999999999999E-2</v>
      </c>
    </row>
    <row r="1069" spans="1:12" x14ac:dyDescent="0.25">
      <c r="A1069" s="1">
        <v>1068</v>
      </c>
      <c r="B1069" s="2">
        <v>1331931</v>
      </c>
      <c r="C1069" s="3">
        <v>0.01</v>
      </c>
      <c r="D1069" s="1">
        <v>0.5</v>
      </c>
      <c r="E1069" s="4">
        <v>0.17</v>
      </c>
      <c r="F1069" s="4">
        <v>0.18</v>
      </c>
      <c r="G1069" s="4">
        <v>0.65</v>
      </c>
      <c r="H1069" s="17">
        <f t="shared" si="32"/>
        <v>1.3424835957952055E-6</v>
      </c>
      <c r="L1069">
        <f t="shared" si="33"/>
        <v>5.0000000000000001E-3</v>
      </c>
    </row>
    <row r="1070" spans="1:12" x14ac:dyDescent="0.25">
      <c r="A1070" s="1">
        <v>1069</v>
      </c>
      <c r="B1070" s="2">
        <v>1393074</v>
      </c>
      <c r="C1070" s="3">
        <v>2.8000000000000001E-2</v>
      </c>
      <c r="D1070" s="1">
        <v>0.5</v>
      </c>
      <c r="E1070" s="4">
        <v>0.17</v>
      </c>
      <c r="F1070" s="4">
        <v>0.24</v>
      </c>
      <c r="G1070" s="4">
        <v>0.59</v>
      </c>
      <c r="H1070" s="17">
        <f t="shared" si="32"/>
        <v>3.9315108512683231E-6</v>
      </c>
      <c r="L1070">
        <f t="shared" si="33"/>
        <v>1.4E-2</v>
      </c>
    </row>
    <row r="1071" spans="1:12" x14ac:dyDescent="0.25">
      <c r="A1071" s="1">
        <v>1070</v>
      </c>
      <c r="B1071" s="2">
        <v>1872651</v>
      </c>
      <c r="C1071" s="3">
        <v>2.7E-2</v>
      </c>
      <c r="D1071" s="1">
        <v>0.5</v>
      </c>
      <c r="E1071" s="4">
        <v>0.17</v>
      </c>
      <c r="F1071" s="4">
        <v>0.26</v>
      </c>
      <c r="G1071" s="4">
        <v>0.56999999999999995</v>
      </c>
      <c r="H1071" s="17">
        <f t="shared" si="32"/>
        <v>5.0962165232310201E-6</v>
      </c>
      <c r="L1071">
        <f t="shared" si="33"/>
        <v>1.35E-2</v>
      </c>
    </row>
    <row r="1072" spans="1:12" x14ac:dyDescent="0.25">
      <c r="A1072" s="1">
        <v>1071</v>
      </c>
      <c r="B1072" s="2">
        <v>1365254</v>
      </c>
      <c r="C1072" s="3">
        <v>1.9E-2</v>
      </c>
      <c r="D1072" s="1">
        <v>0.5</v>
      </c>
      <c r="E1072" s="4">
        <v>0.19</v>
      </c>
      <c r="F1072" s="4">
        <v>0.32</v>
      </c>
      <c r="G1072" s="4">
        <v>0.48999999999999994</v>
      </c>
      <c r="H1072" s="17">
        <f t="shared" si="32"/>
        <v>2.6145341525035428E-6</v>
      </c>
      <c r="L1072">
        <f t="shared" si="33"/>
        <v>9.4999999999999998E-3</v>
      </c>
    </row>
    <row r="1073" spans="1:12" x14ac:dyDescent="0.25">
      <c r="A1073" s="1">
        <v>1072</v>
      </c>
      <c r="B1073" s="2">
        <v>1692244</v>
      </c>
      <c r="C1073" s="3">
        <v>1.2999999999999999E-2</v>
      </c>
      <c r="D1073" s="1">
        <v>0.5</v>
      </c>
      <c r="E1073" s="4">
        <v>0.25</v>
      </c>
      <c r="F1073" s="4">
        <v>0.31</v>
      </c>
      <c r="G1073" s="4">
        <v>0.43999999999999995</v>
      </c>
      <c r="H1073" s="17">
        <f t="shared" si="32"/>
        <v>2.2173466591795823E-6</v>
      </c>
      <c r="L1073">
        <f t="shared" si="33"/>
        <v>6.4999999999999997E-3</v>
      </c>
    </row>
    <row r="1074" spans="1:12" x14ac:dyDescent="0.25">
      <c r="A1074" s="1">
        <v>1073</v>
      </c>
      <c r="B1074" s="2">
        <v>1768620</v>
      </c>
      <c r="C1074" s="3">
        <v>1.4E-2</v>
      </c>
      <c r="D1074" s="1">
        <v>0.5</v>
      </c>
      <c r="E1074" s="4">
        <v>0.15</v>
      </c>
      <c r="F1074" s="4">
        <v>0.28000000000000003</v>
      </c>
      <c r="G1074" s="4">
        <v>0.56999999999999995</v>
      </c>
      <c r="H1074" s="17">
        <f t="shared" si="32"/>
        <v>2.4956853411125975E-6</v>
      </c>
      <c r="L1074">
        <f t="shared" si="33"/>
        <v>7.0000000000000001E-3</v>
      </c>
    </row>
    <row r="1075" spans="1:12" x14ac:dyDescent="0.25">
      <c r="A1075" s="1">
        <v>1074</v>
      </c>
      <c r="B1075" s="2">
        <v>1218080</v>
      </c>
      <c r="C1075" s="3">
        <v>2.3E-2</v>
      </c>
      <c r="D1075" s="1">
        <v>0.5</v>
      </c>
      <c r="E1075" s="4">
        <v>0.19</v>
      </c>
      <c r="F1075" s="4">
        <v>0.28000000000000003</v>
      </c>
      <c r="G1075" s="4">
        <v>0.53</v>
      </c>
      <c r="H1075" s="17">
        <f t="shared" si="32"/>
        <v>2.8237803326465976E-6</v>
      </c>
      <c r="L1075">
        <f t="shared" si="33"/>
        <v>1.15E-2</v>
      </c>
    </row>
    <row r="1076" spans="1:12" x14ac:dyDescent="0.25">
      <c r="A1076" s="1">
        <v>1075</v>
      </c>
      <c r="B1076" s="2">
        <v>1219796</v>
      </c>
      <c r="C1076" s="3">
        <v>2.5000000000000001E-2</v>
      </c>
      <c r="D1076" s="1">
        <v>0.5</v>
      </c>
      <c r="E1076" s="4">
        <v>0.24</v>
      </c>
      <c r="F1076" s="4">
        <v>0.18</v>
      </c>
      <c r="G1076" s="4">
        <v>0.58000000000000007</v>
      </c>
      <c r="H1076" s="17">
        <f t="shared" si="32"/>
        <v>3.0736504372535225E-6</v>
      </c>
      <c r="L1076">
        <f t="shared" si="33"/>
        <v>1.2500000000000001E-2</v>
      </c>
    </row>
    <row r="1077" spans="1:12" x14ac:dyDescent="0.25">
      <c r="A1077" s="1">
        <v>1076</v>
      </c>
      <c r="B1077" s="2">
        <v>1451905</v>
      </c>
      <c r="C1077" s="3">
        <v>0.01</v>
      </c>
      <c r="D1077" s="1">
        <v>0.5</v>
      </c>
      <c r="E1077" s="4">
        <v>0.24</v>
      </c>
      <c r="F1077" s="4">
        <v>0.17</v>
      </c>
      <c r="G1077" s="4">
        <v>0.59</v>
      </c>
      <c r="H1077" s="17">
        <f t="shared" si="32"/>
        <v>1.4634081233585208E-6</v>
      </c>
      <c r="L1077">
        <f t="shared" si="33"/>
        <v>5.0000000000000001E-3</v>
      </c>
    </row>
    <row r="1078" spans="1:12" x14ac:dyDescent="0.25">
      <c r="A1078" s="1">
        <v>1077</v>
      </c>
      <c r="B1078" s="2">
        <v>1675533</v>
      </c>
      <c r="C1078" s="3">
        <v>2.5000000000000001E-2</v>
      </c>
      <c r="D1078" s="1">
        <v>0.5</v>
      </c>
      <c r="E1078" s="4">
        <v>0.24</v>
      </c>
      <c r="F1078" s="4">
        <v>0.19</v>
      </c>
      <c r="G1078" s="4">
        <v>0.57000000000000006</v>
      </c>
      <c r="H1078" s="17">
        <f t="shared" si="32"/>
        <v>4.222019696803979E-6</v>
      </c>
      <c r="L1078">
        <f t="shared" si="33"/>
        <v>1.2500000000000001E-2</v>
      </c>
    </row>
    <row r="1079" spans="1:12" x14ac:dyDescent="0.25">
      <c r="A1079" s="1">
        <v>1078</v>
      </c>
      <c r="B1079" s="2">
        <v>1630082</v>
      </c>
      <c r="C1079" s="3">
        <v>1.2E-2</v>
      </c>
      <c r="D1079" s="1">
        <v>0.5</v>
      </c>
      <c r="E1079" s="4">
        <v>0.25</v>
      </c>
      <c r="F1079" s="4">
        <v>0.26</v>
      </c>
      <c r="G1079" s="4">
        <v>0.49</v>
      </c>
      <c r="H1079" s="17">
        <f t="shared" si="32"/>
        <v>1.9715961365575606E-6</v>
      </c>
      <c r="L1079">
        <f t="shared" si="33"/>
        <v>6.0000000000000001E-3</v>
      </c>
    </row>
    <row r="1080" spans="1:12" x14ac:dyDescent="0.25">
      <c r="A1080" s="1">
        <v>1079</v>
      </c>
      <c r="B1080" s="2">
        <v>1318032</v>
      </c>
      <c r="C1080" s="3">
        <v>1.4E-2</v>
      </c>
      <c r="D1080" s="1">
        <v>0.5</v>
      </c>
      <c r="E1080" s="4">
        <v>0.24</v>
      </c>
      <c r="F1080" s="4">
        <v>0.23</v>
      </c>
      <c r="G1080" s="4">
        <v>0.53</v>
      </c>
      <c r="H1080" s="17">
        <f t="shared" si="32"/>
        <v>1.8598642679135818E-6</v>
      </c>
      <c r="L1080">
        <f t="shared" si="33"/>
        <v>7.0000000000000001E-3</v>
      </c>
    </row>
    <row r="1081" spans="1:12" x14ac:dyDescent="0.25">
      <c r="A1081" s="1">
        <v>1080</v>
      </c>
      <c r="B1081" s="2">
        <v>1202973</v>
      </c>
      <c r="C1081" s="3">
        <v>1.0999999999999999E-2</v>
      </c>
      <c r="D1081" s="1">
        <v>0.5</v>
      </c>
      <c r="E1081" s="4">
        <v>0.18</v>
      </c>
      <c r="F1081" s="4">
        <v>0.26</v>
      </c>
      <c r="G1081" s="4">
        <v>0.56000000000000005</v>
      </c>
      <c r="H1081" s="17">
        <f t="shared" si="32"/>
        <v>1.3337542789776651E-6</v>
      </c>
      <c r="L1081">
        <f t="shared" si="33"/>
        <v>5.4999999999999997E-3</v>
      </c>
    </row>
    <row r="1082" spans="1:12" x14ac:dyDescent="0.25">
      <c r="A1082" s="1">
        <v>1081</v>
      </c>
      <c r="B1082" s="2">
        <v>1887868</v>
      </c>
      <c r="C1082" s="3">
        <v>2.5000000000000001E-2</v>
      </c>
      <c r="D1082" s="1">
        <v>0.5</v>
      </c>
      <c r="E1082" s="4">
        <v>0.17</v>
      </c>
      <c r="F1082" s="4">
        <v>0.35</v>
      </c>
      <c r="G1082" s="4">
        <v>0.48</v>
      </c>
      <c r="H1082" s="17">
        <f t="shared" si="32"/>
        <v>4.7570629053357556E-6</v>
      </c>
      <c r="L1082">
        <f t="shared" si="33"/>
        <v>1.2500000000000001E-2</v>
      </c>
    </row>
    <row r="1083" spans="1:12" x14ac:dyDescent="0.25">
      <c r="A1083" s="1">
        <v>1082</v>
      </c>
      <c r="B1083" s="2">
        <v>1503581</v>
      </c>
      <c r="C1083" s="3">
        <v>1.9E-2</v>
      </c>
      <c r="D1083" s="1">
        <v>0.5</v>
      </c>
      <c r="E1083" s="4">
        <v>0.24</v>
      </c>
      <c r="F1083" s="4">
        <v>0.31</v>
      </c>
      <c r="G1083" s="4">
        <v>0.44999999999999996</v>
      </c>
      <c r="H1083" s="17">
        <f t="shared" si="32"/>
        <v>2.8794377277454814E-6</v>
      </c>
      <c r="L1083">
        <f t="shared" si="33"/>
        <v>9.4999999999999998E-3</v>
      </c>
    </row>
    <row r="1084" spans="1:12" x14ac:dyDescent="0.25">
      <c r="A1084" s="1">
        <v>1083</v>
      </c>
      <c r="B1084" s="2">
        <v>1798519</v>
      </c>
      <c r="C1084" s="3">
        <v>1.6E-2</v>
      </c>
      <c r="D1084" s="1">
        <v>0.5</v>
      </c>
      <c r="E1084" s="4">
        <v>0.24</v>
      </c>
      <c r="F1084" s="4">
        <v>0.19</v>
      </c>
      <c r="G1084" s="4">
        <v>0.57000000000000006</v>
      </c>
      <c r="H1084" s="17">
        <f t="shared" si="32"/>
        <v>2.9004292315154433E-6</v>
      </c>
      <c r="L1084">
        <f t="shared" si="33"/>
        <v>8.0000000000000002E-3</v>
      </c>
    </row>
    <row r="1085" spans="1:12" x14ac:dyDescent="0.25">
      <c r="A1085" s="1">
        <v>1084</v>
      </c>
      <c r="B1085" s="2">
        <v>1987634</v>
      </c>
      <c r="C1085" s="3">
        <v>2.7E-2</v>
      </c>
      <c r="D1085" s="1">
        <v>0.5</v>
      </c>
      <c r="E1085" s="4">
        <v>0.24</v>
      </c>
      <c r="F1085" s="4">
        <v>0.31</v>
      </c>
      <c r="G1085" s="4">
        <v>0.44999999999999996</v>
      </c>
      <c r="H1085" s="17">
        <f t="shared" si="32"/>
        <v>5.4091302826505136E-6</v>
      </c>
      <c r="L1085">
        <f t="shared" si="33"/>
        <v>1.35E-2</v>
      </c>
    </row>
    <row r="1086" spans="1:12" x14ac:dyDescent="0.25">
      <c r="A1086" s="1">
        <v>1085</v>
      </c>
      <c r="B1086" s="2">
        <v>1024729</v>
      </c>
      <c r="C1086" s="3">
        <v>2.8000000000000001E-2</v>
      </c>
      <c r="D1086" s="1">
        <v>0.5</v>
      </c>
      <c r="E1086" s="4">
        <v>0.18</v>
      </c>
      <c r="F1086" s="4">
        <v>0.16</v>
      </c>
      <c r="G1086" s="4">
        <v>0.65999999999999992</v>
      </c>
      <c r="H1086" s="17">
        <f t="shared" si="32"/>
        <v>2.8919735657325723E-6</v>
      </c>
      <c r="L1086">
        <f t="shared" si="33"/>
        <v>1.4E-2</v>
      </c>
    </row>
    <row r="1087" spans="1:12" x14ac:dyDescent="0.25">
      <c r="A1087" s="1">
        <v>1086</v>
      </c>
      <c r="B1087" s="2">
        <v>1632216</v>
      </c>
      <c r="C1087" s="3">
        <v>2.1000000000000001E-2</v>
      </c>
      <c r="D1087" s="1">
        <v>0.5</v>
      </c>
      <c r="E1087" s="4">
        <v>0.22</v>
      </c>
      <c r="F1087" s="4">
        <v>0.3</v>
      </c>
      <c r="G1087" s="4">
        <v>0.48</v>
      </c>
      <c r="H1087" s="17">
        <f t="shared" si="32"/>
        <v>3.4548101441203645E-6</v>
      </c>
      <c r="L1087">
        <f t="shared" si="33"/>
        <v>1.0500000000000001E-2</v>
      </c>
    </row>
    <row r="1088" spans="1:12" x14ac:dyDescent="0.25">
      <c r="A1088" s="1">
        <v>1087</v>
      </c>
      <c r="B1088" s="2">
        <v>1585293</v>
      </c>
      <c r="C1088" s="3">
        <v>1.6E-2</v>
      </c>
      <c r="D1088" s="1">
        <v>0.5</v>
      </c>
      <c r="E1088" s="4">
        <v>0.23</v>
      </c>
      <c r="F1088" s="4">
        <v>0.24</v>
      </c>
      <c r="G1088" s="4">
        <v>0.53</v>
      </c>
      <c r="H1088" s="17">
        <f t="shared" si="32"/>
        <v>2.5565646833404663E-6</v>
      </c>
      <c r="L1088">
        <f t="shared" si="33"/>
        <v>8.0000000000000002E-3</v>
      </c>
    </row>
    <row r="1089" spans="1:12" x14ac:dyDescent="0.25">
      <c r="A1089" s="1">
        <v>1088</v>
      </c>
      <c r="B1089" s="2">
        <v>1237947</v>
      </c>
      <c r="C1089" s="3">
        <v>2.8000000000000001E-2</v>
      </c>
      <c r="D1089" s="1">
        <v>0.5</v>
      </c>
      <c r="E1089" s="4">
        <v>0.23</v>
      </c>
      <c r="F1089" s="4">
        <v>0.34</v>
      </c>
      <c r="G1089" s="4">
        <v>0.42999999999999994</v>
      </c>
      <c r="H1089" s="17">
        <f t="shared" si="32"/>
        <v>3.4937139475685188E-6</v>
      </c>
      <c r="L1089">
        <f t="shared" si="33"/>
        <v>1.4E-2</v>
      </c>
    </row>
    <row r="1090" spans="1:12" x14ac:dyDescent="0.25">
      <c r="A1090" s="1">
        <v>1089</v>
      </c>
      <c r="B1090" s="2">
        <v>1192635</v>
      </c>
      <c r="C1090" s="3">
        <v>0.03</v>
      </c>
      <c r="D1090" s="1">
        <v>0.5</v>
      </c>
      <c r="E1090" s="4">
        <v>0.23</v>
      </c>
      <c r="F1090" s="4">
        <v>0.2</v>
      </c>
      <c r="G1090" s="4">
        <v>0.57000000000000006</v>
      </c>
      <c r="H1090" s="17">
        <f t="shared" si="32"/>
        <v>3.6062519528516449E-6</v>
      </c>
      <c r="L1090">
        <f t="shared" si="33"/>
        <v>1.4999999999999999E-2</v>
      </c>
    </row>
    <row r="1091" spans="1:12" x14ac:dyDescent="0.25">
      <c r="A1091" s="1">
        <v>1090</v>
      </c>
      <c r="B1091" s="2">
        <v>1113605</v>
      </c>
      <c r="C1091" s="3">
        <v>2.8000000000000001E-2</v>
      </c>
      <c r="D1091" s="1">
        <v>0.5</v>
      </c>
      <c r="E1091" s="4">
        <v>0.15</v>
      </c>
      <c r="F1091" s="4">
        <v>0.28000000000000003</v>
      </c>
      <c r="G1091" s="4">
        <v>0.56999999999999995</v>
      </c>
      <c r="H1091" s="17">
        <f t="shared" ref="H1091:H1154" si="34">B1091*C1091*D1091/SUM($B$2:$B$1797)</f>
        <v>3.1427979716272509E-6</v>
      </c>
      <c r="L1091">
        <f t="shared" ref="L1091:L1154" si="35">C1091*D1091</f>
        <v>1.4E-2</v>
      </c>
    </row>
    <row r="1092" spans="1:12" x14ac:dyDescent="0.25">
      <c r="A1092" s="1">
        <v>1091</v>
      </c>
      <c r="B1092" s="2">
        <v>1454686</v>
      </c>
      <c r="C1092" s="3">
        <v>2.1000000000000001E-2</v>
      </c>
      <c r="D1092" s="1">
        <v>0.5</v>
      </c>
      <c r="E1092" s="4">
        <v>0.2</v>
      </c>
      <c r="F1092" s="4">
        <v>0.25</v>
      </c>
      <c r="G1092" s="4">
        <v>0.55000000000000004</v>
      </c>
      <c r="H1092" s="17">
        <f t="shared" si="34"/>
        <v>3.0790434288782102E-6</v>
      </c>
      <c r="L1092">
        <f t="shared" si="35"/>
        <v>1.0500000000000001E-2</v>
      </c>
    </row>
    <row r="1093" spans="1:12" x14ac:dyDescent="0.25">
      <c r="A1093" s="1">
        <v>1092</v>
      </c>
      <c r="B1093" s="2">
        <v>1187803</v>
      </c>
      <c r="C1093" s="3">
        <v>2.1999999999999999E-2</v>
      </c>
      <c r="D1093" s="1">
        <v>0.5</v>
      </c>
      <c r="E1093" s="4">
        <v>0.17</v>
      </c>
      <c r="F1093" s="4">
        <v>0.34</v>
      </c>
      <c r="G1093" s="4">
        <v>0.48999999999999988</v>
      </c>
      <c r="H1093" s="17">
        <f t="shared" si="34"/>
        <v>2.6338701431079621E-6</v>
      </c>
      <c r="L1093">
        <f t="shared" si="35"/>
        <v>1.0999999999999999E-2</v>
      </c>
    </row>
    <row r="1094" spans="1:12" x14ac:dyDescent="0.25">
      <c r="A1094" s="1">
        <v>1093</v>
      </c>
      <c r="B1094" s="2">
        <v>1903171</v>
      </c>
      <c r="C1094" s="3">
        <v>1.4999999999999999E-2</v>
      </c>
      <c r="D1094" s="1">
        <v>0.5</v>
      </c>
      <c r="E1094" s="4">
        <v>0.24</v>
      </c>
      <c r="F1094" s="4">
        <v>0.3</v>
      </c>
      <c r="G1094" s="4">
        <v>0.45999999999999996</v>
      </c>
      <c r="H1094" s="17">
        <f t="shared" si="34"/>
        <v>2.877374106646467E-6</v>
      </c>
      <c r="L1094">
        <f t="shared" si="35"/>
        <v>7.4999999999999997E-3</v>
      </c>
    </row>
    <row r="1095" spans="1:12" x14ac:dyDescent="0.25">
      <c r="A1095" s="1">
        <v>1094</v>
      </c>
      <c r="B1095" s="2">
        <v>1281382</v>
      </c>
      <c r="C1095" s="3">
        <v>1.2999999999999999E-2</v>
      </c>
      <c r="D1095" s="1">
        <v>0.5</v>
      </c>
      <c r="E1095" s="4">
        <v>0.22</v>
      </c>
      <c r="F1095" s="4">
        <v>0.2</v>
      </c>
      <c r="G1095" s="4">
        <v>0.58000000000000007</v>
      </c>
      <c r="H1095" s="17">
        <f t="shared" si="34"/>
        <v>1.6789943393700033E-6</v>
      </c>
      <c r="L1095">
        <f t="shared" si="35"/>
        <v>6.4999999999999997E-3</v>
      </c>
    </row>
    <row r="1096" spans="1:12" x14ac:dyDescent="0.25">
      <c r="A1096" s="1">
        <v>1095</v>
      </c>
      <c r="B1096" s="2">
        <v>1554496</v>
      </c>
      <c r="C1096" s="3">
        <v>2.8000000000000001E-2</v>
      </c>
      <c r="D1096" s="1">
        <v>0.5</v>
      </c>
      <c r="E1096" s="4">
        <v>0.16</v>
      </c>
      <c r="F1096" s="4">
        <v>0.2</v>
      </c>
      <c r="G1096" s="4">
        <v>0.64</v>
      </c>
      <c r="H1096" s="17">
        <f t="shared" si="34"/>
        <v>4.3870734018818836E-6</v>
      </c>
      <c r="L1096">
        <f t="shared" si="35"/>
        <v>1.4E-2</v>
      </c>
    </row>
    <row r="1097" spans="1:12" x14ac:dyDescent="0.25">
      <c r="A1097" s="1">
        <v>1096</v>
      </c>
      <c r="B1097" s="2">
        <v>1025676</v>
      </c>
      <c r="C1097" s="3">
        <v>2.5999999999999999E-2</v>
      </c>
      <c r="D1097" s="1">
        <v>0.5</v>
      </c>
      <c r="E1097" s="4">
        <v>0.16</v>
      </c>
      <c r="F1097" s="4">
        <v>0.3</v>
      </c>
      <c r="G1097" s="4">
        <v>0.53999999999999992</v>
      </c>
      <c r="H1097" s="17">
        <f t="shared" si="34"/>
        <v>2.6878857327911072E-6</v>
      </c>
      <c r="L1097">
        <f t="shared" si="35"/>
        <v>1.2999999999999999E-2</v>
      </c>
    </row>
    <row r="1098" spans="1:12" x14ac:dyDescent="0.25">
      <c r="A1098" s="1">
        <v>1097</v>
      </c>
      <c r="B1098" s="2">
        <v>1432935</v>
      </c>
      <c r="C1098" s="3">
        <v>2.7E-2</v>
      </c>
      <c r="D1098" s="1">
        <v>0.5</v>
      </c>
      <c r="E1098" s="4">
        <v>0.19</v>
      </c>
      <c r="F1098" s="4">
        <v>0.34</v>
      </c>
      <c r="G1098" s="4">
        <v>0.46999999999999992</v>
      </c>
      <c r="H1098" s="17">
        <f t="shared" si="34"/>
        <v>3.8995771362181431E-6</v>
      </c>
      <c r="L1098">
        <f t="shared" si="35"/>
        <v>1.35E-2</v>
      </c>
    </row>
    <row r="1099" spans="1:12" x14ac:dyDescent="0.25">
      <c r="A1099" s="1">
        <v>1098</v>
      </c>
      <c r="B1099" s="2">
        <v>1589309</v>
      </c>
      <c r="C1099" s="3">
        <v>2.3E-2</v>
      </c>
      <c r="D1099" s="1">
        <v>0.5</v>
      </c>
      <c r="E1099" s="4">
        <v>0.24</v>
      </c>
      <c r="F1099" s="4">
        <v>0.32</v>
      </c>
      <c r="G1099" s="4">
        <v>0.43999999999999995</v>
      </c>
      <c r="H1099" s="17">
        <f t="shared" si="34"/>
        <v>3.6843717134328046E-6</v>
      </c>
      <c r="L1099">
        <f t="shared" si="35"/>
        <v>1.15E-2</v>
      </c>
    </row>
    <row r="1100" spans="1:12" x14ac:dyDescent="0.25">
      <c r="A1100" s="1">
        <v>1099</v>
      </c>
      <c r="B1100" s="2">
        <v>1593388</v>
      </c>
      <c r="C1100" s="3">
        <v>1.0999999999999999E-2</v>
      </c>
      <c r="D1100" s="1">
        <v>0.5</v>
      </c>
      <c r="E1100" s="4">
        <v>0.22</v>
      </c>
      <c r="F1100" s="4">
        <v>0.35</v>
      </c>
      <c r="G1100" s="4">
        <v>0.43000000000000005</v>
      </c>
      <c r="H1100" s="17">
        <f t="shared" si="34"/>
        <v>1.7666132681877847E-6</v>
      </c>
      <c r="L1100">
        <f t="shared" si="35"/>
        <v>5.4999999999999997E-3</v>
      </c>
    </row>
    <row r="1101" spans="1:12" x14ac:dyDescent="0.25">
      <c r="A1101" s="1">
        <v>1100</v>
      </c>
      <c r="B1101" s="2">
        <v>1729576</v>
      </c>
      <c r="C1101" s="3">
        <v>1.9E-2</v>
      </c>
      <c r="D1101" s="1">
        <v>0.5</v>
      </c>
      <c r="E1101" s="4">
        <v>0.15</v>
      </c>
      <c r="F1101" s="4">
        <v>0.28000000000000003</v>
      </c>
      <c r="G1101" s="4">
        <v>0.56999999999999995</v>
      </c>
      <c r="H1101" s="17">
        <f t="shared" si="34"/>
        <v>3.3122301940521449E-6</v>
      </c>
      <c r="L1101">
        <f t="shared" si="35"/>
        <v>9.4999999999999998E-3</v>
      </c>
    </row>
    <row r="1102" spans="1:12" x14ac:dyDescent="0.25">
      <c r="A1102" s="1">
        <v>1101</v>
      </c>
      <c r="B1102" s="2">
        <v>1181889</v>
      </c>
      <c r="C1102" s="3">
        <v>2.4E-2</v>
      </c>
      <c r="D1102" s="1">
        <v>0.5</v>
      </c>
      <c r="E1102" s="4">
        <v>0.23</v>
      </c>
      <c r="F1102" s="4">
        <v>0.34</v>
      </c>
      <c r="G1102" s="4">
        <v>0.42999999999999994</v>
      </c>
      <c r="H1102" s="17">
        <f t="shared" si="34"/>
        <v>2.85900683062555E-6</v>
      </c>
      <c r="L1102">
        <f t="shared" si="35"/>
        <v>1.2E-2</v>
      </c>
    </row>
    <row r="1103" spans="1:12" x14ac:dyDescent="0.25">
      <c r="A1103" s="1">
        <v>1102</v>
      </c>
      <c r="B1103" s="2">
        <v>1110351</v>
      </c>
      <c r="C1103" s="3">
        <v>1.7999999999999999E-2</v>
      </c>
      <c r="D1103" s="1">
        <v>0.5</v>
      </c>
      <c r="E1103" s="4">
        <v>0.23</v>
      </c>
      <c r="F1103" s="4">
        <v>0.22</v>
      </c>
      <c r="G1103" s="4">
        <v>0.55000000000000004</v>
      </c>
      <c r="H1103" s="17">
        <f t="shared" si="34"/>
        <v>2.0144665193126701E-6</v>
      </c>
      <c r="L1103">
        <f t="shared" si="35"/>
        <v>8.9999999999999993E-3</v>
      </c>
    </row>
    <row r="1104" spans="1:12" x14ac:dyDescent="0.25">
      <c r="A1104" s="1">
        <v>1103</v>
      </c>
      <c r="B1104" s="2">
        <v>1722351</v>
      </c>
      <c r="C1104" s="3">
        <v>2.1000000000000001E-2</v>
      </c>
      <c r="D1104" s="1">
        <v>0.5</v>
      </c>
      <c r="E1104" s="4">
        <v>0.15</v>
      </c>
      <c r="F1104" s="4">
        <v>0.28999999999999998</v>
      </c>
      <c r="G1104" s="4">
        <v>0.55999999999999994</v>
      </c>
      <c r="H1104" s="17">
        <f t="shared" si="34"/>
        <v>3.6455932955784369E-6</v>
      </c>
      <c r="L1104">
        <f t="shared" si="35"/>
        <v>1.0500000000000001E-2</v>
      </c>
    </row>
    <row r="1105" spans="1:12" x14ac:dyDescent="0.25">
      <c r="A1105" s="1">
        <v>1104</v>
      </c>
      <c r="B1105" s="2">
        <v>1075553</v>
      </c>
      <c r="C1105" s="3">
        <v>2.8000000000000001E-2</v>
      </c>
      <c r="D1105" s="1">
        <v>0.5</v>
      </c>
      <c r="E1105" s="4">
        <v>0.2</v>
      </c>
      <c r="F1105" s="4">
        <v>0.27</v>
      </c>
      <c r="G1105" s="4">
        <v>0.53</v>
      </c>
      <c r="H1105" s="17">
        <f t="shared" si="34"/>
        <v>3.0354082343179175E-6</v>
      </c>
      <c r="L1105">
        <f t="shared" si="35"/>
        <v>1.4E-2</v>
      </c>
    </row>
    <row r="1106" spans="1:12" x14ac:dyDescent="0.25">
      <c r="A1106" s="1">
        <v>1105</v>
      </c>
      <c r="B1106" s="2">
        <v>1595478</v>
      </c>
      <c r="C1106" s="3">
        <v>1.0999999999999999E-2</v>
      </c>
      <c r="D1106" s="1">
        <v>0.5</v>
      </c>
      <c r="E1106" s="4">
        <v>0.19</v>
      </c>
      <c r="F1106" s="4">
        <v>0.22</v>
      </c>
      <c r="G1106" s="4">
        <v>0.59000000000000008</v>
      </c>
      <c r="H1106" s="17">
        <f t="shared" si="34"/>
        <v>1.7689304826581534E-6</v>
      </c>
      <c r="L1106">
        <f t="shared" si="35"/>
        <v>5.4999999999999997E-3</v>
      </c>
    </row>
    <row r="1107" spans="1:12" x14ac:dyDescent="0.25">
      <c r="A1107" s="1">
        <v>1106</v>
      </c>
      <c r="B1107" s="2">
        <v>1525605</v>
      </c>
      <c r="C1107" s="3">
        <v>2.4E-2</v>
      </c>
      <c r="D1107" s="1">
        <v>0.5</v>
      </c>
      <c r="E1107" s="4">
        <v>0.25</v>
      </c>
      <c r="F1107" s="4">
        <v>0.33</v>
      </c>
      <c r="G1107" s="4">
        <v>0.41999999999999993</v>
      </c>
      <c r="H1107" s="17">
        <f t="shared" si="34"/>
        <v>3.6904608773213833E-6</v>
      </c>
      <c r="L1107">
        <f t="shared" si="35"/>
        <v>1.2E-2</v>
      </c>
    </row>
    <row r="1108" spans="1:12" x14ac:dyDescent="0.25">
      <c r="A1108" s="1">
        <v>1107</v>
      </c>
      <c r="B1108" s="2">
        <v>1819784</v>
      </c>
      <c r="C1108" s="3">
        <v>1.7999999999999999E-2</v>
      </c>
      <c r="D1108" s="1">
        <v>0.5</v>
      </c>
      <c r="E1108" s="4">
        <v>0.19</v>
      </c>
      <c r="F1108" s="4">
        <v>0.21</v>
      </c>
      <c r="G1108" s="4">
        <v>0.60000000000000009</v>
      </c>
      <c r="H1108" s="17">
        <f t="shared" si="34"/>
        <v>3.3015631456907663E-6</v>
      </c>
      <c r="L1108">
        <f t="shared" si="35"/>
        <v>8.9999999999999993E-3</v>
      </c>
    </row>
    <row r="1109" spans="1:12" x14ac:dyDescent="0.25">
      <c r="A1109" s="1">
        <v>1108</v>
      </c>
      <c r="B1109" s="2">
        <v>1697042</v>
      </c>
      <c r="C1109" s="3">
        <v>1.7000000000000001E-2</v>
      </c>
      <c r="D1109" s="1">
        <v>0.5</v>
      </c>
      <c r="E1109" s="4">
        <v>0.23</v>
      </c>
      <c r="F1109" s="4">
        <v>0.23</v>
      </c>
      <c r="G1109" s="4">
        <v>0.54</v>
      </c>
      <c r="H1109" s="17">
        <f t="shared" si="34"/>
        <v>2.9078283926407063E-6</v>
      </c>
      <c r="L1109">
        <f t="shared" si="35"/>
        <v>8.5000000000000006E-3</v>
      </c>
    </row>
    <row r="1110" spans="1:12" x14ac:dyDescent="0.25">
      <c r="A1110" s="1">
        <v>1109</v>
      </c>
      <c r="B1110" s="2">
        <v>1021688</v>
      </c>
      <c r="C1110" s="3">
        <v>1.7000000000000001E-2</v>
      </c>
      <c r="D1110" s="1">
        <v>0.5</v>
      </c>
      <c r="E1110" s="4">
        <v>0.18</v>
      </c>
      <c r="F1110" s="4">
        <v>0.31</v>
      </c>
      <c r="G1110" s="4">
        <v>0.51</v>
      </c>
      <c r="H1110" s="17">
        <f t="shared" si="34"/>
        <v>1.7506304350866377E-6</v>
      </c>
      <c r="L1110">
        <f t="shared" si="35"/>
        <v>8.5000000000000006E-3</v>
      </c>
    </row>
    <row r="1111" spans="1:12" x14ac:dyDescent="0.25">
      <c r="A1111" s="1">
        <v>1110</v>
      </c>
      <c r="B1111" s="2">
        <v>1510917</v>
      </c>
      <c r="C1111" s="3">
        <v>0.02</v>
      </c>
      <c r="D1111" s="1">
        <v>0.5</v>
      </c>
      <c r="E1111" s="4">
        <v>0.25</v>
      </c>
      <c r="F1111" s="4">
        <v>0.22</v>
      </c>
      <c r="G1111" s="4">
        <v>0.53</v>
      </c>
      <c r="H1111" s="17">
        <f t="shared" si="34"/>
        <v>3.0457753248600785E-6</v>
      </c>
      <c r="L1111">
        <f t="shared" si="35"/>
        <v>0.01</v>
      </c>
    </row>
    <row r="1112" spans="1:12" x14ac:dyDescent="0.25">
      <c r="A1112" s="1">
        <v>1111</v>
      </c>
      <c r="B1112" s="2">
        <v>1332115</v>
      </c>
      <c r="C1112" s="3">
        <v>2.1999999999999999E-2</v>
      </c>
      <c r="D1112" s="1">
        <v>0.5</v>
      </c>
      <c r="E1112" s="4">
        <v>0.24</v>
      </c>
      <c r="F1112" s="4">
        <v>0.35</v>
      </c>
      <c r="G1112" s="4">
        <v>0.41000000000000003</v>
      </c>
      <c r="H1112" s="17">
        <f t="shared" si="34"/>
        <v>2.9538719178906461E-6</v>
      </c>
      <c r="L1112">
        <f t="shared" si="35"/>
        <v>1.0999999999999999E-2</v>
      </c>
    </row>
    <row r="1113" spans="1:12" x14ac:dyDescent="0.25">
      <c r="A1113" s="1">
        <v>1112</v>
      </c>
      <c r="B1113" s="2">
        <v>1759729</v>
      </c>
      <c r="C1113" s="3">
        <v>1.7999999999999999E-2</v>
      </c>
      <c r="D1113" s="1">
        <v>0.5</v>
      </c>
      <c r="E1113" s="4">
        <v>0.17</v>
      </c>
      <c r="F1113" s="4">
        <v>0.28000000000000003</v>
      </c>
      <c r="G1113" s="4">
        <v>0.54999999999999993</v>
      </c>
      <c r="H1113" s="17">
        <f t="shared" si="34"/>
        <v>3.1926077011355558E-6</v>
      </c>
      <c r="L1113">
        <f t="shared" si="35"/>
        <v>8.9999999999999993E-3</v>
      </c>
    </row>
    <row r="1114" spans="1:12" x14ac:dyDescent="0.25">
      <c r="A1114" s="1">
        <v>1113</v>
      </c>
      <c r="B1114" s="2">
        <v>1054543</v>
      </c>
      <c r="C1114" s="3">
        <v>2.8000000000000001E-2</v>
      </c>
      <c r="D1114" s="1">
        <v>0.5</v>
      </c>
      <c r="E1114" s="4">
        <v>0.2</v>
      </c>
      <c r="F1114" s="4">
        <v>0.17</v>
      </c>
      <c r="G1114" s="4">
        <v>0.62999999999999989</v>
      </c>
      <c r="H1114" s="17">
        <f t="shared" si="34"/>
        <v>2.9761141530378511E-6</v>
      </c>
      <c r="L1114">
        <f t="shared" si="35"/>
        <v>1.4E-2</v>
      </c>
    </row>
    <row r="1115" spans="1:12" x14ac:dyDescent="0.25">
      <c r="A1115" s="1">
        <v>1114</v>
      </c>
      <c r="B1115" s="2">
        <v>1168958</v>
      </c>
      <c r="C1115" s="3">
        <v>1.6E-2</v>
      </c>
      <c r="D1115" s="1">
        <v>0.5</v>
      </c>
      <c r="E1115" s="4">
        <v>0.17</v>
      </c>
      <c r="F1115" s="4">
        <v>0.35</v>
      </c>
      <c r="G1115" s="4">
        <v>0.48</v>
      </c>
      <c r="H1115" s="17">
        <f t="shared" si="34"/>
        <v>1.8851510346089364E-6</v>
      </c>
      <c r="L1115">
        <f t="shared" si="35"/>
        <v>8.0000000000000002E-3</v>
      </c>
    </row>
    <row r="1116" spans="1:12" x14ac:dyDescent="0.25">
      <c r="A1116" s="1">
        <v>1115</v>
      </c>
      <c r="B1116" s="2">
        <v>1470160</v>
      </c>
      <c r="C1116" s="3">
        <v>1.2999999999999999E-2</v>
      </c>
      <c r="D1116" s="1">
        <v>0.5</v>
      </c>
      <c r="E1116" s="4">
        <v>0.2</v>
      </c>
      <c r="F1116" s="4">
        <v>0.34</v>
      </c>
      <c r="G1116" s="4">
        <v>0.45999999999999991</v>
      </c>
      <c r="H1116" s="17">
        <f t="shared" si="34"/>
        <v>1.9263500798108631E-6</v>
      </c>
      <c r="L1116">
        <f t="shared" si="35"/>
        <v>6.4999999999999997E-3</v>
      </c>
    </row>
    <row r="1117" spans="1:12" x14ac:dyDescent="0.25">
      <c r="A1117" s="1">
        <v>1116</v>
      </c>
      <c r="B1117" s="2">
        <v>1378538</v>
      </c>
      <c r="C1117" s="3">
        <v>1.0999999999999999E-2</v>
      </c>
      <c r="D1117" s="1">
        <v>0.5</v>
      </c>
      <c r="E1117" s="4">
        <v>0.22</v>
      </c>
      <c r="F1117" s="4">
        <v>0.18</v>
      </c>
      <c r="G1117" s="4">
        <v>0.60000000000000009</v>
      </c>
      <c r="H1117" s="17">
        <f t="shared" si="34"/>
        <v>1.528405838063957E-6</v>
      </c>
      <c r="L1117">
        <f t="shared" si="35"/>
        <v>5.4999999999999997E-3</v>
      </c>
    </row>
    <row r="1118" spans="1:12" x14ac:dyDescent="0.25">
      <c r="A1118" s="1">
        <v>1117</v>
      </c>
      <c r="B1118" s="2">
        <v>1477188</v>
      </c>
      <c r="C1118" s="3">
        <v>1.2999999999999999E-2</v>
      </c>
      <c r="D1118" s="1">
        <v>0.5</v>
      </c>
      <c r="E1118" s="4">
        <v>0.15</v>
      </c>
      <c r="F1118" s="4">
        <v>0.16</v>
      </c>
      <c r="G1118" s="4">
        <v>0.69</v>
      </c>
      <c r="H1118" s="17">
        <f t="shared" si="34"/>
        <v>1.9355588654946739E-6</v>
      </c>
      <c r="L1118">
        <f t="shared" si="35"/>
        <v>6.4999999999999997E-3</v>
      </c>
    </row>
    <row r="1119" spans="1:12" x14ac:dyDescent="0.25">
      <c r="A1119" s="1">
        <v>1118</v>
      </c>
      <c r="B1119" s="2">
        <v>1576360</v>
      </c>
      <c r="C1119" s="3">
        <v>1.4999999999999999E-2</v>
      </c>
      <c r="D1119" s="1">
        <v>0.5</v>
      </c>
      <c r="E1119" s="4">
        <v>0.19</v>
      </c>
      <c r="F1119" s="4">
        <v>0.21</v>
      </c>
      <c r="G1119" s="4">
        <v>0.60000000000000009</v>
      </c>
      <c r="H1119" s="17">
        <f t="shared" si="34"/>
        <v>2.3832737293460358E-6</v>
      </c>
      <c r="L1119">
        <f t="shared" si="35"/>
        <v>7.4999999999999997E-3</v>
      </c>
    </row>
    <row r="1120" spans="1:12" x14ac:dyDescent="0.25">
      <c r="A1120" s="1">
        <v>1119</v>
      </c>
      <c r="B1120" s="2">
        <v>1363715</v>
      </c>
      <c r="C1120" s="3">
        <v>1.0999999999999999E-2</v>
      </c>
      <c r="D1120" s="1">
        <v>0.5</v>
      </c>
      <c r="E1120" s="4">
        <v>0.18</v>
      </c>
      <c r="F1120" s="4">
        <v>0.21</v>
      </c>
      <c r="G1120" s="4">
        <v>0.6100000000000001</v>
      </c>
      <c r="H1120" s="17">
        <f t="shared" si="34"/>
        <v>1.5119713547652578E-6</v>
      </c>
      <c r="L1120">
        <f t="shared" si="35"/>
        <v>5.4999999999999997E-3</v>
      </c>
    </row>
    <row r="1121" spans="1:12" x14ac:dyDescent="0.25">
      <c r="A1121" s="1">
        <v>1120</v>
      </c>
      <c r="B1121" s="2">
        <v>1492725</v>
      </c>
      <c r="C1121" s="3">
        <v>2.7E-2</v>
      </c>
      <c r="D1121" s="1">
        <v>0.5</v>
      </c>
      <c r="E1121" s="4">
        <v>0.15</v>
      </c>
      <c r="F1121" s="4">
        <v>0.27</v>
      </c>
      <c r="G1121" s="4">
        <v>0.57999999999999996</v>
      </c>
      <c r="H1121" s="17">
        <f t="shared" si="34"/>
        <v>4.0622891343021331E-6</v>
      </c>
      <c r="L1121">
        <f t="shared" si="35"/>
        <v>1.35E-2</v>
      </c>
    </row>
    <row r="1122" spans="1:12" x14ac:dyDescent="0.25">
      <c r="A1122" s="1">
        <v>1121</v>
      </c>
      <c r="B1122" s="2">
        <v>1679587</v>
      </c>
      <c r="C1122" s="3">
        <v>2.7E-2</v>
      </c>
      <c r="D1122" s="1">
        <v>0.5</v>
      </c>
      <c r="E1122" s="4">
        <v>0.2</v>
      </c>
      <c r="F1122" s="4">
        <v>0.33</v>
      </c>
      <c r="G1122" s="4">
        <v>0.46999999999999992</v>
      </c>
      <c r="H1122" s="17">
        <f t="shared" si="34"/>
        <v>4.5708137937095704E-6</v>
      </c>
      <c r="L1122">
        <f t="shared" si="35"/>
        <v>1.35E-2</v>
      </c>
    </row>
    <row r="1123" spans="1:12" x14ac:dyDescent="0.25">
      <c r="A1123" s="1">
        <v>1122</v>
      </c>
      <c r="B1123" s="2">
        <v>1651696</v>
      </c>
      <c r="C1123" s="3">
        <v>1.2E-2</v>
      </c>
      <c r="D1123" s="1">
        <v>0.5</v>
      </c>
      <c r="E1123" s="4">
        <v>0.19</v>
      </c>
      <c r="F1123" s="4">
        <v>0.24</v>
      </c>
      <c r="G1123" s="4">
        <v>0.57000000000000006</v>
      </c>
      <c r="H1123" s="17">
        <f t="shared" si="34"/>
        <v>1.9977384281082648E-6</v>
      </c>
      <c r="L1123">
        <f t="shared" si="35"/>
        <v>6.0000000000000001E-3</v>
      </c>
    </row>
    <row r="1124" spans="1:12" x14ac:dyDescent="0.25">
      <c r="A1124" s="1">
        <v>1123</v>
      </c>
      <c r="B1124" s="2">
        <v>1379313</v>
      </c>
      <c r="C1124" s="3">
        <v>2.1000000000000001E-2</v>
      </c>
      <c r="D1124" s="1">
        <v>0.5</v>
      </c>
      <c r="E1124" s="4">
        <v>0.17</v>
      </c>
      <c r="F1124" s="4">
        <v>0.26</v>
      </c>
      <c r="G1124" s="4">
        <v>0.56999999999999995</v>
      </c>
      <c r="H1124" s="17">
        <f t="shared" si="34"/>
        <v>2.91950608517322E-6</v>
      </c>
      <c r="L1124">
        <f t="shared" si="35"/>
        <v>1.0500000000000001E-2</v>
      </c>
    </row>
    <row r="1125" spans="1:12" x14ac:dyDescent="0.25">
      <c r="A1125" s="1">
        <v>1124</v>
      </c>
      <c r="B1125" s="2">
        <v>1122742</v>
      </c>
      <c r="C1125" s="3">
        <v>1.9E-2</v>
      </c>
      <c r="D1125" s="1">
        <v>0.5</v>
      </c>
      <c r="E1125" s="4">
        <v>0.22</v>
      </c>
      <c r="F1125" s="4">
        <v>0.27</v>
      </c>
      <c r="G1125" s="4">
        <v>0.51</v>
      </c>
      <c r="H1125" s="17">
        <f t="shared" si="34"/>
        <v>2.1501107511497E-6</v>
      </c>
      <c r="L1125">
        <f t="shared" si="35"/>
        <v>9.4999999999999998E-3</v>
      </c>
    </row>
    <row r="1126" spans="1:12" x14ac:dyDescent="0.25">
      <c r="A1126" s="1">
        <v>1125</v>
      </c>
      <c r="B1126" s="2">
        <v>1502248</v>
      </c>
      <c r="C1126" s="3">
        <v>1.4999999999999999E-2</v>
      </c>
      <c r="D1126" s="1">
        <v>0.5</v>
      </c>
      <c r="E1126" s="4">
        <v>0.2</v>
      </c>
      <c r="F1126" s="4">
        <v>0.31</v>
      </c>
      <c r="G1126" s="4">
        <v>0.48999999999999994</v>
      </c>
      <c r="H1126" s="17">
        <f t="shared" si="34"/>
        <v>2.2712249697801413E-6</v>
      </c>
      <c r="L1126">
        <f t="shared" si="35"/>
        <v>7.4999999999999997E-3</v>
      </c>
    </row>
    <row r="1127" spans="1:12" x14ac:dyDescent="0.25">
      <c r="A1127" s="1">
        <v>1126</v>
      </c>
      <c r="B1127" s="2">
        <v>1052831</v>
      </c>
      <c r="C1127" s="3">
        <v>2.5999999999999999E-2</v>
      </c>
      <c r="D1127" s="1">
        <v>0.5</v>
      </c>
      <c r="E1127" s="4">
        <v>0.19</v>
      </c>
      <c r="F1127" s="4">
        <v>0.34</v>
      </c>
      <c r="G1127" s="4">
        <v>0.46999999999999992</v>
      </c>
      <c r="H1127" s="17">
        <f t="shared" si="34"/>
        <v>2.7590481048013158E-6</v>
      </c>
      <c r="L1127">
        <f t="shared" si="35"/>
        <v>1.2999999999999999E-2</v>
      </c>
    </row>
    <row r="1128" spans="1:12" x14ac:dyDescent="0.25">
      <c r="A1128" s="1">
        <v>1127</v>
      </c>
      <c r="B1128" s="2">
        <v>1825265</v>
      </c>
      <c r="C1128" s="3">
        <v>1.7999999999999999E-2</v>
      </c>
      <c r="D1128" s="1">
        <v>0.5</v>
      </c>
      <c r="E1128" s="4">
        <v>0.17</v>
      </c>
      <c r="F1128" s="4">
        <v>0.22</v>
      </c>
      <c r="G1128" s="4">
        <v>0.61</v>
      </c>
      <c r="H1128" s="17">
        <f t="shared" si="34"/>
        <v>3.3115071102500388E-6</v>
      </c>
      <c r="L1128">
        <f t="shared" si="35"/>
        <v>8.9999999999999993E-3</v>
      </c>
    </row>
    <row r="1129" spans="1:12" x14ac:dyDescent="0.25">
      <c r="A1129" s="1">
        <v>1128</v>
      </c>
      <c r="B1129" s="2">
        <v>1642050</v>
      </c>
      <c r="C1129" s="3">
        <v>2.1000000000000001E-2</v>
      </c>
      <c r="D1129" s="1">
        <v>0.5</v>
      </c>
      <c r="E1129" s="4">
        <v>0.23</v>
      </c>
      <c r="F1129" s="4">
        <v>0.27</v>
      </c>
      <c r="G1129" s="4">
        <v>0.5</v>
      </c>
      <c r="H1129" s="17">
        <f t="shared" si="34"/>
        <v>3.4756251606116133E-6</v>
      </c>
      <c r="L1129">
        <f t="shared" si="35"/>
        <v>1.0500000000000001E-2</v>
      </c>
    </row>
    <row r="1130" spans="1:12" x14ac:dyDescent="0.25">
      <c r="A1130" s="1">
        <v>1129</v>
      </c>
      <c r="B1130" s="2">
        <v>1547203</v>
      </c>
      <c r="C1130" s="3">
        <v>1.4999999999999999E-2</v>
      </c>
      <c r="D1130" s="1">
        <v>0.5</v>
      </c>
      <c r="E1130" s="4">
        <v>0.2</v>
      </c>
      <c r="F1130" s="4">
        <v>0.32</v>
      </c>
      <c r="G1130" s="4">
        <v>0.47999999999999993</v>
      </c>
      <c r="H1130" s="17">
        <f t="shared" si="34"/>
        <v>2.3391917226175334E-6</v>
      </c>
      <c r="L1130">
        <f t="shared" si="35"/>
        <v>7.4999999999999997E-3</v>
      </c>
    </row>
    <row r="1131" spans="1:12" x14ac:dyDescent="0.25">
      <c r="A1131" s="1">
        <v>1130</v>
      </c>
      <c r="B1131" s="2">
        <v>1432823</v>
      </c>
      <c r="C1131" s="3">
        <v>2.5000000000000001E-2</v>
      </c>
      <c r="D1131" s="1">
        <v>0.5</v>
      </c>
      <c r="E1131" s="4">
        <v>0.21</v>
      </c>
      <c r="F1131" s="4">
        <v>0.31</v>
      </c>
      <c r="G1131" s="4">
        <v>0.48</v>
      </c>
      <c r="H1131" s="17">
        <f t="shared" si="34"/>
        <v>3.6104373521940588E-6</v>
      </c>
      <c r="L1131">
        <f t="shared" si="35"/>
        <v>1.2500000000000001E-2</v>
      </c>
    </row>
    <row r="1132" spans="1:12" x14ac:dyDescent="0.25">
      <c r="A1132" s="1">
        <v>1131</v>
      </c>
      <c r="B1132" s="2">
        <v>1010354</v>
      </c>
      <c r="C1132" s="3">
        <v>1.6E-2</v>
      </c>
      <c r="D1132" s="1">
        <v>0.5</v>
      </c>
      <c r="E1132" s="4">
        <v>0.16</v>
      </c>
      <c r="F1132" s="4">
        <v>0.32</v>
      </c>
      <c r="G1132" s="4">
        <v>0.51999999999999991</v>
      </c>
      <c r="H1132" s="17">
        <f t="shared" si="34"/>
        <v>1.6293740993442683E-6</v>
      </c>
      <c r="L1132">
        <f t="shared" si="35"/>
        <v>8.0000000000000002E-3</v>
      </c>
    </row>
    <row r="1133" spans="1:12" x14ac:dyDescent="0.25">
      <c r="A1133" s="1">
        <v>1132</v>
      </c>
      <c r="B1133" s="2">
        <v>1472162</v>
      </c>
      <c r="C1133" s="3">
        <v>2.1000000000000001E-2</v>
      </c>
      <c r="D1133" s="1">
        <v>0.5</v>
      </c>
      <c r="E1133" s="4">
        <v>0.19</v>
      </c>
      <c r="F1133" s="4">
        <v>0.34</v>
      </c>
      <c r="G1133" s="4">
        <v>0.46999999999999992</v>
      </c>
      <c r="H1133" s="17">
        <f t="shared" si="34"/>
        <v>3.1160337917215151E-6</v>
      </c>
      <c r="L1133">
        <f t="shared" si="35"/>
        <v>1.0500000000000001E-2</v>
      </c>
    </row>
    <row r="1134" spans="1:12" x14ac:dyDescent="0.25">
      <c r="A1134" s="1">
        <v>1133</v>
      </c>
      <c r="B1134" s="2">
        <v>1307928</v>
      </c>
      <c r="C1134" s="3">
        <v>1.7000000000000001E-2</v>
      </c>
      <c r="D1134" s="1">
        <v>0.5</v>
      </c>
      <c r="E1134" s="4">
        <v>0.24</v>
      </c>
      <c r="F1134" s="4">
        <v>0.22</v>
      </c>
      <c r="G1134" s="4">
        <v>0.54</v>
      </c>
      <c r="H1134" s="17">
        <f t="shared" si="34"/>
        <v>2.2410937230367746E-6</v>
      </c>
      <c r="L1134">
        <f t="shared" si="35"/>
        <v>8.5000000000000006E-3</v>
      </c>
    </row>
    <row r="1135" spans="1:12" x14ac:dyDescent="0.25">
      <c r="A1135" s="1">
        <v>1134</v>
      </c>
      <c r="B1135" s="2">
        <v>1011172</v>
      </c>
      <c r="C1135" s="3">
        <v>1.2E-2</v>
      </c>
      <c r="D1135" s="1">
        <v>0.5</v>
      </c>
      <c r="E1135" s="4">
        <v>0.21</v>
      </c>
      <c r="F1135" s="4">
        <v>0.15</v>
      </c>
      <c r="G1135" s="4">
        <v>0.64</v>
      </c>
      <c r="H1135" s="17">
        <f t="shared" si="34"/>
        <v>1.2230199515086859E-6</v>
      </c>
      <c r="L1135">
        <f t="shared" si="35"/>
        <v>6.0000000000000001E-3</v>
      </c>
    </row>
    <row r="1136" spans="1:12" x14ac:dyDescent="0.25">
      <c r="A1136" s="1">
        <v>1135</v>
      </c>
      <c r="B1136" s="2">
        <v>1002243</v>
      </c>
      <c r="C1136" s="3">
        <v>2.5000000000000001E-2</v>
      </c>
      <c r="D1136" s="1">
        <v>0.5</v>
      </c>
      <c r="E1136" s="4">
        <v>0.16</v>
      </c>
      <c r="F1136" s="4">
        <v>0.21</v>
      </c>
      <c r="G1136" s="4">
        <v>0.63</v>
      </c>
      <c r="H1136" s="17">
        <f t="shared" si="34"/>
        <v>2.5254588760614744E-6</v>
      </c>
      <c r="L1136">
        <f t="shared" si="35"/>
        <v>1.2500000000000001E-2</v>
      </c>
    </row>
    <row r="1137" spans="1:12" x14ac:dyDescent="0.25">
      <c r="A1137" s="1">
        <v>1136</v>
      </c>
      <c r="B1137" s="2">
        <v>1186315</v>
      </c>
      <c r="C1137" s="3">
        <v>2.7E-2</v>
      </c>
      <c r="D1137" s="1">
        <v>0.5</v>
      </c>
      <c r="E1137" s="4">
        <v>0.22</v>
      </c>
      <c r="F1137" s="4">
        <v>0.28000000000000003</v>
      </c>
      <c r="G1137" s="4">
        <v>0.5</v>
      </c>
      <c r="H1137" s="17">
        <f t="shared" si="34"/>
        <v>3.2284275632548769E-6</v>
      </c>
      <c r="L1137">
        <f t="shared" si="35"/>
        <v>1.35E-2</v>
      </c>
    </row>
    <row r="1138" spans="1:12" x14ac:dyDescent="0.25">
      <c r="A1138" s="1">
        <v>1137</v>
      </c>
      <c r="B1138" s="2">
        <v>1273791</v>
      </c>
      <c r="C1138" s="3">
        <v>2.5999999999999999E-2</v>
      </c>
      <c r="D1138" s="1">
        <v>0.5</v>
      </c>
      <c r="E1138" s="4">
        <v>0.25</v>
      </c>
      <c r="F1138" s="4">
        <v>0.35</v>
      </c>
      <c r="G1138" s="4">
        <v>0.4</v>
      </c>
      <c r="H1138" s="17">
        <f t="shared" si="34"/>
        <v>3.3380957100075633E-6</v>
      </c>
      <c r="L1138">
        <f t="shared" si="35"/>
        <v>1.2999999999999999E-2</v>
      </c>
    </row>
    <row r="1139" spans="1:12" x14ac:dyDescent="0.25">
      <c r="A1139" s="1">
        <v>1138</v>
      </c>
      <c r="B1139" s="2">
        <v>1408910</v>
      </c>
      <c r="C1139" s="3">
        <v>2.1999999999999999E-2</v>
      </c>
      <c r="D1139" s="1">
        <v>0.5</v>
      </c>
      <c r="E1139" s="4">
        <v>0.22</v>
      </c>
      <c r="F1139" s="4">
        <v>0.18</v>
      </c>
      <c r="G1139" s="4">
        <v>0.60000000000000009</v>
      </c>
      <c r="H1139" s="17">
        <f t="shared" si="34"/>
        <v>3.1241594635863345E-6</v>
      </c>
      <c r="L1139">
        <f t="shared" si="35"/>
        <v>1.0999999999999999E-2</v>
      </c>
    </row>
    <row r="1140" spans="1:12" x14ac:dyDescent="0.25">
      <c r="A1140" s="1">
        <v>1139</v>
      </c>
      <c r="B1140" s="2">
        <v>1404839</v>
      </c>
      <c r="C1140" s="3">
        <v>1.7000000000000001E-2</v>
      </c>
      <c r="D1140" s="1">
        <v>0.5</v>
      </c>
      <c r="E1140" s="4">
        <v>0.18</v>
      </c>
      <c r="F1140" s="4">
        <v>0.21</v>
      </c>
      <c r="G1140" s="4">
        <v>0.6100000000000001</v>
      </c>
      <c r="H1140" s="17">
        <f t="shared" si="34"/>
        <v>2.4071476906811837E-6</v>
      </c>
      <c r="L1140">
        <f t="shared" si="35"/>
        <v>8.5000000000000006E-3</v>
      </c>
    </row>
    <row r="1141" spans="1:12" x14ac:dyDescent="0.25">
      <c r="A1141" s="1">
        <v>1140</v>
      </c>
      <c r="B1141" s="2">
        <v>1472419</v>
      </c>
      <c r="C1141" s="3">
        <v>1.7999999999999999E-2</v>
      </c>
      <c r="D1141" s="1">
        <v>0.5</v>
      </c>
      <c r="E1141" s="4">
        <v>0.18</v>
      </c>
      <c r="F1141" s="4">
        <v>0.23</v>
      </c>
      <c r="G1141" s="4">
        <v>0.59000000000000008</v>
      </c>
      <c r="H1141" s="17">
        <f t="shared" si="34"/>
        <v>2.6713523722677263E-6</v>
      </c>
      <c r="L1141">
        <f t="shared" si="35"/>
        <v>8.9999999999999993E-3</v>
      </c>
    </row>
    <row r="1142" spans="1:12" x14ac:dyDescent="0.25">
      <c r="A1142" s="1">
        <v>1141</v>
      </c>
      <c r="B1142" s="2">
        <v>1770084</v>
      </c>
      <c r="C1142" s="3">
        <v>2.9000000000000001E-2</v>
      </c>
      <c r="D1142" s="1">
        <v>0.5</v>
      </c>
      <c r="E1142" s="4">
        <v>0.15</v>
      </c>
      <c r="F1142" s="4">
        <v>0.21</v>
      </c>
      <c r="G1142" s="4">
        <v>0.64</v>
      </c>
      <c r="H1142" s="17">
        <f t="shared" si="34"/>
        <v>5.1739131578292917E-6</v>
      </c>
      <c r="L1142">
        <f t="shared" si="35"/>
        <v>1.4500000000000001E-2</v>
      </c>
    </row>
    <row r="1143" spans="1:12" x14ac:dyDescent="0.25">
      <c r="A1143" s="1">
        <v>1142</v>
      </c>
      <c r="B1143" s="2">
        <v>1741189</v>
      </c>
      <c r="C1143" s="3">
        <v>1.6E-2</v>
      </c>
      <c r="D1143" s="1">
        <v>0.5</v>
      </c>
      <c r="E1143" s="4">
        <v>0.16</v>
      </c>
      <c r="F1143" s="4">
        <v>0.2</v>
      </c>
      <c r="G1143" s="4">
        <v>0.64</v>
      </c>
      <c r="H1143" s="17">
        <f t="shared" si="34"/>
        <v>2.8079744907855537E-6</v>
      </c>
      <c r="L1143">
        <f t="shared" si="35"/>
        <v>8.0000000000000002E-3</v>
      </c>
    </row>
    <row r="1144" spans="1:12" x14ac:dyDescent="0.25">
      <c r="A1144" s="1">
        <v>1143</v>
      </c>
      <c r="B1144" s="2">
        <v>1884279</v>
      </c>
      <c r="C1144" s="3">
        <v>1.2E-2</v>
      </c>
      <c r="D1144" s="1">
        <v>0.5</v>
      </c>
      <c r="E1144" s="4">
        <v>0.15</v>
      </c>
      <c r="F1144" s="4">
        <v>0.33</v>
      </c>
      <c r="G1144" s="4">
        <v>0.51999999999999991</v>
      </c>
      <c r="H1144" s="17">
        <f t="shared" si="34"/>
        <v>2.2790492727338525E-6</v>
      </c>
      <c r="L1144">
        <f t="shared" si="35"/>
        <v>6.0000000000000001E-3</v>
      </c>
    </row>
    <row r="1145" spans="1:12" x14ac:dyDescent="0.25">
      <c r="A1145" s="1">
        <v>1144</v>
      </c>
      <c r="B1145" s="2">
        <v>1579646</v>
      </c>
      <c r="C1145" s="3">
        <v>1.6E-2</v>
      </c>
      <c r="D1145" s="1">
        <v>0.5</v>
      </c>
      <c r="E1145" s="4">
        <v>0.2</v>
      </c>
      <c r="F1145" s="4">
        <v>0.33</v>
      </c>
      <c r="G1145" s="4">
        <v>0.46999999999999992</v>
      </c>
      <c r="H1145" s="17">
        <f t="shared" si="34"/>
        <v>2.5474578994419539E-6</v>
      </c>
      <c r="L1145">
        <f t="shared" si="35"/>
        <v>8.0000000000000002E-3</v>
      </c>
    </row>
    <row r="1146" spans="1:12" x14ac:dyDescent="0.25">
      <c r="A1146" s="1">
        <v>1145</v>
      </c>
      <c r="B1146" s="2">
        <v>1375425</v>
      </c>
      <c r="C1146" s="3">
        <v>2.5999999999999999E-2</v>
      </c>
      <c r="D1146" s="1">
        <v>0.5</v>
      </c>
      <c r="E1146" s="4">
        <v>0.21</v>
      </c>
      <c r="F1146" s="4">
        <v>0.2</v>
      </c>
      <c r="G1146" s="4">
        <v>0.59000000000000008</v>
      </c>
      <c r="H1146" s="17">
        <f t="shared" si="34"/>
        <v>3.6044376918483113E-6</v>
      </c>
      <c r="L1146">
        <f t="shared" si="35"/>
        <v>1.2999999999999999E-2</v>
      </c>
    </row>
    <row r="1147" spans="1:12" x14ac:dyDescent="0.25">
      <c r="A1147" s="1">
        <v>1146</v>
      </c>
      <c r="B1147" s="2">
        <v>1994676</v>
      </c>
      <c r="C1147" s="3">
        <v>2.5999999999999999E-2</v>
      </c>
      <c r="D1147" s="1">
        <v>0.5</v>
      </c>
      <c r="E1147" s="4">
        <v>0.24</v>
      </c>
      <c r="F1147" s="4">
        <v>0.34</v>
      </c>
      <c r="G1147" s="4">
        <v>0.41999999999999993</v>
      </c>
      <c r="H1147" s="17">
        <f t="shared" si="34"/>
        <v>5.2272463837906272E-6</v>
      </c>
      <c r="L1147">
        <f t="shared" si="35"/>
        <v>1.2999999999999999E-2</v>
      </c>
    </row>
    <row r="1148" spans="1:12" x14ac:dyDescent="0.25">
      <c r="A1148" s="1">
        <v>1147</v>
      </c>
      <c r="B1148" s="2">
        <v>1268515</v>
      </c>
      <c r="C1148" s="3">
        <v>2.5999999999999999E-2</v>
      </c>
      <c r="D1148" s="1">
        <v>0.5</v>
      </c>
      <c r="E1148" s="4">
        <v>0.21</v>
      </c>
      <c r="F1148" s="4">
        <v>0.24</v>
      </c>
      <c r="G1148" s="4">
        <v>0.55000000000000004</v>
      </c>
      <c r="H1148" s="17">
        <f t="shared" si="34"/>
        <v>3.3242694284857126E-6</v>
      </c>
      <c r="L1148">
        <f t="shared" si="35"/>
        <v>1.2999999999999999E-2</v>
      </c>
    </row>
    <row r="1149" spans="1:12" x14ac:dyDescent="0.25">
      <c r="A1149" s="1">
        <v>1148</v>
      </c>
      <c r="B1149" s="2">
        <v>1173029</v>
      </c>
      <c r="C1149" s="3">
        <v>2.5000000000000001E-2</v>
      </c>
      <c r="D1149" s="1">
        <v>0.5</v>
      </c>
      <c r="E1149" s="4">
        <v>0.23</v>
      </c>
      <c r="F1149" s="4">
        <v>0.31</v>
      </c>
      <c r="G1149" s="4">
        <v>0.45999999999999996</v>
      </c>
      <c r="H1149" s="17">
        <f t="shared" si="34"/>
        <v>2.955806625666146E-6</v>
      </c>
      <c r="L1149">
        <f t="shared" si="35"/>
        <v>1.2500000000000001E-2</v>
      </c>
    </row>
    <row r="1150" spans="1:12" x14ac:dyDescent="0.25">
      <c r="A1150" s="1">
        <v>1149</v>
      </c>
      <c r="B1150" s="2">
        <v>1191385</v>
      </c>
      <c r="C1150" s="3">
        <v>1.7999999999999999E-2</v>
      </c>
      <c r="D1150" s="1">
        <v>0.5</v>
      </c>
      <c r="E1150" s="4">
        <v>0.25</v>
      </c>
      <c r="F1150" s="4">
        <v>0.34</v>
      </c>
      <c r="G1150" s="4">
        <v>0.40999999999999992</v>
      </c>
      <c r="H1150" s="17">
        <f t="shared" si="34"/>
        <v>2.1614833454568197E-6</v>
      </c>
      <c r="L1150">
        <f t="shared" si="35"/>
        <v>8.9999999999999993E-3</v>
      </c>
    </row>
    <row r="1151" spans="1:12" x14ac:dyDescent="0.25">
      <c r="A1151" s="1">
        <v>1150</v>
      </c>
      <c r="B1151" s="2">
        <v>1341214</v>
      </c>
      <c r="C1151" s="3">
        <v>2.4E-2</v>
      </c>
      <c r="D1151" s="1">
        <v>0.5</v>
      </c>
      <c r="E1151" s="4">
        <v>0.17</v>
      </c>
      <c r="F1151" s="4">
        <v>0.23</v>
      </c>
      <c r="G1151" s="4">
        <v>0.6</v>
      </c>
      <c r="H1151" s="17">
        <f t="shared" si="34"/>
        <v>3.2444163431004237E-6</v>
      </c>
      <c r="L1151">
        <f t="shared" si="35"/>
        <v>1.2E-2</v>
      </c>
    </row>
    <row r="1152" spans="1:12" x14ac:dyDescent="0.25">
      <c r="A1152" s="1">
        <v>1151</v>
      </c>
      <c r="B1152" s="2">
        <v>1187698</v>
      </c>
      <c r="C1152" s="3">
        <v>1.2999999999999999E-2</v>
      </c>
      <c r="D1152" s="1">
        <v>0.5</v>
      </c>
      <c r="E1152" s="4">
        <v>0.21</v>
      </c>
      <c r="F1152" s="4">
        <v>0.31</v>
      </c>
      <c r="G1152" s="4">
        <v>0.48</v>
      </c>
      <c r="H1152" s="17">
        <f t="shared" si="34"/>
        <v>1.5562402303771038E-6</v>
      </c>
      <c r="L1152">
        <f t="shared" si="35"/>
        <v>6.4999999999999997E-3</v>
      </c>
    </row>
    <row r="1153" spans="1:12" x14ac:dyDescent="0.25">
      <c r="A1153" s="1">
        <v>1152</v>
      </c>
      <c r="B1153" s="2">
        <v>1076917</v>
      </c>
      <c r="C1153" s="3">
        <v>0.02</v>
      </c>
      <c r="D1153" s="1">
        <v>0.5</v>
      </c>
      <c r="E1153" s="4">
        <v>0.2</v>
      </c>
      <c r="F1153" s="4">
        <v>0.17</v>
      </c>
      <c r="G1153" s="4">
        <v>0.62999999999999989</v>
      </c>
      <c r="H1153" s="17">
        <f t="shared" si="34"/>
        <v>2.1708983521413429E-6</v>
      </c>
      <c r="L1153">
        <f t="shared" si="35"/>
        <v>0.01</v>
      </c>
    </row>
    <row r="1154" spans="1:12" x14ac:dyDescent="0.25">
      <c r="A1154" s="1">
        <v>1153</v>
      </c>
      <c r="B1154" s="2">
        <v>1385806</v>
      </c>
      <c r="C1154" s="3">
        <v>2.5999999999999999E-2</v>
      </c>
      <c r="D1154" s="1">
        <v>0.5</v>
      </c>
      <c r="E1154" s="4">
        <v>0.19</v>
      </c>
      <c r="F1154" s="4">
        <v>0.28999999999999998</v>
      </c>
      <c r="G1154" s="4">
        <v>0.52</v>
      </c>
      <c r="H1154" s="17">
        <f t="shared" si="34"/>
        <v>3.6316421324241899E-6</v>
      </c>
      <c r="L1154">
        <f t="shared" si="35"/>
        <v>1.2999999999999999E-2</v>
      </c>
    </row>
    <row r="1155" spans="1:12" x14ac:dyDescent="0.25">
      <c r="A1155" s="1">
        <v>1154</v>
      </c>
      <c r="B1155" s="2">
        <v>1165568</v>
      </c>
      <c r="C1155" s="3">
        <v>0.03</v>
      </c>
      <c r="D1155" s="1">
        <v>0.5</v>
      </c>
      <c r="E1155" s="4">
        <v>0.23</v>
      </c>
      <c r="F1155" s="4">
        <v>0.25</v>
      </c>
      <c r="G1155" s="4">
        <v>0.52</v>
      </c>
      <c r="H1155" s="17">
        <f t="shared" ref="H1155:H1218" si="36">B1155*C1155*D1155/SUM($B$2:$B$1797)</f>
        <v>3.5244076152229195E-6</v>
      </c>
      <c r="L1155">
        <f t="shared" ref="L1155:L1218" si="37">C1155*D1155</f>
        <v>1.4999999999999999E-2</v>
      </c>
    </row>
    <row r="1156" spans="1:12" x14ac:dyDescent="0.25">
      <c r="A1156" s="1">
        <v>1155</v>
      </c>
      <c r="B1156" s="2">
        <v>1403162</v>
      </c>
      <c r="C1156" s="3">
        <v>2.7E-2</v>
      </c>
      <c r="D1156" s="1">
        <v>0.5</v>
      </c>
      <c r="E1156" s="4">
        <v>0.23</v>
      </c>
      <c r="F1156" s="4">
        <v>0.18</v>
      </c>
      <c r="G1156" s="4">
        <v>0.59000000000000008</v>
      </c>
      <c r="H1156" s="17">
        <f t="shared" si="36"/>
        <v>3.8185531469397579E-6</v>
      </c>
      <c r="L1156">
        <f t="shared" si="37"/>
        <v>1.35E-2</v>
      </c>
    </row>
    <row r="1157" spans="1:12" x14ac:dyDescent="0.25">
      <c r="A1157" s="1">
        <v>1156</v>
      </c>
      <c r="B1157" s="2">
        <v>1218598</v>
      </c>
      <c r="C1157" s="3">
        <v>2.5000000000000001E-2</v>
      </c>
      <c r="D1157" s="1">
        <v>0.5</v>
      </c>
      <c r="E1157" s="4">
        <v>0.23</v>
      </c>
      <c r="F1157" s="4">
        <v>0.16</v>
      </c>
      <c r="G1157" s="4">
        <v>0.61</v>
      </c>
      <c r="H1157" s="17">
        <f t="shared" si="36"/>
        <v>3.0706317085285309E-6</v>
      </c>
      <c r="L1157">
        <f t="shared" si="37"/>
        <v>1.2500000000000001E-2</v>
      </c>
    </row>
    <row r="1158" spans="1:12" x14ac:dyDescent="0.25">
      <c r="A1158" s="1">
        <v>1157</v>
      </c>
      <c r="B1158" s="2">
        <v>1279663</v>
      </c>
      <c r="C1158" s="3">
        <v>2.1000000000000001E-2</v>
      </c>
      <c r="D1158" s="1">
        <v>0.5</v>
      </c>
      <c r="E1158" s="4">
        <v>0.22</v>
      </c>
      <c r="F1158" s="4">
        <v>0.15</v>
      </c>
      <c r="G1158" s="4">
        <v>0.63</v>
      </c>
      <c r="H1158" s="17">
        <f t="shared" si="36"/>
        <v>2.7085831246939732E-6</v>
      </c>
      <c r="L1158">
        <f t="shared" si="37"/>
        <v>1.0500000000000001E-2</v>
      </c>
    </row>
    <row r="1159" spans="1:12" x14ac:dyDescent="0.25">
      <c r="A1159" s="1">
        <v>1158</v>
      </c>
      <c r="B1159" s="2">
        <v>1640881</v>
      </c>
      <c r="C1159" s="3">
        <v>0.03</v>
      </c>
      <c r="D1159" s="1">
        <v>0.5</v>
      </c>
      <c r="E1159" s="4">
        <v>0.24</v>
      </c>
      <c r="F1159" s="4">
        <v>0.19</v>
      </c>
      <c r="G1159" s="4">
        <v>0.57000000000000006</v>
      </c>
      <c r="H1159" s="17">
        <f t="shared" si="36"/>
        <v>4.9616440156855708E-6</v>
      </c>
      <c r="L1159">
        <f t="shared" si="37"/>
        <v>1.4999999999999999E-2</v>
      </c>
    </row>
    <row r="1160" spans="1:12" x14ac:dyDescent="0.25">
      <c r="A1160" s="1">
        <v>1159</v>
      </c>
      <c r="B1160" s="2">
        <v>1326622</v>
      </c>
      <c r="C1160" s="3">
        <v>0.01</v>
      </c>
      <c r="D1160" s="1">
        <v>0.5</v>
      </c>
      <c r="E1160" s="4">
        <v>0.23</v>
      </c>
      <c r="F1160" s="4">
        <v>0.34</v>
      </c>
      <c r="G1160" s="4">
        <v>0.42999999999999994</v>
      </c>
      <c r="H1160" s="17">
        <f t="shared" si="36"/>
        <v>1.3371325337581506E-6</v>
      </c>
      <c r="L1160">
        <f t="shared" si="37"/>
        <v>5.0000000000000001E-3</v>
      </c>
    </row>
    <row r="1161" spans="1:12" x14ac:dyDescent="0.25">
      <c r="A1161" s="1">
        <v>1160</v>
      </c>
      <c r="B1161" s="2">
        <v>1235816</v>
      </c>
      <c r="C1161" s="3">
        <v>2.1999999999999999E-2</v>
      </c>
      <c r="D1161" s="1">
        <v>0.5</v>
      </c>
      <c r="E1161" s="4">
        <v>0.21</v>
      </c>
      <c r="F1161" s="4">
        <v>0.22</v>
      </c>
      <c r="G1161" s="4">
        <v>0.57000000000000006</v>
      </c>
      <c r="H1161" s="17">
        <f t="shared" si="36"/>
        <v>2.7403356152283749E-6</v>
      </c>
      <c r="L1161">
        <f t="shared" si="37"/>
        <v>1.0999999999999999E-2</v>
      </c>
    </row>
    <row r="1162" spans="1:12" x14ac:dyDescent="0.25">
      <c r="A1162" s="1">
        <v>1161</v>
      </c>
      <c r="B1162" s="2">
        <v>1053859</v>
      </c>
      <c r="C1162" s="3">
        <v>2.5000000000000001E-2</v>
      </c>
      <c r="D1162" s="1">
        <v>0.5</v>
      </c>
      <c r="E1162" s="4">
        <v>0.22</v>
      </c>
      <c r="F1162" s="4">
        <v>0.22</v>
      </c>
      <c r="G1162" s="4">
        <v>0.56000000000000005</v>
      </c>
      <c r="H1162" s="17">
        <f t="shared" si="36"/>
        <v>2.6555212315449144E-6</v>
      </c>
      <c r="L1162">
        <f t="shared" si="37"/>
        <v>1.2500000000000001E-2</v>
      </c>
    </row>
    <row r="1163" spans="1:12" x14ac:dyDescent="0.25">
      <c r="A1163" s="1">
        <v>1162</v>
      </c>
      <c r="B1163" s="2">
        <v>1617603</v>
      </c>
      <c r="C1163" s="3">
        <v>2.5000000000000001E-2</v>
      </c>
      <c r="D1163" s="1">
        <v>0.5</v>
      </c>
      <c r="E1163" s="4">
        <v>0.21</v>
      </c>
      <c r="F1163" s="4">
        <v>0.18</v>
      </c>
      <c r="G1163" s="4">
        <v>0.6100000000000001</v>
      </c>
      <c r="H1163" s="17">
        <f t="shared" si="36"/>
        <v>4.0760472802440819E-6</v>
      </c>
      <c r="L1163">
        <f t="shared" si="37"/>
        <v>1.2500000000000001E-2</v>
      </c>
    </row>
    <row r="1164" spans="1:12" x14ac:dyDescent="0.25">
      <c r="A1164" s="1">
        <v>1163</v>
      </c>
      <c r="B1164" s="2">
        <v>1816139</v>
      </c>
      <c r="C1164" s="3">
        <v>0.01</v>
      </c>
      <c r="D1164" s="1">
        <v>0.5</v>
      </c>
      <c r="E1164" s="4">
        <v>0.24</v>
      </c>
      <c r="F1164" s="4">
        <v>0.31</v>
      </c>
      <c r="G1164" s="4">
        <v>0.44999999999999996</v>
      </c>
      <c r="H1164" s="17">
        <f t="shared" si="36"/>
        <v>1.8305278690742304E-6</v>
      </c>
      <c r="L1164">
        <f t="shared" si="37"/>
        <v>5.0000000000000001E-3</v>
      </c>
    </row>
    <row r="1165" spans="1:12" x14ac:dyDescent="0.25">
      <c r="A1165" s="1">
        <v>1164</v>
      </c>
      <c r="B1165" s="2">
        <v>1036836</v>
      </c>
      <c r="C1165" s="3">
        <v>1.0999999999999999E-2</v>
      </c>
      <c r="D1165" s="1">
        <v>0.5</v>
      </c>
      <c r="E1165" s="4">
        <v>0.24</v>
      </c>
      <c r="F1165" s="4">
        <v>0.31</v>
      </c>
      <c r="G1165" s="4">
        <v>0.44999999999999996</v>
      </c>
      <c r="H1165" s="17">
        <f t="shared" si="36"/>
        <v>1.1495556854543587E-6</v>
      </c>
      <c r="L1165">
        <f t="shared" si="37"/>
        <v>5.4999999999999997E-3</v>
      </c>
    </row>
    <row r="1166" spans="1:12" x14ac:dyDescent="0.25">
      <c r="A1166" s="1">
        <v>1165</v>
      </c>
      <c r="B1166" s="2">
        <v>1494921</v>
      </c>
      <c r="C1166" s="3">
        <v>1.9E-2</v>
      </c>
      <c r="D1166" s="1">
        <v>0.5</v>
      </c>
      <c r="E1166" s="4">
        <v>0.19</v>
      </c>
      <c r="F1166" s="4">
        <v>0.25</v>
      </c>
      <c r="G1166" s="4">
        <v>0.56000000000000005</v>
      </c>
      <c r="H1166" s="17">
        <f t="shared" si="36"/>
        <v>2.8628533663294515E-6</v>
      </c>
      <c r="L1166">
        <f t="shared" si="37"/>
        <v>9.4999999999999998E-3</v>
      </c>
    </row>
    <row r="1167" spans="1:12" x14ac:dyDescent="0.25">
      <c r="A1167" s="1">
        <v>1166</v>
      </c>
      <c r="B1167" s="2">
        <v>1141968</v>
      </c>
      <c r="C1167" s="3">
        <v>2.1000000000000001E-2</v>
      </c>
      <c r="D1167" s="1">
        <v>0.5</v>
      </c>
      <c r="E1167" s="4">
        <v>0.15</v>
      </c>
      <c r="F1167" s="4">
        <v>0.19</v>
      </c>
      <c r="G1167" s="4">
        <v>0.66</v>
      </c>
      <c r="H1167" s="17">
        <f t="shared" si="36"/>
        <v>2.4171326776975871E-6</v>
      </c>
      <c r="L1167">
        <f t="shared" si="37"/>
        <v>1.0500000000000001E-2</v>
      </c>
    </row>
    <row r="1168" spans="1:12" x14ac:dyDescent="0.25">
      <c r="A1168" s="1">
        <v>1167</v>
      </c>
      <c r="B1168" s="2">
        <v>1001227</v>
      </c>
      <c r="C1168" s="3">
        <v>2.5000000000000001E-2</v>
      </c>
      <c r="D1168" s="1">
        <v>0.5</v>
      </c>
      <c r="E1168" s="4">
        <v>0.18</v>
      </c>
      <c r="F1168" s="4">
        <v>0.23</v>
      </c>
      <c r="G1168" s="4">
        <v>0.59000000000000008</v>
      </c>
      <c r="H1168" s="17">
        <f t="shared" si="36"/>
        <v>2.5228987522012145E-6</v>
      </c>
      <c r="L1168">
        <f t="shared" si="37"/>
        <v>1.2500000000000001E-2</v>
      </c>
    </row>
    <row r="1169" spans="1:12" x14ac:dyDescent="0.25">
      <c r="A1169" s="1">
        <v>1168</v>
      </c>
      <c r="B1169" s="2">
        <v>1483973</v>
      </c>
      <c r="C1169" s="3">
        <v>1.4E-2</v>
      </c>
      <c r="D1169" s="1">
        <v>0.5</v>
      </c>
      <c r="E1169" s="4">
        <v>0.22</v>
      </c>
      <c r="F1169" s="4">
        <v>0.27</v>
      </c>
      <c r="G1169" s="4">
        <v>0.51</v>
      </c>
      <c r="H1169" s="17">
        <f t="shared" si="36"/>
        <v>2.0940222674779686E-6</v>
      </c>
      <c r="L1169">
        <f t="shared" si="37"/>
        <v>7.0000000000000001E-3</v>
      </c>
    </row>
    <row r="1170" spans="1:12" x14ac:dyDescent="0.25">
      <c r="A1170" s="1">
        <v>1169</v>
      </c>
      <c r="B1170" s="2">
        <v>815849</v>
      </c>
      <c r="C1170" s="3">
        <v>2.1000000000000001E-2</v>
      </c>
      <c r="D1170" s="1">
        <v>0.5</v>
      </c>
      <c r="E1170" s="4">
        <v>0.23</v>
      </c>
      <c r="F1170" s="4">
        <v>0.19</v>
      </c>
      <c r="G1170" s="4">
        <v>0.58000000000000007</v>
      </c>
      <c r="H1170" s="17">
        <f t="shared" si="36"/>
        <v>1.7268568628603417E-6</v>
      </c>
      <c r="L1170">
        <f t="shared" si="37"/>
        <v>1.0500000000000001E-2</v>
      </c>
    </row>
    <row r="1171" spans="1:12" x14ac:dyDescent="0.25">
      <c r="A1171" s="1">
        <v>1170</v>
      </c>
      <c r="B1171" s="2">
        <v>551705</v>
      </c>
      <c r="C1171" s="3">
        <v>1.7999999999999999E-2</v>
      </c>
      <c r="D1171" s="1">
        <v>0.5</v>
      </c>
      <c r="E1171" s="4">
        <v>0.16</v>
      </c>
      <c r="F1171" s="4">
        <v>0.28999999999999998</v>
      </c>
      <c r="G1171" s="4">
        <v>0.54999999999999993</v>
      </c>
      <c r="H1171" s="17">
        <f t="shared" si="36"/>
        <v>1.000936866844265E-6</v>
      </c>
      <c r="L1171">
        <f t="shared" si="37"/>
        <v>8.9999999999999993E-3</v>
      </c>
    </row>
    <row r="1172" spans="1:12" x14ac:dyDescent="0.25">
      <c r="A1172" s="1">
        <v>1171</v>
      </c>
      <c r="B1172" s="2">
        <v>884557</v>
      </c>
      <c r="C1172" s="3">
        <v>2.5999999999999999E-2</v>
      </c>
      <c r="D1172" s="1">
        <v>0.5</v>
      </c>
      <c r="E1172" s="4">
        <v>0.25</v>
      </c>
      <c r="F1172" s="4">
        <v>0.32</v>
      </c>
      <c r="G1172" s="4">
        <v>0.42999999999999994</v>
      </c>
      <c r="H1172" s="17">
        <f t="shared" si="36"/>
        <v>2.3180693904707758E-6</v>
      </c>
      <c r="L1172">
        <f t="shared" si="37"/>
        <v>1.2999999999999999E-2</v>
      </c>
    </row>
    <row r="1173" spans="1:12" x14ac:dyDescent="0.25">
      <c r="A1173" s="1">
        <v>1172</v>
      </c>
      <c r="B1173" s="2">
        <v>481748</v>
      </c>
      <c r="C1173" s="3">
        <v>1.7999999999999999E-2</v>
      </c>
      <c r="D1173" s="1">
        <v>0.5</v>
      </c>
      <c r="E1173" s="4">
        <v>0.25</v>
      </c>
      <c r="F1173" s="4">
        <v>0.26</v>
      </c>
      <c r="G1173" s="4">
        <v>0.49</v>
      </c>
      <c r="H1173" s="17">
        <f t="shared" si="36"/>
        <v>8.7401660983404372E-7</v>
      </c>
      <c r="L1173">
        <f t="shared" si="37"/>
        <v>8.9999999999999993E-3</v>
      </c>
    </row>
    <row r="1174" spans="1:12" x14ac:dyDescent="0.25">
      <c r="A1174" s="1">
        <v>1173</v>
      </c>
      <c r="B1174" s="2">
        <v>694157</v>
      </c>
      <c r="C1174" s="3">
        <v>1.2999999999999999E-2</v>
      </c>
      <c r="D1174" s="1">
        <v>0.5</v>
      </c>
      <c r="E1174" s="4">
        <v>0.22</v>
      </c>
      <c r="F1174" s="4">
        <v>0.28999999999999998</v>
      </c>
      <c r="G1174" s="4">
        <v>0.49</v>
      </c>
      <c r="H1174" s="17">
        <f t="shared" si="36"/>
        <v>9.0955364882140008E-7</v>
      </c>
      <c r="L1174">
        <f t="shared" si="37"/>
        <v>6.4999999999999997E-3</v>
      </c>
    </row>
    <row r="1175" spans="1:12" x14ac:dyDescent="0.25">
      <c r="A1175" s="1">
        <v>1174</v>
      </c>
      <c r="B1175" s="2">
        <v>440367</v>
      </c>
      <c r="C1175" s="3">
        <v>1.2999999999999999E-2</v>
      </c>
      <c r="D1175" s="1">
        <v>0.5</v>
      </c>
      <c r="E1175" s="4">
        <v>0.17</v>
      </c>
      <c r="F1175" s="4">
        <v>0.32</v>
      </c>
      <c r="G1175" s="4">
        <v>0.5099999999999999</v>
      </c>
      <c r="H1175" s="17">
        <f t="shared" si="36"/>
        <v>5.7701270990645272E-7</v>
      </c>
      <c r="L1175">
        <f t="shared" si="37"/>
        <v>6.4999999999999997E-3</v>
      </c>
    </row>
    <row r="1176" spans="1:12" x14ac:dyDescent="0.25">
      <c r="A1176" s="1">
        <v>1175</v>
      </c>
      <c r="B1176" s="2">
        <v>485862</v>
      </c>
      <c r="C1176" s="3">
        <v>2.8000000000000001E-2</v>
      </c>
      <c r="D1176" s="1">
        <v>0.5</v>
      </c>
      <c r="E1176" s="4">
        <v>0.22</v>
      </c>
      <c r="F1176" s="4">
        <v>0.33</v>
      </c>
      <c r="G1176" s="4">
        <v>0.44999999999999996</v>
      </c>
      <c r="H1176" s="17">
        <f t="shared" si="36"/>
        <v>1.3711918571582917E-6</v>
      </c>
      <c r="L1176">
        <f t="shared" si="37"/>
        <v>1.4E-2</v>
      </c>
    </row>
    <row r="1177" spans="1:12" x14ac:dyDescent="0.25">
      <c r="A1177" s="1">
        <v>1176</v>
      </c>
      <c r="B1177" s="2">
        <v>924105</v>
      </c>
      <c r="C1177" s="3">
        <v>2.9000000000000001E-2</v>
      </c>
      <c r="D1177" s="1">
        <v>0.5</v>
      </c>
      <c r="E1177" s="4">
        <v>0.18</v>
      </c>
      <c r="F1177" s="4">
        <v>0.28999999999999998</v>
      </c>
      <c r="G1177" s="4">
        <v>0.53</v>
      </c>
      <c r="H1177" s="17">
        <f t="shared" si="36"/>
        <v>2.7011367927826236E-6</v>
      </c>
      <c r="L1177">
        <f t="shared" si="37"/>
        <v>1.4500000000000001E-2</v>
      </c>
    </row>
    <row r="1178" spans="1:12" x14ac:dyDescent="0.25">
      <c r="A1178" s="1">
        <v>1177</v>
      </c>
      <c r="B1178" s="2">
        <v>425655</v>
      </c>
      <c r="C1178" s="3">
        <v>1.7000000000000001E-2</v>
      </c>
      <c r="D1178" s="1">
        <v>0.5</v>
      </c>
      <c r="E1178" s="4">
        <v>0.18</v>
      </c>
      <c r="F1178" s="4">
        <v>0.24</v>
      </c>
      <c r="G1178" s="4">
        <v>0.58000000000000007</v>
      </c>
      <c r="H1178" s="17">
        <f t="shared" si="36"/>
        <v>7.293465302977061E-7</v>
      </c>
      <c r="L1178">
        <f t="shared" si="37"/>
        <v>8.5000000000000006E-3</v>
      </c>
    </row>
    <row r="1179" spans="1:12" x14ac:dyDescent="0.25">
      <c r="A1179" s="1">
        <v>1178</v>
      </c>
      <c r="B1179" s="2">
        <v>421424</v>
      </c>
      <c r="C1179" s="3">
        <v>2.4E-2</v>
      </c>
      <c r="D1179" s="1">
        <v>0.5</v>
      </c>
      <c r="E1179" s="4">
        <v>0.16</v>
      </c>
      <c r="F1179" s="4">
        <v>0.32</v>
      </c>
      <c r="G1179" s="4">
        <v>0.51999999999999991</v>
      </c>
      <c r="H1179" s="17">
        <f t="shared" si="36"/>
        <v>1.0194308387585819E-6</v>
      </c>
      <c r="L1179">
        <f t="shared" si="37"/>
        <v>1.2E-2</v>
      </c>
    </row>
    <row r="1180" spans="1:12" x14ac:dyDescent="0.25">
      <c r="A1180" s="1">
        <v>1179</v>
      </c>
      <c r="B1180" s="2">
        <v>988693</v>
      </c>
      <c r="C1180" s="3">
        <v>1.0999999999999999E-2</v>
      </c>
      <c r="D1180" s="1">
        <v>0.5</v>
      </c>
      <c r="E1180" s="4">
        <v>0.19</v>
      </c>
      <c r="F1180" s="4">
        <v>0.31</v>
      </c>
      <c r="G1180" s="4">
        <v>0.49999999999999994</v>
      </c>
      <c r="H1180" s="17">
        <f t="shared" si="36"/>
        <v>1.0961788164366654E-6</v>
      </c>
      <c r="L1180">
        <f t="shared" si="37"/>
        <v>5.4999999999999997E-3</v>
      </c>
    </row>
    <row r="1181" spans="1:12" x14ac:dyDescent="0.25">
      <c r="A1181" s="1">
        <v>1180</v>
      </c>
      <c r="B1181" s="2">
        <v>975313</v>
      </c>
      <c r="C1181" s="3">
        <v>1.7999999999999999E-2</v>
      </c>
      <c r="D1181" s="1">
        <v>0.5</v>
      </c>
      <c r="E1181" s="4">
        <v>0.24</v>
      </c>
      <c r="F1181" s="4">
        <v>0.3</v>
      </c>
      <c r="G1181" s="4">
        <v>0.45999999999999996</v>
      </c>
      <c r="H1181" s="17">
        <f t="shared" si="36"/>
        <v>1.7694723419444825E-6</v>
      </c>
      <c r="L1181">
        <f t="shared" si="37"/>
        <v>8.9999999999999993E-3</v>
      </c>
    </row>
    <row r="1182" spans="1:12" x14ac:dyDescent="0.25">
      <c r="A1182" s="1">
        <v>1181</v>
      </c>
      <c r="B1182" s="2">
        <v>423246</v>
      </c>
      <c r="C1182" s="3">
        <v>2.8000000000000001E-2</v>
      </c>
      <c r="D1182" s="1">
        <v>0.5</v>
      </c>
      <c r="E1182" s="4">
        <v>0.15</v>
      </c>
      <c r="F1182" s="4">
        <v>0.28999999999999998</v>
      </c>
      <c r="G1182" s="4">
        <v>0.55999999999999994</v>
      </c>
      <c r="H1182" s="17">
        <f t="shared" si="36"/>
        <v>1.1944779974042389E-6</v>
      </c>
      <c r="L1182">
        <f t="shared" si="37"/>
        <v>1.4E-2</v>
      </c>
    </row>
    <row r="1183" spans="1:12" x14ac:dyDescent="0.25">
      <c r="A1183" s="1">
        <v>1182</v>
      </c>
      <c r="B1183" s="2">
        <v>674622</v>
      </c>
      <c r="C1183" s="3">
        <v>0.01</v>
      </c>
      <c r="D1183" s="1">
        <v>0.5</v>
      </c>
      <c r="E1183" s="4">
        <v>0.19</v>
      </c>
      <c r="F1183" s="4">
        <v>0.3</v>
      </c>
      <c r="G1183" s="4">
        <v>0.51</v>
      </c>
      <c r="H1183" s="17">
        <f t="shared" si="36"/>
        <v>6.7996688143946884E-7</v>
      </c>
      <c r="L1183">
        <f t="shared" si="37"/>
        <v>5.0000000000000001E-3</v>
      </c>
    </row>
    <row r="1184" spans="1:12" x14ac:dyDescent="0.25">
      <c r="A1184" s="1">
        <v>1183</v>
      </c>
      <c r="B1184" s="2">
        <v>740685</v>
      </c>
      <c r="C1184" s="3">
        <v>2.4E-2</v>
      </c>
      <c r="D1184" s="1">
        <v>0.5</v>
      </c>
      <c r="E1184" s="4">
        <v>0.16</v>
      </c>
      <c r="F1184" s="4">
        <v>0.22</v>
      </c>
      <c r="G1184" s="4">
        <v>0.62</v>
      </c>
      <c r="H1184" s="17">
        <f t="shared" si="36"/>
        <v>1.7917278816723781E-6</v>
      </c>
      <c r="L1184">
        <f t="shared" si="37"/>
        <v>1.2E-2</v>
      </c>
    </row>
    <row r="1185" spans="1:12" x14ac:dyDescent="0.25">
      <c r="A1185" s="1">
        <v>1184</v>
      </c>
      <c r="B1185" s="2">
        <v>436510</v>
      </c>
      <c r="C1185" s="3">
        <v>2.8000000000000001E-2</v>
      </c>
      <c r="D1185" s="1">
        <v>0.5</v>
      </c>
      <c r="E1185" s="4">
        <v>0.16</v>
      </c>
      <c r="F1185" s="4">
        <v>0.34</v>
      </c>
      <c r="G1185" s="4">
        <v>0.49999999999999989</v>
      </c>
      <c r="H1185" s="17">
        <f t="shared" si="36"/>
        <v>1.231911443101469E-6</v>
      </c>
      <c r="L1185">
        <f t="shared" si="37"/>
        <v>1.4E-2</v>
      </c>
    </row>
    <row r="1186" spans="1:12" x14ac:dyDescent="0.25">
      <c r="A1186" s="1">
        <v>1185</v>
      </c>
      <c r="B1186" s="2">
        <v>981562</v>
      </c>
      <c r="C1186" s="3">
        <v>2.1000000000000001E-2</v>
      </c>
      <c r="D1186" s="1">
        <v>0.5</v>
      </c>
      <c r="E1186" s="4">
        <v>0.16</v>
      </c>
      <c r="F1186" s="4">
        <v>0.2</v>
      </c>
      <c r="G1186" s="4">
        <v>0.64</v>
      </c>
      <c r="H1186" s="17">
        <f t="shared" si="36"/>
        <v>2.0776112687800348E-6</v>
      </c>
      <c r="L1186">
        <f t="shared" si="37"/>
        <v>1.0500000000000001E-2</v>
      </c>
    </row>
    <row r="1187" spans="1:12" x14ac:dyDescent="0.25">
      <c r="A1187" s="1">
        <v>1186</v>
      </c>
      <c r="B1187" s="2">
        <v>601209</v>
      </c>
      <c r="C1187" s="3">
        <v>1.4E-2</v>
      </c>
      <c r="D1187" s="1">
        <v>0.5</v>
      </c>
      <c r="E1187" s="4">
        <v>0.17</v>
      </c>
      <c r="F1187" s="4">
        <v>0.19</v>
      </c>
      <c r="G1187" s="4">
        <v>0.64</v>
      </c>
      <c r="H1187" s="17">
        <f t="shared" si="36"/>
        <v>8.4836114498590059E-7</v>
      </c>
      <c r="L1187">
        <f t="shared" si="37"/>
        <v>7.0000000000000001E-3</v>
      </c>
    </row>
    <row r="1188" spans="1:12" x14ac:dyDescent="0.25">
      <c r="A1188" s="1">
        <v>1187</v>
      </c>
      <c r="B1188" s="2">
        <v>669581</v>
      </c>
      <c r="C1188" s="3">
        <v>2.1999999999999999E-2</v>
      </c>
      <c r="D1188" s="1">
        <v>0.5</v>
      </c>
      <c r="E1188" s="4">
        <v>0.23</v>
      </c>
      <c r="F1188" s="4">
        <v>0.17</v>
      </c>
      <c r="G1188" s="4">
        <v>0.6</v>
      </c>
      <c r="H1188" s="17">
        <f t="shared" si="36"/>
        <v>1.4847490739561801E-6</v>
      </c>
      <c r="L1188">
        <f t="shared" si="37"/>
        <v>1.0999999999999999E-2</v>
      </c>
    </row>
    <row r="1189" spans="1:12" x14ac:dyDescent="0.25">
      <c r="A1189" s="1">
        <v>1188</v>
      </c>
      <c r="B1189" s="2">
        <v>497463</v>
      </c>
      <c r="C1189" s="3">
        <v>1.0999999999999999E-2</v>
      </c>
      <c r="D1189" s="1">
        <v>0.5</v>
      </c>
      <c r="E1189" s="4">
        <v>0.15</v>
      </c>
      <c r="F1189" s="4">
        <v>0.28999999999999998</v>
      </c>
      <c r="G1189" s="4">
        <v>0.55999999999999994</v>
      </c>
      <c r="H1189" s="17">
        <f t="shared" si="36"/>
        <v>5.5154471869532081E-7</v>
      </c>
      <c r="L1189">
        <f t="shared" si="37"/>
        <v>5.4999999999999997E-3</v>
      </c>
    </row>
    <row r="1190" spans="1:12" x14ac:dyDescent="0.25">
      <c r="A1190" s="1">
        <v>1189</v>
      </c>
      <c r="B1190" s="2">
        <v>558480</v>
      </c>
      <c r="C1190" s="3">
        <v>2.7E-2</v>
      </c>
      <c r="D1190" s="1">
        <v>0.5</v>
      </c>
      <c r="E1190" s="4">
        <v>0.24</v>
      </c>
      <c r="F1190" s="4">
        <v>0.17</v>
      </c>
      <c r="G1190" s="4">
        <v>0.59</v>
      </c>
      <c r="H1190" s="17">
        <f t="shared" si="36"/>
        <v>1.5198427277127773E-6</v>
      </c>
      <c r="L1190">
        <f t="shared" si="37"/>
        <v>1.35E-2</v>
      </c>
    </row>
    <row r="1191" spans="1:12" x14ac:dyDescent="0.25">
      <c r="A1191" s="1">
        <v>1190</v>
      </c>
      <c r="B1191" s="2">
        <v>373017</v>
      </c>
      <c r="C1191" s="3">
        <v>2.8000000000000001E-2</v>
      </c>
      <c r="D1191" s="1">
        <v>0.5</v>
      </c>
      <c r="E1191" s="4">
        <v>0.19</v>
      </c>
      <c r="F1191" s="4">
        <v>0.15</v>
      </c>
      <c r="G1191" s="4">
        <v>0.65999999999999992</v>
      </c>
      <c r="H1191" s="17">
        <f t="shared" si="36"/>
        <v>1.0527225281697569E-6</v>
      </c>
      <c r="L1191">
        <f t="shared" si="37"/>
        <v>1.4E-2</v>
      </c>
    </row>
    <row r="1192" spans="1:12" x14ac:dyDescent="0.25">
      <c r="A1192" s="1">
        <v>1191</v>
      </c>
      <c r="B1192" s="2">
        <v>921593</v>
      </c>
      <c r="C1192" s="3">
        <v>2.9000000000000001E-2</v>
      </c>
      <c r="D1192" s="1">
        <v>0.5</v>
      </c>
      <c r="E1192" s="4">
        <v>0.19</v>
      </c>
      <c r="F1192" s="4">
        <v>0.19</v>
      </c>
      <c r="G1192" s="4">
        <v>0.62000000000000011</v>
      </c>
      <c r="H1192" s="17">
        <f t="shared" si="36"/>
        <v>2.6937942769175759E-6</v>
      </c>
      <c r="L1192">
        <f t="shared" si="37"/>
        <v>1.4500000000000001E-2</v>
      </c>
    </row>
    <row r="1193" spans="1:12" x14ac:dyDescent="0.25">
      <c r="A1193" s="1">
        <v>1192</v>
      </c>
      <c r="B1193" s="2">
        <v>335388</v>
      </c>
      <c r="C1193" s="3">
        <v>1.7000000000000001E-2</v>
      </c>
      <c r="D1193" s="1">
        <v>0.5</v>
      </c>
      <c r="E1193" s="4">
        <v>0.19</v>
      </c>
      <c r="F1193" s="4">
        <v>0.15</v>
      </c>
      <c r="G1193" s="4">
        <v>0.65999999999999992</v>
      </c>
      <c r="H1193" s="17">
        <f t="shared" si="36"/>
        <v>5.7467684886466051E-7</v>
      </c>
      <c r="L1193">
        <f t="shared" si="37"/>
        <v>8.5000000000000006E-3</v>
      </c>
    </row>
    <row r="1194" spans="1:12" x14ac:dyDescent="0.25">
      <c r="A1194" s="1">
        <v>1193</v>
      </c>
      <c r="B1194" s="2">
        <v>640769</v>
      </c>
      <c r="C1194" s="3">
        <v>2.7E-2</v>
      </c>
      <c r="D1194" s="1">
        <v>0.5</v>
      </c>
      <c r="E1194" s="4">
        <v>0.17</v>
      </c>
      <c r="F1194" s="4">
        <v>0.24</v>
      </c>
      <c r="G1194" s="4">
        <v>0.59</v>
      </c>
      <c r="H1194" s="17">
        <f t="shared" si="36"/>
        <v>1.7437833132677779E-6</v>
      </c>
      <c r="L1194">
        <f t="shared" si="37"/>
        <v>1.35E-2</v>
      </c>
    </row>
    <row r="1195" spans="1:12" x14ac:dyDescent="0.25">
      <c r="A1195" s="1">
        <v>1194</v>
      </c>
      <c r="B1195" s="2">
        <v>553480</v>
      </c>
      <c r="C1195" s="3">
        <v>1.9E-2</v>
      </c>
      <c r="D1195" s="1">
        <v>0.5</v>
      </c>
      <c r="E1195" s="4">
        <v>0.16</v>
      </c>
      <c r="F1195" s="4">
        <v>0.35</v>
      </c>
      <c r="G1195" s="4">
        <v>0.49</v>
      </c>
      <c r="H1195" s="17">
        <f t="shared" si="36"/>
        <v>1.0599436901321372E-6</v>
      </c>
      <c r="L1195">
        <f t="shared" si="37"/>
        <v>9.4999999999999998E-3</v>
      </c>
    </row>
    <row r="1196" spans="1:12" x14ac:dyDescent="0.25">
      <c r="A1196" s="1">
        <v>1195</v>
      </c>
      <c r="B1196" s="2">
        <v>592718</v>
      </c>
      <c r="C1196" s="3">
        <v>1.4999999999999999E-2</v>
      </c>
      <c r="D1196" s="1">
        <v>0.5</v>
      </c>
      <c r="E1196" s="4">
        <v>0.21</v>
      </c>
      <c r="F1196" s="4">
        <v>0.28000000000000003</v>
      </c>
      <c r="G1196" s="4">
        <v>0.51</v>
      </c>
      <c r="H1196" s="17">
        <f t="shared" si="36"/>
        <v>8.9612096114499478E-7</v>
      </c>
      <c r="L1196">
        <f t="shared" si="37"/>
        <v>7.4999999999999997E-3</v>
      </c>
    </row>
    <row r="1197" spans="1:12" x14ac:dyDescent="0.25">
      <c r="A1197" s="1">
        <v>1196</v>
      </c>
      <c r="B1197" s="2">
        <v>980519</v>
      </c>
      <c r="C1197" s="3">
        <v>2.5999999999999999E-2</v>
      </c>
      <c r="D1197" s="1">
        <v>0.5</v>
      </c>
      <c r="E1197" s="4">
        <v>0.16</v>
      </c>
      <c r="F1197" s="4">
        <v>0.24</v>
      </c>
      <c r="G1197" s="4">
        <v>0.6</v>
      </c>
      <c r="H1197" s="17">
        <f t="shared" si="36"/>
        <v>2.5695473334957665E-6</v>
      </c>
      <c r="L1197">
        <f t="shared" si="37"/>
        <v>1.2999999999999999E-2</v>
      </c>
    </row>
    <row r="1198" spans="1:12" x14ac:dyDescent="0.25">
      <c r="A1198" s="1">
        <v>1197</v>
      </c>
      <c r="B1198" s="2">
        <v>497258</v>
      </c>
      <c r="C1198" s="3">
        <v>0.03</v>
      </c>
      <c r="D1198" s="1">
        <v>0.5</v>
      </c>
      <c r="E1198" s="4">
        <v>0.21</v>
      </c>
      <c r="F1198" s="4">
        <v>0.31</v>
      </c>
      <c r="G1198" s="4">
        <v>0.48</v>
      </c>
      <c r="H1198" s="17">
        <f t="shared" si="36"/>
        <v>1.5035929966595844E-6</v>
      </c>
      <c r="L1198">
        <f t="shared" si="37"/>
        <v>1.4999999999999999E-2</v>
      </c>
    </row>
    <row r="1199" spans="1:12" x14ac:dyDescent="0.25">
      <c r="A1199" s="1">
        <v>1198</v>
      </c>
      <c r="B1199" s="2">
        <v>959381</v>
      </c>
      <c r="C1199" s="3">
        <v>1.7000000000000001E-2</v>
      </c>
      <c r="D1199" s="1">
        <v>0.5</v>
      </c>
      <c r="E1199" s="4">
        <v>0.16</v>
      </c>
      <c r="F1199" s="4">
        <v>0.24</v>
      </c>
      <c r="G1199" s="4">
        <v>0.6</v>
      </c>
      <c r="H1199" s="17">
        <f t="shared" si="36"/>
        <v>1.6438693392149595E-6</v>
      </c>
      <c r="L1199">
        <f t="shared" si="37"/>
        <v>8.5000000000000006E-3</v>
      </c>
    </row>
    <row r="1200" spans="1:12" x14ac:dyDescent="0.25">
      <c r="A1200" s="1">
        <v>1199</v>
      </c>
      <c r="B1200" s="2">
        <v>922199</v>
      </c>
      <c r="C1200" s="3">
        <v>2.5000000000000001E-2</v>
      </c>
      <c r="D1200" s="1">
        <v>0.5</v>
      </c>
      <c r="E1200" s="4">
        <v>0.18</v>
      </c>
      <c r="F1200" s="4">
        <v>0.19</v>
      </c>
      <c r="G1200" s="4">
        <v>0.63000000000000012</v>
      </c>
      <c r="H1200" s="17">
        <f t="shared" si="36"/>
        <v>2.3237634486297394E-6</v>
      </c>
      <c r="L1200">
        <f t="shared" si="37"/>
        <v>1.2500000000000001E-2</v>
      </c>
    </row>
    <row r="1201" spans="1:12" x14ac:dyDescent="0.25">
      <c r="A1201" s="1">
        <v>1200</v>
      </c>
      <c r="B1201" s="2">
        <v>566664</v>
      </c>
      <c r="C1201" s="3">
        <v>1.7999999999999999E-2</v>
      </c>
      <c r="D1201" s="1">
        <v>0.5</v>
      </c>
      <c r="E1201" s="4">
        <v>0.23</v>
      </c>
      <c r="F1201" s="4">
        <v>0.24</v>
      </c>
      <c r="G1201" s="4">
        <v>0.53</v>
      </c>
      <c r="H1201" s="17">
        <f t="shared" si="36"/>
        <v>1.0280763971931351E-6</v>
      </c>
      <c r="L1201">
        <f t="shared" si="37"/>
        <v>8.9999999999999993E-3</v>
      </c>
    </row>
    <row r="1202" spans="1:12" x14ac:dyDescent="0.25">
      <c r="A1202" s="1">
        <v>1201</v>
      </c>
      <c r="B1202" s="2">
        <v>733877</v>
      </c>
      <c r="C1202" s="3">
        <v>1.0999999999999999E-2</v>
      </c>
      <c r="D1202" s="1">
        <v>0.5</v>
      </c>
      <c r="E1202" s="4">
        <v>0.17</v>
      </c>
      <c r="F1202" s="4">
        <v>0.28999999999999998</v>
      </c>
      <c r="G1202" s="4">
        <v>0.53999999999999992</v>
      </c>
      <c r="H1202" s="17">
        <f t="shared" si="36"/>
        <v>8.1366048032108112E-7</v>
      </c>
      <c r="L1202">
        <f t="shared" si="37"/>
        <v>5.4999999999999997E-3</v>
      </c>
    </row>
    <row r="1203" spans="1:12" x14ac:dyDescent="0.25">
      <c r="A1203" s="1">
        <v>1202</v>
      </c>
      <c r="B1203" s="2">
        <v>886345</v>
      </c>
      <c r="C1203" s="3">
        <v>1.6E-2</v>
      </c>
      <c r="D1203" s="1">
        <v>0.5</v>
      </c>
      <c r="E1203" s="4">
        <v>0.16</v>
      </c>
      <c r="F1203" s="4">
        <v>0.19</v>
      </c>
      <c r="G1203" s="4">
        <v>0.65</v>
      </c>
      <c r="H1203" s="17">
        <f t="shared" si="36"/>
        <v>1.4293877057776734E-6</v>
      </c>
      <c r="L1203">
        <f t="shared" si="37"/>
        <v>8.0000000000000002E-3</v>
      </c>
    </row>
    <row r="1204" spans="1:12" x14ac:dyDescent="0.25">
      <c r="A1204" s="1">
        <v>1203</v>
      </c>
      <c r="B1204" s="2">
        <v>272530</v>
      </c>
      <c r="C1204" s="3">
        <v>1.4999999999999999E-2</v>
      </c>
      <c r="D1204" s="1">
        <v>0.5</v>
      </c>
      <c r="E1204" s="4">
        <v>0.21</v>
      </c>
      <c r="F1204" s="4">
        <v>0.35</v>
      </c>
      <c r="G1204" s="4">
        <v>0.44000000000000006</v>
      </c>
      <c r="H1204" s="17">
        <f t="shared" si="36"/>
        <v>4.1203379269879674E-7</v>
      </c>
      <c r="L1204">
        <f t="shared" si="37"/>
        <v>7.4999999999999997E-3</v>
      </c>
    </row>
    <row r="1205" spans="1:12" x14ac:dyDescent="0.25">
      <c r="A1205" s="1">
        <v>1204</v>
      </c>
      <c r="B1205" s="2">
        <v>634071</v>
      </c>
      <c r="C1205" s="3">
        <v>1.4E-2</v>
      </c>
      <c r="D1205" s="1">
        <v>0.5</v>
      </c>
      <c r="E1205" s="4">
        <v>0.17</v>
      </c>
      <c r="F1205" s="4">
        <v>0.16</v>
      </c>
      <c r="G1205" s="4">
        <v>0.66999999999999993</v>
      </c>
      <c r="H1205" s="17">
        <f t="shared" si="36"/>
        <v>8.9473244672377668E-7</v>
      </c>
      <c r="L1205">
        <f t="shared" si="37"/>
        <v>7.0000000000000001E-3</v>
      </c>
    </row>
    <row r="1206" spans="1:12" x14ac:dyDescent="0.25">
      <c r="A1206" s="1">
        <v>1205</v>
      </c>
      <c r="B1206" s="2">
        <v>510717</v>
      </c>
      <c r="C1206" s="3">
        <v>2.5000000000000001E-2</v>
      </c>
      <c r="D1206" s="1">
        <v>0.5</v>
      </c>
      <c r="E1206" s="4">
        <v>0.22</v>
      </c>
      <c r="F1206" s="4">
        <v>0.16</v>
      </c>
      <c r="G1206" s="4">
        <v>0.62</v>
      </c>
      <c r="H1206" s="17">
        <f t="shared" si="36"/>
        <v>1.2869082456105836E-6</v>
      </c>
      <c r="L1206">
        <f t="shared" si="37"/>
        <v>1.2500000000000001E-2</v>
      </c>
    </row>
    <row r="1207" spans="1:12" x14ac:dyDescent="0.25">
      <c r="A1207" s="1">
        <v>1206</v>
      </c>
      <c r="B1207" s="2">
        <v>824480</v>
      </c>
      <c r="C1207" s="3">
        <v>2.3E-2</v>
      </c>
      <c r="D1207" s="1">
        <v>0.5</v>
      </c>
      <c r="E1207" s="4">
        <v>0.25</v>
      </c>
      <c r="F1207" s="4">
        <v>0.34</v>
      </c>
      <c r="G1207" s="4">
        <v>0.40999999999999992</v>
      </c>
      <c r="H1207" s="17">
        <f t="shared" si="36"/>
        <v>1.9113279987032601E-6</v>
      </c>
      <c r="L1207">
        <f t="shared" si="37"/>
        <v>1.15E-2</v>
      </c>
    </row>
    <row r="1208" spans="1:12" x14ac:dyDescent="0.25">
      <c r="A1208" s="1">
        <v>1207</v>
      </c>
      <c r="B1208" s="2">
        <v>444608</v>
      </c>
      <c r="C1208" s="3">
        <v>1.7000000000000001E-2</v>
      </c>
      <c r="D1208" s="1">
        <v>0.5</v>
      </c>
      <c r="E1208" s="4">
        <v>0.23</v>
      </c>
      <c r="F1208" s="4">
        <v>0.22</v>
      </c>
      <c r="G1208" s="4">
        <v>0.55000000000000004</v>
      </c>
      <c r="H1208" s="17">
        <f t="shared" si="36"/>
        <v>7.6182190304965879E-7</v>
      </c>
      <c r="L1208">
        <f t="shared" si="37"/>
        <v>8.5000000000000006E-3</v>
      </c>
    </row>
    <row r="1209" spans="1:12" x14ac:dyDescent="0.25">
      <c r="A1209" s="1">
        <v>1208</v>
      </c>
      <c r="B1209" s="2">
        <v>851372</v>
      </c>
      <c r="C1209" s="3">
        <v>1.4E-2</v>
      </c>
      <c r="D1209" s="1">
        <v>0.5</v>
      </c>
      <c r="E1209" s="4">
        <v>0.22</v>
      </c>
      <c r="F1209" s="4">
        <v>0.35</v>
      </c>
      <c r="G1209" s="4">
        <v>0.43000000000000005</v>
      </c>
      <c r="H1209" s="17">
        <f t="shared" si="36"/>
        <v>1.2013641258346701E-6</v>
      </c>
      <c r="L1209">
        <f t="shared" si="37"/>
        <v>7.0000000000000001E-3</v>
      </c>
    </row>
    <row r="1210" spans="1:12" x14ac:dyDescent="0.25">
      <c r="A1210" s="1">
        <v>1209</v>
      </c>
      <c r="B1210" s="2">
        <v>770331</v>
      </c>
      <c r="C1210" s="3">
        <v>1.4999999999999999E-2</v>
      </c>
      <c r="D1210" s="1">
        <v>0.5</v>
      </c>
      <c r="E1210" s="4">
        <v>0.16</v>
      </c>
      <c r="F1210" s="4">
        <v>0.33</v>
      </c>
      <c r="G1210" s="4">
        <v>0.5099999999999999</v>
      </c>
      <c r="H1210" s="17">
        <f t="shared" si="36"/>
        <v>1.1646512441325975E-6</v>
      </c>
      <c r="L1210">
        <f t="shared" si="37"/>
        <v>7.4999999999999997E-3</v>
      </c>
    </row>
    <row r="1211" spans="1:12" x14ac:dyDescent="0.25">
      <c r="A1211" s="1">
        <v>1210</v>
      </c>
      <c r="B1211" s="2">
        <v>350166</v>
      </c>
      <c r="C1211" s="3">
        <v>2.5999999999999999E-2</v>
      </c>
      <c r="D1211" s="1">
        <v>0.5</v>
      </c>
      <c r="E1211" s="4">
        <v>0.23</v>
      </c>
      <c r="F1211" s="4">
        <v>0.32</v>
      </c>
      <c r="G1211" s="4">
        <v>0.44999999999999996</v>
      </c>
      <c r="H1211" s="17">
        <f t="shared" si="36"/>
        <v>9.1764474893487886E-7</v>
      </c>
      <c r="L1211">
        <f t="shared" si="37"/>
        <v>1.2999999999999999E-2</v>
      </c>
    </row>
    <row r="1212" spans="1:12" x14ac:dyDescent="0.25">
      <c r="A1212" s="1">
        <v>1211</v>
      </c>
      <c r="B1212" s="2">
        <v>649409</v>
      </c>
      <c r="C1212" s="3">
        <v>2.1000000000000001E-2</v>
      </c>
      <c r="D1212" s="1">
        <v>0.5</v>
      </c>
      <c r="E1212" s="4">
        <v>0.16</v>
      </c>
      <c r="F1212" s="4">
        <v>0.24</v>
      </c>
      <c r="G1212" s="4">
        <v>0.6</v>
      </c>
      <c r="H1212" s="17">
        <f t="shared" si="36"/>
        <v>1.3745636612329874E-6</v>
      </c>
      <c r="L1212">
        <f t="shared" si="37"/>
        <v>1.0500000000000001E-2</v>
      </c>
    </row>
    <row r="1213" spans="1:12" x14ac:dyDescent="0.25">
      <c r="A1213" s="1">
        <v>1212</v>
      </c>
      <c r="B1213" s="2">
        <v>539698</v>
      </c>
      <c r="C1213" s="3">
        <v>0.01</v>
      </c>
      <c r="D1213" s="1">
        <v>0.5</v>
      </c>
      <c r="E1213" s="4">
        <v>0.17</v>
      </c>
      <c r="F1213" s="4">
        <v>0.23</v>
      </c>
      <c r="G1213" s="4">
        <v>0.6</v>
      </c>
      <c r="H1213" s="17">
        <f t="shared" si="36"/>
        <v>5.43973908320687E-7</v>
      </c>
      <c r="L1213">
        <f t="shared" si="37"/>
        <v>5.0000000000000001E-3</v>
      </c>
    </row>
    <row r="1214" spans="1:12" x14ac:dyDescent="0.25">
      <c r="A1214" s="1">
        <v>1213</v>
      </c>
      <c r="B1214" s="2">
        <v>615992</v>
      </c>
      <c r="C1214" s="3">
        <v>2.9000000000000001E-2</v>
      </c>
      <c r="D1214" s="1">
        <v>0.5</v>
      </c>
      <c r="E1214" s="4">
        <v>0.24</v>
      </c>
      <c r="F1214" s="4">
        <v>0.16</v>
      </c>
      <c r="G1214" s="4">
        <v>0.6</v>
      </c>
      <c r="H1214" s="17">
        <f t="shared" si="36"/>
        <v>1.80052986972233E-6</v>
      </c>
      <c r="L1214">
        <f t="shared" si="37"/>
        <v>1.4500000000000001E-2</v>
      </c>
    </row>
    <row r="1215" spans="1:12" x14ac:dyDescent="0.25">
      <c r="A1215" s="1">
        <v>1214</v>
      </c>
      <c r="B1215" s="2">
        <v>955482</v>
      </c>
      <c r="C1215" s="3">
        <v>2.1000000000000001E-2</v>
      </c>
      <c r="D1215" s="1">
        <v>0.5</v>
      </c>
      <c r="E1215" s="4">
        <v>0.25</v>
      </c>
      <c r="F1215" s="4">
        <v>0.21</v>
      </c>
      <c r="G1215" s="4">
        <v>0.54</v>
      </c>
      <c r="H1215" s="17">
        <f t="shared" si="36"/>
        <v>2.0224093539852656E-6</v>
      </c>
      <c r="L1215">
        <f t="shared" si="37"/>
        <v>1.0500000000000001E-2</v>
      </c>
    </row>
    <row r="1216" spans="1:12" x14ac:dyDescent="0.25">
      <c r="A1216" s="1">
        <v>1215</v>
      </c>
      <c r="B1216" s="2">
        <v>325336</v>
      </c>
      <c r="C1216" s="3">
        <v>2.1000000000000001E-2</v>
      </c>
      <c r="D1216" s="1">
        <v>0.5</v>
      </c>
      <c r="E1216" s="4">
        <v>0.21</v>
      </c>
      <c r="F1216" s="4">
        <v>0.28000000000000003</v>
      </c>
      <c r="G1216" s="4">
        <v>0.51</v>
      </c>
      <c r="H1216" s="17">
        <f t="shared" si="36"/>
        <v>6.8861848741069991E-7</v>
      </c>
      <c r="L1216">
        <f t="shared" si="37"/>
        <v>1.0500000000000001E-2</v>
      </c>
    </row>
    <row r="1217" spans="1:12" x14ac:dyDescent="0.25">
      <c r="A1217" s="1">
        <v>1216</v>
      </c>
      <c r="B1217" s="2">
        <v>768060</v>
      </c>
      <c r="C1217" s="3">
        <v>2.5999999999999999E-2</v>
      </c>
      <c r="D1217" s="1">
        <v>0.5</v>
      </c>
      <c r="E1217" s="4">
        <v>0.18</v>
      </c>
      <c r="F1217" s="4">
        <v>0.26</v>
      </c>
      <c r="G1217" s="4">
        <v>0.56000000000000005</v>
      </c>
      <c r="H1217" s="17">
        <f t="shared" si="36"/>
        <v>2.0127774423185663E-6</v>
      </c>
      <c r="L1217">
        <f t="shared" si="37"/>
        <v>1.2999999999999999E-2</v>
      </c>
    </row>
    <row r="1218" spans="1:12" x14ac:dyDescent="0.25">
      <c r="A1218" s="1">
        <v>1217</v>
      </c>
      <c r="B1218" s="2">
        <v>562945</v>
      </c>
      <c r="C1218" s="3">
        <v>2.1000000000000001E-2</v>
      </c>
      <c r="D1218" s="1">
        <v>0.5</v>
      </c>
      <c r="E1218" s="4">
        <v>0.18</v>
      </c>
      <c r="F1218" s="4">
        <v>0.22</v>
      </c>
      <c r="G1218" s="4">
        <v>0.60000000000000009</v>
      </c>
      <c r="H1218" s="17">
        <f t="shared" si="36"/>
        <v>1.1915506872753599E-6</v>
      </c>
      <c r="L1218">
        <f t="shared" si="37"/>
        <v>1.0500000000000001E-2</v>
      </c>
    </row>
    <row r="1219" spans="1:12" x14ac:dyDescent="0.25">
      <c r="A1219" s="1">
        <v>1218</v>
      </c>
      <c r="B1219" s="2">
        <v>716031</v>
      </c>
      <c r="C1219" s="3">
        <v>1.4999999999999999E-2</v>
      </c>
      <c r="D1219" s="1">
        <v>0.5</v>
      </c>
      <c r="E1219" s="4">
        <v>0.16</v>
      </c>
      <c r="F1219" s="4">
        <v>0.2</v>
      </c>
      <c r="G1219" s="4">
        <v>0.64</v>
      </c>
      <c r="H1219" s="17">
        <f t="shared" ref="H1219:H1282" si="38">B1219*C1219*D1219/SUM($B$2:$B$1797)</f>
        <v>1.0825559337317439E-6</v>
      </c>
      <c r="L1219">
        <f t="shared" ref="L1219:L1282" si="39">C1219*D1219</f>
        <v>7.4999999999999997E-3</v>
      </c>
    </row>
    <row r="1220" spans="1:12" x14ac:dyDescent="0.25">
      <c r="A1220" s="1">
        <v>1219</v>
      </c>
      <c r="B1220" s="2">
        <v>356772</v>
      </c>
      <c r="C1220" s="3">
        <v>2.4E-2</v>
      </c>
      <c r="D1220" s="1">
        <v>0.5</v>
      </c>
      <c r="E1220" s="4">
        <v>0.21</v>
      </c>
      <c r="F1220" s="4">
        <v>0.3</v>
      </c>
      <c r="G1220" s="4">
        <v>0.49</v>
      </c>
      <c r="H1220" s="17">
        <f t="shared" si="38"/>
        <v>8.630367022418677E-7</v>
      </c>
      <c r="L1220">
        <f t="shared" si="39"/>
        <v>1.2E-2</v>
      </c>
    </row>
    <row r="1221" spans="1:12" x14ac:dyDescent="0.25">
      <c r="A1221" s="1">
        <v>1220</v>
      </c>
      <c r="B1221" s="2">
        <v>632889</v>
      </c>
      <c r="C1221" s="3">
        <v>1.2E-2</v>
      </c>
      <c r="D1221" s="1">
        <v>0.5</v>
      </c>
      <c r="E1221" s="4">
        <v>0.19</v>
      </c>
      <c r="F1221" s="4">
        <v>0.28000000000000003</v>
      </c>
      <c r="G1221" s="4">
        <v>0.53</v>
      </c>
      <c r="H1221" s="17">
        <f t="shared" si="38"/>
        <v>7.6548388809261015E-7</v>
      </c>
      <c r="L1221">
        <f t="shared" si="39"/>
        <v>6.0000000000000001E-3</v>
      </c>
    </row>
    <row r="1222" spans="1:12" x14ac:dyDescent="0.25">
      <c r="A1222" s="1">
        <v>1221</v>
      </c>
      <c r="B1222" s="2">
        <v>751447</v>
      </c>
      <c r="C1222" s="3">
        <v>1.4999999999999999E-2</v>
      </c>
      <c r="D1222" s="1">
        <v>0.5</v>
      </c>
      <c r="E1222" s="4">
        <v>0.21</v>
      </c>
      <c r="F1222" s="4">
        <v>0.16</v>
      </c>
      <c r="G1222" s="4">
        <v>0.63</v>
      </c>
      <c r="H1222" s="17">
        <f t="shared" si="38"/>
        <v>1.1361008234768016E-6</v>
      </c>
      <c r="L1222">
        <f t="shared" si="39"/>
        <v>7.4999999999999997E-3</v>
      </c>
    </row>
    <row r="1223" spans="1:12" x14ac:dyDescent="0.25">
      <c r="A1223" s="1">
        <v>1222</v>
      </c>
      <c r="B1223" s="2">
        <v>960740</v>
      </c>
      <c r="C1223" s="3">
        <v>1.0999999999999999E-2</v>
      </c>
      <c r="D1223" s="1">
        <v>0.5</v>
      </c>
      <c r="E1223" s="4">
        <v>0.24</v>
      </c>
      <c r="F1223" s="4">
        <v>0.19</v>
      </c>
      <c r="G1223" s="4">
        <v>0.57000000000000006</v>
      </c>
      <c r="H1223" s="17">
        <f t="shared" si="38"/>
        <v>1.0651869044317718E-6</v>
      </c>
      <c r="L1223">
        <f t="shared" si="39"/>
        <v>5.4999999999999997E-3</v>
      </c>
    </row>
    <row r="1224" spans="1:12" x14ac:dyDescent="0.25">
      <c r="A1224" s="1">
        <v>1223</v>
      </c>
      <c r="B1224" s="2">
        <v>635157</v>
      </c>
      <c r="C1224" s="3">
        <v>1.9E-2</v>
      </c>
      <c r="D1224" s="1">
        <v>0.5</v>
      </c>
      <c r="E1224" s="4">
        <v>0.17</v>
      </c>
      <c r="F1224" s="4">
        <v>0.24</v>
      </c>
      <c r="G1224" s="4">
        <v>0.59</v>
      </c>
      <c r="H1224" s="17">
        <f t="shared" si="38"/>
        <v>1.2163594969886138E-6</v>
      </c>
      <c r="L1224">
        <f t="shared" si="39"/>
        <v>9.4999999999999998E-3</v>
      </c>
    </row>
    <row r="1225" spans="1:12" x14ac:dyDescent="0.25">
      <c r="A1225" s="1">
        <v>1224</v>
      </c>
      <c r="B1225" s="2">
        <v>999942</v>
      </c>
      <c r="C1225" s="3">
        <v>1.9E-2</v>
      </c>
      <c r="D1225" s="1">
        <v>0.5</v>
      </c>
      <c r="E1225" s="4">
        <v>0.15</v>
      </c>
      <c r="F1225" s="4">
        <v>0.27</v>
      </c>
      <c r="G1225" s="4">
        <v>0.57999999999999996</v>
      </c>
      <c r="H1225" s="17">
        <f t="shared" si="38"/>
        <v>1.9149422082064565E-6</v>
      </c>
      <c r="L1225">
        <f t="shared" si="39"/>
        <v>9.4999999999999998E-3</v>
      </c>
    </row>
    <row r="1226" spans="1:12" x14ac:dyDescent="0.25">
      <c r="A1226" s="1">
        <v>1225</v>
      </c>
      <c r="B1226" s="2">
        <v>573616</v>
      </c>
      <c r="C1226" s="3">
        <v>2.1000000000000001E-2</v>
      </c>
      <c r="D1226" s="1">
        <v>0.5</v>
      </c>
      <c r="E1226" s="4">
        <v>0.23</v>
      </c>
      <c r="F1226" s="4">
        <v>0.3</v>
      </c>
      <c r="G1226" s="4">
        <v>0.47</v>
      </c>
      <c r="H1226" s="17">
        <f t="shared" si="38"/>
        <v>1.2141373296363639E-6</v>
      </c>
      <c r="L1226">
        <f t="shared" si="39"/>
        <v>1.0500000000000001E-2</v>
      </c>
    </row>
    <row r="1227" spans="1:12" x14ac:dyDescent="0.25">
      <c r="A1227" s="1">
        <v>1226</v>
      </c>
      <c r="B1227" s="2">
        <v>659080</v>
      </c>
      <c r="C1227" s="3">
        <v>2.5000000000000001E-2</v>
      </c>
      <c r="D1227" s="1">
        <v>0.5</v>
      </c>
      <c r="E1227" s="4">
        <v>0.21</v>
      </c>
      <c r="F1227" s="4">
        <v>0.17</v>
      </c>
      <c r="G1227" s="4">
        <v>0.62</v>
      </c>
      <c r="H1227" s="17">
        <f t="shared" si="38"/>
        <v>1.6607543639961531E-6</v>
      </c>
      <c r="L1227">
        <f t="shared" si="39"/>
        <v>1.2500000000000001E-2</v>
      </c>
    </row>
    <row r="1228" spans="1:12" x14ac:dyDescent="0.25">
      <c r="A1228" s="1">
        <v>1227</v>
      </c>
      <c r="B1228" s="2">
        <v>698355</v>
      </c>
      <c r="C1228" s="3">
        <v>1.2999999999999999E-2</v>
      </c>
      <c r="D1228" s="1">
        <v>0.5</v>
      </c>
      <c r="E1228" s="4">
        <v>0.16</v>
      </c>
      <c r="F1228" s="4">
        <v>0.24</v>
      </c>
      <c r="G1228" s="4">
        <v>0.6</v>
      </c>
      <c r="H1228" s="17">
        <f t="shared" si="38"/>
        <v>9.1505428659895215E-7</v>
      </c>
      <c r="L1228">
        <f t="shared" si="39"/>
        <v>6.4999999999999997E-3</v>
      </c>
    </row>
    <row r="1229" spans="1:12" x14ac:dyDescent="0.25">
      <c r="A1229" s="1">
        <v>1228</v>
      </c>
      <c r="B1229" s="2">
        <v>793893</v>
      </c>
      <c r="C1229" s="3">
        <v>0.02</v>
      </c>
      <c r="D1229" s="1">
        <v>0.5</v>
      </c>
      <c r="E1229" s="4">
        <v>0.18</v>
      </c>
      <c r="F1229" s="4">
        <v>0.31</v>
      </c>
      <c r="G1229" s="4">
        <v>0.51</v>
      </c>
      <c r="H1229" s="17">
        <f t="shared" si="38"/>
        <v>1.6003656785774086E-6</v>
      </c>
      <c r="L1229">
        <f t="shared" si="39"/>
        <v>0.01</v>
      </c>
    </row>
    <row r="1230" spans="1:12" x14ac:dyDescent="0.25">
      <c r="A1230" s="1">
        <v>1229</v>
      </c>
      <c r="B1230" s="2">
        <v>654323</v>
      </c>
      <c r="C1230" s="3">
        <v>1.9E-2</v>
      </c>
      <c r="D1230" s="1">
        <v>0.5</v>
      </c>
      <c r="E1230" s="4">
        <v>0.16</v>
      </c>
      <c r="F1230" s="4">
        <v>0.25</v>
      </c>
      <c r="G1230" s="4">
        <v>0.59</v>
      </c>
      <c r="H1230" s="17">
        <f t="shared" si="38"/>
        <v>1.2530634081779476E-6</v>
      </c>
      <c r="L1230">
        <f t="shared" si="39"/>
        <v>9.4999999999999998E-3</v>
      </c>
    </row>
    <row r="1231" spans="1:12" x14ac:dyDescent="0.25">
      <c r="A1231" s="1">
        <v>1230</v>
      </c>
      <c r="B1231" s="2">
        <v>883153</v>
      </c>
      <c r="C1231" s="3">
        <v>2.5000000000000001E-2</v>
      </c>
      <c r="D1231" s="1">
        <v>0.5</v>
      </c>
      <c r="E1231" s="4">
        <v>0.21</v>
      </c>
      <c r="F1231" s="4">
        <v>0.15</v>
      </c>
      <c r="G1231" s="4">
        <v>0.64</v>
      </c>
      <c r="H1231" s="17">
        <f t="shared" si="38"/>
        <v>2.2253750664961685E-6</v>
      </c>
      <c r="L1231">
        <f t="shared" si="39"/>
        <v>1.2500000000000001E-2</v>
      </c>
    </row>
    <row r="1232" spans="1:12" x14ac:dyDescent="0.25">
      <c r="A1232" s="1">
        <v>1231</v>
      </c>
      <c r="B1232" s="2">
        <v>235322</v>
      </c>
      <c r="C1232" s="3">
        <v>2.4E-2</v>
      </c>
      <c r="D1232" s="1">
        <v>0.5</v>
      </c>
      <c r="E1232" s="4">
        <v>0.23</v>
      </c>
      <c r="F1232" s="4">
        <v>0.17</v>
      </c>
      <c r="G1232" s="4">
        <v>0.6</v>
      </c>
      <c r="H1232" s="17">
        <f t="shared" si="38"/>
        <v>5.6924737043535025E-7</v>
      </c>
      <c r="L1232">
        <f t="shared" si="39"/>
        <v>1.2E-2</v>
      </c>
    </row>
    <row r="1233" spans="1:12" x14ac:dyDescent="0.25">
      <c r="A1233" s="1">
        <v>1232</v>
      </c>
      <c r="B1233" s="2">
        <v>657843</v>
      </c>
      <c r="C1233" s="3">
        <v>2.7E-2</v>
      </c>
      <c r="D1233" s="1">
        <v>0.5</v>
      </c>
      <c r="E1233" s="4">
        <v>0.2</v>
      </c>
      <c r="F1233" s="4">
        <v>0.31</v>
      </c>
      <c r="G1233" s="4">
        <v>0.48999999999999994</v>
      </c>
      <c r="H1233" s="17">
        <f t="shared" si="38"/>
        <v>1.7902483518241594E-6</v>
      </c>
      <c r="L1233">
        <f t="shared" si="39"/>
        <v>1.35E-2</v>
      </c>
    </row>
    <row r="1234" spans="1:12" x14ac:dyDescent="0.25">
      <c r="A1234" s="1">
        <v>1233</v>
      </c>
      <c r="B1234" s="2">
        <v>944014</v>
      </c>
      <c r="C1234" s="3">
        <v>1.4E-2</v>
      </c>
      <c r="D1234" s="1">
        <v>0.5</v>
      </c>
      <c r="E1234" s="4">
        <v>0.16</v>
      </c>
      <c r="F1234" s="4">
        <v>0.17</v>
      </c>
      <c r="G1234" s="4">
        <v>0.66999999999999993</v>
      </c>
      <c r="H1234" s="17">
        <f t="shared" si="38"/>
        <v>1.33209050084533E-6</v>
      </c>
      <c r="L1234">
        <f t="shared" si="39"/>
        <v>7.0000000000000001E-3</v>
      </c>
    </row>
    <row r="1235" spans="1:12" x14ac:dyDescent="0.25">
      <c r="A1235" s="1">
        <v>1234</v>
      </c>
      <c r="B1235" s="2">
        <v>282113</v>
      </c>
      <c r="C1235" s="3">
        <v>1.6E-2</v>
      </c>
      <c r="D1235" s="1">
        <v>0.5</v>
      </c>
      <c r="E1235" s="4">
        <v>0.16</v>
      </c>
      <c r="F1235" s="4">
        <v>0.26</v>
      </c>
      <c r="G1235" s="4">
        <v>0.57999999999999996</v>
      </c>
      <c r="H1235" s="17">
        <f t="shared" si="38"/>
        <v>4.5495699060755887E-7</v>
      </c>
      <c r="L1235">
        <f t="shared" si="39"/>
        <v>8.0000000000000002E-3</v>
      </c>
    </row>
    <row r="1236" spans="1:12" x14ac:dyDescent="0.25">
      <c r="A1236" s="1">
        <v>1235</v>
      </c>
      <c r="B1236" s="2">
        <v>427049</v>
      </c>
      <c r="C1236" s="3">
        <v>2.4E-2</v>
      </c>
      <c r="D1236" s="1">
        <v>0.5</v>
      </c>
      <c r="E1236" s="4">
        <v>0.21</v>
      </c>
      <c r="F1236" s="4">
        <v>0.27</v>
      </c>
      <c r="G1236" s="4">
        <v>0.52</v>
      </c>
      <c r="H1236" s="17">
        <f t="shared" si="38"/>
        <v>1.0330377962835854E-6</v>
      </c>
      <c r="L1236">
        <f t="shared" si="39"/>
        <v>1.2E-2</v>
      </c>
    </row>
    <row r="1237" spans="1:12" x14ac:dyDescent="0.25">
      <c r="A1237" s="1">
        <v>1236</v>
      </c>
      <c r="B1237" s="2">
        <v>351988</v>
      </c>
      <c r="C1237" s="3">
        <v>0.01</v>
      </c>
      <c r="D1237" s="1">
        <v>0.5</v>
      </c>
      <c r="E1237" s="4">
        <v>0.19</v>
      </c>
      <c r="F1237" s="4">
        <v>0.22</v>
      </c>
      <c r="G1237" s="4">
        <v>0.59000000000000008</v>
      </c>
      <c r="H1237" s="17">
        <f t="shared" si="38"/>
        <v>3.5477672335636219E-7</v>
      </c>
      <c r="L1237">
        <f t="shared" si="39"/>
        <v>5.0000000000000001E-3</v>
      </c>
    </row>
    <row r="1238" spans="1:12" x14ac:dyDescent="0.25">
      <c r="A1238" s="1">
        <v>1237</v>
      </c>
      <c r="B1238" s="2">
        <v>909232</v>
      </c>
      <c r="C1238" s="3">
        <v>2.1999999999999999E-2</v>
      </c>
      <c r="D1238" s="1">
        <v>0.5</v>
      </c>
      <c r="E1238" s="4">
        <v>0.23</v>
      </c>
      <c r="F1238" s="4">
        <v>0.24</v>
      </c>
      <c r="G1238" s="4">
        <v>0.53</v>
      </c>
      <c r="H1238" s="17">
        <f t="shared" si="38"/>
        <v>2.016158418490557E-6</v>
      </c>
      <c r="L1238">
        <f t="shared" si="39"/>
        <v>1.0999999999999999E-2</v>
      </c>
    </row>
    <row r="1239" spans="1:12" x14ac:dyDescent="0.25">
      <c r="A1239" s="1">
        <v>1238</v>
      </c>
      <c r="B1239" s="2">
        <v>697682</v>
      </c>
      <c r="C1239" s="3">
        <v>2.3E-2</v>
      </c>
      <c r="D1239" s="1">
        <v>0.5</v>
      </c>
      <c r="E1239" s="4">
        <v>0.18</v>
      </c>
      <c r="F1239" s="4">
        <v>0.24</v>
      </c>
      <c r="G1239" s="4">
        <v>0.58000000000000007</v>
      </c>
      <c r="H1239" s="17">
        <f t="shared" si="38"/>
        <v>1.6173820356967878E-6</v>
      </c>
      <c r="L1239">
        <f t="shared" si="39"/>
        <v>1.15E-2</v>
      </c>
    </row>
    <row r="1240" spans="1:12" x14ac:dyDescent="0.25">
      <c r="A1240" s="1">
        <v>1239</v>
      </c>
      <c r="B1240" s="2">
        <v>928422</v>
      </c>
      <c r="C1240" s="3">
        <v>0.01</v>
      </c>
      <c r="D1240" s="1">
        <v>0.5</v>
      </c>
      <c r="E1240" s="4">
        <v>0.25</v>
      </c>
      <c r="F1240" s="4">
        <v>0.34</v>
      </c>
      <c r="G1240" s="4">
        <v>0.40999999999999992</v>
      </c>
      <c r="H1240" s="17">
        <f t="shared" si="38"/>
        <v>9.3577768290953227E-7</v>
      </c>
      <c r="L1240">
        <f t="shared" si="39"/>
        <v>5.0000000000000001E-3</v>
      </c>
    </row>
    <row r="1241" spans="1:12" x14ac:dyDescent="0.25">
      <c r="A1241" s="1">
        <v>1240</v>
      </c>
      <c r="B1241" s="2">
        <v>975978</v>
      </c>
      <c r="C1241" s="3">
        <v>0.01</v>
      </c>
      <c r="D1241" s="1">
        <v>0.5</v>
      </c>
      <c r="E1241" s="4">
        <v>0.15</v>
      </c>
      <c r="F1241" s="4">
        <v>0.3</v>
      </c>
      <c r="G1241" s="4">
        <v>0.54999999999999993</v>
      </c>
      <c r="H1241" s="17">
        <f t="shared" si="38"/>
        <v>9.8371045861761093E-7</v>
      </c>
      <c r="L1241">
        <f t="shared" si="39"/>
        <v>5.0000000000000001E-3</v>
      </c>
    </row>
    <row r="1242" spans="1:12" x14ac:dyDescent="0.25">
      <c r="A1242" s="1">
        <v>1241</v>
      </c>
      <c r="B1242" s="2">
        <v>866870</v>
      </c>
      <c r="C1242" s="3">
        <v>2.3E-2</v>
      </c>
      <c r="D1242" s="1">
        <v>0.5</v>
      </c>
      <c r="E1242" s="4">
        <v>0.24</v>
      </c>
      <c r="F1242" s="4">
        <v>0.34</v>
      </c>
      <c r="G1242" s="4">
        <v>0.41999999999999993</v>
      </c>
      <c r="H1242" s="17">
        <f t="shared" si="38"/>
        <v>2.0095974459488342E-6</v>
      </c>
      <c r="L1242">
        <f t="shared" si="39"/>
        <v>1.15E-2</v>
      </c>
    </row>
    <row r="1243" spans="1:12" x14ac:dyDescent="0.25">
      <c r="A1243" s="1">
        <v>1242</v>
      </c>
      <c r="B1243" s="2">
        <v>736516</v>
      </c>
      <c r="C1243" s="3">
        <v>2.8000000000000001E-2</v>
      </c>
      <c r="D1243" s="1">
        <v>0.5</v>
      </c>
      <c r="E1243" s="4">
        <v>0.19</v>
      </c>
      <c r="F1243" s="4">
        <v>0.32</v>
      </c>
      <c r="G1243" s="4">
        <v>0.48999999999999994</v>
      </c>
      <c r="H1243" s="17">
        <f t="shared" si="38"/>
        <v>2.0785835110932658E-6</v>
      </c>
      <c r="L1243">
        <f t="shared" si="39"/>
        <v>1.4E-2</v>
      </c>
    </row>
    <row r="1244" spans="1:12" x14ac:dyDescent="0.25">
      <c r="A1244" s="1">
        <v>1243</v>
      </c>
      <c r="B1244" s="2">
        <v>352266</v>
      </c>
      <c r="C1244" s="3">
        <v>8.0000000000000002E-3</v>
      </c>
      <c r="D1244" s="1">
        <v>0.5</v>
      </c>
      <c r="E1244" s="4">
        <v>0.15</v>
      </c>
      <c r="F1244" s="4">
        <v>0.26</v>
      </c>
      <c r="G1244" s="4">
        <v>0.59</v>
      </c>
      <c r="H1244" s="17">
        <f t="shared" si="38"/>
        <v>2.8404554071127943E-7</v>
      </c>
      <c r="L1244">
        <f t="shared" si="39"/>
        <v>4.0000000000000001E-3</v>
      </c>
    </row>
    <row r="1245" spans="1:12" x14ac:dyDescent="0.25">
      <c r="A1245" s="1">
        <v>1244</v>
      </c>
      <c r="B1245" s="2">
        <v>449978</v>
      </c>
      <c r="C1245" s="3">
        <v>0.01</v>
      </c>
      <c r="D1245" s="1">
        <v>0.5</v>
      </c>
      <c r="E1245" s="4">
        <v>0.17</v>
      </c>
      <c r="F1245" s="4">
        <v>0.26</v>
      </c>
      <c r="G1245" s="4">
        <v>0.56999999999999995</v>
      </c>
      <c r="H1245" s="17">
        <f t="shared" si="38"/>
        <v>4.535430765322941E-7</v>
      </c>
      <c r="L1245">
        <f t="shared" si="39"/>
        <v>5.0000000000000001E-3</v>
      </c>
    </row>
    <row r="1246" spans="1:12" x14ac:dyDescent="0.25">
      <c r="A1246" s="1">
        <v>1245</v>
      </c>
      <c r="B1246" s="2">
        <v>367845</v>
      </c>
      <c r="C1246" s="3">
        <v>1.2E-2</v>
      </c>
      <c r="D1246" s="1">
        <v>0.5</v>
      </c>
      <c r="E1246" s="4">
        <v>0.2</v>
      </c>
      <c r="F1246" s="4">
        <v>0.27</v>
      </c>
      <c r="G1246" s="4">
        <v>0.53</v>
      </c>
      <c r="H1246" s="17">
        <f t="shared" si="38"/>
        <v>4.4491122584754384E-7</v>
      </c>
      <c r="L1246">
        <f t="shared" si="39"/>
        <v>6.0000000000000001E-3</v>
      </c>
    </row>
    <row r="1247" spans="1:12" x14ac:dyDescent="0.25">
      <c r="A1247" s="1">
        <v>1246</v>
      </c>
      <c r="B1247" s="2">
        <v>700073</v>
      </c>
      <c r="C1247" s="3">
        <v>7.0000000000000001E-3</v>
      </c>
      <c r="D1247" s="1">
        <v>0.5</v>
      </c>
      <c r="E1247" s="4">
        <v>0.19</v>
      </c>
      <c r="F1247" s="4">
        <v>0.26</v>
      </c>
      <c r="G1247" s="4">
        <v>0.55000000000000004</v>
      </c>
      <c r="H1247" s="17">
        <f t="shared" si="38"/>
        <v>4.9393366687268025E-7</v>
      </c>
      <c r="L1247">
        <f t="shared" si="39"/>
        <v>3.5000000000000001E-3</v>
      </c>
    </row>
    <row r="1248" spans="1:12" x14ac:dyDescent="0.25">
      <c r="A1248" s="1">
        <v>1247</v>
      </c>
      <c r="B1248" s="2">
        <v>291358</v>
      </c>
      <c r="C1248" s="3">
        <v>6.0000000000000001E-3</v>
      </c>
      <c r="D1248" s="1">
        <v>0.5</v>
      </c>
      <c r="E1248" s="4">
        <v>0.23</v>
      </c>
      <c r="F1248" s="4">
        <v>0.21</v>
      </c>
      <c r="G1248" s="4">
        <v>0.56000000000000005</v>
      </c>
      <c r="H1248" s="17">
        <f t="shared" si="38"/>
        <v>1.7619981913644153E-7</v>
      </c>
      <c r="L1248">
        <f t="shared" si="39"/>
        <v>3.0000000000000001E-3</v>
      </c>
    </row>
    <row r="1249" spans="1:12" x14ac:dyDescent="0.25">
      <c r="A1249" s="1">
        <v>1248</v>
      </c>
      <c r="B1249" s="2">
        <v>894658</v>
      </c>
      <c r="C1249" s="3">
        <v>1.2999999999999999E-2</v>
      </c>
      <c r="D1249" s="1">
        <v>0.5</v>
      </c>
      <c r="E1249" s="4">
        <v>0.16</v>
      </c>
      <c r="F1249" s="4">
        <v>0.19</v>
      </c>
      <c r="G1249" s="4">
        <v>0.65</v>
      </c>
      <c r="H1249" s="17">
        <f t="shared" si="38"/>
        <v>1.1722700316315418E-6</v>
      </c>
      <c r="L1249">
        <f t="shared" si="39"/>
        <v>6.4999999999999997E-3</v>
      </c>
    </row>
    <row r="1250" spans="1:12" x14ac:dyDescent="0.25">
      <c r="A1250" s="1">
        <v>1249</v>
      </c>
      <c r="B1250" s="2">
        <v>757299</v>
      </c>
      <c r="C1250" s="3">
        <v>1.4999999999999999E-2</v>
      </c>
      <c r="D1250" s="1">
        <v>0.5</v>
      </c>
      <c r="E1250" s="4">
        <v>0.24</v>
      </c>
      <c r="F1250" s="4">
        <v>0.19</v>
      </c>
      <c r="G1250" s="4">
        <v>0.57000000000000006</v>
      </c>
      <c r="H1250" s="17">
        <f t="shared" si="38"/>
        <v>1.1449483696363924E-6</v>
      </c>
      <c r="L1250">
        <f t="shared" si="39"/>
        <v>7.4999999999999997E-3</v>
      </c>
    </row>
    <row r="1251" spans="1:12" x14ac:dyDescent="0.25">
      <c r="A1251" s="1">
        <v>1250</v>
      </c>
      <c r="B1251" s="2">
        <v>315279</v>
      </c>
      <c r="C1251" s="3">
        <v>8.0000000000000002E-3</v>
      </c>
      <c r="D1251" s="1">
        <v>0.5</v>
      </c>
      <c r="E1251" s="4">
        <v>0.15</v>
      </c>
      <c r="F1251" s="4">
        <v>0.22</v>
      </c>
      <c r="G1251" s="4">
        <v>0.63</v>
      </c>
      <c r="H1251" s="17">
        <f t="shared" si="38"/>
        <v>2.5422150883114311E-7</v>
      </c>
      <c r="L1251">
        <f t="shared" si="39"/>
        <v>4.0000000000000001E-3</v>
      </c>
    </row>
    <row r="1252" spans="1:12" x14ac:dyDescent="0.25">
      <c r="A1252" s="1">
        <v>1251</v>
      </c>
      <c r="B1252" s="2">
        <v>248213</v>
      </c>
      <c r="C1252" s="3">
        <v>1.0999999999999999E-2</v>
      </c>
      <c r="D1252" s="1">
        <v>0.5</v>
      </c>
      <c r="E1252" s="4">
        <v>0.2</v>
      </c>
      <c r="F1252" s="4">
        <v>0.3</v>
      </c>
      <c r="G1252" s="4">
        <v>0.49999999999999994</v>
      </c>
      <c r="H1252" s="17">
        <f t="shared" si="38"/>
        <v>2.7519749059029851E-7</v>
      </c>
      <c r="L1252">
        <f t="shared" si="39"/>
        <v>5.4999999999999997E-3</v>
      </c>
    </row>
    <row r="1253" spans="1:12" x14ac:dyDescent="0.25">
      <c r="A1253" s="1">
        <v>1252</v>
      </c>
      <c r="B1253" s="2">
        <v>856053</v>
      </c>
      <c r="C1253" s="3">
        <v>5.0000000000000001E-3</v>
      </c>
      <c r="D1253" s="1">
        <v>0.5</v>
      </c>
      <c r="E1253" s="4">
        <v>0.19</v>
      </c>
      <c r="F1253" s="4">
        <v>0.28999999999999998</v>
      </c>
      <c r="G1253" s="4">
        <v>0.52</v>
      </c>
      <c r="H1253" s="17">
        <f t="shared" si="38"/>
        <v>4.3141765963524884E-7</v>
      </c>
      <c r="L1253">
        <f t="shared" si="39"/>
        <v>2.5000000000000001E-3</v>
      </c>
    </row>
    <row r="1254" spans="1:12" x14ac:dyDescent="0.25">
      <c r="A1254" s="1">
        <v>1253</v>
      </c>
      <c r="B1254" s="2">
        <v>247738</v>
      </c>
      <c r="C1254" s="3">
        <v>1.2999999999999999E-2</v>
      </c>
      <c r="D1254" s="1">
        <v>0.5</v>
      </c>
      <c r="E1254" s="4">
        <v>0.18</v>
      </c>
      <c r="F1254" s="4">
        <v>0.15</v>
      </c>
      <c r="G1254" s="4">
        <v>0.66999999999999993</v>
      </c>
      <c r="H1254" s="17">
        <f t="shared" si="38"/>
        <v>3.2461100565393134E-7</v>
      </c>
      <c r="L1254">
        <f t="shared" si="39"/>
        <v>6.4999999999999997E-3</v>
      </c>
    </row>
    <row r="1255" spans="1:12" x14ac:dyDescent="0.25">
      <c r="A1255" s="1">
        <v>1254</v>
      </c>
      <c r="B1255" s="2">
        <v>232889</v>
      </c>
      <c r="C1255" s="3">
        <v>0.01</v>
      </c>
      <c r="D1255" s="1">
        <v>0.5</v>
      </c>
      <c r="E1255" s="4">
        <v>0.23</v>
      </c>
      <c r="F1255" s="4">
        <v>0.15</v>
      </c>
      <c r="G1255" s="4">
        <v>0.62</v>
      </c>
      <c r="H1255" s="17">
        <f t="shared" si="38"/>
        <v>2.347341282252231E-7</v>
      </c>
      <c r="L1255">
        <f t="shared" si="39"/>
        <v>5.0000000000000001E-3</v>
      </c>
    </row>
    <row r="1256" spans="1:12" x14ac:dyDescent="0.25">
      <c r="A1256" s="1">
        <v>1255</v>
      </c>
      <c r="B1256" s="2">
        <v>495936</v>
      </c>
      <c r="C1256" s="3">
        <v>7.0000000000000001E-3</v>
      </c>
      <c r="D1256" s="1">
        <v>0.5</v>
      </c>
      <c r="E1256" s="4">
        <v>0.16</v>
      </c>
      <c r="F1256" s="4">
        <v>0.16</v>
      </c>
      <c r="G1256" s="4">
        <v>0.67999999999999994</v>
      </c>
      <c r="H1256" s="17">
        <f t="shared" si="38"/>
        <v>3.4990563414696692E-7</v>
      </c>
      <c r="L1256">
        <f t="shared" si="39"/>
        <v>3.5000000000000001E-3</v>
      </c>
    </row>
    <row r="1257" spans="1:12" x14ac:dyDescent="0.25">
      <c r="A1257" s="1">
        <v>1256</v>
      </c>
      <c r="B1257" s="2">
        <v>417407</v>
      </c>
      <c r="C1257" s="3">
        <v>6.0000000000000001E-3</v>
      </c>
      <c r="D1257" s="1">
        <v>0.5</v>
      </c>
      <c r="E1257" s="4">
        <v>0.23</v>
      </c>
      <c r="F1257" s="4">
        <v>0.28999999999999998</v>
      </c>
      <c r="G1257" s="4">
        <v>0.48</v>
      </c>
      <c r="H1257" s="17">
        <f t="shared" si="38"/>
        <v>2.5242841420618159E-7</v>
      </c>
      <c r="L1257">
        <f t="shared" si="39"/>
        <v>3.0000000000000001E-3</v>
      </c>
    </row>
    <row r="1258" spans="1:12" x14ac:dyDescent="0.25">
      <c r="A1258" s="1">
        <v>1257</v>
      </c>
      <c r="B1258" s="2">
        <v>526454</v>
      </c>
      <c r="C1258" s="3">
        <v>8.9999999999999993E-3</v>
      </c>
      <c r="D1258" s="1">
        <v>0.5</v>
      </c>
      <c r="E1258" s="4">
        <v>0.24</v>
      </c>
      <c r="F1258" s="4">
        <v>0.3</v>
      </c>
      <c r="G1258" s="4">
        <v>0.45999999999999996</v>
      </c>
      <c r="H1258" s="17">
        <f t="shared" si="38"/>
        <v>4.7756248112454184E-7</v>
      </c>
      <c r="L1258">
        <f t="shared" si="39"/>
        <v>4.4999999999999997E-3</v>
      </c>
    </row>
    <row r="1259" spans="1:12" x14ac:dyDescent="0.25">
      <c r="A1259" s="1">
        <v>1258</v>
      </c>
      <c r="B1259" s="2">
        <v>590832</v>
      </c>
      <c r="C1259" s="3">
        <v>6.0000000000000001E-3</v>
      </c>
      <c r="D1259" s="1">
        <v>0.5</v>
      </c>
      <c r="E1259" s="4">
        <v>0.24</v>
      </c>
      <c r="F1259" s="4">
        <v>0.28000000000000003</v>
      </c>
      <c r="G1259" s="4">
        <v>0.48</v>
      </c>
      <c r="H1259" s="17">
        <f t="shared" si="38"/>
        <v>3.5730781904056874E-7</v>
      </c>
      <c r="L1259">
        <f t="shared" si="39"/>
        <v>3.0000000000000001E-3</v>
      </c>
    </row>
    <row r="1260" spans="1:12" x14ac:dyDescent="0.25">
      <c r="A1260" s="1">
        <v>1259</v>
      </c>
      <c r="B1260" s="2">
        <v>826626</v>
      </c>
      <c r="C1260" s="3">
        <v>1.4999999999999999E-2</v>
      </c>
      <c r="D1260" s="1">
        <v>0.5</v>
      </c>
      <c r="E1260" s="4">
        <v>0.15</v>
      </c>
      <c r="F1260" s="4">
        <v>0.15</v>
      </c>
      <c r="G1260" s="4">
        <v>0.7</v>
      </c>
      <c r="H1260" s="17">
        <f t="shared" si="38"/>
        <v>1.2497627634514936E-6</v>
      </c>
      <c r="L1260">
        <f t="shared" si="39"/>
        <v>7.4999999999999997E-3</v>
      </c>
    </row>
    <row r="1261" spans="1:12" x14ac:dyDescent="0.25">
      <c r="A1261" s="1">
        <v>1260</v>
      </c>
      <c r="B1261" s="2">
        <v>968345</v>
      </c>
      <c r="C1261" s="3">
        <v>1.4999999999999999E-2</v>
      </c>
      <c r="D1261" s="1">
        <v>0.5</v>
      </c>
      <c r="E1261" s="4">
        <v>0.23</v>
      </c>
      <c r="F1261" s="4">
        <v>0.35</v>
      </c>
      <c r="G1261" s="4">
        <v>0.42000000000000004</v>
      </c>
      <c r="H1261" s="17">
        <f t="shared" si="38"/>
        <v>1.4640254760610439E-6</v>
      </c>
      <c r="L1261">
        <f t="shared" si="39"/>
        <v>7.4999999999999997E-3</v>
      </c>
    </row>
    <row r="1262" spans="1:12" x14ac:dyDescent="0.25">
      <c r="A1262" s="1">
        <v>1261</v>
      </c>
      <c r="B1262" s="2">
        <v>289157</v>
      </c>
      <c r="C1262" s="3">
        <v>1.2E-2</v>
      </c>
      <c r="D1262" s="1">
        <v>0.5</v>
      </c>
      <c r="E1262" s="4">
        <v>0.17</v>
      </c>
      <c r="F1262" s="4">
        <v>0.19</v>
      </c>
      <c r="G1262" s="4">
        <v>0.64</v>
      </c>
      <c r="H1262" s="17">
        <f t="shared" si="38"/>
        <v>3.497375126273246E-7</v>
      </c>
      <c r="L1262">
        <f t="shared" si="39"/>
        <v>6.0000000000000001E-3</v>
      </c>
    </row>
    <row r="1263" spans="1:12" x14ac:dyDescent="0.25">
      <c r="A1263" s="1">
        <v>1262</v>
      </c>
      <c r="B1263" s="2">
        <v>666247</v>
      </c>
      <c r="C1263" s="3">
        <v>5.0000000000000001E-3</v>
      </c>
      <c r="D1263" s="1">
        <v>0.5</v>
      </c>
      <c r="E1263" s="4">
        <v>0.21</v>
      </c>
      <c r="F1263" s="4">
        <v>0.31</v>
      </c>
      <c r="G1263" s="4">
        <v>0.48</v>
      </c>
      <c r="H1263" s="17">
        <f t="shared" si="38"/>
        <v>3.3576276408003429E-7</v>
      </c>
      <c r="L1263">
        <f t="shared" si="39"/>
        <v>2.5000000000000001E-3</v>
      </c>
    </row>
    <row r="1264" spans="1:12" x14ac:dyDescent="0.25">
      <c r="A1264" s="1">
        <v>1263</v>
      </c>
      <c r="B1264" s="2">
        <v>827779</v>
      </c>
      <c r="C1264" s="3">
        <v>1.2E-2</v>
      </c>
      <c r="D1264" s="1">
        <v>0.5</v>
      </c>
      <c r="E1264" s="4">
        <v>0.2</v>
      </c>
      <c r="F1264" s="4">
        <v>0.16</v>
      </c>
      <c r="G1264" s="4">
        <v>0.6399999999999999</v>
      </c>
      <c r="H1264" s="17">
        <f t="shared" si="38"/>
        <v>1.0012047727190907E-6</v>
      </c>
      <c r="L1264">
        <f t="shared" si="39"/>
        <v>6.0000000000000001E-3</v>
      </c>
    </row>
    <row r="1265" spans="1:12" x14ac:dyDescent="0.25">
      <c r="A1265" s="1">
        <v>1264</v>
      </c>
      <c r="B1265" s="2">
        <v>675113</v>
      </c>
      <c r="C1265" s="3">
        <v>1.0999999999999999E-2</v>
      </c>
      <c r="D1265" s="1">
        <v>0.5</v>
      </c>
      <c r="E1265" s="4">
        <v>0.2</v>
      </c>
      <c r="F1265" s="4">
        <v>0.28999999999999998</v>
      </c>
      <c r="G1265" s="4">
        <v>0.51</v>
      </c>
      <c r="H1265" s="17">
        <f t="shared" si="38"/>
        <v>7.4850794867669382E-7</v>
      </c>
      <c r="L1265">
        <f t="shared" si="39"/>
        <v>5.4999999999999997E-3</v>
      </c>
    </row>
    <row r="1266" spans="1:12" x14ac:dyDescent="0.25">
      <c r="A1266" s="1">
        <v>1265</v>
      </c>
      <c r="B1266" s="2">
        <v>224314</v>
      </c>
      <c r="C1266" s="3">
        <v>8.0000000000000002E-3</v>
      </c>
      <c r="D1266" s="1">
        <v>0.5</v>
      </c>
      <c r="E1266" s="4">
        <v>0.2</v>
      </c>
      <c r="F1266" s="4">
        <v>0.27</v>
      </c>
      <c r="G1266" s="4">
        <v>0.53</v>
      </c>
      <c r="H1266" s="17">
        <f t="shared" si="38"/>
        <v>1.8087295231191749E-7</v>
      </c>
      <c r="L1266">
        <f t="shared" si="39"/>
        <v>4.0000000000000001E-3</v>
      </c>
    </row>
    <row r="1267" spans="1:12" x14ac:dyDescent="0.25">
      <c r="A1267" s="1">
        <v>1266</v>
      </c>
      <c r="B1267" s="2">
        <v>914133</v>
      </c>
      <c r="C1267" s="3">
        <v>5.0000000000000001E-3</v>
      </c>
      <c r="D1267" s="1">
        <v>0.5</v>
      </c>
      <c r="E1267" s="4">
        <v>0.2</v>
      </c>
      <c r="F1267" s="4">
        <v>0.31</v>
      </c>
      <c r="G1267" s="4">
        <v>0.48999999999999994</v>
      </c>
      <c r="H1267" s="17">
        <f t="shared" si="38"/>
        <v>4.6068773715570051E-7</v>
      </c>
      <c r="L1267">
        <f t="shared" si="39"/>
        <v>2.5000000000000001E-3</v>
      </c>
    </row>
    <row r="1268" spans="1:12" x14ac:dyDescent="0.25">
      <c r="A1268" s="1">
        <v>1267</v>
      </c>
      <c r="B1268" s="2">
        <v>847710</v>
      </c>
      <c r="C1268" s="3">
        <v>1.4E-2</v>
      </c>
      <c r="D1268" s="1">
        <v>0.5</v>
      </c>
      <c r="E1268" s="4">
        <v>0.16</v>
      </c>
      <c r="F1268" s="4">
        <v>0.33</v>
      </c>
      <c r="G1268" s="4">
        <v>0.5099999999999999</v>
      </c>
      <c r="H1268" s="17">
        <f t="shared" si="38"/>
        <v>1.1961967073280638E-6</v>
      </c>
      <c r="L1268">
        <f t="shared" si="39"/>
        <v>7.0000000000000001E-3</v>
      </c>
    </row>
    <row r="1269" spans="1:12" x14ac:dyDescent="0.25">
      <c r="A1269" s="1">
        <v>1268</v>
      </c>
      <c r="B1269" s="2">
        <v>601389</v>
      </c>
      <c r="C1269" s="3">
        <v>6.0000000000000001E-3</v>
      </c>
      <c r="D1269" s="1">
        <v>0.5</v>
      </c>
      <c r="E1269" s="4">
        <v>0.21</v>
      </c>
      <c r="F1269" s="4">
        <v>0.28999999999999998</v>
      </c>
      <c r="G1269" s="4">
        <v>0.5</v>
      </c>
      <c r="H1269" s="17">
        <f t="shared" si="38"/>
        <v>3.6369220351130032E-7</v>
      </c>
      <c r="L1269">
        <f t="shared" si="39"/>
        <v>3.0000000000000001E-3</v>
      </c>
    </row>
    <row r="1270" spans="1:12" x14ac:dyDescent="0.25">
      <c r="A1270" s="1">
        <v>1269</v>
      </c>
      <c r="B1270" s="2">
        <v>611298</v>
      </c>
      <c r="C1270" s="3">
        <v>8.0000000000000002E-3</v>
      </c>
      <c r="D1270" s="1">
        <v>0.5</v>
      </c>
      <c r="E1270" s="4">
        <v>0.25</v>
      </c>
      <c r="F1270" s="4">
        <v>0.22</v>
      </c>
      <c r="G1270" s="4">
        <v>0.53</v>
      </c>
      <c r="H1270" s="17">
        <f t="shared" si="38"/>
        <v>4.9291294347374904E-7</v>
      </c>
      <c r="L1270">
        <f t="shared" si="39"/>
        <v>4.0000000000000001E-3</v>
      </c>
    </row>
    <row r="1271" spans="1:12" x14ac:dyDescent="0.25">
      <c r="A1271" s="1">
        <v>1270</v>
      </c>
      <c r="B1271" s="2">
        <v>601177</v>
      </c>
      <c r="C1271" s="3">
        <v>6.0000000000000001E-3</v>
      </c>
      <c r="D1271" s="1">
        <v>0.5</v>
      </c>
      <c r="E1271" s="4">
        <v>0.18</v>
      </c>
      <c r="F1271" s="4">
        <v>0.35</v>
      </c>
      <c r="G1271" s="4">
        <v>0.47000000000000003</v>
      </c>
      <c r="H1271" s="17">
        <f t="shared" si="38"/>
        <v>3.6356399573373138E-7</v>
      </c>
      <c r="L1271">
        <f t="shared" si="39"/>
        <v>3.0000000000000001E-3</v>
      </c>
    </row>
    <row r="1272" spans="1:12" x14ac:dyDescent="0.25">
      <c r="A1272" s="1">
        <v>1271</v>
      </c>
      <c r="B1272" s="2">
        <v>237125</v>
      </c>
      <c r="C1272" s="3">
        <v>1.2999999999999999E-2</v>
      </c>
      <c r="D1272" s="1">
        <v>0.5</v>
      </c>
      <c r="E1272" s="4">
        <v>0.19</v>
      </c>
      <c r="F1272" s="4">
        <v>0.23</v>
      </c>
      <c r="G1272" s="4">
        <v>0.58000000000000007</v>
      </c>
      <c r="H1272" s="17">
        <f t="shared" si="38"/>
        <v>3.1070479585565587E-7</v>
      </c>
      <c r="L1272">
        <f t="shared" si="39"/>
        <v>6.4999999999999997E-3</v>
      </c>
    </row>
    <row r="1273" spans="1:12" x14ac:dyDescent="0.25">
      <c r="A1273" s="1">
        <v>1272</v>
      </c>
      <c r="B1273" s="2">
        <v>318468</v>
      </c>
      <c r="C1273" s="3">
        <v>0.01</v>
      </c>
      <c r="D1273" s="1">
        <v>0.5</v>
      </c>
      <c r="E1273" s="4">
        <v>0.25</v>
      </c>
      <c r="F1273" s="4">
        <v>0.22</v>
      </c>
      <c r="G1273" s="4">
        <v>0.53</v>
      </c>
      <c r="H1273" s="17">
        <f t="shared" si="38"/>
        <v>3.2099115178316863E-7</v>
      </c>
      <c r="L1273">
        <f t="shared" si="39"/>
        <v>5.0000000000000001E-3</v>
      </c>
    </row>
    <row r="1274" spans="1:12" x14ac:dyDescent="0.25">
      <c r="A1274" s="1">
        <v>1273</v>
      </c>
      <c r="B1274" s="2">
        <v>653623</v>
      </c>
      <c r="C1274" s="3">
        <v>1.0999999999999999E-2</v>
      </c>
      <c r="D1274" s="1">
        <v>0.5</v>
      </c>
      <c r="E1274" s="4">
        <v>0.16</v>
      </c>
      <c r="F1274" s="4">
        <v>0.15</v>
      </c>
      <c r="G1274" s="4">
        <v>0.69</v>
      </c>
      <c r="H1274" s="17">
        <f t="shared" si="38"/>
        <v>7.2468166208902305E-7</v>
      </c>
      <c r="L1274">
        <f t="shared" si="39"/>
        <v>5.4999999999999997E-3</v>
      </c>
    </row>
    <row r="1275" spans="1:12" x14ac:dyDescent="0.25">
      <c r="A1275" s="1">
        <v>1274</v>
      </c>
      <c r="B1275" s="2">
        <v>873988</v>
      </c>
      <c r="C1275" s="3">
        <v>8.0000000000000002E-3</v>
      </c>
      <c r="D1275" s="1">
        <v>0.5</v>
      </c>
      <c r="E1275" s="4">
        <v>0.25</v>
      </c>
      <c r="F1275" s="4">
        <v>0.22</v>
      </c>
      <c r="G1275" s="4">
        <v>0.53</v>
      </c>
      <c r="H1275" s="17">
        <f t="shared" si="38"/>
        <v>7.0472993145852757E-7</v>
      </c>
      <c r="L1275">
        <f t="shared" si="39"/>
        <v>4.0000000000000001E-3</v>
      </c>
    </row>
    <row r="1276" spans="1:12" x14ac:dyDescent="0.25">
      <c r="A1276" s="1">
        <v>1275</v>
      </c>
      <c r="B1276" s="2">
        <v>208676</v>
      </c>
      <c r="C1276" s="3">
        <v>1.0999999999999999E-2</v>
      </c>
      <c r="D1276" s="1">
        <v>0.5</v>
      </c>
      <c r="E1276" s="4">
        <v>0.2</v>
      </c>
      <c r="F1276" s="4">
        <v>0.33</v>
      </c>
      <c r="G1276" s="4">
        <v>0.46999999999999992</v>
      </c>
      <c r="H1276" s="17">
        <f t="shared" si="38"/>
        <v>2.3136222335824927E-7</v>
      </c>
      <c r="L1276">
        <f t="shared" si="39"/>
        <v>5.4999999999999997E-3</v>
      </c>
    </row>
    <row r="1277" spans="1:12" x14ac:dyDescent="0.25">
      <c r="A1277" s="1">
        <v>1276</v>
      </c>
      <c r="B1277" s="2">
        <v>439636</v>
      </c>
      <c r="C1277" s="3">
        <v>1.2E-2</v>
      </c>
      <c r="D1277" s="1">
        <v>0.5</v>
      </c>
      <c r="E1277" s="4">
        <v>0.17</v>
      </c>
      <c r="F1277" s="4">
        <v>0.17</v>
      </c>
      <c r="G1277" s="4">
        <v>0.65999999999999992</v>
      </c>
      <c r="H1277" s="17">
        <f t="shared" si="38"/>
        <v>5.3174296697443425E-7</v>
      </c>
      <c r="L1277">
        <f t="shared" si="39"/>
        <v>6.0000000000000001E-3</v>
      </c>
    </row>
    <row r="1278" spans="1:12" x14ac:dyDescent="0.25">
      <c r="A1278" s="1">
        <v>1277</v>
      </c>
      <c r="B1278" s="2">
        <v>706339</v>
      </c>
      <c r="C1278" s="3">
        <v>1.4E-2</v>
      </c>
      <c r="D1278" s="1">
        <v>0.5</v>
      </c>
      <c r="E1278" s="4">
        <v>0.22</v>
      </c>
      <c r="F1278" s="4">
        <v>0.23</v>
      </c>
      <c r="G1278" s="4">
        <v>0.55000000000000004</v>
      </c>
      <c r="H1278" s="17">
        <f t="shared" si="38"/>
        <v>9.9670923553738572E-7</v>
      </c>
      <c r="L1278">
        <f t="shared" si="39"/>
        <v>7.0000000000000001E-3</v>
      </c>
    </row>
    <row r="1279" spans="1:12" x14ac:dyDescent="0.25">
      <c r="A1279" s="1">
        <v>1278</v>
      </c>
      <c r="B1279" s="2">
        <v>553930</v>
      </c>
      <c r="C1279" s="3">
        <v>1.2E-2</v>
      </c>
      <c r="D1279" s="1">
        <v>0.5</v>
      </c>
      <c r="E1279" s="4">
        <v>0.25</v>
      </c>
      <c r="F1279" s="4">
        <v>0.33</v>
      </c>
      <c r="G1279" s="4">
        <v>0.41999999999999993</v>
      </c>
      <c r="H1279" s="17">
        <f t="shared" si="38"/>
        <v>6.6998239838445527E-7</v>
      </c>
      <c r="L1279">
        <f t="shared" si="39"/>
        <v>6.0000000000000001E-3</v>
      </c>
    </row>
    <row r="1280" spans="1:12" x14ac:dyDescent="0.25">
      <c r="A1280" s="1">
        <v>1279</v>
      </c>
      <c r="B1280" s="2">
        <v>410942</v>
      </c>
      <c r="C1280" s="3">
        <v>1.4999999999999999E-2</v>
      </c>
      <c r="D1280" s="1">
        <v>0.5</v>
      </c>
      <c r="E1280" s="4">
        <v>0.16</v>
      </c>
      <c r="F1280" s="4">
        <v>0.19</v>
      </c>
      <c r="G1280" s="4">
        <v>0.65</v>
      </c>
      <c r="H1280" s="17">
        <f t="shared" si="38"/>
        <v>6.2129670435999312E-7</v>
      </c>
      <c r="L1280">
        <f t="shared" si="39"/>
        <v>7.4999999999999997E-3</v>
      </c>
    </row>
    <row r="1281" spans="1:12" x14ac:dyDescent="0.25">
      <c r="A1281" s="1">
        <v>1280</v>
      </c>
      <c r="B1281" s="2">
        <v>587176</v>
      </c>
      <c r="C1281" s="3">
        <v>8.0000000000000002E-3</v>
      </c>
      <c r="D1281" s="1">
        <v>0.5</v>
      </c>
      <c r="E1281" s="4">
        <v>0.2</v>
      </c>
      <c r="F1281" s="4">
        <v>0.34</v>
      </c>
      <c r="G1281" s="4">
        <v>0.45999999999999991</v>
      </c>
      <c r="H1281" s="17">
        <f t="shared" si="38"/>
        <v>4.734624528415635E-7</v>
      </c>
      <c r="L1281">
        <f t="shared" si="39"/>
        <v>4.0000000000000001E-3</v>
      </c>
    </row>
    <row r="1282" spans="1:12" x14ac:dyDescent="0.25">
      <c r="A1282" s="1">
        <v>1281</v>
      </c>
      <c r="B1282" s="2">
        <v>630383</v>
      </c>
      <c r="C1282" s="3">
        <v>1.0999999999999999E-2</v>
      </c>
      <c r="D1282" s="1">
        <v>0.5</v>
      </c>
      <c r="E1282" s="4">
        <v>0.21</v>
      </c>
      <c r="F1282" s="4">
        <v>0.31</v>
      </c>
      <c r="G1282" s="4">
        <v>0.48</v>
      </c>
      <c r="H1282" s="17">
        <f t="shared" si="38"/>
        <v>6.9891512415056477E-7</v>
      </c>
      <c r="L1282">
        <f t="shared" si="39"/>
        <v>5.4999999999999997E-3</v>
      </c>
    </row>
    <row r="1283" spans="1:12" x14ac:dyDescent="0.25">
      <c r="A1283" s="1">
        <v>1282</v>
      </c>
      <c r="B1283" s="2">
        <v>868944</v>
      </c>
      <c r="C1283" s="3">
        <v>0.01</v>
      </c>
      <c r="D1283" s="1">
        <v>0.5</v>
      </c>
      <c r="E1283" s="4">
        <v>0.15</v>
      </c>
      <c r="F1283" s="4">
        <v>0.24</v>
      </c>
      <c r="G1283" s="4">
        <v>0.61</v>
      </c>
      <c r="H1283" s="17">
        <f t="shared" ref="H1283:H1346" si="40">B1283*C1283*D1283/SUM($B$2:$B$1797)</f>
        <v>8.7582845182270639E-7</v>
      </c>
      <c r="L1283">
        <f t="shared" ref="L1283:L1346" si="41">C1283*D1283</f>
        <v>5.0000000000000001E-3</v>
      </c>
    </row>
    <row r="1284" spans="1:12" x14ac:dyDescent="0.25">
      <c r="A1284" s="1">
        <v>1283</v>
      </c>
      <c r="B1284" s="2">
        <v>868833</v>
      </c>
      <c r="C1284" s="3">
        <v>8.9999999999999993E-3</v>
      </c>
      <c r="D1284" s="1">
        <v>0.5</v>
      </c>
      <c r="E1284" s="4">
        <v>0.25</v>
      </c>
      <c r="F1284" s="4">
        <v>0.24</v>
      </c>
      <c r="G1284" s="4">
        <v>0.51</v>
      </c>
      <c r="H1284" s="17">
        <f t="shared" si="40"/>
        <v>7.8814491515475059E-7</v>
      </c>
      <c r="L1284">
        <f t="shared" si="41"/>
        <v>4.4999999999999997E-3</v>
      </c>
    </row>
    <row r="1285" spans="1:12" x14ac:dyDescent="0.25">
      <c r="A1285" s="1">
        <v>1284</v>
      </c>
      <c r="B1285" s="2">
        <v>833032</v>
      </c>
      <c r="C1285" s="3">
        <v>1.2999999999999999E-2</v>
      </c>
      <c r="D1285" s="1">
        <v>0.5</v>
      </c>
      <c r="E1285" s="4">
        <v>0.17</v>
      </c>
      <c r="F1285" s="4">
        <v>0.27</v>
      </c>
      <c r="G1285" s="4">
        <v>0.55999999999999994</v>
      </c>
      <c r="H1285" s="17">
        <f t="shared" si="40"/>
        <v>1.0915215076488294E-6</v>
      </c>
      <c r="L1285">
        <f t="shared" si="41"/>
        <v>6.4999999999999997E-3</v>
      </c>
    </row>
    <row r="1286" spans="1:12" x14ac:dyDescent="0.25">
      <c r="A1286" s="1">
        <v>1285</v>
      </c>
      <c r="B1286" s="2">
        <v>614573</v>
      </c>
      <c r="C1286" s="3">
        <v>1.2999999999999999E-2</v>
      </c>
      <c r="D1286" s="1">
        <v>0.5</v>
      </c>
      <c r="E1286" s="4">
        <v>0.15</v>
      </c>
      <c r="F1286" s="4">
        <v>0.18</v>
      </c>
      <c r="G1286" s="4">
        <v>0.67</v>
      </c>
      <c r="H1286" s="17">
        <f t="shared" si="40"/>
        <v>8.0527476437911636E-7</v>
      </c>
      <c r="L1286">
        <f t="shared" si="41"/>
        <v>6.4999999999999997E-3</v>
      </c>
    </row>
    <row r="1287" spans="1:12" x14ac:dyDescent="0.25">
      <c r="A1287" s="1">
        <v>1286</v>
      </c>
      <c r="B1287" s="2">
        <v>453211</v>
      </c>
      <c r="C1287" s="3">
        <v>6.0000000000000001E-3</v>
      </c>
      <c r="D1287" s="1">
        <v>0.5</v>
      </c>
      <c r="E1287" s="4">
        <v>0.25</v>
      </c>
      <c r="F1287" s="4">
        <v>0.3</v>
      </c>
      <c r="G1287" s="4">
        <v>0.44999999999999996</v>
      </c>
      <c r="H1287" s="17">
        <f t="shared" si="40"/>
        <v>2.7408101452730252E-7</v>
      </c>
      <c r="L1287">
        <f t="shared" si="41"/>
        <v>3.0000000000000001E-3</v>
      </c>
    </row>
    <row r="1288" spans="1:12" x14ac:dyDescent="0.25">
      <c r="A1288" s="1">
        <v>1287</v>
      </c>
      <c r="B1288" s="2">
        <v>691882</v>
      </c>
      <c r="C1288" s="3">
        <v>1.2999999999999999E-2</v>
      </c>
      <c r="D1288" s="1">
        <v>0.5</v>
      </c>
      <c r="E1288" s="4">
        <v>0.21</v>
      </c>
      <c r="F1288" s="4">
        <v>0.2</v>
      </c>
      <c r="G1288" s="4">
        <v>0.59000000000000008</v>
      </c>
      <c r="H1288" s="17">
        <f t="shared" si="40"/>
        <v>9.065727172006448E-7</v>
      </c>
      <c r="L1288">
        <f t="shared" si="41"/>
        <v>6.4999999999999997E-3</v>
      </c>
    </row>
    <row r="1289" spans="1:12" x14ac:dyDescent="0.25">
      <c r="A1289" s="1">
        <v>1288</v>
      </c>
      <c r="B1289" s="2">
        <v>758311</v>
      </c>
      <c r="C1289" s="3">
        <v>8.0000000000000002E-3</v>
      </c>
      <c r="D1289" s="1">
        <v>0.5</v>
      </c>
      <c r="E1289" s="4">
        <v>0.19</v>
      </c>
      <c r="F1289" s="4">
        <v>0.25</v>
      </c>
      <c r="G1289" s="4">
        <v>0.56000000000000005</v>
      </c>
      <c r="H1289" s="17">
        <f t="shared" si="40"/>
        <v>6.1145514475513115E-7</v>
      </c>
      <c r="L1289">
        <f t="shared" si="41"/>
        <v>4.0000000000000001E-3</v>
      </c>
    </row>
    <row r="1290" spans="1:12" x14ac:dyDescent="0.25">
      <c r="A1290" s="1">
        <v>1289</v>
      </c>
      <c r="B1290" s="2">
        <v>902030</v>
      </c>
      <c r="C1290" s="3">
        <v>6.0000000000000001E-3</v>
      </c>
      <c r="D1290" s="1">
        <v>0.5</v>
      </c>
      <c r="E1290" s="4">
        <v>0.18</v>
      </c>
      <c r="F1290" s="4">
        <v>0.28000000000000003</v>
      </c>
      <c r="G1290" s="4">
        <v>0.54</v>
      </c>
      <c r="H1290" s="17">
        <f t="shared" si="40"/>
        <v>5.4550595094572435E-7</v>
      </c>
      <c r="L1290">
        <f t="shared" si="41"/>
        <v>3.0000000000000001E-3</v>
      </c>
    </row>
    <row r="1291" spans="1:12" x14ac:dyDescent="0.25">
      <c r="A1291" s="1">
        <v>1290</v>
      </c>
      <c r="B1291" s="2">
        <v>660313</v>
      </c>
      <c r="C1291" s="3">
        <v>1.2E-2</v>
      </c>
      <c r="D1291" s="1">
        <v>0.5</v>
      </c>
      <c r="E1291" s="4">
        <v>0.21</v>
      </c>
      <c r="F1291" s="4">
        <v>0.19</v>
      </c>
      <c r="G1291" s="4">
        <v>0.60000000000000009</v>
      </c>
      <c r="H1291" s="17">
        <f t="shared" si="40"/>
        <v>7.9865341726289391E-7</v>
      </c>
      <c r="L1291">
        <f t="shared" si="41"/>
        <v>6.0000000000000001E-3</v>
      </c>
    </row>
    <row r="1292" spans="1:12" x14ac:dyDescent="0.25">
      <c r="A1292" s="1">
        <v>1291</v>
      </c>
      <c r="B1292" s="2">
        <v>783516</v>
      </c>
      <c r="C1292" s="3">
        <v>6.0000000000000001E-3</v>
      </c>
      <c r="D1292" s="1">
        <v>0.5</v>
      </c>
      <c r="E1292" s="4">
        <v>0.2</v>
      </c>
      <c r="F1292" s="4">
        <v>0.17</v>
      </c>
      <c r="G1292" s="4">
        <v>0.62999999999999989</v>
      </c>
      <c r="H1292" s="17">
        <f t="shared" si="40"/>
        <v>4.7383417476269102E-7</v>
      </c>
      <c r="L1292">
        <f t="shared" si="41"/>
        <v>3.0000000000000001E-3</v>
      </c>
    </row>
    <row r="1293" spans="1:12" x14ac:dyDescent="0.25">
      <c r="A1293" s="1">
        <v>1292</v>
      </c>
      <c r="B1293" s="2">
        <v>503798</v>
      </c>
      <c r="C1293" s="3">
        <v>0.01</v>
      </c>
      <c r="D1293" s="1">
        <v>0.5</v>
      </c>
      <c r="E1293" s="4">
        <v>0.17</v>
      </c>
      <c r="F1293" s="4">
        <v>0.23</v>
      </c>
      <c r="G1293" s="4">
        <v>0.6</v>
      </c>
      <c r="H1293" s="17">
        <f t="shared" si="40"/>
        <v>5.0778948053197427E-7</v>
      </c>
      <c r="L1293">
        <f t="shared" si="41"/>
        <v>5.0000000000000001E-3</v>
      </c>
    </row>
    <row r="1294" spans="1:12" x14ac:dyDescent="0.25">
      <c r="A1294" s="1">
        <v>1293</v>
      </c>
      <c r="B1294" s="2">
        <v>786640</v>
      </c>
      <c r="C1294" s="3">
        <v>1.4E-2</v>
      </c>
      <c r="D1294" s="1">
        <v>0.5</v>
      </c>
      <c r="E1294" s="4">
        <v>0.24</v>
      </c>
      <c r="F1294" s="4">
        <v>0.35</v>
      </c>
      <c r="G1294" s="4">
        <v>0.41000000000000003</v>
      </c>
      <c r="H1294" s="17">
        <f t="shared" si="40"/>
        <v>1.1100213255152683E-6</v>
      </c>
      <c r="L1294">
        <f t="shared" si="41"/>
        <v>7.0000000000000001E-3</v>
      </c>
    </row>
    <row r="1295" spans="1:12" x14ac:dyDescent="0.25">
      <c r="A1295" s="1">
        <v>1294</v>
      </c>
      <c r="B1295" s="2">
        <v>892037</v>
      </c>
      <c r="C1295" s="3">
        <v>1.4999999999999999E-2</v>
      </c>
      <c r="D1295" s="1">
        <v>0.5</v>
      </c>
      <c r="E1295" s="4">
        <v>0.24</v>
      </c>
      <c r="F1295" s="4">
        <v>0.32</v>
      </c>
      <c r="G1295" s="4">
        <v>0.43999999999999995</v>
      </c>
      <c r="H1295" s="17">
        <f t="shared" si="40"/>
        <v>1.3486566188590488E-6</v>
      </c>
      <c r="L1295">
        <f t="shared" si="41"/>
        <v>7.4999999999999997E-3</v>
      </c>
    </row>
    <row r="1296" spans="1:12" x14ac:dyDescent="0.25">
      <c r="A1296" s="1">
        <v>1295</v>
      </c>
      <c r="B1296" s="2">
        <v>902270</v>
      </c>
      <c r="C1296" s="3">
        <v>6.0000000000000001E-3</v>
      </c>
      <c r="D1296" s="1">
        <v>0.5</v>
      </c>
      <c r="E1296" s="4">
        <v>0.15</v>
      </c>
      <c r="F1296" s="4">
        <v>0.21</v>
      </c>
      <c r="G1296" s="4">
        <v>0.64</v>
      </c>
      <c r="H1296" s="17">
        <f t="shared" si="40"/>
        <v>5.4565109182599101E-7</v>
      </c>
      <c r="L1296">
        <f t="shared" si="41"/>
        <v>3.0000000000000001E-3</v>
      </c>
    </row>
    <row r="1297" spans="1:12" x14ac:dyDescent="0.25">
      <c r="A1297" s="1">
        <v>1296</v>
      </c>
      <c r="B1297" s="2">
        <v>629258</v>
      </c>
      <c r="C1297" s="3">
        <v>8.0000000000000002E-3</v>
      </c>
      <c r="D1297" s="1">
        <v>0.5</v>
      </c>
      <c r="E1297" s="4">
        <v>0.16</v>
      </c>
      <c r="F1297" s="4">
        <v>0.19</v>
      </c>
      <c r="G1297" s="4">
        <v>0.65</v>
      </c>
      <c r="H1297" s="17">
        <f t="shared" si="40"/>
        <v>5.073947779714712E-7</v>
      </c>
      <c r="L1297">
        <f t="shared" si="41"/>
        <v>4.0000000000000001E-3</v>
      </c>
    </row>
    <row r="1298" spans="1:12" x14ac:dyDescent="0.25">
      <c r="A1298" s="1">
        <v>1297</v>
      </c>
      <c r="B1298" s="2">
        <v>462309</v>
      </c>
      <c r="C1298" s="3">
        <v>1.2999999999999999E-2</v>
      </c>
      <c r="D1298" s="1">
        <v>0.5</v>
      </c>
      <c r="E1298" s="4">
        <v>0.15</v>
      </c>
      <c r="F1298" s="4">
        <v>0.28999999999999998</v>
      </c>
      <c r="G1298" s="4">
        <v>0.55999999999999994</v>
      </c>
      <c r="H1298" s="17">
        <f t="shared" si="40"/>
        <v>6.0576330402628318E-7</v>
      </c>
      <c r="L1298">
        <f t="shared" si="41"/>
        <v>6.4999999999999997E-3</v>
      </c>
    </row>
    <row r="1299" spans="1:12" x14ac:dyDescent="0.25">
      <c r="A1299" s="1">
        <v>1298</v>
      </c>
      <c r="B1299" s="2">
        <v>348222</v>
      </c>
      <c r="C1299" s="3">
        <v>0.01</v>
      </c>
      <c r="D1299" s="1">
        <v>0.5</v>
      </c>
      <c r="E1299" s="4">
        <v>0.23</v>
      </c>
      <c r="F1299" s="4">
        <v>0.18</v>
      </c>
      <c r="G1299" s="4">
        <v>0.59000000000000008</v>
      </c>
      <c r="H1299" s="17">
        <f t="shared" si="40"/>
        <v>3.5098088616827609E-7</v>
      </c>
      <c r="L1299">
        <f t="shared" si="41"/>
        <v>5.0000000000000001E-3</v>
      </c>
    </row>
    <row r="1300" spans="1:12" x14ac:dyDescent="0.25">
      <c r="A1300" s="1">
        <v>1299</v>
      </c>
      <c r="B1300" s="2">
        <v>863124</v>
      </c>
      <c r="C1300" s="3">
        <v>0.01</v>
      </c>
      <c r="D1300" s="1">
        <v>0.5</v>
      </c>
      <c r="E1300" s="4">
        <v>0.22</v>
      </c>
      <c r="F1300" s="4">
        <v>0.35</v>
      </c>
      <c r="G1300" s="4">
        <v>0.43000000000000005</v>
      </c>
      <c r="H1300" s="17">
        <f t="shared" si="40"/>
        <v>8.6996234124526041E-7</v>
      </c>
      <c r="L1300">
        <f t="shared" si="41"/>
        <v>5.0000000000000001E-3</v>
      </c>
    </row>
    <row r="1301" spans="1:12" x14ac:dyDescent="0.25">
      <c r="A1301" s="1">
        <v>1300</v>
      </c>
      <c r="B1301" s="2">
        <v>678630</v>
      </c>
      <c r="C1301" s="3">
        <v>8.0000000000000002E-3</v>
      </c>
      <c r="D1301" s="1">
        <v>0.5</v>
      </c>
      <c r="E1301" s="4">
        <v>0.15</v>
      </c>
      <c r="F1301" s="4">
        <v>0.33</v>
      </c>
      <c r="G1301" s="4">
        <v>0.51999999999999991</v>
      </c>
      <c r="H1301" s="17">
        <f t="shared" si="40"/>
        <v>5.4720530875218031E-7</v>
      </c>
      <c r="L1301">
        <f t="shared" si="41"/>
        <v>4.0000000000000001E-3</v>
      </c>
    </row>
    <row r="1302" spans="1:12" x14ac:dyDescent="0.25">
      <c r="A1302" s="1">
        <v>1301</v>
      </c>
      <c r="B1302" s="2">
        <v>959892</v>
      </c>
      <c r="C1302" s="3">
        <v>1.4E-2</v>
      </c>
      <c r="D1302" s="1">
        <v>0.5</v>
      </c>
      <c r="E1302" s="4">
        <v>0.25</v>
      </c>
      <c r="F1302" s="4">
        <v>0.33</v>
      </c>
      <c r="G1302" s="4">
        <v>0.41999999999999993</v>
      </c>
      <c r="H1302" s="17">
        <f t="shared" si="40"/>
        <v>1.3544958178982785E-6</v>
      </c>
      <c r="L1302">
        <f t="shared" si="41"/>
        <v>7.0000000000000001E-3</v>
      </c>
    </row>
    <row r="1303" spans="1:12" x14ac:dyDescent="0.25">
      <c r="A1303" s="1">
        <v>1302</v>
      </c>
      <c r="B1303" s="2">
        <v>694479</v>
      </c>
      <c r="C1303" s="3">
        <v>1.0999999999999999E-2</v>
      </c>
      <c r="D1303" s="1">
        <v>0.5</v>
      </c>
      <c r="E1303" s="4">
        <v>0.22</v>
      </c>
      <c r="F1303" s="4">
        <v>0.3</v>
      </c>
      <c r="G1303" s="4">
        <v>0.48</v>
      </c>
      <c r="H1303" s="17">
        <f t="shared" si="40"/>
        <v>7.6997932448203724E-7</v>
      </c>
      <c r="L1303">
        <f t="shared" si="41"/>
        <v>5.4999999999999997E-3</v>
      </c>
    </row>
    <row r="1304" spans="1:12" x14ac:dyDescent="0.25">
      <c r="A1304" s="1">
        <v>1303</v>
      </c>
      <c r="B1304" s="2">
        <v>561877</v>
      </c>
      <c r="C1304" s="3">
        <v>5.0000000000000001E-3</v>
      </c>
      <c r="D1304" s="1">
        <v>0.5</v>
      </c>
      <c r="E1304" s="4">
        <v>0.15</v>
      </c>
      <c r="F1304" s="4">
        <v>0.32</v>
      </c>
      <c r="G1304" s="4">
        <v>0.52999999999999992</v>
      </c>
      <c r="H1304" s="17">
        <f t="shared" si="40"/>
        <v>2.8316431382504903E-7</v>
      </c>
      <c r="L1304">
        <f t="shared" si="41"/>
        <v>2.5000000000000001E-3</v>
      </c>
    </row>
    <row r="1305" spans="1:12" x14ac:dyDescent="0.25">
      <c r="A1305" s="1">
        <v>1304</v>
      </c>
      <c r="B1305" s="2">
        <v>641212</v>
      </c>
      <c r="C1305" s="3">
        <v>8.0000000000000002E-3</v>
      </c>
      <c r="D1305" s="1">
        <v>0.5</v>
      </c>
      <c r="E1305" s="4">
        <v>0.25</v>
      </c>
      <c r="F1305" s="4">
        <v>0.19</v>
      </c>
      <c r="G1305" s="4">
        <v>0.56000000000000005</v>
      </c>
      <c r="H1305" s="17">
        <f t="shared" si="40"/>
        <v>5.1703374509762764E-7</v>
      </c>
      <c r="L1305">
        <f t="shared" si="41"/>
        <v>4.0000000000000001E-3</v>
      </c>
    </row>
    <row r="1306" spans="1:12" x14ac:dyDescent="0.25">
      <c r="A1306" s="1">
        <v>1305</v>
      </c>
      <c r="B1306" s="2">
        <v>819977</v>
      </c>
      <c r="C1306" s="3">
        <v>0.01</v>
      </c>
      <c r="D1306" s="1">
        <v>0.5</v>
      </c>
      <c r="E1306" s="4">
        <v>0.24</v>
      </c>
      <c r="F1306" s="4">
        <v>0.19</v>
      </c>
      <c r="G1306" s="4">
        <v>0.57000000000000006</v>
      </c>
      <c r="H1306" s="17">
        <f t="shared" si="40"/>
        <v>8.2647349707257012E-7</v>
      </c>
      <c r="L1306">
        <f t="shared" si="41"/>
        <v>5.0000000000000001E-3</v>
      </c>
    </row>
    <row r="1307" spans="1:12" x14ac:dyDescent="0.25">
      <c r="A1307" s="1">
        <v>1306</v>
      </c>
      <c r="B1307" s="2">
        <v>492742</v>
      </c>
      <c r="C1307" s="3">
        <v>5.0000000000000001E-3</v>
      </c>
      <c r="D1307" s="1">
        <v>0.5</v>
      </c>
      <c r="E1307" s="4">
        <v>0.23</v>
      </c>
      <c r="F1307" s="4">
        <v>0.21</v>
      </c>
      <c r="G1307" s="4">
        <v>0.56000000000000005</v>
      </c>
      <c r="H1307" s="17">
        <f t="shared" si="40"/>
        <v>2.4832294314019314E-7</v>
      </c>
      <c r="L1307">
        <f t="shared" si="41"/>
        <v>2.5000000000000001E-3</v>
      </c>
    </row>
    <row r="1308" spans="1:12" x14ac:dyDescent="0.25">
      <c r="A1308" s="1">
        <v>1307</v>
      </c>
      <c r="B1308" s="2">
        <v>553915</v>
      </c>
      <c r="C1308" s="3">
        <v>8.9999999999999993E-3</v>
      </c>
      <c r="D1308" s="1">
        <v>0.5</v>
      </c>
      <c r="E1308" s="4">
        <v>0.24</v>
      </c>
      <c r="F1308" s="4">
        <v>0.33</v>
      </c>
      <c r="G1308" s="4">
        <v>0.42999999999999994</v>
      </c>
      <c r="H1308" s="17">
        <f t="shared" si="40"/>
        <v>5.024731918308164E-7</v>
      </c>
      <c r="L1308">
        <f t="shared" si="41"/>
        <v>4.4999999999999997E-3</v>
      </c>
    </row>
    <row r="1309" spans="1:12" x14ac:dyDescent="0.25">
      <c r="A1309" s="1">
        <v>1308</v>
      </c>
      <c r="B1309" s="2">
        <v>787204</v>
      </c>
      <c r="C1309" s="3">
        <v>6.0000000000000001E-3</v>
      </c>
      <c r="D1309" s="1">
        <v>0.5</v>
      </c>
      <c r="E1309" s="4">
        <v>0.24</v>
      </c>
      <c r="F1309" s="4">
        <v>0.3</v>
      </c>
      <c r="G1309" s="4">
        <v>0.45999999999999996</v>
      </c>
      <c r="H1309" s="17">
        <f t="shared" si="40"/>
        <v>4.7606450628945602E-7</v>
      </c>
      <c r="L1309">
        <f t="shared" si="41"/>
        <v>3.0000000000000001E-3</v>
      </c>
    </row>
    <row r="1310" spans="1:12" x14ac:dyDescent="0.25">
      <c r="A1310" s="1">
        <v>1309</v>
      </c>
      <c r="B1310" s="2">
        <v>422565</v>
      </c>
      <c r="C1310" s="3">
        <v>7.0000000000000001E-3</v>
      </c>
      <c r="D1310" s="1">
        <v>0.5</v>
      </c>
      <c r="E1310" s="4">
        <v>0.21</v>
      </c>
      <c r="F1310" s="4">
        <v>0.15</v>
      </c>
      <c r="G1310" s="4">
        <v>0.64</v>
      </c>
      <c r="H1310" s="17">
        <f t="shared" si="40"/>
        <v>2.9813902256201011E-7</v>
      </c>
      <c r="L1310">
        <f t="shared" si="41"/>
        <v>3.5000000000000001E-3</v>
      </c>
    </row>
    <row r="1311" spans="1:12" x14ac:dyDescent="0.25">
      <c r="A1311" s="1">
        <v>1310</v>
      </c>
      <c r="B1311" s="2">
        <v>758065</v>
      </c>
      <c r="C1311" s="3">
        <v>1.2E-2</v>
      </c>
      <c r="D1311" s="1">
        <v>0.5</v>
      </c>
      <c r="E1311" s="4">
        <v>0.16</v>
      </c>
      <c r="F1311" s="4">
        <v>0.22</v>
      </c>
      <c r="G1311" s="4">
        <v>0.62</v>
      </c>
      <c r="H1311" s="17">
        <f t="shared" si="40"/>
        <v>9.1688517832814997E-7</v>
      </c>
      <c r="L1311">
        <f t="shared" si="41"/>
        <v>6.0000000000000001E-3</v>
      </c>
    </row>
    <row r="1312" spans="1:12" x14ac:dyDescent="0.25">
      <c r="A1312" s="1">
        <v>1311</v>
      </c>
      <c r="B1312" s="2">
        <v>621424</v>
      </c>
      <c r="C1312" s="3">
        <v>1.2999999999999999E-2</v>
      </c>
      <c r="D1312" s="1">
        <v>0.5</v>
      </c>
      <c r="E1312" s="4">
        <v>0.18</v>
      </c>
      <c r="F1312" s="4">
        <v>0.27</v>
      </c>
      <c r="G1312" s="4">
        <v>0.55000000000000004</v>
      </c>
      <c r="H1312" s="17">
        <f t="shared" si="40"/>
        <v>8.1425162703133403E-7</v>
      </c>
      <c r="L1312">
        <f t="shared" si="41"/>
        <v>6.4999999999999997E-3</v>
      </c>
    </row>
    <row r="1313" spans="1:12" x14ac:dyDescent="0.25">
      <c r="A1313" s="1">
        <v>1312</v>
      </c>
      <c r="B1313" s="2">
        <v>407597</v>
      </c>
      <c r="C1313" s="3">
        <v>1.4999999999999999E-2</v>
      </c>
      <c r="D1313" s="1">
        <v>0.5</v>
      </c>
      <c r="E1313" s="4">
        <v>0.21</v>
      </c>
      <c r="F1313" s="4">
        <v>0.31</v>
      </c>
      <c r="G1313" s="4">
        <v>0.48</v>
      </c>
      <c r="H1313" s="17">
        <f t="shared" si="40"/>
        <v>6.1623945181320021E-7</v>
      </c>
      <c r="L1313">
        <f t="shared" si="41"/>
        <v>7.4999999999999997E-3</v>
      </c>
    </row>
    <row r="1314" spans="1:12" x14ac:dyDescent="0.25">
      <c r="A1314" s="1">
        <v>1313</v>
      </c>
      <c r="B1314" s="2">
        <v>262860</v>
      </c>
      <c r="C1314" s="3">
        <v>1.2999999999999999E-2</v>
      </c>
      <c r="D1314" s="1">
        <v>0.5</v>
      </c>
      <c r="E1314" s="4">
        <v>0.24</v>
      </c>
      <c r="F1314" s="4">
        <v>0.32</v>
      </c>
      <c r="G1314" s="4">
        <v>0.43999999999999995</v>
      </c>
      <c r="H1314" s="17">
        <f t="shared" si="40"/>
        <v>3.4442535640956326E-7</v>
      </c>
      <c r="L1314">
        <f t="shared" si="41"/>
        <v>6.4999999999999997E-3</v>
      </c>
    </row>
    <row r="1315" spans="1:12" x14ac:dyDescent="0.25">
      <c r="A1315" s="1">
        <v>1314</v>
      </c>
      <c r="B1315" s="2">
        <v>373752</v>
      </c>
      <c r="C1315" s="3">
        <v>1.4E-2</v>
      </c>
      <c r="D1315" s="1">
        <v>0.5</v>
      </c>
      <c r="E1315" s="4">
        <v>0.25</v>
      </c>
      <c r="F1315" s="4">
        <v>0.27</v>
      </c>
      <c r="G1315" s="4">
        <v>0.48</v>
      </c>
      <c r="H1315" s="17">
        <f t="shared" si="40"/>
        <v>5.2739841662511762E-7</v>
      </c>
      <c r="L1315">
        <f t="shared" si="41"/>
        <v>7.0000000000000001E-3</v>
      </c>
    </row>
    <row r="1316" spans="1:12" x14ac:dyDescent="0.25">
      <c r="A1316" s="1">
        <v>1315</v>
      </c>
      <c r="B1316" s="2">
        <v>483264</v>
      </c>
      <c r="C1316" s="3">
        <v>8.9999999999999993E-3</v>
      </c>
      <c r="D1316" s="1">
        <v>0.5</v>
      </c>
      <c r="E1316" s="4">
        <v>0.23</v>
      </c>
      <c r="F1316" s="4">
        <v>0.34</v>
      </c>
      <c r="G1316" s="4">
        <v>0.42999999999999994</v>
      </c>
      <c r="H1316" s="17">
        <f t="shared" si="40"/>
        <v>4.3838351475754876E-7</v>
      </c>
      <c r="L1316">
        <f t="shared" si="41"/>
        <v>4.4999999999999997E-3</v>
      </c>
    </row>
    <row r="1317" spans="1:12" x14ac:dyDescent="0.25">
      <c r="A1317" s="1">
        <v>1316</v>
      </c>
      <c r="B1317" s="2">
        <v>533506</v>
      </c>
      <c r="C1317" s="3">
        <v>1.0999999999999999E-2</v>
      </c>
      <c r="D1317" s="1">
        <v>0.5</v>
      </c>
      <c r="E1317" s="4">
        <v>0.19</v>
      </c>
      <c r="F1317" s="4">
        <v>0.25</v>
      </c>
      <c r="G1317" s="4">
        <v>0.56000000000000005</v>
      </c>
      <c r="H1317" s="17">
        <f t="shared" si="40"/>
        <v>5.9150613551614057E-7</v>
      </c>
      <c r="L1317">
        <f t="shared" si="41"/>
        <v>5.4999999999999997E-3</v>
      </c>
    </row>
    <row r="1318" spans="1:12" x14ac:dyDescent="0.25">
      <c r="A1318" s="1">
        <v>1317</v>
      </c>
      <c r="B1318" s="2">
        <v>356221</v>
      </c>
      <c r="C1318" s="3">
        <v>1.4E-2</v>
      </c>
      <c r="D1318" s="1">
        <v>0.5</v>
      </c>
      <c r="E1318" s="4">
        <v>0.25</v>
      </c>
      <c r="F1318" s="4">
        <v>0.16</v>
      </c>
      <c r="G1318" s="4">
        <v>0.59</v>
      </c>
      <c r="H1318" s="17">
        <f t="shared" si="40"/>
        <v>5.026605646755496E-7</v>
      </c>
      <c r="L1318">
        <f t="shared" si="41"/>
        <v>7.0000000000000001E-3</v>
      </c>
    </row>
    <row r="1319" spans="1:12" x14ac:dyDescent="0.25">
      <c r="A1319" s="1">
        <v>1318</v>
      </c>
      <c r="B1319" s="2">
        <v>680413</v>
      </c>
      <c r="C1319" s="3">
        <v>1.2E-2</v>
      </c>
      <c r="D1319" s="1">
        <v>0.5</v>
      </c>
      <c r="E1319" s="4">
        <v>0.2</v>
      </c>
      <c r="F1319" s="4">
        <v>0.22</v>
      </c>
      <c r="G1319" s="4">
        <v>0.58000000000000007</v>
      </c>
      <c r="H1319" s="17">
        <f t="shared" si="40"/>
        <v>8.2296451470756656E-7</v>
      </c>
      <c r="L1319">
        <f t="shared" si="41"/>
        <v>6.0000000000000001E-3</v>
      </c>
    </row>
    <row r="1320" spans="1:12" x14ac:dyDescent="0.25">
      <c r="A1320" s="1">
        <v>1319</v>
      </c>
      <c r="B1320" s="2">
        <v>944025</v>
      </c>
      <c r="C1320" s="3">
        <v>8.9999999999999993E-3</v>
      </c>
      <c r="D1320" s="1">
        <v>0.5</v>
      </c>
      <c r="E1320" s="4">
        <v>0.23</v>
      </c>
      <c r="F1320" s="4">
        <v>0.24</v>
      </c>
      <c r="G1320" s="4">
        <v>0.53</v>
      </c>
      <c r="H1320" s="17">
        <f t="shared" si="40"/>
        <v>8.5635387183608751E-7</v>
      </c>
      <c r="L1320">
        <f t="shared" si="41"/>
        <v>4.4999999999999997E-3</v>
      </c>
    </row>
    <row r="1321" spans="1:12" x14ac:dyDescent="0.25">
      <c r="A1321" s="1">
        <v>1320</v>
      </c>
      <c r="B1321" s="2">
        <v>831624</v>
      </c>
      <c r="C1321" s="3">
        <v>6.0000000000000001E-3</v>
      </c>
      <c r="D1321" s="1">
        <v>0.5</v>
      </c>
      <c r="E1321" s="4">
        <v>0.22</v>
      </c>
      <c r="F1321" s="4">
        <v>0.28999999999999998</v>
      </c>
      <c r="G1321" s="4">
        <v>0.49</v>
      </c>
      <c r="H1321" s="17">
        <f t="shared" si="40"/>
        <v>5.0292766421215154E-7</v>
      </c>
      <c r="L1321">
        <f t="shared" si="41"/>
        <v>3.0000000000000001E-3</v>
      </c>
    </row>
    <row r="1322" spans="1:12" x14ac:dyDescent="0.25">
      <c r="A1322" s="1">
        <v>1321</v>
      </c>
      <c r="B1322" s="2">
        <v>979473</v>
      </c>
      <c r="C1322" s="3">
        <v>1.0999999999999999E-2</v>
      </c>
      <c r="D1322" s="1">
        <v>0.5</v>
      </c>
      <c r="E1322" s="4">
        <v>0.21</v>
      </c>
      <c r="F1322" s="4">
        <v>0.16</v>
      </c>
      <c r="G1322" s="4">
        <v>0.63</v>
      </c>
      <c r="H1322" s="17">
        <f t="shared" si="40"/>
        <v>1.085956463605659E-6</v>
      </c>
      <c r="L1322">
        <f t="shared" si="41"/>
        <v>5.4999999999999997E-3</v>
      </c>
    </row>
    <row r="1323" spans="1:12" x14ac:dyDescent="0.25">
      <c r="A1323" s="1">
        <v>1322</v>
      </c>
      <c r="B1323" s="2">
        <v>243968</v>
      </c>
      <c r="C1323" s="3">
        <v>1.4999999999999999E-2</v>
      </c>
      <c r="D1323" s="1">
        <v>0.5</v>
      </c>
      <c r="E1323" s="4">
        <v>0.18</v>
      </c>
      <c r="F1323" s="4">
        <v>0.28000000000000003</v>
      </c>
      <c r="G1323" s="4">
        <v>0.54</v>
      </c>
      <c r="H1323" s="17">
        <f t="shared" si="40"/>
        <v>3.688513570511138E-7</v>
      </c>
      <c r="L1323">
        <f t="shared" si="41"/>
        <v>7.4999999999999997E-3</v>
      </c>
    </row>
    <row r="1324" spans="1:12" x14ac:dyDescent="0.25">
      <c r="A1324" s="1">
        <v>1323</v>
      </c>
      <c r="B1324" s="2">
        <v>333980</v>
      </c>
      <c r="C1324" s="3">
        <v>6.0000000000000001E-3</v>
      </c>
      <c r="D1324" s="1">
        <v>0.5</v>
      </c>
      <c r="E1324" s="4">
        <v>0.23</v>
      </c>
      <c r="F1324" s="4">
        <v>0.17</v>
      </c>
      <c r="G1324" s="4">
        <v>0.6</v>
      </c>
      <c r="H1324" s="17">
        <f t="shared" si="40"/>
        <v>2.0197562996447238E-7</v>
      </c>
      <c r="L1324">
        <f t="shared" si="41"/>
        <v>3.0000000000000001E-3</v>
      </c>
    </row>
    <row r="1325" spans="1:12" x14ac:dyDescent="0.25">
      <c r="A1325" s="1">
        <v>1324</v>
      </c>
      <c r="B1325" s="2">
        <v>917419</v>
      </c>
      <c r="C1325" s="3">
        <v>1.2E-2</v>
      </c>
      <c r="D1325" s="1">
        <v>0.5</v>
      </c>
      <c r="E1325" s="4">
        <v>0.17</v>
      </c>
      <c r="F1325" s="4">
        <v>0.26</v>
      </c>
      <c r="G1325" s="4">
        <v>0.56999999999999995</v>
      </c>
      <c r="H1325" s="17">
        <f t="shared" si="40"/>
        <v>1.1096250102783177E-6</v>
      </c>
      <c r="L1325">
        <f t="shared" si="41"/>
        <v>6.0000000000000001E-3</v>
      </c>
    </row>
    <row r="1326" spans="1:12" x14ac:dyDescent="0.25">
      <c r="A1326" s="1">
        <v>1325</v>
      </c>
      <c r="B1326" s="2">
        <v>857577</v>
      </c>
      <c r="C1326" s="3">
        <v>8.9999999999999993E-3</v>
      </c>
      <c r="D1326" s="1">
        <v>0.5</v>
      </c>
      <c r="E1326" s="4">
        <v>0.19</v>
      </c>
      <c r="F1326" s="4">
        <v>0.24</v>
      </c>
      <c r="G1326" s="4">
        <v>0.57000000000000006</v>
      </c>
      <c r="H1326" s="17">
        <f t="shared" si="40"/>
        <v>7.7793425422798808E-7</v>
      </c>
      <c r="L1326">
        <f t="shared" si="41"/>
        <v>4.4999999999999997E-3</v>
      </c>
    </row>
    <row r="1327" spans="1:12" x14ac:dyDescent="0.25">
      <c r="A1327" s="1">
        <v>1326</v>
      </c>
      <c r="B1327" s="2">
        <v>782706</v>
      </c>
      <c r="C1327" s="3">
        <v>1.4E-2</v>
      </c>
      <c r="D1327" s="1">
        <v>0.5</v>
      </c>
      <c r="E1327" s="4">
        <v>0.25</v>
      </c>
      <c r="F1327" s="4">
        <v>0.35</v>
      </c>
      <c r="G1327" s="4">
        <v>0.4</v>
      </c>
      <c r="H1327" s="17">
        <f t="shared" si="40"/>
        <v>1.1044700900141786E-6</v>
      </c>
      <c r="L1327">
        <f t="shared" si="41"/>
        <v>7.0000000000000001E-3</v>
      </c>
    </row>
    <row r="1328" spans="1:12" x14ac:dyDescent="0.25">
      <c r="A1328" s="1">
        <v>1327</v>
      </c>
      <c r="B1328" s="2">
        <v>745979</v>
      </c>
      <c r="C1328" s="3">
        <v>1.0999999999999999E-2</v>
      </c>
      <c r="D1328" s="1">
        <v>0.5</v>
      </c>
      <c r="E1328" s="4">
        <v>0.25</v>
      </c>
      <c r="F1328" s="4">
        <v>0.26</v>
      </c>
      <c r="G1328" s="4">
        <v>0.49</v>
      </c>
      <c r="H1328" s="17">
        <f t="shared" si="40"/>
        <v>8.2707814994807003E-7</v>
      </c>
      <c r="L1328">
        <f t="shared" si="41"/>
        <v>5.4999999999999997E-3</v>
      </c>
    </row>
    <row r="1329" spans="1:12" x14ac:dyDescent="0.25">
      <c r="A1329" s="1">
        <v>1328</v>
      </c>
      <c r="B1329" s="2">
        <v>407255</v>
      </c>
      <c r="C1329" s="3">
        <v>7.0000000000000001E-3</v>
      </c>
      <c r="D1329" s="1">
        <v>0.5</v>
      </c>
      <c r="E1329" s="4">
        <v>0.23</v>
      </c>
      <c r="F1329" s="4">
        <v>0.31</v>
      </c>
      <c r="G1329" s="4">
        <v>0.45999999999999996</v>
      </c>
      <c r="H1329" s="17">
        <f t="shared" si="40"/>
        <v>2.8733711413271671E-7</v>
      </c>
      <c r="L1329">
        <f t="shared" si="41"/>
        <v>3.5000000000000001E-3</v>
      </c>
    </row>
    <row r="1330" spans="1:12" x14ac:dyDescent="0.25">
      <c r="A1330" s="1">
        <v>1329</v>
      </c>
      <c r="B1330" s="2">
        <v>232263</v>
      </c>
      <c r="C1330" s="3">
        <v>1.4999999999999999E-2</v>
      </c>
      <c r="D1330" s="1">
        <v>0.5</v>
      </c>
      <c r="E1330" s="4">
        <v>0.24</v>
      </c>
      <c r="F1330" s="4">
        <v>0.34</v>
      </c>
      <c r="G1330" s="4">
        <v>0.41999999999999993</v>
      </c>
      <c r="H1330" s="17">
        <f t="shared" si="40"/>
        <v>3.5115475284776219E-7</v>
      </c>
      <c r="L1330">
        <f t="shared" si="41"/>
        <v>7.4999999999999997E-3</v>
      </c>
    </row>
    <row r="1331" spans="1:12" x14ac:dyDescent="0.25">
      <c r="A1331" s="1">
        <v>1330</v>
      </c>
      <c r="B1331" s="2">
        <v>681816</v>
      </c>
      <c r="C1331" s="3">
        <v>1.2E-2</v>
      </c>
      <c r="D1331" s="1">
        <v>0.5</v>
      </c>
      <c r="E1331" s="4">
        <v>0.17</v>
      </c>
      <c r="F1331" s="4">
        <v>0.24</v>
      </c>
      <c r="G1331" s="4">
        <v>0.59</v>
      </c>
      <c r="H1331" s="17">
        <f t="shared" si="40"/>
        <v>8.246614534993515E-7</v>
      </c>
      <c r="L1331">
        <f t="shared" si="41"/>
        <v>6.0000000000000001E-3</v>
      </c>
    </row>
    <row r="1332" spans="1:12" x14ac:dyDescent="0.25">
      <c r="A1332" s="1">
        <v>1331</v>
      </c>
      <c r="B1332" s="2">
        <v>684206</v>
      </c>
      <c r="C1332" s="3">
        <v>5.0000000000000001E-3</v>
      </c>
      <c r="D1332" s="1">
        <v>0.5</v>
      </c>
      <c r="E1332" s="4">
        <v>0.16</v>
      </c>
      <c r="F1332" s="4">
        <v>0.34</v>
      </c>
      <c r="G1332" s="4">
        <v>0.49999999999999989</v>
      </c>
      <c r="H1332" s="17">
        <f t="shared" si="40"/>
        <v>3.448134066797208E-7</v>
      </c>
      <c r="L1332">
        <f t="shared" si="41"/>
        <v>2.5000000000000001E-3</v>
      </c>
    </row>
    <row r="1333" spans="1:12" x14ac:dyDescent="0.25">
      <c r="A1333" s="1">
        <v>1332</v>
      </c>
      <c r="B1333" s="2">
        <v>237225</v>
      </c>
      <c r="C1333" s="3">
        <v>1.0999999999999999E-2</v>
      </c>
      <c r="D1333" s="1">
        <v>0.5</v>
      </c>
      <c r="E1333" s="4">
        <v>0.17</v>
      </c>
      <c r="F1333" s="4">
        <v>0.33</v>
      </c>
      <c r="G1333" s="4">
        <v>0.49999999999999989</v>
      </c>
      <c r="H1333" s="17">
        <f t="shared" si="40"/>
        <v>2.6301492953746809E-7</v>
      </c>
      <c r="L1333">
        <f t="shared" si="41"/>
        <v>5.4999999999999997E-3</v>
      </c>
    </row>
    <row r="1334" spans="1:12" x14ac:dyDescent="0.25">
      <c r="A1334" s="1">
        <v>1333</v>
      </c>
      <c r="B1334" s="2">
        <v>855632</v>
      </c>
      <c r="C1334" s="3">
        <v>6.0000000000000001E-3</v>
      </c>
      <c r="D1334" s="1">
        <v>0.5</v>
      </c>
      <c r="E1334" s="4">
        <v>0.22</v>
      </c>
      <c r="F1334" s="4">
        <v>0.27</v>
      </c>
      <c r="G1334" s="4">
        <v>0.51</v>
      </c>
      <c r="H1334" s="17">
        <f t="shared" si="40"/>
        <v>5.174465902681641E-7</v>
      </c>
      <c r="L1334">
        <f t="shared" si="41"/>
        <v>3.0000000000000001E-3</v>
      </c>
    </row>
    <row r="1335" spans="1:12" x14ac:dyDescent="0.25">
      <c r="A1335" s="1">
        <v>1334</v>
      </c>
      <c r="B1335" s="2">
        <v>904362</v>
      </c>
      <c r="C1335" s="3">
        <v>0.01</v>
      </c>
      <c r="D1335" s="1">
        <v>0.5</v>
      </c>
      <c r="E1335" s="4">
        <v>0.22</v>
      </c>
      <c r="F1335" s="4">
        <v>0.34</v>
      </c>
      <c r="G1335" s="4">
        <v>0.43999999999999995</v>
      </c>
      <c r="H1335" s="17">
        <f t="shared" si="40"/>
        <v>9.1152706083163747E-7</v>
      </c>
      <c r="L1335">
        <f t="shared" si="41"/>
        <v>5.0000000000000001E-3</v>
      </c>
    </row>
    <row r="1336" spans="1:12" x14ac:dyDescent="0.25">
      <c r="A1336" s="1">
        <v>1335</v>
      </c>
      <c r="B1336" s="2">
        <v>940952</v>
      </c>
      <c r="C1336" s="3">
        <v>5.0000000000000001E-3</v>
      </c>
      <c r="D1336" s="1">
        <v>0.5</v>
      </c>
      <c r="E1336" s="4">
        <v>0.15</v>
      </c>
      <c r="F1336" s="4">
        <v>0.27</v>
      </c>
      <c r="G1336" s="4">
        <v>0.57999999999999996</v>
      </c>
      <c r="H1336" s="17">
        <f t="shared" si="40"/>
        <v>4.7420347766914741E-7</v>
      </c>
      <c r="L1336">
        <f t="shared" si="41"/>
        <v>2.5000000000000001E-3</v>
      </c>
    </row>
    <row r="1337" spans="1:12" x14ac:dyDescent="0.25">
      <c r="A1337" s="1">
        <v>1336</v>
      </c>
      <c r="B1337" s="2">
        <v>633455</v>
      </c>
      <c r="C1337" s="3">
        <v>5.0000000000000001E-3</v>
      </c>
      <c r="D1337" s="1">
        <v>0.5</v>
      </c>
      <c r="E1337" s="4">
        <v>0.15</v>
      </c>
      <c r="F1337" s="4">
        <v>0.28000000000000003</v>
      </c>
      <c r="G1337" s="4">
        <v>0.56999999999999995</v>
      </c>
      <c r="H1337" s="17">
        <f t="shared" si="40"/>
        <v>3.192368621852228E-7</v>
      </c>
      <c r="L1337">
        <f t="shared" si="41"/>
        <v>2.5000000000000001E-3</v>
      </c>
    </row>
    <row r="1338" spans="1:12" x14ac:dyDescent="0.25">
      <c r="A1338" s="1">
        <v>1337</v>
      </c>
      <c r="B1338" s="2">
        <v>258360</v>
      </c>
      <c r="C1338" s="3">
        <v>1.2E-2</v>
      </c>
      <c r="D1338" s="1">
        <v>0.5</v>
      </c>
      <c r="E1338" s="4">
        <v>0.2</v>
      </c>
      <c r="F1338" s="4">
        <v>0.26</v>
      </c>
      <c r="G1338" s="4">
        <v>0.54</v>
      </c>
      <c r="H1338" s="17">
        <f t="shared" si="40"/>
        <v>3.1248831521421092E-7</v>
      </c>
      <c r="L1338">
        <f t="shared" si="41"/>
        <v>6.0000000000000001E-3</v>
      </c>
    </row>
    <row r="1339" spans="1:12" x14ac:dyDescent="0.25">
      <c r="A1339" s="1">
        <v>1338</v>
      </c>
      <c r="B1339" s="2">
        <v>611749</v>
      </c>
      <c r="C1339" s="3">
        <v>5.0000000000000001E-3</v>
      </c>
      <c r="D1339" s="1">
        <v>0.5</v>
      </c>
      <c r="E1339" s="4">
        <v>0.23</v>
      </c>
      <c r="F1339" s="4">
        <v>0.31</v>
      </c>
      <c r="G1339" s="4">
        <v>0.45999999999999996</v>
      </c>
      <c r="H1339" s="17">
        <f t="shared" si="40"/>
        <v>3.0829787625789967E-7</v>
      </c>
      <c r="L1339">
        <f t="shared" si="41"/>
        <v>2.5000000000000001E-3</v>
      </c>
    </row>
    <row r="1340" spans="1:12" x14ac:dyDescent="0.25">
      <c r="A1340" s="1">
        <v>1339</v>
      </c>
      <c r="B1340" s="2">
        <v>803765</v>
      </c>
      <c r="C1340" s="3">
        <v>0.01</v>
      </c>
      <c r="D1340" s="1">
        <v>0.5</v>
      </c>
      <c r="E1340" s="4">
        <v>0.24</v>
      </c>
      <c r="F1340" s="4">
        <v>0.16</v>
      </c>
      <c r="G1340" s="4">
        <v>0.6</v>
      </c>
      <c r="H1340" s="17">
        <f t="shared" si="40"/>
        <v>8.1013305296921048E-7</v>
      </c>
      <c r="L1340">
        <f t="shared" si="41"/>
        <v>5.0000000000000001E-3</v>
      </c>
    </row>
    <row r="1341" spans="1:12" x14ac:dyDescent="0.25">
      <c r="A1341" s="1">
        <v>1340</v>
      </c>
      <c r="B1341" s="2">
        <v>314129</v>
      </c>
      <c r="C1341" s="3">
        <v>8.9999999999999993E-3</v>
      </c>
      <c r="D1341" s="1">
        <v>0.5</v>
      </c>
      <c r="E1341" s="4">
        <v>0.23</v>
      </c>
      <c r="F1341" s="4">
        <v>0.16</v>
      </c>
      <c r="G1341" s="4">
        <v>0.61</v>
      </c>
      <c r="H1341" s="17">
        <f t="shared" si="40"/>
        <v>2.8495599735811903E-7</v>
      </c>
      <c r="L1341">
        <f t="shared" si="41"/>
        <v>4.4999999999999997E-3</v>
      </c>
    </row>
    <row r="1342" spans="1:12" x14ac:dyDescent="0.25">
      <c r="A1342" s="1">
        <v>1341</v>
      </c>
      <c r="B1342" s="2">
        <v>843593</v>
      </c>
      <c r="C1342" s="3">
        <v>8.0000000000000002E-3</v>
      </c>
      <c r="D1342" s="1">
        <v>0.5</v>
      </c>
      <c r="E1342" s="4">
        <v>0.24</v>
      </c>
      <c r="F1342" s="4">
        <v>0.31</v>
      </c>
      <c r="G1342" s="4">
        <v>0.44999999999999996</v>
      </c>
      <c r="H1342" s="17">
        <f t="shared" si="40"/>
        <v>6.8022128114904739E-7</v>
      </c>
      <c r="L1342">
        <f t="shared" si="41"/>
        <v>4.0000000000000001E-3</v>
      </c>
    </row>
    <row r="1343" spans="1:12" x14ac:dyDescent="0.25">
      <c r="A1343" s="1">
        <v>1342</v>
      </c>
      <c r="B1343" s="2">
        <v>357210</v>
      </c>
      <c r="C1343" s="3">
        <v>5.0000000000000001E-3</v>
      </c>
      <c r="D1343" s="1">
        <v>0.5</v>
      </c>
      <c r="E1343" s="4">
        <v>0.2</v>
      </c>
      <c r="F1343" s="4">
        <v>0.35</v>
      </c>
      <c r="G1343" s="4">
        <v>0.45</v>
      </c>
      <c r="H1343" s="17">
        <f t="shared" si="40"/>
        <v>1.800200480557947E-7</v>
      </c>
      <c r="L1343">
        <f t="shared" si="41"/>
        <v>2.5000000000000001E-3</v>
      </c>
    </row>
    <row r="1344" spans="1:12" x14ac:dyDescent="0.25">
      <c r="A1344" s="1">
        <v>1343</v>
      </c>
      <c r="B1344" s="2">
        <v>286108</v>
      </c>
      <c r="C1344" s="3">
        <v>8.9999999999999993E-3</v>
      </c>
      <c r="D1344" s="1">
        <v>0.5</v>
      </c>
      <c r="E1344" s="4">
        <v>0.18</v>
      </c>
      <c r="F1344" s="4">
        <v>0.33</v>
      </c>
      <c r="G1344" s="4">
        <v>0.48999999999999994</v>
      </c>
      <c r="H1344" s="17">
        <f t="shared" si="40"/>
        <v>2.5953729357091109E-7</v>
      </c>
      <c r="L1344">
        <f t="shared" si="41"/>
        <v>4.4999999999999997E-3</v>
      </c>
    </row>
    <row r="1345" spans="1:12" x14ac:dyDescent="0.25">
      <c r="A1345" s="1">
        <v>1344</v>
      </c>
      <c r="B1345" s="2">
        <v>590495</v>
      </c>
      <c r="C1345" s="3">
        <v>1.2999999999999999E-2</v>
      </c>
      <c r="D1345" s="1">
        <v>0.5</v>
      </c>
      <c r="E1345" s="4">
        <v>0.23</v>
      </c>
      <c r="F1345" s="4">
        <v>0.17</v>
      </c>
      <c r="G1345" s="4">
        <v>0.6</v>
      </c>
      <c r="H1345" s="17">
        <f t="shared" si="40"/>
        <v>7.7372537028480966E-7</v>
      </c>
      <c r="L1345">
        <f t="shared" si="41"/>
        <v>6.4999999999999997E-3</v>
      </c>
    </row>
    <row r="1346" spans="1:12" x14ac:dyDescent="0.25">
      <c r="A1346" s="1">
        <v>1345</v>
      </c>
      <c r="B1346" s="2">
        <v>433517</v>
      </c>
      <c r="C1346" s="3">
        <v>8.0000000000000002E-3</v>
      </c>
      <c r="D1346" s="1">
        <v>0.5</v>
      </c>
      <c r="E1346" s="4">
        <v>0.18</v>
      </c>
      <c r="F1346" s="4">
        <v>0.28000000000000003</v>
      </c>
      <c r="G1346" s="4">
        <v>0.54</v>
      </c>
      <c r="H1346" s="17">
        <f t="shared" si="40"/>
        <v>3.495613277254453E-7</v>
      </c>
      <c r="L1346">
        <f t="shared" si="41"/>
        <v>4.0000000000000001E-3</v>
      </c>
    </row>
    <row r="1347" spans="1:12" x14ac:dyDescent="0.25">
      <c r="A1347" s="1">
        <v>1346</v>
      </c>
      <c r="B1347" s="2">
        <v>715365</v>
      </c>
      <c r="C1347" s="3">
        <v>1.2999999999999999E-2</v>
      </c>
      <c r="D1347" s="1">
        <v>0.5</v>
      </c>
      <c r="E1347" s="4">
        <v>0.16</v>
      </c>
      <c r="F1347" s="4">
        <v>0.27</v>
      </c>
      <c r="G1347" s="4">
        <v>0.56999999999999995</v>
      </c>
      <c r="H1347" s="17">
        <f t="shared" ref="H1347:H1410" si="42">B1347*C1347*D1347/SUM($B$2:$B$1797)</f>
        <v>9.3734248302490759E-7</v>
      </c>
      <c r="L1347">
        <f t="shared" ref="L1347:L1410" si="43">C1347*D1347</f>
        <v>6.4999999999999997E-3</v>
      </c>
    </row>
    <row r="1348" spans="1:12" x14ac:dyDescent="0.25">
      <c r="A1348" s="1">
        <v>1347</v>
      </c>
      <c r="B1348" s="2">
        <v>306360</v>
      </c>
      <c r="C1348" s="3">
        <v>7.0000000000000001E-3</v>
      </c>
      <c r="D1348" s="1">
        <v>0.5</v>
      </c>
      <c r="E1348" s="4">
        <v>0.2</v>
      </c>
      <c r="F1348" s="4">
        <v>0.34</v>
      </c>
      <c r="G1348" s="4">
        <v>0.45999999999999991</v>
      </c>
      <c r="H1348" s="17">
        <f t="shared" si="42"/>
        <v>2.1615105593718701E-7</v>
      </c>
      <c r="L1348">
        <f t="shared" si="43"/>
        <v>3.5000000000000001E-3</v>
      </c>
    </row>
    <row r="1349" spans="1:12" x14ac:dyDescent="0.25">
      <c r="A1349" s="1">
        <v>1348</v>
      </c>
      <c r="B1349" s="2">
        <v>352313</v>
      </c>
      <c r="C1349" s="3">
        <v>1.2999999999999999E-2</v>
      </c>
      <c r="D1349" s="1">
        <v>0.5</v>
      </c>
      <c r="E1349" s="4">
        <v>0.21</v>
      </c>
      <c r="F1349" s="4">
        <v>0.22</v>
      </c>
      <c r="G1349" s="4">
        <v>0.57000000000000006</v>
      </c>
      <c r="H1349" s="17">
        <f t="shared" si="42"/>
        <v>4.616355877376644E-7</v>
      </c>
      <c r="L1349">
        <f t="shared" si="43"/>
        <v>6.4999999999999997E-3</v>
      </c>
    </row>
    <row r="1350" spans="1:12" x14ac:dyDescent="0.25">
      <c r="A1350" s="1">
        <v>1349</v>
      </c>
      <c r="B1350" s="2">
        <v>243296</v>
      </c>
      <c r="C1350" s="3">
        <v>1.2E-2</v>
      </c>
      <c r="D1350" s="1">
        <v>0.5</v>
      </c>
      <c r="E1350" s="4">
        <v>0.21</v>
      </c>
      <c r="F1350" s="4">
        <v>0.15</v>
      </c>
      <c r="G1350" s="4">
        <v>0.64</v>
      </c>
      <c r="H1350" s="17">
        <f t="shared" si="42"/>
        <v>2.9426829671139752E-7</v>
      </c>
      <c r="L1350">
        <f t="shared" si="43"/>
        <v>6.0000000000000001E-3</v>
      </c>
    </row>
    <row r="1351" spans="1:12" x14ac:dyDescent="0.25">
      <c r="A1351" s="1">
        <v>1350</v>
      </c>
      <c r="B1351" s="2">
        <v>961241</v>
      </c>
      <c r="C1351" s="3">
        <v>0.01</v>
      </c>
      <c r="D1351" s="1">
        <v>0.5</v>
      </c>
      <c r="E1351" s="4">
        <v>0.19</v>
      </c>
      <c r="F1351" s="4">
        <v>0.21</v>
      </c>
      <c r="G1351" s="4">
        <v>0.60000000000000009</v>
      </c>
      <c r="H1351" s="17">
        <f t="shared" si="42"/>
        <v>9.688567006142054E-7</v>
      </c>
      <c r="L1351">
        <f t="shared" si="43"/>
        <v>5.0000000000000001E-3</v>
      </c>
    </row>
    <row r="1352" spans="1:12" x14ac:dyDescent="0.25">
      <c r="A1352" s="1">
        <v>1351</v>
      </c>
      <c r="B1352" s="2">
        <v>337637</v>
      </c>
      <c r="C1352" s="3">
        <v>8.9999999999999993E-3</v>
      </c>
      <c r="D1352" s="1">
        <v>0.5</v>
      </c>
      <c r="E1352" s="4">
        <v>0.18</v>
      </c>
      <c r="F1352" s="4">
        <v>0.19</v>
      </c>
      <c r="G1352" s="4">
        <v>0.63000000000000012</v>
      </c>
      <c r="H1352" s="17">
        <f t="shared" si="42"/>
        <v>3.0628082119130438E-7</v>
      </c>
      <c r="L1352">
        <f t="shared" si="43"/>
        <v>4.4999999999999997E-3</v>
      </c>
    </row>
    <row r="1353" spans="1:12" x14ac:dyDescent="0.25">
      <c r="A1353" s="1">
        <v>1352</v>
      </c>
      <c r="B1353" s="2">
        <v>655817</v>
      </c>
      <c r="C1353" s="3">
        <v>1.4E-2</v>
      </c>
      <c r="D1353" s="1">
        <v>0.5</v>
      </c>
      <c r="E1353" s="4">
        <v>0.19</v>
      </c>
      <c r="F1353" s="4">
        <v>0.25</v>
      </c>
      <c r="G1353" s="4">
        <v>0.56000000000000005</v>
      </c>
      <c r="H1353" s="17">
        <f t="shared" si="42"/>
        <v>9.254180509959405E-7</v>
      </c>
      <c r="L1353">
        <f t="shared" si="43"/>
        <v>7.0000000000000001E-3</v>
      </c>
    </row>
    <row r="1354" spans="1:12" x14ac:dyDescent="0.25">
      <c r="A1354" s="1">
        <v>1353</v>
      </c>
      <c r="B1354" s="2">
        <v>699309</v>
      </c>
      <c r="C1354" s="3">
        <v>1.0999999999999999E-2</v>
      </c>
      <c r="D1354" s="1">
        <v>0.5</v>
      </c>
      <c r="E1354" s="4">
        <v>0.23</v>
      </c>
      <c r="F1354" s="4">
        <v>0.16</v>
      </c>
      <c r="G1354" s="4">
        <v>0.61</v>
      </c>
      <c r="H1354" s="17">
        <f t="shared" si="42"/>
        <v>7.7533441821021074E-7</v>
      </c>
      <c r="L1354">
        <f t="shared" si="43"/>
        <v>5.4999999999999997E-3</v>
      </c>
    </row>
    <row r="1355" spans="1:12" x14ac:dyDescent="0.25">
      <c r="A1355" s="1">
        <v>1354</v>
      </c>
      <c r="B1355" s="2">
        <v>358633</v>
      </c>
      <c r="C1355" s="3">
        <v>6.0000000000000001E-3</v>
      </c>
      <c r="D1355" s="1">
        <v>0.5</v>
      </c>
      <c r="E1355" s="4">
        <v>0.23</v>
      </c>
      <c r="F1355" s="4">
        <v>0.26</v>
      </c>
      <c r="G1355" s="4">
        <v>0.51</v>
      </c>
      <c r="H1355" s="17">
        <f t="shared" si="42"/>
        <v>2.1688462213620166E-7</v>
      </c>
      <c r="L1355">
        <f t="shared" si="43"/>
        <v>3.0000000000000001E-3</v>
      </c>
    </row>
    <row r="1356" spans="1:12" x14ac:dyDescent="0.25">
      <c r="A1356" s="1">
        <v>1355</v>
      </c>
      <c r="B1356" s="2">
        <v>880239</v>
      </c>
      <c r="C1356" s="3">
        <v>8.0000000000000002E-3</v>
      </c>
      <c r="D1356" s="1">
        <v>0.5</v>
      </c>
      <c r="E1356" s="4">
        <v>0.15</v>
      </c>
      <c r="F1356" s="4">
        <v>0.28999999999999998</v>
      </c>
      <c r="G1356" s="4">
        <v>0.55999999999999994</v>
      </c>
      <c r="H1356" s="17">
        <f t="shared" si="42"/>
        <v>7.0977035169490073E-7</v>
      </c>
      <c r="L1356">
        <f t="shared" si="43"/>
        <v>4.0000000000000001E-3</v>
      </c>
    </row>
    <row r="1357" spans="1:12" x14ac:dyDescent="0.25">
      <c r="A1357" s="1">
        <v>1356</v>
      </c>
      <c r="B1357" s="2">
        <v>782583</v>
      </c>
      <c r="C1357" s="3">
        <v>1.0999999999999999E-2</v>
      </c>
      <c r="D1357" s="1">
        <v>0.5</v>
      </c>
      <c r="E1357" s="4">
        <v>0.25</v>
      </c>
      <c r="F1357" s="4">
        <v>0.32</v>
      </c>
      <c r="G1357" s="4">
        <v>0.42999999999999994</v>
      </c>
      <c r="H1357" s="17">
        <f t="shared" si="42"/>
        <v>8.6766155591619917E-7</v>
      </c>
      <c r="L1357">
        <f t="shared" si="43"/>
        <v>5.4999999999999997E-3</v>
      </c>
    </row>
    <row r="1358" spans="1:12" x14ac:dyDescent="0.25">
      <c r="A1358" s="1">
        <v>1357</v>
      </c>
      <c r="B1358" s="2">
        <v>372356</v>
      </c>
      <c r="C1358" s="3">
        <v>6.0000000000000001E-3</v>
      </c>
      <c r="D1358" s="1">
        <v>0.5</v>
      </c>
      <c r="E1358" s="4">
        <v>0.22</v>
      </c>
      <c r="F1358" s="4">
        <v>0.28999999999999998</v>
      </c>
      <c r="G1358" s="4">
        <v>0.49</v>
      </c>
      <c r="H1358" s="17">
        <f t="shared" si="42"/>
        <v>2.2518365671911814E-7</v>
      </c>
      <c r="L1358">
        <f t="shared" si="43"/>
        <v>3.0000000000000001E-3</v>
      </c>
    </row>
    <row r="1359" spans="1:12" x14ac:dyDescent="0.25">
      <c r="A1359" s="1">
        <v>1358</v>
      </c>
      <c r="B1359" s="2">
        <v>859575</v>
      </c>
      <c r="C1359" s="3">
        <v>1.2999999999999999E-2</v>
      </c>
      <c r="D1359" s="1">
        <v>0.5</v>
      </c>
      <c r="E1359" s="4">
        <v>0.23</v>
      </c>
      <c r="F1359" s="4">
        <v>0.26</v>
      </c>
      <c r="G1359" s="4">
        <v>0.51</v>
      </c>
      <c r="H1359" s="17">
        <f t="shared" si="42"/>
        <v>1.1263007902904603E-6</v>
      </c>
      <c r="L1359">
        <f t="shared" si="43"/>
        <v>6.4999999999999997E-3</v>
      </c>
    </row>
    <row r="1360" spans="1:12" x14ac:dyDescent="0.25">
      <c r="A1360" s="1">
        <v>1359</v>
      </c>
      <c r="B1360" s="2">
        <v>326474</v>
      </c>
      <c r="C1360" s="3">
        <v>1.0999999999999999E-2</v>
      </c>
      <c r="D1360" s="1">
        <v>0.5</v>
      </c>
      <c r="E1360" s="4">
        <v>0.25</v>
      </c>
      <c r="F1360" s="4">
        <v>0.31</v>
      </c>
      <c r="G1360" s="4">
        <v>0.43999999999999995</v>
      </c>
      <c r="H1360" s="17">
        <f t="shared" si="42"/>
        <v>3.6196663971257392E-7</v>
      </c>
      <c r="L1360">
        <f t="shared" si="43"/>
        <v>5.4999999999999997E-3</v>
      </c>
    </row>
    <row r="1361" spans="1:12" x14ac:dyDescent="0.25">
      <c r="A1361" s="1">
        <v>1360</v>
      </c>
      <c r="B1361" s="2">
        <v>236043</v>
      </c>
      <c r="C1361" s="3">
        <v>5.0000000000000001E-3</v>
      </c>
      <c r="D1361" s="1">
        <v>0.5</v>
      </c>
      <c r="E1361" s="4">
        <v>0.24</v>
      </c>
      <c r="F1361" s="4">
        <v>0.19</v>
      </c>
      <c r="G1361" s="4">
        <v>0.57000000000000006</v>
      </c>
      <c r="H1361" s="17">
        <f t="shared" si="42"/>
        <v>1.1895655833608786E-7</v>
      </c>
      <c r="L1361">
        <f t="shared" si="43"/>
        <v>2.5000000000000001E-3</v>
      </c>
    </row>
    <row r="1362" spans="1:12" x14ac:dyDescent="0.25">
      <c r="A1362" s="1">
        <v>1361</v>
      </c>
      <c r="B1362" s="2">
        <v>638646</v>
      </c>
      <c r="C1362" s="3">
        <v>1.2999999999999999E-2</v>
      </c>
      <c r="D1362" s="1">
        <v>0.5</v>
      </c>
      <c r="E1362" s="4">
        <v>0.18</v>
      </c>
      <c r="F1362" s="4">
        <v>0.27</v>
      </c>
      <c r="G1362" s="4">
        <v>0.55000000000000004</v>
      </c>
      <c r="H1362" s="17">
        <f t="shared" si="42"/>
        <v>8.3681760697535547E-7</v>
      </c>
      <c r="L1362">
        <f t="shared" si="43"/>
        <v>6.4999999999999997E-3</v>
      </c>
    </row>
    <row r="1363" spans="1:12" x14ac:dyDescent="0.25">
      <c r="A1363" s="1">
        <v>1362</v>
      </c>
      <c r="B1363" s="2">
        <v>343926</v>
      </c>
      <c r="C1363" s="3">
        <v>1.2999999999999999E-2</v>
      </c>
      <c r="D1363" s="1">
        <v>0.5</v>
      </c>
      <c r="E1363" s="4">
        <v>0.22</v>
      </c>
      <c r="F1363" s="4">
        <v>0.28000000000000003</v>
      </c>
      <c r="G1363" s="4">
        <v>0.5</v>
      </c>
      <c r="H1363" s="17">
        <f t="shared" si="42"/>
        <v>4.5064610487908185E-7</v>
      </c>
      <c r="L1363">
        <f t="shared" si="43"/>
        <v>6.4999999999999997E-3</v>
      </c>
    </row>
    <row r="1364" spans="1:12" x14ac:dyDescent="0.25">
      <c r="A1364" s="1">
        <v>1363</v>
      </c>
      <c r="B1364" s="2">
        <v>409088</v>
      </c>
      <c r="C1364" s="3">
        <v>6.0000000000000001E-3</v>
      </c>
      <c r="D1364" s="1">
        <v>0.5</v>
      </c>
      <c r="E1364" s="4">
        <v>0.2</v>
      </c>
      <c r="F1364" s="4">
        <v>0.16</v>
      </c>
      <c r="G1364" s="4">
        <v>0.6399999999999999</v>
      </c>
      <c r="H1364" s="17">
        <f t="shared" si="42"/>
        <v>2.4739746844393699E-7</v>
      </c>
      <c r="L1364">
        <f t="shared" si="43"/>
        <v>3.0000000000000001E-3</v>
      </c>
    </row>
    <row r="1365" spans="1:12" x14ac:dyDescent="0.25">
      <c r="A1365" s="1">
        <v>1364</v>
      </c>
      <c r="B1365" s="2">
        <v>491377</v>
      </c>
      <c r="C1365" s="3">
        <v>5.0000000000000001E-3</v>
      </c>
      <c r="D1365" s="1">
        <v>0.5</v>
      </c>
      <c r="E1365" s="4">
        <v>0.18</v>
      </c>
      <c r="F1365" s="4">
        <v>0.22</v>
      </c>
      <c r="G1365" s="4">
        <v>0.60000000000000009</v>
      </c>
      <c r="H1365" s="17">
        <f t="shared" si="42"/>
        <v>2.4763503584309578E-7</v>
      </c>
      <c r="L1365">
        <f t="shared" si="43"/>
        <v>2.5000000000000001E-3</v>
      </c>
    </row>
    <row r="1366" spans="1:12" x14ac:dyDescent="0.25">
      <c r="A1366" s="1">
        <v>1365</v>
      </c>
      <c r="B1366" s="2">
        <v>766606</v>
      </c>
      <c r="C1366" s="3">
        <v>1.0999999999999999E-2</v>
      </c>
      <c r="D1366" s="1">
        <v>0.5</v>
      </c>
      <c r="E1366" s="4">
        <v>0.22</v>
      </c>
      <c r="F1366" s="4">
        <v>0.23</v>
      </c>
      <c r="G1366" s="4">
        <v>0.55000000000000004</v>
      </c>
      <c r="H1366" s="17">
        <f t="shared" si="42"/>
        <v>8.4994761544103803E-7</v>
      </c>
      <c r="L1366">
        <f t="shared" si="43"/>
        <v>5.4999999999999997E-3</v>
      </c>
    </row>
    <row r="1367" spans="1:12" x14ac:dyDescent="0.25">
      <c r="A1367" s="1">
        <v>1366</v>
      </c>
      <c r="B1367" s="2">
        <v>611642</v>
      </c>
      <c r="C1367" s="3">
        <v>8.9999999999999993E-3</v>
      </c>
      <c r="D1367" s="1">
        <v>0.5</v>
      </c>
      <c r="E1367" s="4">
        <v>0.2</v>
      </c>
      <c r="F1367" s="4">
        <v>0.22</v>
      </c>
      <c r="G1367" s="4">
        <v>0.58000000000000007</v>
      </c>
      <c r="H1367" s="17">
        <f t="shared" si="42"/>
        <v>5.5483911430054103E-7</v>
      </c>
      <c r="L1367">
        <f t="shared" si="43"/>
        <v>4.4999999999999997E-3</v>
      </c>
    </row>
    <row r="1368" spans="1:12" x14ac:dyDescent="0.25">
      <c r="A1368" s="1">
        <v>1367</v>
      </c>
      <c r="B1368" s="2">
        <v>850225</v>
      </c>
      <c r="C1368" s="3">
        <v>1.0999999999999999E-2</v>
      </c>
      <c r="D1368" s="1">
        <v>0.5</v>
      </c>
      <c r="E1368" s="4">
        <v>0.24</v>
      </c>
      <c r="F1368" s="4">
        <v>0.25</v>
      </c>
      <c r="G1368" s="4">
        <v>0.51</v>
      </c>
      <c r="H1368" s="17">
        <f t="shared" si="42"/>
        <v>9.4265725984189618E-7</v>
      </c>
      <c r="L1368">
        <f t="shared" si="43"/>
        <v>5.4999999999999997E-3</v>
      </c>
    </row>
    <row r="1369" spans="1:12" x14ac:dyDescent="0.25">
      <c r="A1369" s="1">
        <v>1368</v>
      </c>
      <c r="B1369" s="2">
        <v>599486</v>
      </c>
      <c r="C1369" s="3">
        <v>1.2999999999999999E-2</v>
      </c>
      <c r="D1369" s="1">
        <v>0.5</v>
      </c>
      <c r="E1369" s="4">
        <v>0.15</v>
      </c>
      <c r="F1369" s="4">
        <v>0.27</v>
      </c>
      <c r="G1369" s="4">
        <v>0.57999999999999996</v>
      </c>
      <c r="H1369" s="17">
        <f t="shared" si="42"/>
        <v>7.8550627410995762E-7</v>
      </c>
      <c r="L1369">
        <f t="shared" si="43"/>
        <v>6.4999999999999997E-3</v>
      </c>
    </row>
    <row r="1370" spans="1:12" x14ac:dyDescent="0.25">
      <c r="A1370" s="1">
        <v>1369</v>
      </c>
      <c r="B1370" s="2">
        <v>573082</v>
      </c>
      <c r="C1370" s="3">
        <v>8.9999999999999993E-3</v>
      </c>
      <c r="D1370" s="1">
        <v>0.5</v>
      </c>
      <c r="E1370" s="4">
        <v>0.24</v>
      </c>
      <c r="F1370" s="4">
        <v>0.15</v>
      </c>
      <c r="G1370" s="4">
        <v>0.61</v>
      </c>
      <c r="H1370" s="17">
        <f t="shared" si="42"/>
        <v>5.1986016215626572E-7</v>
      </c>
      <c r="L1370">
        <f t="shared" si="43"/>
        <v>4.4999999999999997E-3</v>
      </c>
    </row>
    <row r="1371" spans="1:12" x14ac:dyDescent="0.25">
      <c r="A1371" s="1">
        <v>1370</v>
      </c>
      <c r="B1371" s="2">
        <v>462815</v>
      </c>
      <c r="C1371" s="3">
        <v>8.0000000000000002E-3</v>
      </c>
      <c r="D1371" s="1">
        <v>0.5</v>
      </c>
      <c r="E1371" s="4">
        <v>0.15</v>
      </c>
      <c r="F1371" s="4">
        <v>0.31</v>
      </c>
      <c r="G1371" s="4">
        <v>0.53999999999999992</v>
      </c>
      <c r="H1371" s="17">
        <f t="shared" si="42"/>
        <v>3.7318542500352228E-7</v>
      </c>
      <c r="L1371">
        <f t="shared" si="43"/>
        <v>4.0000000000000001E-3</v>
      </c>
    </row>
    <row r="1372" spans="1:12" x14ac:dyDescent="0.25">
      <c r="A1372" s="1">
        <v>1371</v>
      </c>
      <c r="B1372" s="2">
        <v>955878</v>
      </c>
      <c r="C1372" s="3">
        <v>0.01</v>
      </c>
      <c r="D1372" s="1">
        <v>0.5</v>
      </c>
      <c r="E1372" s="4">
        <v>0.22</v>
      </c>
      <c r="F1372" s="4">
        <v>0.32</v>
      </c>
      <c r="G1372" s="4">
        <v>0.45999999999999996</v>
      </c>
      <c r="H1372" s="17">
        <f t="shared" si="42"/>
        <v>9.6345121074705046E-7</v>
      </c>
      <c r="L1372">
        <f t="shared" si="43"/>
        <v>5.0000000000000001E-3</v>
      </c>
    </row>
    <row r="1373" spans="1:12" x14ac:dyDescent="0.25">
      <c r="A1373" s="1">
        <v>1372</v>
      </c>
      <c r="B1373" s="2">
        <v>902157</v>
      </c>
      <c r="C1373" s="3">
        <v>8.0000000000000002E-3</v>
      </c>
      <c r="D1373" s="1">
        <v>0.5</v>
      </c>
      <c r="E1373" s="4">
        <v>0.16</v>
      </c>
      <c r="F1373" s="4">
        <v>0.3</v>
      </c>
      <c r="G1373" s="4">
        <v>0.53999999999999992</v>
      </c>
      <c r="H1373" s="17">
        <f t="shared" si="42"/>
        <v>7.2744367288204287E-7</v>
      </c>
      <c r="L1373">
        <f t="shared" si="43"/>
        <v>4.0000000000000001E-3</v>
      </c>
    </row>
    <row r="1374" spans="1:12" x14ac:dyDescent="0.25">
      <c r="A1374" s="1">
        <v>1373</v>
      </c>
      <c r="B1374" s="2">
        <v>910437</v>
      </c>
      <c r="C1374" s="3">
        <v>1.4999999999999999E-2</v>
      </c>
      <c r="D1374" s="1">
        <v>0.5</v>
      </c>
      <c r="E1374" s="4">
        <v>0.17</v>
      </c>
      <c r="F1374" s="4">
        <v>0.27</v>
      </c>
      <c r="G1374" s="4">
        <v>0.55999999999999994</v>
      </c>
      <c r="H1374" s="17">
        <f t="shared" si="42"/>
        <v>1.3764752875768336E-6</v>
      </c>
      <c r="L1374">
        <f t="shared" si="43"/>
        <v>7.4999999999999997E-3</v>
      </c>
    </row>
    <row r="1375" spans="1:12" x14ac:dyDescent="0.25">
      <c r="A1375" s="1">
        <v>1374</v>
      </c>
      <c r="B1375" s="2">
        <v>722729</v>
      </c>
      <c r="C1375" s="3">
        <v>1.2999999999999999E-2</v>
      </c>
      <c r="D1375" s="1">
        <v>0.5</v>
      </c>
      <c r="E1375" s="4">
        <v>0.19</v>
      </c>
      <c r="F1375" s="4">
        <v>0.17</v>
      </c>
      <c r="G1375" s="4">
        <v>0.6399999999999999</v>
      </c>
      <c r="H1375" s="17">
        <f t="shared" si="42"/>
        <v>9.4699152937886045E-7</v>
      </c>
      <c r="L1375">
        <f t="shared" si="43"/>
        <v>6.4999999999999997E-3</v>
      </c>
    </row>
    <row r="1376" spans="1:12" x14ac:dyDescent="0.25">
      <c r="A1376" s="1">
        <v>1375</v>
      </c>
      <c r="B1376" s="2">
        <v>325022</v>
      </c>
      <c r="C1376" s="3">
        <v>1.2E-2</v>
      </c>
      <c r="D1376" s="1">
        <v>0.5</v>
      </c>
      <c r="E1376" s="4">
        <v>0.2</v>
      </c>
      <c r="F1376" s="4">
        <v>0.26</v>
      </c>
      <c r="G1376" s="4">
        <v>0.54</v>
      </c>
      <c r="H1376" s="17">
        <f t="shared" si="42"/>
        <v>3.9311649321703541E-7</v>
      </c>
      <c r="L1376">
        <f t="shared" si="43"/>
        <v>6.0000000000000001E-3</v>
      </c>
    </row>
    <row r="1377" spans="1:12" x14ac:dyDescent="0.25">
      <c r="A1377" s="1">
        <v>1376</v>
      </c>
      <c r="B1377" s="2">
        <v>870306</v>
      </c>
      <c r="C1377" s="3">
        <v>5.0000000000000001E-3</v>
      </c>
      <c r="D1377" s="1">
        <v>0.5</v>
      </c>
      <c r="E1377" s="4">
        <v>0.25</v>
      </c>
      <c r="F1377" s="4">
        <v>0.26</v>
      </c>
      <c r="G1377" s="4">
        <v>0.49</v>
      </c>
      <c r="H1377" s="17">
        <f t="shared" si="42"/>
        <v>4.3860062132428111E-7</v>
      </c>
      <c r="L1377">
        <f t="shared" si="43"/>
        <v>2.5000000000000001E-3</v>
      </c>
    </row>
    <row r="1378" spans="1:12" x14ac:dyDescent="0.25">
      <c r="A1378" s="1">
        <v>1377</v>
      </c>
      <c r="B1378" s="2">
        <v>806329</v>
      </c>
      <c r="C1378" s="3">
        <v>8.9999999999999993E-3</v>
      </c>
      <c r="D1378" s="1">
        <v>0.5</v>
      </c>
      <c r="E1378" s="4">
        <v>0.18</v>
      </c>
      <c r="F1378" s="4">
        <v>0.21</v>
      </c>
      <c r="G1378" s="4">
        <v>0.6100000000000001</v>
      </c>
      <c r="H1378" s="17">
        <f t="shared" si="42"/>
        <v>7.3144563027856323E-7</v>
      </c>
      <c r="L1378">
        <f t="shared" si="43"/>
        <v>4.4999999999999997E-3</v>
      </c>
    </row>
    <row r="1379" spans="1:12" x14ac:dyDescent="0.25">
      <c r="A1379" s="1">
        <v>1378</v>
      </c>
      <c r="B1379" s="2">
        <v>907851</v>
      </c>
      <c r="C1379" s="3">
        <v>8.9999999999999993E-3</v>
      </c>
      <c r="D1379" s="1">
        <v>0.5</v>
      </c>
      <c r="E1379" s="4">
        <v>0.22</v>
      </c>
      <c r="F1379" s="4">
        <v>0.19</v>
      </c>
      <c r="G1379" s="4">
        <v>0.59000000000000008</v>
      </c>
      <c r="H1379" s="17">
        <f t="shared" si="42"/>
        <v>8.2353933306878944E-7</v>
      </c>
      <c r="L1379">
        <f t="shared" si="43"/>
        <v>4.4999999999999997E-3</v>
      </c>
    </row>
    <row r="1380" spans="1:12" x14ac:dyDescent="0.25">
      <c r="A1380" s="1">
        <v>1379</v>
      </c>
      <c r="B1380" s="2">
        <v>841033</v>
      </c>
      <c r="C1380" s="3">
        <v>1.4999999999999999E-2</v>
      </c>
      <c r="D1380" s="1">
        <v>0.5</v>
      </c>
      <c r="E1380" s="4">
        <v>0.18</v>
      </c>
      <c r="F1380" s="4">
        <v>0.35</v>
      </c>
      <c r="G1380" s="4">
        <v>0.47000000000000003</v>
      </c>
      <c r="H1380" s="17">
        <f t="shared" si="42"/>
        <v>1.271544478680685E-6</v>
      </c>
      <c r="L1380">
        <f t="shared" si="43"/>
        <v>7.4999999999999997E-3</v>
      </c>
    </row>
    <row r="1381" spans="1:12" x14ac:dyDescent="0.25">
      <c r="A1381" s="1">
        <v>1380</v>
      </c>
      <c r="B1381" s="2">
        <v>987155</v>
      </c>
      <c r="C1381" s="3">
        <v>0.01</v>
      </c>
      <c r="D1381" s="1">
        <v>0.5</v>
      </c>
      <c r="E1381" s="4">
        <v>0.16</v>
      </c>
      <c r="F1381" s="4">
        <v>0.19</v>
      </c>
      <c r="G1381" s="4">
        <v>0.65</v>
      </c>
      <c r="H1381" s="17">
        <f t="shared" si="42"/>
        <v>9.949760115255343E-7</v>
      </c>
      <c r="L1381">
        <f t="shared" si="43"/>
        <v>5.0000000000000001E-3</v>
      </c>
    </row>
    <row r="1382" spans="1:12" x14ac:dyDescent="0.25">
      <c r="A1382" s="1">
        <v>1381</v>
      </c>
      <c r="B1382" s="2">
        <v>639612</v>
      </c>
      <c r="C1382" s="3">
        <v>1.4E-2</v>
      </c>
      <c r="D1382" s="1">
        <v>0.5</v>
      </c>
      <c r="E1382" s="4">
        <v>0.17</v>
      </c>
      <c r="F1382" s="4">
        <v>0.28000000000000003</v>
      </c>
      <c r="G1382" s="4">
        <v>0.54999999999999993</v>
      </c>
      <c r="H1382" s="17">
        <f t="shared" si="42"/>
        <v>9.025513068944774E-7</v>
      </c>
      <c r="L1382">
        <f t="shared" si="43"/>
        <v>7.0000000000000001E-3</v>
      </c>
    </row>
    <row r="1383" spans="1:12" x14ac:dyDescent="0.25">
      <c r="A1383" s="1">
        <v>1382</v>
      </c>
      <c r="B1383" s="2">
        <v>917733</v>
      </c>
      <c r="C1383" s="3">
        <v>1.2E-2</v>
      </c>
      <c r="D1383" s="1">
        <v>0.5</v>
      </c>
      <c r="E1383" s="4">
        <v>0.15</v>
      </c>
      <c r="F1383" s="4">
        <v>0.33</v>
      </c>
      <c r="G1383" s="4">
        <v>0.51999999999999991</v>
      </c>
      <c r="H1383" s="17">
        <f t="shared" si="42"/>
        <v>1.1100047955816824E-6</v>
      </c>
      <c r="L1383">
        <f t="shared" si="43"/>
        <v>6.0000000000000001E-3</v>
      </c>
    </row>
    <row r="1384" spans="1:12" x14ac:dyDescent="0.25">
      <c r="A1384" s="1">
        <v>1383</v>
      </c>
      <c r="B1384" s="2">
        <v>444316</v>
      </c>
      <c r="C1384" s="3">
        <v>5.0000000000000001E-3</v>
      </c>
      <c r="D1384" s="1">
        <v>0.5</v>
      </c>
      <c r="E1384" s="4">
        <v>0.17</v>
      </c>
      <c r="F1384" s="4">
        <v>0.25</v>
      </c>
      <c r="G1384" s="4">
        <v>0.57999999999999996</v>
      </c>
      <c r="H1384" s="17">
        <f t="shared" si="42"/>
        <v>2.2391810887701484E-7</v>
      </c>
      <c r="L1384">
        <f t="shared" si="43"/>
        <v>2.5000000000000001E-3</v>
      </c>
    </row>
    <row r="1385" spans="1:12" x14ac:dyDescent="0.25">
      <c r="A1385" s="1">
        <v>1384</v>
      </c>
      <c r="B1385" s="2">
        <v>893619</v>
      </c>
      <c r="C1385" s="3">
        <v>1.4E-2</v>
      </c>
      <c r="D1385" s="1">
        <v>0.5</v>
      </c>
      <c r="E1385" s="4">
        <v>0.22</v>
      </c>
      <c r="F1385" s="4">
        <v>0.25</v>
      </c>
      <c r="G1385" s="4">
        <v>0.53</v>
      </c>
      <c r="H1385" s="17">
        <f t="shared" si="42"/>
        <v>1.2609785249741032E-6</v>
      </c>
      <c r="L1385">
        <f t="shared" si="43"/>
        <v>7.0000000000000001E-3</v>
      </c>
    </row>
    <row r="1386" spans="1:12" x14ac:dyDescent="0.25">
      <c r="A1386" s="1">
        <v>1385</v>
      </c>
      <c r="B1386" s="2">
        <v>231283</v>
      </c>
      <c r="C1386" s="3">
        <v>1.4999999999999999E-2</v>
      </c>
      <c r="D1386" s="1">
        <v>0.5</v>
      </c>
      <c r="E1386" s="4">
        <v>0.18</v>
      </c>
      <c r="F1386" s="4">
        <v>0.28000000000000003</v>
      </c>
      <c r="G1386" s="4">
        <v>0.54</v>
      </c>
      <c r="H1386" s="17">
        <f t="shared" si="42"/>
        <v>3.4967310636170628E-7</v>
      </c>
      <c r="L1386">
        <f t="shared" si="43"/>
        <v>7.4999999999999997E-3</v>
      </c>
    </row>
    <row r="1387" spans="1:12" x14ac:dyDescent="0.25">
      <c r="A1387" s="1">
        <v>1386</v>
      </c>
      <c r="B1387" s="2">
        <v>863680</v>
      </c>
      <c r="C1387" s="3">
        <v>8.0000000000000002E-3</v>
      </c>
      <c r="D1387" s="1">
        <v>0.5</v>
      </c>
      <c r="E1387" s="4">
        <v>0.24</v>
      </c>
      <c r="F1387" s="4">
        <v>0.23</v>
      </c>
      <c r="G1387" s="4">
        <v>0.53</v>
      </c>
      <c r="H1387" s="17">
        <f t="shared" si="42"/>
        <v>6.9641819704858778E-7</v>
      </c>
      <c r="L1387">
        <f t="shared" si="43"/>
        <v>4.0000000000000001E-3</v>
      </c>
    </row>
    <row r="1388" spans="1:12" x14ac:dyDescent="0.25">
      <c r="A1388" s="1">
        <v>1387</v>
      </c>
      <c r="B1388" s="2">
        <v>287555</v>
      </c>
      <c r="C1388" s="3">
        <v>7.0000000000000001E-3</v>
      </c>
      <c r="D1388" s="1">
        <v>0.5</v>
      </c>
      <c r="E1388" s="4">
        <v>0.17</v>
      </c>
      <c r="F1388" s="4">
        <v>0.2</v>
      </c>
      <c r="G1388" s="4">
        <v>0.63</v>
      </c>
      <c r="H1388" s="17">
        <f t="shared" si="42"/>
        <v>2.0288326442752909E-7</v>
      </c>
      <c r="L1388">
        <f t="shared" si="43"/>
        <v>3.5000000000000001E-3</v>
      </c>
    </row>
    <row r="1389" spans="1:12" x14ac:dyDescent="0.25">
      <c r="A1389" s="1">
        <v>1388</v>
      </c>
      <c r="B1389" s="2">
        <v>980193</v>
      </c>
      <c r="C1389" s="3">
        <v>8.0000000000000002E-3</v>
      </c>
      <c r="D1389" s="1">
        <v>0.5</v>
      </c>
      <c r="E1389" s="4">
        <v>0.23</v>
      </c>
      <c r="F1389" s="4">
        <v>0.24</v>
      </c>
      <c r="G1389" s="4">
        <v>0.53</v>
      </c>
      <c r="H1389" s="17">
        <f t="shared" si="42"/>
        <v>7.9036708250700068E-7</v>
      </c>
      <c r="L1389">
        <f t="shared" si="43"/>
        <v>4.0000000000000001E-3</v>
      </c>
    </row>
    <row r="1390" spans="1:12" x14ac:dyDescent="0.25">
      <c r="A1390" s="1">
        <v>1389</v>
      </c>
      <c r="B1390" s="2">
        <v>806198</v>
      </c>
      <c r="C1390" s="3">
        <v>0.01</v>
      </c>
      <c r="D1390" s="1">
        <v>0.5</v>
      </c>
      <c r="E1390" s="4">
        <v>0.25</v>
      </c>
      <c r="F1390" s="4">
        <v>0.22</v>
      </c>
      <c r="G1390" s="4">
        <v>0.53</v>
      </c>
      <c r="H1390" s="17">
        <f t="shared" si="42"/>
        <v>8.1258532909204992E-7</v>
      </c>
      <c r="L1390">
        <f t="shared" si="43"/>
        <v>5.0000000000000001E-3</v>
      </c>
    </row>
    <row r="1391" spans="1:12" x14ac:dyDescent="0.25">
      <c r="A1391" s="1">
        <v>1390</v>
      </c>
      <c r="B1391" s="2">
        <v>437906</v>
      </c>
      <c r="C1391" s="3">
        <v>1.4E-2</v>
      </c>
      <c r="D1391" s="1">
        <v>0.5</v>
      </c>
      <c r="E1391" s="4">
        <v>0.22</v>
      </c>
      <c r="F1391" s="4">
        <v>0.2</v>
      </c>
      <c r="G1391" s="4">
        <v>0.58000000000000007</v>
      </c>
      <c r="H1391" s="17">
        <f t="shared" si="42"/>
        <v>6.1792560583124306E-7</v>
      </c>
      <c r="L1391">
        <f t="shared" si="43"/>
        <v>7.0000000000000001E-3</v>
      </c>
    </row>
    <row r="1392" spans="1:12" x14ac:dyDescent="0.25">
      <c r="A1392" s="1">
        <v>1391</v>
      </c>
      <c r="B1392" s="2">
        <v>776746</v>
      </c>
      <c r="C1392" s="3">
        <v>5.0000000000000001E-3</v>
      </c>
      <c r="D1392" s="1">
        <v>0.5</v>
      </c>
      <c r="E1392" s="4">
        <v>0.19</v>
      </c>
      <c r="F1392" s="4">
        <v>0.17</v>
      </c>
      <c r="G1392" s="4">
        <v>0.6399999999999999</v>
      </c>
      <c r="H1392" s="17">
        <f t="shared" si="42"/>
        <v>3.9144999369319536E-7</v>
      </c>
      <c r="L1392">
        <f t="shared" si="43"/>
        <v>2.5000000000000001E-3</v>
      </c>
    </row>
    <row r="1393" spans="1:12" x14ac:dyDescent="0.25">
      <c r="A1393" s="1">
        <v>1392</v>
      </c>
      <c r="B1393" s="2">
        <v>830236</v>
      </c>
      <c r="C1393" s="3">
        <v>7.0000000000000001E-3</v>
      </c>
      <c r="D1393" s="1">
        <v>0.5</v>
      </c>
      <c r="E1393" s="4">
        <v>0.22</v>
      </c>
      <c r="F1393" s="4">
        <v>0.31</v>
      </c>
      <c r="G1393" s="4">
        <v>0.47</v>
      </c>
      <c r="H1393" s="17">
        <f t="shared" si="42"/>
        <v>5.8576964380815505E-7</v>
      </c>
      <c r="L1393">
        <f t="shared" si="43"/>
        <v>3.5000000000000001E-3</v>
      </c>
    </row>
    <row r="1394" spans="1:12" x14ac:dyDescent="0.25">
      <c r="A1394" s="1">
        <v>1393</v>
      </c>
      <c r="B1394" s="2">
        <v>282908</v>
      </c>
      <c r="C1394" s="3">
        <v>1.0999999999999999E-2</v>
      </c>
      <c r="D1394" s="1">
        <v>0.5</v>
      </c>
      <c r="E1394" s="4">
        <v>0.23</v>
      </c>
      <c r="F1394" s="4">
        <v>0.15</v>
      </c>
      <c r="G1394" s="4">
        <v>0.62</v>
      </c>
      <c r="H1394" s="17">
        <f t="shared" si="42"/>
        <v>3.1366435951348307E-7</v>
      </c>
      <c r="L1394">
        <f t="shared" si="43"/>
        <v>5.4999999999999997E-3</v>
      </c>
    </row>
    <row r="1395" spans="1:12" x14ac:dyDescent="0.25">
      <c r="A1395" s="1">
        <v>1394</v>
      </c>
      <c r="B1395" s="2">
        <v>861887</v>
      </c>
      <c r="C1395" s="3">
        <v>5.0000000000000001E-3</v>
      </c>
      <c r="D1395" s="1">
        <v>0.5</v>
      </c>
      <c r="E1395" s="4">
        <v>0.17</v>
      </c>
      <c r="F1395" s="4">
        <v>0.18</v>
      </c>
      <c r="G1395" s="4">
        <v>0.65</v>
      </c>
      <c r="H1395" s="17">
        <f t="shared" si="42"/>
        <v>4.343577703834292E-7</v>
      </c>
      <c r="L1395">
        <f t="shared" si="43"/>
        <v>2.5000000000000001E-3</v>
      </c>
    </row>
    <row r="1396" spans="1:12" x14ac:dyDescent="0.25">
      <c r="A1396" s="1">
        <v>1395</v>
      </c>
      <c r="B1396" s="2">
        <v>478191</v>
      </c>
      <c r="C1396" s="3">
        <v>1.2E-2</v>
      </c>
      <c r="D1396" s="1">
        <v>0.5</v>
      </c>
      <c r="E1396" s="4">
        <v>0.17</v>
      </c>
      <c r="F1396" s="4">
        <v>0.28000000000000003</v>
      </c>
      <c r="G1396" s="4">
        <v>0.54999999999999993</v>
      </c>
      <c r="H1396" s="17">
        <f t="shared" si="42"/>
        <v>5.7837552229679026E-7</v>
      </c>
      <c r="L1396">
        <f t="shared" si="43"/>
        <v>6.0000000000000001E-3</v>
      </c>
    </row>
    <row r="1397" spans="1:12" x14ac:dyDescent="0.25">
      <c r="A1397" s="1">
        <v>1396</v>
      </c>
      <c r="B1397" s="2">
        <v>378354</v>
      </c>
      <c r="C1397" s="3">
        <v>8.0000000000000002E-3</v>
      </c>
      <c r="D1397" s="1">
        <v>0.5</v>
      </c>
      <c r="E1397" s="4">
        <v>0.23</v>
      </c>
      <c r="F1397" s="4">
        <v>0.16</v>
      </c>
      <c r="G1397" s="4">
        <v>0.61</v>
      </c>
      <c r="H1397" s="17">
        <f t="shared" si="42"/>
        <v>3.0508129229126684E-7</v>
      </c>
      <c r="L1397">
        <f t="shared" si="43"/>
        <v>4.0000000000000001E-3</v>
      </c>
    </row>
    <row r="1398" spans="1:12" x14ac:dyDescent="0.25">
      <c r="A1398" s="1">
        <v>1397</v>
      </c>
      <c r="B1398" s="2">
        <v>302912</v>
      </c>
      <c r="C1398" s="3">
        <v>6.0000000000000001E-3</v>
      </c>
      <c r="D1398" s="1">
        <v>0.5</v>
      </c>
      <c r="E1398" s="4">
        <v>0.19</v>
      </c>
      <c r="F1398" s="4">
        <v>0.25</v>
      </c>
      <c r="G1398" s="4">
        <v>0.56000000000000005</v>
      </c>
      <c r="H1398" s="17">
        <f t="shared" si="42"/>
        <v>1.8318714301394769E-7</v>
      </c>
      <c r="L1398">
        <f t="shared" si="43"/>
        <v>3.0000000000000001E-3</v>
      </c>
    </row>
    <row r="1399" spans="1:12" x14ac:dyDescent="0.25">
      <c r="A1399" s="1">
        <v>1398</v>
      </c>
      <c r="B1399" s="2">
        <v>590497</v>
      </c>
      <c r="C1399" s="3">
        <v>8.0000000000000002E-3</v>
      </c>
      <c r="D1399" s="1">
        <v>0.5</v>
      </c>
      <c r="E1399" s="4">
        <v>0.24</v>
      </c>
      <c r="F1399" s="4">
        <v>0.32</v>
      </c>
      <c r="G1399" s="4">
        <v>0.43999999999999995</v>
      </c>
      <c r="H1399" s="17">
        <f t="shared" si="42"/>
        <v>4.7614030208248413E-7</v>
      </c>
      <c r="L1399">
        <f t="shared" si="43"/>
        <v>4.0000000000000001E-3</v>
      </c>
    </row>
    <row r="1400" spans="1:12" x14ac:dyDescent="0.25">
      <c r="A1400" s="1">
        <v>1399</v>
      </c>
      <c r="B1400" s="2">
        <v>934907</v>
      </c>
      <c r="C1400" s="3">
        <v>1.2999999999999999E-2</v>
      </c>
      <c r="D1400" s="1">
        <v>0.5</v>
      </c>
      <c r="E1400" s="4">
        <v>0.17</v>
      </c>
      <c r="F1400" s="4">
        <v>0.21</v>
      </c>
      <c r="G1400" s="4">
        <v>0.62</v>
      </c>
      <c r="H1400" s="17">
        <f t="shared" si="42"/>
        <v>1.2250082807760616E-6</v>
      </c>
      <c r="L1400">
        <f t="shared" si="43"/>
        <v>6.4999999999999997E-3</v>
      </c>
    </row>
    <row r="1401" spans="1:12" x14ac:dyDescent="0.25">
      <c r="A1401" s="1">
        <v>1400</v>
      </c>
      <c r="B1401" s="2">
        <v>922702</v>
      </c>
      <c r="C1401" s="3">
        <v>6.0000000000000001E-3</v>
      </c>
      <c r="D1401" s="1">
        <v>0.5</v>
      </c>
      <c r="E1401" s="4">
        <v>0.24</v>
      </c>
      <c r="F1401" s="4">
        <v>0.28000000000000003</v>
      </c>
      <c r="G1401" s="4">
        <v>0.48</v>
      </c>
      <c r="H1401" s="17">
        <f t="shared" si="42"/>
        <v>5.5800741876602971E-7</v>
      </c>
      <c r="L1401">
        <f t="shared" si="43"/>
        <v>3.0000000000000001E-3</v>
      </c>
    </row>
    <row r="1402" spans="1:12" x14ac:dyDescent="0.25">
      <c r="A1402" s="1">
        <v>1401</v>
      </c>
      <c r="B1402" s="2">
        <v>540151</v>
      </c>
      <c r="C1402" s="3">
        <v>1.4999999999999999E-2</v>
      </c>
      <c r="D1402" s="1">
        <v>0.5</v>
      </c>
      <c r="E1402" s="4">
        <v>0.18</v>
      </c>
      <c r="F1402" s="4">
        <v>0.22</v>
      </c>
      <c r="G1402" s="4">
        <v>0.60000000000000009</v>
      </c>
      <c r="H1402" s="17">
        <f t="shared" si="42"/>
        <v>8.1664574600978881E-7</v>
      </c>
      <c r="L1402">
        <f t="shared" si="43"/>
        <v>7.4999999999999997E-3</v>
      </c>
    </row>
    <row r="1403" spans="1:12" x14ac:dyDescent="0.25">
      <c r="A1403" s="1">
        <v>1402</v>
      </c>
      <c r="B1403" s="2">
        <v>770349</v>
      </c>
      <c r="C1403" s="3">
        <v>6.0000000000000001E-3</v>
      </c>
      <c r="D1403" s="1">
        <v>0.5</v>
      </c>
      <c r="E1403" s="4">
        <v>0.16</v>
      </c>
      <c r="F1403" s="4">
        <v>0.28999999999999998</v>
      </c>
      <c r="G1403" s="4">
        <v>0.54999999999999993</v>
      </c>
      <c r="H1403" s="17">
        <f t="shared" si="42"/>
        <v>4.6587138321905899E-7</v>
      </c>
      <c r="L1403">
        <f t="shared" si="43"/>
        <v>3.0000000000000001E-3</v>
      </c>
    </row>
    <row r="1404" spans="1:12" x14ac:dyDescent="0.25">
      <c r="A1404" s="1">
        <v>1403</v>
      </c>
      <c r="B1404" s="2">
        <v>451851</v>
      </c>
      <c r="C1404" s="3">
        <v>1.0999999999999999E-2</v>
      </c>
      <c r="D1404" s="1">
        <v>0.5</v>
      </c>
      <c r="E1404" s="4">
        <v>0.19</v>
      </c>
      <c r="F1404" s="4">
        <v>0.34</v>
      </c>
      <c r="G1404" s="4">
        <v>0.46999999999999992</v>
      </c>
      <c r="H1404" s="17">
        <f t="shared" si="42"/>
        <v>5.0097400748839496E-7</v>
      </c>
      <c r="L1404">
        <f t="shared" si="43"/>
        <v>5.4999999999999997E-3</v>
      </c>
    </row>
    <row r="1405" spans="1:12" x14ac:dyDescent="0.25">
      <c r="A1405" s="1">
        <v>1404</v>
      </c>
      <c r="B1405" s="2">
        <v>216941</v>
      </c>
      <c r="C1405" s="3">
        <v>0.01</v>
      </c>
      <c r="D1405" s="1">
        <v>0.5</v>
      </c>
      <c r="E1405" s="4">
        <v>0.18</v>
      </c>
      <c r="F1405" s="4">
        <v>0.21</v>
      </c>
      <c r="G1405" s="4">
        <v>0.6100000000000001</v>
      </c>
      <c r="H1405" s="17">
        <f t="shared" si="42"/>
        <v>2.1865977573568576E-7</v>
      </c>
      <c r="L1405">
        <f t="shared" si="43"/>
        <v>5.0000000000000001E-3</v>
      </c>
    </row>
    <row r="1406" spans="1:12" x14ac:dyDescent="0.25">
      <c r="A1406" s="1">
        <v>1405</v>
      </c>
      <c r="B1406" s="2">
        <v>563167</v>
      </c>
      <c r="C1406" s="3">
        <v>1.2999999999999999E-2</v>
      </c>
      <c r="D1406" s="1">
        <v>0.5</v>
      </c>
      <c r="E1406" s="4">
        <v>0.2</v>
      </c>
      <c r="F1406" s="4">
        <v>0.2</v>
      </c>
      <c r="G1406" s="4">
        <v>0.60000000000000009</v>
      </c>
      <c r="H1406" s="17">
        <f t="shared" si="42"/>
        <v>7.379175024465667E-7</v>
      </c>
      <c r="L1406">
        <f t="shared" si="43"/>
        <v>6.4999999999999997E-3</v>
      </c>
    </row>
    <row r="1407" spans="1:12" x14ac:dyDescent="0.25">
      <c r="A1407" s="1">
        <v>1406</v>
      </c>
      <c r="B1407" s="2">
        <v>233182</v>
      </c>
      <c r="C1407" s="3">
        <v>1.4999999999999999E-2</v>
      </c>
      <c r="D1407" s="1">
        <v>0.5</v>
      </c>
      <c r="E1407" s="4">
        <v>0.21</v>
      </c>
      <c r="F1407" s="4">
        <v>0.22</v>
      </c>
      <c r="G1407" s="4">
        <v>0.57000000000000006</v>
      </c>
      <c r="H1407" s="17">
        <f t="shared" si="42"/>
        <v>3.5254417439948197E-7</v>
      </c>
      <c r="L1407">
        <f t="shared" si="43"/>
        <v>7.4999999999999997E-3</v>
      </c>
    </row>
    <row r="1408" spans="1:12" x14ac:dyDescent="0.25">
      <c r="A1408" s="1">
        <v>1407</v>
      </c>
      <c r="B1408" s="2">
        <v>480407</v>
      </c>
      <c r="C1408" s="3">
        <v>8.9999999999999993E-3</v>
      </c>
      <c r="D1408" s="1">
        <v>0.5</v>
      </c>
      <c r="E1408" s="4">
        <v>0.19</v>
      </c>
      <c r="F1408" s="4">
        <v>0.2</v>
      </c>
      <c r="G1408" s="4">
        <v>0.6100000000000001</v>
      </c>
      <c r="H1408" s="17">
        <f t="shared" si="42"/>
        <v>4.3579184291428649E-7</v>
      </c>
      <c r="L1408">
        <f t="shared" si="43"/>
        <v>4.4999999999999997E-3</v>
      </c>
    </row>
    <row r="1409" spans="1:12" x14ac:dyDescent="0.25">
      <c r="A1409" s="1">
        <v>1408</v>
      </c>
      <c r="B1409" s="2">
        <v>832932</v>
      </c>
      <c r="C1409" s="3">
        <v>1.4999999999999999E-2</v>
      </c>
      <c r="D1409" s="1">
        <v>0.5</v>
      </c>
      <c r="E1409" s="4">
        <v>0.23</v>
      </c>
      <c r="F1409" s="4">
        <v>0.27</v>
      </c>
      <c r="G1409" s="4">
        <v>0.5</v>
      </c>
      <c r="H1409" s="17">
        <f t="shared" si="42"/>
        <v>1.2592967050240127E-6</v>
      </c>
      <c r="L1409">
        <f t="shared" si="43"/>
        <v>7.4999999999999997E-3</v>
      </c>
    </row>
    <row r="1410" spans="1:12" x14ac:dyDescent="0.25">
      <c r="A1410" s="1">
        <v>1409</v>
      </c>
      <c r="B1410" s="2">
        <v>601488</v>
      </c>
      <c r="C1410" s="3">
        <v>1.4E-2</v>
      </c>
      <c r="D1410" s="1">
        <v>0.5</v>
      </c>
      <c r="E1410" s="4">
        <v>0.19</v>
      </c>
      <c r="F1410" s="4">
        <v>0.15</v>
      </c>
      <c r="G1410" s="4">
        <v>0.65999999999999992</v>
      </c>
      <c r="H1410" s="17">
        <f t="shared" si="42"/>
        <v>8.4875483962362409E-7</v>
      </c>
      <c r="L1410">
        <f t="shared" si="43"/>
        <v>7.0000000000000001E-3</v>
      </c>
    </row>
    <row r="1411" spans="1:12" x14ac:dyDescent="0.25">
      <c r="A1411" s="1">
        <v>1410</v>
      </c>
      <c r="B1411" s="2">
        <v>401491</v>
      </c>
      <c r="C1411" s="3">
        <v>8.9999999999999993E-3</v>
      </c>
      <c r="D1411" s="1">
        <v>0.5</v>
      </c>
      <c r="E1411" s="4">
        <v>0.15</v>
      </c>
      <c r="F1411" s="4">
        <v>0.28000000000000003</v>
      </c>
      <c r="G1411" s="4">
        <v>0.56999999999999995</v>
      </c>
      <c r="H1411" s="17">
        <f t="shared" ref="H1411:H1474" si="44">B1411*C1411*D1411/SUM($B$2:$B$1797)</f>
        <v>3.6420473224474208E-7</v>
      </c>
      <c r="L1411">
        <f t="shared" ref="L1411:L1474" si="45">C1411*D1411</f>
        <v>4.4999999999999997E-3</v>
      </c>
    </row>
    <row r="1412" spans="1:12" x14ac:dyDescent="0.25">
      <c r="A1412" s="1">
        <v>1411</v>
      </c>
      <c r="B1412" s="2">
        <v>800175</v>
      </c>
      <c r="C1412" s="3">
        <v>6.0000000000000001E-3</v>
      </c>
      <c r="D1412" s="1">
        <v>0.5</v>
      </c>
      <c r="E1412" s="4">
        <v>0.2</v>
      </c>
      <c r="F1412" s="4">
        <v>0.23</v>
      </c>
      <c r="G1412" s="4">
        <v>0.57000000000000006</v>
      </c>
      <c r="H1412" s="17">
        <f t="shared" si="44"/>
        <v>4.8390876611420351E-7</v>
      </c>
      <c r="L1412">
        <f t="shared" si="45"/>
        <v>3.0000000000000001E-3</v>
      </c>
    </row>
    <row r="1413" spans="1:12" x14ac:dyDescent="0.25">
      <c r="A1413" s="1">
        <v>1412</v>
      </c>
      <c r="B1413" s="2">
        <v>333827</v>
      </c>
      <c r="C1413" s="3">
        <v>1.4E-2</v>
      </c>
      <c r="D1413" s="1">
        <v>0.5</v>
      </c>
      <c r="E1413" s="4">
        <v>0.23</v>
      </c>
      <c r="F1413" s="4">
        <v>0.22</v>
      </c>
      <c r="G1413" s="4">
        <v>0.55000000000000004</v>
      </c>
      <c r="H1413" s="17">
        <f t="shared" si="44"/>
        <v>4.710605728577055E-7</v>
      </c>
      <c r="L1413">
        <f t="shared" si="45"/>
        <v>7.0000000000000001E-3</v>
      </c>
    </row>
    <row r="1414" spans="1:12" x14ac:dyDescent="0.25">
      <c r="A1414" s="1">
        <v>1413</v>
      </c>
      <c r="B1414" s="2">
        <v>901998</v>
      </c>
      <c r="C1414" s="3">
        <v>7.0000000000000001E-3</v>
      </c>
      <c r="D1414" s="1">
        <v>0.5</v>
      </c>
      <c r="E1414" s="4">
        <v>0.24</v>
      </c>
      <c r="F1414" s="4">
        <v>0.31</v>
      </c>
      <c r="G1414" s="4">
        <v>0.44999999999999996</v>
      </c>
      <c r="H1414" s="17">
        <f t="shared" si="44"/>
        <v>6.3640103196641471E-7</v>
      </c>
      <c r="L1414">
        <f t="shared" si="45"/>
        <v>3.5000000000000001E-3</v>
      </c>
    </row>
    <row r="1415" spans="1:12" x14ac:dyDescent="0.25">
      <c r="A1415" s="1">
        <v>1414</v>
      </c>
      <c r="B1415" s="2">
        <v>943971</v>
      </c>
      <c r="C1415" s="3">
        <v>1.2999999999999999E-2</v>
      </c>
      <c r="D1415" s="1">
        <v>0.5</v>
      </c>
      <c r="E1415" s="4">
        <v>0.23</v>
      </c>
      <c r="F1415" s="4">
        <v>0.33</v>
      </c>
      <c r="G1415" s="4">
        <v>0.43999999999999995</v>
      </c>
      <c r="H1415" s="17">
        <f t="shared" si="44"/>
        <v>1.2368848364729966E-6</v>
      </c>
      <c r="L1415">
        <f t="shared" si="45"/>
        <v>6.4999999999999997E-3</v>
      </c>
    </row>
    <row r="1416" spans="1:12" x14ac:dyDescent="0.25">
      <c r="A1416" s="1">
        <v>1415</v>
      </c>
      <c r="B1416" s="2">
        <v>605268</v>
      </c>
      <c r="C1416" s="3">
        <v>8.9999999999999993E-3</v>
      </c>
      <c r="D1416" s="1">
        <v>0.5</v>
      </c>
      <c r="E1416" s="4">
        <v>0.19</v>
      </c>
      <c r="F1416" s="4">
        <v>0.28999999999999998</v>
      </c>
      <c r="G1416" s="4">
        <v>0.52</v>
      </c>
      <c r="H1416" s="17">
        <f t="shared" si="44"/>
        <v>5.4905706448291631E-7</v>
      </c>
      <c r="L1416">
        <f t="shared" si="45"/>
        <v>4.4999999999999997E-3</v>
      </c>
    </row>
    <row r="1417" spans="1:12" x14ac:dyDescent="0.25">
      <c r="A1417" s="1">
        <v>1416</v>
      </c>
      <c r="B1417" s="2">
        <v>951531</v>
      </c>
      <c r="C1417" s="3">
        <v>1.4E-2</v>
      </c>
      <c r="D1417" s="1">
        <v>0.5</v>
      </c>
      <c r="E1417" s="4">
        <v>0.25</v>
      </c>
      <c r="F1417" s="4">
        <v>0.2</v>
      </c>
      <c r="G1417" s="4">
        <v>0.55000000000000004</v>
      </c>
      <c r="H1417" s="17">
        <f t="shared" si="44"/>
        <v>1.3426976785935991E-6</v>
      </c>
      <c r="L1417">
        <f t="shared" si="45"/>
        <v>7.0000000000000001E-3</v>
      </c>
    </row>
    <row r="1418" spans="1:12" x14ac:dyDescent="0.25">
      <c r="A1418" s="1">
        <v>1417</v>
      </c>
      <c r="B1418" s="2">
        <v>373610</v>
      </c>
      <c r="C1418" s="3">
        <v>7.0000000000000001E-3</v>
      </c>
      <c r="D1418" s="1">
        <v>0.5</v>
      </c>
      <c r="E1418" s="4">
        <v>0.16</v>
      </c>
      <c r="F1418" s="4">
        <v>0.26</v>
      </c>
      <c r="G1418" s="4">
        <v>0.57999999999999996</v>
      </c>
      <c r="H1418" s="17">
        <f t="shared" si="44"/>
        <v>2.6359902078826357E-7</v>
      </c>
      <c r="L1418">
        <f t="shared" si="45"/>
        <v>3.5000000000000001E-3</v>
      </c>
    </row>
    <row r="1419" spans="1:12" x14ac:dyDescent="0.25">
      <c r="A1419" s="1">
        <v>1418</v>
      </c>
      <c r="B1419" s="2">
        <v>712444</v>
      </c>
      <c r="C1419" s="3">
        <v>1.0999999999999999E-2</v>
      </c>
      <c r="D1419" s="1">
        <v>0.5</v>
      </c>
      <c r="E1419" s="4">
        <v>0.22</v>
      </c>
      <c r="F1419" s="4">
        <v>0.2</v>
      </c>
      <c r="G1419" s="4">
        <v>0.58000000000000007</v>
      </c>
      <c r="H1419" s="17">
        <f t="shared" si="44"/>
        <v>7.898973904916931E-7</v>
      </c>
      <c r="L1419">
        <f t="shared" si="45"/>
        <v>5.4999999999999997E-3</v>
      </c>
    </row>
    <row r="1420" spans="1:12" x14ac:dyDescent="0.25">
      <c r="A1420" s="1">
        <v>1419</v>
      </c>
      <c r="B1420" s="2">
        <v>203990</v>
      </c>
      <c r="C1420" s="3">
        <v>8.0000000000000002E-3</v>
      </c>
      <c r="D1420" s="1">
        <v>0.5</v>
      </c>
      <c r="E1420" s="4">
        <v>0.19</v>
      </c>
      <c r="F1420" s="4">
        <v>0.24</v>
      </c>
      <c r="G1420" s="4">
        <v>0.57000000000000006</v>
      </c>
      <c r="H1420" s="17">
        <f t="shared" si="44"/>
        <v>1.6448493425335937E-7</v>
      </c>
      <c r="L1420">
        <f t="shared" si="45"/>
        <v>4.0000000000000001E-3</v>
      </c>
    </row>
    <row r="1421" spans="1:12" x14ac:dyDescent="0.25">
      <c r="A1421" s="1">
        <v>1420</v>
      </c>
      <c r="B1421" s="2">
        <v>606431</v>
      </c>
      <c r="C1421" s="3">
        <v>1.0999999999999999E-2</v>
      </c>
      <c r="D1421" s="1">
        <v>0.5</v>
      </c>
      <c r="E1421" s="4">
        <v>0.25</v>
      </c>
      <c r="F1421" s="4">
        <v>0.33</v>
      </c>
      <c r="G1421" s="4">
        <v>0.41999999999999993</v>
      </c>
      <c r="H1421" s="17">
        <f t="shared" si="44"/>
        <v>6.7235918109110047E-7</v>
      </c>
      <c r="L1421">
        <f t="shared" si="45"/>
        <v>5.4999999999999997E-3</v>
      </c>
    </row>
    <row r="1422" spans="1:12" x14ac:dyDescent="0.25">
      <c r="A1422" s="1">
        <v>1421</v>
      </c>
      <c r="B1422" s="2">
        <v>794728</v>
      </c>
      <c r="C1422" s="3">
        <v>1.2999999999999999E-2</v>
      </c>
      <c r="D1422" s="1">
        <v>0.5</v>
      </c>
      <c r="E1422" s="4">
        <v>0.19</v>
      </c>
      <c r="F1422" s="4">
        <v>0.2</v>
      </c>
      <c r="G1422" s="4">
        <v>0.6100000000000001</v>
      </c>
      <c r="H1422" s="17">
        <f t="shared" si="44"/>
        <v>1.0413317912526038E-6</v>
      </c>
      <c r="L1422">
        <f t="shared" si="45"/>
        <v>6.4999999999999997E-3</v>
      </c>
    </row>
    <row r="1423" spans="1:12" x14ac:dyDescent="0.25">
      <c r="A1423" s="1">
        <v>1422</v>
      </c>
      <c r="B1423" s="2">
        <v>486955</v>
      </c>
      <c r="C1423" s="3">
        <v>1.2E-2</v>
      </c>
      <c r="D1423" s="1">
        <v>0.5</v>
      </c>
      <c r="E1423" s="4">
        <v>0.21</v>
      </c>
      <c r="F1423" s="4">
        <v>0.26</v>
      </c>
      <c r="G1423" s="4">
        <v>0.53</v>
      </c>
      <c r="H1423" s="17">
        <f t="shared" si="44"/>
        <v>5.8897564458560179E-7</v>
      </c>
      <c r="L1423">
        <f t="shared" si="45"/>
        <v>6.0000000000000001E-3</v>
      </c>
    </row>
    <row r="1424" spans="1:12" x14ac:dyDescent="0.25">
      <c r="A1424" s="1">
        <v>1423</v>
      </c>
      <c r="B1424" s="2">
        <v>232958</v>
      </c>
      <c r="C1424" s="3">
        <v>8.0000000000000002E-3</v>
      </c>
      <c r="D1424" s="1">
        <v>0.5</v>
      </c>
      <c r="E1424" s="4">
        <v>0.17</v>
      </c>
      <c r="F1424" s="4">
        <v>0.33</v>
      </c>
      <c r="G1424" s="4">
        <v>0.49999999999999989</v>
      </c>
      <c r="H1424" s="17">
        <f t="shared" si="44"/>
        <v>1.8784293991761405E-7</v>
      </c>
      <c r="L1424">
        <f t="shared" si="45"/>
        <v>4.0000000000000001E-3</v>
      </c>
    </row>
    <row r="1425" spans="1:12" x14ac:dyDescent="0.25">
      <c r="A1425" s="1">
        <v>1424</v>
      </c>
      <c r="B1425" s="2">
        <v>894876</v>
      </c>
      <c r="C1425" s="3">
        <v>6.0000000000000001E-3</v>
      </c>
      <c r="D1425" s="1">
        <v>0.5</v>
      </c>
      <c r="E1425" s="4">
        <v>0.22</v>
      </c>
      <c r="F1425" s="4">
        <v>0.19</v>
      </c>
      <c r="G1425" s="4">
        <v>0.59000000000000008</v>
      </c>
      <c r="H1425" s="17">
        <f t="shared" si="44"/>
        <v>5.4117954320644111E-7</v>
      </c>
      <c r="L1425">
        <f t="shared" si="45"/>
        <v>3.0000000000000001E-3</v>
      </c>
    </row>
    <row r="1426" spans="1:12" x14ac:dyDescent="0.25">
      <c r="A1426" s="1">
        <v>1425</v>
      </c>
      <c r="B1426" s="2">
        <v>566554</v>
      </c>
      <c r="C1426" s="3">
        <v>8.0000000000000002E-3</v>
      </c>
      <c r="D1426" s="1">
        <v>0.5</v>
      </c>
      <c r="E1426" s="4">
        <v>0.21</v>
      </c>
      <c r="F1426" s="4">
        <v>0.28999999999999998</v>
      </c>
      <c r="G1426" s="4">
        <v>0.5</v>
      </c>
      <c r="H1426" s="17">
        <f t="shared" si="44"/>
        <v>4.5683414599234155E-7</v>
      </c>
      <c r="L1426">
        <f t="shared" si="45"/>
        <v>4.0000000000000001E-3</v>
      </c>
    </row>
    <row r="1427" spans="1:12" x14ac:dyDescent="0.25">
      <c r="A1427" s="1">
        <v>1426</v>
      </c>
      <c r="B1427" s="2">
        <v>878082</v>
      </c>
      <c r="C1427" s="3">
        <v>1.4999999999999999E-2</v>
      </c>
      <c r="D1427" s="1">
        <v>0.5</v>
      </c>
      <c r="E1427" s="4">
        <v>0.23</v>
      </c>
      <c r="F1427" s="4">
        <v>0.3</v>
      </c>
      <c r="G1427" s="4">
        <v>0.47</v>
      </c>
      <c r="H1427" s="17">
        <f t="shared" si="44"/>
        <v>1.3275582752744462E-6</v>
      </c>
      <c r="L1427">
        <f t="shared" si="45"/>
        <v>7.4999999999999997E-3</v>
      </c>
    </row>
    <row r="1428" spans="1:12" x14ac:dyDescent="0.25">
      <c r="A1428" s="1">
        <v>1427</v>
      </c>
      <c r="B1428" s="2">
        <v>616747</v>
      </c>
      <c r="C1428" s="3">
        <v>1.2E-2</v>
      </c>
      <c r="D1428" s="1">
        <v>0.5</v>
      </c>
      <c r="E1428" s="4">
        <v>0.21</v>
      </c>
      <c r="F1428" s="4">
        <v>0.28000000000000003</v>
      </c>
      <c r="G1428" s="4">
        <v>0.51</v>
      </c>
      <c r="H1428" s="17">
        <f t="shared" si="44"/>
        <v>7.4596002068206741E-7</v>
      </c>
      <c r="L1428">
        <f t="shared" si="45"/>
        <v>6.0000000000000001E-3</v>
      </c>
    </row>
    <row r="1429" spans="1:12" x14ac:dyDescent="0.25">
      <c r="A1429" s="1">
        <v>1428</v>
      </c>
      <c r="B1429" s="2">
        <v>768512</v>
      </c>
      <c r="C1429" s="3">
        <v>6.0000000000000001E-3</v>
      </c>
      <c r="D1429" s="1">
        <v>0.5</v>
      </c>
      <c r="E1429" s="4">
        <v>0.22</v>
      </c>
      <c r="F1429" s="4">
        <v>0.33</v>
      </c>
      <c r="G1429" s="4">
        <v>0.44999999999999996</v>
      </c>
      <c r="H1429" s="17">
        <f t="shared" si="44"/>
        <v>4.6476045073135099E-7</v>
      </c>
      <c r="L1429">
        <f t="shared" si="45"/>
        <v>3.0000000000000001E-3</v>
      </c>
    </row>
    <row r="1430" spans="1:12" x14ac:dyDescent="0.25">
      <c r="A1430" s="1">
        <v>1429</v>
      </c>
      <c r="B1430" s="2">
        <v>202386</v>
      </c>
      <c r="C1430" s="3">
        <v>1.0999999999999999E-2</v>
      </c>
      <c r="D1430" s="1">
        <v>0.5</v>
      </c>
      <c r="E1430" s="4">
        <v>0.21</v>
      </c>
      <c r="F1430" s="4">
        <v>0.15</v>
      </c>
      <c r="G1430" s="4">
        <v>0.64</v>
      </c>
      <c r="H1430" s="17">
        <f t="shared" si="44"/>
        <v>2.2438840564599018E-7</v>
      </c>
      <c r="L1430">
        <f t="shared" si="45"/>
        <v>5.4999999999999997E-3</v>
      </c>
    </row>
    <row r="1431" spans="1:12" x14ac:dyDescent="0.25">
      <c r="A1431" s="1">
        <v>1430</v>
      </c>
      <c r="B1431" s="2">
        <v>500575</v>
      </c>
      <c r="C1431" s="3">
        <v>0.01</v>
      </c>
      <c r="D1431" s="1">
        <v>0.5</v>
      </c>
      <c r="E1431" s="4">
        <v>0.22</v>
      </c>
      <c r="F1431" s="4">
        <v>0.23</v>
      </c>
      <c r="G1431" s="4">
        <v>0.55000000000000004</v>
      </c>
      <c r="H1431" s="17">
        <f t="shared" si="44"/>
        <v>5.0454094541322712E-7</v>
      </c>
      <c r="L1431">
        <f t="shared" si="45"/>
        <v>5.0000000000000001E-3</v>
      </c>
    </row>
    <row r="1432" spans="1:12" x14ac:dyDescent="0.25">
      <c r="A1432" s="1">
        <v>1431</v>
      </c>
      <c r="B1432" s="2">
        <v>236931</v>
      </c>
      <c r="C1432" s="3">
        <v>8.0000000000000002E-3</v>
      </c>
      <c r="D1432" s="1">
        <v>0.5</v>
      </c>
      <c r="E1432" s="4">
        <v>0.15</v>
      </c>
      <c r="F1432" s="4">
        <v>0.15</v>
      </c>
      <c r="G1432" s="4">
        <v>0.7</v>
      </c>
      <c r="H1432" s="17">
        <f t="shared" si="44"/>
        <v>1.9104652168038966E-7</v>
      </c>
      <c r="L1432">
        <f t="shared" si="45"/>
        <v>4.0000000000000001E-3</v>
      </c>
    </row>
    <row r="1433" spans="1:12" x14ac:dyDescent="0.25">
      <c r="A1433" s="1">
        <v>1432</v>
      </c>
      <c r="B1433" s="2">
        <v>298194</v>
      </c>
      <c r="C1433" s="3">
        <v>1.0999999999999999E-2</v>
      </c>
      <c r="D1433" s="1">
        <v>0.5</v>
      </c>
      <c r="E1433" s="4">
        <v>0.15</v>
      </c>
      <c r="F1433" s="4">
        <v>0.18</v>
      </c>
      <c r="G1433" s="4">
        <v>0.67</v>
      </c>
      <c r="H1433" s="17">
        <f t="shared" si="44"/>
        <v>3.3061217788384762E-7</v>
      </c>
      <c r="L1433">
        <f t="shared" si="45"/>
        <v>5.4999999999999997E-3</v>
      </c>
    </row>
    <row r="1434" spans="1:12" x14ac:dyDescent="0.25">
      <c r="A1434" s="1">
        <v>1433</v>
      </c>
      <c r="B1434" s="2">
        <v>276281</v>
      </c>
      <c r="C1434" s="3">
        <v>1.2E-2</v>
      </c>
      <c r="D1434" s="1">
        <v>0.5</v>
      </c>
      <c r="E1434" s="4">
        <v>0.18</v>
      </c>
      <c r="F1434" s="4">
        <v>0.17</v>
      </c>
      <c r="G1434" s="4">
        <v>0.64999999999999991</v>
      </c>
      <c r="H1434" s="17">
        <f t="shared" si="44"/>
        <v>3.3416389617470739E-7</v>
      </c>
      <c r="L1434">
        <f t="shared" si="45"/>
        <v>6.0000000000000001E-3</v>
      </c>
    </row>
    <row r="1435" spans="1:12" x14ac:dyDescent="0.25">
      <c r="A1435" s="1">
        <v>1434</v>
      </c>
      <c r="B1435" s="2">
        <v>543733</v>
      </c>
      <c r="C1435" s="3">
        <v>1.2E-2</v>
      </c>
      <c r="D1435" s="1">
        <v>0.5</v>
      </c>
      <c r="E1435" s="4">
        <v>0.24</v>
      </c>
      <c r="F1435" s="4">
        <v>0.24</v>
      </c>
      <c r="G1435" s="4">
        <v>0.52</v>
      </c>
      <c r="H1435" s="17">
        <f t="shared" si="44"/>
        <v>6.5764905208379222E-7</v>
      </c>
      <c r="L1435">
        <f t="shared" si="45"/>
        <v>6.0000000000000001E-3</v>
      </c>
    </row>
    <row r="1436" spans="1:12" x14ac:dyDescent="0.25">
      <c r="A1436" s="1">
        <v>1435</v>
      </c>
      <c r="B1436" s="2">
        <v>346806</v>
      </c>
      <c r="C1436" s="3">
        <v>8.9999999999999993E-3</v>
      </c>
      <c r="D1436" s="1">
        <v>0.5</v>
      </c>
      <c r="E1436" s="4">
        <v>0.19</v>
      </c>
      <c r="F1436" s="4">
        <v>0.24</v>
      </c>
      <c r="G1436" s="4">
        <v>0.57000000000000006</v>
      </c>
      <c r="H1436" s="17">
        <f t="shared" si="44"/>
        <v>3.1459830076108811E-7</v>
      </c>
      <c r="L1436">
        <f t="shared" si="45"/>
        <v>4.4999999999999997E-3</v>
      </c>
    </row>
    <row r="1437" spans="1:12" x14ac:dyDescent="0.25">
      <c r="A1437" s="1">
        <v>1436</v>
      </c>
      <c r="B1437" s="2">
        <v>276855</v>
      </c>
      <c r="C1437" s="3">
        <v>5.0000000000000001E-3</v>
      </c>
      <c r="D1437" s="1">
        <v>0.5</v>
      </c>
      <c r="E1437" s="4">
        <v>0.16</v>
      </c>
      <c r="F1437" s="4">
        <v>0.21</v>
      </c>
      <c r="G1437" s="4">
        <v>0.63</v>
      </c>
      <c r="H1437" s="17">
        <f t="shared" si="44"/>
        <v>1.3952423057721522E-7</v>
      </c>
      <c r="L1437">
        <f t="shared" si="45"/>
        <v>2.5000000000000001E-3</v>
      </c>
    </row>
    <row r="1438" spans="1:12" x14ac:dyDescent="0.25">
      <c r="A1438" s="1">
        <v>1437</v>
      </c>
      <c r="B1438" s="2">
        <v>614130</v>
      </c>
      <c r="C1438" s="3">
        <v>1.2E-2</v>
      </c>
      <c r="D1438" s="1">
        <v>0.5</v>
      </c>
      <c r="E1438" s="4">
        <v>0.21</v>
      </c>
      <c r="F1438" s="4">
        <v>0.16</v>
      </c>
      <c r="G1438" s="4">
        <v>0.63</v>
      </c>
      <c r="H1438" s="17">
        <f t="shared" si="44"/>
        <v>7.4279473998491782E-7</v>
      </c>
      <c r="L1438">
        <f t="shared" si="45"/>
        <v>6.0000000000000001E-3</v>
      </c>
    </row>
    <row r="1439" spans="1:12" x14ac:dyDescent="0.25">
      <c r="A1439" s="1">
        <v>1438</v>
      </c>
      <c r="B1439" s="2">
        <v>379187</v>
      </c>
      <c r="C1439" s="3">
        <v>1.4E-2</v>
      </c>
      <c r="D1439" s="1">
        <v>0.5</v>
      </c>
      <c r="E1439" s="4">
        <v>0.18</v>
      </c>
      <c r="F1439" s="4">
        <v>0.26</v>
      </c>
      <c r="G1439" s="4">
        <v>0.56000000000000005</v>
      </c>
      <c r="H1439" s="17">
        <f t="shared" si="44"/>
        <v>5.3506770105532143E-7</v>
      </c>
      <c r="L1439">
        <f t="shared" si="45"/>
        <v>7.0000000000000001E-3</v>
      </c>
    </row>
    <row r="1440" spans="1:12" x14ac:dyDescent="0.25">
      <c r="A1440" s="1">
        <v>1439</v>
      </c>
      <c r="B1440" s="2">
        <v>550954</v>
      </c>
      <c r="C1440" s="3">
        <v>8.9999999999999993E-3</v>
      </c>
      <c r="D1440" s="1">
        <v>0.5</v>
      </c>
      <c r="E1440" s="4">
        <v>0.23</v>
      </c>
      <c r="F1440" s="4">
        <v>0.25</v>
      </c>
      <c r="G1440" s="4">
        <v>0.52</v>
      </c>
      <c r="H1440" s="17">
        <f t="shared" si="44"/>
        <v>4.9978717841538065E-7</v>
      </c>
      <c r="L1440">
        <f t="shared" si="45"/>
        <v>4.4999999999999997E-3</v>
      </c>
    </row>
    <row r="1441" spans="1:12" x14ac:dyDescent="0.25">
      <c r="A1441" s="1">
        <v>1440</v>
      </c>
      <c r="B1441" s="2">
        <v>946632</v>
      </c>
      <c r="C1441" s="3">
        <v>5.0000000000000001E-3</v>
      </c>
      <c r="D1441" s="1">
        <v>0.5</v>
      </c>
      <c r="E1441" s="4">
        <v>0.23</v>
      </c>
      <c r="F1441" s="4">
        <v>0.2</v>
      </c>
      <c r="G1441" s="4">
        <v>0.57000000000000006</v>
      </c>
      <c r="H1441" s="17">
        <f t="shared" si="44"/>
        <v>4.7706597836329623E-7</v>
      </c>
      <c r="L1441">
        <f t="shared" si="45"/>
        <v>2.5000000000000001E-3</v>
      </c>
    </row>
    <row r="1442" spans="1:12" x14ac:dyDescent="0.25">
      <c r="A1442" s="1">
        <v>1441</v>
      </c>
      <c r="B1442" s="2">
        <v>869426</v>
      </c>
      <c r="C1442" s="3">
        <v>8.0000000000000002E-3</v>
      </c>
      <c r="D1442" s="1">
        <v>0.5</v>
      </c>
      <c r="E1442" s="4">
        <v>0.19</v>
      </c>
      <c r="F1442" s="4">
        <v>0.21</v>
      </c>
      <c r="G1442" s="4">
        <v>0.60000000000000009</v>
      </c>
      <c r="H1442" s="17">
        <f t="shared" si="44"/>
        <v>7.0105141648199044E-7</v>
      </c>
      <c r="L1442">
        <f t="shared" si="45"/>
        <v>4.0000000000000001E-3</v>
      </c>
    </row>
    <row r="1443" spans="1:12" x14ac:dyDescent="0.25">
      <c r="A1443" s="1">
        <v>1442</v>
      </c>
      <c r="B1443" s="2">
        <v>809974</v>
      </c>
      <c r="C1443" s="3">
        <v>8.0000000000000002E-3</v>
      </c>
      <c r="D1443" s="1">
        <v>0.5</v>
      </c>
      <c r="E1443" s="4">
        <v>0.23</v>
      </c>
      <c r="F1443" s="4">
        <v>0.27</v>
      </c>
      <c r="G1443" s="4">
        <v>0.5</v>
      </c>
      <c r="H1443" s="17">
        <f t="shared" si="44"/>
        <v>6.5311299640634592E-7</v>
      </c>
      <c r="L1443">
        <f t="shared" si="45"/>
        <v>4.0000000000000001E-3</v>
      </c>
    </row>
    <row r="1444" spans="1:12" x14ac:dyDescent="0.25">
      <c r="A1444" s="1">
        <v>1443</v>
      </c>
      <c r="B1444" s="2">
        <v>751578</v>
      </c>
      <c r="C1444" s="3">
        <v>7.0000000000000001E-3</v>
      </c>
      <c r="D1444" s="1">
        <v>0.5</v>
      </c>
      <c r="E1444" s="4">
        <v>0.2</v>
      </c>
      <c r="F1444" s="4">
        <v>0.27</v>
      </c>
      <c r="G1444" s="4">
        <v>0.53</v>
      </c>
      <c r="H1444" s="17">
        <f t="shared" si="44"/>
        <v>5.3027281080806612E-7</v>
      </c>
      <c r="L1444">
        <f t="shared" si="45"/>
        <v>3.5000000000000001E-3</v>
      </c>
    </row>
    <row r="1445" spans="1:12" x14ac:dyDescent="0.25">
      <c r="A1445" s="1">
        <v>1444</v>
      </c>
      <c r="B1445" s="2">
        <v>737452</v>
      </c>
      <c r="C1445" s="3">
        <v>1.4999999999999999E-2</v>
      </c>
      <c r="D1445" s="1">
        <v>0.5</v>
      </c>
      <c r="E1445" s="4">
        <v>0.15</v>
      </c>
      <c r="F1445" s="4">
        <v>0.34</v>
      </c>
      <c r="G1445" s="4">
        <v>0.5099999999999999</v>
      </c>
      <c r="H1445" s="17">
        <f t="shared" si="44"/>
        <v>1.1149420045254211E-6</v>
      </c>
      <c r="L1445">
        <f t="shared" si="45"/>
        <v>7.4999999999999997E-3</v>
      </c>
    </row>
    <row r="1446" spans="1:12" x14ac:dyDescent="0.25">
      <c r="A1446" s="1">
        <v>1445</v>
      </c>
      <c r="B1446" s="2">
        <v>980802</v>
      </c>
      <c r="C1446" s="3">
        <v>5.0000000000000001E-3</v>
      </c>
      <c r="D1446" s="1">
        <v>0.5</v>
      </c>
      <c r="E1446" s="4">
        <v>0.25</v>
      </c>
      <c r="F1446" s="4">
        <v>0.34</v>
      </c>
      <c r="G1446" s="4">
        <v>0.40999999999999992</v>
      </c>
      <c r="H1446" s="17">
        <f t="shared" si="44"/>
        <v>4.9428633905327273E-7</v>
      </c>
      <c r="L1446">
        <f t="shared" si="45"/>
        <v>2.5000000000000001E-3</v>
      </c>
    </row>
    <row r="1447" spans="1:12" x14ac:dyDescent="0.25">
      <c r="A1447" s="1">
        <v>1446</v>
      </c>
      <c r="B1447" s="2">
        <v>538189</v>
      </c>
      <c r="C1447" s="3">
        <v>1.2E-2</v>
      </c>
      <c r="D1447" s="1">
        <v>0.5</v>
      </c>
      <c r="E1447" s="4">
        <v>0.2</v>
      </c>
      <c r="F1447" s="4">
        <v>0.21</v>
      </c>
      <c r="G1447" s="4">
        <v>0.59000000000000008</v>
      </c>
      <c r="H1447" s="17">
        <f t="shared" si="44"/>
        <v>6.5094354341547047E-7</v>
      </c>
      <c r="L1447">
        <f t="shared" si="45"/>
        <v>6.0000000000000001E-3</v>
      </c>
    </row>
    <row r="1448" spans="1:12" x14ac:dyDescent="0.25">
      <c r="A1448" s="1">
        <v>1447</v>
      </c>
      <c r="B1448" s="2">
        <v>367211</v>
      </c>
      <c r="C1448" s="3">
        <v>8.0000000000000002E-3</v>
      </c>
      <c r="D1448" s="1">
        <v>0.5</v>
      </c>
      <c r="E1448" s="4">
        <v>0.2</v>
      </c>
      <c r="F1448" s="4">
        <v>0.15</v>
      </c>
      <c r="G1448" s="4">
        <v>0.64999999999999991</v>
      </c>
      <c r="H1448" s="17">
        <f t="shared" si="44"/>
        <v>2.9609626546453427E-7</v>
      </c>
      <c r="L1448">
        <f t="shared" si="45"/>
        <v>4.0000000000000001E-3</v>
      </c>
    </row>
    <row r="1449" spans="1:12" x14ac:dyDescent="0.25">
      <c r="A1449" s="1">
        <v>1448</v>
      </c>
      <c r="B1449" s="2">
        <v>312886</v>
      </c>
      <c r="C1449" s="3">
        <v>5.0000000000000001E-3</v>
      </c>
      <c r="D1449" s="1">
        <v>0.5</v>
      </c>
      <c r="E1449" s="4">
        <v>0.16</v>
      </c>
      <c r="F1449" s="4">
        <v>0.24</v>
      </c>
      <c r="G1449" s="4">
        <v>0.6</v>
      </c>
      <c r="H1449" s="17">
        <f t="shared" si="44"/>
        <v>1.576824634136373E-7</v>
      </c>
      <c r="L1449">
        <f t="shared" si="45"/>
        <v>2.5000000000000001E-3</v>
      </c>
    </row>
    <row r="1450" spans="1:12" x14ac:dyDescent="0.25">
      <c r="A1450" s="1">
        <v>1449</v>
      </c>
      <c r="B1450" s="2">
        <v>480260</v>
      </c>
      <c r="C1450" s="3">
        <v>1.4999999999999999E-2</v>
      </c>
      <c r="D1450" s="1">
        <v>0.5</v>
      </c>
      <c r="E1450" s="4">
        <v>0.25</v>
      </c>
      <c r="F1450" s="4">
        <v>0.15</v>
      </c>
      <c r="G1450" s="4">
        <v>0.6</v>
      </c>
      <c r="H1450" s="17">
        <f t="shared" si="44"/>
        <v>7.2609749121756912E-7</v>
      </c>
      <c r="L1450">
        <f t="shared" si="45"/>
        <v>7.4999999999999997E-3</v>
      </c>
    </row>
    <row r="1451" spans="1:12" x14ac:dyDescent="0.25">
      <c r="A1451" s="1">
        <v>1450</v>
      </c>
      <c r="B1451" s="2">
        <v>223529</v>
      </c>
      <c r="C1451" s="3">
        <v>8.0000000000000002E-3</v>
      </c>
      <c r="D1451" s="1">
        <v>0.5</v>
      </c>
      <c r="E1451" s="4">
        <v>0.21</v>
      </c>
      <c r="F1451" s="4">
        <v>0.16</v>
      </c>
      <c r="G1451" s="4">
        <v>0.63</v>
      </c>
      <c r="H1451" s="17">
        <f t="shared" si="44"/>
        <v>1.8023997680630993E-7</v>
      </c>
      <c r="L1451">
        <f t="shared" si="45"/>
        <v>4.0000000000000001E-3</v>
      </c>
    </row>
    <row r="1452" spans="1:12" x14ac:dyDescent="0.25">
      <c r="A1452" s="1">
        <v>1451</v>
      </c>
      <c r="B1452" s="2">
        <v>660439</v>
      </c>
      <c r="C1452" s="3">
        <v>6.0000000000000001E-3</v>
      </c>
      <c r="D1452" s="1">
        <v>0.5</v>
      </c>
      <c r="E1452" s="4">
        <v>0.25</v>
      </c>
      <c r="F1452" s="4">
        <v>0.28999999999999998</v>
      </c>
      <c r="G1452" s="4">
        <v>0.45999999999999996</v>
      </c>
      <c r="H1452" s="17">
        <f t="shared" si="44"/>
        <v>3.9940290759358693E-7</v>
      </c>
      <c r="L1452">
        <f t="shared" si="45"/>
        <v>3.0000000000000001E-3</v>
      </c>
    </row>
    <row r="1453" spans="1:12" x14ac:dyDescent="0.25">
      <c r="A1453" s="1">
        <v>1452</v>
      </c>
      <c r="B1453" s="2">
        <v>230582</v>
      </c>
      <c r="C1453" s="3">
        <v>1.4999999999999999E-2</v>
      </c>
      <c r="D1453" s="1">
        <v>0.5</v>
      </c>
      <c r="E1453" s="4">
        <v>0.23</v>
      </c>
      <c r="F1453" s="4">
        <v>0.28999999999999998</v>
      </c>
      <c r="G1453" s="4">
        <v>0.48</v>
      </c>
      <c r="H1453" s="17">
        <f t="shared" si="44"/>
        <v>3.4861327555892545E-7</v>
      </c>
      <c r="L1453">
        <f t="shared" si="45"/>
        <v>7.4999999999999997E-3</v>
      </c>
    </row>
    <row r="1454" spans="1:12" x14ac:dyDescent="0.25">
      <c r="A1454" s="1">
        <v>1453</v>
      </c>
      <c r="B1454" s="2">
        <v>642791</v>
      </c>
      <c r="C1454" s="3">
        <v>5.0000000000000001E-3</v>
      </c>
      <c r="D1454" s="1">
        <v>0.5</v>
      </c>
      <c r="E1454" s="4">
        <v>0.2</v>
      </c>
      <c r="F1454" s="4">
        <v>0.28999999999999998</v>
      </c>
      <c r="G1454" s="4">
        <v>0.51</v>
      </c>
      <c r="H1454" s="17">
        <f t="shared" si="44"/>
        <v>3.2394184572053503E-7</v>
      </c>
      <c r="L1454">
        <f t="shared" si="45"/>
        <v>2.5000000000000001E-3</v>
      </c>
    </row>
    <row r="1455" spans="1:12" x14ac:dyDescent="0.25">
      <c r="A1455" s="1">
        <v>1454</v>
      </c>
      <c r="B1455" s="2">
        <v>609631</v>
      </c>
      <c r="C1455" s="3">
        <v>1.2999999999999999E-2</v>
      </c>
      <c r="D1455" s="1">
        <v>0.5</v>
      </c>
      <c r="E1455" s="4">
        <v>0.24</v>
      </c>
      <c r="F1455" s="4">
        <v>0.3</v>
      </c>
      <c r="G1455" s="4">
        <v>0.45999999999999996</v>
      </c>
      <c r="H1455" s="17">
        <f t="shared" si="44"/>
        <v>7.9879926368910625E-7</v>
      </c>
      <c r="L1455">
        <f t="shared" si="45"/>
        <v>6.4999999999999997E-3</v>
      </c>
    </row>
    <row r="1456" spans="1:12" x14ac:dyDescent="0.25">
      <c r="A1456" s="1">
        <v>1455</v>
      </c>
      <c r="B1456" s="2">
        <v>571170</v>
      </c>
      <c r="C1456" s="3">
        <v>7.0000000000000001E-3</v>
      </c>
      <c r="D1456" s="1">
        <v>0.5</v>
      </c>
      <c r="E1456" s="4">
        <v>0.25</v>
      </c>
      <c r="F1456" s="4">
        <v>0.27</v>
      </c>
      <c r="G1456" s="4">
        <v>0.48</v>
      </c>
      <c r="H1456" s="17">
        <f t="shared" si="44"/>
        <v>4.0298667782883894E-7</v>
      </c>
      <c r="L1456">
        <f t="shared" si="45"/>
        <v>3.5000000000000001E-3</v>
      </c>
    </row>
    <row r="1457" spans="1:12" x14ac:dyDescent="0.25">
      <c r="A1457" s="1">
        <v>1456</v>
      </c>
      <c r="B1457" s="2">
        <v>888081</v>
      </c>
      <c r="C1457" s="3">
        <v>8.0000000000000002E-3</v>
      </c>
      <c r="D1457" s="1">
        <v>0.5</v>
      </c>
      <c r="E1457" s="4">
        <v>0.19</v>
      </c>
      <c r="F1457" s="4">
        <v>0.3</v>
      </c>
      <c r="G1457" s="4">
        <v>0.51</v>
      </c>
      <c r="H1457" s="17">
        <f t="shared" si="44"/>
        <v>7.1609365604518675E-7</v>
      </c>
      <c r="L1457">
        <f t="shared" si="45"/>
        <v>4.0000000000000001E-3</v>
      </c>
    </row>
    <row r="1458" spans="1:12" x14ac:dyDescent="0.25">
      <c r="A1458" s="1">
        <v>1457</v>
      </c>
      <c r="B1458" s="2">
        <v>354095</v>
      </c>
      <c r="C1458" s="3">
        <v>8.9999999999999993E-3</v>
      </c>
      <c r="D1458" s="1">
        <v>0.5</v>
      </c>
      <c r="E1458" s="4">
        <v>0.19</v>
      </c>
      <c r="F1458" s="4">
        <v>0.28999999999999998</v>
      </c>
      <c r="G1458" s="4">
        <v>0.52</v>
      </c>
      <c r="H1458" s="17">
        <f t="shared" si="44"/>
        <v>3.2121037498773807E-7</v>
      </c>
      <c r="L1458">
        <f t="shared" si="45"/>
        <v>4.4999999999999997E-3</v>
      </c>
    </row>
    <row r="1459" spans="1:12" x14ac:dyDescent="0.25">
      <c r="A1459" s="1">
        <v>1458</v>
      </c>
      <c r="B1459" s="2">
        <v>775553</v>
      </c>
      <c r="C1459" s="3">
        <v>0.01</v>
      </c>
      <c r="D1459" s="1">
        <v>0.5</v>
      </c>
      <c r="E1459" s="4">
        <v>0.15</v>
      </c>
      <c r="F1459" s="4">
        <v>0.22</v>
      </c>
      <c r="G1459" s="4">
        <v>0.63</v>
      </c>
      <c r="H1459" s="17">
        <f t="shared" si="44"/>
        <v>7.8169753551029227E-7</v>
      </c>
      <c r="L1459">
        <f t="shared" si="45"/>
        <v>5.0000000000000001E-3</v>
      </c>
    </row>
    <row r="1460" spans="1:12" x14ac:dyDescent="0.25">
      <c r="A1460" s="1">
        <v>1459</v>
      </c>
      <c r="B1460" s="2">
        <v>732314</v>
      </c>
      <c r="C1460" s="3">
        <v>8.0000000000000002E-3</v>
      </c>
      <c r="D1460" s="1">
        <v>0.5</v>
      </c>
      <c r="E1460" s="4">
        <v>0.2</v>
      </c>
      <c r="F1460" s="4">
        <v>0.33</v>
      </c>
      <c r="G1460" s="4">
        <v>0.46999999999999992</v>
      </c>
      <c r="H1460" s="17">
        <f t="shared" si="44"/>
        <v>5.9049276995350068E-7</v>
      </c>
      <c r="L1460">
        <f t="shared" si="45"/>
        <v>4.0000000000000001E-3</v>
      </c>
    </row>
    <row r="1461" spans="1:12" x14ac:dyDescent="0.25">
      <c r="A1461" s="1">
        <v>1460</v>
      </c>
      <c r="B1461" s="2">
        <v>359345</v>
      </c>
      <c r="C1461" s="3">
        <v>1.4E-2</v>
      </c>
      <c r="D1461" s="1">
        <v>0.5</v>
      </c>
      <c r="E1461" s="4">
        <v>0.23</v>
      </c>
      <c r="F1461" s="4">
        <v>0.28000000000000003</v>
      </c>
      <c r="G1461" s="4">
        <v>0.49</v>
      </c>
      <c r="H1461" s="17">
        <f t="shared" si="44"/>
        <v>5.0706881574453883E-7</v>
      </c>
      <c r="L1461">
        <f t="shared" si="45"/>
        <v>7.0000000000000001E-3</v>
      </c>
    </row>
    <row r="1462" spans="1:12" x14ac:dyDescent="0.25">
      <c r="A1462" s="1">
        <v>1461</v>
      </c>
      <c r="B1462" s="2">
        <v>612610</v>
      </c>
      <c r="C1462" s="3">
        <v>1.2E-2</v>
      </c>
      <c r="D1462" s="1">
        <v>0.5</v>
      </c>
      <c r="E1462" s="4">
        <v>0.22</v>
      </c>
      <c r="F1462" s="4">
        <v>0.26</v>
      </c>
      <c r="G1462" s="4">
        <v>0.52</v>
      </c>
      <c r="H1462" s="17">
        <f t="shared" si="44"/>
        <v>7.4095628883487286E-7</v>
      </c>
      <c r="L1462">
        <f t="shared" si="45"/>
        <v>6.0000000000000001E-3</v>
      </c>
    </row>
    <row r="1463" spans="1:12" x14ac:dyDescent="0.25">
      <c r="A1463" s="1">
        <v>1462</v>
      </c>
      <c r="B1463" s="2">
        <v>350174</v>
      </c>
      <c r="C1463" s="3">
        <v>1.4E-2</v>
      </c>
      <c r="D1463" s="1">
        <v>0.5</v>
      </c>
      <c r="E1463" s="4">
        <v>0.18</v>
      </c>
      <c r="F1463" s="4">
        <v>0.33</v>
      </c>
      <c r="G1463" s="4">
        <v>0.48999999999999994</v>
      </c>
      <c r="H1463" s="17">
        <f t="shared" si="44"/>
        <v>4.9412769200775896E-7</v>
      </c>
      <c r="L1463">
        <f t="shared" si="45"/>
        <v>7.0000000000000001E-3</v>
      </c>
    </row>
    <row r="1464" spans="1:12" x14ac:dyDescent="0.25">
      <c r="A1464" s="1">
        <v>1463</v>
      </c>
      <c r="B1464" s="2">
        <v>456068</v>
      </c>
      <c r="C1464" s="3">
        <v>1.4E-2</v>
      </c>
      <c r="D1464" s="1">
        <v>0.5</v>
      </c>
      <c r="E1464" s="4">
        <v>0.21</v>
      </c>
      <c r="F1464" s="4">
        <v>0.25</v>
      </c>
      <c r="G1464" s="4">
        <v>0.54</v>
      </c>
      <c r="H1464" s="17">
        <f t="shared" si="44"/>
        <v>6.4355385676433614E-7</v>
      </c>
      <c r="L1464">
        <f t="shared" si="45"/>
        <v>7.0000000000000001E-3</v>
      </c>
    </row>
    <row r="1465" spans="1:12" x14ac:dyDescent="0.25">
      <c r="A1465" s="1">
        <v>1464</v>
      </c>
      <c r="B1465" s="2">
        <v>704927</v>
      </c>
      <c r="C1465" s="3">
        <v>1.0999999999999999E-2</v>
      </c>
      <c r="D1465" s="1">
        <v>0.5</v>
      </c>
      <c r="E1465" s="4">
        <v>0.15</v>
      </c>
      <c r="F1465" s="4">
        <v>0.21</v>
      </c>
      <c r="G1465" s="4">
        <v>0.64</v>
      </c>
      <c r="H1465" s="17">
        <f t="shared" si="44"/>
        <v>7.8156317940376749E-7</v>
      </c>
      <c r="L1465">
        <f t="shared" si="45"/>
        <v>5.4999999999999997E-3</v>
      </c>
    </row>
    <row r="1466" spans="1:12" x14ac:dyDescent="0.25">
      <c r="A1466" s="1">
        <v>1465</v>
      </c>
      <c r="B1466" s="2">
        <v>228074</v>
      </c>
      <c r="C1466" s="3">
        <v>1.2E-2</v>
      </c>
      <c r="D1466" s="1">
        <v>0.5</v>
      </c>
      <c r="E1466" s="4">
        <v>0.16</v>
      </c>
      <c r="F1466" s="4">
        <v>0.35</v>
      </c>
      <c r="G1466" s="4">
        <v>0.49</v>
      </c>
      <c r="H1466" s="17">
        <f t="shared" si="44"/>
        <v>2.7585717604956626E-7</v>
      </c>
      <c r="L1466">
        <f t="shared" si="45"/>
        <v>6.0000000000000001E-3</v>
      </c>
    </row>
    <row r="1467" spans="1:12" x14ac:dyDescent="0.25">
      <c r="A1467" s="1">
        <v>1466</v>
      </c>
      <c r="B1467" s="2">
        <v>349169</v>
      </c>
      <c r="C1467" s="3">
        <v>8.9999999999999993E-3</v>
      </c>
      <c r="D1467" s="1">
        <v>0.5</v>
      </c>
      <c r="E1467" s="4">
        <v>0.25</v>
      </c>
      <c r="F1467" s="4">
        <v>0.28999999999999998</v>
      </c>
      <c r="G1467" s="4">
        <v>0.45999999999999996</v>
      </c>
      <c r="H1467" s="17">
        <f t="shared" si="44"/>
        <v>3.1674185013652694E-7</v>
      </c>
      <c r="L1467">
        <f t="shared" si="45"/>
        <v>4.4999999999999997E-3</v>
      </c>
    </row>
    <row r="1468" spans="1:12" x14ac:dyDescent="0.25">
      <c r="A1468" s="1">
        <v>1467</v>
      </c>
      <c r="B1468" s="2">
        <v>499740</v>
      </c>
      <c r="C1468" s="3">
        <v>6.0000000000000001E-3</v>
      </c>
      <c r="D1468" s="1">
        <v>0.5</v>
      </c>
      <c r="E1468" s="4">
        <v>0.19</v>
      </c>
      <c r="F1468" s="4">
        <v>0.24</v>
      </c>
      <c r="G1468" s="4">
        <v>0.57000000000000006</v>
      </c>
      <c r="H1468" s="17">
        <f t="shared" si="44"/>
        <v>3.0221959793534173E-7</v>
      </c>
      <c r="L1468">
        <f t="shared" si="45"/>
        <v>3.0000000000000001E-3</v>
      </c>
    </row>
    <row r="1469" spans="1:12" x14ac:dyDescent="0.25">
      <c r="A1469" s="1">
        <v>1468</v>
      </c>
      <c r="B1469" s="2">
        <v>851780</v>
      </c>
      <c r="C1469" s="3">
        <v>1.2E-2</v>
      </c>
      <c r="D1469" s="1">
        <v>0.5</v>
      </c>
      <c r="E1469" s="4">
        <v>0.24</v>
      </c>
      <c r="F1469" s="4">
        <v>0.24</v>
      </c>
      <c r="G1469" s="4">
        <v>0.52</v>
      </c>
      <c r="H1469" s="17">
        <f t="shared" si="44"/>
        <v>1.0302341582797671E-6</v>
      </c>
      <c r="L1469">
        <f t="shared" si="45"/>
        <v>6.0000000000000001E-3</v>
      </c>
    </row>
    <row r="1470" spans="1:12" x14ac:dyDescent="0.25">
      <c r="A1470" s="1">
        <v>1469</v>
      </c>
      <c r="B1470" s="2">
        <v>983443</v>
      </c>
      <c r="C1470" s="3">
        <v>8.0000000000000002E-3</v>
      </c>
      <c r="D1470" s="1">
        <v>0.5</v>
      </c>
      <c r="E1470" s="4">
        <v>0.21</v>
      </c>
      <c r="F1470" s="4">
        <v>0.19</v>
      </c>
      <c r="G1470" s="4">
        <v>0.60000000000000009</v>
      </c>
      <c r="H1470" s="17">
        <f t="shared" si="44"/>
        <v>7.929876817340384E-7</v>
      </c>
      <c r="L1470">
        <f t="shared" si="45"/>
        <v>4.0000000000000001E-3</v>
      </c>
    </row>
    <row r="1471" spans="1:12" x14ac:dyDescent="0.25">
      <c r="A1471" s="1">
        <v>1470</v>
      </c>
      <c r="B1471" s="2">
        <v>631577</v>
      </c>
      <c r="C1471" s="3">
        <v>1.2E-2</v>
      </c>
      <c r="D1471" s="1">
        <v>0.5</v>
      </c>
      <c r="E1471" s="4">
        <v>0.23</v>
      </c>
      <c r="F1471" s="4">
        <v>0.16</v>
      </c>
      <c r="G1471" s="4">
        <v>0.61</v>
      </c>
      <c r="H1471" s="17">
        <f t="shared" si="44"/>
        <v>7.6389701446836081E-7</v>
      </c>
      <c r="L1471">
        <f t="shared" si="45"/>
        <v>6.0000000000000001E-3</v>
      </c>
    </row>
    <row r="1472" spans="1:12" x14ac:dyDescent="0.25">
      <c r="A1472" s="1">
        <v>1471</v>
      </c>
      <c r="B1472" s="2">
        <v>689262</v>
      </c>
      <c r="C1472" s="3">
        <v>8.0000000000000002E-3</v>
      </c>
      <c r="D1472" s="1">
        <v>0.5</v>
      </c>
      <c r="E1472" s="4">
        <v>0.22</v>
      </c>
      <c r="F1472" s="4">
        <v>0.23</v>
      </c>
      <c r="G1472" s="4">
        <v>0.55000000000000004</v>
      </c>
      <c r="H1472" s="17">
        <f t="shared" si="44"/>
        <v>5.5577829674660023E-7</v>
      </c>
      <c r="L1472">
        <f t="shared" si="45"/>
        <v>4.0000000000000001E-3</v>
      </c>
    </row>
    <row r="1473" spans="1:12" x14ac:dyDescent="0.25">
      <c r="A1473" s="1">
        <v>1472</v>
      </c>
      <c r="B1473" s="2">
        <v>245869</v>
      </c>
      <c r="C1473" s="3">
        <v>1.2E-2</v>
      </c>
      <c r="D1473" s="1">
        <v>0.5</v>
      </c>
      <c r="E1473" s="4">
        <v>0.23</v>
      </c>
      <c r="F1473" s="4">
        <v>0.28999999999999998</v>
      </c>
      <c r="G1473" s="4">
        <v>0.48</v>
      </c>
      <c r="H1473" s="17">
        <f t="shared" si="44"/>
        <v>2.9738035908578269E-7</v>
      </c>
      <c r="L1473">
        <f t="shared" si="45"/>
        <v>6.0000000000000001E-3</v>
      </c>
    </row>
    <row r="1474" spans="1:12" x14ac:dyDescent="0.25">
      <c r="A1474" s="1">
        <v>1473</v>
      </c>
      <c r="B1474" s="2">
        <v>271072</v>
      </c>
      <c r="C1474" s="3">
        <v>1.4E-2</v>
      </c>
      <c r="D1474" s="1">
        <v>0.5</v>
      </c>
      <c r="E1474" s="4">
        <v>0.23</v>
      </c>
      <c r="F1474" s="4">
        <v>0.2</v>
      </c>
      <c r="G1474" s="4">
        <v>0.57000000000000006</v>
      </c>
      <c r="H1474" s="17">
        <f t="shared" si="44"/>
        <v>3.8250750120776314E-7</v>
      </c>
      <c r="L1474">
        <f t="shared" si="45"/>
        <v>7.0000000000000001E-3</v>
      </c>
    </row>
    <row r="1475" spans="1:12" x14ac:dyDescent="0.25">
      <c r="A1475" s="1">
        <v>1474</v>
      </c>
      <c r="B1475" s="2">
        <v>906325</v>
      </c>
      <c r="C1475" s="3">
        <v>8.0000000000000002E-3</v>
      </c>
      <c r="D1475" s="1">
        <v>0.5</v>
      </c>
      <c r="E1475" s="4">
        <v>0.23</v>
      </c>
      <c r="F1475" s="4">
        <v>0.22</v>
      </c>
      <c r="G1475" s="4">
        <v>0.55000000000000004</v>
      </c>
      <c r="H1475" s="17">
        <f t="shared" ref="H1475:H1538" si="46">B1475*C1475*D1475/SUM($B$2:$B$1797)</f>
        <v>7.3080449059844078E-7</v>
      </c>
      <c r="L1475">
        <f t="shared" ref="L1475:L1538" si="47">C1475*D1475</f>
        <v>4.0000000000000001E-3</v>
      </c>
    </row>
    <row r="1476" spans="1:12" x14ac:dyDescent="0.25">
      <c r="A1476" s="1">
        <v>1475</v>
      </c>
      <c r="B1476" s="2">
        <v>599908</v>
      </c>
      <c r="C1476" s="3">
        <v>1.2E-2</v>
      </c>
      <c r="D1476" s="1">
        <v>0.5</v>
      </c>
      <c r="E1476" s="4">
        <v>0.25</v>
      </c>
      <c r="F1476" s="4">
        <v>0.28999999999999998</v>
      </c>
      <c r="G1476" s="4">
        <v>0.45999999999999996</v>
      </c>
      <c r="H1476" s="17">
        <f t="shared" si="46"/>
        <v>7.2559312665864238E-7</v>
      </c>
      <c r="L1476">
        <f t="shared" si="47"/>
        <v>6.0000000000000001E-3</v>
      </c>
    </row>
    <row r="1477" spans="1:12" x14ac:dyDescent="0.25">
      <c r="A1477" s="1">
        <v>1476</v>
      </c>
      <c r="B1477" s="2">
        <v>610782</v>
      </c>
      <c r="C1477" s="3">
        <v>1.2999999999999999E-2</v>
      </c>
      <c r="D1477" s="1">
        <v>0.5</v>
      </c>
      <c r="E1477" s="4">
        <v>0.22</v>
      </c>
      <c r="F1477" s="4">
        <v>0.32</v>
      </c>
      <c r="G1477" s="4">
        <v>0.45999999999999996</v>
      </c>
      <c r="H1477" s="17">
        <f t="shared" si="46"/>
        <v>8.0030741854426642E-7</v>
      </c>
      <c r="L1477">
        <f t="shared" si="47"/>
        <v>6.4999999999999997E-3</v>
      </c>
    </row>
    <row r="1478" spans="1:12" x14ac:dyDescent="0.25">
      <c r="A1478" s="1">
        <v>1477</v>
      </c>
      <c r="B1478" s="2">
        <v>790339</v>
      </c>
      <c r="C1478" s="3">
        <v>1.2E-2</v>
      </c>
      <c r="D1478" s="1">
        <v>0.5</v>
      </c>
      <c r="E1478" s="4">
        <v>0.18</v>
      </c>
      <c r="F1478" s="4">
        <v>0.25</v>
      </c>
      <c r="G1478" s="4">
        <v>0.57000000000000006</v>
      </c>
      <c r="H1478" s="17">
        <f t="shared" si="46"/>
        <v>9.5592081807587949E-7</v>
      </c>
      <c r="L1478">
        <f t="shared" si="47"/>
        <v>6.0000000000000001E-3</v>
      </c>
    </row>
    <row r="1479" spans="1:12" x14ac:dyDescent="0.25">
      <c r="A1479" s="1">
        <v>1478</v>
      </c>
      <c r="B1479" s="2">
        <v>775020</v>
      </c>
      <c r="C1479" s="3">
        <v>5.0000000000000001E-3</v>
      </c>
      <c r="D1479" s="1">
        <v>0.5</v>
      </c>
      <c r="E1479" s="4">
        <v>0.23</v>
      </c>
      <c r="F1479" s="4">
        <v>0.23</v>
      </c>
      <c r="G1479" s="4">
        <v>0.54</v>
      </c>
      <c r="H1479" s="17">
        <f t="shared" si="46"/>
        <v>3.9058015633437476E-7</v>
      </c>
      <c r="L1479">
        <f t="shared" si="47"/>
        <v>2.5000000000000001E-3</v>
      </c>
    </row>
    <row r="1480" spans="1:12" x14ac:dyDescent="0.25">
      <c r="A1480" s="1">
        <v>1479</v>
      </c>
      <c r="B1480" s="2">
        <v>939765</v>
      </c>
      <c r="C1480" s="3">
        <v>1.0999999999999999E-2</v>
      </c>
      <c r="D1480" s="1">
        <v>0.5</v>
      </c>
      <c r="E1480" s="4">
        <v>0.2</v>
      </c>
      <c r="F1480" s="4">
        <v>0.23</v>
      </c>
      <c r="G1480" s="4">
        <v>0.57000000000000006</v>
      </c>
      <c r="H1480" s="17">
        <f t="shared" si="46"/>
        <v>1.0419316060987613E-6</v>
      </c>
      <c r="L1480">
        <f t="shared" si="47"/>
        <v>5.4999999999999997E-3</v>
      </c>
    </row>
    <row r="1481" spans="1:12" x14ac:dyDescent="0.25">
      <c r="A1481" s="1">
        <v>1480</v>
      </c>
      <c r="B1481" s="2">
        <v>841426</v>
      </c>
      <c r="C1481" s="3">
        <v>8.0000000000000002E-3</v>
      </c>
      <c r="D1481" s="1">
        <v>0.5</v>
      </c>
      <c r="E1481" s="4">
        <v>0.2</v>
      </c>
      <c r="F1481" s="4">
        <v>0.15</v>
      </c>
      <c r="G1481" s="4">
        <v>0.64999999999999991</v>
      </c>
      <c r="H1481" s="17">
        <f t="shared" si="46"/>
        <v>6.7847394621828111E-7</v>
      </c>
      <c r="L1481">
        <f t="shared" si="47"/>
        <v>4.0000000000000001E-3</v>
      </c>
    </row>
    <row r="1482" spans="1:12" x14ac:dyDescent="0.25">
      <c r="A1482" s="1">
        <v>1481</v>
      </c>
      <c r="B1482" s="2">
        <v>997567</v>
      </c>
      <c r="C1482" s="3">
        <v>5.0000000000000001E-3</v>
      </c>
      <c r="D1482" s="1">
        <v>0.5</v>
      </c>
      <c r="E1482" s="4">
        <v>0.19</v>
      </c>
      <c r="F1482" s="4">
        <v>0.25</v>
      </c>
      <c r="G1482" s="4">
        <v>0.56000000000000005</v>
      </c>
      <c r="H1482" s="17">
        <f t="shared" si="46"/>
        <v>5.0273525175352024E-7</v>
      </c>
      <c r="L1482">
        <f t="shared" si="47"/>
        <v>2.5000000000000001E-3</v>
      </c>
    </row>
    <row r="1483" spans="1:12" x14ac:dyDescent="0.25">
      <c r="A1483" s="1">
        <v>1482</v>
      </c>
      <c r="B1483" s="2">
        <v>535766</v>
      </c>
      <c r="C1483" s="3">
        <v>1.2999999999999999E-2</v>
      </c>
      <c r="D1483" s="1">
        <v>0.5</v>
      </c>
      <c r="E1483" s="4">
        <v>0.15</v>
      </c>
      <c r="F1483" s="4">
        <v>0.23</v>
      </c>
      <c r="G1483" s="4">
        <v>0.62</v>
      </c>
      <c r="H1483" s="17">
        <f t="shared" si="46"/>
        <v>7.0201398273653688E-7</v>
      </c>
      <c r="L1483">
        <f t="shared" si="47"/>
        <v>6.4999999999999997E-3</v>
      </c>
    </row>
    <row r="1484" spans="1:12" x14ac:dyDescent="0.25">
      <c r="A1484" s="1">
        <v>1483</v>
      </c>
      <c r="B1484" s="2">
        <v>706315</v>
      </c>
      <c r="C1484" s="3">
        <v>6.0000000000000001E-3</v>
      </c>
      <c r="D1484" s="1">
        <v>0.5</v>
      </c>
      <c r="E1484" s="4">
        <v>0.22</v>
      </c>
      <c r="F1484" s="4">
        <v>0.21</v>
      </c>
      <c r="G1484" s="4">
        <v>0.57000000000000006</v>
      </c>
      <c r="H1484" s="17">
        <f t="shared" si="46"/>
        <v>4.2714658685656722E-7</v>
      </c>
      <c r="L1484">
        <f t="shared" si="47"/>
        <v>3.0000000000000001E-3</v>
      </c>
    </row>
    <row r="1485" spans="1:12" x14ac:dyDescent="0.25">
      <c r="A1485" s="1">
        <v>1484</v>
      </c>
      <c r="B1485" s="2">
        <v>527996</v>
      </c>
      <c r="C1485" s="3">
        <v>8.9999999999999993E-3</v>
      </c>
      <c r="D1485" s="1">
        <v>0.5</v>
      </c>
      <c r="E1485" s="4">
        <v>0.15</v>
      </c>
      <c r="F1485" s="4">
        <v>0.22</v>
      </c>
      <c r="G1485" s="4">
        <v>0.63</v>
      </c>
      <c r="H1485" s="17">
        <f t="shared" si="46"/>
        <v>4.7896127635811221E-7</v>
      </c>
      <c r="L1485">
        <f t="shared" si="47"/>
        <v>4.4999999999999997E-3</v>
      </c>
    </row>
    <row r="1486" spans="1:12" x14ac:dyDescent="0.25">
      <c r="A1486" s="1">
        <v>1485</v>
      </c>
      <c r="B1486" s="2">
        <v>717681</v>
      </c>
      <c r="C1486" s="3">
        <v>6.0000000000000001E-3</v>
      </c>
      <c r="D1486" s="1">
        <v>0.5</v>
      </c>
      <c r="E1486" s="4">
        <v>0.23</v>
      </c>
      <c r="F1486" s="4">
        <v>0.18</v>
      </c>
      <c r="G1486" s="4">
        <v>0.59000000000000008</v>
      </c>
      <c r="H1486" s="17">
        <f t="shared" si="46"/>
        <v>4.3402021704453113E-7</v>
      </c>
      <c r="L1486">
        <f t="shared" si="47"/>
        <v>3.0000000000000001E-3</v>
      </c>
    </row>
    <row r="1487" spans="1:12" x14ac:dyDescent="0.25">
      <c r="A1487" s="1">
        <v>1486</v>
      </c>
      <c r="B1487" s="2">
        <v>332724</v>
      </c>
      <c r="C1487" s="3">
        <v>1.2999999999999999E-2</v>
      </c>
      <c r="D1487" s="1">
        <v>0.5</v>
      </c>
      <c r="E1487" s="4">
        <v>0.24</v>
      </c>
      <c r="F1487" s="4">
        <v>0.28000000000000003</v>
      </c>
      <c r="G1487" s="4">
        <v>0.48</v>
      </c>
      <c r="H1487" s="17">
        <f t="shared" si="46"/>
        <v>4.3596812860844372E-7</v>
      </c>
      <c r="L1487">
        <f t="shared" si="47"/>
        <v>6.4999999999999997E-3</v>
      </c>
    </row>
    <row r="1488" spans="1:12" x14ac:dyDescent="0.25">
      <c r="A1488" s="1">
        <v>1487</v>
      </c>
      <c r="B1488" s="2">
        <v>458664</v>
      </c>
      <c r="C1488" s="3">
        <v>1.2E-2</v>
      </c>
      <c r="D1488" s="1">
        <v>0.5</v>
      </c>
      <c r="E1488" s="4">
        <v>0.15</v>
      </c>
      <c r="F1488" s="4">
        <v>0.17</v>
      </c>
      <c r="G1488" s="4">
        <v>0.67999999999999994</v>
      </c>
      <c r="H1488" s="17">
        <f t="shared" si="46"/>
        <v>5.547574725553911E-7</v>
      </c>
      <c r="L1488">
        <f t="shared" si="47"/>
        <v>6.0000000000000001E-3</v>
      </c>
    </row>
    <row r="1489" spans="1:12" x14ac:dyDescent="0.25">
      <c r="A1489" s="1">
        <v>1488</v>
      </c>
      <c r="B1489" s="2">
        <v>597667</v>
      </c>
      <c r="C1489" s="3">
        <v>1.2E-2</v>
      </c>
      <c r="D1489" s="1">
        <v>0.5</v>
      </c>
      <c r="E1489" s="4">
        <v>0.2</v>
      </c>
      <c r="F1489" s="4">
        <v>0.18</v>
      </c>
      <c r="G1489" s="4">
        <v>0.62000000000000011</v>
      </c>
      <c r="H1489" s="17">
        <f t="shared" si="46"/>
        <v>7.2288262071966169E-7</v>
      </c>
      <c r="L1489">
        <f t="shared" si="47"/>
        <v>6.0000000000000001E-3</v>
      </c>
    </row>
    <row r="1490" spans="1:12" x14ac:dyDescent="0.25">
      <c r="A1490" s="1">
        <v>1489</v>
      </c>
      <c r="B1490" s="2">
        <v>524644</v>
      </c>
      <c r="C1490" s="3">
        <v>1.4E-2</v>
      </c>
      <c r="D1490" s="1">
        <v>0.5</v>
      </c>
      <c r="E1490" s="4">
        <v>0.24</v>
      </c>
      <c r="F1490" s="4">
        <v>0.17</v>
      </c>
      <c r="G1490" s="4">
        <v>0.59</v>
      </c>
      <c r="H1490" s="17">
        <f t="shared" si="46"/>
        <v>7.403208943145943E-7</v>
      </c>
      <c r="L1490">
        <f t="shared" si="47"/>
        <v>7.0000000000000001E-3</v>
      </c>
    </row>
    <row r="1491" spans="1:12" x14ac:dyDescent="0.25">
      <c r="A1491" s="1">
        <v>1490</v>
      </c>
      <c r="B1491" s="2">
        <v>363209</v>
      </c>
      <c r="C1491" s="3">
        <v>5.0000000000000001E-3</v>
      </c>
      <c r="D1491" s="1">
        <v>0.5</v>
      </c>
      <c r="E1491" s="4">
        <v>0.15</v>
      </c>
      <c r="F1491" s="4">
        <v>0.23</v>
      </c>
      <c r="G1491" s="4">
        <v>0.62</v>
      </c>
      <c r="H1491" s="17">
        <f t="shared" si="46"/>
        <v>1.8304331243329454E-7</v>
      </c>
      <c r="L1491">
        <f t="shared" si="47"/>
        <v>2.5000000000000001E-3</v>
      </c>
    </row>
    <row r="1492" spans="1:12" x14ac:dyDescent="0.25">
      <c r="A1492" s="1">
        <v>1491</v>
      </c>
      <c r="B1492" s="2">
        <v>719971</v>
      </c>
      <c r="C1492" s="3">
        <v>6.0000000000000001E-3</v>
      </c>
      <c r="D1492" s="1">
        <v>0.5</v>
      </c>
      <c r="E1492" s="4">
        <v>0.17</v>
      </c>
      <c r="F1492" s="4">
        <v>0.3</v>
      </c>
      <c r="G1492" s="4">
        <v>0.52999999999999992</v>
      </c>
      <c r="H1492" s="17">
        <f t="shared" si="46"/>
        <v>4.3540510294374254E-7</v>
      </c>
      <c r="L1492">
        <f t="shared" si="47"/>
        <v>3.0000000000000001E-3</v>
      </c>
    </row>
    <row r="1493" spans="1:12" x14ac:dyDescent="0.25">
      <c r="A1493" s="1">
        <v>1492</v>
      </c>
      <c r="B1493" s="2">
        <v>420673</v>
      </c>
      <c r="C1493" s="3">
        <v>0.01</v>
      </c>
      <c r="D1493" s="1">
        <v>0.5</v>
      </c>
      <c r="E1493" s="4">
        <v>0.23</v>
      </c>
      <c r="F1493" s="4">
        <v>0.28999999999999998</v>
      </c>
      <c r="G1493" s="4">
        <v>0.48</v>
      </c>
      <c r="H1493" s="17">
        <f t="shared" si="46"/>
        <v>4.2400589947524054E-7</v>
      </c>
      <c r="L1493">
        <f t="shared" si="47"/>
        <v>5.0000000000000001E-3</v>
      </c>
    </row>
    <row r="1494" spans="1:12" x14ac:dyDescent="0.25">
      <c r="A1494" s="1">
        <v>1493</v>
      </c>
      <c r="B1494" s="2">
        <v>906575</v>
      </c>
      <c r="C1494" s="3">
        <v>8.9999999999999993E-3</v>
      </c>
      <c r="D1494" s="1">
        <v>0.5</v>
      </c>
      <c r="E1494" s="4">
        <v>0.19</v>
      </c>
      <c r="F1494" s="4">
        <v>0.28000000000000003</v>
      </c>
      <c r="G1494" s="4">
        <v>0.53</v>
      </c>
      <c r="H1494" s="17">
        <f t="shared" si="46"/>
        <v>8.2238183454866243E-7</v>
      </c>
      <c r="L1494">
        <f t="shared" si="47"/>
        <v>4.4999999999999997E-3</v>
      </c>
    </row>
    <row r="1495" spans="1:12" x14ac:dyDescent="0.25">
      <c r="A1495" s="1">
        <v>1494</v>
      </c>
      <c r="B1495" s="2">
        <v>501096</v>
      </c>
      <c r="C1495" s="3">
        <v>8.0000000000000002E-3</v>
      </c>
      <c r="D1495" s="1">
        <v>0.5</v>
      </c>
      <c r="E1495" s="4">
        <v>0.2</v>
      </c>
      <c r="F1495" s="4">
        <v>0.24</v>
      </c>
      <c r="G1495" s="4">
        <v>0.56000000000000005</v>
      </c>
      <c r="H1495" s="17">
        <f t="shared" si="46"/>
        <v>4.0405285854513147E-7</v>
      </c>
      <c r="L1495">
        <f t="shared" si="47"/>
        <v>4.0000000000000001E-3</v>
      </c>
    </row>
    <row r="1496" spans="1:12" x14ac:dyDescent="0.25">
      <c r="A1496" s="1">
        <v>1495</v>
      </c>
      <c r="B1496" s="2">
        <v>557095</v>
      </c>
      <c r="C1496" s="3">
        <v>8.9999999999999993E-3</v>
      </c>
      <c r="D1496" s="1">
        <v>0.5</v>
      </c>
      <c r="E1496" s="4">
        <v>0.2</v>
      </c>
      <c r="F1496" s="4">
        <v>0.15</v>
      </c>
      <c r="G1496" s="4">
        <v>0.64999999999999991</v>
      </c>
      <c r="H1496" s="17">
        <f t="shared" si="46"/>
        <v>5.0535786682611706E-7</v>
      </c>
      <c r="L1496">
        <f t="shared" si="47"/>
        <v>4.4999999999999997E-3</v>
      </c>
    </row>
    <row r="1497" spans="1:12" x14ac:dyDescent="0.25">
      <c r="A1497" s="1">
        <v>1496</v>
      </c>
      <c r="B1497" s="2">
        <v>272443</v>
      </c>
      <c r="C1497" s="3">
        <v>1.0999999999999999E-2</v>
      </c>
      <c r="D1497" s="1">
        <v>0.5</v>
      </c>
      <c r="E1497" s="4">
        <v>0.16</v>
      </c>
      <c r="F1497" s="4">
        <v>0.22</v>
      </c>
      <c r="G1497" s="4">
        <v>0.62</v>
      </c>
      <c r="H1497" s="17">
        <f t="shared" si="46"/>
        <v>3.0206165643577369E-7</v>
      </c>
      <c r="L1497">
        <f t="shared" si="47"/>
        <v>5.4999999999999997E-3</v>
      </c>
    </row>
    <row r="1498" spans="1:12" x14ac:dyDescent="0.25">
      <c r="A1498" s="1">
        <v>1497</v>
      </c>
      <c r="B1498" s="2">
        <v>907463</v>
      </c>
      <c r="C1498" s="3">
        <v>8.9999999999999993E-3</v>
      </c>
      <c r="D1498" s="1">
        <v>0.5</v>
      </c>
      <c r="E1498" s="4">
        <v>0.23</v>
      </c>
      <c r="F1498" s="4">
        <v>0.17</v>
      </c>
      <c r="G1498" s="4">
        <v>0.6</v>
      </c>
      <c r="H1498" s="17">
        <f t="shared" si="46"/>
        <v>8.2318736643414264E-7</v>
      </c>
      <c r="L1498">
        <f t="shared" si="47"/>
        <v>4.4999999999999997E-3</v>
      </c>
    </row>
    <row r="1499" spans="1:12" x14ac:dyDescent="0.25">
      <c r="A1499" s="1">
        <v>1498</v>
      </c>
      <c r="B1499" s="2">
        <v>334824</v>
      </c>
      <c r="C1499" s="3">
        <v>8.9999999999999993E-3</v>
      </c>
      <c r="D1499" s="1">
        <v>0.5</v>
      </c>
      <c r="E1499" s="4">
        <v>0.25</v>
      </c>
      <c r="F1499" s="4">
        <v>0.19</v>
      </c>
      <c r="G1499" s="4">
        <v>0.56000000000000005</v>
      </c>
      <c r="H1499" s="17">
        <f t="shared" si="46"/>
        <v>3.0372906309011538E-7</v>
      </c>
      <c r="L1499">
        <f t="shared" si="47"/>
        <v>4.4999999999999997E-3</v>
      </c>
    </row>
    <row r="1500" spans="1:12" x14ac:dyDescent="0.25">
      <c r="A1500" s="1">
        <v>1499</v>
      </c>
      <c r="B1500" s="2">
        <v>703755</v>
      </c>
      <c r="C1500" s="3">
        <v>1.0999999999999999E-2</v>
      </c>
      <c r="D1500" s="1">
        <v>0.5</v>
      </c>
      <c r="E1500" s="4">
        <v>0.17</v>
      </c>
      <c r="F1500" s="4">
        <v>0.25</v>
      </c>
      <c r="G1500" s="4">
        <v>0.57999999999999996</v>
      </c>
      <c r="H1500" s="17">
        <f t="shared" si="46"/>
        <v>7.8026376535626865E-7</v>
      </c>
      <c r="L1500">
        <f t="shared" si="47"/>
        <v>5.4999999999999997E-3</v>
      </c>
    </row>
    <row r="1501" spans="1:12" x14ac:dyDescent="0.25">
      <c r="A1501" s="1">
        <v>1500</v>
      </c>
      <c r="B1501" s="2">
        <v>824606</v>
      </c>
      <c r="C1501" s="3">
        <v>5.0000000000000001E-3</v>
      </c>
      <c r="D1501" s="1">
        <v>0.5</v>
      </c>
      <c r="E1501" s="4">
        <v>0.21</v>
      </c>
      <c r="F1501" s="4">
        <v>0.33</v>
      </c>
      <c r="G1501" s="4">
        <v>0.45999999999999996</v>
      </c>
      <c r="H1501" s="17">
        <f t="shared" si="46"/>
        <v>4.1556958580973834E-7</v>
      </c>
      <c r="L1501">
        <f t="shared" si="47"/>
        <v>2.5000000000000001E-3</v>
      </c>
    </row>
    <row r="1502" spans="1:12" x14ac:dyDescent="0.25">
      <c r="A1502" s="1">
        <v>1501</v>
      </c>
      <c r="B1502" s="2">
        <v>420701</v>
      </c>
      <c r="C1502" s="3">
        <v>1.2999999999999999E-2</v>
      </c>
      <c r="D1502" s="1">
        <v>0.5</v>
      </c>
      <c r="E1502" s="4">
        <v>0.25</v>
      </c>
      <c r="F1502" s="4">
        <v>0.16</v>
      </c>
      <c r="G1502" s="4">
        <v>0.59</v>
      </c>
      <c r="H1502" s="17">
        <f t="shared" si="46"/>
        <v>5.5124435770699107E-7</v>
      </c>
      <c r="L1502">
        <f t="shared" si="47"/>
        <v>6.4999999999999997E-3</v>
      </c>
    </row>
    <row r="1503" spans="1:12" x14ac:dyDescent="0.25">
      <c r="A1503" s="1">
        <v>1502</v>
      </c>
      <c r="B1503" s="2">
        <v>589315</v>
      </c>
      <c r="C1503" s="3">
        <v>1.4E-2</v>
      </c>
      <c r="D1503" s="1">
        <v>0.5</v>
      </c>
      <c r="E1503" s="4">
        <v>0.16</v>
      </c>
      <c r="F1503" s="4">
        <v>0.22</v>
      </c>
      <c r="G1503" s="4">
        <v>0.62</v>
      </c>
      <c r="H1503" s="17">
        <f t="shared" si="46"/>
        <v>8.3157761802861576E-7</v>
      </c>
      <c r="L1503">
        <f t="shared" si="47"/>
        <v>7.0000000000000001E-3</v>
      </c>
    </row>
    <row r="1504" spans="1:12" x14ac:dyDescent="0.25">
      <c r="A1504" s="1">
        <v>1503</v>
      </c>
      <c r="B1504" s="2">
        <v>385862</v>
      </c>
      <c r="C1504" s="3">
        <v>1.0999999999999999E-2</v>
      </c>
      <c r="D1504" s="1">
        <v>0.5</v>
      </c>
      <c r="E1504" s="4">
        <v>0.18</v>
      </c>
      <c r="F1504" s="4">
        <v>0.23</v>
      </c>
      <c r="G1504" s="4">
        <v>0.59000000000000008</v>
      </c>
      <c r="H1504" s="17">
        <f t="shared" si="46"/>
        <v>4.2781100955289919E-7</v>
      </c>
      <c r="L1504">
        <f t="shared" si="47"/>
        <v>5.4999999999999997E-3</v>
      </c>
    </row>
    <row r="1505" spans="1:12" x14ac:dyDescent="0.25">
      <c r="A1505" s="1">
        <v>1504</v>
      </c>
      <c r="B1505" s="2">
        <v>768552</v>
      </c>
      <c r="C1505" s="3">
        <v>1.2999999999999999E-2</v>
      </c>
      <c r="D1505" s="1">
        <v>0.5</v>
      </c>
      <c r="E1505" s="4">
        <v>0.24</v>
      </c>
      <c r="F1505" s="4">
        <v>0.24</v>
      </c>
      <c r="G1505" s="4">
        <v>0.52</v>
      </c>
      <c r="H1505" s="17">
        <f t="shared" si="46"/>
        <v>1.0070333885691344E-6</v>
      </c>
      <c r="L1505">
        <f t="shared" si="47"/>
        <v>6.4999999999999997E-3</v>
      </c>
    </row>
    <row r="1506" spans="1:12" x14ac:dyDescent="0.25">
      <c r="A1506" s="1">
        <v>1505</v>
      </c>
      <c r="B1506" s="2">
        <v>919322</v>
      </c>
      <c r="C1506" s="3">
        <v>1.0999999999999999E-2</v>
      </c>
      <c r="D1506" s="1">
        <v>0.5</v>
      </c>
      <c r="E1506" s="4">
        <v>0.23</v>
      </c>
      <c r="F1506" s="4">
        <v>0.18</v>
      </c>
      <c r="G1506" s="4">
        <v>0.59000000000000008</v>
      </c>
      <c r="H1506" s="17">
        <f t="shared" si="46"/>
        <v>1.0192661441763905E-6</v>
      </c>
      <c r="L1506">
        <f t="shared" si="47"/>
        <v>5.4999999999999997E-3</v>
      </c>
    </row>
    <row r="1507" spans="1:12" x14ac:dyDescent="0.25">
      <c r="A1507" s="1">
        <v>1506</v>
      </c>
      <c r="B1507" s="2">
        <v>520746</v>
      </c>
      <c r="C1507" s="3">
        <v>1.2999999999999999E-2</v>
      </c>
      <c r="D1507" s="1">
        <v>0.5</v>
      </c>
      <c r="E1507" s="4">
        <v>0.24</v>
      </c>
      <c r="F1507" s="4">
        <v>0.22</v>
      </c>
      <c r="G1507" s="4">
        <v>0.54</v>
      </c>
      <c r="H1507" s="17">
        <f t="shared" si="46"/>
        <v>6.8233328254148385E-7</v>
      </c>
      <c r="L1507">
        <f t="shared" si="47"/>
        <v>6.4999999999999997E-3</v>
      </c>
    </row>
    <row r="1508" spans="1:12" x14ac:dyDescent="0.25">
      <c r="A1508" s="1">
        <v>1507</v>
      </c>
      <c r="B1508" s="2">
        <v>280397</v>
      </c>
      <c r="C1508" s="3">
        <v>6.0000000000000001E-3</v>
      </c>
      <c r="D1508" s="1">
        <v>0.5</v>
      </c>
      <c r="E1508" s="4">
        <v>0.23</v>
      </c>
      <c r="F1508" s="4">
        <v>0.28999999999999998</v>
      </c>
      <c r="G1508" s="4">
        <v>0.48</v>
      </c>
      <c r="H1508" s="17">
        <f t="shared" si="46"/>
        <v>1.6957111418392767E-7</v>
      </c>
      <c r="L1508">
        <f t="shared" si="47"/>
        <v>3.0000000000000001E-3</v>
      </c>
    </row>
    <row r="1509" spans="1:12" x14ac:dyDescent="0.25">
      <c r="A1509" s="1">
        <v>1508</v>
      </c>
      <c r="B1509" s="2">
        <v>717238</v>
      </c>
      <c r="C1509" s="3">
        <v>7.0000000000000001E-3</v>
      </c>
      <c r="D1509" s="1">
        <v>0.5</v>
      </c>
      <c r="E1509" s="4">
        <v>0.21</v>
      </c>
      <c r="F1509" s="4">
        <v>0.3</v>
      </c>
      <c r="G1509" s="4">
        <v>0.49</v>
      </c>
      <c r="H1509" s="17">
        <f t="shared" si="46"/>
        <v>5.0604436303132306E-7</v>
      </c>
      <c r="L1509">
        <f t="shared" si="47"/>
        <v>3.5000000000000001E-3</v>
      </c>
    </row>
    <row r="1510" spans="1:12" x14ac:dyDescent="0.25">
      <c r="A1510" s="1">
        <v>1509</v>
      </c>
      <c r="B1510" s="2">
        <v>368984</v>
      </c>
      <c r="C1510" s="3">
        <v>7.0000000000000001E-3</v>
      </c>
      <c r="D1510" s="1">
        <v>0.5</v>
      </c>
      <c r="E1510" s="4">
        <v>0.24</v>
      </c>
      <c r="F1510" s="4">
        <v>0.19</v>
      </c>
      <c r="G1510" s="4">
        <v>0.57000000000000006</v>
      </c>
      <c r="H1510" s="17">
        <f t="shared" si="46"/>
        <v>2.6033516524326611E-7</v>
      </c>
      <c r="L1510">
        <f t="shared" si="47"/>
        <v>3.5000000000000001E-3</v>
      </c>
    </row>
    <row r="1511" spans="1:12" x14ac:dyDescent="0.25">
      <c r="A1511" s="1">
        <v>1510</v>
      </c>
      <c r="B1511" s="2">
        <v>373492</v>
      </c>
      <c r="C1511" s="3">
        <v>7.0000000000000001E-3</v>
      </c>
      <c r="D1511" s="1">
        <v>0.5</v>
      </c>
      <c r="E1511" s="4">
        <v>0.21</v>
      </c>
      <c r="F1511" s="4">
        <v>0.23</v>
      </c>
      <c r="G1511" s="4">
        <v>0.56000000000000005</v>
      </c>
      <c r="H1511" s="17">
        <f t="shared" si="46"/>
        <v>2.6351576636666618E-7</v>
      </c>
      <c r="L1511">
        <f t="shared" si="47"/>
        <v>3.5000000000000001E-3</v>
      </c>
    </row>
    <row r="1512" spans="1:12" x14ac:dyDescent="0.25">
      <c r="A1512" s="1">
        <v>1511</v>
      </c>
      <c r="B1512" s="2">
        <v>346397</v>
      </c>
      <c r="C1512" s="3">
        <v>8.0000000000000002E-3</v>
      </c>
      <c r="D1512" s="1">
        <v>0.5</v>
      </c>
      <c r="E1512" s="4">
        <v>0.23</v>
      </c>
      <c r="F1512" s="4">
        <v>0.18</v>
      </c>
      <c r="G1512" s="4">
        <v>0.59000000000000008</v>
      </c>
      <c r="H1512" s="17">
        <f t="shared" si="46"/>
        <v>2.793131416763612E-7</v>
      </c>
      <c r="L1512">
        <f t="shared" si="47"/>
        <v>4.0000000000000001E-3</v>
      </c>
    </row>
    <row r="1513" spans="1:12" x14ac:dyDescent="0.25">
      <c r="A1513" s="1">
        <v>1512</v>
      </c>
      <c r="B1513" s="2">
        <v>847210</v>
      </c>
      <c r="C1513" s="3">
        <v>8.9999999999999993E-3</v>
      </c>
      <c r="D1513" s="1">
        <v>0.5</v>
      </c>
      <c r="E1513" s="4">
        <v>0.16</v>
      </c>
      <c r="F1513" s="4">
        <v>0.18</v>
      </c>
      <c r="G1513" s="4">
        <v>0.66</v>
      </c>
      <c r="H1513" s="17">
        <f t="shared" si="46"/>
        <v>7.685300323172074E-7</v>
      </c>
      <c r="L1513">
        <f t="shared" si="47"/>
        <v>4.4999999999999997E-3</v>
      </c>
    </row>
    <row r="1514" spans="1:12" x14ac:dyDescent="0.25">
      <c r="A1514" s="1">
        <v>1513</v>
      </c>
      <c r="B1514" s="2">
        <v>631629</v>
      </c>
      <c r="C1514" s="3">
        <v>1.0999999999999999E-2</v>
      </c>
      <c r="D1514" s="1">
        <v>0.5</v>
      </c>
      <c r="E1514" s="4">
        <v>0.23</v>
      </c>
      <c r="F1514" s="4">
        <v>0.16</v>
      </c>
      <c r="G1514" s="4">
        <v>0.61</v>
      </c>
      <c r="H1514" s="17">
        <f t="shared" si="46"/>
        <v>7.0029658311232555E-7</v>
      </c>
      <c r="L1514">
        <f t="shared" si="47"/>
        <v>5.4999999999999997E-3</v>
      </c>
    </row>
    <row r="1515" spans="1:12" x14ac:dyDescent="0.25">
      <c r="A1515" s="1">
        <v>1514</v>
      </c>
      <c r="B1515" s="2">
        <v>973652</v>
      </c>
      <c r="C1515" s="3">
        <v>5.0000000000000001E-3</v>
      </c>
      <c r="D1515" s="1">
        <v>0.5</v>
      </c>
      <c r="E1515" s="4">
        <v>0.19</v>
      </c>
      <c r="F1515" s="4">
        <v>0.22</v>
      </c>
      <c r="G1515" s="4">
        <v>0.59000000000000008</v>
      </c>
      <c r="H1515" s="17">
        <f t="shared" si="46"/>
        <v>4.9068301511609595E-7</v>
      </c>
      <c r="L1515">
        <f t="shared" si="47"/>
        <v>2.5000000000000001E-3</v>
      </c>
    </row>
    <row r="1516" spans="1:12" x14ac:dyDescent="0.25">
      <c r="A1516" s="1">
        <v>1515</v>
      </c>
      <c r="B1516" s="2">
        <v>626533</v>
      </c>
      <c r="C1516" s="3">
        <v>8.0000000000000002E-3</v>
      </c>
      <c r="D1516" s="1">
        <v>0.5</v>
      </c>
      <c r="E1516" s="4">
        <v>0.21</v>
      </c>
      <c r="F1516" s="4">
        <v>0.28000000000000003</v>
      </c>
      <c r="G1516" s="4">
        <v>0.51</v>
      </c>
      <c r="H1516" s="17">
        <f t="shared" si="46"/>
        <v>5.0519750631187806E-7</v>
      </c>
      <c r="L1516">
        <f t="shared" si="47"/>
        <v>4.0000000000000001E-3</v>
      </c>
    </row>
    <row r="1517" spans="1:12" x14ac:dyDescent="0.25">
      <c r="A1517" s="1">
        <v>1516</v>
      </c>
      <c r="B1517" s="2">
        <v>545499</v>
      </c>
      <c r="C1517" s="3">
        <v>8.0000000000000002E-3</v>
      </c>
      <c r="D1517" s="1">
        <v>0.5</v>
      </c>
      <c r="E1517" s="4">
        <v>0.17</v>
      </c>
      <c r="F1517" s="4">
        <v>0.33</v>
      </c>
      <c r="G1517" s="4">
        <v>0.49999999999999989</v>
      </c>
      <c r="H1517" s="17">
        <f t="shared" si="46"/>
        <v>4.3985669469225588E-7</v>
      </c>
      <c r="L1517">
        <f t="shared" si="47"/>
        <v>4.0000000000000001E-3</v>
      </c>
    </row>
    <row r="1518" spans="1:12" x14ac:dyDescent="0.25">
      <c r="A1518" s="1">
        <v>1517</v>
      </c>
      <c r="B1518" s="2">
        <v>562552</v>
      </c>
      <c r="C1518" s="3">
        <v>0.01</v>
      </c>
      <c r="D1518" s="1">
        <v>0.5</v>
      </c>
      <c r="E1518" s="4">
        <v>0.15</v>
      </c>
      <c r="F1518" s="4">
        <v>0.2</v>
      </c>
      <c r="G1518" s="4">
        <v>0.65</v>
      </c>
      <c r="H1518" s="17">
        <f t="shared" si="46"/>
        <v>5.6700897552634827E-7</v>
      </c>
      <c r="L1518">
        <f t="shared" si="47"/>
        <v>5.0000000000000001E-3</v>
      </c>
    </row>
    <row r="1519" spans="1:12" x14ac:dyDescent="0.25">
      <c r="A1519" s="1">
        <v>1518</v>
      </c>
      <c r="B1519" s="2">
        <v>300758</v>
      </c>
      <c r="C1519" s="3">
        <v>5.0000000000000001E-3</v>
      </c>
      <c r="D1519" s="1">
        <v>0.5</v>
      </c>
      <c r="E1519" s="4">
        <v>0.2</v>
      </c>
      <c r="F1519" s="4">
        <v>0.23</v>
      </c>
      <c r="G1519" s="4">
        <v>0.57000000000000006</v>
      </c>
      <c r="H1519" s="17">
        <f t="shared" si="46"/>
        <v>1.5157041967796171E-7</v>
      </c>
      <c r="L1519">
        <f t="shared" si="47"/>
        <v>2.5000000000000001E-3</v>
      </c>
    </row>
    <row r="1520" spans="1:12" x14ac:dyDescent="0.25">
      <c r="A1520" s="1">
        <v>1519</v>
      </c>
      <c r="B1520" s="2">
        <v>886549</v>
      </c>
      <c r="C1520" s="3">
        <v>1.2E-2</v>
      </c>
      <c r="D1520" s="1">
        <v>0.5</v>
      </c>
      <c r="E1520" s="4">
        <v>0.23</v>
      </c>
      <c r="F1520" s="4">
        <v>0.26</v>
      </c>
      <c r="G1520" s="4">
        <v>0.51</v>
      </c>
      <c r="H1520" s="17">
        <f t="shared" si="46"/>
        <v>1.0722875188297085E-6</v>
      </c>
      <c r="L1520">
        <f t="shared" si="47"/>
        <v>6.0000000000000001E-3</v>
      </c>
    </row>
    <row r="1521" spans="1:12" x14ac:dyDescent="0.25">
      <c r="A1521" s="1">
        <v>1520</v>
      </c>
      <c r="B1521" s="2">
        <v>922589</v>
      </c>
      <c r="C1521" s="3">
        <v>1.2E-2</v>
      </c>
      <c r="D1521" s="1">
        <v>0.5</v>
      </c>
      <c r="E1521" s="4">
        <v>0.16</v>
      </c>
      <c r="F1521" s="4">
        <v>0.15</v>
      </c>
      <c r="G1521" s="4">
        <v>0.69</v>
      </c>
      <c r="H1521" s="17">
        <f t="shared" si="46"/>
        <v>1.1158781632031417E-6</v>
      </c>
      <c r="L1521">
        <f t="shared" si="47"/>
        <v>6.0000000000000001E-3</v>
      </c>
    </row>
    <row r="1522" spans="1:12" x14ac:dyDescent="0.25">
      <c r="A1522" s="1">
        <v>1521</v>
      </c>
      <c r="B1522" s="2">
        <v>467476</v>
      </c>
      <c r="C1522" s="3">
        <v>0.01</v>
      </c>
      <c r="D1522" s="1">
        <v>0.5</v>
      </c>
      <c r="E1522" s="4">
        <v>0.17</v>
      </c>
      <c r="F1522" s="4">
        <v>0.35</v>
      </c>
      <c r="G1522" s="4">
        <v>0.48</v>
      </c>
      <c r="H1522" s="17">
        <f t="shared" si="46"/>
        <v>4.7117970933025774E-7</v>
      </c>
      <c r="L1522">
        <f t="shared" si="47"/>
        <v>5.0000000000000001E-3</v>
      </c>
    </row>
    <row r="1523" spans="1:12" x14ac:dyDescent="0.25">
      <c r="A1523" s="1">
        <v>1522</v>
      </c>
      <c r="B1523" s="2">
        <v>936801</v>
      </c>
      <c r="C1523" s="3">
        <v>0.01</v>
      </c>
      <c r="D1523" s="1">
        <v>0.5</v>
      </c>
      <c r="E1523" s="4">
        <v>0.2</v>
      </c>
      <c r="F1523" s="4">
        <v>0.25</v>
      </c>
      <c r="G1523" s="4">
        <v>0.55000000000000004</v>
      </c>
      <c r="H1523" s="17">
        <f t="shared" si="46"/>
        <v>9.4422306788005117E-7</v>
      </c>
      <c r="L1523">
        <f t="shared" si="47"/>
        <v>5.0000000000000001E-3</v>
      </c>
    </row>
    <row r="1524" spans="1:12" x14ac:dyDescent="0.25">
      <c r="A1524" s="1">
        <v>1523</v>
      </c>
      <c r="B1524" s="2">
        <v>303951</v>
      </c>
      <c r="C1524" s="3">
        <v>1.2999999999999999E-2</v>
      </c>
      <c r="D1524" s="1">
        <v>0.5</v>
      </c>
      <c r="E1524" s="4">
        <v>0.21</v>
      </c>
      <c r="F1524" s="4">
        <v>0.28999999999999998</v>
      </c>
      <c r="G1524" s="4">
        <v>0.5</v>
      </c>
      <c r="H1524" s="17">
        <f t="shared" si="46"/>
        <v>3.9826687782866608E-7</v>
      </c>
      <c r="L1524">
        <f t="shared" si="47"/>
        <v>6.4999999999999997E-3</v>
      </c>
    </row>
    <row r="1525" spans="1:12" x14ac:dyDescent="0.25">
      <c r="A1525" s="1">
        <v>1524</v>
      </c>
      <c r="B1525" s="2">
        <v>576021</v>
      </c>
      <c r="C1525" s="3">
        <v>1.4E-2</v>
      </c>
      <c r="D1525" s="1">
        <v>0.5</v>
      </c>
      <c r="E1525" s="4">
        <v>0.2</v>
      </c>
      <c r="F1525" s="4">
        <v>0.27</v>
      </c>
      <c r="G1525" s="4">
        <v>0.53</v>
      </c>
      <c r="H1525" s="17">
        <f t="shared" si="46"/>
        <v>8.128185624232563E-7</v>
      </c>
      <c r="L1525">
        <f t="shared" si="47"/>
        <v>7.0000000000000001E-3</v>
      </c>
    </row>
    <row r="1526" spans="1:12" x14ac:dyDescent="0.25">
      <c r="A1526" s="1">
        <v>1525</v>
      </c>
      <c r="B1526" s="2">
        <v>564796</v>
      </c>
      <c r="C1526" s="3">
        <v>7.0000000000000001E-3</v>
      </c>
      <c r="D1526" s="1">
        <v>0.5</v>
      </c>
      <c r="E1526" s="4">
        <v>0.18</v>
      </c>
      <c r="F1526" s="4">
        <v>0.16</v>
      </c>
      <c r="G1526" s="4">
        <v>0.65999999999999992</v>
      </c>
      <c r="H1526" s="17">
        <f t="shared" si="46"/>
        <v>3.9848952797068636E-7</v>
      </c>
      <c r="L1526">
        <f t="shared" si="47"/>
        <v>3.5000000000000001E-3</v>
      </c>
    </row>
    <row r="1527" spans="1:12" x14ac:dyDescent="0.25">
      <c r="A1527" s="1">
        <v>1526</v>
      </c>
      <c r="B1527" s="2">
        <v>715928</v>
      </c>
      <c r="C1527" s="3">
        <v>1.2999999999999999E-2</v>
      </c>
      <c r="D1527" s="1">
        <v>0.5</v>
      </c>
      <c r="E1527" s="4">
        <v>0.25</v>
      </c>
      <c r="F1527" s="4">
        <v>0.18</v>
      </c>
      <c r="G1527" s="4">
        <v>0.57000000000000006</v>
      </c>
      <c r="H1527" s="17">
        <f t="shared" si="46"/>
        <v>9.3808018170731885E-7</v>
      </c>
      <c r="L1527">
        <f t="shared" si="47"/>
        <v>6.4999999999999997E-3</v>
      </c>
    </row>
    <row r="1528" spans="1:12" x14ac:dyDescent="0.25">
      <c r="A1528" s="1">
        <v>1527</v>
      </c>
      <c r="B1528" s="2">
        <v>271797</v>
      </c>
      <c r="C1528" s="3">
        <v>0.01</v>
      </c>
      <c r="D1528" s="1">
        <v>0.5</v>
      </c>
      <c r="E1528" s="4">
        <v>0.16</v>
      </c>
      <c r="F1528" s="4">
        <v>0.26</v>
      </c>
      <c r="G1528" s="4">
        <v>0.57999999999999996</v>
      </c>
      <c r="H1528" s="17">
        <f t="shared" si="46"/>
        <v>2.7395038773506251E-7</v>
      </c>
      <c r="L1528">
        <f t="shared" si="47"/>
        <v>5.0000000000000001E-3</v>
      </c>
    </row>
    <row r="1529" spans="1:12" x14ac:dyDescent="0.25">
      <c r="A1529" s="1">
        <v>1528</v>
      </c>
      <c r="B1529" s="2">
        <v>907857</v>
      </c>
      <c r="C1529" s="3">
        <v>7.0000000000000001E-3</v>
      </c>
      <c r="D1529" s="1">
        <v>0.5</v>
      </c>
      <c r="E1529" s="4">
        <v>0.24</v>
      </c>
      <c r="F1529" s="4">
        <v>0.21</v>
      </c>
      <c r="G1529" s="4">
        <v>0.55000000000000004</v>
      </c>
      <c r="H1529" s="17">
        <f t="shared" si="46"/>
        <v>6.405348256625107E-7</v>
      </c>
      <c r="L1529">
        <f t="shared" si="47"/>
        <v>3.5000000000000001E-3</v>
      </c>
    </row>
    <row r="1530" spans="1:12" x14ac:dyDescent="0.25">
      <c r="A1530" s="1">
        <v>1529</v>
      </c>
      <c r="B1530" s="2">
        <v>987136</v>
      </c>
      <c r="C1530" s="3">
        <v>1.0999999999999999E-2</v>
      </c>
      <c r="D1530" s="1">
        <v>0.5</v>
      </c>
      <c r="E1530" s="4">
        <v>0.24</v>
      </c>
      <c r="F1530" s="4">
        <v>0.24</v>
      </c>
      <c r="G1530" s="4">
        <v>0.52</v>
      </c>
      <c r="H1530" s="17">
        <f t="shared" si="46"/>
        <v>1.0944525470919931E-6</v>
      </c>
      <c r="L1530">
        <f t="shared" si="47"/>
        <v>5.4999999999999997E-3</v>
      </c>
    </row>
    <row r="1531" spans="1:12" x14ac:dyDescent="0.25">
      <c r="A1531" s="1">
        <v>1530</v>
      </c>
      <c r="B1531" s="2">
        <v>664080</v>
      </c>
      <c r="C1531" s="3">
        <v>8.0000000000000002E-3</v>
      </c>
      <c r="D1531" s="1">
        <v>0.5</v>
      </c>
      <c r="E1531" s="4">
        <v>0.24</v>
      </c>
      <c r="F1531" s="4">
        <v>0.22</v>
      </c>
      <c r="G1531" s="4">
        <v>0.54</v>
      </c>
      <c r="H1531" s="17">
        <f t="shared" si="46"/>
        <v>5.3547308759728856E-7</v>
      </c>
      <c r="L1531">
        <f t="shared" si="47"/>
        <v>4.0000000000000001E-3</v>
      </c>
    </row>
    <row r="1532" spans="1:12" x14ac:dyDescent="0.25">
      <c r="A1532" s="1">
        <v>1531</v>
      </c>
      <c r="B1532" s="2">
        <v>722816</v>
      </c>
      <c r="C1532" s="3">
        <v>0.01</v>
      </c>
      <c r="D1532" s="1">
        <v>0.5</v>
      </c>
      <c r="E1532" s="4">
        <v>0.25</v>
      </c>
      <c r="F1532" s="4">
        <v>0.22</v>
      </c>
      <c r="G1532" s="4">
        <v>0.53</v>
      </c>
      <c r="H1532" s="17">
        <f t="shared" si="46"/>
        <v>7.2854271188095124E-7</v>
      </c>
      <c r="L1532">
        <f t="shared" si="47"/>
        <v>5.0000000000000001E-3</v>
      </c>
    </row>
    <row r="1533" spans="1:12" x14ac:dyDescent="0.25">
      <c r="A1533" s="1">
        <v>1532</v>
      </c>
      <c r="B1533" s="2">
        <v>536164</v>
      </c>
      <c r="C1533" s="3">
        <v>5.0000000000000001E-3</v>
      </c>
      <c r="D1533" s="1">
        <v>0.5</v>
      </c>
      <c r="E1533" s="4">
        <v>0.17</v>
      </c>
      <c r="F1533" s="4">
        <v>0.28000000000000003</v>
      </c>
      <c r="G1533" s="4">
        <v>0.54999999999999993</v>
      </c>
      <c r="H1533" s="17">
        <f t="shared" si="46"/>
        <v>2.7020595460873746E-7</v>
      </c>
      <c r="L1533">
        <f t="shared" si="47"/>
        <v>2.5000000000000001E-3</v>
      </c>
    </row>
    <row r="1534" spans="1:12" x14ac:dyDescent="0.25">
      <c r="A1534" s="1">
        <v>1533</v>
      </c>
      <c r="B1534" s="2">
        <v>520895</v>
      </c>
      <c r="C1534" s="3">
        <v>8.9999999999999993E-3</v>
      </c>
      <c r="D1534" s="1">
        <v>0.5</v>
      </c>
      <c r="E1534" s="4">
        <v>0.15</v>
      </c>
      <c r="F1534" s="4">
        <v>0.23</v>
      </c>
      <c r="G1534" s="4">
        <v>0.62</v>
      </c>
      <c r="H1534" s="17">
        <f t="shared" si="46"/>
        <v>4.7251974266577559E-7</v>
      </c>
      <c r="L1534">
        <f t="shared" si="47"/>
        <v>4.4999999999999997E-3</v>
      </c>
    </row>
    <row r="1535" spans="1:12" x14ac:dyDescent="0.25">
      <c r="A1535" s="1">
        <v>1534</v>
      </c>
      <c r="B1535" s="2">
        <v>395416</v>
      </c>
      <c r="C1535" s="3">
        <v>0.01</v>
      </c>
      <c r="D1535" s="1">
        <v>0.5</v>
      </c>
      <c r="E1535" s="4">
        <v>0.23</v>
      </c>
      <c r="F1535" s="4">
        <v>0.22</v>
      </c>
      <c r="G1535" s="4">
        <v>0.55000000000000004</v>
      </c>
      <c r="H1535" s="17">
        <f t="shared" si="46"/>
        <v>3.985487938301286E-7</v>
      </c>
      <c r="L1535">
        <f t="shared" si="47"/>
        <v>5.0000000000000001E-3</v>
      </c>
    </row>
    <row r="1536" spans="1:12" x14ac:dyDescent="0.25">
      <c r="A1536" s="1">
        <v>1535</v>
      </c>
      <c r="B1536" s="2">
        <v>397309</v>
      </c>
      <c r="C1536" s="3">
        <v>1.2999999999999999E-2</v>
      </c>
      <c r="D1536" s="1">
        <v>0.5</v>
      </c>
      <c r="E1536" s="4">
        <v>0.22</v>
      </c>
      <c r="F1536" s="4">
        <v>0.3</v>
      </c>
      <c r="G1536" s="4">
        <v>0.48</v>
      </c>
      <c r="H1536" s="17">
        <f t="shared" si="46"/>
        <v>5.2059382914755833E-7</v>
      </c>
      <c r="L1536">
        <f t="shared" si="47"/>
        <v>6.4999999999999997E-3</v>
      </c>
    </row>
    <row r="1537" spans="1:12" x14ac:dyDescent="0.25">
      <c r="A1537" s="1">
        <v>1536</v>
      </c>
      <c r="B1537" s="2">
        <v>264238</v>
      </c>
      <c r="C1537" s="3">
        <v>6.0000000000000001E-3</v>
      </c>
      <c r="D1537" s="1">
        <v>0.5</v>
      </c>
      <c r="E1537" s="4">
        <v>0.18</v>
      </c>
      <c r="F1537" s="4">
        <v>0.3</v>
      </c>
      <c r="G1537" s="4">
        <v>0.52</v>
      </c>
      <c r="H1537" s="17">
        <f t="shared" si="46"/>
        <v>1.5979889966630414E-7</v>
      </c>
      <c r="L1537">
        <f t="shared" si="47"/>
        <v>3.0000000000000001E-3</v>
      </c>
    </row>
    <row r="1538" spans="1:12" x14ac:dyDescent="0.25">
      <c r="A1538" s="1">
        <v>1537</v>
      </c>
      <c r="B1538" s="2">
        <v>863487</v>
      </c>
      <c r="C1538" s="3">
        <v>7.0000000000000001E-3</v>
      </c>
      <c r="D1538" s="1">
        <v>0.5</v>
      </c>
      <c r="E1538" s="4">
        <v>0.21</v>
      </c>
      <c r="F1538" s="4">
        <v>0.24</v>
      </c>
      <c r="G1538" s="4">
        <v>0.55000000000000004</v>
      </c>
      <c r="H1538" s="17">
        <f t="shared" si="46"/>
        <v>6.0922975204998634E-7</v>
      </c>
      <c r="L1538">
        <f t="shared" si="47"/>
        <v>3.5000000000000001E-3</v>
      </c>
    </row>
    <row r="1539" spans="1:12" x14ac:dyDescent="0.25">
      <c r="A1539" s="1">
        <v>1538</v>
      </c>
      <c r="B1539" s="2">
        <v>310754</v>
      </c>
      <c r="C1539" s="3">
        <v>8.0000000000000002E-3</v>
      </c>
      <c r="D1539" s="1">
        <v>0.5</v>
      </c>
      <c r="E1539" s="4">
        <v>0.21</v>
      </c>
      <c r="F1539" s="4">
        <v>0.3</v>
      </c>
      <c r="G1539" s="4">
        <v>0.49</v>
      </c>
      <c r="H1539" s="17">
        <f t="shared" ref="H1539:H1602" si="48">B1539*C1539*D1539/SUM($B$2:$B$1797)</f>
        <v>2.50572828368883E-7</v>
      </c>
      <c r="L1539">
        <f t="shared" ref="L1539:L1602" si="49">C1539*D1539</f>
        <v>4.0000000000000001E-3</v>
      </c>
    </row>
    <row r="1540" spans="1:12" x14ac:dyDescent="0.25">
      <c r="A1540" s="1">
        <v>1539</v>
      </c>
      <c r="B1540" s="2">
        <v>513893</v>
      </c>
      <c r="C1540" s="3">
        <v>1.4E-2</v>
      </c>
      <c r="D1540" s="1">
        <v>0.5</v>
      </c>
      <c r="E1540" s="4">
        <v>0.17</v>
      </c>
      <c r="F1540" s="4">
        <v>0.24</v>
      </c>
      <c r="G1540" s="4">
        <v>0.59</v>
      </c>
      <c r="H1540" s="17">
        <f t="shared" si="48"/>
        <v>7.2515024538927304E-7</v>
      </c>
      <c r="L1540">
        <f t="shared" si="49"/>
        <v>7.0000000000000001E-3</v>
      </c>
    </row>
    <row r="1541" spans="1:12" x14ac:dyDescent="0.25">
      <c r="A1541" s="1">
        <v>1540</v>
      </c>
      <c r="B1541" s="2">
        <v>633058</v>
      </c>
      <c r="C1541" s="3">
        <v>0.01</v>
      </c>
      <c r="D1541" s="1">
        <v>0.5</v>
      </c>
      <c r="E1541" s="4">
        <v>0.19</v>
      </c>
      <c r="F1541" s="4">
        <v>0.19</v>
      </c>
      <c r="G1541" s="4">
        <v>0.62000000000000011</v>
      </c>
      <c r="H1541" s="17">
        <f t="shared" si="48"/>
        <v>6.3807357902693253E-7</v>
      </c>
      <c r="L1541">
        <f t="shared" si="49"/>
        <v>5.0000000000000001E-3</v>
      </c>
    </row>
    <row r="1542" spans="1:12" x14ac:dyDescent="0.25">
      <c r="A1542" s="1">
        <v>1541</v>
      </c>
      <c r="B1542" s="2">
        <v>996655</v>
      </c>
      <c r="C1542" s="3">
        <v>1.4999999999999999E-2</v>
      </c>
      <c r="D1542" s="1">
        <v>0.5</v>
      </c>
      <c r="E1542" s="4">
        <v>0.22</v>
      </c>
      <c r="F1542" s="4">
        <v>0.27</v>
      </c>
      <c r="G1542" s="4">
        <v>0.51</v>
      </c>
      <c r="H1542" s="17">
        <f t="shared" si="48"/>
        <v>1.5068269168980268E-6</v>
      </c>
      <c r="L1542">
        <f t="shared" si="49"/>
        <v>7.4999999999999997E-3</v>
      </c>
    </row>
    <row r="1543" spans="1:12" x14ac:dyDescent="0.25">
      <c r="A1543" s="1">
        <v>1542</v>
      </c>
      <c r="B1543" s="2">
        <v>890841</v>
      </c>
      <c r="C1543" s="3">
        <v>8.0000000000000002E-3</v>
      </c>
      <c r="D1543" s="1">
        <v>0.5</v>
      </c>
      <c r="E1543" s="4">
        <v>0.15</v>
      </c>
      <c r="F1543" s="4">
        <v>0.22</v>
      </c>
      <c r="G1543" s="4">
        <v>0.63</v>
      </c>
      <c r="H1543" s="17">
        <f t="shared" si="48"/>
        <v>7.1831914954260949E-7</v>
      </c>
      <c r="L1543">
        <f t="shared" si="49"/>
        <v>4.0000000000000001E-3</v>
      </c>
    </row>
    <row r="1544" spans="1:12" x14ac:dyDescent="0.25">
      <c r="A1544" s="1">
        <v>1543</v>
      </c>
      <c r="B1544" s="2">
        <v>518350</v>
      </c>
      <c r="C1544" s="3">
        <v>8.9999999999999993E-3</v>
      </c>
      <c r="D1544" s="1">
        <v>0.5</v>
      </c>
      <c r="E1544" s="4">
        <v>0.17</v>
      </c>
      <c r="F1544" s="4">
        <v>0.34</v>
      </c>
      <c r="G1544" s="4">
        <v>0.48999999999999988</v>
      </c>
      <c r="H1544" s="17">
        <f t="shared" si="48"/>
        <v>4.7021109553903337E-7</v>
      </c>
      <c r="L1544">
        <f t="shared" si="49"/>
        <v>4.4999999999999997E-3</v>
      </c>
    </row>
    <row r="1545" spans="1:12" x14ac:dyDescent="0.25">
      <c r="A1545" s="1">
        <v>1544</v>
      </c>
      <c r="B1545" s="2">
        <v>480791</v>
      </c>
      <c r="C1545" s="3">
        <v>5.0000000000000001E-3</v>
      </c>
      <c r="D1545" s="1">
        <v>0.5</v>
      </c>
      <c r="E1545" s="4">
        <v>0.22</v>
      </c>
      <c r="F1545" s="4">
        <v>0.32</v>
      </c>
      <c r="G1545" s="4">
        <v>0.45999999999999996</v>
      </c>
      <c r="H1545" s="17">
        <f t="shared" si="48"/>
        <v>2.4230010057051479E-7</v>
      </c>
      <c r="L1545">
        <f t="shared" si="49"/>
        <v>2.5000000000000001E-3</v>
      </c>
    </row>
    <row r="1546" spans="1:12" x14ac:dyDescent="0.25">
      <c r="A1546" s="1">
        <v>1545</v>
      </c>
      <c r="B1546" s="2">
        <v>445009</v>
      </c>
      <c r="C1546" s="3">
        <v>1.4999999999999999E-2</v>
      </c>
      <c r="D1546" s="1">
        <v>0.5</v>
      </c>
      <c r="E1546" s="4">
        <v>0.24</v>
      </c>
      <c r="F1546" s="4">
        <v>0.22</v>
      </c>
      <c r="G1546" s="4">
        <v>0.54</v>
      </c>
      <c r="H1546" s="17">
        <f t="shared" si="48"/>
        <v>6.728020623604698E-7</v>
      </c>
      <c r="L1546">
        <f t="shared" si="49"/>
        <v>7.4999999999999997E-3</v>
      </c>
    </row>
    <row r="1547" spans="1:12" x14ac:dyDescent="0.25">
      <c r="A1547" s="1">
        <v>1546</v>
      </c>
      <c r="B1547" s="2">
        <v>398383</v>
      </c>
      <c r="C1547" s="3">
        <v>0.01</v>
      </c>
      <c r="D1547" s="1">
        <v>0.5</v>
      </c>
      <c r="E1547" s="4">
        <v>0.15</v>
      </c>
      <c r="F1547" s="4">
        <v>0.16</v>
      </c>
      <c r="G1547" s="4">
        <v>0.69</v>
      </c>
      <c r="H1547" s="17">
        <f t="shared" si="48"/>
        <v>4.0153930071729046E-7</v>
      </c>
      <c r="L1547">
        <f t="shared" si="49"/>
        <v>5.0000000000000001E-3</v>
      </c>
    </row>
    <row r="1548" spans="1:12" x14ac:dyDescent="0.25">
      <c r="A1548" s="1">
        <v>1547</v>
      </c>
      <c r="B1548" s="2">
        <v>814999</v>
      </c>
      <c r="C1548" s="3">
        <v>1.0999999999999999E-2</v>
      </c>
      <c r="D1548" s="1">
        <v>0.5</v>
      </c>
      <c r="E1548" s="4">
        <v>0.16</v>
      </c>
      <c r="F1548" s="4">
        <v>0.17</v>
      </c>
      <c r="G1548" s="4">
        <v>0.66999999999999993</v>
      </c>
      <c r="H1548" s="17">
        <f t="shared" si="48"/>
        <v>9.0360166322312967E-7</v>
      </c>
      <c r="L1548">
        <f t="shared" si="49"/>
        <v>5.4999999999999997E-3</v>
      </c>
    </row>
    <row r="1549" spans="1:12" x14ac:dyDescent="0.25">
      <c r="A1549" s="1">
        <v>1548</v>
      </c>
      <c r="B1549" s="2">
        <v>426046</v>
      </c>
      <c r="C1549" s="3">
        <v>1.2E-2</v>
      </c>
      <c r="D1549" s="1">
        <v>0.5</v>
      </c>
      <c r="E1549" s="4">
        <v>0.21</v>
      </c>
      <c r="F1549" s="4">
        <v>0.21</v>
      </c>
      <c r="G1549" s="4">
        <v>0.58000000000000007</v>
      </c>
      <c r="H1549" s="17">
        <f t="shared" si="48"/>
        <v>5.1530576228423017E-7</v>
      </c>
      <c r="L1549">
        <f t="shared" si="49"/>
        <v>6.0000000000000001E-3</v>
      </c>
    </row>
    <row r="1550" spans="1:12" x14ac:dyDescent="0.25">
      <c r="A1550" s="1">
        <v>1549</v>
      </c>
      <c r="B1550" s="2">
        <v>542625</v>
      </c>
      <c r="C1550" s="3">
        <v>5.0000000000000001E-3</v>
      </c>
      <c r="D1550" s="1">
        <v>0.5</v>
      </c>
      <c r="E1550" s="4">
        <v>0.25</v>
      </c>
      <c r="F1550" s="4">
        <v>0.17</v>
      </c>
      <c r="G1550" s="4">
        <v>0.57999999999999996</v>
      </c>
      <c r="H1550" s="17">
        <f t="shared" si="48"/>
        <v>2.7346204914833181E-7</v>
      </c>
      <c r="L1550">
        <f t="shared" si="49"/>
        <v>2.5000000000000001E-3</v>
      </c>
    </row>
    <row r="1551" spans="1:12" x14ac:dyDescent="0.25">
      <c r="A1551" s="1">
        <v>1550</v>
      </c>
      <c r="B1551" s="2">
        <v>639492</v>
      </c>
      <c r="C1551" s="3">
        <v>6.0000000000000001E-3</v>
      </c>
      <c r="D1551" s="1">
        <v>0.5</v>
      </c>
      <c r="E1551" s="4">
        <v>0.15</v>
      </c>
      <c r="F1551" s="4">
        <v>0.31</v>
      </c>
      <c r="G1551" s="4">
        <v>0.53999999999999992</v>
      </c>
      <c r="H1551" s="17">
        <f t="shared" si="48"/>
        <v>3.8673513251464272E-7</v>
      </c>
      <c r="L1551">
        <f t="shared" si="49"/>
        <v>3.0000000000000001E-3</v>
      </c>
    </row>
    <row r="1552" spans="1:12" x14ac:dyDescent="0.25">
      <c r="A1552" s="1">
        <v>1551</v>
      </c>
      <c r="B1552" s="2">
        <v>428968</v>
      </c>
      <c r="C1552" s="3">
        <v>1.2E-2</v>
      </c>
      <c r="D1552" s="1">
        <v>0.5</v>
      </c>
      <c r="E1552" s="4">
        <v>0.22</v>
      </c>
      <c r="F1552" s="4">
        <v>0.21</v>
      </c>
      <c r="G1552" s="4">
        <v>0.57000000000000006</v>
      </c>
      <c r="H1552" s="17">
        <f t="shared" si="48"/>
        <v>5.1883994271872435E-7</v>
      </c>
      <c r="L1552">
        <f t="shared" si="49"/>
        <v>6.0000000000000001E-3</v>
      </c>
    </row>
    <row r="1553" spans="1:12" x14ac:dyDescent="0.25">
      <c r="A1553" s="1">
        <v>1552</v>
      </c>
      <c r="B1553" s="2">
        <v>934747</v>
      </c>
      <c r="C1553" s="3">
        <v>8.9999999999999993E-3</v>
      </c>
      <c r="D1553" s="1">
        <v>0.5</v>
      </c>
      <c r="E1553" s="4">
        <v>0.25</v>
      </c>
      <c r="F1553" s="4">
        <v>0.26</v>
      </c>
      <c r="G1553" s="4">
        <v>0.49</v>
      </c>
      <c r="H1553" s="17">
        <f t="shared" si="48"/>
        <v>8.4793751504162224E-7</v>
      </c>
      <c r="L1553">
        <f t="shared" si="49"/>
        <v>4.4999999999999997E-3</v>
      </c>
    </row>
    <row r="1554" spans="1:12" x14ac:dyDescent="0.25">
      <c r="A1554" s="1">
        <v>1553</v>
      </c>
      <c r="B1554" s="2">
        <v>648396</v>
      </c>
      <c r="C1554" s="3">
        <v>1.0999999999999999E-2</v>
      </c>
      <c r="D1554" s="1">
        <v>0.5</v>
      </c>
      <c r="E1554" s="4">
        <v>0.24</v>
      </c>
      <c r="F1554" s="4">
        <v>0.22</v>
      </c>
      <c r="G1554" s="4">
        <v>0.54</v>
      </c>
      <c r="H1554" s="17">
        <f t="shared" si="48"/>
        <v>7.1888640848298512E-7</v>
      </c>
      <c r="L1554">
        <f t="shared" si="49"/>
        <v>5.4999999999999997E-3</v>
      </c>
    </row>
    <row r="1555" spans="1:12" x14ac:dyDescent="0.25">
      <c r="A1555" s="1">
        <v>1554</v>
      </c>
      <c r="B1555" s="2">
        <v>416468</v>
      </c>
      <c r="C1555" s="3">
        <v>6.0000000000000001E-3</v>
      </c>
      <c r="D1555" s="1">
        <v>0.5</v>
      </c>
      <c r="E1555" s="4">
        <v>0.16</v>
      </c>
      <c r="F1555" s="4">
        <v>0.15</v>
      </c>
      <c r="G1555" s="4">
        <v>0.69</v>
      </c>
      <c r="H1555" s="17">
        <f t="shared" si="48"/>
        <v>2.5186055051213811E-7</v>
      </c>
      <c r="L1555">
        <f t="shared" si="49"/>
        <v>3.0000000000000001E-3</v>
      </c>
    </row>
    <row r="1556" spans="1:12" x14ac:dyDescent="0.25">
      <c r="A1556" s="1">
        <v>1555</v>
      </c>
      <c r="B1556" s="2">
        <v>764810</v>
      </c>
      <c r="C1556" s="3">
        <v>6.0000000000000001E-3</v>
      </c>
      <c r="D1556" s="1">
        <v>0.5</v>
      </c>
      <c r="E1556" s="4">
        <v>0.17</v>
      </c>
      <c r="F1556" s="4">
        <v>0.3</v>
      </c>
      <c r="G1556" s="4">
        <v>0.52999999999999992</v>
      </c>
      <c r="H1556" s="17">
        <f t="shared" si="48"/>
        <v>4.6252165265323705E-7</v>
      </c>
      <c r="L1556">
        <f t="shared" si="49"/>
        <v>3.0000000000000001E-3</v>
      </c>
    </row>
    <row r="1557" spans="1:12" x14ac:dyDescent="0.25">
      <c r="A1557" s="1">
        <v>1556</v>
      </c>
      <c r="B1557" s="2">
        <v>981777</v>
      </c>
      <c r="C1557" s="3">
        <v>5.0000000000000001E-3</v>
      </c>
      <c r="D1557" s="1">
        <v>0.5</v>
      </c>
      <c r="E1557" s="4">
        <v>0.21</v>
      </c>
      <c r="F1557" s="4">
        <v>0.26</v>
      </c>
      <c r="G1557" s="4">
        <v>0.53</v>
      </c>
      <c r="H1557" s="17">
        <f t="shared" si="48"/>
        <v>4.9477770140834231E-7</v>
      </c>
      <c r="L1557">
        <f t="shared" si="49"/>
        <v>2.5000000000000001E-3</v>
      </c>
    </row>
    <row r="1558" spans="1:12" x14ac:dyDescent="0.25">
      <c r="A1558" s="1">
        <v>1557</v>
      </c>
      <c r="B1558" s="2">
        <v>862101</v>
      </c>
      <c r="C1558" s="3">
        <v>1.4999999999999999E-2</v>
      </c>
      <c r="D1558" s="1">
        <v>0.5</v>
      </c>
      <c r="E1558" s="4">
        <v>0.21</v>
      </c>
      <c r="F1558" s="4">
        <v>0.3</v>
      </c>
      <c r="G1558" s="4">
        <v>0.49</v>
      </c>
      <c r="H1558" s="17">
        <f t="shared" si="48"/>
        <v>1.3033968543625486E-6</v>
      </c>
      <c r="L1558">
        <f t="shared" si="49"/>
        <v>7.4999999999999997E-3</v>
      </c>
    </row>
    <row r="1559" spans="1:12" x14ac:dyDescent="0.25">
      <c r="A1559" s="1">
        <v>1558</v>
      </c>
      <c r="B1559" s="2">
        <v>833733</v>
      </c>
      <c r="C1559" s="3">
        <v>1.4999999999999999E-2</v>
      </c>
      <c r="D1559" s="1">
        <v>0.5</v>
      </c>
      <c r="E1559" s="4">
        <v>0.22</v>
      </c>
      <c r="F1559" s="4">
        <v>0.32</v>
      </c>
      <c r="G1559" s="4">
        <v>0.45999999999999996</v>
      </c>
      <c r="H1559" s="17">
        <f t="shared" si="48"/>
        <v>1.2605077242437379E-6</v>
      </c>
      <c r="L1559">
        <f t="shared" si="49"/>
        <v>7.4999999999999997E-3</v>
      </c>
    </row>
    <row r="1560" spans="1:12" x14ac:dyDescent="0.25">
      <c r="A1560" s="1">
        <v>1559</v>
      </c>
      <c r="B1560" s="2">
        <v>901558</v>
      </c>
      <c r="C1560" s="3">
        <v>5.0000000000000001E-3</v>
      </c>
      <c r="D1560" s="1">
        <v>0.5</v>
      </c>
      <c r="E1560" s="4">
        <v>0.22</v>
      </c>
      <c r="F1560" s="4">
        <v>0.22</v>
      </c>
      <c r="G1560" s="4">
        <v>0.56000000000000005</v>
      </c>
      <c r="H1560" s="17">
        <f t="shared" si="48"/>
        <v>4.5435042267877762E-7</v>
      </c>
      <c r="L1560">
        <f t="shared" si="49"/>
        <v>2.5000000000000001E-3</v>
      </c>
    </row>
    <row r="1561" spans="1:12" x14ac:dyDescent="0.25">
      <c r="A1561" s="1">
        <v>1560</v>
      </c>
      <c r="B1561" s="2">
        <v>723033</v>
      </c>
      <c r="C1561" s="3">
        <v>1.0999999999999999E-2</v>
      </c>
      <c r="D1561" s="1">
        <v>0.5</v>
      </c>
      <c r="E1561" s="4">
        <v>0.19</v>
      </c>
      <c r="F1561" s="4">
        <v>0.16</v>
      </c>
      <c r="G1561" s="4">
        <v>0.64999999999999991</v>
      </c>
      <c r="H1561" s="17">
        <f t="shared" si="48"/>
        <v>8.0163757423654402E-7</v>
      </c>
      <c r="L1561">
        <f t="shared" si="49"/>
        <v>5.4999999999999997E-3</v>
      </c>
    </row>
    <row r="1562" spans="1:12" x14ac:dyDescent="0.25">
      <c r="A1562" s="1">
        <v>1561</v>
      </c>
      <c r="B1562" s="2">
        <v>434676</v>
      </c>
      <c r="C1562" s="3">
        <v>7.0000000000000001E-3</v>
      </c>
      <c r="D1562" s="1">
        <v>0.5</v>
      </c>
      <c r="E1562" s="4">
        <v>0.23</v>
      </c>
      <c r="F1562" s="4">
        <v>0.22</v>
      </c>
      <c r="G1562" s="4">
        <v>0.55000000000000004</v>
      </c>
      <c r="H1562" s="17">
        <f t="shared" si="48"/>
        <v>3.0668388951087836E-7</v>
      </c>
      <c r="L1562">
        <f t="shared" si="49"/>
        <v>3.5000000000000001E-3</v>
      </c>
    </row>
    <row r="1563" spans="1:12" x14ac:dyDescent="0.25">
      <c r="A1563" s="1">
        <v>1562</v>
      </c>
      <c r="B1563" s="2">
        <v>444275</v>
      </c>
      <c r="C1563" s="3">
        <v>6.0000000000000001E-3</v>
      </c>
      <c r="D1563" s="1">
        <v>0.5</v>
      </c>
      <c r="E1563" s="4">
        <v>0.25</v>
      </c>
      <c r="F1563" s="4">
        <v>0.15</v>
      </c>
      <c r="G1563" s="4">
        <v>0.6</v>
      </c>
      <c r="H1563" s="17">
        <f t="shared" si="48"/>
        <v>2.6867693575203894E-7</v>
      </c>
      <c r="L1563">
        <f t="shared" si="49"/>
        <v>3.0000000000000001E-3</v>
      </c>
    </row>
    <row r="1564" spans="1:12" x14ac:dyDescent="0.25">
      <c r="A1564" s="1">
        <v>1563</v>
      </c>
      <c r="B1564" s="2">
        <v>428433</v>
      </c>
      <c r="C1564" s="3">
        <v>5.0000000000000001E-3</v>
      </c>
      <c r="D1564" s="1">
        <v>0.5</v>
      </c>
      <c r="E1564" s="4">
        <v>0.25</v>
      </c>
      <c r="F1564" s="4">
        <v>0.25</v>
      </c>
      <c r="G1564" s="4">
        <v>0.5</v>
      </c>
      <c r="H1564" s="17">
        <f t="shared" si="48"/>
        <v>2.1591369012258417E-7</v>
      </c>
      <c r="L1564">
        <f t="shared" si="49"/>
        <v>2.5000000000000001E-3</v>
      </c>
    </row>
    <row r="1565" spans="1:12" x14ac:dyDescent="0.25">
      <c r="A1565" s="1">
        <v>1564</v>
      </c>
      <c r="B1565" s="2">
        <v>864109</v>
      </c>
      <c r="C1565" s="3">
        <v>1.4E-2</v>
      </c>
      <c r="D1565" s="1">
        <v>0.5</v>
      </c>
      <c r="E1565" s="4">
        <v>0.17</v>
      </c>
      <c r="F1565" s="4">
        <v>0.3</v>
      </c>
      <c r="G1565" s="4">
        <v>0.52999999999999992</v>
      </c>
      <c r="H1565" s="17">
        <f t="shared" si="48"/>
        <v>1.2193372032564742E-6</v>
      </c>
      <c r="L1565">
        <f t="shared" si="49"/>
        <v>7.0000000000000001E-3</v>
      </c>
    </row>
    <row r="1566" spans="1:12" x14ac:dyDescent="0.25">
      <c r="A1566" s="1">
        <v>1565</v>
      </c>
      <c r="B1566" s="2">
        <v>733128</v>
      </c>
      <c r="C1566" s="3">
        <v>5.0000000000000001E-3</v>
      </c>
      <c r="D1566" s="1">
        <v>0.5</v>
      </c>
      <c r="E1566" s="4">
        <v>0.16</v>
      </c>
      <c r="F1566" s="4">
        <v>0.19</v>
      </c>
      <c r="G1566" s="4">
        <v>0.65</v>
      </c>
      <c r="H1566" s="17">
        <f t="shared" si="48"/>
        <v>3.6946820579224727E-7</v>
      </c>
      <c r="L1566">
        <f t="shared" si="49"/>
        <v>2.5000000000000001E-3</v>
      </c>
    </row>
    <row r="1567" spans="1:12" x14ac:dyDescent="0.25">
      <c r="A1567" s="1">
        <v>1566</v>
      </c>
      <c r="B1567" s="2">
        <v>396595</v>
      </c>
      <c r="C1567" s="3">
        <v>1.4999999999999999E-2</v>
      </c>
      <c r="D1567" s="1">
        <v>0.5</v>
      </c>
      <c r="E1567" s="4">
        <v>0.17</v>
      </c>
      <c r="F1567" s="4">
        <v>0.33</v>
      </c>
      <c r="G1567" s="4">
        <v>0.49999999999999989</v>
      </c>
      <c r="H1567" s="17">
        <f t="shared" si="48"/>
        <v>5.9960570218096836E-7</v>
      </c>
      <c r="L1567">
        <f t="shared" si="49"/>
        <v>7.4999999999999997E-3</v>
      </c>
    </row>
    <row r="1568" spans="1:12" x14ac:dyDescent="0.25">
      <c r="A1568" s="1">
        <v>1567</v>
      </c>
      <c r="B1568" s="2">
        <v>256507</v>
      </c>
      <c r="C1568" s="3">
        <v>8.9999999999999993E-3</v>
      </c>
      <c r="D1568" s="1">
        <v>0.5</v>
      </c>
      <c r="E1568" s="4">
        <v>0.19</v>
      </c>
      <c r="F1568" s="4">
        <v>0.15</v>
      </c>
      <c r="G1568" s="4">
        <v>0.65999999999999992</v>
      </c>
      <c r="H1568" s="17">
        <f t="shared" si="48"/>
        <v>2.3268532359106941E-7</v>
      </c>
      <c r="L1568">
        <f t="shared" si="49"/>
        <v>4.4999999999999997E-3</v>
      </c>
    </row>
    <row r="1569" spans="1:12" x14ac:dyDescent="0.25">
      <c r="A1569" s="1">
        <v>1568</v>
      </c>
      <c r="B1569" s="2">
        <v>852332</v>
      </c>
      <c r="C1569" s="3">
        <v>1.0999999999999999E-2</v>
      </c>
      <c r="D1569" s="1">
        <v>0.5</v>
      </c>
      <c r="E1569" s="4">
        <v>0.22</v>
      </c>
      <c r="F1569" s="4">
        <v>0.33</v>
      </c>
      <c r="G1569" s="4">
        <v>0.44999999999999996</v>
      </c>
      <c r="H1569" s="17">
        <f t="shared" si="48"/>
        <v>9.4499332246824423E-7</v>
      </c>
      <c r="L1569">
        <f t="shared" si="49"/>
        <v>5.4999999999999997E-3</v>
      </c>
    </row>
    <row r="1570" spans="1:12" x14ac:dyDescent="0.25">
      <c r="A1570" s="1">
        <v>1569</v>
      </c>
      <c r="B1570" s="2">
        <v>263814</v>
      </c>
      <c r="C1570" s="3">
        <v>8.9999999999999993E-3</v>
      </c>
      <c r="D1570" s="1">
        <v>0.5</v>
      </c>
      <c r="E1570" s="4">
        <v>0.21</v>
      </c>
      <c r="F1570" s="4">
        <v>0.19</v>
      </c>
      <c r="G1570" s="4">
        <v>0.60000000000000009</v>
      </c>
      <c r="H1570" s="17">
        <f t="shared" si="48"/>
        <v>2.393137261667494E-7</v>
      </c>
      <c r="L1570">
        <f t="shared" si="49"/>
        <v>4.4999999999999997E-3</v>
      </c>
    </row>
    <row r="1571" spans="1:12" x14ac:dyDescent="0.25">
      <c r="A1571" s="1">
        <v>1570</v>
      </c>
      <c r="B1571" s="2">
        <v>908475</v>
      </c>
      <c r="C1571" s="3">
        <v>8.0000000000000002E-3</v>
      </c>
      <c r="D1571" s="1">
        <v>0.5</v>
      </c>
      <c r="E1571" s="4">
        <v>0.2</v>
      </c>
      <c r="F1571" s="4">
        <v>0.15</v>
      </c>
      <c r="G1571" s="4">
        <v>0.64999999999999991</v>
      </c>
      <c r="H1571" s="17">
        <f t="shared" si="48"/>
        <v>7.3253811777940411E-7</v>
      </c>
      <c r="L1571">
        <f t="shared" si="49"/>
        <v>4.0000000000000001E-3</v>
      </c>
    </row>
    <row r="1572" spans="1:12" x14ac:dyDescent="0.25">
      <c r="A1572" s="1">
        <v>1571</v>
      </c>
      <c r="B1572" s="2">
        <v>730268</v>
      </c>
      <c r="C1572" s="3">
        <v>8.9999999999999993E-3</v>
      </c>
      <c r="D1572" s="1">
        <v>0.5</v>
      </c>
      <c r="E1572" s="4">
        <v>0.25</v>
      </c>
      <c r="F1572" s="4">
        <v>0.21</v>
      </c>
      <c r="G1572" s="4">
        <v>0.54</v>
      </c>
      <c r="H1572" s="17">
        <f t="shared" si="48"/>
        <v>6.6244837719127777E-7</v>
      </c>
      <c r="L1572">
        <f t="shared" si="49"/>
        <v>4.4999999999999997E-3</v>
      </c>
    </row>
    <row r="1573" spans="1:12" x14ac:dyDescent="0.25">
      <c r="A1573" s="1">
        <v>1572</v>
      </c>
      <c r="B1573" s="2">
        <v>538099</v>
      </c>
      <c r="C1573" s="3">
        <v>1.4E-2</v>
      </c>
      <c r="D1573" s="1">
        <v>0.5</v>
      </c>
      <c r="E1573" s="4">
        <v>0.18</v>
      </c>
      <c r="F1573" s="4">
        <v>0.34</v>
      </c>
      <c r="G1573" s="4">
        <v>0.47999999999999993</v>
      </c>
      <c r="H1573" s="17">
        <f t="shared" si="48"/>
        <v>7.5930713571448227E-7</v>
      </c>
      <c r="L1573">
        <f t="shared" si="49"/>
        <v>7.0000000000000001E-3</v>
      </c>
    </row>
    <row r="1574" spans="1:12" x14ac:dyDescent="0.25">
      <c r="A1574" s="1">
        <v>1573</v>
      </c>
      <c r="B1574" s="2">
        <v>284740</v>
      </c>
      <c r="C1574" s="3">
        <v>1.4E-2</v>
      </c>
      <c r="D1574" s="1">
        <v>0.5</v>
      </c>
      <c r="E1574" s="4">
        <v>0.17</v>
      </c>
      <c r="F1574" s="4">
        <v>0.3</v>
      </c>
      <c r="G1574" s="4">
        <v>0.52999999999999992</v>
      </c>
      <c r="H1574" s="17">
        <f t="shared" si="48"/>
        <v>4.0179430518053681E-7</v>
      </c>
      <c r="L1574">
        <f t="shared" si="49"/>
        <v>7.0000000000000001E-3</v>
      </c>
    </row>
    <row r="1575" spans="1:12" x14ac:dyDescent="0.25">
      <c r="A1575" s="1">
        <v>1574</v>
      </c>
      <c r="B1575" s="2">
        <v>238606</v>
      </c>
      <c r="C1575" s="3">
        <v>1.4999999999999999E-2</v>
      </c>
      <c r="D1575" s="1">
        <v>0.5</v>
      </c>
      <c r="E1575" s="4">
        <v>0.25</v>
      </c>
      <c r="F1575" s="4">
        <v>0.17</v>
      </c>
      <c r="G1575" s="4">
        <v>0.57999999999999996</v>
      </c>
      <c r="H1575" s="17">
        <f t="shared" si="48"/>
        <v>3.6074463413455067E-7</v>
      </c>
      <c r="L1575">
        <f t="shared" si="49"/>
        <v>7.4999999999999997E-3</v>
      </c>
    </row>
    <row r="1576" spans="1:12" x14ac:dyDescent="0.25">
      <c r="A1576" s="1">
        <v>1575</v>
      </c>
      <c r="B1576" s="2">
        <v>907178</v>
      </c>
      <c r="C1576" s="3">
        <v>5.0000000000000001E-3</v>
      </c>
      <c r="D1576" s="1">
        <v>0.5</v>
      </c>
      <c r="E1576" s="4">
        <v>0.18</v>
      </c>
      <c r="F1576" s="4">
        <v>0.17</v>
      </c>
      <c r="G1576" s="4">
        <v>0.64999999999999991</v>
      </c>
      <c r="H1576" s="17">
        <f t="shared" si="48"/>
        <v>4.5718268568953762E-7</v>
      </c>
      <c r="L1576">
        <f t="shared" si="49"/>
        <v>2.5000000000000001E-3</v>
      </c>
    </row>
    <row r="1577" spans="1:12" x14ac:dyDescent="0.25">
      <c r="A1577" s="1">
        <v>1576</v>
      </c>
      <c r="B1577" s="2">
        <v>692605</v>
      </c>
      <c r="C1577" s="3">
        <v>1.2999999999999999E-2</v>
      </c>
      <c r="D1577" s="1">
        <v>0.5</v>
      </c>
      <c r="E1577" s="4">
        <v>0.15</v>
      </c>
      <c r="F1577" s="4">
        <v>0.17</v>
      </c>
      <c r="G1577" s="4">
        <v>0.67999999999999994</v>
      </c>
      <c r="H1577" s="17">
        <f t="shared" si="48"/>
        <v>9.075200638212188E-7</v>
      </c>
      <c r="L1577">
        <f t="shared" si="49"/>
        <v>6.4999999999999997E-3</v>
      </c>
    </row>
    <row r="1578" spans="1:12" x14ac:dyDescent="0.25">
      <c r="A1578" s="1">
        <v>1577</v>
      </c>
      <c r="B1578" s="2">
        <v>753822</v>
      </c>
      <c r="C1578" s="3">
        <v>7.0000000000000001E-3</v>
      </c>
      <c r="D1578" s="1">
        <v>0.5</v>
      </c>
      <c r="E1578" s="4">
        <v>0.15</v>
      </c>
      <c r="F1578" s="4">
        <v>0.3</v>
      </c>
      <c r="G1578" s="4">
        <v>0.54999999999999993</v>
      </c>
      <c r="H1578" s="17">
        <f t="shared" si="48"/>
        <v>5.3185605591030873E-7</v>
      </c>
      <c r="L1578">
        <f t="shared" si="49"/>
        <v>3.5000000000000001E-3</v>
      </c>
    </row>
    <row r="1579" spans="1:12" x14ac:dyDescent="0.25">
      <c r="A1579" s="1">
        <v>1578</v>
      </c>
      <c r="B1579" s="2">
        <v>997780</v>
      </c>
      <c r="C1579" s="3">
        <v>0.01</v>
      </c>
      <c r="D1579" s="1">
        <v>0.5</v>
      </c>
      <c r="E1579" s="4">
        <v>0.15</v>
      </c>
      <c r="F1579" s="4">
        <v>0.33</v>
      </c>
      <c r="G1579" s="4">
        <v>0.51999999999999991</v>
      </c>
      <c r="H1579" s="17">
        <f t="shared" si="48"/>
        <v>1.0056851910591016E-6</v>
      </c>
      <c r="L1579">
        <f t="shared" si="49"/>
        <v>5.0000000000000001E-3</v>
      </c>
    </row>
    <row r="1580" spans="1:12" x14ac:dyDescent="0.25">
      <c r="A1580" s="1">
        <v>1579</v>
      </c>
      <c r="B1580" s="2">
        <v>569987</v>
      </c>
      <c r="C1580" s="3">
        <v>5.0000000000000001E-3</v>
      </c>
      <c r="D1580" s="1">
        <v>0.5</v>
      </c>
      <c r="E1580" s="4">
        <v>0.15</v>
      </c>
      <c r="F1580" s="4">
        <v>0.2</v>
      </c>
      <c r="G1580" s="4">
        <v>0.65</v>
      </c>
      <c r="H1580" s="17">
        <f t="shared" si="48"/>
        <v>2.8725144069644819E-7</v>
      </c>
      <c r="L1580">
        <f t="shared" si="49"/>
        <v>2.5000000000000001E-3</v>
      </c>
    </row>
    <row r="1581" spans="1:12" x14ac:dyDescent="0.25">
      <c r="A1581" s="1">
        <v>1580</v>
      </c>
      <c r="B1581" s="2">
        <v>741754</v>
      </c>
      <c r="C1581" s="3">
        <v>6.0000000000000001E-3</v>
      </c>
      <c r="D1581" s="1">
        <v>0.5</v>
      </c>
      <c r="E1581" s="4">
        <v>0.25</v>
      </c>
      <c r="F1581" s="4">
        <v>0.32</v>
      </c>
      <c r="G1581" s="4">
        <v>0.42999999999999994</v>
      </c>
      <c r="H1581" s="17">
        <f t="shared" si="48"/>
        <v>4.4857845208894921E-7</v>
      </c>
      <c r="L1581">
        <f t="shared" si="49"/>
        <v>3.0000000000000001E-3</v>
      </c>
    </row>
    <row r="1582" spans="1:12" x14ac:dyDescent="0.25">
      <c r="A1582" s="1">
        <v>1581</v>
      </c>
      <c r="B1582" s="2">
        <v>685331</v>
      </c>
      <c r="C1582" s="3">
        <v>0.01</v>
      </c>
      <c r="D1582" s="1">
        <v>0.5</v>
      </c>
      <c r="E1582" s="4">
        <v>0.22</v>
      </c>
      <c r="F1582" s="4">
        <v>0.19</v>
      </c>
      <c r="G1582" s="4">
        <v>0.59000000000000008</v>
      </c>
      <c r="H1582" s="17">
        <f t="shared" si="48"/>
        <v>6.9076072648652531E-7</v>
      </c>
      <c r="L1582">
        <f t="shared" si="49"/>
        <v>5.0000000000000001E-3</v>
      </c>
    </row>
    <row r="1583" spans="1:12" x14ac:dyDescent="0.25">
      <c r="A1583" s="1">
        <v>1582</v>
      </c>
      <c r="B1583" s="2">
        <v>944096</v>
      </c>
      <c r="C1583" s="3">
        <v>0.01</v>
      </c>
      <c r="D1583" s="1">
        <v>0.5</v>
      </c>
      <c r="E1583" s="4">
        <v>0.17</v>
      </c>
      <c r="F1583" s="4">
        <v>0.17</v>
      </c>
      <c r="G1583" s="4">
        <v>0.65999999999999992</v>
      </c>
      <c r="H1583" s="17">
        <f t="shared" si="48"/>
        <v>9.5157586455745116E-7</v>
      </c>
      <c r="L1583">
        <f t="shared" si="49"/>
        <v>5.0000000000000001E-3</v>
      </c>
    </row>
    <row r="1584" spans="1:12" x14ac:dyDescent="0.25">
      <c r="A1584" s="1">
        <v>1583</v>
      </c>
      <c r="B1584" s="2">
        <v>395366</v>
      </c>
      <c r="C1584" s="3">
        <v>1.0999999999999999E-2</v>
      </c>
      <c r="D1584" s="1">
        <v>0.5</v>
      </c>
      <c r="E1584" s="4">
        <v>0.21</v>
      </c>
      <c r="F1584" s="4">
        <v>0.24</v>
      </c>
      <c r="G1584" s="4">
        <v>0.55000000000000004</v>
      </c>
      <c r="H1584" s="17">
        <f t="shared" si="48"/>
        <v>4.3834823746026178E-7</v>
      </c>
      <c r="L1584">
        <f t="shared" si="49"/>
        <v>5.4999999999999997E-3</v>
      </c>
    </row>
    <row r="1585" spans="1:12" x14ac:dyDescent="0.25">
      <c r="A1585" s="1">
        <v>1584</v>
      </c>
      <c r="B1585" s="2">
        <v>629899</v>
      </c>
      <c r="C1585" s="3">
        <v>1.2999999999999999E-2</v>
      </c>
      <c r="D1585" s="1">
        <v>0.5</v>
      </c>
      <c r="E1585" s="4">
        <v>0.19</v>
      </c>
      <c r="F1585" s="4">
        <v>0.16</v>
      </c>
      <c r="G1585" s="4">
        <v>0.64999999999999991</v>
      </c>
      <c r="H1585" s="17">
        <f t="shared" si="48"/>
        <v>8.2535641625590617E-7</v>
      </c>
      <c r="L1585">
        <f t="shared" si="49"/>
        <v>6.4999999999999997E-3</v>
      </c>
    </row>
    <row r="1586" spans="1:12" x14ac:dyDescent="0.25">
      <c r="A1586" s="1">
        <v>1585</v>
      </c>
      <c r="B1586" s="2">
        <v>770569</v>
      </c>
      <c r="C1586" s="3">
        <v>8.9999999999999993E-3</v>
      </c>
      <c r="D1586" s="1">
        <v>0.5</v>
      </c>
      <c r="E1586" s="4">
        <v>0.17</v>
      </c>
      <c r="F1586" s="4">
        <v>0.15</v>
      </c>
      <c r="G1586" s="4">
        <v>0.67999999999999994</v>
      </c>
      <c r="H1586" s="17">
        <f t="shared" si="48"/>
        <v>6.9900664353895516E-7</v>
      </c>
      <c r="L1586">
        <f t="shared" si="49"/>
        <v>4.4999999999999997E-3</v>
      </c>
    </row>
    <row r="1587" spans="1:12" x14ac:dyDescent="0.25">
      <c r="A1587" s="1">
        <v>1586</v>
      </c>
      <c r="B1587" s="2">
        <v>624809</v>
      </c>
      <c r="C1587" s="3">
        <v>1.2E-2</v>
      </c>
      <c r="D1587" s="1">
        <v>0.5</v>
      </c>
      <c r="E1587" s="4">
        <v>0.18</v>
      </c>
      <c r="F1587" s="4">
        <v>0.21</v>
      </c>
      <c r="G1587" s="4">
        <v>0.6100000000000001</v>
      </c>
      <c r="H1587" s="17">
        <f t="shared" si="48"/>
        <v>7.5571106882131877E-7</v>
      </c>
      <c r="L1587">
        <f t="shared" si="49"/>
        <v>6.0000000000000001E-3</v>
      </c>
    </row>
    <row r="1588" spans="1:12" x14ac:dyDescent="0.25">
      <c r="A1588" s="1">
        <v>1587</v>
      </c>
      <c r="B1588" s="2">
        <v>489792</v>
      </c>
      <c r="C1588" s="3">
        <v>1.4E-2</v>
      </c>
      <c r="D1588" s="1">
        <v>0.5</v>
      </c>
      <c r="E1588" s="4">
        <v>0.22</v>
      </c>
      <c r="F1588" s="4">
        <v>0.35</v>
      </c>
      <c r="G1588" s="4">
        <v>0.43000000000000005</v>
      </c>
      <c r="H1588" s="17">
        <f t="shared" si="48"/>
        <v>6.9114151971266937E-7</v>
      </c>
      <c r="L1588">
        <f t="shared" si="49"/>
        <v>7.0000000000000001E-3</v>
      </c>
    </row>
    <row r="1589" spans="1:12" x14ac:dyDescent="0.25">
      <c r="A1589" s="1">
        <v>1588</v>
      </c>
      <c r="B1589" s="2">
        <v>923565</v>
      </c>
      <c r="C1589" s="3">
        <v>1.2999999999999999E-2</v>
      </c>
      <c r="D1589" s="1">
        <v>0.5</v>
      </c>
      <c r="E1589" s="4">
        <v>0.15</v>
      </c>
      <c r="F1589" s="4">
        <v>0.19</v>
      </c>
      <c r="G1589" s="4">
        <v>0.66</v>
      </c>
      <c r="H1589" s="17">
        <f t="shared" si="48"/>
        <v>1.2101468625595309E-6</v>
      </c>
      <c r="L1589">
        <f t="shared" si="49"/>
        <v>6.4999999999999997E-3</v>
      </c>
    </row>
    <row r="1590" spans="1:12" x14ac:dyDescent="0.25">
      <c r="A1590" s="1">
        <v>1589</v>
      </c>
      <c r="B1590" s="2">
        <v>928241</v>
      </c>
      <c r="C1590" s="3">
        <v>1.4E-2</v>
      </c>
      <c r="D1590" s="1">
        <v>0.5</v>
      </c>
      <c r="E1590" s="4">
        <v>0.19</v>
      </c>
      <c r="F1590" s="4">
        <v>0.16</v>
      </c>
      <c r="G1590" s="4">
        <v>0.64999999999999991</v>
      </c>
      <c r="H1590" s="17">
        <f t="shared" si="48"/>
        <v>1.3098333484409872E-6</v>
      </c>
      <c r="L1590">
        <f t="shared" si="49"/>
        <v>7.0000000000000001E-3</v>
      </c>
    </row>
    <row r="1591" spans="1:12" x14ac:dyDescent="0.25">
      <c r="A1591" s="1">
        <v>1590</v>
      </c>
      <c r="B1591" s="2">
        <v>526533</v>
      </c>
      <c r="C1591" s="3">
        <v>5.0000000000000001E-3</v>
      </c>
      <c r="D1591" s="1">
        <v>0.5</v>
      </c>
      <c r="E1591" s="4">
        <v>0.2</v>
      </c>
      <c r="F1591" s="4">
        <v>0.32</v>
      </c>
      <c r="G1591" s="4">
        <v>0.47999999999999993</v>
      </c>
      <c r="H1591" s="17">
        <f t="shared" si="48"/>
        <v>2.6535230246342979E-7</v>
      </c>
      <c r="L1591">
        <f t="shared" si="49"/>
        <v>2.5000000000000001E-3</v>
      </c>
    </row>
    <row r="1592" spans="1:12" x14ac:dyDescent="0.25">
      <c r="A1592" s="1">
        <v>1591</v>
      </c>
      <c r="B1592" s="2">
        <v>206810</v>
      </c>
      <c r="C1592" s="3">
        <v>1.4E-2</v>
      </c>
      <c r="D1592" s="1">
        <v>0.5</v>
      </c>
      <c r="E1592" s="4">
        <v>0.22</v>
      </c>
      <c r="F1592" s="4">
        <v>0.25</v>
      </c>
      <c r="G1592" s="4">
        <v>0.53</v>
      </c>
      <c r="H1592" s="17">
        <f t="shared" si="48"/>
        <v>2.9182791407735766E-7</v>
      </c>
      <c r="L1592">
        <f t="shared" si="49"/>
        <v>7.0000000000000001E-3</v>
      </c>
    </row>
    <row r="1593" spans="1:12" x14ac:dyDescent="0.25">
      <c r="A1593" s="1">
        <v>1592</v>
      </c>
      <c r="B1593" s="2">
        <v>722641</v>
      </c>
      <c r="C1593" s="3">
        <v>5.0000000000000001E-3</v>
      </c>
      <c r="D1593" s="1">
        <v>0.5</v>
      </c>
      <c r="E1593" s="4">
        <v>0.18</v>
      </c>
      <c r="F1593" s="4">
        <v>0.26</v>
      </c>
      <c r="G1593" s="4">
        <v>0.56000000000000005</v>
      </c>
      <c r="H1593" s="17">
        <f t="shared" si="48"/>
        <v>3.6418316269725799E-7</v>
      </c>
      <c r="L1593">
        <f t="shared" si="49"/>
        <v>2.5000000000000001E-3</v>
      </c>
    </row>
    <row r="1594" spans="1:12" x14ac:dyDescent="0.25">
      <c r="A1594" s="1">
        <v>1593</v>
      </c>
      <c r="B1594" s="2">
        <v>209701</v>
      </c>
      <c r="C1594" s="3">
        <v>1.0999999999999999E-2</v>
      </c>
      <c r="D1594" s="1">
        <v>0.5</v>
      </c>
      <c r="E1594" s="4">
        <v>0.22</v>
      </c>
      <c r="F1594" s="4">
        <v>0.19</v>
      </c>
      <c r="G1594" s="4">
        <v>0.59000000000000008</v>
      </c>
      <c r="H1594" s="17">
        <f t="shared" si="48"/>
        <v>2.3249865629228197E-7</v>
      </c>
      <c r="L1594">
        <f t="shared" si="49"/>
        <v>5.4999999999999997E-3</v>
      </c>
    </row>
    <row r="1595" spans="1:12" x14ac:dyDescent="0.25">
      <c r="A1595" s="1">
        <v>1594</v>
      </c>
      <c r="B1595" s="2">
        <v>312525</v>
      </c>
      <c r="C1595" s="3">
        <v>1.0999999999999999E-2</v>
      </c>
      <c r="D1595" s="1">
        <v>0.5</v>
      </c>
      <c r="E1595" s="4">
        <v>0.15</v>
      </c>
      <c r="F1595" s="4">
        <v>0.2</v>
      </c>
      <c r="G1595" s="4">
        <v>0.65</v>
      </c>
      <c r="H1595" s="17">
        <f t="shared" si="48"/>
        <v>3.4650117337421101E-7</v>
      </c>
      <c r="L1595">
        <f t="shared" si="49"/>
        <v>5.4999999999999997E-3</v>
      </c>
    </row>
    <row r="1596" spans="1:12" x14ac:dyDescent="0.25">
      <c r="A1596" s="1">
        <v>1595</v>
      </c>
      <c r="B1596" s="2">
        <v>825726</v>
      </c>
      <c r="C1596" s="3">
        <v>6.0000000000000001E-3</v>
      </c>
      <c r="D1596" s="1">
        <v>0.5</v>
      </c>
      <c r="E1596" s="4">
        <v>0.24</v>
      </c>
      <c r="F1596" s="4">
        <v>0.21</v>
      </c>
      <c r="G1596" s="4">
        <v>0.55000000000000004</v>
      </c>
      <c r="H1596" s="17">
        <f t="shared" si="48"/>
        <v>4.993608270795973E-7</v>
      </c>
      <c r="L1596">
        <f t="shared" si="49"/>
        <v>3.0000000000000001E-3</v>
      </c>
    </row>
    <row r="1597" spans="1:12" x14ac:dyDescent="0.25">
      <c r="A1597" s="1">
        <v>1596</v>
      </c>
      <c r="B1597" s="2">
        <v>972793</v>
      </c>
      <c r="C1597" s="3">
        <v>1.0999999999999999E-2</v>
      </c>
      <c r="D1597" s="1">
        <v>0.5</v>
      </c>
      <c r="E1597" s="4">
        <v>0.18</v>
      </c>
      <c r="F1597" s="4">
        <v>0.3</v>
      </c>
      <c r="G1597" s="4">
        <v>0.52</v>
      </c>
      <c r="H1597" s="17">
        <f t="shared" si="48"/>
        <v>1.0785502470209386E-6</v>
      </c>
      <c r="L1597">
        <f t="shared" si="49"/>
        <v>5.4999999999999997E-3</v>
      </c>
    </row>
    <row r="1598" spans="1:12" x14ac:dyDescent="0.25">
      <c r="A1598" s="1">
        <v>1597</v>
      </c>
      <c r="B1598" s="2">
        <v>803893</v>
      </c>
      <c r="C1598" s="3">
        <v>0.01</v>
      </c>
      <c r="D1598" s="1">
        <v>0.5</v>
      </c>
      <c r="E1598" s="4">
        <v>0.15</v>
      </c>
      <c r="F1598" s="4">
        <v>0.26</v>
      </c>
      <c r="G1598" s="4">
        <v>0.59</v>
      </c>
      <c r="H1598" s="17">
        <f t="shared" si="48"/>
        <v>8.1026206708500308E-7</v>
      </c>
      <c r="L1598">
        <f t="shared" si="49"/>
        <v>5.0000000000000001E-3</v>
      </c>
    </row>
    <row r="1599" spans="1:12" x14ac:dyDescent="0.25">
      <c r="A1599" s="1">
        <v>1598</v>
      </c>
      <c r="B1599" s="2">
        <v>762823</v>
      </c>
      <c r="C1599" s="3">
        <v>8.9999999999999993E-3</v>
      </c>
      <c r="D1599" s="1">
        <v>0.5</v>
      </c>
      <c r="E1599" s="4">
        <v>0.19</v>
      </c>
      <c r="F1599" s="4">
        <v>0.22</v>
      </c>
      <c r="G1599" s="4">
        <v>0.59000000000000008</v>
      </c>
      <c r="H1599" s="17">
        <f t="shared" si="48"/>
        <v>6.919800106730434E-7</v>
      </c>
      <c r="L1599">
        <f t="shared" si="49"/>
        <v>4.4999999999999997E-3</v>
      </c>
    </row>
    <row r="1600" spans="1:12" x14ac:dyDescent="0.25">
      <c r="A1600" s="1">
        <v>1599</v>
      </c>
      <c r="B1600" s="2">
        <v>390315</v>
      </c>
      <c r="C1600" s="3">
        <v>1.2999999999999999E-2</v>
      </c>
      <c r="D1600" s="1">
        <v>0.5</v>
      </c>
      <c r="E1600" s="4">
        <v>0.23</v>
      </c>
      <c r="F1600" s="4">
        <v>0.27</v>
      </c>
      <c r="G1600" s="4">
        <v>0.5</v>
      </c>
      <c r="H1600" s="17">
        <f t="shared" si="48"/>
        <v>5.1142959365060746E-7</v>
      </c>
      <c r="L1600">
        <f t="shared" si="49"/>
        <v>6.4999999999999997E-3</v>
      </c>
    </row>
    <row r="1601" spans="1:12" x14ac:dyDescent="0.25">
      <c r="A1601" s="1">
        <v>1600</v>
      </c>
      <c r="B1601" s="2">
        <v>474430</v>
      </c>
      <c r="C1601" s="3">
        <v>8.0000000000000002E-3</v>
      </c>
      <c r="D1601" s="1">
        <v>0.5</v>
      </c>
      <c r="E1601" s="4">
        <v>0.19</v>
      </c>
      <c r="F1601" s="4">
        <v>0.19</v>
      </c>
      <c r="G1601" s="4">
        <v>0.62000000000000011</v>
      </c>
      <c r="H1601" s="17">
        <f t="shared" si="48"/>
        <v>3.8255104347184316E-7</v>
      </c>
      <c r="L1601">
        <f t="shared" si="49"/>
        <v>4.0000000000000001E-3</v>
      </c>
    </row>
    <row r="1602" spans="1:12" x14ac:dyDescent="0.25">
      <c r="A1602" s="1">
        <v>1601</v>
      </c>
      <c r="B1602" s="2">
        <v>722584</v>
      </c>
      <c r="C1602" s="3">
        <v>1.0999999999999999E-2</v>
      </c>
      <c r="D1602" s="1">
        <v>0.5</v>
      </c>
      <c r="E1602" s="4">
        <v>0.22</v>
      </c>
      <c r="F1602" s="4">
        <v>0.26</v>
      </c>
      <c r="G1602" s="4">
        <v>0.52</v>
      </c>
      <c r="H1602" s="17">
        <f t="shared" si="48"/>
        <v>8.0113976117568487E-7</v>
      </c>
      <c r="L1602">
        <f t="shared" si="49"/>
        <v>5.4999999999999997E-3</v>
      </c>
    </row>
    <row r="1603" spans="1:12" x14ac:dyDescent="0.25">
      <c r="A1603" s="1">
        <v>1602</v>
      </c>
      <c r="B1603" s="2">
        <v>204706</v>
      </c>
      <c r="C1603" s="3">
        <v>0.01</v>
      </c>
      <c r="D1603" s="1">
        <v>0.5</v>
      </c>
      <c r="E1603" s="4">
        <v>0.15</v>
      </c>
      <c r="F1603" s="4">
        <v>0.28000000000000003</v>
      </c>
      <c r="G1603" s="4">
        <v>0.56999999999999995</v>
      </c>
      <c r="H1603" s="17">
        <f t="shared" ref="H1603:H1666" si="50">B1603*C1603*D1603/SUM($B$2:$B$1797)</f>
        <v>2.0632784052691418E-7</v>
      </c>
      <c r="L1603">
        <f t="shared" ref="L1603:L1666" si="51">C1603*D1603</f>
        <v>5.0000000000000001E-3</v>
      </c>
    </row>
    <row r="1604" spans="1:12" x14ac:dyDescent="0.25">
      <c r="A1604" s="1">
        <v>1603</v>
      </c>
      <c r="B1604" s="2">
        <v>252630</v>
      </c>
      <c r="C1604" s="3">
        <v>1.4E-2</v>
      </c>
      <c r="D1604" s="1">
        <v>0.5</v>
      </c>
      <c r="E1604" s="4">
        <v>0.24</v>
      </c>
      <c r="F1604" s="4">
        <v>0.17</v>
      </c>
      <c r="G1604" s="4">
        <v>0.59</v>
      </c>
      <c r="H1604" s="17">
        <f t="shared" si="50"/>
        <v>3.5648414454505519E-7</v>
      </c>
      <c r="L1604">
        <f t="shared" si="51"/>
        <v>7.0000000000000001E-3</v>
      </c>
    </row>
    <row r="1605" spans="1:12" x14ac:dyDescent="0.25">
      <c r="A1605" s="1">
        <v>1604</v>
      </c>
      <c r="B1605" s="2">
        <v>589489</v>
      </c>
      <c r="C1605" s="3">
        <v>1.0999999999999999E-2</v>
      </c>
      <c r="D1605" s="1">
        <v>0.5</v>
      </c>
      <c r="E1605" s="4">
        <v>0.25</v>
      </c>
      <c r="F1605" s="4">
        <v>0.28999999999999998</v>
      </c>
      <c r="G1605" s="4">
        <v>0.45999999999999996</v>
      </c>
      <c r="H1605" s="17">
        <f t="shared" si="50"/>
        <v>6.5357533058536208E-7</v>
      </c>
      <c r="L1605">
        <f t="shared" si="51"/>
        <v>5.4999999999999997E-3</v>
      </c>
    </row>
    <row r="1606" spans="1:12" x14ac:dyDescent="0.25">
      <c r="A1606" s="1">
        <v>1605</v>
      </c>
      <c r="B1606" s="2">
        <v>684641</v>
      </c>
      <c r="C1606" s="3">
        <v>7.0000000000000001E-3</v>
      </c>
      <c r="D1606" s="1">
        <v>0.5</v>
      </c>
      <c r="E1606" s="4">
        <v>0.17</v>
      </c>
      <c r="F1606" s="4">
        <v>0.2</v>
      </c>
      <c r="G1606" s="4">
        <v>0.63</v>
      </c>
      <c r="H1606" s="17">
        <f t="shared" si="50"/>
        <v>4.8304568183800641E-7</v>
      </c>
      <c r="L1606">
        <f t="shared" si="51"/>
        <v>3.5000000000000001E-3</v>
      </c>
    </row>
    <row r="1607" spans="1:12" x14ac:dyDescent="0.25">
      <c r="A1607" s="1">
        <v>1606</v>
      </c>
      <c r="B1607" s="2">
        <v>397372</v>
      </c>
      <c r="C1607" s="3">
        <v>6.0000000000000001E-3</v>
      </c>
      <c r="D1607" s="1">
        <v>0.5</v>
      </c>
      <c r="E1607" s="4">
        <v>0.25</v>
      </c>
      <c r="F1607" s="4">
        <v>0.35</v>
      </c>
      <c r="G1607" s="4">
        <v>0.4</v>
      </c>
      <c r="H1607" s="17">
        <f t="shared" si="50"/>
        <v>2.4031217447225079E-7</v>
      </c>
      <c r="L1607">
        <f t="shared" si="51"/>
        <v>3.0000000000000001E-3</v>
      </c>
    </row>
    <row r="1608" spans="1:12" x14ac:dyDescent="0.25">
      <c r="A1608" s="1">
        <v>1607</v>
      </c>
      <c r="B1608" s="2">
        <v>496264</v>
      </c>
      <c r="C1608" s="3">
        <v>1.4999999999999999E-2</v>
      </c>
      <c r="D1608" s="1">
        <v>0.5</v>
      </c>
      <c r="E1608" s="4">
        <v>0.21</v>
      </c>
      <c r="F1608" s="4">
        <v>0.3</v>
      </c>
      <c r="G1608" s="4">
        <v>0.49</v>
      </c>
      <c r="H1608" s="17">
        <f t="shared" si="50"/>
        <v>7.5029368546536403E-7</v>
      </c>
      <c r="L1608">
        <f t="shared" si="51"/>
        <v>7.4999999999999997E-3</v>
      </c>
    </row>
    <row r="1609" spans="1:12" x14ac:dyDescent="0.25">
      <c r="A1609" s="1">
        <v>1608</v>
      </c>
      <c r="B1609" s="2">
        <v>304554</v>
      </c>
      <c r="C1609" s="3">
        <v>1.4E-2</v>
      </c>
      <c r="D1609" s="1">
        <v>0.5</v>
      </c>
      <c r="E1609" s="4">
        <v>0.21</v>
      </c>
      <c r="F1609" s="4">
        <v>0.2</v>
      </c>
      <c r="G1609" s="4">
        <v>0.59000000000000008</v>
      </c>
      <c r="H1609" s="17">
        <f t="shared" si="50"/>
        <v>4.2975367991835783E-7</v>
      </c>
      <c r="L1609">
        <f t="shared" si="51"/>
        <v>7.0000000000000001E-3</v>
      </c>
    </row>
    <row r="1610" spans="1:12" x14ac:dyDescent="0.25">
      <c r="A1610" s="1">
        <v>1609</v>
      </c>
      <c r="B1610" s="2">
        <v>320282</v>
      </c>
      <c r="C1610" s="3">
        <v>1.2999999999999999E-2</v>
      </c>
      <c r="D1610" s="1">
        <v>0.5</v>
      </c>
      <c r="E1610" s="4">
        <v>0.2</v>
      </c>
      <c r="F1610" s="4">
        <v>0.34</v>
      </c>
      <c r="G1610" s="4">
        <v>0.45999999999999991</v>
      </c>
      <c r="H1610" s="17">
        <f t="shared" si="50"/>
        <v>4.1966538081704239E-7</v>
      </c>
      <c r="L1610">
        <f t="shared" si="51"/>
        <v>6.4999999999999997E-3</v>
      </c>
    </row>
    <row r="1611" spans="1:12" x14ac:dyDescent="0.25">
      <c r="A1611" s="1">
        <v>1610</v>
      </c>
      <c r="B1611" s="2">
        <v>824262</v>
      </c>
      <c r="C1611" s="3">
        <v>1.4999999999999999E-2</v>
      </c>
      <c r="D1611" s="1">
        <v>0.5</v>
      </c>
      <c r="E1611" s="4">
        <v>0.16</v>
      </c>
      <c r="F1611" s="4">
        <v>0.35</v>
      </c>
      <c r="G1611" s="4">
        <v>0.49</v>
      </c>
      <c r="H1611" s="17">
        <f t="shared" si="50"/>
        <v>1.246188669274926E-6</v>
      </c>
      <c r="L1611">
        <f t="shared" si="51"/>
        <v>7.4999999999999997E-3</v>
      </c>
    </row>
    <row r="1612" spans="1:12" x14ac:dyDescent="0.25">
      <c r="A1612" s="1">
        <v>1611</v>
      </c>
      <c r="B1612" s="2">
        <v>405836</v>
      </c>
      <c r="C1612" s="3">
        <v>1.2E-2</v>
      </c>
      <c r="D1612" s="1">
        <v>0.5</v>
      </c>
      <c r="E1612" s="4">
        <v>0.17</v>
      </c>
      <c r="F1612" s="4">
        <v>0.15</v>
      </c>
      <c r="G1612" s="4">
        <v>0.67999999999999994</v>
      </c>
      <c r="H1612" s="17">
        <f t="shared" si="50"/>
        <v>4.9086161903264638E-7</v>
      </c>
      <c r="L1612">
        <f t="shared" si="51"/>
        <v>6.0000000000000001E-3</v>
      </c>
    </row>
    <row r="1613" spans="1:12" x14ac:dyDescent="0.25">
      <c r="A1613" s="1">
        <v>1612</v>
      </c>
      <c r="B1613" s="2">
        <v>913533</v>
      </c>
      <c r="C1613" s="3">
        <v>0.01</v>
      </c>
      <c r="D1613" s="1">
        <v>0.5</v>
      </c>
      <c r="E1613" s="4">
        <v>0.15</v>
      </c>
      <c r="F1613" s="4">
        <v>0.28999999999999998</v>
      </c>
      <c r="G1613" s="4">
        <v>0.55999999999999994</v>
      </c>
      <c r="H1613" s="17">
        <f t="shared" si="50"/>
        <v>9.2077072064362309E-7</v>
      </c>
      <c r="L1613">
        <f t="shared" si="51"/>
        <v>5.0000000000000001E-3</v>
      </c>
    </row>
    <row r="1614" spans="1:12" x14ac:dyDescent="0.25">
      <c r="A1614" s="1">
        <v>1613</v>
      </c>
      <c r="B1614" s="2">
        <v>796266</v>
      </c>
      <c r="C1614" s="3">
        <v>5.0000000000000001E-3</v>
      </c>
      <c r="D1614" s="1">
        <v>0.5</v>
      </c>
      <c r="E1614" s="4">
        <v>0.17</v>
      </c>
      <c r="F1614" s="4">
        <v>0.28000000000000003</v>
      </c>
      <c r="G1614" s="4">
        <v>0.54999999999999993</v>
      </c>
      <c r="H1614" s="17">
        <f t="shared" si="50"/>
        <v>4.0128732002238299E-7</v>
      </c>
      <c r="L1614">
        <f t="shared" si="51"/>
        <v>2.5000000000000001E-3</v>
      </c>
    </row>
    <row r="1615" spans="1:12" x14ac:dyDescent="0.25">
      <c r="A1615" s="1">
        <v>1614</v>
      </c>
      <c r="B1615" s="2">
        <v>244864</v>
      </c>
      <c r="C1615" s="3">
        <v>8.9999999999999993E-3</v>
      </c>
      <c r="D1615" s="1">
        <v>0.5</v>
      </c>
      <c r="E1615" s="4">
        <v>0.24</v>
      </c>
      <c r="F1615" s="4">
        <v>0.32</v>
      </c>
      <c r="G1615" s="4">
        <v>0.43999999999999995</v>
      </c>
      <c r="H1615" s="17">
        <f t="shared" si="50"/>
        <v>2.2212360316016181E-7</v>
      </c>
      <c r="L1615">
        <f t="shared" si="51"/>
        <v>4.4999999999999997E-3</v>
      </c>
    </row>
    <row r="1616" spans="1:12" x14ac:dyDescent="0.25">
      <c r="A1616" s="1">
        <v>1615</v>
      </c>
      <c r="B1616" s="2">
        <v>323363</v>
      </c>
      <c r="C1616" s="3">
        <v>8.9999999999999993E-3</v>
      </c>
      <c r="D1616" s="1">
        <v>0.5</v>
      </c>
      <c r="E1616" s="4">
        <v>0.22</v>
      </c>
      <c r="F1616" s="4">
        <v>0.31</v>
      </c>
      <c r="G1616" s="4">
        <v>0.47</v>
      </c>
      <c r="H1616" s="17">
        <f t="shared" si="50"/>
        <v>2.9333244041051113E-7</v>
      </c>
      <c r="L1616">
        <f t="shared" si="51"/>
        <v>4.4999999999999997E-3</v>
      </c>
    </row>
    <row r="1617" spans="1:12" x14ac:dyDescent="0.25">
      <c r="A1617" s="1">
        <v>1616</v>
      </c>
      <c r="B1617" s="2">
        <v>830682</v>
      </c>
      <c r="C1617" s="3">
        <v>1.0999999999999999E-2</v>
      </c>
      <c r="D1617" s="1">
        <v>0.5</v>
      </c>
      <c r="E1617" s="4">
        <v>0.17</v>
      </c>
      <c r="F1617" s="4">
        <v>0.34</v>
      </c>
      <c r="G1617" s="4">
        <v>0.48999999999999988</v>
      </c>
      <c r="H1617" s="17">
        <f t="shared" si="50"/>
        <v>9.2098964147135855E-7</v>
      </c>
      <c r="L1617">
        <f t="shared" si="51"/>
        <v>5.4999999999999997E-3</v>
      </c>
    </row>
    <row r="1618" spans="1:12" x14ac:dyDescent="0.25">
      <c r="A1618" s="1">
        <v>1617</v>
      </c>
      <c r="B1618" s="2">
        <v>740639</v>
      </c>
      <c r="C1618" s="3">
        <v>8.0000000000000002E-3</v>
      </c>
      <c r="D1618" s="1">
        <v>0.5</v>
      </c>
      <c r="E1618" s="4">
        <v>0.16</v>
      </c>
      <c r="F1618" s="4">
        <v>0.28999999999999998</v>
      </c>
      <c r="G1618" s="4">
        <v>0.54999999999999993</v>
      </c>
      <c r="H1618" s="17">
        <f t="shared" si="50"/>
        <v>5.972055356658357E-7</v>
      </c>
      <c r="L1618">
        <f t="shared" si="51"/>
        <v>4.0000000000000001E-3</v>
      </c>
    </row>
    <row r="1619" spans="1:12" x14ac:dyDescent="0.25">
      <c r="A1619" s="1">
        <v>1618</v>
      </c>
      <c r="B1619" s="2">
        <v>591025</v>
      </c>
      <c r="C1619" s="3">
        <v>6.0000000000000001E-3</v>
      </c>
      <c r="D1619" s="1">
        <v>0.5</v>
      </c>
      <c r="E1619" s="4">
        <v>0.2</v>
      </c>
      <c r="F1619" s="4">
        <v>0.26</v>
      </c>
      <c r="G1619" s="4">
        <v>0.54</v>
      </c>
      <c r="H1619" s="17">
        <f t="shared" si="50"/>
        <v>3.5742453649844985E-7</v>
      </c>
      <c r="L1619">
        <f t="shared" si="51"/>
        <v>3.0000000000000001E-3</v>
      </c>
    </row>
    <row r="1620" spans="1:12" x14ac:dyDescent="0.25">
      <c r="A1620" s="1">
        <v>1619</v>
      </c>
      <c r="B1620" s="2">
        <v>887603</v>
      </c>
      <c r="C1620" s="3">
        <v>1.2E-2</v>
      </c>
      <c r="D1620" s="1">
        <v>0.5</v>
      </c>
      <c r="E1620" s="4">
        <v>0.17</v>
      </c>
      <c r="F1620" s="4">
        <v>0.15</v>
      </c>
      <c r="G1620" s="4">
        <v>0.67999999999999994</v>
      </c>
      <c r="H1620" s="17">
        <f t="shared" si="50"/>
        <v>1.0735623395613845E-6</v>
      </c>
      <c r="L1620">
        <f t="shared" si="51"/>
        <v>6.0000000000000001E-3</v>
      </c>
    </row>
    <row r="1621" spans="1:12" x14ac:dyDescent="0.25">
      <c r="A1621" s="1">
        <v>1620</v>
      </c>
      <c r="B1621" s="2">
        <v>513136</v>
      </c>
      <c r="C1621" s="3">
        <v>1.4999999999999999E-2</v>
      </c>
      <c r="D1621" s="1">
        <v>0.5</v>
      </c>
      <c r="E1621" s="4">
        <v>0.22</v>
      </c>
      <c r="F1621" s="4">
        <v>0.26</v>
      </c>
      <c r="G1621" s="4">
        <v>0.52</v>
      </c>
      <c r="H1621" s="17">
        <f t="shared" si="50"/>
        <v>7.7580219517223702E-7</v>
      </c>
      <c r="L1621">
        <f t="shared" si="51"/>
        <v>7.4999999999999997E-3</v>
      </c>
    </row>
    <row r="1622" spans="1:12" x14ac:dyDescent="0.25">
      <c r="A1622" s="1">
        <v>1621</v>
      </c>
      <c r="B1622" s="2">
        <v>591391</v>
      </c>
      <c r="C1622" s="3">
        <v>1.2999999999999999E-2</v>
      </c>
      <c r="D1622" s="1">
        <v>0.5</v>
      </c>
      <c r="E1622" s="4">
        <v>0.19</v>
      </c>
      <c r="F1622" s="4">
        <v>0.2</v>
      </c>
      <c r="G1622" s="4">
        <v>0.6100000000000001</v>
      </c>
      <c r="H1622" s="17">
        <f t="shared" si="50"/>
        <v>7.7489939873852254E-7</v>
      </c>
      <c r="L1622">
        <f t="shared" si="51"/>
        <v>6.4999999999999997E-3</v>
      </c>
    </row>
    <row r="1623" spans="1:12" x14ac:dyDescent="0.25">
      <c r="A1623" s="1">
        <v>1622</v>
      </c>
      <c r="B1623" s="2">
        <v>693830</v>
      </c>
      <c r="C1623" s="3">
        <v>1.2E-2</v>
      </c>
      <c r="D1623" s="1">
        <v>0.5</v>
      </c>
      <c r="E1623" s="4">
        <v>0.24</v>
      </c>
      <c r="F1623" s="4">
        <v>0.35</v>
      </c>
      <c r="G1623" s="4">
        <v>0.41000000000000003</v>
      </c>
      <c r="H1623" s="17">
        <f t="shared" si="50"/>
        <v>8.3919247462871959E-7</v>
      </c>
      <c r="L1623">
        <f t="shared" si="51"/>
        <v>6.0000000000000001E-3</v>
      </c>
    </row>
    <row r="1624" spans="1:12" x14ac:dyDescent="0.25">
      <c r="A1624" s="1">
        <v>1623</v>
      </c>
      <c r="B1624" s="2">
        <v>393625</v>
      </c>
      <c r="C1624" s="3">
        <v>7.0000000000000001E-3</v>
      </c>
      <c r="D1624" s="1">
        <v>0.5</v>
      </c>
      <c r="E1624" s="4">
        <v>0.16</v>
      </c>
      <c r="F1624" s="4">
        <v>0.22</v>
      </c>
      <c r="G1624" s="4">
        <v>0.62</v>
      </c>
      <c r="H1624" s="17">
        <f t="shared" si="50"/>
        <v>2.7772052289226802E-7</v>
      </c>
      <c r="L1624">
        <f t="shared" si="51"/>
        <v>3.5000000000000001E-3</v>
      </c>
    </row>
    <row r="1625" spans="1:12" x14ac:dyDescent="0.25">
      <c r="A1625" s="1">
        <v>1624</v>
      </c>
      <c r="B1625" s="2">
        <v>300610</v>
      </c>
      <c r="C1625" s="3">
        <v>1.2E-2</v>
      </c>
      <c r="D1625" s="1">
        <v>0.5</v>
      </c>
      <c r="E1625" s="4">
        <v>0.2</v>
      </c>
      <c r="F1625" s="4">
        <v>0.28999999999999998</v>
      </c>
      <c r="G1625" s="4">
        <v>0.51</v>
      </c>
      <c r="H1625" s="17">
        <f t="shared" si="50"/>
        <v>3.6359000014144586E-7</v>
      </c>
      <c r="L1625">
        <f t="shared" si="51"/>
        <v>6.0000000000000001E-3</v>
      </c>
    </row>
    <row r="1626" spans="1:12" x14ac:dyDescent="0.25">
      <c r="A1626" s="1">
        <v>1625</v>
      </c>
      <c r="B1626" s="2">
        <v>743618</v>
      </c>
      <c r="C1626" s="3">
        <v>1.2999999999999999E-2</v>
      </c>
      <c r="D1626" s="1">
        <v>0.5</v>
      </c>
      <c r="E1626" s="4">
        <v>0.15</v>
      </c>
      <c r="F1626" s="4">
        <v>0.16</v>
      </c>
      <c r="G1626" s="4">
        <v>0.69</v>
      </c>
      <c r="H1626" s="17">
        <f t="shared" si="50"/>
        <v>9.7436237800565569E-7</v>
      </c>
      <c r="L1626">
        <f t="shared" si="51"/>
        <v>6.4999999999999997E-3</v>
      </c>
    </row>
    <row r="1627" spans="1:12" x14ac:dyDescent="0.25">
      <c r="A1627" s="1">
        <v>1626</v>
      </c>
      <c r="B1627" s="2">
        <v>703337</v>
      </c>
      <c r="C1627" s="3">
        <v>6.0000000000000001E-3</v>
      </c>
      <c r="D1627" s="1">
        <v>0.5</v>
      </c>
      <c r="E1627" s="4">
        <v>0.25</v>
      </c>
      <c r="F1627" s="4">
        <v>0.2</v>
      </c>
      <c r="G1627" s="4">
        <v>0.55000000000000004</v>
      </c>
      <c r="H1627" s="17">
        <f t="shared" si="50"/>
        <v>4.2534563043392451E-7</v>
      </c>
      <c r="L1627">
        <f t="shared" si="51"/>
        <v>3.0000000000000001E-3</v>
      </c>
    </row>
    <row r="1628" spans="1:12" x14ac:dyDescent="0.25">
      <c r="A1628" s="1">
        <v>1627</v>
      </c>
      <c r="B1628" s="2">
        <v>715472</v>
      </c>
      <c r="C1628" s="3">
        <v>0.01</v>
      </c>
      <c r="D1628" s="1">
        <v>0.5</v>
      </c>
      <c r="E1628" s="4">
        <v>0.25</v>
      </c>
      <c r="F1628" s="4">
        <v>0.28999999999999998</v>
      </c>
      <c r="G1628" s="4">
        <v>0.45999999999999996</v>
      </c>
      <c r="H1628" s="17">
        <f t="shared" si="50"/>
        <v>7.2114052698734947E-7</v>
      </c>
      <c r="L1628">
        <f t="shared" si="51"/>
        <v>5.0000000000000001E-3</v>
      </c>
    </row>
    <row r="1629" spans="1:12" x14ac:dyDescent="0.25">
      <c r="A1629" s="1">
        <v>1628</v>
      </c>
      <c r="B1629" s="2">
        <v>565537</v>
      </c>
      <c r="C1629" s="3">
        <v>8.0000000000000002E-3</v>
      </c>
      <c r="D1629" s="1">
        <v>0.5</v>
      </c>
      <c r="E1629" s="4">
        <v>0.18</v>
      </c>
      <c r="F1629" s="4">
        <v>0.35</v>
      </c>
      <c r="G1629" s="4">
        <v>0.47000000000000003</v>
      </c>
      <c r="H1629" s="17">
        <f t="shared" si="50"/>
        <v>4.5601410001883475E-7</v>
      </c>
      <c r="L1629">
        <f t="shared" si="51"/>
        <v>4.0000000000000001E-3</v>
      </c>
    </row>
    <row r="1630" spans="1:12" x14ac:dyDescent="0.25">
      <c r="A1630" s="1">
        <v>1629</v>
      </c>
      <c r="B1630" s="2">
        <v>368668</v>
      </c>
      <c r="C1630" s="3">
        <v>8.9999999999999993E-3</v>
      </c>
      <c r="D1630" s="1">
        <v>0.5</v>
      </c>
      <c r="E1630" s="4">
        <v>0.16</v>
      </c>
      <c r="F1630" s="4">
        <v>0.23</v>
      </c>
      <c r="G1630" s="4">
        <v>0.61</v>
      </c>
      <c r="H1630" s="17">
        <f t="shared" si="50"/>
        <v>3.3442998778852967E-7</v>
      </c>
      <c r="L1630">
        <f t="shared" si="51"/>
        <v>4.4999999999999997E-3</v>
      </c>
    </row>
    <row r="1631" spans="1:12" x14ac:dyDescent="0.25">
      <c r="A1631" s="1">
        <v>1630</v>
      </c>
      <c r="B1631" s="2">
        <v>779431</v>
      </c>
      <c r="C1631" s="3">
        <v>6.0000000000000001E-3</v>
      </c>
      <c r="D1631" s="1">
        <v>0.5</v>
      </c>
      <c r="E1631" s="4">
        <v>0.23</v>
      </c>
      <c r="F1631" s="4">
        <v>0.27</v>
      </c>
      <c r="G1631" s="4">
        <v>0.5</v>
      </c>
      <c r="H1631" s="17">
        <f t="shared" si="50"/>
        <v>4.7136375602981818E-7</v>
      </c>
      <c r="L1631">
        <f t="shared" si="51"/>
        <v>3.0000000000000001E-3</v>
      </c>
    </row>
    <row r="1632" spans="1:12" x14ac:dyDescent="0.25">
      <c r="A1632" s="1">
        <v>1631</v>
      </c>
      <c r="B1632" s="2">
        <v>796974</v>
      </c>
      <c r="C1632" s="3">
        <v>1.0999999999999999E-2</v>
      </c>
      <c r="D1632" s="1">
        <v>0.5</v>
      </c>
      <c r="E1632" s="4">
        <v>0.2</v>
      </c>
      <c r="F1632" s="4">
        <v>0.27</v>
      </c>
      <c r="G1632" s="4">
        <v>0.53</v>
      </c>
      <c r="H1632" s="17">
        <f t="shared" si="50"/>
        <v>8.8361707431001829E-7</v>
      </c>
      <c r="L1632">
        <f t="shared" si="51"/>
        <v>5.4999999999999997E-3</v>
      </c>
    </row>
    <row r="1633" spans="1:12" x14ac:dyDescent="0.25">
      <c r="A1633" s="1">
        <v>1632</v>
      </c>
      <c r="B1633" s="2">
        <v>278867</v>
      </c>
      <c r="C1633" s="3">
        <v>1.2E-2</v>
      </c>
      <c r="D1633" s="1">
        <v>0.5</v>
      </c>
      <c r="E1633" s="4">
        <v>0.18</v>
      </c>
      <c r="F1633" s="4">
        <v>0.28000000000000003</v>
      </c>
      <c r="G1633" s="4">
        <v>0.54</v>
      </c>
      <c r="H1633" s="17">
        <f t="shared" si="50"/>
        <v>3.3729168214445484E-7</v>
      </c>
      <c r="L1633">
        <f t="shared" si="51"/>
        <v>6.0000000000000001E-3</v>
      </c>
    </row>
    <row r="1634" spans="1:12" x14ac:dyDescent="0.25">
      <c r="A1634" s="1">
        <v>1633</v>
      </c>
      <c r="B1634" s="2">
        <v>577656</v>
      </c>
      <c r="C1634" s="3">
        <v>1.2E-2</v>
      </c>
      <c r="D1634" s="1">
        <v>0.5</v>
      </c>
      <c r="E1634" s="4">
        <v>0.24</v>
      </c>
      <c r="F1634" s="4">
        <v>0.25</v>
      </c>
      <c r="G1634" s="4">
        <v>0.51</v>
      </c>
      <c r="H1634" s="17">
        <f t="shared" si="50"/>
        <v>6.986791694278535E-7</v>
      </c>
      <c r="L1634">
        <f t="shared" si="51"/>
        <v>6.0000000000000001E-3</v>
      </c>
    </row>
    <row r="1635" spans="1:12" x14ac:dyDescent="0.25">
      <c r="A1635" s="1">
        <v>1634</v>
      </c>
      <c r="B1635" s="2">
        <v>922719</v>
      </c>
      <c r="C1635" s="3">
        <v>6.0000000000000001E-3</v>
      </c>
      <c r="D1635" s="1">
        <v>0.5</v>
      </c>
      <c r="E1635" s="4">
        <v>0.24</v>
      </c>
      <c r="F1635" s="4">
        <v>0.3</v>
      </c>
      <c r="G1635" s="4">
        <v>0.45999999999999996</v>
      </c>
      <c r="H1635" s="17">
        <f t="shared" si="50"/>
        <v>5.5801769957838187E-7</v>
      </c>
      <c r="L1635">
        <f t="shared" si="51"/>
        <v>3.0000000000000001E-3</v>
      </c>
    </row>
    <row r="1636" spans="1:12" x14ac:dyDescent="0.25">
      <c r="A1636" s="1">
        <v>1635</v>
      </c>
      <c r="B1636" s="2">
        <v>339991</v>
      </c>
      <c r="C1636" s="3">
        <v>1.4999999999999999E-2</v>
      </c>
      <c r="D1636" s="1">
        <v>0.5</v>
      </c>
      <c r="E1636" s="4">
        <v>0.15</v>
      </c>
      <c r="F1636" s="4">
        <v>0.22</v>
      </c>
      <c r="G1636" s="4">
        <v>0.63</v>
      </c>
      <c r="H1636" s="17">
        <f t="shared" si="50"/>
        <v>5.1402701065371368E-7</v>
      </c>
      <c r="L1636">
        <f t="shared" si="51"/>
        <v>7.4999999999999997E-3</v>
      </c>
    </row>
    <row r="1637" spans="1:12" x14ac:dyDescent="0.25">
      <c r="A1637" s="1">
        <v>1636</v>
      </c>
      <c r="B1637" s="2">
        <v>299995</v>
      </c>
      <c r="C1637" s="3">
        <v>1.0999999999999999E-2</v>
      </c>
      <c r="D1637" s="1">
        <v>0.5</v>
      </c>
      <c r="E1637" s="4">
        <v>0.22</v>
      </c>
      <c r="F1637" s="4">
        <v>0.23</v>
      </c>
      <c r="G1637" s="4">
        <v>0.55000000000000004</v>
      </c>
      <c r="H1637" s="17">
        <f t="shared" si="50"/>
        <v>3.3260897370257237E-7</v>
      </c>
      <c r="L1637">
        <f t="shared" si="51"/>
        <v>5.4999999999999997E-3</v>
      </c>
    </row>
    <row r="1638" spans="1:12" x14ac:dyDescent="0.25">
      <c r="A1638" s="1">
        <v>1637</v>
      </c>
      <c r="B1638" s="2">
        <v>368902</v>
      </c>
      <c r="C1638" s="3">
        <v>6.0000000000000001E-3</v>
      </c>
      <c r="D1638" s="1">
        <v>0.5</v>
      </c>
      <c r="E1638" s="4">
        <v>0.21</v>
      </c>
      <c r="F1638" s="4">
        <v>0.28000000000000003</v>
      </c>
      <c r="G1638" s="4">
        <v>0.51</v>
      </c>
      <c r="H1638" s="17">
        <f t="shared" si="50"/>
        <v>2.230948375506132E-7</v>
      </c>
      <c r="L1638">
        <f t="shared" si="51"/>
        <v>3.0000000000000001E-3</v>
      </c>
    </row>
    <row r="1639" spans="1:12" x14ac:dyDescent="0.25">
      <c r="A1639" s="1">
        <v>1638</v>
      </c>
      <c r="B1639" s="2">
        <v>347105</v>
      </c>
      <c r="C1639" s="3">
        <v>5.0000000000000001E-3</v>
      </c>
      <c r="D1639" s="1">
        <v>0.5</v>
      </c>
      <c r="E1639" s="4">
        <v>0.2</v>
      </c>
      <c r="F1639" s="4">
        <v>0.28000000000000003</v>
      </c>
      <c r="G1639" s="4">
        <v>0.52</v>
      </c>
      <c r="H1639" s="17">
        <f t="shared" si="50"/>
        <v>1.7492751821171474E-7</v>
      </c>
      <c r="L1639">
        <f t="shared" si="51"/>
        <v>2.5000000000000001E-3</v>
      </c>
    </row>
    <row r="1640" spans="1:12" x14ac:dyDescent="0.25">
      <c r="A1640" s="1">
        <v>1639</v>
      </c>
      <c r="B1640" s="2">
        <v>634221</v>
      </c>
      <c r="C1640" s="3">
        <v>0.01</v>
      </c>
      <c r="D1640" s="1">
        <v>0.5</v>
      </c>
      <c r="E1640" s="4">
        <v>0.19</v>
      </c>
      <c r="F1640" s="4">
        <v>0.24</v>
      </c>
      <c r="G1640" s="4">
        <v>0.57000000000000006</v>
      </c>
      <c r="H1640" s="17">
        <f t="shared" si="50"/>
        <v>6.3924579321964204E-7</v>
      </c>
      <c r="L1640">
        <f t="shared" si="51"/>
        <v>5.0000000000000001E-3</v>
      </c>
    </row>
    <row r="1641" spans="1:12" x14ac:dyDescent="0.25">
      <c r="A1641" s="1">
        <v>1640</v>
      </c>
      <c r="B1641" s="2">
        <v>903795</v>
      </c>
      <c r="C1641" s="3">
        <v>1.4E-2</v>
      </c>
      <c r="D1641" s="1">
        <v>0.5</v>
      </c>
      <c r="E1641" s="4">
        <v>0.24</v>
      </c>
      <c r="F1641" s="4">
        <v>0.19</v>
      </c>
      <c r="G1641" s="4">
        <v>0.57000000000000006</v>
      </c>
      <c r="H1641" s="17">
        <f t="shared" si="50"/>
        <v>1.2753377960618224E-6</v>
      </c>
      <c r="L1641">
        <f t="shared" si="51"/>
        <v>7.0000000000000001E-3</v>
      </c>
    </row>
    <row r="1642" spans="1:12" x14ac:dyDescent="0.25">
      <c r="A1642" s="1">
        <v>1641</v>
      </c>
      <c r="B1642" s="2">
        <v>749632</v>
      </c>
      <c r="C1642" s="3">
        <v>1.4999999999999999E-2</v>
      </c>
      <c r="D1642" s="1">
        <v>0.5</v>
      </c>
      <c r="E1642" s="4">
        <v>0.25</v>
      </c>
      <c r="F1642" s="4">
        <v>0.24</v>
      </c>
      <c r="G1642" s="4">
        <v>0.51</v>
      </c>
      <c r="H1642" s="17">
        <f t="shared" si="50"/>
        <v>1.1333567537092592E-6</v>
      </c>
      <c r="L1642">
        <f t="shared" si="51"/>
        <v>7.4999999999999997E-3</v>
      </c>
    </row>
    <row r="1643" spans="1:12" x14ac:dyDescent="0.25">
      <c r="A1643" s="1">
        <v>1642</v>
      </c>
      <c r="B1643" s="2">
        <v>970257</v>
      </c>
      <c r="C1643" s="3">
        <v>7.0000000000000001E-3</v>
      </c>
      <c r="D1643" s="1">
        <v>0.5</v>
      </c>
      <c r="E1643" s="4">
        <v>0.25</v>
      </c>
      <c r="F1643" s="4">
        <v>0.25</v>
      </c>
      <c r="G1643" s="4">
        <v>0.5</v>
      </c>
      <c r="H1643" s="17">
        <f t="shared" si="50"/>
        <v>6.8456089267674385E-7</v>
      </c>
      <c r="L1643">
        <f t="shared" si="51"/>
        <v>3.5000000000000001E-3</v>
      </c>
    </row>
    <row r="1644" spans="1:12" x14ac:dyDescent="0.25">
      <c r="A1644" s="1">
        <v>1643</v>
      </c>
      <c r="B1644" s="2">
        <v>845411</v>
      </c>
      <c r="C1644" s="3">
        <v>6.0000000000000001E-3</v>
      </c>
      <c r="D1644" s="1">
        <v>0.5</v>
      </c>
      <c r="E1644" s="4">
        <v>0.18</v>
      </c>
      <c r="F1644" s="4">
        <v>0.22</v>
      </c>
      <c r="G1644" s="4">
        <v>0.60000000000000009</v>
      </c>
      <c r="H1644" s="17">
        <f t="shared" si="50"/>
        <v>5.1126540302980587E-7</v>
      </c>
      <c r="L1644">
        <f t="shared" si="51"/>
        <v>3.0000000000000001E-3</v>
      </c>
    </row>
    <row r="1645" spans="1:12" x14ac:dyDescent="0.25">
      <c r="A1645" s="1">
        <v>1644</v>
      </c>
      <c r="B1645" s="2">
        <v>651556</v>
      </c>
      <c r="C1645" s="3">
        <v>7.0000000000000001E-3</v>
      </c>
      <c r="D1645" s="1">
        <v>0.5</v>
      </c>
      <c r="E1645" s="4">
        <v>0.15</v>
      </c>
      <c r="F1645" s="4">
        <v>0.22</v>
      </c>
      <c r="G1645" s="4">
        <v>0.63</v>
      </c>
      <c r="H1645" s="17">
        <f t="shared" si="50"/>
        <v>4.5970269422316819E-7</v>
      </c>
      <c r="L1645">
        <f t="shared" si="51"/>
        <v>3.5000000000000001E-3</v>
      </c>
    </row>
    <row r="1646" spans="1:12" x14ac:dyDescent="0.25">
      <c r="A1646" s="1">
        <v>1645</v>
      </c>
      <c r="B1646" s="2">
        <v>970572</v>
      </c>
      <c r="C1646" s="3">
        <v>1.4E-2</v>
      </c>
      <c r="D1646" s="1">
        <v>0.5</v>
      </c>
      <c r="E1646" s="4">
        <v>0.18</v>
      </c>
      <c r="F1646" s="4">
        <v>0.2</v>
      </c>
      <c r="G1646" s="4">
        <v>0.62000000000000011</v>
      </c>
      <c r="H1646" s="17">
        <f t="shared" si="50"/>
        <v>1.3695662792993045E-6</v>
      </c>
      <c r="L1646">
        <f t="shared" si="51"/>
        <v>7.0000000000000001E-3</v>
      </c>
    </row>
    <row r="1647" spans="1:12" x14ac:dyDescent="0.25">
      <c r="A1647" s="1">
        <v>1646</v>
      </c>
      <c r="B1647" s="2">
        <v>944546</v>
      </c>
      <c r="C1647" s="3">
        <v>7.0000000000000001E-3</v>
      </c>
      <c r="D1647" s="1">
        <v>0.5</v>
      </c>
      <c r="E1647" s="4">
        <v>0.19</v>
      </c>
      <c r="F1647" s="4">
        <v>0.22</v>
      </c>
      <c r="G1647" s="4">
        <v>0.59000000000000008</v>
      </c>
      <c r="H1647" s="17">
        <f t="shared" si="50"/>
        <v>6.6642060086579924E-7</v>
      </c>
      <c r="L1647">
        <f t="shared" si="51"/>
        <v>3.5000000000000001E-3</v>
      </c>
    </row>
    <row r="1648" spans="1:12" x14ac:dyDescent="0.25">
      <c r="A1648" s="1">
        <v>1647</v>
      </c>
      <c r="B1648" s="2">
        <v>241446</v>
      </c>
      <c r="C1648" s="3">
        <v>0.01</v>
      </c>
      <c r="D1648" s="1">
        <v>0.5</v>
      </c>
      <c r="E1648" s="4">
        <v>0.17</v>
      </c>
      <c r="F1648" s="4">
        <v>0.18</v>
      </c>
      <c r="G1648" s="4">
        <v>0.65</v>
      </c>
      <c r="H1648" s="17">
        <f t="shared" si="50"/>
        <v>2.4335892345051601E-7</v>
      </c>
      <c r="L1648">
        <f t="shared" si="51"/>
        <v>5.0000000000000001E-3</v>
      </c>
    </row>
    <row r="1649" spans="1:12" x14ac:dyDescent="0.25">
      <c r="A1649" s="1">
        <v>1648</v>
      </c>
      <c r="B1649" s="2">
        <v>422313</v>
      </c>
      <c r="C1649" s="3">
        <v>1.0999999999999999E-2</v>
      </c>
      <c r="D1649" s="1">
        <v>0.5</v>
      </c>
      <c r="E1649" s="4">
        <v>0.22</v>
      </c>
      <c r="F1649" s="4">
        <v>0.31</v>
      </c>
      <c r="G1649" s="4">
        <v>0.47</v>
      </c>
      <c r="H1649" s="17">
        <f t="shared" si="50"/>
        <v>4.6822478211721674E-7</v>
      </c>
      <c r="L1649">
        <f t="shared" si="51"/>
        <v>5.4999999999999997E-3</v>
      </c>
    </row>
    <row r="1650" spans="1:12" x14ac:dyDescent="0.25">
      <c r="A1650" s="1">
        <v>1649</v>
      </c>
      <c r="B1650" s="2">
        <v>202535</v>
      </c>
      <c r="C1650" s="3">
        <v>5.0000000000000001E-3</v>
      </c>
      <c r="D1650" s="1">
        <v>0.5</v>
      </c>
      <c r="E1650" s="4">
        <v>0.19</v>
      </c>
      <c r="F1650" s="4">
        <v>0.2</v>
      </c>
      <c r="G1650" s="4">
        <v>0.6100000000000001</v>
      </c>
      <c r="H1650" s="17">
        <f t="shared" si="50"/>
        <v>1.0206982008616887E-7</v>
      </c>
      <c r="L1650">
        <f t="shared" si="51"/>
        <v>2.5000000000000001E-3</v>
      </c>
    </row>
    <row r="1651" spans="1:12" x14ac:dyDescent="0.25">
      <c r="A1651" s="1">
        <v>1650</v>
      </c>
      <c r="B1651" s="2">
        <v>765852</v>
      </c>
      <c r="C1651" s="3">
        <v>6.0000000000000001E-3</v>
      </c>
      <c r="D1651" s="1">
        <v>0.5</v>
      </c>
      <c r="E1651" s="4">
        <v>0.15</v>
      </c>
      <c r="F1651" s="4">
        <v>0.31</v>
      </c>
      <c r="G1651" s="4">
        <v>0.53999999999999992</v>
      </c>
      <c r="H1651" s="17">
        <f t="shared" si="50"/>
        <v>4.6315180597506166E-7</v>
      </c>
      <c r="L1651">
        <f t="shared" si="51"/>
        <v>3.0000000000000001E-3</v>
      </c>
    </row>
    <row r="1652" spans="1:12" x14ac:dyDescent="0.25">
      <c r="A1652" s="1">
        <v>1651</v>
      </c>
      <c r="B1652" s="2">
        <v>434923</v>
      </c>
      <c r="C1652" s="3">
        <v>8.9999999999999993E-3</v>
      </c>
      <c r="D1652" s="1">
        <v>0.5</v>
      </c>
      <c r="E1652" s="4">
        <v>0.17</v>
      </c>
      <c r="F1652" s="4">
        <v>0.25</v>
      </c>
      <c r="G1652" s="4">
        <v>0.57999999999999996</v>
      </c>
      <c r="H1652" s="17">
        <f t="shared" si="50"/>
        <v>3.9453191917646963E-7</v>
      </c>
      <c r="L1652">
        <f t="shared" si="51"/>
        <v>4.4999999999999997E-3</v>
      </c>
    </row>
    <row r="1653" spans="1:12" x14ac:dyDescent="0.25">
      <c r="A1653" s="1">
        <v>1652</v>
      </c>
      <c r="B1653" s="2">
        <v>642026</v>
      </c>
      <c r="C1653" s="3">
        <v>8.9999999999999993E-3</v>
      </c>
      <c r="D1653" s="1">
        <v>0.5</v>
      </c>
      <c r="E1653" s="4">
        <v>0.24</v>
      </c>
      <c r="F1653" s="4">
        <v>0.17</v>
      </c>
      <c r="G1653" s="4">
        <v>0.59</v>
      </c>
      <c r="H1653" s="17">
        <f t="shared" si="50"/>
        <v>5.8240136746318791E-7</v>
      </c>
      <c r="L1653">
        <f t="shared" si="51"/>
        <v>4.4999999999999997E-3</v>
      </c>
    </row>
    <row r="1654" spans="1:12" x14ac:dyDescent="0.25">
      <c r="A1654" s="1">
        <v>1653</v>
      </c>
      <c r="B1654" s="2">
        <v>768467</v>
      </c>
      <c r="C1654" s="3">
        <v>7.0000000000000001E-3</v>
      </c>
      <c r="D1654" s="1">
        <v>0.5</v>
      </c>
      <c r="E1654" s="4">
        <v>0.15</v>
      </c>
      <c r="F1654" s="4">
        <v>0.35</v>
      </c>
      <c r="G1654" s="4">
        <v>0.5</v>
      </c>
      <c r="H1654" s="17">
        <f t="shared" si="50"/>
        <v>5.4218877628568443E-7</v>
      </c>
      <c r="L1654">
        <f t="shared" si="51"/>
        <v>3.5000000000000001E-3</v>
      </c>
    </row>
    <row r="1655" spans="1:12" x14ac:dyDescent="0.25">
      <c r="A1655" s="1">
        <v>1654</v>
      </c>
      <c r="B1655" s="2">
        <v>789735</v>
      </c>
      <c r="C1655" s="3">
        <v>7.0000000000000001E-3</v>
      </c>
      <c r="D1655" s="1">
        <v>0.5</v>
      </c>
      <c r="E1655" s="4">
        <v>0.24</v>
      </c>
      <c r="F1655" s="4">
        <v>0.22</v>
      </c>
      <c r="G1655" s="4">
        <v>0.54</v>
      </c>
      <c r="H1655" s="17">
        <f t="shared" si="50"/>
        <v>5.5719432745970225E-7</v>
      </c>
      <c r="L1655">
        <f t="shared" si="51"/>
        <v>3.5000000000000001E-3</v>
      </c>
    </row>
    <row r="1656" spans="1:12" x14ac:dyDescent="0.25">
      <c r="A1656" s="1">
        <v>1655</v>
      </c>
      <c r="B1656" s="2">
        <v>679159</v>
      </c>
      <c r="C1656" s="3">
        <v>1.2999999999999999E-2</v>
      </c>
      <c r="D1656" s="1">
        <v>0.5</v>
      </c>
      <c r="E1656" s="4">
        <v>0.17</v>
      </c>
      <c r="F1656" s="4">
        <v>0.28000000000000003</v>
      </c>
      <c r="G1656" s="4">
        <v>0.54999999999999993</v>
      </c>
      <c r="H1656" s="17">
        <f t="shared" si="50"/>
        <v>8.8990177521784441E-7</v>
      </c>
      <c r="L1656">
        <f t="shared" si="51"/>
        <v>6.4999999999999997E-3</v>
      </c>
    </row>
    <row r="1657" spans="1:12" x14ac:dyDescent="0.25">
      <c r="A1657" s="1">
        <v>1656</v>
      </c>
      <c r="B1657" s="2">
        <v>929912</v>
      </c>
      <c r="C1657" s="3">
        <v>1.0999999999999999E-2</v>
      </c>
      <c r="D1657" s="1">
        <v>0.5</v>
      </c>
      <c r="E1657" s="4">
        <v>0.22</v>
      </c>
      <c r="F1657" s="4">
        <v>0.22</v>
      </c>
      <c r="G1657" s="4">
        <v>0.56000000000000005</v>
      </c>
      <c r="H1657" s="17">
        <f t="shared" si="50"/>
        <v>1.0310074366362988E-6</v>
      </c>
      <c r="L1657">
        <f t="shared" si="51"/>
        <v>5.4999999999999997E-3</v>
      </c>
    </row>
    <row r="1658" spans="1:12" x14ac:dyDescent="0.25">
      <c r="A1658" s="1">
        <v>1657</v>
      </c>
      <c r="B1658" s="2">
        <v>661890</v>
      </c>
      <c r="C1658" s="3">
        <v>1.4E-2</v>
      </c>
      <c r="D1658" s="1">
        <v>0.5</v>
      </c>
      <c r="E1658" s="4">
        <v>0.24</v>
      </c>
      <c r="F1658" s="4">
        <v>0.28000000000000003</v>
      </c>
      <c r="G1658" s="4">
        <v>0.48</v>
      </c>
      <c r="H1658" s="17">
        <f t="shared" si="50"/>
        <v>9.3398761205290974E-7</v>
      </c>
      <c r="L1658">
        <f t="shared" si="51"/>
        <v>7.0000000000000001E-3</v>
      </c>
    </row>
    <row r="1659" spans="1:12" x14ac:dyDescent="0.25">
      <c r="A1659" s="1">
        <v>1658</v>
      </c>
      <c r="B1659" s="2">
        <v>543548</v>
      </c>
      <c r="C1659" s="3">
        <v>1.2E-2</v>
      </c>
      <c r="D1659" s="1">
        <v>0.5</v>
      </c>
      <c r="E1659" s="4">
        <v>0.23</v>
      </c>
      <c r="F1659" s="4">
        <v>0.22</v>
      </c>
      <c r="G1659" s="4">
        <v>0.55000000000000004</v>
      </c>
      <c r="H1659" s="17">
        <f t="shared" si="50"/>
        <v>6.574252932267143E-7</v>
      </c>
      <c r="L1659">
        <f t="shared" si="51"/>
        <v>6.0000000000000001E-3</v>
      </c>
    </row>
    <row r="1660" spans="1:12" x14ac:dyDescent="0.25">
      <c r="A1660" s="1">
        <v>1659</v>
      </c>
      <c r="B1660" s="2">
        <v>809060</v>
      </c>
      <c r="C1660" s="3">
        <v>1.4E-2</v>
      </c>
      <c r="D1660" s="1">
        <v>0.5</v>
      </c>
      <c r="E1660" s="4">
        <v>0.2</v>
      </c>
      <c r="F1660" s="4">
        <v>0.28999999999999998</v>
      </c>
      <c r="G1660" s="4">
        <v>0.51</v>
      </c>
      <c r="H1660" s="17">
        <f t="shared" si="50"/>
        <v>1.1416580057222909E-6</v>
      </c>
      <c r="L1660">
        <f t="shared" si="51"/>
        <v>7.0000000000000001E-3</v>
      </c>
    </row>
    <row r="1661" spans="1:12" x14ac:dyDescent="0.25">
      <c r="A1661" s="1">
        <v>1660</v>
      </c>
      <c r="B1661" s="2">
        <v>627264</v>
      </c>
      <c r="C1661" s="3">
        <v>0.01</v>
      </c>
      <c r="D1661" s="1">
        <v>0.5</v>
      </c>
      <c r="E1661" s="4">
        <v>0.21</v>
      </c>
      <c r="F1661" s="4">
        <v>0.33</v>
      </c>
      <c r="G1661" s="4">
        <v>0.45999999999999996</v>
      </c>
      <c r="H1661" s="17">
        <f t="shared" si="50"/>
        <v>6.3223367444175704E-7</v>
      </c>
      <c r="L1661">
        <f t="shared" si="51"/>
        <v>5.0000000000000001E-3</v>
      </c>
    </row>
    <row r="1662" spans="1:12" x14ac:dyDescent="0.25">
      <c r="A1662" s="1">
        <v>1661</v>
      </c>
      <c r="B1662" s="2">
        <v>337127</v>
      </c>
      <c r="C1662" s="3">
        <v>0.01</v>
      </c>
      <c r="D1662" s="1">
        <v>0.5</v>
      </c>
      <c r="E1662" s="4">
        <v>0.2</v>
      </c>
      <c r="F1662" s="4">
        <v>0.33</v>
      </c>
      <c r="G1662" s="4">
        <v>0.46999999999999992</v>
      </c>
      <c r="H1662" s="17">
        <f t="shared" si="50"/>
        <v>3.3979798292828252E-7</v>
      </c>
      <c r="L1662">
        <f t="shared" si="51"/>
        <v>5.0000000000000001E-3</v>
      </c>
    </row>
    <row r="1663" spans="1:12" x14ac:dyDescent="0.25">
      <c r="A1663" s="1">
        <v>1662</v>
      </c>
      <c r="B1663" s="2">
        <v>850484</v>
      </c>
      <c r="C1663" s="3">
        <v>5.0000000000000001E-3</v>
      </c>
      <c r="D1663" s="1">
        <v>0.5</v>
      </c>
      <c r="E1663" s="4">
        <v>0.19</v>
      </c>
      <c r="F1663" s="4">
        <v>0.15</v>
      </c>
      <c r="G1663" s="4">
        <v>0.65999999999999992</v>
      </c>
      <c r="H1663" s="17">
        <f t="shared" si="50"/>
        <v>4.2861109865536939E-7</v>
      </c>
      <c r="L1663">
        <f t="shared" si="51"/>
        <v>2.5000000000000001E-3</v>
      </c>
    </row>
    <row r="1664" spans="1:12" x14ac:dyDescent="0.25">
      <c r="A1664" s="1">
        <v>1663</v>
      </c>
      <c r="B1664" s="2">
        <v>872309</v>
      </c>
      <c r="C1664" s="3">
        <v>1.0999999999999999E-2</v>
      </c>
      <c r="D1664" s="1">
        <v>0.5</v>
      </c>
      <c r="E1664" s="4">
        <v>0.25</v>
      </c>
      <c r="F1664" s="4">
        <v>0.27</v>
      </c>
      <c r="G1664" s="4">
        <v>0.48</v>
      </c>
      <c r="H1664" s="17">
        <f t="shared" si="50"/>
        <v>9.671421231737769E-7</v>
      </c>
      <c r="L1664">
        <f t="shared" si="51"/>
        <v>5.4999999999999997E-3</v>
      </c>
    </row>
    <row r="1665" spans="1:12" x14ac:dyDescent="0.25">
      <c r="A1665" s="1">
        <v>1664</v>
      </c>
      <c r="B1665" s="2">
        <v>662283</v>
      </c>
      <c r="C1665" s="3">
        <v>8.9999999999999993E-3</v>
      </c>
      <c r="D1665" s="1">
        <v>0.5</v>
      </c>
      <c r="E1665" s="4">
        <v>0.22</v>
      </c>
      <c r="F1665" s="4">
        <v>0.28000000000000003</v>
      </c>
      <c r="G1665" s="4">
        <v>0.5</v>
      </c>
      <c r="H1665" s="17">
        <f t="shared" si="50"/>
        <v>6.0077711003545416E-7</v>
      </c>
      <c r="L1665">
        <f t="shared" si="51"/>
        <v>4.4999999999999997E-3</v>
      </c>
    </row>
    <row r="1666" spans="1:12" x14ac:dyDescent="0.25">
      <c r="A1666" s="1">
        <v>1665</v>
      </c>
      <c r="B1666" s="2">
        <v>729372</v>
      </c>
      <c r="C1666" s="3">
        <v>1.4999999999999999E-2</v>
      </c>
      <c r="D1666" s="1">
        <v>0.5</v>
      </c>
      <c r="E1666" s="4">
        <v>0.15</v>
      </c>
      <c r="F1666" s="4">
        <v>0.23</v>
      </c>
      <c r="G1666" s="4">
        <v>0.62</v>
      </c>
      <c r="H1666" s="17">
        <f t="shared" si="50"/>
        <v>1.1027259804363072E-6</v>
      </c>
      <c r="L1666">
        <f t="shared" si="51"/>
        <v>7.4999999999999997E-3</v>
      </c>
    </row>
    <row r="1667" spans="1:12" x14ac:dyDescent="0.25">
      <c r="A1667" s="1">
        <v>1666</v>
      </c>
      <c r="B1667" s="2">
        <v>352575</v>
      </c>
      <c r="C1667" s="3">
        <v>7.0000000000000001E-3</v>
      </c>
      <c r="D1667" s="1">
        <v>0.5</v>
      </c>
      <c r="E1667" s="4">
        <v>0.21</v>
      </c>
      <c r="F1667" s="4">
        <v>0.18</v>
      </c>
      <c r="G1667" s="4">
        <v>0.6100000000000001</v>
      </c>
      <c r="H1667" s="17">
        <f t="shared" ref="H1667:H1730" si="52">B1667*C1667*D1667/SUM($B$2:$B$1797)</f>
        <v>2.4875786181960346E-7</v>
      </c>
      <c r="L1667">
        <f t="shared" ref="L1667:L1730" si="53">C1667*D1667</f>
        <v>3.5000000000000001E-3</v>
      </c>
    </row>
    <row r="1668" spans="1:12" x14ac:dyDescent="0.25">
      <c r="A1668" s="1">
        <v>1667</v>
      </c>
      <c r="B1668" s="2">
        <v>473270</v>
      </c>
      <c r="C1668" s="3">
        <v>1.0999999999999999E-2</v>
      </c>
      <c r="D1668" s="1">
        <v>0.5</v>
      </c>
      <c r="E1668" s="4">
        <v>0.24</v>
      </c>
      <c r="F1668" s="4">
        <v>0.25</v>
      </c>
      <c r="G1668" s="4">
        <v>0.51</v>
      </c>
      <c r="H1668" s="17">
        <f t="shared" si="52"/>
        <v>5.2472157530697654E-7</v>
      </c>
      <c r="L1668">
        <f t="shared" si="53"/>
        <v>5.4999999999999997E-3</v>
      </c>
    </row>
    <row r="1669" spans="1:12" x14ac:dyDescent="0.25">
      <c r="A1669" s="1">
        <v>1668</v>
      </c>
      <c r="B1669" s="2">
        <v>378285</v>
      </c>
      <c r="C1669" s="3">
        <v>1.4E-2</v>
      </c>
      <c r="D1669" s="1">
        <v>0.5</v>
      </c>
      <c r="E1669" s="4">
        <v>0.25</v>
      </c>
      <c r="F1669" s="4">
        <v>0.33</v>
      </c>
      <c r="G1669" s="4">
        <v>0.41999999999999993</v>
      </c>
      <c r="H1669" s="17">
        <f t="shared" si="52"/>
        <v>5.3379489616920477E-7</v>
      </c>
      <c r="L1669">
        <f t="shared" si="53"/>
        <v>7.0000000000000001E-3</v>
      </c>
    </row>
    <row r="1670" spans="1:12" x14ac:dyDescent="0.25">
      <c r="A1670" s="1">
        <v>1669</v>
      </c>
      <c r="B1670" s="2">
        <v>241305</v>
      </c>
      <c r="C1670" s="3">
        <v>1.0999999999999999E-2</v>
      </c>
      <c r="D1670" s="1">
        <v>0.5</v>
      </c>
      <c r="E1670" s="4">
        <v>0.18</v>
      </c>
      <c r="F1670" s="4">
        <v>0.28000000000000003</v>
      </c>
      <c r="G1670" s="4">
        <v>0.54</v>
      </c>
      <c r="H1670" s="17">
        <f t="shared" si="52"/>
        <v>2.6753848697244701E-7</v>
      </c>
      <c r="L1670">
        <f t="shared" si="53"/>
        <v>5.4999999999999997E-3</v>
      </c>
    </row>
    <row r="1671" spans="1:12" x14ac:dyDescent="0.25">
      <c r="A1671" s="1">
        <v>1670</v>
      </c>
      <c r="B1671" s="2">
        <v>356319</v>
      </c>
      <c r="C1671" s="3">
        <v>8.0000000000000002E-3</v>
      </c>
      <c r="D1671" s="1">
        <v>0.5</v>
      </c>
      <c r="E1671" s="4">
        <v>0.24</v>
      </c>
      <c r="F1671" s="4">
        <v>0.31</v>
      </c>
      <c r="G1671" s="4">
        <v>0.44999999999999996</v>
      </c>
      <c r="H1671" s="17">
        <f t="shared" si="52"/>
        <v>2.8731362953195133E-7</v>
      </c>
      <c r="L1671">
        <f t="shared" si="53"/>
        <v>4.0000000000000001E-3</v>
      </c>
    </row>
    <row r="1672" spans="1:12" x14ac:dyDescent="0.25">
      <c r="A1672" s="1">
        <v>1671</v>
      </c>
      <c r="B1672" s="2">
        <v>978127</v>
      </c>
      <c r="C1672" s="3">
        <v>0.01</v>
      </c>
      <c r="D1672" s="1">
        <v>0.5</v>
      </c>
      <c r="E1672" s="4">
        <v>0.17</v>
      </c>
      <c r="F1672" s="4">
        <v>0.25</v>
      </c>
      <c r="G1672" s="4">
        <v>0.57999999999999996</v>
      </c>
      <c r="H1672" s="17">
        <f t="shared" si="52"/>
        <v>9.8587648467103558E-7</v>
      </c>
      <c r="L1672">
        <f t="shared" si="53"/>
        <v>5.0000000000000001E-3</v>
      </c>
    </row>
    <row r="1673" spans="1:12" x14ac:dyDescent="0.25">
      <c r="A1673" s="1">
        <v>1672</v>
      </c>
      <c r="B1673" s="2">
        <v>425630</v>
      </c>
      <c r="C1673" s="3">
        <v>6.0000000000000001E-3</v>
      </c>
      <c r="D1673" s="1">
        <v>0.5</v>
      </c>
      <c r="E1673" s="4">
        <v>0.22</v>
      </c>
      <c r="F1673" s="4">
        <v>0.27</v>
      </c>
      <c r="G1673" s="4">
        <v>0.51</v>
      </c>
      <c r="H1673" s="17">
        <f t="shared" si="52"/>
        <v>2.5740130361631947E-7</v>
      </c>
      <c r="L1673">
        <f t="shared" si="53"/>
        <v>3.0000000000000001E-3</v>
      </c>
    </row>
    <row r="1674" spans="1:12" x14ac:dyDescent="0.25">
      <c r="A1674" s="1">
        <v>1673</v>
      </c>
      <c r="B1674" s="2">
        <v>456768</v>
      </c>
      <c r="C1674" s="3">
        <v>5.0000000000000001E-3</v>
      </c>
      <c r="D1674" s="1">
        <v>0.5</v>
      </c>
      <c r="E1674" s="4">
        <v>0.24</v>
      </c>
      <c r="F1674" s="4">
        <v>0.35</v>
      </c>
      <c r="G1674" s="4">
        <v>0.41000000000000003</v>
      </c>
      <c r="H1674" s="17">
        <f t="shared" si="52"/>
        <v>2.3019343610299049E-7</v>
      </c>
      <c r="L1674">
        <f t="shared" si="53"/>
        <v>2.5000000000000001E-3</v>
      </c>
    </row>
    <row r="1675" spans="1:12" x14ac:dyDescent="0.25">
      <c r="A1675" s="1">
        <v>1674</v>
      </c>
      <c r="B1675" s="2">
        <v>914552</v>
      </c>
      <c r="C1675" s="3">
        <v>1.4999999999999999E-2</v>
      </c>
      <c r="D1675" s="1">
        <v>0.5</v>
      </c>
      <c r="E1675" s="4">
        <v>0.24</v>
      </c>
      <c r="F1675" s="4">
        <v>0.32</v>
      </c>
      <c r="G1675" s="4">
        <v>0.43999999999999995</v>
      </c>
      <c r="H1675" s="17">
        <f t="shared" si="52"/>
        <v>1.3826966909340988E-6</v>
      </c>
      <c r="L1675">
        <f t="shared" si="53"/>
        <v>7.4999999999999997E-3</v>
      </c>
    </row>
    <row r="1676" spans="1:12" x14ac:dyDescent="0.25">
      <c r="A1676" s="1">
        <v>1675</v>
      </c>
      <c r="B1676" s="2">
        <v>291899</v>
      </c>
      <c r="C1676" s="3">
        <v>8.0000000000000002E-3</v>
      </c>
      <c r="D1676" s="1">
        <v>0.5</v>
      </c>
      <c r="E1676" s="4">
        <v>0.23</v>
      </c>
      <c r="F1676" s="4">
        <v>0.33</v>
      </c>
      <c r="G1676" s="4">
        <v>0.43999999999999995</v>
      </c>
      <c r="H1676" s="17">
        <f t="shared" si="52"/>
        <v>2.3536932116094586E-7</v>
      </c>
      <c r="L1676">
        <f t="shared" si="53"/>
        <v>4.0000000000000001E-3</v>
      </c>
    </row>
    <row r="1677" spans="1:12" x14ac:dyDescent="0.25">
      <c r="A1677" s="1">
        <v>1676</v>
      </c>
      <c r="B1677" s="2">
        <v>639825</v>
      </c>
      <c r="C1677" s="3">
        <v>8.9999999999999993E-3</v>
      </c>
      <c r="D1677" s="1">
        <v>0.5</v>
      </c>
      <c r="E1677" s="4">
        <v>0.21</v>
      </c>
      <c r="F1677" s="4">
        <v>0.28000000000000003</v>
      </c>
      <c r="G1677" s="4">
        <v>0.51</v>
      </c>
      <c r="H1677" s="17">
        <f t="shared" si="52"/>
        <v>5.8040477322901901E-7</v>
      </c>
      <c r="L1677">
        <f t="shared" si="53"/>
        <v>4.4999999999999997E-3</v>
      </c>
    </row>
    <row r="1678" spans="1:12" x14ac:dyDescent="0.25">
      <c r="A1678" s="1">
        <v>1677</v>
      </c>
      <c r="B1678" s="2">
        <v>203085</v>
      </c>
      <c r="C1678" s="3">
        <v>7.0000000000000001E-3</v>
      </c>
      <c r="D1678" s="1">
        <v>0.5</v>
      </c>
      <c r="E1678" s="4">
        <v>0.21</v>
      </c>
      <c r="F1678" s="4">
        <v>0.15</v>
      </c>
      <c r="G1678" s="4">
        <v>0.64</v>
      </c>
      <c r="H1678" s="17">
        <f t="shared" si="52"/>
        <v>1.4328579839079391E-7</v>
      </c>
      <c r="L1678">
        <f t="shared" si="53"/>
        <v>3.5000000000000001E-3</v>
      </c>
    </row>
    <row r="1679" spans="1:12" x14ac:dyDescent="0.25">
      <c r="A1679" s="1">
        <v>1678</v>
      </c>
      <c r="B1679" s="2">
        <v>888325</v>
      </c>
      <c r="C1679" s="3">
        <v>8.0000000000000002E-3</v>
      </c>
      <c r="D1679" s="1">
        <v>0.5</v>
      </c>
      <c r="E1679" s="4">
        <v>0.22</v>
      </c>
      <c r="F1679" s="4">
        <v>0.16</v>
      </c>
      <c r="G1679" s="4">
        <v>0.62</v>
      </c>
      <c r="H1679" s="17">
        <f t="shared" si="52"/>
        <v>7.1629040257177047E-7</v>
      </c>
      <c r="L1679">
        <f t="shared" si="53"/>
        <v>4.0000000000000001E-3</v>
      </c>
    </row>
    <row r="1680" spans="1:12" x14ac:dyDescent="0.25">
      <c r="A1680" s="1">
        <v>1679</v>
      </c>
      <c r="B1680" s="2">
        <v>355717</v>
      </c>
      <c r="C1680" s="3">
        <v>0.01</v>
      </c>
      <c r="D1680" s="1">
        <v>0.5</v>
      </c>
      <c r="E1680" s="4">
        <v>0.24</v>
      </c>
      <c r="F1680" s="4">
        <v>0.25</v>
      </c>
      <c r="G1680" s="4">
        <v>0.51</v>
      </c>
      <c r="H1680" s="17">
        <f t="shared" si="52"/>
        <v>3.58535267401602E-7</v>
      </c>
      <c r="L1680">
        <f t="shared" si="53"/>
        <v>5.0000000000000001E-3</v>
      </c>
    </row>
    <row r="1681" spans="1:12" x14ac:dyDescent="0.25">
      <c r="A1681" s="1">
        <v>1680</v>
      </c>
      <c r="B1681" s="2">
        <v>389820</v>
      </c>
      <c r="C1681" s="3">
        <v>1.4999999999999999E-2</v>
      </c>
      <c r="D1681" s="1">
        <v>0.5</v>
      </c>
      <c r="E1681" s="4">
        <v>0.17</v>
      </c>
      <c r="F1681" s="4">
        <v>0.27</v>
      </c>
      <c r="G1681" s="4">
        <v>0.55999999999999994</v>
      </c>
      <c r="H1681" s="17">
        <f t="shared" si="52"/>
        <v>5.8936268693297967E-7</v>
      </c>
      <c r="L1681">
        <f t="shared" si="53"/>
        <v>7.4999999999999997E-3</v>
      </c>
    </row>
    <row r="1682" spans="1:12" x14ac:dyDescent="0.25">
      <c r="A1682" s="1">
        <v>1681</v>
      </c>
      <c r="B1682" s="2">
        <v>652133</v>
      </c>
      <c r="C1682" s="3">
        <v>8.9999999999999993E-3</v>
      </c>
      <c r="D1682" s="1">
        <v>0.5</v>
      </c>
      <c r="E1682" s="4">
        <v>0.22</v>
      </c>
      <c r="F1682" s="4">
        <v>0.2</v>
      </c>
      <c r="G1682" s="4">
        <v>0.58000000000000007</v>
      </c>
      <c r="H1682" s="17">
        <f t="shared" si="52"/>
        <v>5.9156973544353513E-7</v>
      </c>
      <c r="L1682">
        <f t="shared" si="53"/>
        <v>4.4999999999999997E-3</v>
      </c>
    </row>
    <row r="1683" spans="1:12" x14ac:dyDescent="0.25">
      <c r="A1683" s="1">
        <v>1682</v>
      </c>
      <c r="B1683" s="2">
        <v>428905</v>
      </c>
      <c r="C1683" s="3">
        <v>1.4E-2</v>
      </c>
      <c r="D1683" s="1">
        <v>0.5</v>
      </c>
      <c r="E1683" s="4">
        <v>0.15</v>
      </c>
      <c r="F1683" s="4">
        <v>0.27</v>
      </c>
      <c r="G1683" s="4">
        <v>0.57999999999999996</v>
      </c>
      <c r="H1683" s="17">
        <f t="shared" si="52"/>
        <v>6.0522436771601508E-7</v>
      </c>
      <c r="L1683">
        <f t="shared" si="53"/>
        <v>7.0000000000000001E-3</v>
      </c>
    </row>
    <row r="1684" spans="1:12" x14ac:dyDescent="0.25">
      <c r="A1684" s="1">
        <v>1683</v>
      </c>
      <c r="B1684" s="2">
        <v>455798</v>
      </c>
      <c r="C1684" s="3">
        <v>1.2E-2</v>
      </c>
      <c r="D1684" s="1">
        <v>0.5</v>
      </c>
      <c r="E1684" s="4">
        <v>0.18</v>
      </c>
      <c r="F1684" s="4">
        <v>0.34</v>
      </c>
      <c r="G1684" s="4">
        <v>0.47999999999999993</v>
      </c>
      <c r="H1684" s="17">
        <f t="shared" si="52"/>
        <v>5.5129102453168805E-7</v>
      </c>
      <c r="L1684">
        <f t="shared" si="53"/>
        <v>6.0000000000000001E-3</v>
      </c>
    </row>
    <row r="1685" spans="1:12" x14ac:dyDescent="0.25">
      <c r="A1685" s="1">
        <v>1684</v>
      </c>
      <c r="B1685" s="2">
        <v>649742</v>
      </c>
      <c r="C1685" s="3">
        <v>6.0000000000000001E-3</v>
      </c>
      <c r="D1685" s="1">
        <v>0.5</v>
      </c>
      <c r="E1685" s="4">
        <v>0.2</v>
      </c>
      <c r="F1685" s="4">
        <v>0.33</v>
      </c>
      <c r="G1685" s="4">
        <v>0.46999999999999992</v>
      </c>
      <c r="H1685" s="17">
        <f t="shared" si="52"/>
        <v>3.9293385760936649E-7</v>
      </c>
      <c r="L1685">
        <f t="shared" si="53"/>
        <v>3.0000000000000001E-3</v>
      </c>
    </row>
    <row r="1686" spans="1:12" x14ac:dyDescent="0.25">
      <c r="A1686" s="1">
        <v>1685</v>
      </c>
      <c r="B1686" s="2">
        <v>267637</v>
      </c>
      <c r="C1686" s="3">
        <v>0.01</v>
      </c>
      <c r="D1686" s="1">
        <v>0.5</v>
      </c>
      <c r="E1686" s="4">
        <v>0.2</v>
      </c>
      <c r="F1686" s="4">
        <v>0.16</v>
      </c>
      <c r="G1686" s="4">
        <v>0.6399999999999999</v>
      </c>
      <c r="H1686" s="17">
        <f t="shared" si="52"/>
        <v>2.6975742897180216E-7</v>
      </c>
      <c r="L1686">
        <f t="shared" si="53"/>
        <v>5.0000000000000001E-3</v>
      </c>
    </row>
    <row r="1687" spans="1:12" x14ac:dyDescent="0.25">
      <c r="A1687" s="1">
        <v>1686</v>
      </c>
      <c r="B1687" s="2">
        <v>745035</v>
      </c>
      <c r="C1687" s="3">
        <v>8.9999999999999993E-3</v>
      </c>
      <c r="D1687" s="1">
        <v>0.5</v>
      </c>
      <c r="E1687" s="4">
        <v>0.21</v>
      </c>
      <c r="F1687" s="4">
        <v>0.26</v>
      </c>
      <c r="G1687" s="4">
        <v>0.53</v>
      </c>
      <c r="H1687" s="17">
        <f t="shared" si="52"/>
        <v>6.7584397330939277E-7</v>
      </c>
      <c r="L1687">
        <f t="shared" si="53"/>
        <v>4.4999999999999997E-3</v>
      </c>
    </row>
    <row r="1688" spans="1:12" x14ac:dyDescent="0.25">
      <c r="A1688" s="1">
        <v>1687</v>
      </c>
      <c r="B1688" s="2">
        <v>363956</v>
      </c>
      <c r="C1688" s="3">
        <v>8.0000000000000002E-3</v>
      </c>
      <c r="D1688" s="1">
        <v>0.5</v>
      </c>
      <c r="E1688" s="4">
        <v>0.22</v>
      </c>
      <c r="F1688" s="4">
        <v>0.17</v>
      </c>
      <c r="G1688" s="4">
        <v>0.61</v>
      </c>
      <c r="H1688" s="17">
        <f t="shared" si="52"/>
        <v>2.9347163454637806E-7</v>
      </c>
      <c r="L1688">
        <f t="shared" si="53"/>
        <v>4.0000000000000001E-3</v>
      </c>
    </row>
    <row r="1689" spans="1:12" x14ac:dyDescent="0.25">
      <c r="A1689" s="1">
        <v>1688</v>
      </c>
      <c r="B1689" s="2">
        <v>982806</v>
      </c>
      <c r="C1689" s="3">
        <v>8.0000000000000002E-3</v>
      </c>
      <c r="D1689" s="1">
        <v>0.5</v>
      </c>
      <c r="E1689" s="4">
        <v>0.19</v>
      </c>
      <c r="F1689" s="4">
        <v>0.28999999999999998</v>
      </c>
      <c r="G1689" s="4">
        <v>0.52</v>
      </c>
      <c r="H1689" s="17">
        <f t="shared" si="52"/>
        <v>7.9247404428553905E-7</v>
      </c>
      <c r="L1689">
        <f t="shared" si="53"/>
        <v>4.0000000000000001E-3</v>
      </c>
    </row>
    <row r="1690" spans="1:12" x14ac:dyDescent="0.25">
      <c r="A1690" s="1">
        <v>1689</v>
      </c>
      <c r="B1690" s="2">
        <v>566810</v>
      </c>
      <c r="C1690" s="3">
        <v>8.0000000000000002E-3</v>
      </c>
      <c r="D1690" s="1">
        <v>0.5</v>
      </c>
      <c r="E1690" s="4">
        <v>0.23</v>
      </c>
      <c r="F1690" s="4">
        <v>0.15</v>
      </c>
      <c r="G1690" s="4">
        <v>0.62</v>
      </c>
      <c r="H1690" s="17">
        <f t="shared" si="52"/>
        <v>4.5704056857760984E-7</v>
      </c>
      <c r="L1690">
        <f t="shared" si="53"/>
        <v>4.0000000000000001E-3</v>
      </c>
    </row>
    <row r="1691" spans="1:12" x14ac:dyDescent="0.25">
      <c r="A1691" s="1">
        <v>1690</v>
      </c>
      <c r="B1691" s="2">
        <v>279511</v>
      </c>
      <c r="C1691" s="3">
        <v>1.0999999999999999E-2</v>
      </c>
      <c r="D1691" s="1">
        <v>0.5</v>
      </c>
      <c r="E1691" s="4">
        <v>0.2</v>
      </c>
      <c r="F1691" s="4">
        <v>0.17</v>
      </c>
      <c r="G1691" s="4">
        <v>0.62999999999999989</v>
      </c>
      <c r="H1691" s="17">
        <f t="shared" si="52"/>
        <v>3.0989805446284005E-7</v>
      </c>
      <c r="L1691">
        <f t="shared" si="53"/>
        <v>5.4999999999999997E-3</v>
      </c>
    </row>
    <row r="1692" spans="1:12" x14ac:dyDescent="0.25">
      <c r="A1692" s="1">
        <v>1691</v>
      </c>
      <c r="B1692" s="2">
        <v>739667</v>
      </c>
      <c r="C1692" s="3">
        <v>5.0000000000000001E-3</v>
      </c>
      <c r="D1692" s="1">
        <v>0.5</v>
      </c>
      <c r="E1692" s="4">
        <v>0.17</v>
      </c>
      <c r="F1692" s="4">
        <v>0.3</v>
      </c>
      <c r="G1692" s="4">
        <v>0.52999999999999992</v>
      </c>
      <c r="H1692" s="17">
        <f t="shared" si="52"/>
        <v>3.727636093202472E-7</v>
      </c>
      <c r="L1692">
        <f t="shared" si="53"/>
        <v>2.5000000000000001E-3</v>
      </c>
    </row>
    <row r="1693" spans="1:12" x14ac:dyDescent="0.25">
      <c r="A1693" s="1">
        <v>1692</v>
      </c>
      <c r="B1693" s="2">
        <v>329863</v>
      </c>
      <c r="C1693" s="3">
        <v>6.0000000000000001E-3</v>
      </c>
      <c r="D1693" s="1">
        <v>0.5</v>
      </c>
      <c r="E1693" s="4">
        <v>0.17</v>
      </c>
      <c r="F1693" s="4">
        <v>0.2</v>
      </c>
      <c r="G1693" s="4">
        <v>0.63</v>
      </c>
      <c r="H1693" s="17">
        <f t="shared" si="52"/>
        <v>1.9948585911423066E-7</v>
      </c>
      <c r="L1693">
        <f t="shared" si="53"/>
        <v>3.0000000000000001E-3</v>
      </c>
    </row>
    <row r="1694" spans="1:12" x14ac:dyDescent="0.25">
      <c r="A1694" s="1">
        <v>1693</v>
      </c>
      <c r="B1694" s="2">
        <v>322210</v>
      </c>
      <c r="C1694" s="3">
        <v>1.2999999999999999E-2</v>
      </c>
      <c r="D1694" s="1">
        <v>0.5</v>
      </c>
      <c r="E1694" s="4">
        <v>0.15</v>
      </c>
      <c r="F1694" s="4">
        <v>0.25</v>
      </c>
      <c r="G1694" s="4">
        <v>0.6</v>
      </c>
      <c r="H1694" s="17">
        <f t="shared" si="52"/>
        <v>4.2219163847190663E-7</v>
      </c>
      <c r="L1694">
        <f t="shared" si="53"/>
        <v>6.4999999999999997E-3</v>
      </c>
    </row>
    <row r="1695" spans="1:12" x14ac:dyDescent="0.25">
      <c r="A1695" s="1">
        <v>1694</v>
      </c>
      <c r="B1695" s="2">
        <v>424442</v>
      </c>
      <c r="C1695" s="3">
        <v>1.2E-2</v>
      </c>
      <c r="D1695" s="1">
        <v>0.5</v>
      </c>
      <c r="E1695" s="4">
        <v>0.16</v>
      </c>
      <c r="F1695" s="4">
        <v>0.28999999999999998</v>
      </c>
      <c r="G1695" s="4">
        <v>0.54999999999999993</v>
      </c>
      <c r="H1695" s="17">
        <f t="shared" si="52"/>
        <v>5.1336571251799861E-7</v>
      </c>
      <c r="L1695">
        <f t="shared" si="53"/>
        <v>6.0000000000000001E-3</v>
      </c>
    </row>
    <row r="1696" spans="1:12" x14ac:dyDescent="0.25">
      <c r="A1696" s="1">
        <v>1695</v>
      </c>
      <c r="B1696" s="2">
        <v>574808</v>
      </c>
      <c r="C1696" s="3">
        <v>0.01</v>
      </c>
      <c r="D1696" s="1">
        <v>0.5</v>
      </c>
      <c r="E1696" s="4">
        <v>0.2</v>
      </c>
      <c r="F1696" s="4">
        <v>0.23</v>
      </c>
      <c r="G1696" s="4">
        <v>0.57000000000000006</v>
      </c>
      <c r="H1696" s="17">
        <f t="shared" si="52"/>
        <v>5.7936207711349202E-7</v>
      </c>
      <c r="L1696">
        <f t="shared" si="53"/>
        <v>5.0000000000000001E-3</v>
      </c>
    </row>
    <row r="1697" spans="1:12" x14ac:dyDescent="0.25">
      <c r="A1697" s="1">
        <v>1696</v>
      </c>
      <c r="B1697" s="2">
        <v>756966</v>
      </c>
      <c r="C1697" s="3">
        <v>1.4999999999999999E-2</v>
      </c>
      <c r="D1697" s="1">
        <v>0.5</v>
      </c>
      <c r="E1697" s="4">
        <v>0.17</v>
      </c>
      <c r="F1697" s="4">
        <v>0.28999999999999998</v>
      </c>
      <c r="G1697" s="4">
        <v>0.53999999999999992</v>
      </c>
      <c r="H1697" s="17">
        <f t="shared" si="52"/>
        <v>1.1444449122079674E-6</v>
      </c>
      <c r="L1697">
        <f t="shared" si="53"/>
        <v>7.4999999999999997E-3</v>
      </c>
    </row>
    <row r="1698" spans="1:12" x14ac:dyDescent="0.25">
      <c r="A1698" s="1">
        <v>1697</v>
      </c>
      <c r="B1698" s="2">
        <v>671113</v>
      </c>
      <c r="C1698" s="3">
        <v>1.4999999999999999E-2</v>
      </c>
      <c r="D1698" s="1">
        <v>0.5</v>
      </c>
      <c r="E1698" s="4">
        <v>0.23</v>
      </c>
      <c r="F1698" s="4">
        <v>0.26</v>
      </c>
      <c r="G1698" s="4">
        <v>0.51</v>
      </c>
      <c r="H1698" s="17">
        <f t="shared" si="52"/>
        <v>1.0146451206086213E-6</v>
      </c>
      <c r="L1698">
        <f t="shared" si="53"/>
        <v>7.4999999999999997E-3</v>
      </c>
    </row>
    <row r="1699" spans="1:12" x14ac:dyDescent="0.25">
      <c r="A1699" s="1">
        <v>1698</v>
      </c>
      <c r="B1699" s="2">
        <v>639838</v>
      </c>
      <c r="C1699" s="3">
        <v>1.2E-2</v>
      </c>
      <c r="D1699" s="1">
        <v>0.5</v>
      </c>
      <c r="E1699" s="4">
        <v>0.18</v>
      </c>
      <c r="F1699" s="4">
        <v>0.28000000000000003</v>
      </c>
      <c r="G1699" s="4">
        <v>0.54</v>
      </c>
      <c r="H1699" s="17">
        <f t="shared" si="52"/>
        <v>7.7388875456738776E-7</v>
      </c>
      <c r="L1699">
        <f t="shared" si="53"/>
        <v>6.0000000000000001E-3</v>
      </c>
    </row>
    <row r="1700" spans="1:12" x14ac:dyDescent="0.25">
      <c r="A1700" s="1">
        <v>1699</v>
      </c>
      <c r="B1700" s="2">
        <v>212729</v>
      </c>
      <c r="C1700" s="3">
        <v>8.9999999999999993E-3</v>
      </c>
      <c r="D1700" s="1">
        <v>0.5</v>
      </c>
      <c r="E1700" s="4">
        <v>0.15</v>
      </c>
      <c r="F1700" s="4">
        <v>0.18</v>
      </c>
      <c r="G1700" s="4">
        <v>0.67</v>
      </c>
      <c r="H1700" s="17">
        <f t="shared" si="52"/>
        <v>1.9297296448909624E-7</v>
      </c>
      <c r="L1700">
        <f t="shared" si="53"/>
        <v>4.4999999999999997E-3</v>
      </c>
    </row>
    <row r="1701" spans="1:12" x14ac:dyDescent="0.25">
      <c r="A1701" s="1">
        <v>1700</v>
      </c>
      <c r="B1701" s="2">
        <v>245671</v>
      </c>
      <c r="C1701" s="3">
        <v>1.2999999999999999E-2</v>
      </c>
      <c r="D1701" s="1">
        <v>0.5</v>
      </c>
      <c r="E1701" s="4">
        <v>0.23</v>
      </c>
      <c r="F1701" s="4">
        <v>0.24</v>
      </c>
      <c r="G1701" s="4">
        <v>0.53</v>
      </c>
      <c r="H1701" s="17">
        <f t="shared" si="52"/>
        <v>3.219026163527879E-7</v>
      </c>
      <c r="L1701">
        <f t="shared" si="53"/>
        <v>6.4999999999999997E-3</v>
      </c>
    </row>
    <row r="1702" spans="1:12" x14ac:dyDescent="0.25">
      <c r="A1702" s="1">
        <v>1701</v>
      </c>
      <c r="B1702" s="2">
        <v>429620</v>
      </c>
      <c r="C1702" s="3">
        <v>1.4999999999999999E-2</v>
      </c>
      <c r="D1702" s="1">
        <v>0.5</v>
      </c>
      <c r="E1702" s="4">
        <v>0.22</v>
      </c>
      <c r="F1702" s="4">
        <v>0.3</v>
      </c>
      <c r="G1702" s="4">
        <v>0.48</v>
      </c>
      <c r="H1702" s="17">
        <f t="shared" si="52"/>
        <v>6.4953567687688357E-7</v>
      </c>
      <c r="L1702">
        <f t="shared" si="53"/>
        <v>7.4999999999999997E-3</v>
      </c>
    </row>
    <row r="1703" spans="1:12" x14ac:dyDescent="0.25">
      <c r="A1703" s="1">
        <v>1702</v>
      </c>
      <c r="B1703" s="2">
        <v>326041</v>
      </c>
      <c r="C1703" s="3">
        <v>7.0000000000000001E-3</v>
      </c>
      <c r="D1703" s="1">
        <v>0.5</v>
      </c>
      <c r="E1703" s="4">
        <v>0.2</v>
      </c>
      <c r="F1703" s="4">
        <v>0.22</v>
      </c>
      <c r="G1703" s="4">
        <v>0.58000000000000007</v>
      </c>
      <c r="H1703" s="17">
        <f t="shared" si="52"/>
        <v>2.30036905695314E-7</v>
      </c>
      <c r="L1703">
        <f t="shared" si="53"/>
        <v>3.5000000000000001E-3</v>
      </c>
    </row>
    <row r="1704" spans="1:12" x14ac:dyDescent="0.25">
      <c r="A1704" s="1">
        <v>1703</v>
      </c>
      <c r="B1704" s="2">
        <v>523834</v>
      </c>
      <c r="C1704" s="3">
        <v>5.0000000000000001E-3</v>
      </c>
      <c r="D1704" s="1">
        <v>0.5</v>
      </c>
      <c r="E1704" s="4">
        <v>0.23</v>
      </c>
      <c r="F1704" s="4">
        <v>0.19</v>
      </c>
      <c r="G1704" s="4">
        <v>0.58000000000000007</v>
      </c>
      <c r="H1704" s="17">
        <f t="shared" si="52"/>
        <v>2.6399211067231927E-7</v>
      </c>
      <c r="L1704">
        <f t="shared" si="53"/>
        <v>2.5000000000000001E-3</v>
      </c>
    </row>
    <row r="1705" spans="1:12" x14ac:dyDescent="0.25">
      <c r="A1705" s="1">
        <v>1704</v>
      </c>
      <c r="B1705" s="2">
        <v>588326</v>
      </c>
      <c r="C1705" s="3">
        <v>1.4999999999999999E-2</v>
      </c>
      <c r="D1705" s="1">
        <v>0.5</v>
      </c>
      <c r="E1705" s="4">
        <v>0.19</v>
      </c>
      <c r="F1705" s="4">
        <v>0.26</v>
      </c>
      <c r="G1705" s="4">
        <v>0.55000000000000004</v>
      </c>
      <c r="H1705" s="17">
        <f t="shared" si="52"/>
        <v>8.8948076587279304E-7</v>
      </c>
      <c r="L1705">
        <f t="shared" si="53"/>
        <v>7.4999999999999997E-3</v>
      </c>
    </row>
    <row r="1706" spans="1:12" x14ac:dyDescent="0.25">
      <c r="A1706" s="1">
        <v>1705</v>
      </c>
      <c r="B1706" s="2">
        <v>456212</v>
      </c>
      <c r="C1706" s="3">
        <v>1.4E-2</v>
      </c>
      <c r="D1706" s="1">
        <v>0.5</v>
      </c>
      <c r="E1706" s="4">
        <v>0.25</v>
      </c>
      <c r="F1706" s="4">
        <v>0.27</v>
      </c>
      <c r="G1706" s="4">
        <v>0.48</v>
      </c>
      <c r="H1706" s="17">
        <f t="shared" si="52"/>
        <v>6.4375705399670943E-7</v>
      </c>
      <c r="L1706">
        <f t="shared" si="53"/>
        <v>7.0000000000000001E-3</v>
      </c>
    </row>
    <row r="1707" spans="1:12" x14ac:dyDescent="0.25">
      <c r="A1707" s="1">
        <v>1706</v>
      </c>
      <c r="B1707" s="2">
        <v>355283</v>
      </c>
      <c r="C1707" s="3">
        <v>1.2999999999999999E-2</v>
      </c>
      <c r="D1707" s="1">
        <v>0.5</v>
      </c>
      <c r="E1707" s="4">
        <v>0.21</v>
      </c>
      <c r="F1707" s="4">
        <v>0.28999999999999998</v>
      </c>
      <c r="G1707" s="4">
        <v>0.5</v>
      </c>
      <c r="H1707" s="17">
        <f t="shared" si="52"/>
        <v>4.655271775898154E-7</v>
      </c>
      <c r="L1707">
        <f t="shared" si="53"/>
        <v>6.4999999999999997E-3</v>
      </c>
    </row>
    <row r="1708" spans="1:12" x14ac:dyDescent="0.25">
      <c r="A1708" s="1">
        <v>1707</v>
      </c>
      <c r="B1708" s="2">
        <v>604322</v>
      </c>
      <c r="C1708" s="3">
        <v>6.0000000000000001E-3</v>
      </c>
      <c r="D1708" s="1">
        <v>0.5</v>
      </c>
      <c r="E1708" s="4">
        <v>0.16</v>
      </c>
      <c r="F1708" s="4">
        <v>0.33</v>
      </c>
      <c r="G1708" s="4">
        <v>0.5099999999999999</v>
      </c>
      <c r="H1708" s="17">
        <f t="shared" si="52"/>
        <v>3.6546594601889298E-7</v>
      </c>
      <c r="L1708">
        <f t="shared" si="53"/>
        <v>3.0000000000000001E-3</v>
      </c>
    </row>
    <row r="1709" spans="1:12" x14ac:dyDescent="0.25">
      <c r="A1709" s="1">
        <v>1708</v>
      </c>
      <c r="B1709" s="2">
        <v>979977</v>
      </c>
      <c r="C1709" s="3">
        <v>6.0000000000000001E-3</v>
      </c>
      <c r="D1709" s="1">
        <v>0.5</v>
      </c>
      <c r="E1709" s="4">
        <v>0.19</v>
      </c>
      <c r="F1709" s="4">
        <v>0.28999999999999998</v>
      </c>
      <c r="G1709" s="4">
        <v>0.52</v>
      </c>
      <c r="H1709" s="17">
        <f t="shared" si="52"/>
        <v>5.9264468508801047E-7</v>
      </c>
      <c r="L1709">
        <f t="shared" si="53"/>
        <v>3.0000000000000001E-3</v>
      </c>
    </row>
    <row r="1710" spans="1:12" x14ac:dyDescent="0.25">
      <c r="A1710" s="1">
        <v>1709</v>
      </c>
      <c r="B1710" s="2">
        <v>473612</v>
      </c>
      <c r="C1710" s="3">
        <v>0.01</v>
      </c>
      <c r="D1710" s="1">
        <v>0.5</v>
      </c>
      <c r="E1710" s="4">
        <v>0.24</v>
      </c>
      <c r="F1710" s="4">
        <v>0.24</v>
      </c>
      <c r="G1710" s="4">
        <v>0.52</v>
      </c>
      <c r="H1710" s="17">
        <f t="shared" si="52"/>
        <v>4.7736432350606666E-7</v>
      </c>
      <c r="L1710">
        <f t="shared" si="53"/>
        <v>5.0000000000000001E-3</v>
      </c>
    </row>
    <row r="1711" spans="1:12" x14ac:dyDescent="0.25">
      <c r="A1711" s="1">
        <v>1710</v>
      </c>
      <c r="B1711" s="2">
        <v>311639</v>
      </c>
      <c r="C1711" s="3">
        <v>1.2999999999999999E-2</v>
      </c>
      <c r="D1711" s="1">
        <v>0.5</v>
      </c>
      <c r="E1711" s="4">
        <v>0.15</v>
      </c>
      <c r="F1711" s="4">
        <v>0.28000000000000003</v>
      </c>
      <c r="G1711" s="4">
        <v>0.56999999999999995</v>
      </c>
      <c r="H1711" s="17">
        <f t="shared" si="52"/>
        <v>4.0834046125739896E-7</v>
      </c>
      <c r="L1711">
        <f t="shared" si="53"/>
        <v>6.4999999999999997E-3</v>
      </c>
    </row>
    <row r="1712" spans="1:12" x14ac:dyDescent="0.25">
      <c r="A1712" s="1">
        <v>1711</v>
      </c>
      <c r="B1712" s="2">
        <v>623609</v>
      </c>
      <c r="C1712" s="3">
        <v>0.01</v>
      </c>
      <c r="D1712" s="1">
        <v>0.5</v>
      </c>
      <c r="E1712" s="4">
        <v>0.25</v>
      </c>
      <c r="F1712" s="4">
        <v>0.35</v>
      </c>
      <c r="G1712" s="4">
        <v>0.4</v>
      </c>
      <c r="H1712" s="17">
        <f t="shared" si="52"/>
        <v>6.2854971668220979E-7</v>
      </c>
      <c r="L1712">
        <f t="shared" si="53"/>
        <v>5.0000000000000001E-3</v>
      </c>
    </row>
    <row r="1713" spans="1:12" x14ac:dyDescent="0.25">
      <c r="A1713" s="1">
        <v>1712</v>
      </c>
      <c r="B1713" s="2">
        <v>314101</v>
      </c>
      <c r="C1713" s="3">
        <v>6.0000000000000001E-3</v>
      </c>
      <c r="D1713" s="1">
        <v>0.5</v>
      </c>
      <c r="E1713" s="4">
        <v>0.19</v>
      </c>
      <c r="F1713" s="4">
        <v>0.33</v>
      </c>
      <c r="G1713" s="4">
        <v>0.47999999999999993</v>
      </c>
      <c r="H1713" s="17">
        <f t="shared" si="52"/>
        <v>1.8995373180271495E-7</v>
      </c>
      <c r="L1713">
        <f t="shared" si="53"/>
        <v>3.0000000000000001E-3</v>
      </c>
    </row>
    <row r="1714" spans="1:12" x14ac:dyDescent="0.25">
      <c r="A1714" s="1">
        <v>1713</v>
      </c>
      <c r="B1714" s="2">
        <v>321493</v>
      </c>
      <c r="C1714" s="3">
        <v>7.0000000000000001E-3</v>
      </c>
      <c r="D1714" s="1">
        <v>0.5</v>
      </c>
      <c r="E1714" s="4">
        <v>0.22</v>
      </c>
      <c r="F1714" s="4">
        <v>0.16</v>
      </c>
      <c r="G1714" s="4">
        <v>0.62</v>
      </c>
      <c r="H1714" s="17">
        <f t="shared" si="52"/>
        <v>2.2682808273408428E-7</v>
      </c>
      <c r="L1714">
        <f t="shared" si="53"/>
        <v>3.5000000000000001E-3</v>
      </c>
    </row>
    <row r="1715" spans="1:12" x14ac:dyDescent="0.25">
      <c r="A1715" s="1">
        <v>1714</v>
      </c>
      <c r="B1715" s="2">
        <v>650917</v>
      </c>
      <c r="C1715" s="3">
        <v>1.2999999999999999E-2</v>
      </c>
      <c r="D1715" s="1">
        <v>0.5</v>
      </c>
      <c r="E1715" s="4">
        <v>0.15</v>
      </c>
      <c r="F1715" s="4">
        <v>0.33</v>
      </c>
      <c r="G1715" s="4">
        <v>0.51999999999999991</v>
      </c>
      <c r="H1715" s="17">
        <f t="shared" si="52"/>
        <v>8.5289629353284537E-7</v>
      </c>
      <c r="L1715">
        <f t="shared" si="53"/>
        <v>6.4999999999999997E-3</v>
      </c>
    </row>
    <row r="1716" spans="1:12" x14ac:dyDescent="0.25">
      <c r="A1716" s="1">
        <v>1715</v>
      </c>
      <c r="B1716" s="2">
        <v>925720</v>
      </c>
      <c r="C1716" s="3">
        <v>1.2999999999999999E-2</v>
      </c>
      <c r="D1716" s="1">
        <v>0.5</v>
      </c>
      <c r="E1716" s="4">
        <v>0.18</v>
      </c>
      <c r="F1716" s="4">
        <v>0.24</v>
      </c>
      <c r="G1716" s="4">
        <v>0.58000000000000007</v>
      </c>
      <c r="H1716" s="17">
        <f t="shared" si="52"/>
        <v>1.2129705582266641E-6</v>
      </c>
      <c r="L1716">
        <f t="shared" si="53"/>
        <v>6.4999999999999997E-3</v>
      </c>
    </row>
    <row r="1717" spans="1:12" x14ac:dyDescent="0.25">
      <c r="A1717" s="1">
        <v>1716</v>
      </c>
      <c r="B1717" s="2">
        <v>686003</v>
      </c>
      <c r="C1717" s="3">
        <v>1.2E-2</v>
      </c>
      <c r="D1717" s="1">
        <v>0.5</v>
      </c>
      <c r="E1717" s="4">
        <v>0.15</v>
      </c>
      <c r="F1717" s="4">
        <v>0.24</v>
      </c>
      <c r="G1717" s="4">
        <v>0.61</v>
      </c>
      <c r="H1717" s="17">
        <f t="shared" si="52"/>
        <v>8.2972566071332381E-7</v>
      </c>
      <c r="L1717">
        <f t="shared" si="53"/>
        <v>6.0000000000000001E-3</v>
      </c>
    </row>
    <row r="1718" spans="1:12" x14ac:dyDescent="0.25">
      <c r="A1718" s="1">
        <v>1717</v>
      </c>
      <c r="B1718" s="2">
        <v>772031</v>
      </c>
      <c r="C1718" s="3">
        <v>1.0999999999999999E-2</v>
      </c>
      <c r="D1718" s="1">
        <v>0.5</v>
      </c>
      <c r="E1718" s="4">
        <v>0.23</v>
      </c>
      <c r="F1718" s="4">
        <v>0.18</v>
      </c>
      <c r="G1718" s="4">
        <v>0.59000000000000008</v>
      </c>
      <c r="H1718" s="17">
        <f t="shared" si="52"/>
        <v>8.5596239462847939E-7</v>
      </c>
      <c r="L1718">
        <f t="shared" si="53"/>
        <v>5.4999999999999997E-3</v>
      </c>
    </row>
    <row r="1719" spans="1:12" x14ac:dyDescent="0.25">
      <c r="A1719" s="1">
        <v>1718</v>
      </c>
      <c r="B1719" s="2">
        <v>280191</v>
      </c>
      <c r="C1719" s="3">
        <v>7.0000000000000001E-3</v>
      </c>
      <c r="D1719" s="1">
        <v>0.5</v>
      </c>
      <c r="E1719" s="4">
        <v>0.17</v>
      </c>
      <c r="F1719" s="4">
        <v>0.32</v>
      </c>
      <c r="G1719" s="4">
        <v>0.5099999999999999</v>
      </c>
      <c r="H1719" s="17">
        <f t="shared" si="52"/>
        <v>1.9768762408309298E-7</v>
      </c>
      <c r="L1719">
        <f t="shared" si="53"/>
        <v>3.5000000000000001E-3</v>
      </c>
    </row>
    <row r="1720" spans="1:12" x14ac:dyDescent="0.25">
      <c r="A1720" s="1">
        <v>1719</v>
      </c>
      <c r="B1720" s="2">
        <v>550734</v>
      </c>
      <c r="C1720" s="3">
        <v>6.0000000000000001E-3</v>
      </c>
      <c r="D1720" s="1">
        <v>0.5</v>
      </c>
      <c r="E1720" s="4">
        <v>0.23</v>
      </c>
      <c r="F1720" s="4">
        <v>0.31</v>
      </c>
      <c r="G1720" s="4">
        <v>0.45999999999999996</v>
      </c>
      <c r="H1720" s="17">
        <f t="shared" si="52"/>
        <v>3.3305840647000935E-7</v>
      </c>
      <c r="L1720">
        <f t="shared" si="53"/>
        <v>3.0000000000000001E-3</v>
      </c>
    </row>
    <row r="1721" spans="1:12" x14ac:dyDescent="0.25">
      <c r="A1721" s="1">
        <v>1720</v>
      </c>
      <c r="B1721" s="2">
        <v>772809</v>
      </c>
      <c r="C1721" s="3">
        <v>8.9999999999999993E-3</v>
      </c>
      <c r="D1721" s="1">
        <v>0.5</v>
      </c>
      <c r="E1721" s="4">
        <v>0.23</v>
      </c>
      <c r="F1721" s="4">
        <v>0.15</v>
      </c>
      <c r="G1721" s="4">
        <v>0.62</v>
      </c>
      <c r="H1721" s="17">
        <f t="shared" si="52"/>
        <v>7.0103861586268902E-7</v>
      </c>
      <c r="L1721">
        <f t="shared" si="53"/>
        <v>4.4999999999999997E-3</v>
      </c>
    </row>
    <row r="1722" spans="1:12" x14ac:dyDescent="0.25">
      <c r="A1722" s="1">
        <v>1721</v>
      </c>
      <c r="B1722" s="2">
        <v>305643</v>
      </c>
      <c r="C1722" s="3">
        <v>7.0000000000000001E-3</v>
      </c>
      <c r="D1722" s="1">
        <v>0.5</v>
      </c>
      <c r="E1722" s="4">
        <v>0.23</v>
      </c>
      <c r="F1722" s="4">
        <v>0.24</v>
      </c>
      <c r="G1722" s="4">
        <v>0.53</v>
      </c>
      <c r="H1722" s="17">
        <f t="shared" si="52"/>
        <v>2.1564517949409079E-7</v>
      </c>
      <c r="L1722">
        <f t="shared" si="53"/>
        <v>3.5000000000000001E-3</v>
      </c>
    </row>
    <row r="1723" spans="1:12" x14ac:dyDescent="0.25">
      <c r="A1723" s="1">
        <v>1722</v>
      </c>
      <c r="B1723" s="2">
        <v>800777</v>
      </c>
      <c r="C1723" s="3">
        <v>7.0000000000000001E-3</v>
      </c>
      <c r="D1723" s="1">
        <v>0.5</v>
      </c>
      <c r="E1723" s="4">
        <v>0.24</v>
      </c>
      <c r="F1723" s="4">
        <v>0.25</v>
      </c>
      <c r="G1723" s="4">
        <v>0.51</v>
      </c>
      <c r="H1723" s="17">
        <f t="shared" si="52"/>
        <v>5.6498496579257347E-7</v>
      </c>
      <c r="L1723">
        <f t="shared" si="53"/>
        <v>3.5000000000000001E-3</v>
      </c>
    </row>
    <row r="1724" spans="1:12" x14ac:dyDescent="0.25">
      <c r="A1724" s="1">
        <v>1723</v>
      </c>
      <c r="B1724" s="2">
        <v>549637</v>
      </c>
      <c r="C1724" s="3">
        <v>1.4E-2</v>
      </c>
      <c r="D1724" s="1">
        <v>0.5</v>
      </c>
      <c r="E1724" s="4">
        <v>0.21</v>
      </c>
      <c r="F1724" s="4">
        <v>0.31</v>
      </c>
      <c r="G1724" s="4">
        <v>0.48</v>
      </c>
      <c r="H1724" s="17">
        <f t="shared" si="52"/>
        <v>7.7558831395839967E-7</v>
      </c>
      <c r="L1724">
        <f t="shared" si="53"/>
        <v>7.0000000000000001E-3</v>
      </c>
    </row>
    <row r="1725" spans="1:12" x14ac:dyDescent="0.25">
      <c r="A1725" s="1">
        <v>1724</v>
      </c>
      <c r="B1725" s="2">
        <v>577296</v>
      </c>
      <c r="C1725" s="3">
        <v>1.4999999999999999E-2</v>
      </c>
      <c r="D1725" s="1">
        <v>0.5</v>
      </c>
      <c r="E1725" s="4">
        <v>0.19</v>
      </c>
      <c r="F1725" s="4">
        <v>0.16</v>
      </c>
      <c r="G1725" s="4">
        <v>0.64999999999999991</v>
      </c>
      <c r="H1725" s="17">
        <f t="shared" si="52"/>
        <v>8.7280468348381672E-7</v>
      </c>
      <c r="L1725">
        <f t="shared" si="53"/>
        <v>7.4999999999999997E-3</v>
      </c>
    </row>
    <row r="1726" spans="1:12" x14ac:dyDescent="0.25">
      <c r="A1726" s="1">
        <v>1725</v>
      </c>
      <c r="B1726" s="2">
        <v>506088</v>
      </c>
      <c r="C1726" s="3">
        <v>7.0000000000000001E-3</v>
      </c>
      <c r="D1726" s="1">
        <v>0.5</v>
      </c>
      <c r="E1726" s="4">
        <v>0.21</v>
      </c>
      <c r="F1726" s="4">
        <v>0.16</v>
      </c>
      <c r="G1726" s="4">
        <v>0.63</v>
      </c>
      <c r="H1726" s="17">
        <f t="shared" si="52"/>
        <v>3.5706833658812865E-7</v>
      </c>
      <c r="L1726">
        <f t="shared" si="53"/>
        <v>3.5000000000000001E-3</v>
      </c>
    </row>
    <row r="1727" spans="1:12" x14ac:dyDescent="0.25">
      <c r="A1727" s="1">
        <v>1726</v>
      </c>
      <c r="B1727" s="2">
        <v>686186</v>
      </c>
      <c r="C1727" s="3">
        <v>7.0000000000000001E-3</v>
      </c>
      <c r="D1727" s="1">
        <v>0.5</v>
      </c>
      <c r="E1727" s="4">
        <v>0.25</v>
      </c>
      <c r="F1727" s="4">
        <v>0.16</v>
      </c>
      <c r="G1727" s="4">
        <v>0.59</v>
      </c>
      <c r="H1727" s="17">
        <f t="shared" si="52"/>
        <v>4.8413575032417606E-7</v>
      </c>
      <c r="L1727">
        <f t="shared" si="53"/>
        <v>3.5000000000000001E-3</v>
      </c>
    </row>
    <row r="1728" spans="1:12" x14ac:dyDescent="0.25">
      <c r="A1728" s="1">
        <v>1727</v>
      </c>
      <c r="B1728" s="2">
        <v>801362</v>
      </c>
      <c r="C1728" s="3">
        <v>5.0000000000000001E-3</v>
      </c>
      <c r="D1728" s="1">
        <v>0.5</v>
      </c>
      <c r="E1728" s="4">
        <v>0.21</v>
      </c>
      <c r="F1728" s="4">
        <v>0.25</v>
      </c>
      <c r="G1728" s="4">
        <v>0.54</v>
      </c>
      <c r="H1728" s="17">
        <f t="shared" si="52"/>
        <v>4.0385550726487988E-7</v>
      </c>
      <c r="L1728">
        <f t="shared" si="53"/>
        <v>2.5000000000000001E-3</v>
      </c>
    </row>
    <row r="1729" spans="1:12" x14ac:dyDescent="0.25">
      <c r="A1729" s="1">
        <v>1728</v>
      </c>
      <c r="B1729" s="2">
        <v>391344</v>
      </c>
      <c r="C1729" s="3">
        <v>1.4999999999999999E-2</v>
      </c>
      <c r="D1729" s="1">
        <v>0.5</v>
      </c>
      <c r="E1729" s="4">
        <v>0.19</v>
      </c>
      <c r="F1729" s="4">
        <v>0.33</v>
      </c>
      <c r="G1729" s="4">
        <v>0.47999999999999993</v>
      </c>
      <c r="H1729" s="17">
        <f t="shared" si="52"/>
        <v>5.9166679840721356E-7</v>
      </c>
      <c r="L1729">
        <f t="shared" si="53"/>
        <v>7.4999999999999997E-3</v>
      </c>
    </row>
    <row r="1730" spans="1:12" x14ac:dyDescent="0.25">
      <c r="A1730" s="1">
        <v>1729</v>
      </c>
      <c r="B1730" s="2">
        <v>227695</v>
      </c>
      <c r="C1730" s="3">
        <v>8.0000000000000002E-3</v>
      </c>
      <c r="D1730" s="1">
        <v>0.5</v>
      </c>
      <c r="E1730" s="4">
        <v>0.18</v>
      </c>
      <c r="F1730" s="4">
        <v>0.33</v>
      </c>
      <c r="G1730" s="4">
        <v>0.48999999999999994</v>
      </c>
      <c r="H1730" s="17">
        <f t="shared" si="52"/>
        <v>1.835991818462604E-7</v>
      </c>
      <c r="L1730">
        <f t="shared" si="53"/>
        <v>4.0000000000000001E-3</v>
      </c>
    </row>
    <row r="1731" spans="1:12" x14ac:dyDescent="0.25">
      <c r="A1731" s="1">
        <v>1730</v>
      </c>
      <c r="B1731" s="2">
        <v>344865</v>
      </c>
      <c r="C1731" s="3">
        <v>8.0000000000000002E-3</v>
      </c>
      <c r="D1731" s="1">
        <v>0.5</v>
      </c>
      <c r="E1731" s="4">
        <v>0.2</v>
      </c>
      <c r="F1731" s="4">
        <v>0.21</v>
      </c>
      <c r="G1731" s="4">
        <v>0.59000000000000008</v>
      </c>
      <c r="H1731" s="17">
        <f t="shared" ref="H1731:H1794" si="54">B1731*C1731*D1731/SUM($B$2:$B$1797)</f>
        <v>2.7807783151764685E-7</v>
      </c>
      <c r="L1731">
        <f t="shared" ref="L1731:L1794" si="55">C1731*D1731</f>
        <v>4.0000000000000001E-3</v>
      </c>
    </row>
    <row r="1732" spans="1:12" x14ac:dyDescent="0.25">
      <c r="A1732" s="1">
        <v>1731</v>
      </c>
      <c r="B1732" s="2">
        <v>355580</v>
      </c>
      <c r="C1732" s="3">
        <v>5.0000000000000001E-3</v>
      </c>
      <c r="D1732" s="1">
        <v>0.5</v>
      </c>
      <c r="E1732" s="4">
        <v>0.21</v>
      </c>
      <c r="F1732" s="4">
        <v>0.18</v>
      </c>
      <c r="G1732" s="4">
        <v>0.6100000000000001</v>
      </c>
      <c r="H1732" s="17">
        <f t="shared" si="54"/>
        <v>1.7919859099039635E-7</v>
      </c>
      <c r="L1732">
        <f t="shared" si="55"/>
        <v>2.5000000000000001E-3</v>
      </c>
    </row>
    <row r="1733" spans="1:12" x14ac:dyDescent="0.25">
      <c r="A1733" s="1">
        <v>1732</v>
      </c>
      <c r="B1733" s="2">
        <v>573157</v>
      </c>
      <c r="C1733" s="3">
        <v>8.0000000000000002E-3</v>
      </c>
      <c r="D1733" s="1">
        <v>0.5</v>
      </c>
      <c r="E1733" s="4">
        <v>0.18</v>
      </c>
      <c r="F1733" s="4">
        <v>0.21</v>
      </c>
      <c r="G1733" s="4">
        <v>0.6100000000000001</v>
      </c>
      <c r="H1733" s="17">
        <f t="shared" si="54"/>
        <v>4.6215839728345848E-7</v>
      </c>
      <c r="L1733">
        <f t="shared" si="55"/>
        <v>4.0000000000000001E-3</v>
      </c>
    </row>
    <row r="1734" spans="1:12" x14ac:dyDescent="0.25">
      <c r="A1734" s="1">
        <v>1733</v>
      </c>
      <c r="B1734" s="2">
        <v>919310</v>
      </c>
      <c r="C1734" s="3">
        <v>8.9999999999999993E-3</v>
      </c>
      <c r="D1734" s="1">
        <v>0.5</v>
      </c>
      <c r="E1734" s="4">
        <v>0.24</v>
      </c>
      <c r="F1734" s="4">
        <v>0.33</v>
      </c>
      <c r="G1734" s="4">
        <v>0.42999999999999994</v>
      </c>
      <c r="H1734" s="17">
        <f t="shared" si="54"/>
        <v>8.3393414148739032E-7</v>
      </c>
      <c r="L1734">
        <f t="shared" si="55"/>
        <v>4.4999999999999997E-3</v>
      </c>
    </row>
    <row r="1735" spans="1:12" x14ac:dyDescent="0.25">
      <c r="A1735" s="1">
        <v>1734</v>
      </c>
      <c r="B1735" s="2">
        <v>858936</v>
      </c>
      <c r="C1735" s="3">
        <v>1.2E-2</v>
      </c>
      <c r="D1735" s="1">
        <v>0.5</v>
      </c>
      <c r="E1735" s="4">
        <v>0.24</v>
      </c>
      <c r="F1735" s="4">
        <v>0.18</v>
      </c>
      <c r="G1735" s="4">
        <v>0.58000000000000007</v>
      </c>
      <c r="H1735" s="17">
        <f t="shared" si="54"/>
        <v>1.0388893927730046E-6</v>
      </c>
      <c r="L1735">
        <f t="shared" si="55"/>
        <v>6.0000000000000001E-3</v>
      </c>
    </row>
    <row r="1736" spans="1:12" x14ac:dyDescent="0.25">
      <c r="A1736" s="1">
        <v>1735</v>
      </c>
      <c r="B1736" s="2">
        <v>365051</v>
      </c>
      <c r="C1736" s="3">
        <v>1.4999999999999999E-2</v>
      </c>
      <c r="D1736" s="1">
        <v>0.5</v>
      </c>
      <c r="E1736" s="4">
        <v>0.17</v>
      </c>
      <c r="F1736" s="4">
        <v>0.33</v>
      </c>
      <c r="G1736" s="4">
        <v>0.49999999999999989</v>
      </c>
      <c r="H1736" s="17">
        <f t="shared" si="54"/>
        <v>5.5191482794000091E-7</v>
      </c>
      <c r="L1736">
        <f t="shared" si="55"/>
        <v>7.4999999999999997E-3</v>
      </c>
    </row>
    <row r="1737" spans="1:12" x14ac:dyDescent="0.25">
      <c r="A1737" s="1">
        <v>1736</v>
      </c>
      <c r="B1737" s="2">
        <v>564093</v>
      </c>
      <c r="C1737" s="3">
        <v>1.4999999999999999E-2</v>
      </c>
      <c r="D1737" s="1">
        <v>0.5</v>
      </c>
      <c r="E1737" s="4">
        <v>0.22</v>
      </c>
      <c r="F1737" s="4">
        <v>0.19</v>
      </c>
      <c r="G1737" s="4">
        <v>0.59000000000000008</v>
      </c>
      <c r="H1737" s="17">
        <f t="shared" si="54"/>
        <v>8.5284327679463684E-7</v>
      </c>
      <c r="L1737">
        <f t="shared" si="55"/>
        <v>7.4999999999999997E-3</v>
      </c>
    </row>
    <row r="1738" spans="1:12" x14ac:dyDescent="0.25">
      <c r="A1738" s="1">
        <v>1737</v>
      </c>
      <c r="B1738" s="2">
        <v>319876</v>
      </c>
      <c r="C1738" s="3">
        <v>1.2999999999999999E-2</v>
      </c>
      <c r="D1738" s="1">
        <v>0.5</v>
      </c>
      <c r="E1738" s="4">
        <v>0.25</v>
      </c>
      <c r="F1738" s="4">
        <v>0.34</v>
      </c>
      <c r="G1738" s="4">
        <v>0.40999999999999992</v>
      </c>
      <c r="H1738" s="17">
        <f t="shared" si="54"/>
        <v>4.1913339917395369E-7</v>
      </c>
      <c r="L1738">
        <f t="shared" si="55"/>
        <v>6.4999999999999997E-3</v>
      </c>
    </row>
    <row r="1739" spans="1:12" x14ac:dyDescent="0.25">
      <c r="A1739" s="1">
        <v>1738</v>
      </c>
      <c r="B1739" s="2">
        <v>237031</v>
      </c>
      <c r="C1739" s="3">
        <v>1.2999999999999999E-2</v>
      </c>
      <c r="D1739" s="1">
        <v>0.5</v>
      </c>
      <c r="E1739" s="4">
        <v>0.24</v>
      </c>
      <c r="F1739" s="4">
        <v>0.28999999999999998</v>
      </c>
      <c r="G1739" s="4">
        <v>0.47</v>
      </c>
      <c r="H1739" s="17">
        <f t="shared" si="54"/>
        <v>3.1058162769198504E-7</v>
      </c>
      <c r="L1739">
        <f t="shared" si="55"/>
        <v>6.4999999999999997E-3</v>
      </c>
    </row>
    <row r="1740" spans="1:12" x14ac:dyDescent="0.25">
      <c r="A1740" s="1">
        <v>1739</v>
      </c>
      <c r="B1740" s="2">
        <v>594415</v>
      </c>
      <c r="C1740" s="3">
        <v>1.2E-2</v>
      </c>
      <c r="D1740" s="1">
        <v>0.5</v>
      </c>
      <c r="E1740" s="4">
        <v>0.17</v>
      </c>
      <c r="F1740" s="4">
        <v>0.3</v>
      </c>
      <c r="G1740" s="4">
        <v>0.52999999999999992</v>
      </c>
      <c r="H1740" s="17">
        <f t="shared" si="54"/>
        <v>7.189493028644341E-7</v>
      </c>
      <c r="L1740">
        <f t="shared" si="55"/>
        <v>6.0000000000000001E-3</v>
      </c>
    </row>
    <row r="1741" spans="1:12" x14ac:dyDescent="0.25">
      <c r="A1741" s="1">
        <v>1740</v>
      </c>
      <c r="B1741" s="2">
        <v>377390</v>
      </c>
      <c r="C1741" s="3">
        <v>7.0000000000000001E-3</v>
      </c>
      <c r="D1741" s="1">
        <v>0.5</v>
      </c>
      <c r="E1741" s="4">
        <v>0.15</v>
      </c>
      <c r="F1741" s="4">
        <v>0.22</v>
      </c>
      <c r="G1741" s="4">
        <v>0.63</v>
      </c>
      <c r="H1741" s="17">
        <f t="shared" si="54"/>
        <v>2.6626598446316424E-7</v>
      </c>
      <c r="L1741">
        <f t="shared" si="55"/>
        <v>3.5000000000000001E-3</v>
      </c>
    </row>
    <row r="1742" spans="1:12" x14ac:dyDescent="0.25">
      <c r="A1742" s="1">
        <v>1741</v>
      </c>
      <c r="B1742" s="2">
        <v>565336</v>
      </c>
      <c r="C1742" s="3">
        <v>8.0000000000000002E-3</v>
      </c>
      <c r="D1742" s="1">
        <v>0.5</v>
      </c>
      <c r="E1742" s="4">
        <v>0.22</v>
      </c>
      <c r="F1742" s="4">
        <v>0.16</v>
      </c>
      <c r="G1742" s="4">
        <v>0.62</v>
      </c>
      <c r="H1742" s="17">
        <f t="shared" si="54"/>
        <v>4.5585202603587024E-7</v>
      </c>
      <c r="L1742">
        <f t="shared" si="55"/>
        <v>4.0000000000000001E-3</v>
      </c>
    </row>
    <row r="1743" spans="1:12" x14ac:dyDescent="0.25">
      <c r="A1743" s="1">
        <v>1742</v>
      </c>
      <c r="B1743" s="2">
        <v>562442</v>
      </c>
      <c r="C1743" s="3">
        <v>5.0000000000000001E-3</v>
      </c>
      <c r="D1743" s="1">
        <v>0.5</v>
      </c>
      <c r="E1743" s="4">
        <v>0.25</v>
      </c>
      <c r="F1743" s="4">
        <v>0.16</v>
      </c>
      <c r="G1743" s="4">
        <v>0.59</v>
      </c>
      <c r="H1743" s="17">
        <f t="shared" si="54"/>
        <v>2.8344905201029448E-7</v>
      </c>
      <c r="L1743">
        <f t="shared" si="55"/>
        <v>2.5000000000000001E-3</v>
      </c>
    </row>
    <row r="1744" spans="1:12" x14ac:dyDescent="0.25">
      <c r="A1744" s="1">
        <v>1743</v>
      </c>
      <c r="B1744" s="2">
        <v>677052</v>
      </c>
      <c r="C1744" s="3">
        <v>8.9999999999999993E-3</v>
      </c>
      <c r="D1744" s="1">
        <v>0.5</v>
      </c>
      <c r="E1744" s="4">
        <v>0.19</v>
      </c>
      <c r="F1744" s="4">
        <v>0.24</v>
      </c>
      <c r="G1744" s="4">
        <v>0.57000000000000006</v>
      </c>
      <c r="H1744" s="17">
        <f t="shared" si="54"/>
        <v>6.1417452041457253E-7</v>
      </c>
      <c r="L1744">
        <f t="shared" si="55"/>
        <v>4.4999999999999997E-3</v>
      </c>
    </row>
    <row r="1745" spans="1:12" x14ac:dyDescent="0.25">
      <c r="A1745" s="1">
        <v>1744</v>
      </c>
      <c r="B1745" s="2">
        <v>854188</v>
      </c>
      <c r="C1745" s="3">
        <v>5.0000000000000001E-3</v>
      </c>
      <c r="D1745" s="1">
        <v>0.5</v>
      </c>
      <c r="E1745" s="4">
        <v>0.23</v>
      </c>
      <c r="F1745" s="4">
        <v>0.25</v>
      </c>
      <c r="G1745" s="4">
        <v>0.52</v>
      </c>
      <c r="H1745" s="17">
        <f t="shared" si="54"/>
        <v>4.3047777164324396E-7</v>
      </c>
      <c r="L1745">
        <f t="shared" si="55"/>
        <v>2.5000000000000001E-3</v>
      </c>
    </row>
    <row r="1746" spans="1:12" x14ac:dyDescent="0.25">
      <c r="A1746" s="1">
        <v>1745</v>
      </c>
      <c r="B1746" s="2">
        <v>581283</v>
      </c>
      <c r="C1746" s="3">
        <v>8.0000000000000002E-3</v>
      </c>
      <c r="D1746" s="1">
        <v>0.5</v>
      </c>
      <c r="E1746" s="4">
        <v>0.25</v>
      </c>
      <c r="F1746" s="4">
        <v>0.31</v>
      </c>
      <c r="G1746" s="4">
        <v>0.43999999999999995</v>
      </c>
      <c r="H1746" s="17">
        <f t="shared" si="54"/>
        <v>4.6871070168927642E-7</v>
      </c>
      <c r="L1746">
        <f t="shared" si="55"/>
        <v>4.0000000000000001E-3</v>
      </c>
    </row>
    <row r="1747" spans="1:12" x14ac:dyDescent="0.25">
      <c r="A1747" s="1">
        <v>1746</v>
      </c>
      <c r="B1747" s="2">
        <v>577408</v>
      </c>
      <c r="C1747" s="3">
        <v>7.0000000000000001E-3</v>
      </c>
      <c r="D1747" s="1">
        <v>0.5</v>
      </c>
      <c r="E1747" s="4">
        <v>0.25</v>
      </c>
      <c r="F1747" s="4">
        <v>0.25</v>
      </c>
      <c r="G1747" s="4">
        <v>0.5</v>
      </c>
      <c r="H1747" s="17">
        <f t="shared" si="54"/>
        <v>4.073878734383708E-7</v>
      </c>
      <c r="L1747">
        <f t="shared" si="55"/>
        <v>3.5000000000000001E-3</v>
      </c>
    </row>
    <row r="1748" spans="1:12" x14ac:dyDescent="0.25">
      <c r="A1748" s="1">
        <v>1747</v>
      </c>
      <c r="B1748" s="2">
        <v>237995</v>
      </c>
      <c r="C1748" s="3">
        <v>6.0000000000000001E-3</v>
      </c>
      <c r="D1748" s="1">
        <v>0.5</v>
      </c>
      <c r="E1748" s="4">
        <v>0.21</v>
      </c>
      <c r="F1748" s="4">
        <v>0.35</v>
      </c>
      <c r="G1748" s="4">
        <v>0.44000000000000006</v>
      </c>
      <c r="H1748" s="17">
        <f t="shared" si="54"/>
        <v>1.4392834916280795E-7</v>
      </c>
      <c r="L1748">
        <f t="shared" si="55"/>
        <v>3.0000000000000001E-3</v>
      </c>
    </row>
    <row r="1749" spans="1:12" x14ac:dyDescent="0.25">
      <c r="A1749" s="1">
        <v>1748</v>
      </c>
      <c r="B1749" s="2">
        <v>627658</v>
      </c>
      <c r="C1749" s="3">
        <v>1.4999999999999999E-2</v>
      </c>
      <c r="D1749" s="1">
        <v>0.5</v>
      </c>
      <c r="E1749" s="4">
        <v>0.22</v>
      </c>
      <c r="F1749" s="4">
        <v>0.3</v>
      </c>
      <c r="G1749" s="4">
        <v>0.48</v>
      </c>
      <c r="H1749" s="17">
        <f t="shared" si="54"/>
        <v>9.4894619402539658E-7</v>
      </c>
      <c r="L1749">
        <f t="shared" si="55"/>
        <v>7.4999999999999997E-3</v>
      </c>
    </row>
    <row r="1750" spans="1:12" x14ac:dyDescent="0.25">
      <c r="A1750" s="1">
        <v>1749</v>
      </c>
      <c r="B1750" s="2">
        <v>434098</v>
      </c>
      <c r="C1750" s="3">
        <v>0.01</v>
      </c>
      <c r="D1750" s="1">
        <v>0.5</v>
      </c>
      <c r="E1750" s="4">
        <v>0.18</v>
      </c>
      <c r="F1750" s="4">
        <v>0.16</v>
      </c>
      <c r="G1750" s="4">
        <v>0.65999999999999992</v>
      </c>
      <c r="H1750" s="17">
        <f t="shared" si="54"/>
        <v>4.3753726279177168E-7</v>
      </c>
      <c r="L1750">
        <f t="shared" si="55"/>
        <v>5.0000000000000001E-3</v>
      </c>
    </row>
    <row r="1751" spans="1:12" x14ac:dyDescent="0.25">
      <c r="A1751" s="1">
        <v>1750</v>
      </c>
      <c r="B1751" s="2">
        <v>221943</v>
      </c>
      <c r="C1751" s="3">
        <v>7.0000000000000001E-3</v>
      </c>
      <c r="D1751" s="1">
        <v>0.5</v>
      </c>
      <c r="E1751" s="4">
        <v>0.22</v>
      </c>
      <c r="F1751" s="4">
        <v>0.22</v>
      </c>
      <c r="G1751" s="4">
        <v>0.56000000000000005</v>
      </c>
      <c r="H1751" s="17">
        <f t="shared" si="54"/>
        <v>1.5659098383557611E-7</v>
      </c>
      <c r="L1751">
        <f t="shared" si="55"/>
        <v>3.5000000000000001E-3</v>
      </c>
    </row>
    <row r="1752" spans="1:12" x14ac:dyDescent="0.25">
      <c r="A1752" s="1">
        <v>1751</v>
      </c>
      <c r="B1752" s="2">
        <v>998952</v>
      </c>
      <c r="C1752" s="3">
        <v>5.0000000000000001E-3</v>
      </c>
      <c r="D1752" s="1">
        <v>0.5</v>
      </c>
      <c r="E1752" s="4">
        <v>0.22</v>
      </c>
      <c r="F1752" s="4">
        <v>0.15</v>
      </c>
      <c r="G1752" s="4">
        <v>0.63</v>
      </c>
      <c r="H1752" s="17">
        <f t="shared" si="54"/>
        <v>5.034332382784139E-7</v>
      </c>
      <c r="L1752">
        <f t="shared" si="55"/>
        <v>2.5000000000000001E-3</v>
      </c>
    </row>
    <row r="1753" spans="1:12" x14ac:dyDescent="0.25">
      <c r="A1753" s="1">
        <v>1752</v>
      </c>
      <c r="B1753" s="2">
        <v>402818</v>
      </c>
      <c r="C1753" s="3">
        <v>1.4999999999999999E-2</v>
      </c>
      <c r="D1753" s="1">
        <v>0.5</v>
      </c>
      <c r="E1753" s="4">
        <v>0.16</v>
      </c>
      <c r="F1753" s="4">
        <v>0.23</v>
      </c>
      <c r="G1753" s="4">
        <v>0.61</v>
      </c>
      <c r="H1753" s="17">
        <f t="shared" si="54"/>
        <v>6.0901415736742343E-7</v>
      </c>
      <c r="L1753">
        <f t="shared" si="55"/>
        <v>7.4999999999999997E-3</v>
      </c>
    </row>
    <row r="1754" spans="1:12" x14ac:dyDescent="0.25">
      <c r="A1754" s="1">
        <v>1753</v>
      </c>
      <c r="B1754" s="2">
        <v>263728</v>
      </c>
      <c r="C1754" s="3">
        <v>1.4E-2</v>
      </c>
      <c r="D1754" s="1">
        <v>0.5</v>
      </c>
      <c r="E1754" s="4">
        <v>0.2</v>
      </c>
      <c r="F1754" s="4">
        <v>0.21</v>
      </c>
      <c r="G1754" s="4">
        <v>0.59000000000000008</v>
      </c>
      <c r="H1754" s="17">
        <f t="shared" si="54"/>
        <v>3.7214444235672053E-7</v>
      </c>
      <c r="L1754">
        <f t="shared" si="55"/>
        <v>7.0000000000000001E-3</v>
      </c>
    </row>
    <row r="1755" spans="1:12" x14ac:dyDescent="0.25">
      <c r="A1755" s="1">
        <v>1754</v>
      </c>
      <c r="B1755" s="2">
        <v>667245</v>
      </c>
      <c r="C1755" s="3">
        <v>7.0000000000000001E-3</v>
      </c>
      <c r="D1755" s="1">
        <v>0.5</v>
      </c>
      <c r="E1755" s="4">
        <v>0.25</v>
      </c>
      <c r="F1755" s="4">
        <v>0.28999999999999998</v>
      </c>
      <c r="G1755" s="4">
        <v>0.45999999999999996</v>
      </c>
      <c r="H1755" s="17">
        <f t="shared" si="54"/>
        <v>4.7077200456589746E-7</v>
      </c>
      <c r="L1755">
        <f t="shared" si="55"/>
        <v>3.5000000000000001E-3</v>
      </c>
    </row>
    <row r="1756" spans="1:12" x14ac:dyDescent="0.25">
      <c r="A1756" s="1">
        <v>1755</v>
      </c>
      <c r="B1756" s="2">
        <v>791656</v>
      </c>
      <c r="C1756" s="3">
        <v>1.2999999999999999E-2</v>
      </c>
      <c r="D1756" s="1">
        <v>0.5</v>
      </c>
      <c r="E1756" s="4">
        <v>0.25</v>
      </c>
      <c r="F1756" s="4">
        <v>0.22</v>
      </c>
      <c r="G1756" s="4">
        <v>0.53</v>
      </c>
      <c r="H1756" s="17">
        <f t="shared" si="54"/>
        <v>1.0373065508398739E-6</v>
      </c>
      <c r="L1756">
        <f t="shared" si="55"/>
        <v>6.4999999999999997E-3</v>
      </c>
    </row>
    <row r="1757" spans="1:12" x14ac:dyDescent="0.25">
      <c r="A1757" s="1">
        <v>1756</v>
      </c>
      <c r="B1757" s="2">
        <v>429691</v>
      </c>
      <c r="C1757" s="3">
        <v>5.0000000000000001E-3</v>
      </c>
      <c r="D1757" s="1">
        <v>0.5</v>
      </c>
      <c r="E1757" s="4">
        <v>0.2</v>
      </c>
      <c r="F1757" s="4">
        <v>0.34</v>
      </c>
      <c r="G1757" s="4">
        <v>0.45999999999999991</v>
      </c>
      <c r="H1757" s="17">
        <f t="shared" si="54"/>
        <v>2.1654767355097137E-7</v>
      </c>
      <c r="L1757">
        <f t="shared" si="55"/>
        <v>2.5000000000000001E-3</v>
      </c>
    </row>
    <row r="1758" spans="1:12" x14ac:dyDescent="0.25">
      <c r="A1758" s="1">
        <v>1757</v>
      </c>
      <c r="B1758" s="2">
        <v>826901</v>
      </c>
      <c r="C1758" s="3">
        <v>7.0000000000000001E-3</v>
      </c>
      <c r="D1758" s="1">
        <v>0.5</v>
      </c>
      <c r="E1758" s="4">
        <v>0.16</v>
      </c>
      <c r="F1758" s="4">
        <v>0.18</v>
      </c>
      <c r="G1758" s="4">
        <v>0.66</v>
      </c>
      <c r="H1758" s="17">
        <f t="shared" si="54"/>
        <v>5.834166480791091E-7</v>
      </c>
      <c r="L1758">
        <f t="shared" si="55"/>
        <v>3.5000000000000001E-3</v>
      </c>
    </row>
    <row r="1759" spans="1:12" x14ac:dyDescent="0.25">
      <c r="A1759" s="1">
        <v>1758</v>
      </c>
      <c r="B1759" s="2">
        <v>354411</v>
      </c>
      <c r="C1759" s="3">
        <v>8.0000000000000002E-3</v>
      </c>
      <c r="D1759" s="1">
        <v>0.5</v>
      </c>
      <c r="E1759" s="4">
        <v>0.17</v>
      </c>
      <c r="F1759" s="4">
        <v>0.21</v>
      </c>
      <c r="G1759" s="4">
        <v>0.62</v>
      </c>
      <c r="H1759" s="17">
        <f t="shared" si="54"/>
        <v>2.8577513620112431E-7</v>
      </c>
      <c r="L1759">
        <f t="shared" si="55"/>
        <v>4.0000000000000001E-3</v>
      </c>
    </row>
    <row r="1760" spans="1:12" x14ac:dyDescent="0.25">
      <c r="A1760" s="1">
        <v>1759</v>
      </c>
      <c r="B1760" s="2">
        <v>984285</v>
      </c>
      <c r="C1760" s="3">
        <v>0.01</v>
      </c>
      <c r="D1760" s="1">
        <v>0.5</v>
      </c>
      <c r="E1760" s="4">
        <v>0.24</v>
      </c>
      <c r="F1760" s="4">
        <v>0.27</v>
      </c>
      <c r="G1760" s="4">
        <v>0.49</v>
      </c>
      <c r="H1760" s="17">
        <f t="shared" si="54"/>
        <v>9.9208327314799634E-7</v>
      </c>
      <c r="L1760">
        <f t="shared" si="55"/>
        <v>5.0000000000000001E-3</v>
      </c>
    </row>
    <row r="1761" spans="1:12" x14ac:dyDescent="0.25">
      <c r="A1761" s="1">
        <v>1760</v>
      </c>
      <c r="B1761" s="2">
        <v>259958</v>
      </c>
      <c r="C1761" s="3">
        <v>1.0999999999999999E-2</v>
      </c>
      <c r="D1761" s="1">
        <v>0.5</v>
      </c>
      <c r="E1761" s="4">
        <v>0.2</v>
      </c>
      <c r="F1761" s="4">
        <v>0.31</v>
      </c>
      <c r="G1761" s="4">
        <v>0.48999999999999994</v>
      </c>
      <c r="H1761" s="17">
        <f t="shared" si="54"/>
        <v>2.8821934894172677E-7</v>
      </c>
      <c r="L1761">
        <f t="shared" si="55"/>
        <v>5.4999999999999997E-3</v>
      </c>
    </row>
    <row r="1762" spans="1:12" x14ac:dyDescent="0.25">
      <c r="A1762" s="1">
        <v>1761</v>
      </c>
      <c r="B1762" s="2">
        <v>971714</v>
      </c>
      <c r="C1762" s="3">
        <v>1.4E-2</v>
      </c>
      <c r="D1762" s="1">
        <v>0.5</v>
      </c>
      <c r="E1762" s="4">
        <v>0.2</v>
      </c>
      <c r="F1762" s="4">
        <v>0.15</v>
      </c>
      <c r="G1762" s="4">
        <v>0.64999999999999991</v>
      </c>
      <c r="H1762" s="17">
        <f t="shared" si="54"/>
        <v>1.3711777462393769E-6</v>
      </c>
      <c r="L1762">
        <f t="shared" si="55"/>
        <v>7.0000000000000001E-3</v>
      </c>
    </row>
    <row r="1763" spans="1:12" x14ac:dyDescent="0.25">
      <c r="A1763" s="1">
        <v>1762</v>
      </c>
      <c r="B1763" s="2">
        <v>892783</v>
      </c>
      <c r="C1763" s="3">
        <v>8.9999999999999993E-3</v>
      </c>
      <c r="D1763" s="1">
        <v>0.5</v>
      </c>
      <c r="E1763" s="4">
        <v>0.19</v>
      </c>
      <c r="F1763" s="4">
        <v>0.21</v>
      </c>
      <c r="G1763" s="4">
        <v>0.60000000000000009</v>
      </c>
      <c r="H1763" s="17">
        <f t="shared" si="54"/>
        <v>8.0987069066967267E-7</v>
      </c>
      <c r="L1763">
        <f t="shared" si="55"/>
        <v>4.4999999999999997E-3</v>
      </c>
    </row>
    <row r="1764" spans="1:12" x14ac:dyDescent="0.25">
      <c r="A1764" s="1">
        <v>1763</v>
      </c>
      <c r="B1764" s="2">
        <v>672642</v>
      </c>
      <c r="C1764" s="3">
        <v>0.01</v>
      </c>
      <c r="D1764" s="1">
        <v>0.5</v>
      </c>
      <c r="E1764" s="4">
        <v>0.25</v>
      </c>
      <c r="F1764" s="4">
        <v>0.34</v>
      </c>
      <c r="G1764" s="4">
        <v>0.40999999999999992</v>
      </c>
      <c r="H1764" s="17">
        <f t="shared" si="54"/>
        <v>6.7797119433580168E-7</v>
      </c>
      <c r="L1764">
        <f t="shared" si="55"/>
        <v>5.0000000000000001E-3</v>
      </c>
    </row>
    <row r="1765" spans="1:12" x14ac:dyDescent="0.25">
      <c r="A1765" s="1">
        <v>1764</v>
      </c>
      <c r="B1765" s="2">
        <v>949352</v>
      </c>
      <c r="C1765" s="3">
        <v>0.01</v>
      </c>
      <c r="D1765" s="1">
        <v>0.5</v>
      </c>
      <c r="E1765" s="4">
        <v>0.21</v>
      </c>
      <c r="F1765" s="4">
        <v>0.24</v>
      </c>
      <c r="G1765" s="4">
        <v>0.55000000000000004</v>
      </c>
      <c r="H1765" s="17">
        <f t="shared" si="54"/>
        <v>9.5687350668718568E-7</v>
      </c>
      <c r="L1765">
        <f t="shared" si="55"/>
        <v>5.0000000000000001E-3</v>
      </c>
    </row>
    <row r="1766" spans="1:12" x14ac:dyDescent="0.25">
      <c r="A1766" s="1">
        <v>1765</v>
      </c>
      <c r="B1766" s="2">
        <v>432696</v>
      </c>
      <c r="C1766" s="3">
        <v>1.4999999999999999E-2</v>
      </c>
      <c r="D1766" s="1">
        <v>0.5</v>
      </c>
      <c r="E1766" s="4">
        <v>0.25</v>
      </c>
      <c r="F1766" s="4">
        <v>0.28000000000000003</v>
      </c>
      <c r="G1766" s="4">
        <v>0.47</v>
      </c>
      <c r="H1766" s="17">
        <f t="shared" si="54"/>
        <v>6.5418623258209571E-7</v>
      </c>
      <c r="L1766">
        <f t="shared" si="55"/>
        <v>7.4999999999999997E-3</v>
      </c>
    </row>
    <row r="1767" spans="1:12" x14ac:dyDescent="0.25">
      <c r="A1767" s="1">
        <v>1766</v>
      </c>
      <c r="B1767" s="2">
        <v>651292</v>
      </c>
      <c r="C1767" s="3">
        <v>1.4999999999999999E-2</v>
      </c>
      <c r="D1767" s="1">
        <v>0.5</v>
      </c>
      <c r="E1767" s="4">
        <v>0.23</v>
      </c>
      <c r="F1767" s="4">
        <v>0.26</v>
      </c>
      <c r="G1767" s="4">
        <v>0.51</v>
      </c>
      <c r="H1767" s="17">
        <f t="shared" si="54"/>
        <v>9.8467806448605558E-7</v>
      </c>
      <c r="L1767">
        <f t="shared" si="55"/>
        <v>7.4999999999999997E-3</v>
      </c>
    </row>
    <row r="1768" spans="1:12" x14ac:dyDescent="0.25">
      <c r="A1768" s="1">
        <v>1767</v>
      </c>
      <c r="B1768" s="2">
        <v>818262</v>
      </c>
      <c r="C1768" s="3">
        <v>7.0000000000000001E-3</v>
      </c>
      <c r="D1768" s="1">
        <v>0.5</v>
      </c>
      <c r="E1768" s="4">
        <v>0.2</v>
      </c>
      <c r="F1768" s="4">
        <v>0.23</v>
      </c>
      <c r="G1768" s="4">
        <v>0.57000000000000006</v>
      </c>
      <c r="H1768" s="17">
        <f t="shared" si="54"/>
        <v>5.7732143665385332E-7</v>
      </c>
      <c r="L1768">
        <f t="shared" si="55"/>
        <v>3.5000000000000001E-3</v>
      </c>
    </row>
    <row r="1769" spans="1:12" x14ac:dyDescent="0.25">
      <c r="A1769" s="1">
        <v>1768</v>
      </c>
      <c r="B1769" s="2">
        <v>460628</v>
      </c>
      <c r="C1769" s="3">
        <v>1.4E-2</v>
      </c>
      <c r="D1769" s="1">
        <v>0.5</v>
      </c>
      <c r="E1769" s="4">
        <v>0.16</v>
      </c>
      <c r="F1769" s="4">
        <v>0.19</v>
      </c>
      <c r="G1769" s="4">
        <v>0.65</v>
      </c>
      <c r="H1769" s="17">
        <f t="shared" si="54"/>
        <v>6.4998843578949326E-7</v>
      </c>
      <c r="L1769">
        <f t="shared" si="55"/>
        <v>7.0000000000000001E-3</v>
      </c>
    </row>
    <row r="1770" spans="1:12" x14ac:dyDescent="0.25">
      <c r="A1770" s="1">
        <v>1769</v>
      </c>
      <c r="B1770" s="2">
        <v>469452</v>
      </c>
      <c r="C1770" s="3">
        <v>6.0000000000000001E-3</v>
      </c>
      <c r="D1770" s="1">
        <v>0.5</v>
      </c>
      <c r="E1770" s="4">
        <v>0.2</v>
      </c>
      <c r="F1770" s="4">
        <v>0.24</v>
      </c>
      <c r="G1770" s="4">
        <v>0.56000000000000005</v>
      </c>
      <c r="H1770" s="17">
        <f t="shared" si="54"/>
        <v>2.8390281884568383E-7</v>
      </c>
      <c r="L1770">
        <f t="shared" si="55"/>
        <v>3.0000000000000001E-3</v>
      </c>
    </row>
    <row r="1771" spans="1:12" x14ac:dyDescent="0.25">
      <c r="A1771" s="1">
        <v>1770</v>
      </c>
      <c r="B1771" s="2">
        <v>516773</v>
      </c>
      <c r="C1771" s="3">
        <v>7.0000000000000001E-3</v>
      </c>
      <c r="D1771" s="1">
        <v>0.5</v>
      </c>
      <c r="E1771" s="4">
        <v>0.18</v>
      </c>
      <c r="F1771" s="4">
        <v>0.35</v>
      </c>
      <c r="G1771" s="4">
        <v>0.47000000000000003</v>
      </c>
      <c r="H1771" s="17">
        <f t="shared" si="54"/>
        <v>3.6460709501837038E-7</v>
      </c>
      <c r="L1771">
        <f t="shared" si="55"/>
        <v>3.5000000000000001E-3</v>
      </c>
    </row>
    <row r="1772" spans="1:12" x14ac:dyDescent="0.25">
      <c r="A1772" s="1">
        <v>1771</v>
      </c>
      <c r="B1772" s="2">
        <v>759135</v>
      </c>
      <c r="C1772" s="3">
        <v>5.0000000000000001E-3</v>
      </c>
      <c r="D1772" s="1">
        <v>0.5</v>
      </c>
      <c r="E1772" s="4">
        <v>0.17</v>
      </c>
      <c r="F1772" s="4">
        <v>0.17</v>
      </c>
      <c r="G1772" s="4">
        <v>0.65999999999999992</v>
      </c>
      <c r="H1772" s="17">
        <f t="shared" si="54"/>
        <v>3.8257472965716444E-7</v>
      </c>
      <c r="L1772">
        <f t="shared" si="55"/>
        <v>2.5000000000000001E-3</v>
      </c>
    </row>
    <row r="1773" spans="1:12" x14ac:dyDescent="0.25">
      <c r="A1773" s="1">
        <v>1772</v>
      </c>
      <c r="B1773" s="2">
        <v>429017</v>
      </c>
      <c r="C1773" s="3">
        <v>7.0000000000000001E-3</v>
      </c>
      <c r="D1773" s="1">
        <v>0.5</v>
      </c>
      <c r="E1773" s="4">
        <v>0.25</v>
      </c>
      <c r="F1773" s="4">
        <v>0.27</v>
      </c>
      <c r="G1773" s="4">
        <v>0.48</v>
      </c>
      <c r="H1773" s="17">
        <f t="shared" si="54"/>
        <v>3.0269120500393055E-7</v>
      </c>
      <c r="L1773">
        <f t="shared" si="55"/>
        <v>3.5000000000000001E-3</v>
      </c>
    </row>
    <row r="1774" spans="1:12" x14ac:dyDescent="0.25">
      <c r="A1774" s="1">
        <v>1773</v>
      </c>
      <c r="B1774" s="2">
        <v>717893</v>
      </c>
      <c r="C1774" s="3">
        <v>5.0000000000000001E-3</v>
      </c>
      <c r="D1774" s="1">
        <v>0.5</v>
      </c>
      <c r="E1774" s="4">
        <v>0.22</v>
      </c>
      <c r="F1774" s="4">
        <v>0.3</v>
      </c>
      <c r="G1774" s="4">
        <v>0.48</v>
      </c>
      <c r="H1774" s="17">
        <f t="shared" si="54"/>
        <v>3.6179035401841669E-7</v>
      </c>
      <c r="L1774">
        <f t="shared" si="55"/>
        <v>2.5000000000000001E-3</v>
      </c>
    </row>
    <row r="1775" spans="1:12" x14ac:dyDescent="0.25">
      <c r="A1775" s="1">
        <v>1774</v>
      </c>
      <c r="B1775" s="2">
        <v>583067</v>
      </c>
      <c r="C1775" s="3">
        <v>1.4E-2</v>
      </c>
      <c r="D1775" s="1">
        <v>0.5</v>
      </c>
      <c r="E1775" s="4">
        <v>0.2</v>
      </c>
      <c r="F1775" s="4">
        <v>0.31</v>
      </c>
      <c r="G1775" s="4">
        <v>0.48999999999999994</v>
      </c>
      <c r="H1775" s="17">
        <f t="shared" si="54"/>
        <v>8.2276111589063731E-7</v>
      </c>
      <c r="L1775">
        <f t="shared" si="55"/>
        <v>7.0000000000000001E-3</v>
      </c>
    </row>
    <row r="1776" spans="1:12" x14ac:dyDescent="0.25">
      <c r="A1776" s="1">
        <v>1775</v>
      </c>
      <c r="B1776" s="2">
        <v>676321</v>
      </c>
      <c r="C1776" s="3">
        <v>1.2999999999999999E-2</v>
      </c>
      <c r="D1776" s="1">
        <v>0.5</v>
      </c>
      <c r="E1776" s="4">
        <v>0.17</v>
      </c>
      <c r="F1776" s="4">
        <v>0.19</v>
      </c>
      <c r="G1776" s="4">
        <v>0.64</v>
      </c>
      <c r="H1776" s="17">
        <f t="shared" si="54"/>
        <v>8.8618314491467788E-7</v>
      </c>
      <c r="L1776">
        <f t="shared" si="55"/>
        <v>6.4999999999999997E-3</v>
      </c>
    </row>
    <row r="1777" spans="1:12" x14ac:dyDescent="0.25">
      <c r="A1777" s="1">
        <v>1776</v>
      </c>
      <c r="B1777" s="2">
        <v>521413</v>
      </c>
      <c r="C1777" s="3">
        <v>1.4999999999999999E-2</v>
      </c>
      <c r="D1777" s="1">
        <v>0.5</v>
      </c>
      <c r="E1777" s="4">
        <v>0.17</v>
      </c>
      <c r="F1777" s="4">
        <v>0.2</v>
      </c>
      <c r="G1777" s="4">
        <v>0.63</v>
      </c>
      <c r="H1777" s="17">
        <f t="shared" si="54"/>
        <v>7.883160604427318E-7</v>
      </c>
      <c r="L1777">
        <f t="shared" si="55"/>
        <v>7.4999999999999997E-3</v>
      </c>
    </row>
    <row r="1778" spans="1:12" x14ac:dyDescent="0.25">
      <c r="A1778" s="1">
        <v>1777</v>
      </c>
      <c r="B1778" s="2">
        <v>433485</v>
      </c>
      <c r="C1778" s="3">
        <v>1.2E-2</v>
      </c>
      <c r="D1778" s="1">
        <v>0.5</v>
      </c>
      <c r="E1778" s="4">
        <v>0.21</v>
      </c>
      <c r="F1778" s="4">
        <v>0.33</v>
      </c>
      <c r="G1778" s="4">
        <v>0.45999999999999996</v>
      </c>
      <c r="H1778" s="17">
        <f t="shared" si="54"/>
        <v>5.2430328735343018E-7</v>
      </c>
      <c r="L1778">
        <f t="shared" si="55"/>
        <v>6.0000000000000001E-3</v>
      </c>
    </row>
    <row r="1779" spans="1:12" x14ac:dyDescent="0.25">
      <c r="A1779" s="1">
        <v>1778</v>
      </c>
      <c r="B1779" s="2">
        <v>825347</v>
      </c>
      <c r="C1779" s="3">
        <v>1.2999999999999999E-2</v>
      </c>
      <c r="D1779" s="1">
        <v>0.5</v>
      </c>
      <c r="E1779" s="4">
        <v>0.15</v>
      </c>
      <c r="F1779" s="4">
        <v>0.18</v>
      </c>
      <c r="G1779" s="4">
        <v>0.67</v>
      </c>
      <c r="H1779" s="17">
        <f t="shared" si="54"/>
        <v>1.0814518551189371E-6</v>
      </c>
      <c r="L1779">
        <f t="shared" si="55"/>
        <v>6.4999999999999997E-3</v>
      </c>
    </row>
    <row r="1780" spans="1:12" x14ac:dyDescent="0.25">
      <c r="A1780" s="1">
        <v>1779</v>
      </c>
      <c r="B1780" s="2">
        <v>583421</v>
      </c>
      <c r="C1780" s="3">
        <v>1.4E-2</v>
      </c>
      <c r="D1780" s="1">
        <v>0.5</v>
      </c>
      <c r="E1780" s="4">
        <v>0.23</v>
      </c>
      <c r="F1780" s="4">
        <v>0.2</v>
      </c>
      <c r="G1780" s="4">
        <v>0.57000000000000006</v>
      </c>
      <c r="H1780" s="17">
        <f t="shared" si="54"/>
        <v>8.2326064242022181E-7</v>
      </c>
      <c r="L1780">
        <f t="shared" si="55"/>
        <v>7.0000000000000001E-3</v>
      </c>
    </row>
    <row r="1781" spans="1:12" x14ac:dyDescent="0.25">
      <c r="A1781" s="1">
        <v>1780</v>
      </c>
      <c r="B1781" s="2">
        <v>566356</v>
      </c>
      <c r="C1781" s="3">
        <v>1.2999999999999999E-2</v>
      </c>
      <c r="D1781" s="1">
        <v>0.5</v>
      </c>
      <c r="E1781" s="4">
        <v>0.16</v>
      </c>
      <c r="F1781" s="4">
        <v>0.16</v>
      </c>
      <c r="G1781" s="4">
        <v>0.67999999999999994</v>
      </c>
      <c r="H1781" s="17">
        <f t="shared" si="54"/>
        <v>7.4209604791407827E-7</v>
      </c>
      <c r="L1781">
        <f t="shared" si="55"/>
        <v>6.4999999999999997E-3</v>
      </c>
    </row>
    <row r="1782" spans="1:12" x14ac:dyDescent="0.25">
      <c r="A1782" s="1">
        <v>1781</v>
      </c>
      <c r="B1782" s="2">
        <v>599122</v>
      </c>
      <c r="C1782" s="3">
        <v>1.0999999999999999E-2</v>
      </c>
      <c r="D1782" s="1">
        <v>0.5</v>
      </c>
      <c r="E1782" s="4">
        <v>0.17</v>
      </c>
      <c r="F1782" s="4">
        <v>0.35</v>
      </c>
      <c r="G1782" s="4">
        <v>0.48</v>
      </c>
      <c r="H1782" s="17">
        <f t="shared" si="54"/>
        <v>6.6425558273515414E-7</v>
      </c>
      <c r="L1782">
        <f t="shared" si="55"/>
        <v>5.4999999999999997E-3</v>
      </c>
    </row>
    <row r="1783" spans="1:12" x14ac:dyDescent="0.25">
      <c r="A1783" s="1">
        <v>1782</v>
      </c>
      <c r="B1783" s="2">
        <v>536656</v>
      </c>
      <c r="C1783" s="3">
        <v>1.4999999999999999E-2</v>
      </c>
      <c r="D1783" s="1">
        <v>0.5</v>
      </c>
      <c r="E1783" s="4">
        <v>0.16</v>
      </c>
      <c r="F1783" s="4">
        <v>0.26</v>
      </c>
      <c r="G1783" s="4">
        <v>0.57999999999999996</v>
      </c>
      <c r="H1783" s="17">
        <f t="shared" si="54"/>
        <v>8.113617108375792E-7</v>
      </c>
      <c r="L1783">
        <f t="shared" si="55"/>
        <v>7.4999999999999997E-3</v>
      </c>
    </row>
    <row r="1784" spans="1:12" x14ac:dyDescent="0.25">
      <c r="A1784" s="1">
        <v>1783</v>
      </c>
      <c r="B1784" s="2">
        <v>417778</v>
      </c>
      <c r="C1784" s="3">
        <v>1.4E-2</v>
      </c>
      <c r="D1784" s="1">
        <v>0.5</v>
      </c>
      <c r="E1784" s="4">
        <v>0.18</v>
      </c>
      <c r="F1784" s="4">
        <v>0.26</v>
      </c>
      <c r="G1784" s="4">
        <v>0.56000000000000005</v>
      </c>
      <c r="H1784" s="17">
        <f t="shared" si="54"/>
        <v>5.895231482394967E-7</v>
      </c>
      <c r="L1784">
        <f t="shared" si="55"/>
        <v>7.0000000000000001E-3</v>
      </c>
    </row>
    <row r="1785" spans="1:12" x14ac:dyDescent="0.25">
      <c r="A1785" s="1">
        <v>1784</v>
      </c>
      <c r="B1785" s="2">
        <v>501036</v>
      </c>
      <c r="C1785" s="3">
        <v>7.0000000000000001E-3</v>
      </c>
      <c r="D1785" s="1">
        <v>0.5</v>
      </c>
      <c r="E1785" s="4">
        <v>0.23</v>
      </c>
      <c r="F1785" s="4">
        <v>0.22</v>
      </c>
      <c r="G1785" s="4">
        <v>0.55000000000000004</v>
      </c>
      <c r="H1785" s="17">
        <f t="shared" si="54"/>
        <v>3.5350391847024554E-7</v>
      </c>
      <c r="L1785">
        <f t="shared" si="55"/>
        <v>3.5000000000000001E-3</v>
      </c>
    </row>
    <row r="1786" spans="1:12" x14ac:dyDescent="0.25">
      <c r="A1786" s="1">
        <v>1785</v>
      </c>
      <c r="B1786" s="2">
        <v>565222</v>
      </c>
      <c r="C1786" s="3">
        <v>1.2999999999999999E-2</v>
      </c>
      <c r="D1786" s="1">
        <v>0.5</v>
      </c>
      <c r="E1786" s="4">
        <v>0.17</v>
      </c>
      <c r="F1786" s="4">
        <v>0.25</v>
      </c>
      <c r="G1786" s="4">
        <v>0.57999999999999996</v>
      </c>
      <c r="H1786" s="17">
        <f t="shared" si="54"/>
        <v>7.4061016815234797E-7</v>
      </c>
      <c r="L1786">
        <f t="shared" si="55"/>
        <v>6.4999999999999997E-3</v>
      </c>
    </row>
    <row r="1787" spans="1:12" x14ac:dyDescent="0.25">
      <c r="A1787" s="1">
        <v>1786</v>
      </c>
      <c r="B1787" s="2">
        <v>890052</v>
      </c>
      <c r="C1787" s="3">
        <v>8.0000000000000002E-3</v>
      </c>
      <c r="D1787" s="1">
        <v>0.5</v>
      </c>
      <c r="E1787" s="4">
        <v>0.18</v>
      </c>
      <c r="F1787" s="4">
        <v>0.28000000000000003</v>
      </c>
      <c r="G1787" s="4">
        <v>0.54</v>
      </c>
      <c r="H1787" s="17">
        <f t="shared" si="54"/>
        <v>7.1768294868410712E-7</v>
      </c>
      <c r="L1787">
        <f t="shared" si="55"/>
        <v>4.0000000000000001E-3</v>
      </c>
    </row>
    <row r="1788" spans="1:12" x14ac:dyDescent="0.25">
      <c r="A1788" s="1">
        <v>1787</v>
      </c>
      <c r="B1788" s="2">
        <v>987781</v>
      </c>
      <c r="C1788" s="3">
        <v>0.01</v>
      </c>
      <c r="D1788" s="1">
        <v>0.5</v>
      </c>
      <c r="E1788" s="4">
        <v>0.24</v>
      </c>
      <c r="F1788" s="4">
        <v>0.16</v>
      </c>
      <c r="G1788" s="4">
        <v>0.6</v>
      </c>
      <c r="H1788" s="17">
        <f t="shared" si="54"/>
        <v>9.9560697118558241E-7</v>
      </c>
      <c r="L1788">
        <f t="shared" si="55"/>
        <v>5.0000000000000001E-3</v>
      </c>
    </row>
    <row r="1789" spans="1:12" x14ac:dyDescent="0.25">
      <c r="A1789" s="1">
        <v>1788</v>
      </c>
      <c r="B1789" s="2">
        <v>425867</v>
      </c>
      <c r="C1789" s="3">
        <v>1.2999999999999999E-2</v>
      </c>
      <c r="D1789" s="1">
        <v>0.5</v>
      </c>
      <c r="E1789" s="4">
        <v>0.19</v>
      </c>
      <c r="F1789" s="4">
        <v>0.18</v>
      </c>
      <c r="G1789" s="4">
        <v>0.63000000000000012</v>
      </c>
      <c r="H1789" s="17">
        <f t="shared" si="54"/>
        <v>5.5801336551042945E-7</v>
      </c>
      <c r="L1789">
        <f t="shared" si="55"/>
        <v>6.4999999999999997E-3</v>
      </c>
    </row>
    <row r="1790" spans="1:12" x14ac:dyDescent="0.25">
      <c r="A1790" s="1">
        <v>1789</v>
      </c>
      <c r="B1790" s="2">
        <v>639964</v>
      </c>
      <c r="C1790" s="3">
        <v>0.01</v>
      </c>
      <c r="D1790" s="1">
        <v>0.5</v>
      </c>
      <c r="E1790" s="4">
        <v>0.15</v>
      </c>
      <c r="F1790" s="4">
        <v>0.2</v>
      </c>
      <c r="G1790" s="4">
        <v>0.65</v>
      </c>
      <c r="H1790" s="17">
        <f t="shared" si="54"/>
        <v>6.4503429374305654E-7</v>
      </c>
      <c r="L1790">
        <f t="shared" si="55"/>
        <v>5.0000000000000001E-3</v>
      </c>
    </row>
    <row r="1791" spans="1:12" x14ac:dyDescent="0.25">
      <c r="A1791" s="1">
        <v>1790</v>
      </c>
      <c r="B1791" s="2">
        <v>279150</v>
      </c>
      <c r="C1791" s="3">
        <v>6.0000000000000001E-3</v>
      </c>
      <c r="D1791" s="1">
        <v>0.5</v>
      </c>
      <c r="E1791" s="4">
        <v>0.24</v>
      </c>
      <c r="F1791" s="4">
        <v>0.23</v>
      </c>
      <c r="G1791" s="4">
        <v>0.53</v>
      </c>
      <c r="H1791" s="17">
        <f t="shared" si="54"/>
        <v>1.6881698636020859E-7</v>
      </c>
      <c r="L1791">
        <f t="shared" si="55"/>
        <v>3.0000000000000001E-3</v>
      </c>
    </row>
    <row r="1792" spans="1:12" x14ac:dyDescent="0.25">
      <c r="A1792" s="1">
        <v>1791</v>
      </c>
      <c r="B1792" s="2">
        <v>352011</v>
      </c>
      <c r="C1792" s="3">
        <v>5.0000000000000001E-3</v>
      </c>
      <c r="D1792" s="1">
        <v>0.5</v>
      </c>
      <c r="E1792" s="4">
        <v>0.21</v>
      </c>
      <c r="F1792" s="4">
        <v>0.31</v>
      </c>
      <c r="G1792" s="4">
        <v>0.48</v>
      </c>
      <c r="H1792" s="17">
        <f t="shared" si="54"/>
        <v>1.7739995279014682E-7</v>
      </c>
      <c r="L1792">
        <f t="shared" si="55"/>
        <v>2.5000000000000001E-3</v>
      </c>
    </row>
    <row r="1793" spans="1:12" x14ac:dyDescent="0.25">
      <c r="A1793" s="1">
        <v>1792</v>
      </c>
      <c r="B1793" s="2">
        <v>469936</v>
      </c>
      <c r="C1793" s="3">
        <v>0.01</v>
      </c>
      <c r="D1793" s="1">
        <v>0.5</v>
      </c>
      <c r="E1793" s="4">
        <v>0.21</v>
      </c>
      <c r="F1793" s="4">
        <v>0.35</v>
      </c>
      <c r="G1793" s="4">
        <v>0.44000000000000006</v>
      </c>
      <c r="H1793" s="17">
        <f t="shared" si="54"/>
        <v>4.7365919936814723E-7</v>
      </c>
      <c r="L1793">
        <f t="shared" si="55"/>
        <v>5.0000000000000001E-3</v>
      </c>
    </row>
    <row r="1794" spans="1:12" x14ac:dyDescent="0.25">
      <c r="A1794" s="1">
        <v>1793</v>
      </c>
      <c r="B1794" s="2">
        <v>219064</v>
      </c>
      <c r="C1794" s="3">
        <v>0.01</v>
      </c>
      <c r="D1794" s="1">
        <v>0.5</v>
      </c>
      <c r="E1794" s="4">
        <v>0.25</v>
      </c>
      <c r="F1794" s="4">
        <v>0.27</v>
      </c>
      <c r="G1794" s="4">
        <v>0.48</v>
      </c>
      <c r="H1794" s="17">
        <f t="shared" si="54"/>
        <v>2.2079959579684E-7</v>
      </c>
      <c r="L1794">
        <f t="shared" si="55"/>
        <v>5.0000000000000001E-3</v>
      </c>
    </row>
    <row r="1795" spans="1:12" x14ac:dyDescent="0.25">
      <c r="A1795" s="1">
        <v>1794</v>
      </c>
      <c r="B1795" s="2">
        <v>874344</v>
      </c>
      <c r="C1795" s="3">
        <v>1.0999999999999999E-2</v>
      </c>
      <c r="D1795" s="1">
        <v>0.5</v>
      </c>
      <c r="E1795" s="4">
        <v>0.19</v>
      </c>
      <c r="F1795" s="4">
        <v>0.17</v>
      </c>
      <c r="G1795" s="4">
        <v>0.6399999999999999</v>
      </c>
      <c r="H1795" s="17">
        <f t="shared" ref="H1795:H1797" si="56">B1795*C1795*D1795/SUM($B$2:$B$1797)</f>
        <v>9.693983583159784E-7</v>
      </c>
      <c r="L1795">
        <f t="shared" ref="L1795:L1797" si="57">C1795*D1795</f>
        <v>5.4999999999999997E-3</v>
      </c>
    </row>
    <row r="1796" spans="1:12" x14ac:dyDescent="0.25">
      <c r="A1796" s="1">
        <v>1795</v>
      </c>
      <c r="B1796" s="2">
        <v>212155</v>
      </c>
      <c r="C1796" s="3">
        <v>1.2E-2</v>
      </c>
      <c r="D1796" s="1">
        <v>0.5</v>
      </c>
      <c r="E1796" s="4">
        <v>0.22</v>
      </c>
      <c r="F1796" s="4">
        <v>0.35</v>
      </c>
      <c r="G1796" s="4">
        <v>0.43000000000000005</v>
      </c>
      <c r="H1796" s="17">
        <f t="shared" si="56"/>
        <v>2.5660302877485259E-7</v>
      </c>
      <c r="L1796">
        <f t="shared" si="57"/>
        <v>6.0000000000000001E-3</v>
      </c>
    </row>
    <row r="1797" spans="1:12" x14ac:dyDescent="0.25">
      <c r="A1797" s="1">
        <v>1796</v>
      </c>
      <c r="B1797" s="2">
        <v>382937</v>
      </c>
      <c r="C1797" s="3">
        <v>8.9999999999999993E-3</v>
      </c>
      <c r="D1797" s="1">
        <v>0.5</v>
      </c>
      <c r="E1797" s="4">
        <v>0.19</v>
      </c>
      <c r="F1797" s="4">
        <v>0.15</v>
      </c>
      <c r="G1797" s="4">
        <v>0.65999999999999992</v>
      </c>
      <c r="H1797" s="17">
        <f t="shared" si="56"/>
        <v>3.4737383291681454E-7</v>
      </c>
      <c r="L1797">
        <f t="shared" si="57"/>
        <v>4.4999999999999997E-3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31B8-AC41-493A-B70E-FD0A2460284A}">
  <dimension ref="B2:C16"/>
  <sheetViews>
    <sheetView workbookViewId="0">
      <selection activeCell="P10" sqref="P10"/>
    </sheetView>
  </sheetViews>
  <sheetFormatPr baseColWidth="10" defaultRowHeight="15" x14ac:dyDescent="0.25"/>
  <cols>
    <col min="3" max="3" width="20.5703125" bestFit="1" customWidth="1"/>
    <col min="6" max="6" width="14.7109375" bestFit="1" customWidth="1"/>
  </cols>
  <sheetData>
    <row r="2" spans="2:3" x14ac:dyDescent="0.25">
      <c r="B2" t="s">
        <v>7</v>
      </c>
      <c r="C2" s="8">
        <v>94037554.040000007</v>
      </c>
    </row>
    <row r="3" spans="2:3" x14ac:dyDescent="0.25">
      <c r="B3" t="s">
        <v>8</v>
      </c>
      <c r="C3" s="8">
        <v>576254236.27999997</v>
      </c>
    </row>
    <row r="4" spans="2:3" x14ac:dyDescent="0.25">
      <c r="B4" t="s">
        <v>9</v>
      </c>
      <c r="C4" s="7">
        <f>C3-C2</f>
        <v>482216682.23999995</v>
      </c>
    </row>
    <row r="9" spans="2:3" x14ac:dyDescent="0.25">
      <c r="B9" t="s">
        <v>7</v>
      </c>
      <c r="C9" s="8">
        <v>18689402.59</v>
      </c>
    </row>
    <row r="10" spans="2:3" x14ac:dyDescent="0.25">
      <c r="B10" t="s">
        <v>8</v>
      </c>
      <c r="C10" s="8">
        <v>119204822</v>
      </c>
    </row>
    <row r="11" spans="2:3" x14ac:dyDescent="0.25">
      <c r="B11" t="s">
        <v>9</v>
      </c>
      <c r="C11" s="7">
        <f>C10-C9</f>
        <v>100515419.41</v>
      </c>
    </row>
    <row r="16" spans="2:3" x14ac:dyDescent="0.25">
      <c r="C16" s="20">
        <f>C4-C11</f>
        <v>381701262.82999992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0E47-0499-4BDC-A6E1-5FDE99E158C0}">
  <dimension ref="A1:G1797"/>
  <sheetViews>
    <sheetView topLeftCell="A456" workbookViewId="0">
      <selection activeCell="E466" sqref="E466"/>
    </sheetView>
  </sheetViews>
  <sheetFormatPr baseColWidth="10" defaultRowHeight="15" x14ac:dyDescent="0.25"/>
  <cols>
    <col min="1" max="1" width="11.7109375" customWidth="1"/>
    <col min="2" max="2" width="16" customWidth="1"/>
    <col min="3" max="3" width="14.85546875" customWidth="1"/>
    <col min="4" max="4" width="12.14062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5">
      <c r="A2" s="1">
        <v>1</v>
      </c>
      <c r="B2" s="2">
        <v>7784212</v>
      </c>
      <c r="C2" s="3">
        <v>4.2999999999999997E-2</v>
      </c>
      <c r="D2" s="19">
        <v>0.75</v>
      </c>
      <c r="E2" s="4">
        <v>0.16</v>
      </c>
      <c r="F2" s="4">
        <v>0.24</v>
      </c>
      <c r="G2" s="4">
        <v>0.6</v>
      </c>
    </row>
    <row r="3" spans="1:7" x14ac:dyDescent="0.25">
      <c r="A3" s="1">
        <v>2</v>
      </c>
      <c r="B3" s="2">
        <v>9277406</v>
      </c>
      <c r="C3" s="3">
        <v>3.1E-2</v>
      </c>
      <c r="D3" s="19">
        <v>0.75</v>
      </c>
      <c r="E3" s="4">
        <v>0.18</v>
      </c>
      <c r="F3" s="4">
        <v>0.21</v>
      </c>
      <c r="G3" s="4">
        <v>0.6100000000000001</v>
      </c>
    </row>
    <row r="4" spans="1:7" x14ac:dyDescent="0.25">
      <c r="A4" s="1">
        <v>3</v>
      </c>
      <c r="B4" s="2">
        <v>9976922</v>
      </c>
      <c r="C4" s="3">
        <v>3.2000000000000001E-2</v>
      </c>
      <c r="D4" s="19">
        <v>0.75</v>
      </c>
      <c r="E4" s="4">
        <v>0.22</v>
      </c>
      <c r="F4" s="4">
        <v>0.22</v>
      </c>
      <c r="G4" s="4">
        <v>0.56000000000000005</v>
      </c>
    </row>
    <row r="5" spans="1:7" x14ac:dyDescent="0.25">
      <c r="A5" s="1">
        <v>8</v>
      </c>
      <c r="B5" s="2">
        <v>7871397</v>
      </c>
      <c r="C5" s="3">
        <v>0.03</v>
      </c>
      <c r="D5" s="19">
        <v>0.75</v>
      </c>
      <c r="E5" s="4">
        <v>0.21</v>
      </c>
      <c r="F5" s="4">
        <v>0.26</v>
      </c>
      <c r="G5" s="4">
        <v>0.53</v>
      </c>
    </row>
    <row r="6" spans="1:7" x14ac:dyDescent="0.25">
      <c r="A6" s="1">
        <v>9</v>
      </c>
      <c r="B6" s="2">
        <v>8403429</v>
      </c>
      <c r="C6" s="3">
        <v>3.5000000000000003E-2</v>
      </c>
      <c r="D6" s="19">
        <v>0.75</v>
      </c>
      <c r="E6" s="4">
        <v>0.2</v>
      </c>
      <c r="F6" s="4">
        <v>0.2</v>
      </c>
      <c r="G6" s="4">
        <v>0.60000000000000009</v>
      </c>
    </row>
    <row r="7" spans="1:7" x14ac:dyDescent="0.25">
      <c r="A7" s="1">
        <v>12</v>
      </c>
      <c r="B7" s="2">
        <v>9205108</v>
      </c>
      <c r="C7" s="3">
        <v>0.03</v>
      </c>
      <c r="D7" s="19">
        <v>0.75</v>
      </c>
      <c r="E7" s="4">
        <v>0.22</v>
      </c>
      <c r="F7" s="4">
        <v>0.19</v>
      </c>
      <c r="G7" s="4">
        <v>0.59000000000000008</v>
      </c>
    </row>
    <row r="8" spans="1:7" x14ac:dyDescent="0.25">
      <c r="A8" s="1">
        <v>13</v>
      </c>
      <c r="B8" s="2">
        <v>9453806</v>
      </c>
      <c r="C8" s="3">
        <v>2.7E-2</v>
      </c>
      <c r="D8" s="19">
        <v>0.75</v>
      </c>
      <c r="E8" s="4">
        <v>0.17</v>
      </c>
      <c r="F8" s="4">
        <v>0.31</v>
      </c>
      <c r="G8" s="4">
        <v>0.51999999999999991</v>
      </c>
    </row>
    <row r="9" spans="1:7" x14ac:dyDescent="0.25">
      <c r="A9" s="1">
        <v>15</v>
      </c>
      <c r="B9" s="2">
        <v>8280843</v>
      </c>
      <c r="C9" s="3">
        <v>2.8000000000000001E-2</v>
      </c>
      <c r="D9" s="19">
        <v>0.75</v>
      </c>
      <c r="E9" s="4">
        <v>0.22</v>
      </c>
      <c r="F9" s="4">
        <v>0.17</v>
      </c>
      <c r="G9" s="4">
        <v>0.61</v>
      </c>
    </row>
    <row r="10" spans="1:7" x14ac:dyDescent="0.25">
      <c r="A10" s="1">
        <v>16</v>
      </c>
      <c r="B10" s="2">
        <v>8499619</v>
      </c>
      <c r="C10" s="3">
        <v>3.3000000000000002E-2</v>
      </c>
      <c r="D10" s="19">
        <v>0.75</v>
      </c>
      <c r="E10" s="4">
        <v>0.21</v>
      </c>
      <c r="F10" s="4">
        <v>0.31</v>
      </c>
      <c r="G10" s="4">
        <v>0.48</v>
      </c>
    </row>
    <row r="11" spans="1:7" x14ac:dyDescent="0.25">
      <c r="A11" s="1">
        <v>17</v>
      </c>
      <c r="B11" s="2">
        <v>9343438</v>
      </c>
      <c r="C11" s="3">
        <v>4.2999999999999997E-2</v>
      </c>
      <c r="D11" s="19">
        <v>0.75</v>
      </c>
      <c r="E11" s="4">
        <v>0.19</v>
      </c>
      <c r="F11" s="4">
        <v>0.32</v>
      </c>
      <c r="G11" s="4">
        <v>0.48999999999999994</v>
      </c>
    </row>
    <row r="12" spans="1:7" x14ac:dyDescent="0.25">
      <c r="A12" s="1">
        <v>18</v>
      </c>
      <c r="B12" s="2">
        <v>8182381</v>
      </c>
      <c r="C12" s="3">
        <v>2.5999999999999999E-2</v>
      </c>
      <c r="D12" s="19">
        <v>0.75</v>
      </c>
      <c r="E12" s="4">
        <v>0.17</v>
      </c>
      <c r="F12" s="4">
        <v>0.16</v>
      </c>
      <c r="G12" s="4">
        <v>0.66999999999999993</v>
      </c>
    </row>
    <row r="13" spans="1:7" x14ac:dyDescent="0.25">
      <c r="A13" s="1">
        <v>20</v>
      </c>
      <c r="B13" s="2">
        <v>9990794</v>
      </c>
      <c r="C13" s="3">
        <v>2.5999999999999999E-2</v>
      </c>
      <c r="D13" s="19">
        <v>0.75</v>
      </c>
      <c r="E13" s="4">
        <v>0.24</v>
      </c>
      <c r="F13" s="4">
        <v>0.18</v>
      </c>
      <c r="G13" s="4">
        <v>0.58000000000000007</v>
      </c>
    </row>
    <row r="14" spans="1:7" x14ac:dyDescent="0.25">
      <c r="A14" s="1">
        <v>21</v>
      </c>
      <c r="B14" s="2">
        <v>7694479</v>
      </c>
      <c r="C14" s="3">
        <v>3.2000000000000001E-2</v>
      </c>
      <c r="D14" s="19">
        <v>0.75</v>
      </c>
      <c r="E14" s="4">
        <v>0.17</v>
      </c>
      <c r="F14" s="4">
        <v>0.18</v>
      </c>
      <c r="G14" s="4">
        <v>0.65</v>
      </c>
    </row>
    <row r="15" spans="1:7" x14ac:dyDescent="0.25">
      <c r="A15" s="1">
        <v>22</v>
      </c>
      <c r="B15" s="2">
        <v>8450924</v>
      </c>
      <c r="C15" s="3">
        <v>3.7999999999999999E-2</v>
      </c>
      <c r="D15" s="19">
        <v>0.75</v>
      </c>
      <c r="E15" s="4">
        <v>0.17</v>
      </c>
      <c r="F15" s="4">
        <v>0.23</v>
      </c>
      <c r="G15" s="4">
        <v>0.6</v>
      </c>
    </row>
    <row r="16" spans="1:7" x14ac:dyDescent="0.25">
      <c r="A16" s="1">
        <v>23</v>
      </c>
      <c r="B16" s="2">
        <v>7438613</v>
      </c>
      <c r="C16" s="3">
        <v>3.5000000000000003E-2</v>
      </c>
      <c r="D16" s="19">
        <v>0.75</v>
      </c>
      <c r="E16" s="4">
        <v>0.22</v>
      </c>
      <c r="F16" s="4">
        <v>0.26</v>
      </c>
      <c r="G16" s="4">
        <v>0.52</v>
      </c>
    </row>
    <row r="17" spans="1:7" x14ac:dyDescent="0.25">
      <c r="A17" s="1">
        <v>25</v>
      </c>
      <c r="B17" s="2">
        <v>8467838</v>
      </c>
      <c r="C17" s="3">
        <v>2.8000000000000001E-2</v>
      </c>
      <c r="D17" s="19">
        <v>0.75</v>
      </c>
      <c r="E17" s="4">
        <v>0.2</v>
      </c>
      <c r="F17" s="4">
        <v>0.21</v>
      </c>
      <c r="G17" s="4">
        <v>0.59000000000000008</v>
      </c>
    </row>
    <row r="18" spans="1:7" x14ac:dyDescent="0.25">
      <c r="A18" s="1">
        <v>26</v>
      </c>
      <c r="B18" s="2">
        <v>8575507</v>
      </c>
      <c r="C18" s="3">
        <v>3.1E-2</v>
      </c>
      <c r="D18" s="19">
        <v>0.75</v>
      </c>
      <c r="E18" s="4">
        <v>0.17</v>
      </c>
      <c r="F18" s="4">
        <v>0.19</v>
      </c>
      <c r="G18" s="4">
        <v>0.64</v>
      </c>
    </row>
    <row r="19" spans="1:7" x14ac:dyDescent="0.25">
      <c r="A19" s="1">
        <v>33</v>
      </c>
      <c r="B19" s="2">
        <v>8831270</v>
      </c>
      <c r="C19" s="3">
        <v>2.5000000000000001E-2</v>
      </c>
      <c r="D19" s="19">
        <v>0.75</v>
      </c>
      <c r="E19" s="4">
        <v>0.21</v>
      </c>
      <c r="F19" s="4">
        <v>0.21</v>
      </c>
      <c r="G19" s="4">
        <v>0.58000000000000007</v>
      </c>
    </row>
    <row r="20" spans="1:7" x14ac:dyDescent="0.25">
      <c r="A20" s="1">
        <v>34</v>
      </c>
      <c r="B20" s="2">
        <v>9056722</v>
      </c>
      <c r="C20" s="3">
        <v>3.6999999999999998E-2</v>
      </c>
      <c r="D20" s="19">
        <v>0.75</v>
      </c>
      <c r="E20" s="4">
        <v>0.23</v>
      </c>
      <c r="F20" s="4">
        <v>0.23</v>
      </c>
      <c r="G20" s="4">
        <v>0.54</v>
      </c>
    </row>
    <row r="21" spans="1:7" x14ac:dyDescent="0.25">
      <c r="A21" s="1">
        <v>38</v>
      </c>
      <c r="B21" s="2">
        <v>8326837</v>
      </c>
      <c r="C21" s="3">
        <v>3.2000000000000001E-2</v>
      </c>
      <c r="D21" s="19">
        <v>0.75</v>
      </c>
      <c r="E21" s="4">
        <v>0.15</v>
      </c>
      <c r="F21" s="4">
        <v>0.17</v>
      </c>
      <c r="G21" s="4">
        <v>0.67999999999999994</v>
      </c>
    </row>
    <row r="22" spans="1:7" x14ac:dyDescent="0.25">
      <c r="A22" s="1">
        <v>41</v>
      </c>
      <c r="B22" s="2">
        <v>8877687</v>
      </c>
      <c r="C22" s="3">
        <v>2.5999999999999999E-2</v>
      </c>
      <c r="D22" s="19">
        <v>0.75</v>
      </c>
      <c r="E22" s="4">
        <v>0.22</v>
      </c>
      <c r="F22" s="4">
        <v>0.19</v>
      </c>
      <c r="G22" s="4">
        <v>0.59000000000000008</v>
      </c>
    </row>
    <row r="23" spans="1:7" x14ac:dyDescent="0.25">
      <c r="A23" s="1">
        <v>44</v>
      </c>
      <c r="B23" s="2">
        <v>8248937</v>
      </c>
      <c r="C23" s="3">
        <v>3.5999999999999997E-2</v>
      </c>
      <c r="D23" s="19">
        <v>0.75</v>
      </c>
      <c r="E23" s="4">
        <v>0.25</v>
      </c>
      <c r="F23" s="4">
        <v>0.24</v>
      </c>
      <c r="G23" s="4">
        <v>0.51</v>
      </c>
    </row>
    <row r="24" spans="1:7" x14ac:dyDescent="0.25">
      <c r="A24" s="1">
        <v>46</v>
      </c>
      <c r="B24" s="2">
        <v>8671072</v>
      </c>
      <c r="C24" s="3">
        <v>4.2999999999999997E-2</v>
      </c>
      <c r="D24" s="19">
        <v>0.75</v>
      </c>
      <c r="E24" s="4">
        <v>0.22</v>
      </c>
      <c r="F24" s="4">
        <v>0.15</v>
      </c>
      <c r="G24" s="4">
        <v>0.63</v>
      </c>
    </row>
    <row r="25" spans="1:7" x14ac:dyDescent="0.25">
      <c r="A25" s="1">
        <v>49</v>
      </c>
      <c r="B25" s="2">
        <v>8929531</v>
      </c>
      <c r="C25" s="3">
        <v>2.5999999999999999E-2</v>
      </c>
      <c r="D25" s="19">
        <v>0.75</v>
      </c>
      <c r="E25" s="4">
        <v>0.21</v>
      </c>
      <c r="F25" s="4">
        <v>0.18</v>
      </c>
      <c r="G25" s="4">
        <v>0.6100000000000001</v>
      </c>
    </row>
    <row r="26" spans="1:7" x14ac:dyDescent="0.25">
      <c r="A26" s="1">
        <v>50</v>
      </c>
      <c r="B26" s="2">
        <v>9031824</v>
      </c>
      <c r="C26" s="3">
        <v>2.7E-2</v>
      </c>
      <c r="D26" s="19">
        <v>0.75</v>
      </c>
      <c r="E26" s="4">
        <v>0.2</v>
      </c>
      <c r="F26" s="4">
        <v>0.17</v>
      </c>
      <c r="G26" s="4">
        <v>0.62999999999999989</v>
      </c>
    </row>
    <row r="27" spans="1:7" x14ac:dyDescent="0.25">
      <c r="A27" s="1">
        <v>52</v>
      </c>
      <c r="B27" s="2">
        <v>7218937</v>
      </c>
      <c r="C27" s="3">
        <v>3.6999999999999998E-2</v>
      </c>
      <c r="D27" s="19">
        <v>0.75</v>
      </c>
      <c r="E27" s="4">
        <v>0.24</v>
      </c>
      <c r="F27" s="4">
        <v>0.22</v>
      </c>
      <c r="G27" s="4">
        <v>0.54</v>
      </c>
    </row>
    <row r="28" spans="1:7" x14ac:dyDescent="0.25">
      <c r="A28" s="1">
        <v>53</v>
      </c>
      <c r="B28" s="2">
        <v>9078814</v>
      </c>
      <c r="C28" s="3">
        <v>0.04</v>
      </c>
      <c r="D28" s="19">
        <v>0.75</v>
      </c>
      <c r="E28" s="4">
        <v>0.18</v>
      </c>
      <c r="F28" s="4">
        <v>0.21</v>
      </c>
      <c r="G28" s="4">
        <v>0.6100000000000001</v>
      </c>
    </row>
    <row r="29" spans="1:7" x14ac:dyDescent="0.25">
      <c r="A29" s="1">
        <v>55</v>
      </c>
      <c r="B29" s="2">
        <v>9134723</v>
      </c>
      <c r="C29" s="3">
        <v>3.3000000000000002E-2</v>
      </c>
      <c r="D29" s="19">
        <v>0.75</v>
      </c>
      <c r="E29" s="4">
        <v>0.18</v>
      </c>
      <c r="F29" s="4">
        <v>0.28999999999999998</v>
      </c>
      <c r="G29" s="4">
        <v>0.53</v>
      </c>
    </row>
    <row r="30" spans="1:7" x14ac:dyDescent="0.25">
      <c r="A30" s="1">
        <v>57</v>
      </c>
      <c r="B30" s="2">
        <v>9619711</v>
      </c>
      <c r="C30" s="3">
        <v>3.4000000000000002E-2</v>
      </c>
      <c r="D30" s="19">
        <v>0.75</v>
      </c>
      <c r="E30" s="4">
        <v>0.22</v>
      </c>
      <c r="F30" s="4">
        <v>0.27</v>
      </c>
      <c r="G30" s="4">
        <v>0.51</v>
      </c>
    </row>
    <row r="31" spans="1:7" x14ac:dyDescent="0.25">
      <c r="A31" s="1">
        <v>58</v>
      </c>
      <c r="B31" s="2">
        <v>9080991</v>
      </c>
      <c r="C31" s="3">
        <v>4.2999999999999997E-2</v>
      </c>
      <c r="D31" s="19">
        <v>0.75</v>
      </c>
      <c r="E31" s="4">
        <v>0.25</v>
      </c>
      <c r="F31" s="4">
        <v>0.17</v>
      </c>
      <c r="G31" s="4">
        <v>0.57999999999999996</v>
      </c>
    </row>
    <row r="32" spans="1:7" x14ac:dyDescent="0.25">
      <c r="A32" s="1">
        <v>61</v>
      </c>
      <c r="B32" s="2">
        <v>8319553</v>
      </c>
      <c r="C32" s="3">
        <v>0.03</v>
      </c>
      <c r="D32" s="19">
        <v>0.75</v>
      </c>
      <c r="E32" s="4">
        <v>0.21</v>
      </c>
      <c r="F32" s="4">
        <v>0.35</v>
      </c>
      <c r="G32" s="4">
        <v>0.44000000000000006</v>
      </c>
    </row>
    <row r="33" spans="1:7" x14ac:dyDescent="0.25">
      <c r="A33" s="1">
        <v>63</v>
      </c>
      <c r="B33" s="2">
        <v>7011070</v>
      </c>
      <c r="C33" s="3">
        <v>3.6999999999999998E-2</v>
      </c>
      <c r="D33" s="19">
        <v>0.75</v>
      </c>
      <c r="E33" s="4">
        <v>0.21</v>
      </c>
      <c r="F33" s="4">
        <v>0.21</v>
      </c>
      <c r="G33" s="4">
        <v>0.58000000000000007</v>
      </c>
    </row>
    <row r="34" spans="1:7" x14ac:dyDescent="0.25">
      <c r="A34" s="1">
        <v>68</v>
      </c>
      <c r="B34" s="2">
        <v>7949563</v>
      </c>
      <c r="C34" s="3">
        <v>3.7999999999999999E-2</v>
      </c>
      <c r="D34" s="19">
        <v>0.75</v>
      </c>
      <c r="E34" s="4">
        <v>0.19</v>
      </c>
      <c r="F34" s="4">
        <v>0.16</v>
      </c>
      <c r="G34" s="4">
        <v>0.64999999999999991</v>
      </c>
    </row>
    <row r="35" spans="1:7" x14ac:dyDescent="0.25">
      <c r="A35" s="1">
        <v>69</v>
      </c>
      <c r="B35" s="2">
        <v>9878594</v>
      </c>
      <c r="C35" s="3">
        <v>2.9000000000000001E-2</v>
      </c>
      <c r="D35" s="19">
        <v>0.75</v>
      </c>
      <c r="E35" s="4">
        <v>0.19</v>
      </c>
      <c r="F35" s="4">
        <v>0.24</v>
      </c>
      <c r="G35" s="4">
        <v>0.57000000000000006</v>
      </c>
    </row>
    <row r="36" spans="1:7" x14ac:dyDescent="0.25">
      <c r="A36" s="1">
        <v>72</v>
      </c>
      <c r="B36" s="2">
        <v>8208342</v>
      </c>
      <c r="C36" s="3">
        <v>2.7E-2</v>
      </c>
      <c r="D36" s="19">
        <v>0.75</v>
      </c>
      <c r="E36" s="4">
        <v>0.18</v>
      </c>
      <c r="F36" s="4">
        <v>0.16</v>
      </c>
      <c r="G36" s="4">
        <v>0.65999999999999992</v>
      </c>
    </row>
    <row r="37" spans="1:7" x14ac:dyDescent="0.25">
      <c r="A37" s="1">
        <v>74</v>
      </c>
      <c r="B37" s="2">
        <v>7955540</v>
      </c>
      <c r="C37" s="3">
        <v>2.8000000000000001E-2</v>
      </c>
      <c r="D37" s="19">
        <v>0.75</v>
      </c>
      <c r="E37" s="4">
        <v>0.18</v>
      </c>
      <c r="F37" s="4">
        <v>0.23</v>
      </c>
      <c r="G37" s="4">
        <v>0.59000000000000008</v>
      </c>
    </row>
    <row r="38" spans="1:7" x14ac:dyDescent="0.25">
      <c r="A38" s="1">
        <v>77</v>
      </c>
      <c r="B38" s="2">
        <v>9199963</v>
      </c>
      <c r="C38" s="3">
        <v>3.7999999999999999E-2</v>
      </c>
      <c r="D38" s="19">
        <v>0.75</v>
      </c>
      <c r="E38" s="4">
        <v>0.22</v>
      </c>
      <c r="F38" s="4">
        <v>0.17</v>
      </c>
      <c r="G38" s="4">
        <v>0.61</v>
      </c>
    </row>
    <row r="39" spans="1:7" x14ac:dyDescent="0.25">
      <c r="A39" s="1">
        <v>80</v>
      </c>
      <c r="B39" s="2">
        <v>7987351</v>
      </c>
      <c r="C39" s="3">
        <v>4.3999999999999997E-2</v>
      </c>
      <c r="D39" s="19">
        <v>0.75</v>
      </c>
      <c r="E39" s="4">
        <v>0.17</v>
      </c>
      <c r="F39" s="4">
        <v>0.25</v>
      </c>
      <c r="G39" s="4">
        <v>0.57999999999999996</v>
      </c>
    </row>
    <row r="40" spans="1:7" x14ac:dyDescent="0.25">
      <c r="A40" s="1">
        <v>81</v>
      </c>
      <c r="B40" s="2">
        <v>8290296</v>
      </c>
      <c r="C40" s="3">
        <v>2.7E-2</v>
      </c>
      <c r="D40" s="19">
        <v>0.75</v>
      </c>
      <c r="E40" s="4">
        <v>0.25</v>
      </c>
      <c r="F40" s="4">
        <v>0.17</v>
      </c>
      <c r="G40" s="4">
        <v>0.57999999999999996</v>
      </c>
    </row>
    <row r="41" spans="1:7" x14ac:dyDescent="0.25">
      <c r="A41" s="1">
        <v>82</v>
      </c>
      <c r="B41" s="2">
        <v>7607778</v>
      </c>
      <c r="C41" s="3">
        <v>3.2000000000000001E-2</v>
      </c>
      <c r="D41" s="19">
        <v>0.75</v>
      </c>
      <c r="E41" s="4">
        <v>0.24</v>
      </c>
      <c r="F41" s="4">
        <v>0.28000000000000003</v>
      </c>
      <c r="G41" s="4">
        <v>0.48</v>
      </c>
    </row>
    <row r="42" spans="1:7" x14ac:dyDescent="0.25">
      <c r="A42" s="1">
        <v>85</v>
      </c>
      <c r="B42" s="2">
        <v>8075510</v>
      </c>
      <c r="C42" s="3">
        <v>3.2000000000000001E-2</v>
      </c>
      <c r="D42" s="19">
        <v>0.75</v>
      </c>
      <c r="E42" s="4">
        <v>0.23</v>
      </c>
      <c r="F42" s="4">
        <v>0.26</v>
      </c>
      <c r="G42" s="4">
        <v>0.51</v>
      </c>
    </row>
    <row r="43" spans="1:7" x14ac:dyDescent="0.25">
      <c r="A43" s="1">
        <v>87</v>
      </c>
      <c r="B43" s="2">
        <v>7006761</v>
      </c>
      <c r="C43" s="3">
        <v>3.1E-2</v>
      </c>
      <c r="D43" s="19">
        <v>0.75</v>
      </c>
      <c r="E43" s="4">
        <v>0.16</v>
      </c>
      <c r="F43" s="4">
        <v>0.31</v>
      </c>
      <c r="G43" s="4">
        <v>0.52999999999999992</v>
      </c>
    </row>
    <row r="44" spans="1:7" x14ac:dyDescent="0.25">
      <c r="A44" s="1">
        <v>90</v>
      </c>
      <c r="B44" s="2">
        <v>9299498</v>
      </c>
      <c r="C44" s="3">
        <v>3.5999999999999997E-2</v>
      </c>
      <c r="D44" s="19">
        <v>0.75</v>
      </c>
      <c r="E44" s="4">
        <v>0.15</v>
      </c>
      <c r="F44" s="4">
        <v>0.17</v>
      </c>
      <c r="G44" s="4">
        <v>0.67999999999999994</v>
      </c>
    </row>
    <row r="45" spans="1:7" x14ac:dyDescent="0.25">
      <c r="A45" s="1">
        <v>92</v>
      </c>
      <c r="B45" s="2">
        <v>8463520</v>
      </c>
      <c r="C45" s="3">
        <v>3.1E-2</v>
      </c>
      <c r="D45" s="19">
        <v>0.75</v>
      </c>
      <c r="E45" s="4">
        <v>0.21</v>
      </c>
      <c r="F45" s="4">
        <v>0.33</v>
      </c>
      <c r="G45" s="4">
        <v>0.45999999999999996</v>
      </c>
    </row>
    <row r="46" spans="1:7" x14ac:dyDescent="0.25">
      <c r="A46" s="1">
        <v>93</v>
      </c>
      <c r="B46" s="2">
        <v>9413404</v>
      </c>
      <c r="C46" s="3">
        <v>3.7999999999999999E-2</v>
      </c>
      <c r="D46" s="19">
        <v>0.75</v>
      </c>
      <c r="E46" s="4">
        <v>0.21</v>
      </c>
      <c r="F46" s="4">
        <v>0.28999999999999998</v>
      </c>
      <c r="G46" s="4">
        <v>0.5</v>
      </c>
    </row>
    <row r="47" spans="1:7" x14ac:dyDescent="0.25">
      <c r="A47" s="1">
        <v>94</v>
      </c>
      <c r="B47" s="2">
        <v>8738519</v>
      </c>
      <c r="C47" s="3">
        <v>4.2999999999999997E-2</v>
      </c>
      <c r="D47" s="19">
        <v>0.75</v>
      </c>
      <c r="E47" s="4">
        <v>0.22</v>
      </c>
      <c r="F47" s="4">
        <v>0.21</v>
      </c>
      <c r="G47" s="4">
        <v>0.57000000000000006</v>
      </c>
    </row>
    <row r="48" spans="1:7" x14ac:dyDescent="0.25">
      <c r="A48" s="1">
        <v>97</v>
      </c>
      <c r="B48" s="2">
        <v>9787613</v>
      </c>
      <c r="C48" s="3">
        <v>3.7999999999999999E-2</v>
      </c>
      <c r="D48" s="19">
        <v>0.75</v>
      </c>
      <c r="E48" s="4">
        <v>0.22</v>
      </c>
      <c r="F48" s="4">
        <v>0.34</v>
      </c>
      <c r="G48" s="4">
        <v>0.43999999999999995</v>
      </c>
    </row>
    <row r="49" spans="1:7" x14ac:dyDescent="0.25">
      <c r="A49" s="1">
        <v>98</v>
      </c>
      <c r="B49" s="2">
        <v>7689083</v>
      </c>
      <c r="C49" s="3">
        <v>3.5999999999999997E-2</v>
      </c>
      <c r="D49" s="19">
        <v>0.75</v>
      </c>
      <c r="E49" s="4">
        <v>0.25</v>
      </c>
      <c r="F49" s="4">
        <v>0.34</v>
      </c>
      <c r="G49" s="4">
        <v>0.40999999999999992</v>
      </c>
    </row>
    <row r="50" spans="1:7" x14ac:dyDescent="0.25">
      <c r="A50" s="1">
        <v>99</v>
      </c>
      <c r="B50" s="2">
        <v>9125460</v>
      </c>
      <c r="C50" s="3">
        <v>4.2999999999999997E-2</v>
      </c>
      <c r="D50" s="19">
        <v>0.75</v>
      </c>
      <c r="E50" s="4">
        <v>0.17</v>
      </c>
      <c r="F50" s="4">
        <v>0.18</v>
      </c>
      <c r="G50" s="4">
        <v>0.65</v>
      </c>
    </row>
    <row r="51" spans="1:7" x14ac:dyDescent="0.25">
      <c r="A51" s="1">
        <v>102</v>
      </c>
      <c r="B51" s="2">
        <v>7250420</v>
      </c>
      <c r="C51" s="3">
        <v>4.2000000000000003E-2</v>
      </c>
      <c r="D51" s="19">
        <v>0.75</v>
      </c>
      <c r="E51" s="4">
        <v>0.24</v>
      </c>
      <c r="F51" s="4">
        <v>0.32</v>
      </c>
      <c r="G51" s="4">
        <v>0.43999999999999995</v>
      </c>
    </row>
    <row r="52" spans="1:7" x14ac:dyDescent="0.25">
      <c r="A52" s="1">
        <v>103</v>
      </c>
      <c r="B52" s="2">
        <v>8023733</v>
      </c>
      <c r="C52" s="3">
        <v>2.7E-2</v>
      </c>
      <c r="D52" s="19">
        <v>0.75</v>
      </c>
      <c r="E52" s="4">
        <v>0.19</v>
      </c>
      <c r="F52" s="4">
        <v>0.17</v>
      </c>
      <c r="G52" s="4">
        <v>0.6399999999999999</v>
      </c>
    </row>
    <row r="53" spans="1:7" x14ac:dyDescent="0.25">
      <c r="A53" s="1">
        <v>106</v>
      </c>
      <c r="B53" s="2">
        <v>7454741</v>
      </c>
      <c r="C53" s="3">
        <v>4.3999999999999997E-2</v>
      </c>
      <c r="D53" s="19">
        <v>0.75</v>
      </c>
      <c r="E53" s="4">
        <v>0.19</v>
      </c>
      <c r="F53" s="4">
        <v>0.24</v>
      </c>
      <c r="G53" s="4">
        <v>0.57000000000000006</v>
      </c>
    </row>
    <row r="54" spans="1:7" x14ac:dyDescent="0.25">
      <c r="A54" s="1">
        <v>109</v>
      </c>
      <c r="B54" s="2">
        <v>8704452</v>
      </c>
      <c r="C54" s="3">
        <v>3.1E-2</v>
      </c>
      <c r="D54" s="19">
        <v>0.75</v>
      </c>
      <c r="E54" s="4">
        <v>0.25</v>
      </c>
      <c r="F54" s="4">
        <v>0.35</v>
      </c>
      <c r="G54" s="4">
        <v>0.4</v>
      </c>
    </row>
    <row r="55" spans="1:7" x14ac:dyDescent="0.25">
      <c r="A55" s="1">
        <v>112</v>
      </c>
      <c r="B55" s="2">
        <v>7614949</v>
      </c>
      <c r="C55" s="3">
        <v>4.1000000000000002E-2</v>
      </c>
      <c r="D55" s="19">
        <v>0.75</v>
      </c>
      <c r="E55" s="4">
        <v>0.15</v>
      </c>
      <c r="F55" s="4">
        <v>0.34</v>
      </c>
      <c r="G55" s="4">
        <v>0.5099999999999999</v>
      </c>
    </row>
    <row r="56" spans="1:7" x14ac:dyDescent="0.25">
      <c r="A56" s="1">
        <v>113</v>
      </c>
      <c r="B56" s="2">
        <v>7135452</v>
      </c>
      <c r="C56" s="3">
        <v>2.9000000000000001E-2</v>
      </c>
      <c r="D56" s="19">
        <v>0.75</v>
      </c>
      <c r="E56" s="4">
        <v>0.2</v>
      </c>
      <c r="F56" s="4">
        <v>0.22</v>
      </c>
      <c r="G56" s="4">
        <v>0.58000000000000007</v>
      </c>
    </row>
    <row r="57" spans="1:7" x14ac:dyDescent="0.25">
      <c r="A57" s="1">
        <v>114</v>
      </c>
      <c r="B57" s="2">
        <v>8073462</v>
      </c>
      <c r="C57" s="3">
        <v>3.1E-2</v>
      </c>
      <c r="D57" s="19">
        <v>0.75</v>
      </c>
      <c r="E57" s="4">
        <v>0.17</v>
      </c>
      <c r="F57" s="4">
        <v>0.28999999999999998</v>
      </c>
      <c r="G57" s="4">
        <v>0.53999999999999992</v>
      </c>
    </row>
    <row r="58" spans="1:7" x14ac:dyDescent="0.25">
      <c r="A58" s="1">
        <v>115</v>
      </c>
      <c r="B58" s="2">
        <v>7907125</v>
      </c>
      <c r="C58" s="3">
        <v>3.6999999999999998E-2</v>
      </c>
      <c r="D58" s="19">
        <v>0.75</v>
      </c>
      <c r="E58" s="4">
        <v>0.19</v>
      </c>
      <c r="F58" s="4">
        <v>0.26</v>
      </c>
      <c r="G58" s="4">
        <v>0.55000000000000004</v>
      </c>
    </row>
    <row r="59" spans="1:7" x14ac:dyDescent="0.25">
      <c r="A59" s="1">
        <v>116</v>
      </c>
      <c r="B59" s="2">
        <v>7637859</v>
      </c>
      <c r="C59" s="3">
        <v>2.5000000000000001E-2</v>
      </c>
      <c r="D59" s="19">
        <v>0.75</v>
      </c>
      <c r="E59" s="4">
        <v>0.19</v>
      </c>
      <c r="F59" s="4">
        <v>0.19</v>
      </c>
      <c r="G59" s="4">
        <v>0.62000000000000011</v>
      </c>
    </row>
    <row r="60" spans="1:7" x14ac:dyDescent="0.25">
      <c r="A60" s="1">
        <v>119</v>
      </c>
      <c r="B60" s="2">
        <v>9561433</v>
      </c>
      <c r="C60" s="3">
        <v>2.5999999999999999E-2</v>
      </c>
      <c r="D60" s="19">
        <v>0.75</v>
      </c>
      <c r="E60" s="4">
        <v>0.19</v>
      </c>
      <c r="F60" s="4">
        <v>0.22</v>
      </c>
      <c r="G60" s="4">
        <v>0.59000000000000008</v>
      </c>
    </row>
    <row r="61" spans="1:7" x14ac:dyDescent="0.25">
      <c r="A61" s="1">
        <v>120</v>
      </c>
      <c r="B61" s="2">
        <v>8246039</v>
      </c>
      <c r="C61" s="3">
        <v>0.03</v>
      </c>
      <c r="D61" s="19">
        <v>0.75</v>
      </c>
      <c r="E61" s="4">
        <v>0.23</v>
      </c>
      <c r="F61" s="4">
        <v>0.23</v>
      </c>
      <c r="G61" s="4">
        <v>0.54</v>
      </c>
    </row>
    <row r="62" spans="1:7" x14ac:dyDescent="0.25">
      <c r="A62" s="1">
        <v>125</v>
      </c>
      <c r="B62" s="2">
        <v>8780273</v>
      </c>
      <c r="C62" s="3">
        <v>3.2000000000000001E-2</v>
      </c>
      <c r="D62" s="19">
        <v>0.75</v>
      </c>
      <c r="E62" s="4">
        <v>0.15</v>
      </c>
      <c r="F62" s="4">
        <v>0.18</v>
      </c>
      <c r="G62" s="4">
        <v>0.67</v>
      </c>
    </row>
    <row r="63" spans="1:7" x14ac:dyDescent="0.25">
      <c r="A63" s="1">
        <v>126</v>
      </c>
      <c r="B63" s="2">
        <v>9460899</v>
      </c>
      <c r="C63" s="3">
        <v>2.5999999999999999E-2</v>
      </c>
      <c r="D63" s="19">
        <v>0.75</v>
      </c>
      <c r="E63" s="4">
        <v>0.25</v>
      </c>
      <c r="F63" s="4">
        <v>0.19</v>
      </c>
      <c r="G63" s="4">
        <v>0.56000000000000005</v>
      </c>
    </row>
    <row r="64" spans="1:7" x14ac:dyDescent="0.25">
      <c r="A64" s="1">
        <v>127</v>
      </c>
      <c r="B64" s="2">
        <v>9928811</v>
      </c>
      <c r="C64" s="3">
        <v>4.2000000000000003E-2</v>
      </c>
      <c r="D64" s="19">
        <v>0.75</v>
      </c>
      <c r="E64" s="4">
        <v>0.24</v>
      </c>
      <c r="F64" s="4">
        <v>0.19</v>
      </c>
      <c r="G64" s="4">
        <v>0.57000000000000006</v>
      </c>
    </row>
    <row r="65" spans="1:7" x14ac:dyDescent="0.25">
      <c r="A65" s="1">
        <v>129</v>
      </c>
      <c r="B65" s="2">
        <v>9958459</v>
      </c>
      <c r="C65" s="3">
        <v>3.5000000000000003E-2</v>
      </c>
      <c r="D65" s="19">
        <v>0.75</v>
      </c>
      <c r="E65" s="4">
        <v>0.19</v>
      </c>
      <c r="F65" s="4">
        <v>0.23</v>
      </c>
      <c r="G65" s="4">
        <v>0.58000000000000007</v>
      </c>
    </row>
    <row r="66" spans="1:7" x14ac:dyDescent="0.25">
      <c r="A66" s="1">
        <v>134</v>
      </c>
      <c r="B66" s="2">
        <v>9714222</v>
      </c>
      <c r="C66" s="3">
        <v>4.1000000000000002E-2</v>
      </c>
      <c r="D66" s="19">
        <v>0.75</v>
      </c>
      <c r="E66" s="4">
        <v>0.2</v>
      </c>
      <c r="F66" s="4">
        <v>0.23</v>
      </c>
      <c r="G66" s="4">
        <v>0.57000000000000006</v>
      </c>
    </row>
    <row r="67" spans="1:7" x14ac:dyDescent="0.25">
      <c r="A67" s="1">
        <v>135</v>
      </c>
      <c r="B67" s="2">
        <v>8346276</v>
      </c>
      <c r="C67" s="3">
        <v>3.4000000000000002E-2</v>
      </c>
      <c r="D67" s="19">
        <v>0.75</v>
      </c>
      <c r="E67" s="4">
        <v>0.22</v>
      </c>
      <c r="F67" s="4">
        <v>0.33</v>
      </c>
      <c r="G67" s="4">
        <v>0.44999999999999996</v>
      </c>
    </row>
    <row r="68" spans="1:7" x14ac:dyDescent="0.25">
      <c r="A68" s="1">
        <v>137</v>
      </c>
      <c r="B68" s="2">
        <v>8960743</v>
      </c>
      <c r="C68" s="3">
        <v>2.5999999999999999E-2</v>
      </c>
      <c r="D68" s="19">
        <v>0.75</v>
      </c>
      <c r="E68" s="4">
        <v>0.25</v>
      </c>
      <c r="F68" s="4">
        <v>0.28000000000000003</v>
      </c>
      <c r="G68" s="4">
        <v>0.47</v>
      </c>
    </row>
    <row r="69" spans="1:7" x14ac:dyDescent="0.25">
      <c r="A69" s="1">
        <v>139</v>
      </c>
      <c r="B69" s="2">
        <v>7237358</v>
      </c>
      <c r="C69" s="3">
        <v>3.9E-2</v>
      </c>
      <c r="D69" s="19">
        <v>0.75</v>
      </c>
      <c r="E69" s="4">
        <v>0.23</v>
      </c>
      <c r="F69" s="4">
        <v>0.19</v>
      </c>
      <c r="G69" s="4">
        <v>0.58000000000000007</v>
      </c>
    </row>
    <row r="70" spans="1:7" x14ac:dyDescent="0.25">
      <c r="A70" s="1">
        <v>140</v>
      </c>
      <c r="B70" s="2">
        <v>8378917</v>
      </c>
      <c r="C70" s="3">
        <v>2.8000000000000001E-2</v>
      </c>
      <c r="D70" s="19">
        <v>0.75</v>
      </c>
      <c r="E70" s="4">
        <v>0.22</v>
      </c>
      <c r="F70" s="4">
        <v>0.2</v>
      </c>
      <c r="G70" s="4">
        <v>0.58000000000000007</v>
      </c>
    </row>
    <row r="71" spans="1:7" x14ac:dyDescent="0.25">
      <c r="A71" s="1">
        <v>142</v>
      </c>
      <c r="B71" s="2">
        <v>8144504</v>
      </c>
      <c r="C71" s="3">
        <v>3.2000000000000001E-2</v>
      </c>
      <c r="D71" s="19">
        <v>0.75</v>
      </c>
      <c r="E71" s="4">
        <v>0.23</v>
      </c>
      <c r="F71" s="4">
        <v>0.22</v>
      </c>
      <c r="G71" s="4">
        <v>0.55000000000000004</v>
      </c>
    </row>
    <row r="72" spans="1:7" x14ac:dyDescent="0.25">
      <c r="A72" s="1">
        <v>144</v>
      </c>
      <c r="B72" s="2">
        <v>9313368</v>
      </c>
      <c r="C72" s="3">
        <v>2.7E-2</v>
      </c>
      <c r="D72" s="19">
        <v>0.75</v>
      </c>
      <c r="E72" s="4">
        <v>0.21</v>
      </c>
      <c r="F72" s="4">
        <v>0.34</v>
      </c>
      <c r="G72" s="4">
        <v>0.44999999999999996</v>
      </c>
    </row>
    <row r="73" spans="1:7" x14ac:dyDescent="0.25">
      <c r="A73" s="1">
        <v>145</v>
      </c>
      <c r="B73" s="2">
        <v>7910422</v>
      </c>
      <c r="C73" s="3">
        <v>3.1E-2</v>
      </c>
      <c r="D73" s="19">
        <v>0.75</v>
      </c>
      <c r="E73" s="4">
        <v>0.17</v>
      </c>
      <c r="F73" s="4">
        <v>0.22</v>
      </c>
      <c r="G73" s="4">
        <v>0.61</v>
      </c>
    </row>
    <row r="74" spans="1:7" x14ac:dyDescent="0.25">
      <c r="A74" s="1">
        <v>146</v>
      </c>
      <c r="B74" s="2">
        <v>9662820</v>
      </c>
      <c r="C74" s="3">
        <v>4.1000000000000002E-2</v>
      </c>
      <c r="D74" s="19">
        <v>0.75</v>
      </c>
      <c r="E74" s="4">
        <v>0.2</v>
      </c>
      <c r="F74" s="4">
        <v>0.31</v>
      </c>
      <c r="G74" s="4">
        <v>0.48999999999999994</v>
      </c>
    </row>
    <row r="75" spans="1:7" x14ac:dyDescent="0.25">
      <c r="A75" s="1">
        <v>148</v>
      </c>
      <c r="B75" s="2">
        <v>9750668</v>
      </c>
      <c r="C75" s="3">
        <v>4.1000000000000002E-2</v>
      </c>
      <c r="D75" s="19">
        <v>0.75</v>
      </c>
      <c r="E75" s="4">
        <v>0.19</v>
      </c>
      <c r="F75" s="4">
        <v>0.28999999999999998</v>
      </c>
      <c r="G75" s="4">
        <v>0.52</v>
      </c>
    </row>
    <row r="76" spans="1:7" x14ac:dyDescent="0.25">
      <c r="A76" s="1">
        <v>149</v>
      </c>
      <c r="B76" s="2">
        <v>8151572</v>
      </c>
      <c r="C76" s="3">
        <v>3.6999999999999998E-2</v>
      </c>
      <c r="D76" s="19">
        <v>0.75</v>
      </c>
      <c r="E76" s="4">
        <v>0.2</v>
      </c>
      <c r="F76" s="4">
        <v>0.21</v>
      </c>
      <c r="G76" s="4">
        <v>0.59000000000000008</v>
      </c>
    </row>
    <row r="77" spans="1:7" x14ac:dyDescent="0.25">
      <c r="A77" s="1">
        <v>150</v>
      </c>
      <c r="B77" s="2">
        <v>8576580</v>
      </c>
      <c r="C77" s="3">
        <v>3.3000000000000002E-2</v>
      </c>
      <c r="D77" s="19">
        <v>0.75</v>
      </c>
      <c r="E77" s="4">
        <v>0.25</v>
      </c>
      <c r="F77" s="4">
        <v>0.23</v>
      </c>
      <c r="G77" s="4">
        <v>0.52</v>
      </c>
    </row>
    <row r="78" spans="1:7" x14ac:dyDescent="0.25">
      <c r="A78" s="1">
        <v>153</v>
      </c>
      <c r="B78" s="2">
        <v>9176258</v>
      </c>
      <c r="C78" s="3">
        <v>2.9000000000000001E-2</v>
      </c>
      <c r="D78" s="19">
        <v>0.75</v>
      </c>
      <c r="E78" s="4">
        <v>0.2</v>
      </c>
      <c r="F78" s="4">
        <v>0.2</v>
      </c>
      <c r="G78" s="4">
        <v>0.60000000000000009</v>
      </c>
    </row>
    <row r="79" spans="1:7" x14ac:dyDescent="0.25">
      <c r="A79" s="1">
        <v>154</v>
      </c>
      <c r="B79" s="2">
        <v>8191338</v>
      </c>
      <c r="C79" s="3">
        <v>3.5999999999999997E-2</v>
      </c>
      <c r="D79" s="19">
        <v>0.75</v>
      </c>
      <c r="E79" s="4">
        <v>0.24</v>
      </c>
      <c r="F79" s="4">
        <v>0.3</v>
      </c>
      <c r="G79" s="4">
        <v>0.45999999999999996</v>
      </c>
    </row>
    <row r="80" spans="1:7" x14ac:dyDescent="0.25">
      <c r="A80" s="1">
        <v>156</v>
      </c>
      <c r="B80" s="2">
        <v>7428108</v>
      </c>
      <c r="C80" s="3">
        <v>3.9E-2</v>
      </c>
      <c r="D80" s="19">
        <v>0.75</v>
      </c>
      <c r="E80" s="4">
        <v>0.22</v>
      </c>
      <c r="F80" s="4">
        <v>0.24</v>
      </c>
      <c r="G80" s="4">
        <v>0.54</v>
      </c>
    </row>
    <row r="81" spans="1:7" x14ac:dyDescent="0.25">
      <c r="A81" s="1">
        <v>159</v>
      </c>
      <c r="B81" s="2">
        <v>7532631</v>
      </c>
      <c r="C81" s="3">
        <v>4.2999999999999997E-2</v>
      </c>
      <c r="D81" s="19">
        <v>0.75</v>
      </c>
      <c r="E81" s="4">
        <v>0.18</v>
      </c>
      <c r="F81" s="4">
        <v>0.25</v>
      </c>
      <c r="G81" s="4">
        <v>0.57000000000000006</v>
      </c>
    </row>
    <row r="82" spans="1:7" x14ac:dyDescent="0.25">
      <c r="A82" s="1">
        <v>160</v>
      </c>
      <c r="B82" s="2">
        <v>8497424</v>
      </c>
      <c r="C82" s="3">
        <v>2.8000000000000001E-2</v>
      </c>
      <c r="D82" s="19">
        <v>0.75</v>
      </c>
      <c r="E82" s="4">
        <v>0.24</v>
      </c>
      <c r="F82" s="4">
        <v>0.16</v>
      </c>
      <c r="G82" s="4">
        <v>0.6</v>
      </c>
    </row>
    <row r="83" spans="1:7" x14ac:dyDescent="0.25">
      <c r="A83" s="1">
        <v>161</v>
      </c>
      <c r="B83" s="2">
        <v>7847291</v>
      </c>
      <c r="C83" s="3">
        <v>4.1000000000000002E-2</v>
      </c>
      <c r="D83" s="19">
        <v>0.75</v>
      </c>
      <c r="E83" s="4">
        <v>0.18</v>
      </c>
      <c r="F83" s="4">
        <v>0.24</v>
      </c>
      <c r="G83" s="4">
        <v>0.58000000000000007</v>
      </c>
    </row>
    <row r="84" spans="1:7" x14ac:dyDescent="0.25">
      <c r="A84" s="1">
        <v>163</v>
      </c>
      <c r="B84" s="2">
        <v>8553113</v>
      </c>
      <c r="C84" s="3">
        <v>3.1E-2</v>
      </c>
      <c r="D84" s="19">
        <v>0.75</v>
      </c>
      <c r="E84" s="4">
        <v>0.19</v>
      </c>
      <c r="F84" s="4">
        <v>0.22</v>
      </c>
      <c r="G84" s="4">
        <v>0.59000000000000008</v>
      </c>
    </row>
    <row r="85" spans="1:7" x14ac:dyDescent="0.25">
      <c r="A85" s="1">
        <v>164</v>
      </c>
      <c r="B85" s="2">
        <v>8561707</v>
      </c>
      <c r="C85" s="3">
        <v>0.03</v>
      </c>
      <c r="D85" s="19">
        <v>0.75</v>
      </c>
      <c r="E85" s="4">
        <v>0.17</v>
      </c>
      <c r="F85" s="4">
        <v>0.22</v>
      </c>
      <c r="G85" s="4">
        <v>0.61</v>
      </c>
    </row>
    <row r="86" spans="1:7" x14ac:dyDescent="0.25">
      <c r="A86" s="1">
        <v>165</v>
      </c>
      <c r="B86" s="2">
        <v>9045436</v>
      </c>
      <c r="C86" s="3">
        <v>2.8000000000000001E-2</v>
      </c>
      <c r="D86" s="19">
        <v>0.75</v>
      </c>
      <c r="E86" s="4">
        <v>0.16</v>
      </c>
      <c r="F86" s="4">
        <v>0.28000000000000003</v>
      </c>
      <c r="G86" s="4">
        <v>0.55999999999999994</v>
      </c>
    </row>
    <row r="87" spans="1:7" x14ac:dyDescent="0.25">
      <c r="A87" s="1">
        <v>166</v>
      </c>
      <c r="B87" s="2">
        <v>8184495</v>
      </c>
      <c r="C87" s="3">
        <v>3.5999999999999997E-2</v>
      </c>
      <c r="D87" s="19">
        <v>0.75</v>
      </c>
      <c r="E87" s="4">
        <v>0.24</v>
      </c>
      <c r="F87" s="4">
        <v>0.24</v>
      </c>
      <c r="G87" s="4">
        <v>0.52</v>
      </c>
    </row>
    <row r="88" spans="1:7" x14ac:dyDescent="0.25">
      <c r="A88" s="1">
        <v>167</v>
      </c>
      <c r="B88" s="2">
        <v>7469774</v>
      </c>
      <c r="C88" s="3">
        <v>0.04</v>
      </c>
      <c r="D88" s="19">
        <v>0.75</v>
      </c>
      <c r="E88" s="4">
        <v>0.17</v>
      </c>
      <c r="F88" s="4">
        <v>0.28999999999999998</v>
      </c>
      <c r="G88" s="4">
        <v>0.53999999999999992</v>
      </c>
    </row>
    <row r="89" spans="1:7" x14ac:dyDescent="0.25">
      <c r="A89" s="1">
        <v>173</v>
      </c>
      <c r="B89" s="2">
        <v>8127265</v>
      </c>
      <c r="C89" s="3">
        <v>3.1E-2</v>
      </c>
      <c r="D89" s="19">
        <v>0.75</v>
      </c>
      <c r="E89" s="4">
        <v>0.2</v>
      </c>
      <c r="F89" s="4">
        <v>0.28999999999999998</v>
      </c>
      <c r="G89" s="4">
        <v>0.51</v>
      </c>
    </row>
    <row r="90" spans="1:7" x14ac:dyDescent="0.25">
      <c r="A90" s="1">
        <v>174</v>
      </c>
      <c r="B90" s="2">
        <v>9072037</v>
      </c>
      <c r="C90" s="3">
        <v>3.2000000000000001E-2</v>
      </c>
      <c r="D90" s="19">
        <v>0.75</v>
      </c>
      <c r="E90" s="4">
        <v>0.16</v>
      </c>
      <c r="F90" s="4">
        <v>0.33</v>
      </c>
      <c r="G90" s="4">
        <v>0.5099999999999999</v>
      </c>
    </row>
    <row r="91" spans="1:7" x14ac:dyDescent="0.25">
      <c r="A91" s="1">
        <v>175</v>
      </c>
      <c r="B91" s="2">
        <v>7704412</v>
      </c>
      <c r="C91" s="3">
        <v>0.04</v>
      </c>
      <c r="D91" s="19">
        <v>0.75</v>
      </c>
      <c r="E91" s="4">
        <v>0.22</v>
      </c>
      <c r="F91" s="4">
        <v>0.28999999999999998</v>
      </c>
      <c r="G91" s="4">
        <v>0.49</v>
      </c>
    </row>
    <row r="92" spans="1:7" x14ac:dyDescent="0.25">
      <c r="A92" s="1">
        <v>176</v>
      </c>
      <c r="B92" s="2">
        <v>7917008</v>
      </c>
      <c r="C92" s="3">
        <v>0.03</v>
      </c>
      <c r="D92" s="19">
        <v>0.75</v>
      </c>
      <c r="E92" s="4">
        <v>0.23</v>
      </c>
      <c r="F92" s="4">
        <v>0.35</v>
      </c>
      <c r="G92" s="4">
        <v>0.42000000000000004</v>
      </c>
    </row>
    <row r="93" spans="1:7" x14ac:dyDescent="0.25">
      <c r="A93" s="1">
        <v>177</v>
      </c>
      <c r="B93" s="2">
        <v>9683098</v>
      </c>
      <c r="C93" s="3">
        <v>0.03</v>
      </c>
      <c r="D93" s="19">
        <v>0.75</v>
      </c>
      <c r="E93" s="4">
        <v>0.18</v>
      </c>
      <c r="F93" s="4">
        <v>0.24</v>
      </c>
      <c r="G93" s="4">
        <v>0.58000000000000007</v>
      </c>
    </row>
    <row r="94" spans="1:7" x14ac:dyDescent="0.25">
      <c r="A94" s="1">
        <v>178</v>
      </c>
      <c r="B94" s="2">
        <v>9486283</v>
      </c>
      <c r="C94" s="3">
        <v>3.9E-2</v>
      </c>
      <c r="D94" s="19">
        <v>0.75</v>
      </c>
      <c r="E94" s="4">
        <v>0.23</v>
      </c>
      <c r="F94" s="4">
        <v>0.35</v>
      </c>
      <c r="G94" s="4">
        <v>0.42000000000000004</v>
      </c>
    </row>
    <row r="95" spans="1:7" x14ac:dyDescent="0.25">
      <c r="A95" s="1">
        <v>180</v>
      </c>
      <c r="B95" s="2">
        <v>9299198</v>
      </c>
      <c r="C95" s="3">
        <v>4.1000000000000002E-2</v>
      </c>
      <c r="D95" s="19">
        <v>0.75</v>
      </c>
      <c r="E95" s="4">
        <v>0.24</v>
      </c>
      <c r="F95" s="4">
        <v>0.18</v>
      </c>
      <c r="G95" s="4">
        <v>0.58000000000000007</v>
      </c>
    </row>
    <row r="96" spans="1:7" x14ac:dyDescent="0.25">
      <c r="A96" s="1">
        <v>181</v>
      </c>
      <c r="B96" s="2">
        <v>9410021</v>
      </c>
      <c r="C96" s="3">
        <v>3.5999999999999997E-2</v>
      </c>
      <c r="D96" s="19">
        <v>0.75</v>
      </c>
      <c r="E96" s="4">
        <v>0.16</v>
      </c>
      <c r="F96" s="4">
        <v>0.35</v>
      </c>
      <c r="G96" s="4">
        <v>0.49</v>
      </c>
    </row>
    <row r="97" spans="1:7" x14ac:dyDescent="0.25">
      <c r="A97" s="1">
        <v>184</v>
      </c>
      <c r="B97" s="2">
        <v>8668214</v>
      </c>
      <c r="C97" s="3">
        <v>4.2000000000000003E-2</v>
      </c>
      <c r="D97" s="19">
        <v>0.75</v>
      </c>
      <c r="E97" s="4">
        <v>0.19</v>
      </c>
      <c r="F97" s="4">
        <v>0.17</v>
      </c>
      <c r="G97" s="4">
        <v>0.6399999999999999</v>
      </c>
    </row>
    <row r="98" spans="1:7" x14ac:dyDescent="0.25">
      <c r="A98" s="1">
        <v>185</v>
      </c>
      <c r="B98" s="2">
        <v>8517562</v>
      </c>
      <c r="C98" s="3">
        <v>3.9E-2</v>
      </c>
      <c r="D98" s="19">
        <v>0.75</v>
      </c>
      <c r="E98" s="4">
        <v>0.2</v>
      </c>
      <c r="F98" s="4">
        <v>0.34</v>
      </c>
      <c r="G98" s="4">
        <v>0.45999999999999991</v>
      </c>
    </row>
    <row r="99" spans="1:7" x14ac:dyDescent="0.25">
      <c r="A99" s="1">
        <v>186</v>
      </c>
      <c r="B99" s="2">
        <v>9057352</v>
      </c>
      <c r="C99" s="3">
        <v>4.4999999999999998E-2</v>
      </c>
      <c r="D99" s="19">
        <v>0.75</v>
      </c>
      <c r="E99" s="4">
        <v>0.17</v>
      </c>
      <c r="F99" s="4">
        <v>0.28000000000000003</v>
      </c>
      <c r="G99" s="4">
        <v>0.54999999999999993</v>
      </c>
    </row>
    <row r="100" spans="1:7" x14ac:dyDescent="0.25">
      <c r="A100" s="1">
        <v>188</v>
      </c>
      <c r="B100" s="2">
        <v>7968778</v>
      </c>
      <c r="C100" s="3">
        <v>4.4999999999999998E-2</v>
      </c>
      <c r="D100" s="19">
        <v>0.75</v>
      </c>
      <c r="E100" s="4">
        <v>0.2</v>
      </c>
      <c r="F100" s="4">
        <v>0.16</v>
      </c>
      <c r="G100" s="4">
        <v>0.6399999999999999</v>
      </c>
    </row>
    <row r="101" spans="1:7" x14ac:dyDescent="0.25">
      <c r="A101" s="1">
        <v>189</v>
      </c>
      <c r="B101" s="2">
        <v>9985687</v>
      </c>
      <c r="C101" s="3">
        <v>3.5000000000000003E-2</v>
      </c>
      <c r="D101" s="19">
        <v>0.75</v>
      </c>
      <c r="E101" s="4">
        <v>0.23</v>
      </c>
      <c r="F101" s="4">
        <v>0.35</v>
      </c>
      <c r="G101" s="4">
        <v>0.42000000000000004</v>
      </c>
    </row>
    <row r="102" spans="1:7" x14ac:dyDescent="0.25">
      <c r="A102" s="1">
        <v>190</v>
      </c>
      <c r="B102" s="2">
        <v>8432522</v>
      </c>
      <c r="C102" s="3">
        <v>4.4999999999999998E-2</v>
      </c>
      <c r="D102" s="19">
        <v>0.75</v>
      </c>
      <c r="E102" s="4">
        <v>0.15</v>
      </c>
      <c r="F102" s="4">
        <v>0.33</v>
      </c>
      <c r="G102" s="4">
        <v>0.51999999999999991</v>
      </c>
    </row>
    <row r="103" spans="1:7" x14ac:dyDescent="0.25">
      <c r="A103" s="1">
        <v>191</v>
      </c>
      <c r="B103" s="2">
        <v>8795573</v>
      </c>
      <c r="C103" s="3">
        <v>3.6999999999999998E-2</v>
      </c>
      <c r="D103" s="19">
        <v>0.75</v>
      </c>
      <c r="E103" s="4">
        <v>0.24</v>
      </c>
      <c r="F103" s="4">
        <v>0.22</v>
      </c>
      <c r="G103" s="4">
        <v>0.54</v>
      </c>
    </row>
    <row r="104" spans="1:7" x14ac:dyDescent="0.25">
      <c r="A104" s="1">
        <v>192</v>
      </c>
      <c r="B104" s="2">
        <v>8794824</v>
      </c>
      <c r="C104" s="3">
        <v>4.2000000000000003E-2</v>
      </c>
      <c r="D104" s="19">
        <v>0.75</v>
      </c>
      <c r="E104" s="4">
        <v>0.17</v>
      </c>
      <c r="F104" s="4">
        <v>0.17</v>
      </c>
      <c r="G104" s="4">
        <v>0.65999999999999992</v>
      </c>
    </row>
    <row r="105" spans="1:7" x14ac:dyDescent="0.25">
      <c r="A105" s="1">
        <v>193</v>
      </c>
      <c r="B105" s="2">
        <v>9777583</v>
      </c>
      <c r="C105" s="3">
        <v>2.7E-2</v>
      </c>
      <c r="D105" s="19">
        <v>0.75</v>
      </c>
      <c r="E105" s="4">
        <v>0.18</v>
      </c>
      <c r="F105" s="4">
        <v>0.17</v>
      </c>
      <c r="G105" s="4">
        <v>0.64999999999999991</v>
      </c>
    </row>
    <row r="106" spans="1:7" x14ac:dyDescent="0.25">
      <c r="A106" s="1">
        <v>194</v>
      </c>
      <c r="B106" s="2">
        <v>9688664</v>
      </c>
      <c r="C106" s="3">
        <v>3.2000000000000001E-2</v>
      </c>
      <c r="D106" s="19">
        <v>0.75</v>
      </c>
      <c r="E106" s="4">
        <v>0.15</v>
      </c>
      <c r="F106" s="4">
        <v>0.27</v>
      </c>
      <c r="G106" s="4">
        <v>0.57999999999999996</v>
      </c>
    </row>
    <row r="107" spans="1:7" x14ac:dyDescent="0.25">
      <c r="A107" s="1">
        <v>196</v>
      </c>
      <c r="B107" s="2">
        <v>7896819</v>
      </c>
      <c r="C107" s="3">
        <v>0.04</v>
      </c>
      <c r="D107" s="19">
        <v>0.75</v>
      </c>
      <c r="E107" s="4">
        <v>0.21</v>
      </c>
      <c r="F107" s="4">
        <v>0.35</v>
      </c>
      <c r="G107" s="4">
        <v>0.44000000000000006</v>
      </c>
    </row>
    <row r="108" spans="1:7" x14ac:dyDescent="0.25">
      <c r="A108" s="1">
        <v>198</v>
      </c>
      <c r="B108" s="2">
        <v>8476583</v>
      </c>
      <c r="C108" s="3">
        <v>3.5000000000000003E-2</v>
      </c>
      <c r="D108" s="19">
        <v>0.75</v>
      </c>
      <c r="E108" s="4">
        <v>0.24</v>
      </c>
      <c r="F108" s="4">
        <v>0.28000000000000003</v>
      </c>
      <c r="G108" s="4">
        <v>0.48</v>
      </c>
    </row>
    <row r="109" spans="1:7" x14ac:dyDescent="0.25">
      <c r="A109" s="1">
        <v>199</v>
      </c>
      <c r="B109" s="2">
        <v>9281119</v>
      </c>
      <c r="C109" s="3">
        <v>3.5999999999999997E-2</v>
      </c>
      <c r="D109" s="19">
        <v>0.75</v>
      </c>
      <c r="E109" s="4">
        <v>0.22</v>
      </c>
      <c r="F109" s="4">
        <v>0.2</v>
      </c>
      <c r="G109" s="4">
        <v>0.58000000000000007</v>
      </c>
    </row>
    <row r="110" spans="1:7" x14ac:dyDescent="0.25">
      <c r="A110" s="1">
        <v>201</v>
      </c>
      <c r="B110" s="2">
        <v>9146417</v>
      </c>
      <c r="C110" s="3">
        <v>3.9E-2</v>
      </c>
      <c r="D110" s="19">
        <v>0.75</v>
      </c>
      <c r="E110" s="4">
        <v>0.23</v>
      </c>
      <c r="F110" s="4">
        <v>0.24</v>
      </c>
      <c r="G110" s="4">
        <v>0.53</v>
      </c>
    </row>
    <row r="111" spans="1:7" x14ac:dyDescent="0.25">
      <c r="A111" s="1">
        <v>202</v>
      </c>
      <c r="B111" s="2">
        <v>9490096</v>
      </c>
      <c r="C111" s="3">
        <v>3.2000000000000001E-2</v>
      </c>
      <c r="D111" s="19">
        <v>0.75</v>
      </c>
      <c r="E111" s="4">
        <v>0.17</v>
      </c>
      <c r="F111" s="4">
        <v>0.2</v>
      </c>
      <c r="G111" s="4">
        <v>0.63</v>
      </c>
    </row>
    <row r="112" spans="1:7" x14ac:dyDescent="0.25">
      <c r="A112" s="1">
        <v>205</v>
      </c>
      <c r="B112" s="2">
        <v>9755845</v>
      </c>
      <c r="C112" s="3">
        <v>4.1000000000000002E-2</v>
      </c>
      <c r="D112" s="19">
        <v>0.75</v>
      </c>
      <c r="E112" s="4">
        <v>0.22</v>
      </c>
      <c r="F112" s="4">
        <v>0.24</v>
      </c>
      <c r="G112" s="4">
        <v>0.54</v>
      </c>
    </row>
    <row r="113" spans="1:7" x14ac:dyDescent="0.25">
      <c r="A113" s="1">
        <v>206</v>
      </c>
      <c r="B113" s="2">
        <v>7006109</v>
      </c>
      <c r="C113" s="3">
        <v>3.3000000000000002E-2</v>
      </c>
      <c r="D113" s="19">
        <v>0.75</v>
      </c>
      <c r="E113" s="4">
        <v>0.16</v>
      </c>
      <c r="F113" s="4">
        <v>0.32</v>
      </c>
      <c r="G113" s="4">
        <v>0.51999999999999991</v>
      </c>
    </row>
    <row r="114" spans="1:7" x14ac:dyDescent="0.25">
      <c r="A114" s="1">
        <v>207</v>
      </c>
      <c r="B114" s="2">
        <v>9990411</v>
      </c>
      <c r="C114" s="3">
        <v>3.4000000000000002E-2</v>
      </c>
      <c r="D114" s="19">
        <v>0.75</v>
      </c>
      <c r="E114" s="4">
        <v>0.25</v>
      </c>
      <c r="F114" s="4">
        <v>0.17</v>
      </c>
      <c r="G114" s="4">
        <v>0.57999999999999996</v>
      </c>
    </row>
    <row r="115" spans="1:7" x14ac:dyDescent="0.25">
      <c r="A115" s="1">
        <v>210</v>
      </c>
      <c r="B115" s="2">
        <v>7948804</v>
      </c>
      <c r="C115" s="3">
        <v>3.3000000000000002E-2</v>
      </c>
      <c r="D115" s="19">
        <v>0.75</v>
      </c>
      <c r="E115" s="4">
        <v>0.19</v>
      </c>
      <c r="F115" s="4">
        <v>0.27</v>
      </c>
      <c r="G115" s="4">
        <v>0.54</v>
      </c>
    </row>
    <row r="116" spans="1:7" x14ac:dyDescent="0.25">
      <c r="A116" s="1">
        <v>213</v>
      </c>
      <c r="B116" s="2">
        <v>9106240</v>
      </c>
      <c r="C116" s="3">
        <v>4.2999999999999997E-2</v>
      </c>
      <c r="D116" s="19">
        <v>0.75</v>
      </c>
      <c r="E116" s="4">
        <v>0.17</v>
      </c>
      <c r="F116" s="4">
        <v>0.2</v>
      </c>
      <c r="G116" s="4">
        <v>0.63</v>
      </c>
    </row>
    <row r="117" spans="1:7" x14ac:dyDescent="0.25">
      <c r="A117" s="1">
        <v>218</v>
      </c>
      <c r="B117" s="2">
        <v>7750379</v>
      </c>
      <c r="C117" s="3">
        <v>4.3999999999999997E-2</v>
      </c>
      <c r="D117" s="19">
        <v>0.75</v>
      </c>
      <c r="E117" s="4">
        <v>0.2</v>
      </c>
      <c r="F117" s="4">
        <v>0.22</v>
      </c>
      <c r="G117" s="4">
        <v>0.58000000000000007</v>
      </c>
    </row>
    <row r="118" spans="1:7" x14ac:dyDescent="0.25">
      <c r="A118" s="1">
        <v>220</v>
      </c>
      <c r="B118" s="2">
        <v>9185840</v>
      </c>
      <c r="C118" s="3">
        <v>2.7E-2</v>
      </c>
      <c r="D118" s="19">
        <v>0.75</v>
      </c>
      <c r="E118" s="4">
        <v>0.25</v>
      </c>
      <c r="F118" s="4">
        <v>0.21</v>
      </c>
      <c r="G118" s="4">
        <v>0.54</v>
      </c>
    </row>
    <row r="119" spans="1:7" x14ac:dyDescent="0.25">
      <c r="A119" s="1">
        <v>221</v>
      </c>
      <c r="B119" s="2">
        <v>7267662</v>
      </c>
      <c r="C119" s="3">
        <v>2.8000000000000001E-2</v>
      </c>
      <c r="D119" s="19">
        <v>0.75</v>
      </c>
      <c r="E119" s="4">
        <v>0.17</v>
      </c>
      <c r="F119" s="4">
        <v>0.18</v>
      </c>
      <c r="G119" s="4">
        <v>0.65</v>
      </c>
    </row>
    <row r="120" spans="1:7" x14ac:dyDescent="0.25">
      <c r="A120" s="1">
        <v>223</v>
      </c>
      <c r="B120" s="2">
        <v>9099500</v>
      </c>
      <c r="C120" s="3">
        <v>4.1000000000000002E-2</v>
      </c>
      <c r="D120" s="19">
        <v>0.75</v>
      </c>
      <c r="E120" s="4">
        <v>0.19</v>
      </c>
      <c r="F120" s="4">
        <v>0.21</v>
      </c>
      <c r="G120" s="4">
        <v>0.60000000000000009</v>
      </c>
    </row>
    <row r="121" spans="1:7" x14ac:dyDescent="0.25">
      <c r="A121" s="1">
        <v>225</v>
      </c>
      <c r="B121" s="2">
        <v>9858118</v>
      </c>
      <c r="C121" s="3">
        <v>3.2000000000000001E-2</v>
      </c>
      <c r="D121" s="19">
        <v>0.75</v>
      </c>
      <c r="E121" s="4">
        <v>0.21</v>
      </c>
      <c r="F121" s="4">
        <v>0.28999999999999998</v>
      </c>
      <c r="G121" s="4">
        <v>0.5</v>
      </c>
    </row>
    <row r="122" spans="1:7" x14ac:dyDescent="0.25">
      <c r="A122" s="1">
        <v>226</v>
      </c>
      <c r="B122" s="2">
        <v>9998246</v>
      </c>
      <c r="C122" s="3">
        <v>3.5999999999999997E-2</v>
      </c>
      <c r="D122" s="19">
        <v>0.75</v>
      </c>
      <c r="E122" s="4">
        <v>0.15</v>
      </c>
      <c r="F122" s="4">
        <v>0.34</v>
      </c>
      <c r="G122" s="4">
        <v>0.5099999999999999</v>
      </c>
    </row>
    <row r="123" spans="1:7" x14ac:dyDescent="0.25">
      <c r="A123" s="1">
        <v>227</v>
      </c>
      <c r="B123" s="2">
        <v>9285382</v>
      </c>
      <c r="C123" s="3">
        <v>2.5000000000000001E-2</v>
      </c>
      <c r="D123" s="19">
        <v>0.75</v>
      </c>
      <c r="E123" s="4">
        <v>0.19</v>
      </c>
      <c r="F123" s="4">
        <v>0.26</v>
      </c>
      <c r="G123" s="4">
        <v>0.55000000000000004</v>
      </c>
    </row>
    <row r="124" spans="1:7" x14ac:dyDescent="0.25">
      <c r="A124" s="1">
        <v>230</v>
      </c>
      <c r="B124" s="2">
        <v>8496421</v>
      </c>
      <c r="C124" s="3">
        <v>4.2000000000000003E-2</v>
      </c>
      <c r="D124" s="19">
        <v>0.75</v>
      </c>
      <c r="E124" s="4">
        <v>0.15</v>
      </c>
      <c r="F124" s="4">
        <v>0.31</v>
      </c>
      <c r="G124" s="4">
        <v>0.53999999999999992</v>
      </c>
    </row>
    <row r="125" spans="1:7" x14ac:dyDescent="0.25">
      <c r="A125" s="1">
        <v>235</v>
      </c>
      <c r="B125" s="2">
        <v>9787150</v>
      </c>
      <c r="C125" s="3">
        <v>3.5000000000000003E-2</v>
      </c>
      <c r="D125" s="19">
        <v>0.75</v>
      </c>
      <c r="E125" s="4">
        <v>0.25</v>
      </c>
      <c r="F125" s="4">
        <v>0.17</v>
      </c>
      <c r="G125" s="4">
        <v>0.57999999999999996</v>
      </c>
    </row>
    <row r="126" spans="1:7" x14ac:dyDescent="0.25">
      <c r="A126" s="1">
        <v>236</v>
      </c>
      <c r="B126" s="2">
        <v>9858028</v>
      </c>
      <c r="C126" s="3">
        <v>3.5000000000000003E-2</v>
      </c>
      <c r="D126" s="19">
        <v>0.75</v>
      </c>
      <c r="E126" s="4">
        <v>0.17</v>
      </c>
      <c r="F126" s="4">
        <v>0.22</v>
      </c>
      <c r="G126" s="4">
        <v>0.61</v>
      </c>
    </row>
    <row r="127" spans="1:7" x14ac:dyDescent="0.25">
      <c r="A127" s="1">
        <v>237</v>
      </c>
      <c r="B127" s="2">
        <v>9808113</v>
      </c>
      <c r="C127" s="3">
        <v>3.1E-2</v>
      </c>
      <c r="D127" s="19">
        <v>0.75</v>
      </c>
      <c r="E127" s="4">
        <v>0.25</v>
      </c>
      <c r="F127" s="4">
        <v>0.2</v>
      </c>
      <c r="G127" s="4">
        <v>0.55000000000000004</v>
      </c>
    </row>
    <row r="128" spans="1:7" x14ac:dyDescent="0.25">
      <c r="A128" s="1">
        <v>238</v>
      </c>
      <c r="B128" s="2">
        <v>8216178</v>
      </c>
      <c r="C128" s="3">
        <v>3.6999999999999998E-2</v>
      </c>
      <c r="D128" s="19">
        <v>0.75</v>
      </c>
      <c r="E128" s="4">
        <v>0.21</v>
      </c>
      <c r="F128" s="4">
        <v>0.26</v>
      </c>
      <c r="G128" s="4">
        <v>0.53</v>
      </c>
    </row>
    <row r="129" spans="1:7" x14ac:dyDescent="0.25">
      <c r="A129" s="1">
        <v>240</v>
      </c>
      <c r="B129" s="2">
        <v>9830109</v>
      </c>
      <c r="C129" s="3">
        <v>4.1000000000000002E-2</v>
      </c>
      <c r="D129" s="19">
        <v>0.75</v>
      </c>
      <c r="E129" s="4">
        <v>0.21</v>
      </c>
      <c r="F129" s="4">
        <v>0.28000000000000003</v>
      </c>
      <c r="G129" s="4">
        <v>0.51</v>
      </c>
    </row>
    <row r="130" spans="1:7" x14ac:dyDescent="0.25">
      <c r="A130" s="1">
        <v>241</v>
      </c>
      <c r="B130" s="2">
        <v>9297957</v>
      </c>
      <c r="C130" s="3">
        <v>3.5999999999999997E-2</v>
      </c>
      <c r="D130" s="19">
        <v>0.75</v>
      </c>
      <c r="E130" s="4">
        <v>0.19</v>
      </c>
      <c r="F130" s="4">
        <v>0.3</v>
      </c>
      <c r="G130" s="4">
        <v>0.51</v>
      </c>
    </row>
    <row r="131" spans="1:7" x14ac:dyDescent="0.25">
      <c r="A131" s="1">
        <v>242</v>
      </c>
      <c r="B131" s="2">
        <v>8513468</v>
      </c>
      <c r="C131" s="3">
        <v>3.7999999999999999E-2</v>
      </c>
      <c r="D131" s="19">
        <v>0.75</v>
      </c>
      <c r="E131" s="4">
        <v>0.17</v>
      </c>
      <c r="F131" s="4">
        <v>0.34</v>
      </c>
      <c r="G131" s="4">
        <v>0.48999999999999988</v>
      </c>
    </row>
    <row r="132" spans="1:7" x14ac:dyDescent="0.25">
      <c r="A132" s="1">
        <v>245</v>
      </c>
      <c r="B132" s="2">
        <v>8979846</v>
      </c>
      <c r="C132" s="3">
        <v>4.2000000000000003E-2</v>
      </c>
      <c r="D132" s="19">
        <v>0.75</v>
      </c>
      <c r="E132" s="4">
        <v>0.19</v>
      </c>
      <c r="F132" s="4">
        <v>0.17</v>
      </c>
      <c r="G132" s="4">
        <v>0.6399999999999999</v>
      </c>
    </row>
    <row r="133" spans="1:7" x14ac:dyDescent="0.25">
      <c r="A133" s="1">
        <v>246</v>
      </c>
      <c r="B133" s="2">
        <v>8896019</v>
      </c>
      <c r="C133" s="3">
        <v>3.6999999999999998E-2</v>
      </c>
      <c r="D133" s="19">
        <v>0.75</v>
      </c>
      <c r="E133" s="4">
        <v>0.23</v>
      </c>
      <c r="F133" s="4">
        <v>0.15</v>
      </c>
      <c r="G133" s="4">
        <v>0.62</v>
      </c>
    </row>
    <row r="134" spans="1:7" x14ac:dyDescent="0.25">
      <c r="A134" s="1">
        <v>248</v>
      </c>
      <c r="B134" s="2">
        <v>8427690</v>
      </c>
      <c r="C134" s="3">
        <v>4.3999999999999997E-2</v>
      </c>
      <c r="D134" s="19">
        <v>0.75</v>
      </c>
      <c r="E134" s="4">
        <v>0.15</v>
      </c>
      <c r="F134" s="4">
        <v>0.24</v>
      </c>
      <c r="G134" s="4">
        <v>0.61</v>
      </c>
    </row>
    <row r="135" spans="1:7" x14ac:dyDescent="0.25">
      <c r="A135" s="1">
        <v>249</v>
      </c>
      <c r="B135" s="2">
        <v>8904997</v>
      </c>
      <c r="C135" s="3">
        <v>0.04</v>
      </c>
      <c r="D135" s="19">
        <v>0.75</v>
      </c>
      <c r="E135" s="4">
        <v>0.23</v>
      </c>
      <c r="F135" s="4">
        <v>0.32</v>
      </c>
      <c r="G135" s="4">
        <v>0.44999999999999996</v>
      </c>
    </row>
    <row r="136" spans="1:7" x14ac:dyDescent="0.25">
      <c r="A136" s="1">
        <v>252</v>
      </c>
      <c r="B136" s="2">
        <v>7125481</v>
      </c>
      <c r="C136" s="3">
        <v>3.9E-2</v>
      </c>
      <c r="D136" s="19">
        <v>0.75</v>
      </c>
      <c r="E136" s="4">
        <v>0.16</v>
      </c>
      <c r="F136" s="4">
        <v>0.17</v>
      </c>
      <c r="G136" s="4">
        <v>0.66999999999999993</v>
      </c>
    </row>
    <row r="137" spans="1:7" x14ac:dyDescent="0.25">
      <c r="A137" s="1">
        <v>253</v>
      </c>
      <c r="B137" s="2">
        <v>8352782</v>
      </c>
      <c r="C137" s="3">
        <v>3.5000000000000003E-2</v>
      </c>
      <c r="D137" s="19">
        <v>0.75</v>
      </c>
      <c r="E137" s="4">
        <v>0.24</v>
      </c>
      <c r="F137" s="4">
        <v>0.15</v>
      </c>
      <c r="G137" s="4">
        <v>0.61</v>
      </c>
    </row>
    <row r="138" spans="1:7" x14ac:dyDescent="0.25">
      <c r="A138" s="1">
        <v>255</v>
      </c>
      <c r="B138" s="2">
        <v>9384008</v>
      </c>
      <c r="C138" s="3">
        <v>4.3999999999999997E-2</v>
      </c>
      <c r="D138" s="19">
        <v>0.75</v>
      </c>
      <c r="E138" s="4">
        <v>0.22</v>
      </c>
      <c r="F138" s="4">
        <v>0.27</v>
      </c>
      <c r="G138" s="4">
        <v>0.51</v>
      </c>
    </row>
    <row r="139" spans="1:7" x14ac:dyDescent="0.25">
      <c r="A139" s="1">
        <v>258</v>
      </c>
      <c r="B139" s="2">
        <v>9936639</v>
      </c>
      <c r="C139" s="3">
        <v>2.8000000000000001E-2</v>
      </c>
      <c r="D139" s="19">
        <v>0.75</v>
      </c>
      <c r="E139" s="4">
        <v>0.25</v>
      </c>
      <c r="F139" s="4">
        <v>0.22</v>
      </c>
      <c r="G139" s="4">
        <v>0.53</v>
      </c>
    </row>
    <row r="140" spans="1:7" x14ac:dyDescent="0.25">
      <c r="A140" s="1">
        <v>259</v>
      </c>
      <c r="B140" s="2">
        <v>8918801</v>
      </c>
      <c r="C140" s="3">
        <v>3.7999999999999999E-2</v>
      </c>
      <c r="D140" s="19">
        <v>0.75</v>
      </c>
      <c r="E140" s="4">
        <v>0.16</v>
      </c>
      <c r="F140" s="4">
        <v>0.2</v>
      </c>
      <c r="G140" s="4">
        <v>0.64</v>
      </c>
    </row>
    <row r="141" spans="1:7" x14ac:dyDescent="0.25">
      <c r="A141" s="1">
        <v>265</v>
      </c>
      <c r="B141" s="2">
        <v>8728538</v>
      </c>
      <c r="C141" s="3">
        <v>3.6999999999999998E-2</v>
      </c>
      <c r="D141" s="19">
        <v>0.75</v>
      </c>
      <c r="E141" s="4">
        <v>0.21</v>
      </c>
      <c r="F141" s="4">
        <v>0.24</v>
      </c>
      <c r="G141" s="4">
        <v>0.55000000000000004</v>
      </c>
    </row>
    <row r="142" spans="1:7" x14ac:dyDescent="0.25">
      <c r="A142" s="1">
        <v>266</v>
      </c>
      <c r="B142" s="2">
        <v>7577569</v>
      </c>
      <c r="C142" s="3">
        <v>4.3999999999999997E-2</v>
      </c>
      <c r="D142" s="19">
        <v>0.75</v>
      </c>
      <c r="E142" s="4">
        <v>0.2</v>
      </c>
      <c r="F142" s="4">
        <v>0.32</v>
      </c>
      <c r="G142" s="4">
        <v>0.47999999999999993</v>
      </c>
    </row>
    <row r="143" spans="1:7" x14ac:dyDescent="0.25">
      <c r="A143" s="1">
        <v>271</v>
      </c>
      <c r="B143" s="2">
        <v>9966892</v>
      </c>
      <c r="C143" s="3">
        <v>0.03</v>
      </c>
      <c r="D143" s="19">
        <v>0.75</v>
      </c>
      <c r="E143" s="4">
        <v>0.24</v>
      </c>
      <c r="F143" s="4">
        <v>0.17</v>
      </c>
      <c r="G143" s="4">
        <v>0.59</v>
      </c>
    </row>
    <row r="144" spans="1:7" x14ac:dyDescent="0.25">
      <c r="A144" s="1">
        <v>272</v>
      </c>
      <c r="B144" s="2">
        <v>7409940</v>
      </c>
      <c r="C144" s="3">
        <v>0.03</v>
      </c>
      <c r="D144" s="19">
        <v>0.75</v>
      </c>
      <c r="E144" s="4">
        <v>0.2</v>
      </c>
      <c r="F144" s="4">
        <v>0.16</v>
      </c>
      <c r="G144" s="4">
        <v>0.6399999999999999</v>
      </c>
    </row>
    <row r="145" spans="1:7" x14ac:dyDescent="0.25">
      <c r="A145" s="1">
        <v>273</v>
      </c>
      <c r="B145" s="2">
        <v>7095140</v>
      </c>
      <c r="C145" s="3">
        <v>3.6999999999999998E-2</v>
      </c>
      <c r="D145" s="19">
        <v>0.75</v>
      </c>
      <c r="E145" s="4">
        <v>0.16</v>
      </c>
      <c r="F145" s="4">
        <v>0.24</v>
      </c>
      <c r="G145" s="4">
        <v>0.6</v>
      </c>
    </row>
    <row r="146" spans="1:7" x14ac:dyDescent="0.25">
      <c r="A146" s="1">
        <v>274</v>
      </c>
      <c r="B146" s="2">
        <v>9164149</v>
      </c>
      <c r="C146" s="3">
        <v>0.04</v>
      </c>
      <c r="D146" s="19">
        <v>0.75</v>
      </c>
      <c r="E146" s="4">
        <v>0.15</v>
      </c>
      <c r="F146" s="4">
        <v>0.17</v>
      </c>
      <c r="G146" s="4">
        <v>0.67999999999999994</v>
      </c>
    </row>
    <row r="147" spans="1:7" x14ac:dyDescent="0.25">
      <c r="A147" s="1">
        <v>276</v>
      </c>
      <c r="B147" s="2">
        <v>8338377</v>
      </c>
      <c r="C147" s="3">
        <v>3.4000000000000002E-2</v>
      </c>
      <c r="D147" s="19">
        <v>0.75</v>
      </c>
      <c r="E147" s="4">
        <v>0.23</v>
      </c>
      <c r="F147" s="4">
        <v>0.18</v>
      </c>
      <c r="G147" s="4">
        <v>0.59000000000000008</v>
      </c>
    </row>
    <row r="148" spans="1:7" x14ac:dyDescent="0.25">
      <c r="A148" s="1">
        <v>279</v>
      </c>
      <c r="B148" s="2">
        <v>9432962</v>
      </c>
      <c r="C148" s="3">
        <v>4.1000000000000002E-2</v>
      </c>
      <c r="D148" s="19">
        <v>0.75</v>
      </c>
      <c r="E148" s="4">
        <v>0.16</v>
      </c>
      <c r="F148" s="4">
        <v>0.21</v>
      </c>
      <c r="G148" s="4">
        <v>0.63</v>
      </c>
    </row>
    <row r="149" spans="1:7" x14ac:dyDescent="0.25">
      <c r="A149" s="1">
        <v>281</v>
      </c>
      <c r="B149" s="2">
        <v>8211716</v>
      </c>
      <c r="C149" s="3">
        <v>3.9E-2</v>
      </c>
      <c r="D149" s="19">
        <v>0.75</v>
      </c>
      <c r="E149" s="4">
        <v>0.19</v>
      </c>
      <c r="F149" s="4">
        <v>0.16</v>
      </c>
      <c r="G149" s="4">
        <v>0.64999999999999991</v>
      </c>
    </row>
    <row r="150" spans="1:7" x14ac:dyDescent="0.25">
      <c r="A150" s="1">
        <v>284</v>
      </c>
      <c r="B150" s="2">
        <v>7643688</v>
      </c>
      <c r="C150" s="3">
        <v>3.5999999999999997E-2</v>
      </c>
      <c r="D150" s="19">
        <v>0.75</v>
      </c>
      <c r="E150" s="4">
        <v>0.19</v>
      </c>
      <c r="F150" s="4">
        <v>0.22</v>
      </c>
      <c r="G150" s="4">
        <v>0.59000000000000008</v>
      </c>
    </row>
    <row r="151" spans="1:7" x14ac:dyDescent="0.25">
      <c r="A151" s="1">
        <v>286</v>
      </c>
      <c r="B151" s="2">
        <v>8115423</v>
      </c>
      <c r="C151" s="3">
        <v>2.9000000000000001E-2</v>
      </c>
      <c r="D151" s="19">
        <v>0.75</v>
      </c>
      <c r="E151" s="4">
        <v>0.18</v>
      </c>
      <c r="F151" s="4">
        <v>0.32</v>
      </c>
      <c r="G151" s="4">
        <v>0.49999999999999994</v>
      </c>
    </row>
    <row r="152" spans="1:7" x14ac:dyDescent="0.25">
      <c r="A152" s="1">
        <v>287</v>
      </c>
      <c r="B152" s="2">
        <v>7797897</v>
      </c>
      <c r="C152" s="3">
        <v>2.9000000000000001E-2</v>
      </c>
      <c r="D152" s="19">
        <v>0.75</v>
      </c>
      <c r="E152" s="4">
        <v>0.25</v>
      </c>
      <c r="F152" s="4">
        <v>0.16</v>
      </c>
      <c r="G152" s="4">
        <v>0.59</v>
      </c>
    </row>
    <row r="153" spans="1:7" x14ac:dyDescent="0.25">
      <c r="A153" s="1">
        <v>289</v>
      </c>
      <c r="B153" s="2">
        <v>8019173</v>
      </c>
      <c r="C153" s="3">
        <v>4.2999999999999997E-2</v>
      </c>
      <c r="D153" s="19">
        <v>0.75</v>
      </c>
      <c r="E153" s="4">
        <v>0.19</v>
      </c>
      <c r="F153" s="4">
        <v>0.16</v>
      </c>
      <c r="G153" s="4">
        <v>0.64999999999999991</v>
      </c>
    </row>
    <row r="154" spans="1:7" x14ac:dyDescent="0.25">
      <c r="A154" s="1">
        <v>290</v>
      </c>
      <c r="B154" s="2">
        <v>8171481</v>
      </c>
      <c r="C154" s="3">
        <v>0.04</v>
      </c>
      <c r="D154" s="19">
        <v>0.75</v>
      </c>
      <c r="E154" s="4">
        <v>0.23</v>
      </c>
      <c r="F154" s="4">
        <v>0.32</v>
      </c>
      <c r="G154" s="4">
        <v>0.44999999999999996</v>
      </c>
    </row>
    <row r="155" spans="1:7" x14ac:dyDescent="0.25">
      <c r="A155" s="1">
        <v>291</v>
      </c>
      <c r="B155" s="2">
        <v>9862878</v>
      </c>
      <c r="C155" s="3">
        <v>3.3000000000000002E-2</v>
      </c>
      <c r="D155" s="19">
        <v>0.75</v>
      </c>
      <c r="E155" s="4">
        <v>0.23</v>
      </c>
      <c r="F155" s="4">
        <v>0.18</v>
      </c>
      <c r="G155" s="4">
        <v>0.59000000000000008</v>
      </c>
    </row>
    <row r="156" spans="1:7" x14ac:dyDescent="0.25">
      <c r="A156" s="1">
        <v>295</v>
      </c>
      <c r="B156" s="2">
        <v>8963431</v>
      </c>
      <c r="C156" s="3">
        <v>0.04</v>
      </c>
      <c r="D156" s="19">
        <v>0.75</v>
      </c>
      <c r="E156" s="4">
        <v>0.22</v>
      </c>
      <c r="F156" s="4">
        <v>0.22</v>
      </c>
      <c r="G156" s="4">
        <v>0.56000000000000005</v>
      </c>
    </row>
    <row r="157" spans="1:7" x14ac:dyDescent="0.25">
      <c r="A157" s="1">
        <v>296</v>
      </c>
      <c r="B157" s="2">
        <v>7834430</v>
      </c>
      <c r="C157" s="3">
        <v>3.3000000000000002E-2</v>
      </c>
      <c r="D157" s="19">
        <v>0.75</v>
      </c>
      <c r="E157" s="4">
        <v>0.22</v>
      </c>
      <c r="F157" s="4">
        <v>0.23</v>
      </c>
      <c r="G157" s="4">
        <v>0.55000000000000004</v>
      </c>
    </row>
    <row r="158" spans="1:7" x14ac:dyDescent="0.25">
      <c r="A158" s="1">
        <v>297</v>
      </c>
      <c r="B158" s="2">
        <v>7495561</v>
      </c>
      <c r="C158" s="3">
        <v>4.3999999999999997E-2</v>
      </c>
      <c r="D158" s="19">
        <v>0.75</v>
      </c>
      <c r="E158" s="4">
        <v>0.17</v>
      </c>
      <c r="F158" s="4">
        <v>0.33</v>
      </c>
      <c r="G158" s="4">
        <v>0.49999999999999989</v>
      </c>
    </row>
    <row r="159" spans="1:7" x14ac:dyDescent="0.25">
      <c r="A159" s="1">
        <v>299</v>
      </c>
      <c r="B159" s="2">
        <v>7608602</v>
      </c>
      <c r="C159" s="3">
        <v>4.4999999999999998E-2</v>
      </c>
      <c r="D159" s="19">
        <v>0.75</v>
      </c>
      <c r="E159" s="4">
        <v>0.2</v>
      </c>
      <c r="F159" s="4">
        <v>0.25</v>
      </c>
      <c r="G159" s="4">
        <v>0.55000000000000004</v>
      </c>
    </row>
    <row r="160" spans="1:7" x14ac:dyDescent="0.25">
      <c r="A160" s="1">
        <v>300</v>
      </c>
      <c r="B160" s="2">
        <v>9331665</v>
      </c>
      <c r="C160" s="3">
        <v>3.4000000000000002E-2</v>
      </c>
      <c r="D160" s="19">
        <v>0.75</v>
      </c>
      <c r="E160" s="4">
        <v>0.21</v>
      </c>
      <c r="F160" s="4">
        <v>0.28000000000000003</v>
      </c>
      <c r="G160" s="4">
        <v>0.51</v>
      </c>
    </row>
    <row r="161" spans="1:7" x14ac:dyDescent="0.25">
      <c r="A161" s="1">
        <v>301</v>
      </c>
      <c r="B161" s="2">
        <v>8060352</v>
      </c>
      <c r="C161" s="3">
        <v>2.5999999999999999E-2</v>
      </c>
      <c r="D161" s="19">
        <v>0.75</v>
      </c>
      <c r="E161" s="4">
        <v>0.19</v>
      </c>
      <c r="F161" s="4">
        <v>0.28000000000000003</v>
      </c>
      <c r="G161" s="4">
        <v>0.53</v>
      </c>
    </row>
    <row r="162" spans="1:7" x14ac:dyDescent="0.25">
      <c r="A162" s="1">
        <v>302</v>
      </c>
      <c r="B162" s="2">
        <v>9064474</v>
      </c>
      <c r="C162" s="3">
        <v>3.2000000000000001E-2</v>
      </c>
      <c r="D162" s="19">
        <v>0.75</v>
      </c>
      <c r="E162" s="4">
        <v>0.16</v>
      </c>
      <c r="F162" s="4">
        <v>0.35</v>
      </c>
      <c r="G162" s="4">
        <v>0.49</v>
      </c>
    </row>
    <row r="163" spans="1:7" x14ac:dyDescent="0.25">
      <c r="A163" s="1">
        <v>303</v>
      </c>
      <c r="B163" s="2">
        <v>7276825</v>
      </c>
      <c r="C163" s="3">
        <v>3.4000000000000002E-2</v>
      </c>
      <c r="D163" s="19">
        <v>0.75</v>
      </c>
      <c r="E163" s="4">
        <v>0.23</v>
      </c>
      <c r="F163" s="4">
        <v>0.3</v>
      </c>
      <c r="G163" s="4">
        <v>0.47</v>
      </c>
    </row>
    <row r="164" spans="1:7" x14ac:dyDescent="0.25">
      <c r="A164" s="1">
        <v>304</v>
      </c>
      <c r="B164" s="2">
        <v>9908868</v>
      </c>
      <c r="C164" s="3">
        <v>2.8000000000000001E-2</v>
      </c>
      <c r="D164" s="19">
        <v>0.75</v>
      </c>
      <c r="E164" s="4">
        <v>0.25</v>
      </c>
      <c r="F164" s="4">
        <v>0.28000000000000003</v>
      </c>
      <c r="G164" s="4">
        <v>0.47</v>
      </c>
    </row>
    <row r="165" spans="1:7" x14ac:dyDescent="0.25">
      <c r="A165" s="1">
        <v>305</v>
      </c>
      <c r="B165" s="2">
        <v>9609044</v>
      </c>
      <c r="C165" s="3">
        <v>3.9E-2</v>
      </c>
      <c r="D165" s="19">
        <v>0.75</v>
      </c>
      <c r="E165" s="4">
        <v>0.22</v>
      </c>
      <c r="F165" s="4">
        <v>0.26</v>
      </c>
      <c r="G165" s="4">
        <v>0.52</v>
      </c>
    </row>
    <row r="166" spans="1:7" x14ac:dyDescent="0.25">
      <c r="A166" s="1">
        <v>308</v>
      </c>
      <c r="B166" s="2">
        <v>8273228</v>
      </c>
      <c r="C166" s="3">
        <v>4.1000000000000002E-2</v>
      </c>
      <c r="D166" s="19">
        <v>0.75</v>
      </c>
      <c r="E166" s="4">
        <v>0.25</v>
      </c>
      <c r="F166" s="4">
        <v>0.23</v>
      </c>
      <c r="G166" s="4">
        <v>0.52</v>
      </c>
    </row>
    <row r="167" spans="1:7" x14ac:dyDescent="0.25">
      <c r="A167" s="1">
        <v>309</v>
      </c>
      <c r="B167" s="2">
        <v>7347393</v>
      </c>
      <c r="C167" s="3">
        <v>2.7E-2</v>
      </c>
      <c r="D167" s="19">
        <v>0.75</v>
      </c>
      <c r="E167" s="4">
        <v>0.16</v>
      </c>
      <c r="F167" s="4">
        <v>0.2</v>
      </c>
      <c r="G167" s="4">
        <v>0.64</v>
      </c>
    </row>
    <row r="168" spans="1:7" x14ac:dyDescent="0.25">
      <c r="A168" s="1">
        <v>310</v>
      </c>
      <c r="B168" s="2">
        <v>9032607</v>
      </c>
      <c r="C168" s="3">
        <v>3.7999999999999999E-2</v>
      </c>
      <c r="D168" s="19">
        <v>0.75</v>
      </c>
      <c r="E168" s="4">
        <v>0.22</v>
      </c>
      <c r="F168" s="4">
        <v>0.31</v>
      </c>
      <c r="G168" s="4">
        <v>0.47</v>
      </c>
    </row>
    <row r="169" spans="1:7" x14ac:dyDescent="0.25">
      <c r="A169" s="1">
        <v>311</v>
      </c>
      <c r="B169" s="2">
        <v>8465280</v>
      </c>
      <c r="C169" s="3">
        <v>3.5000000000000003E-2</v>
      </c>
      <c r="D169" s="19">
        <v>0.75</v>
      </c>
      <c r="E169" s="4">
        <v>0.18</v>
      </c>
      <c r="F169" s="4">
        <v>0.2</v>
      </c>
      <c r="G169" s="4">
        <v>0.62000000000000011</v>
      </c>
    </row>
    <row r="170" spans="1:7" x14ac:dyDescent="0.25">
      <c r="A170" s="1">
        <v>312</v>
      </c>
      <c r="B170" s="2">
        <v>8036238</v>
      </c>
      <c r="C170" s="3">
        <v>3.4000000000000002E-2</v>
      </c>
      <c r="D170" s="19">
        <v>0.75</v>
      </c>
      <c r="E170" s="4">
        <v>0.17</v>
      </c>
      <c r="F170" s="4">
        <v>0.3</v>
      </c>
      <c r="G170" s="4">
        <v>0.52999999999999992</v>
      </c>
    </row>
    <row r="171" spans="1:7" x14ac:dyDescent="0.25">
      <c r="A171" s="1">
        <v>313</v>
      </c>
      <c r="B171" s="2">
        <v>9423823</v>
      </c>
      <c r="C171" s="3">
        <v>3.1E-2</v>
      </c>
      <c r="D171" s="19">
        <v>0.75</v>
      </c>
      <c r="E171" s="4">
        <v>0.25</v>
      </c>
      <c r="F171" s="4">
        <v>0.19</v>
      </c>
      <c r="G171" s="4">
        <v>0.56000000000000005</v>
      </c>
    </row>
    <row r="172" spans="1:7" x14ac:dyDescent="0.25">
      <c r="A172" s="1">
        <v>317</v>
      </c>
      <c r="B172" s="2">
        <v>8190367</v>
      </c>
      <c r="C172" s="3">
        <v>3.6999999999999998E-2</v>
      </c>
      <c r="D172" s="19">
        <v>0.75</v>
      </c>
      <c r="E172" s="4">
        <v>0.25</v>
      </c>
      <c r="F172" s="4">
        <v>0.19</v>
      </c>
      <c r="G172" s="4">
        <v>0.56000000000000005</v>
      </c>
    </row>
    <row r="173" spans="1:7" x14ac:dyDescent="0.25">
      <c r="A173" s="1">
        <v>318</v>
      </c>
      <c r="B173" s="2">
        <v>7243588</v>
      </c>
      <c r="C173" s="3">
        <v>4.1000000000000002E-2</v>
      </c>
      <c r="D173" s="19">
        <v>0.75</v>
      </c>
      <c r="E173" s="4">
        <v>0.16</v>
      </c>
      <c r="F173" s="4">
        <v>0.35</v>
      </c>
      <c r="G173" s="4">
        <v>0.49</v>
      </c>
    </row>
    <row r="174" spans="1:7" x14ac:dyDescent="0.25">
      <c r="A174" s="1">
        <v>319</v>
      </c>
      <c r="B174" s="2">
        <v>7761096</v>
      </c>
      <c r="C174" s="3">
        <v>2.8000000000000001E-2</v>
      </c>
      <c r="D174" s="19">
        <v>0.75</v>
      </c>
      <c r="E174" s="4">
        <v>0.25</v>
      </c>
      <c r="F174" s="4">
        <v>0.2</v>
      </c>
      <c r="G174" s="4">
        <v>0.55000000000000004</v>
      </c>
    </row>
    <row r="175" spans="1:7" x14ac:dyDescent="0.25">
      <c r="A175" s="1">
        <v>320</v>
      </c>
      <c r="B175" s="2">
        <v>8358466</v>
      </c>
      <c r="C175" s="3">
        <v>3.7999999999999999E-2</v>
      </c>
      <c r="D175" s="19">
        <v>0.75</v>
      </c>
      <c r="E175" s="4">
        <v>0.15</v>
      </c>
      <c r="F175" s="4">
        <v>0.18</v>
      </c>
      <c r="G175" s="4">
        <v>0.67</v>
      </c>
    </row>
    <row r="176" spans="1:7" x14ac:dyDescent="0.25">
      <c r="A176" s="1">
        <v>321</v>
      </c>
      <c r="B176" s="2">
        <v>8314065</v>
      </c>
      <c r="C176" s="3">
        <v>2.5999999999999999E-2</v>
      </c>
      <c r="D176" s="19">
        <v>0.75</v>
      </c>
      <c r="E176" s="4">
        <v>0.21</v>
      </c>
      <c r="F176" s="4">
        <v>0.28000000000000003</v>
      </c>
      <c r="G176" s="4">
        <v>0.51</v>
      </c>
    </row>
    <row r="177" spans="1:7" x14ac:dyDescent="0.25">
      <c r="A177" s="1">
        <v>324</v>
      </c>
      <c r="B177" s="2">
        <v>8962166</v>
      </c>
      <c r="C177" s="3">
        <v>2.5999999999999999E-2</v>
      </c>
      <c r="D177" s="19">
        <v>0.75</v>
      </c>
      <c r="E177" s="4">
        <v>0.22</v>
      </c>
      <c r="F177" s="4">
        <v>0.35</v>
      </c>
      <c r="G177" s="4">
        <v>0.43000000000000005</v>
      </c>
    </row>
    <row r="178" spans="1:7" x14ac:dyDescent="0.25">
      <c r="A178" s="1">
        <v>325</v>
      </c>
      <c r="B178" s="2">
        <v>7688833</v>
      </c>
      <c r="C178" s="3">
        <v>2.5999999999999999E-2</v>
      </c>
      <c r="D178" s="19">
        <v>0.75</v>
      </c>
      <c r="E178" s="4">
        <v>0.23</v>
      </c>
      <c r="F178" s="4">
        <v>0.35</v>
      </c>
      <c r="G178" s="4">
        <v>0.42000000000000004</v>
      </c>
    </row>
    <row r="179" spans="1:7" x14ac:dyDescent="0.25">
      <c r="A179" s="1">
        <v>326</v>
      </c>
      <c r="B179" s="2">
        <v>7211777</v>
      </c>
      <c r="C179" s="3">
        <v>4.1000000000000002E-2</v>
      </c>
      <c r="D179" s="19">
        <v>0.75</v>
      </c>
      <c r="E179" s="4">
        <v>0.21</v>
      </c>
      <c r="F179" s="4">
        <v>0.2</v>
      </c>
      <c r="G179" s="4">
        <v>0.59000000000000008</v>
      </c>
    </row>
    <row r="180" spans="1:7" x14ac:dyDescent="0.25">
      <c r="A180" s="1">
        <v>329</v>
      </c>
      <c r="B180" s="2">
        <v>8484455</v>
      </c>
      <c r="C180" s="3">
        <v>2.7E-2</v>
      </c>
      <c r="D180" s="19">
        <v>0.75</v>
      </c>
      <c r="E180" s="4">
        <v>0.24</v>
      </c>
      <c r="F180" s="4">
        <v>0.15</v>
      </c>
      <c r="G180" s="4">
        <v>0.61</v>
      </c>
    </row>
    <row r="181" spans="1:7" x14ac:dyDescent="0.25">
      <c r="A181" s="1">
        <v>332</v>
      </c>
      <c r="B181" s="2">
        <v>9357298</v>
      </c>
      <c r="C181" s="3">
        <v>3.6999999999999998E-2</v>
      </c>
      <c r="D181" s="19">
        <v>0.75</v>
      </c>
      <c r="E181" s="4">
        <v>0.22</v>
      </c>
      <c r="F181" s="4">
        <v>0.24</v>
      </c>
      <c r="G181" s="4">
        <v>0.54</v>
      </c>
    </row>
    <row r="182" spans="1:7" x14ac:dyDescent="0.25">
      <c r="A182" s="1">
        <v>333</v>
      </c>
      <c r="B182" s="2">
        <v>8240539</v>
      </c>
      <c r="C182" s="3">
        <v>3.7999999999999999E-2</v>
      </c>
      <c r="D182" s="19">
        <v>0.75</v>
      </c>
      <c r="E182" s="4">
        <v>0.18</v>
      </c>
      <c r="F182" s="4">
        <v>0.21</v>
      </c>
      <c r="G182" s="4">
        <v>0.6100000000000001</v>
      </c>
    </row>
    <row r="183" spans="1:7" x14ac:dyDescent="0.25">
      <c r="A183" s="1">
        <v>336</v>
      </c>
      <c r="B183" s="2">
        <v>8592072</v>
      </c>
      <c r="C183" s="3">
        <v>4.3999999999999997E-2</v>
      </c>
      <c r="D183" s="19">
        <v>0.75</v>
      </c>
      <c r="E183" s="4">
        <v>0.2</v>
      </c>
      <c r="F183" s="4">
        <v>0.35</v>
      </c>
      <c r="G183" s="4">
        <v>0.45</v>
      </c>
    </row>
    <row r="184" spans="1:7" x14ac:dyDescent="0.25">
      <c r="A184" s="1">
        <v>337</v>
      </c>
      <c r="B184" s="2">
        <v>7276588</v>
      </c>
      <c r="C184" s="3">
        <v>2.5999999999999999E-2</v>
      </c>
      <c r="D184" s="19">
        <v>0.75</v>
      </c>
      <c r="E184" s="4">
        <v>0.18</v>
      </c>
      <c r="F184" s="4">
        <v>0.22</v>
      </c>
      <c r="G184" s="4">
        <v>0.60000000000000009</v>
      </c>
    </row>
    <row r="185" spans="1:7" x14ac:dyDescent="0.25">
      <c r="A185" s="1">
        <v>338</v>
      </c>
      <c r="B185" s="2">
        <v>8467316</v>
      </c>
      <c r="C185" s="3">
        <v>3.5999999999999997E-2</v>
      </c>
      <c r="D185" s="19">
        <v>0.75</v>
      </c>
      <c r="E185" s="4">
        <v>0.2</v>
      </c>
      <c r="F185" s="4">
        <v>0.28000000000000003</v>
      </c>
      <c r="G185" s="4">
        <v>0.52</v>
      </c>
    </row>
    <row r="186" spans="1:7" x14ac:dyDescent="0.25">
      <c r="A186" s="1">
        <v>340</v>
      </c>
      <c r="B186" s="2">
        <v>7256860</v>
      </c>
      <c r="C186" s="3">
        <v>2.7E-2</v>
      </c>
      <c r="D186" s="19">
        <v>0.75</v>
      </c>
      <c r="E186" s="4">
        <v>0.25</v>
      </c>
      <c r="F186" s="4">
        <v>0.27</v>
      </c>
      <c r="G186" s="4">
        <v>0.48</v>
      </c>
    </row>
    <row r="187" spans="1:7" x14ac:dyDescent="0.25">
      <c r="A187" s="1">
        <v>344</v>
      </c>
      <c r="B187" s="2">
        <v>8665571</v>
      </c>
      <c r="C187" s="3">
        <v>4.4999999999999998E-2</v>
      </c>
      <c r="D187" s="19">
        <v>0.75</v>
      </c>
      <c r="E187" s="4">
        <v>0.24</v>
      </c>
      <c r="F187" s="4">
        <v>0.23</v>
      </c>
      <c r="G187" s="4">
        <v>0.53</v>
      </c>
    </row>
    <row r="188" spans="1:7" x14ac:dyDescent="0.25">
      <c r="A188" s="1">
        <v>4</v>
      </c>
      <c r="B188" s="2">
        <v>6073176</v>
      </c>
      <c r="C188" s="3">
        <v>2.8000000000000001E-2</v>
      </c>
      <c r="D188" s="19">
        <v>0.67</v>
      </c>
      <c r="E188" s="4">
        <v>0.16</v>
      </c>
      <c r="F188" s="4">
        <v>0.34</v>
      </c>
      <c r="G188" s="4">
        <v>0.49999999999999989</v>
      </c>
    </row>
    <row r="189" spans="1:7" x14ac:dyDescent="0.25">
      <c r="A189" s="1">
        <v>5</v>
      </c>
      <c r="B189" s="2">
        <v>6394691</v>
      </c>
      <c r="C189" s="3">
        <v>3.7999999999999999E-2</v>
      </c>
      <c r="D189" s="19">
        <v>0.67</v>
      </c>
      <c r="E189" s="4">
        <v>0.17</v>
      </c>
      <c r="F189" s="4">
        <v>0.16</v>
      </c>
      <c r="G189" s="4">
        <v>0.66999999999999993</v>
      </c>
    </row>
    <row r="190" spans="1:7" x14ac:dyDescent="0.25">
      <c r="A190" s="1">
        <v>6</v>
      </c>
      <c r="B190" s="2">
        <v>6489866</v>
      </c>
      <c r="C190" s="3">
        <v>3.9E-2</v>
      </c>
      <c r="D190" s="19">
        <v>0.67</v>
      </c>
      <c r="E190" s="4">
        <v>0.15</v>
      </c>
      <c r="F190" s="4">
        <v>0.21</v>
      </c>
      <c r="G190" s="4">
        <v>0.64</v>
      </c>
    </row>
    <row r="191" spans="1:7" x14ac:dyDescent="0.25">
      <c r="A191" s="1">
        <v>7</v>
      </c>
      <c r="B191" s="2">
        <v>6161911</v>
      </c>
      <c r="C191" s="3">
        <v>0.03</v>
      </c>
      <c r="D191" s="19">
        <v>0.67</v>
      </c>
      <c r="E191" s="4">
        <v>0.22</v>
      </c>
      <c r="F191" s="4">
        <v>0.16</v>
      </c>
      <c r="G191" s="4">
        <v>0.62</v>
      </c>
    </row>
    <row r="192" spans="1:7" x14ac:dyDescent="0.25">
      <c r="A192" s="1">
        <v>10</v>
      </c>
      <c r="B192" s="2">
        <v>5917866</v>
      </c>
      <c r="C192" s="3">
        <v>3.1E-2</v>
      </c>
      <c r="D192" s="19">
        <v>0.67</v>
      </c>
      <c r="E192" s="4">
        <v>0.19</v>
      </c>
      <c r="F192" s="4">
        <v>0.27</v>
      </c>
      <c r="G192" s="4">
        <v>0.54</v>
      </c>
    </row>
    <row r="193" spans="1:7" x14ac:dyDescent="0.25">
      <c r="A193" s="1">
        <v>11</v>
      </c>
      <c r="B193" s="2">
        <v>5807244</v>
      </c>
      <c r="C193" s="3">
        <v>3.2000000000000001E-2</v>
      </c>
      <c r="D193" s="19">
        <v>0.67</v>
      </c>
      <c r="E193" s="4">
        <v>0.18</v>
      </c>
      <c r="F193" s="4">
        <v>0.19</v>
      </c>
      <c r="G193" s="4">
        <v>0.63000000000000012</v>
      </c>
    </row>
    <row r="194" spans="1:7" x14ac:dyDescent="0.25">
      <c r="A194" s="1">
        <v>14</v>
      </c>
      <c r="B194" s="2">
        <v>5996248</v>
      </c>
      <c r="C194" s="3">
        <v>2.5000000000000001E-2</v>
      </c>
      <c r="D194" s="19">
        <v>0.67</v>
      </c>
      <c r="E194" s="4">
        <v>0.16</v>
      </c>
      <c r="F194" s="4">
        <v>0.24</v>
      </c>
      <c r="G194" s="4">
        <v>0.6</v>
      </c>
    </row>
    <row r="195" spans="1:7" x14ac:dyDescent="0.25">
      <c r="A195" s="1">
        <v>19</v>
      </c>
      <c r="B195" s="2">
        <v>5953888</v>
      </c>
      <c r="C195" s="3">
        <v>3.7999999999999999E-2</v>
      </c>
      <c r="D195" s="19">
        <v>0.67</v>
      </c>
      <c r="E195" s="4">
        <v>0.22</v>
      </c>
      <c r="F195" s="4">
        <v>0.33</v>
      </c>
      <c r="G195" s="4">
        <v>0.44999999999999996</v>
      </c>
    </row>
    <row r="196" spans="1:7" x14ac:dyDescent="0.25">
      <c r="A196" s="1">
        <v>24</v>
      </c>
      <c r="B196" s="2">
        <v>5861715</v>
      </c>
      <c r="C196" s="3">
        <v>3.5000000000000003E-2</v>
      </c>
      <c r="D196" s="19">
        <v>0.67</v>
      </c>
      <c r="E196" s="4">
        <v>0.15</v>
      </c>
      <c r="F196" s="4">
        <v>0.2</v>
      </c>
      <c r="G196" s="4">
        <v>0.65</v>
      </c>
    </row>
    <row r="197" spans="1:7" x14ac:dyDescent="0.25">
      <c r="A197" s="1">
        <v>27</v>
      </c>
      <c r="B197" s="2">
        <v>6793665</v>
      </c>
      <c r="C197" s="3">
        <v>3.1E-2</v>
      </c>
      <c r="D197" s="19">
        <v>0.67</v>
      </c>
      <c r="E197" s="4">
        <v>0.22</v>
      </c>
      <c r="F197" s="4">
        <v>0.31</v>
      </c>
      <c r="G197" s="4">
        <v>0.47</v>
      </c>
    </row>
    <row r="198" spans="1:7" x14ac:dyDescent="0.25">
      <c r="A198" s="1">
        <v>28</v>
      </c>
      <c r="B198" s="2">
        <v>5747727</v>
      </c>
      <c r="C198" s="3">
        <v>3.4000000000000002E-2</v>
      </c>
      <c r="D198" s="19">
        <v>0.67</v>
      </c>
      <c r="E198" s="4">
        <v>0.15</v>
      </c>
      <c r="F198" s="4">
        <v>0.27</v>
      </c>
      <c r="G198" s="4">
        <v>0.57999999999999996</v>
      </c>
    </row>
    <row r="199" spans="1:7" x14ac:dyDescent="0.25">
      <c r="A199" s="1">
        <v>29</v>
      </c>
      <c r="B199" s="2">
        <v>6526000</v>
      </c>
      <c r="C199" s="3">
        <v>3.4000000000000002E-2</v>
      </c>
      <c r="D199" s="19">
        <v>0.67</v>
      </c>
      <c r="E199" s="4">
        <v>0.15</v>
      </c>
      <c r="F199" s="4">
        <v>0.28999999999999998</v>
      </c>
      <c r="G199" s="4">
        <v>0.55999999999999994</v>
      </c>
    </row>
    <row r="200" spans="1:7" x14ac:dyDescent="0.25">
      <c r="A200" s="1">
        <v>30</v>
      </c>
      <c r="B200" s="2">
        <v>6469139</v>
      </c>
      <c r="C200" s="3">
        <v>2.5000000000000001E-2</v>
      </c>
      <c r="D200" s="19">
        <v>0.67</v>
      </c>
      <c r="E200" s="4">
        <v>0.25</v>
      </c>
      <c r="F200" s="4">
        <v>0.23</v>
      </c>
      <c r="G200" s="4">
        <v>0.52</v>
      </c>
    </row>
    <row r="201" spans="1:7" x14ac:dyDescent="0.25">
      <c r="A201" s="1">
        <v>31</v>
      </c>
      <c r="B201" s="2">
        <v>5465327</v>
      </c>
      <c r="C201" s="3">
        <v>4.1000000000000002E-2</v>
      </c>
      <c r="D201" s="19">
        <v>0.67</v>
      </c>
      <c r="E201" s="4">
        <v>0.25</v>
      </c>
      <c r="F201" s="4">
        <v>0.2</v>
      </c>
      <c r="G201" s="4">
        <v>0.55000000000000004</v>
      </c>
    </row>
    <row r="202" spans="1:7" x14ac:dyDescent="0.25">
      <c r="A202" s="1">
        <v>32</v>
      </c>
      <c r="B202" s="2">
        <v>5466393</v>
      </c>
      <c r="C202" s="3">
        <v>4.2999999999999997E-2</v>
      </c>
      <c r="D202" s="19">
        <v>0.67</v>
      </c>
      <c r="E202" s="4">
        <v>0.15</v>
      </c>
      <c r="F202" s="4">
        <v>0.28999999999999998</v>
      </c>
      <c r="G202" s="4">
        <v>0.55999999999999994</v>
      </c>
    </row>
    <row r="203" spans="1:7" x14ac:dyDescent="0.25">
      <c r="A203" s="1">
        <v>35</v>
      </c>
      <c r="B203" s="2">
        <v>6286335</v>
      </c>
      <c r="C203" s="3">
        <v>3.9E-2</v>
      </c>
      <c r="D203" s="19">
        <v>0.67</v>
      </c>
      <c r="E203" s="4">
        <v>0.18</v>
      </c>
      <c r="F203" s="4">
        <v>0.22</v>
      </c>
      <c r="G203" s="4">
        <v>0.60000000000000009</v>
      </c>
    </row>
    <row r="204" spans="1:7" x14ac:dyDescent="0.25">
      <c r="A204" s="1">
        <v>36</v>
      </c>
      <c r="B204" s="2">
        <v>5594212</v>
      </c>
      <c r="C204" s="3">
        <v>3.2000000000000001E-2</v>
      </c>
      <c r="D204" s="19">
        <v>0.67</v>
      </c>
      <c r="E204" s="4">
        <v>0.25</v>
      </c>
      <c r="F204" s="4">
        <v>0.32</v>
      </c>
      <c r="G204" s="4">
        <v>0.42999999999999994</v>
      </c>
    </row>
    <row r="205" spans="1:7" x14ac:dyDescent="0.25">
      <c r="A205" s="1">
        <v>37</v>
      </c>
      <c r="B205" s="2">
        <v>5131977</v>
      </c>
      <c r="C205" s="3">
        <v>3.9E-2</v>
      </c>
      <c r="D205" s="19">
        <v>0.67</v>
      </c>
      <c r="E205" s="4">
        <v>0.19</v>
      </c>
      <c r="F205" s="4">
        <v>0.28000000000000003</v>
      </c>
      <c r="G205" s="4">
        <v>0.53</v>
      </c>
    </row>
    <row r="206" spans="1:7" x14ac:dyDescent="0.25">
      <c r="A206" s="1">
        <v>39</v>
      </c>
      <c r="B206" s="2">
        <v>5603660</v>
      </c>
      <c r="C206" s="3">
        <v>4.4999999999999998E-2</v>
      </c>
      <c r="D206" s="19">
        <v>0.67</v>
      </c>
      <c r="E206" s="4">
        <v>0.25</v>
      </c>
      <c r="F206" s="4">
        <v>0.3</v>
      </c>
      <c r="G206" s="4">
        <v>0.44999999999999996</v>
      </c>
    </row>
    <row r="207" spans="1:7" x14ac:dyDescent="0.25">
      <c r="A207" s="1">
        <v>40</v>
      </c>
      <c r="B207" s="2">
        <v>5508232</v>
      </c>
      <c r="C207" s="3">
        <v>3.9E-2</v>
      </c>
      <c r="D207" s="19">
        <v>0.67</v>
      </c>
      <c r="E207" s="4">
        <v>0.25</v>
      </c>
      <c r="F207" s="4">
        <v>0.18</v>
      </c>
      <c r="G207" s="4">
        <v>0.57000000000000006</v>
      </c>
    </row>
    <row r="208" spans="1:7" x14ac:dyDescent="0.25">
      <c r="A208" s="1">
        <v>42</v>
      </c>
      <c r="B208" s="2">
        <v>6442446</v>
      </c>
      <c r="C208" s="3">
        <v>4.4999999999999998E-2</v>
      </c>
      <c r="D208" s="19">
        <v>0.67</v>
      </c>
      <c r="E208" s="4">
        <v>0.25</v>
      </c>
      <c r="F208" s="4">
        <v>0.26</v>
      </c>
      <c r="G208" s="4">
        <v>0.49</v>
      </c>
    </row>
    <row r="209" spans="1:7" x14ac:dyDescent="0.25">
      <c r="A209" s="1">
        <v>43</v>
      </c>
      <c r="B209" s="2">
        <v>5778681</v>
      </c>
      <c r="C209" s="3">
        <v>2.7E-2</v>
      </c>
      <c r="D209" s="19">
        <v>0.67</v>
      </c>
      <c r="E209" s="4">
        <v>0.17</v>
      </c>
      <c r="F209" s="4">
        <v>0.33</v>
      </c>
      <c r="G209" s="4">
        <v>0.49999999999999989</v>
      </c>
    </row>
    <row r="210" spans="1:7" x14ac:dyDescent="0.25">
      <c r="A210" s="1">
        <v>45</v>
      </c>
      <c r="B210" s="2">
        <v>6174879</v>
      </c>
      <c r="C210" s="3">
        <v>4.4999999999999998E-2</v>
      </c>
      <c r="D210" s="19">
        <v>0.67</v>
      </c>
      <c r="E210" s="4">
        <v>0.2</v>
      </c>
      <c r="F210" s="4">
        <v>0.23</v>
      </c>
      <c r="G210" s="4">
        <v>0.57000000000000006</v>
      </c>
    </row>
    <row r="211" spans="1:7" x14ac:dyDescent="0.25">
      <c r="A211" s="1">
        <v>47</v>
      </c>
      <c r="B211" s="2">
        <v>5802967</v>
      </c>
      <c r="C211" s="3">
        <v>2.8000000000000001E-2</v>
      </c>
      <c r="D211" s="19">
        <v>0.67</v>
      </c>
      <c r="E211" s="4">
        <v>0.24</v>
      </c>
      <c r="F211" s="4">
        <v>0.24</v>
      </c>
      <c r="G211" s="4">
        <v>0.52</v>
      </c>
    </row>
    <row r="212" spans="1:7" x14ac:dyDescent="0.25">
      <c r="A212" s="1">
        <v>48</v>
      </c>
      <c r="B212" s="2">
        <v>6239332</v>
      </c>
      <c r="C212" s="3">
        <v>2.8000000000000001E-2</v>
      </c>
      <c r="D212" s="19">
        <v>0.67</v>
      </c>
      <c r="E212" s="4">
        <v>0.21</v>
      </c>
      <c r="F212" s="4">
        <v>0.32</v>
      </c>
      <c r="G212" s="4">
        <v>0.47</v>
      </c>
    </row>
    <row r="213" spans="1:7" x14ac:dyDescent="0.25">
      <c r="A213" s="1">
        <v>51</v>
      </c>
      <c r="B213" s="2">
        <v>5664236</v>
      </c>
      <c r="C213" s="3">
        <v>4.1000000000000002E-2</v>
      </c>
      <c r="D213" s="19">
        <v>0.67</v>
      </c>
      <c r="E213" s="4">
        <v>0.23</v>
      </c>
      <c r="F213" s="4">
        <v>0.32</v>
      </c>
      <c r="G213" s="4">
        <v>0.44999999999999996</v>
      </c>
    </row>
    <row r="214" spans="1:7" x14ac:dyDescent="0.25">
      <c r="A214" s="1">
        <v>54</v>
      </c>
      <c r="B214" s="2">
        <v>5134056</v>
      </c>
      <c r="C214" s="3">
        <v>3.2000000000000001E-2</v>
      </c>
      <c r="D214" s="19">
        <v>0.67</v>
      </c>
      <c r="E214" s="4">
        <v>0.25</v>
      </c>
      <c r="F214" s="4">
        <v>0.2</v>
      </c>
      <c r="G214" s="4">
        <v>0.55000000000000004</v>
      </c>
    </row>
    <row r="215" spans="1:7" x14ac:dyDescent="0.25">
      <c r="A215" s="1">
        <v>56</v>
      </c>
      <c r="B215" s="2">
        <v>5356907</v>
      </c>
      <c r="C215" s="3">
        <v>2.5000000000000001E-2</v>
      </c>
      <c r="D215" s="19">
        <v>0.67</v>
      </c>
      <c r="E215" s="4">
        <v>0.16</v>
      </c>
      <c r="F215" s="4">
        <v>0.28000000000000003</v>
      </c>
      <c r="G215" s="4">
        <v>0.55999999999999994</v>
      </c>
    </row>
    <row r="216" spans="1:7" x14ac:dyDescent="0.25">
      <c r="A216" s="1">
        <v>59</v>
      </c>
      <c r="B216" s="2">
        <v>6368947</v>
      </c>
      <c r="C216" s="3">
        <v>3.1E-2</v>
      </c>
      <c r="D216" s="19">
        <v>0.67</v>
      </c>
      <c r="E216" s="4">
        <v>0.25</v>
      </c>
      <c r="F216" s="4">
        <v>0.24</v>
      </c>
      <c r="G216" s="4">
        <v>0.51</v>
      </c>
    </row>
    <row r="217" spans="1:7" x14ac:dyDescent="0.25">
      <c r="A217" s="1">
        <v>60</v>
      </c>
      <c r="B217" s="2">
        <v>6892407</v>
      </c>
      <c r="C217" s="3">
        <v>0.03</v>
      </c>
      <c r="D217" s="19">
        <v>0.67</v>
      </c>
      <c r="E217" s="4">
        <v>0.25</v>
      </c>
      <c r="F217" s="4">
        <v>0.24</v>
      </c>
      <c r="G217" s="4">
        <v>0.51</v>
      </c>
    </row>
    <row r="218" spans="1:7" x14ac:dyDescent="0.25">
      <c r="A218" s="1">
        <v>62</v>
      </c>
      <c r="B218" s="2">
        <v>6120494</v>
      </c>
      <c r="C218" s="3">
        <v>4.3999999999999997E-2</v>
      </c>
      <c r="D218" s="19">
        <v>0.67</v>
      </c>
      <c r="E218" s="4">
        <v>0.2</v>
      </c>
      <c r="F218" s="4">
        <v>0.28000000000000003</v>
      </c>
      <c r="G218" s="4">
        <v>0.52</v>
      </c>
    </row>
    <row r="219" spans="1:7" x14ac:dyDescent="0.25">
      <c r="A219" s="1">
        <v>64</v>
      </c>
      <c r="B219" s="2">
        <v>5175006</v>
      </c>
      <c r="C219" s="3">
        <v>3.6999999999999998E-2</v>
      </c>
      <c r="D219" s="19">
        <v>0.67</v>
      </c>
      <c r="E219" s="4">
        <v>0.19</v>
      </c>
      <c r="F219" s="4">
        <v>0.15</v>
      </c>
      <c r="G219" s="4">
        <v>0.65999999999999992</v>
      </c>
    </row>
    <row r="220" spans="1:7" x14ac:dyDescent="0.25">
      <c r="A220" s="1">
        <v>65</v>
      </c>
      <c r="B220" s="2">
        <v>5909910</v>
      </c>
      <c r="C220" s="3">
        <v>3.2000000000000001E-2</v>
      </c>
      <c r="D220" s="19">
        <v>0.67</v>
      </c>
      <c r="E220" s="4">
        <v>0.24</v>
      </c>
      <c r="F220" s="4">
        <v>0.16</v>
      </c>
      <c r="G220" s="4">
        <v>0.6</v>
      </c>
    </row>
    <row r="221" spans="1:7" x14ac:dyDescent="0.25">
      <c r="A221" s="1">
        <v>66</v>
      </c>
      <c r="B221" s="2">
        <v>6216922</v>
      </c>
      <c r="C221" s="3">
        <v>3.2000000000000001E-2</v>
      </c>
      <c r="D221" s="19">
        <v>0.67</v>
      </c>
      <c r="E221" s="4">
        <v>0.17</v>
      </c>
      <c r="F221" s="4">
        <v>0.16</v>
      </c>
      <c r="G221" s="4">
        <v>0.66999999999999993</v>
      </c>
    </row>
    <row r="222" spans="1:7" x14ac:dyDescent="0.25">
      <c r="A222" s="1">
        <v>67</v>
      </c>
      <c r="B222" s="2">
        <v>6887140</v>
      </c>
      <c r="C222" s="3">
        <v>3.4000000000000002E-2</v>
      </c>
      <c r="D222" s="19">
        <v>0.67</v>
      </c>
      <c r="E222" s="4">
        <v>0.22</v>
      </c>
      <c r="F222" s="4">
        <v>0.33</v>
      </c>
      <c r="G222" s="4">
        <v>0.44999999999999996</v>
      </c>
    </row>
    <row r="223" spans="1:7" x14ac:dyDescent="0.25">
      <c r="A223" s="1">
        <v>70</v>
      </c>
      <c r="B223" s="2">
        <v>5855861</v>
      </c>
      <c r="C223" s="3">
        <v>4.3999999999999997E-2</v>
      </c>
      <c r="D223" s="19">
        <v>0.67</v>
      </c>
      <c r="E223" s="4">
        <v>0.18</v>
      </c>
      <c r="F223" s="4">
        <v>0.33</v>
      </c>
      <c r="G223" s="4">
        <v>0.48999999999999994</v>
      </c>
    </row>
    <row r="224" spans="1:7" x14ac:dyDescent="0.25">
      <c r="A224" s="1">
        <v>71</v>
      </c>
      <c r="B224" s="2">
        <v>6093004</v>
      </c>
      <c r="C224" s="3">
        <v>4.1000000000000002E-2</v>
      </c>
      <c r="D224" s="19">
        <v>0.67</v>
      </c>
      <c r="E224" s="4">
        <v>0.2</v>
      </c>
      <c r="F224" s="4">
        <v>0.31</v>
      </c>
      <c r="G224" s="4">
        <v>0.48999999999999994</v>
      </c>
    </row>
    <row r="225" spans="1:7" x14ac:dyDescent="0.25">
      <c r="A225" s="1">
        <v>73</v>
      </c>
      <c r="B225" s="2">
        <v>5900620</v>
      </c>
      <c r="C225" s="3">
        <v>4.4999999999999998E-2</v>
      </c>
      <c r="D225" s="19">
        <v>0.67</v>
      </c>
      <c r="E225" s="4">
        <v>0.15</v>
      </c>
      <c r="F225" s="4">
        <v>0.28999999999999998</v>
      </c>
      <c r="G225" s="4">
        <v>0.55999999999999994</v>
      </c>
    </row>
    <row r="226" spans="1:7" x14ac:dyDescent="0.25">
      <c r="A226" s="1">
        <v>75</v>
      </c>
      <c r="B226" s="2">
        <v>6010106</v>
      </c>
      <c r="C226" s="3">
        <v>3.1E-2</v>
      </c>
      <c r="D226" s="19">
        <v>0.67</v>
      </c>
      <c r="E226" s="4">
        <v>0.22</v>
      </c>
      <c r="F226" s="4">
        <v>0.28999999999999998</v>
      </c>
      <c r="G226" s="4">
        <v>0.49</v>
      </c>
    </row>
    <row r="227" spans="1:7" x14ac:dyDescent="0.25">
      <c r="A227" s="1">
        <v>76</v>
      </c>
      <c r="B227" s="2">
        <v>5066272</v>
      </c>
      <c r="C227" s="3">
        <v>3.3000000000000002E-2</v>
      </c>
      <c r="D227" s="19">
        <v>0.67</v>
      </c>
      <c r="E227" s="4">
        <v>0.19</v>
      </c>
      <c r="F227" s="4">
        <v>0.31</v>
      </c>
      <c r="G227" s="4">
        <v>0.49999999999999994</v>
      </c>
    </row>
    <row r="228" spans="1:7" x14ac:dyDescent="0.25">
      <c r="A228" s="1">
        <v>78</v>
      </c>
      <c r="B228" s="2">
        <v>5787384</v>
      </c>
      <c r="C228" s="3">
        <v>3.3000000000000002E-2</v>
      </c>
      <c r="D228" s="19">
        <v>0.67</v>
      </c>
      <c r="E228" s="4">
        <v>0.17</v>
      </c>
      <c r="F228" s="4">
        <v>0.22</v>
      </c>
      <c r="G228" s="4">
        <v>0.61</v>
      </c>
    </row>
    <row r="229" spans="1:7" x14ac:dyDescent="0.25">
      <c r="A229" s="1">
        <v>79</v>
      </c>
      <c r="B229" s="2">
        <v>5595644</v>
      </c>
      <c r="C229" s="3">
        <v>0.03</v>
      </c>
      <c r="D229" s="19">
        <v>0.67</v>
      </c>
      <c r="E229" s="4">
        <v>0.25</v>
      </c>
      <c r="F229" s="4">
        <v>0.3</v>
      </c>
      <c r="G229" s="4">
        <v>0.44999999999999996</v>
      </c>
    </row>
    <row r="230" spans="1:7" x14ac:dyDescent="0.25">
      <c r="A230" s="1">
        <v>83</v>
      </c>
      <c r="B230" s="2">
        <v>5718950</v>
      </c>
      <c r="C230" s="3">
        <v>3.6999999999999998E-2</v>
      </c>
      <c r="D230" s="19">
        <v>0.67</v>
      </c>
      <c r="E230" s="4">
        <v>0.23</v>
      </c>
      <c r="F230" s="4">
        <v>0.23</v>
      </c>
      <c r="G230" s="4">
        <v>0.54</v>
      </c>
    </row>
    <row r="231" spans="1:7" x14ac:dyDescent="0.25">
      <c r="A231" s="1">
        <v>84</v>
      </c>
      <c r="B231" s="2">
        <v>5806993</v>
      </c>
      <c r="C231" s="3">
        <v>4.1000000000000002E-2</v>
      </c>
      <c r="D231" s="19">
        <v>0.67</v>
      </c>
      <c r="E231" s="4">
        <v>0.21</v>
      </c>
      <c r="F231" s="4">
        <v>0.28999999999999998</v>
      </c>
      <c r="G231" s="4">
        <v>0.5</v>
      </c>
    </row>
    <row r="232" spans="1:7" x14ac:dyDescent="0.25">
      <c r="A232" s="1">
        <v>86</v>
      </c>
      <c r="B232" s="2">
        <v>6394445</v>
      </c>
      <c r="C232" s="3">
        <v>4.2999999999999997E-2</v>
      </c>
      <c r="D232" s="19">
        <v>0.67</v>
      </c>
      <c r="E232" s="4">
        <v>0.21</v>
      </c>
      <c r="F232" s="4">
        <v>0.23</v>
      </c>
      <c r="G232" s="4">
        <v>0.56000000000000005</v>
      </c>
    </row>
    <row r="233" spans="1:7" x14ac:dyDescent="0.25">
      <c r="A233" s="1">
        <v>88</v>
      </c>
      <c r="B233" s="2">
        <v>5600047</v>
      </c>
      <c r="C233" s="3">
        <v>0.03</v>
      </c>
      <c r="D233" s="19">
        <v>0.67</v>
      </c>
      <c r="E233" s="4">
        <v>0.25</v>
      </c>
      <c r="F233" s="4">
        <v>0.28000000000000003</v>
      </c>
      <c r="G233" s="4">
        <v>0.47</v>
      </c>
    </row>
    <row r="234" spans="1:7" x14ac:dyDescent="0.25">
      <c r="A234" s="1">
        <v>89</v>
      </c>
      <c r="B234" s="2">
        <v>5579595</v>
      </c>
      <c r="C234" s="3">
        <v>3.5999999999999997E-2</v>
      </c>
      <c r="D234" s="19">
        <v>0.67</v>
      </c>
      <c r="E234" s="4">
        <v>0.16</v>
      </c>
      <c r="F234" s="4">
        <v>0.31</v>
      </c>
      <c r="G234" s="4">
        <v>0.52999999999999992</v>
      </c>
    </row>
    <row r="235" spans="1:7" x14ac:dyDescent="0.25">
      <c r="A235" s="1">
        <v>91</v>
      </c>
      <c r="B235" s="2">
        <v>6915326</v>
      </c>
      <c r="C235" s="3">
        <v>4.4999999999999998E-2</v>
      </c>
      <c r="D235" s="19">
        <v>0.67</v>
      </c>
      <c r="E235" s="4">
        <v>0.23</v>
      </c>
      <c r="F235" s="4">
        <v>0.28999999999999998</v>
      </c>
      <c r="G235" s="4">
        <v>0.48</v>
      </c>
    </row>
    <row r="236" spans="1:7" x14ac:dyDescent="0.25">
      <c r="A236" s="1">
        <v>95</v>
      </c>
      <c r="B236" s="2">
        <v>6032789</v>
      </c>
      <c r="C236" s="3">
        <v>4.2999999999999997E-2</v>
      </c>
      <c r="D236" s="19">
        <v>0.67</v>
      </c>
      <c r="E236" s="4">
        <v>0.18</v>
      </c>
      <c r="F236" s="4">
        <v>0.2</v>
      </c>
      <c r="G236" s="4">
        <v>0.62000000000000011</v>
      </c>
    </row>
    <row r="237" spans="1:7" x14ac:dyDescent="0.25">
      <c r="A237" s="1">
        <v>96</v>
      </c>
      <c r="B237" s="2">
        <v>6746523</v>
      </c>
      <c r="C237" s="3">
        <v>2.7E-2</v>
      </c>
      <c r="D237" s="19">
        <v>0.67</v>
      </c>
      <c r="E237" s="4">
        <v>0.15</v>
      </c>
      <c r="F237" s="4">
        <v>0.32</v>
      </c>
      <c r="G237" s="4">
        <v>0.52999999999999992</v>
      </c>
    </row>
    <row r="238" spans="1:7" x14ac:dyDescent="0.25">
      <c r="A238" s="1">
        <v>100</v>
      </c>
      <c r="B238" s="2">
        <v>6085594</v>
      </c>
      <c r="C238" s="3">
        <v>3.1E-2</v>
      </c>
      <c r="D238" s="19">
        <v>0.67</v>
      </c>
      <c r="E238" s="4">
        <v>0.16</v>
      </c>
      <c r="F238" s="4">
        <v>0.15</v>
      </c>
      <c r="G238" s="4">
        <v>0.69</v>
      </c>
    </row>
    <row r="239" spans="1:7" x14ac:dyDescent="0.25">
      <c r="A239" s="1">
        <v>101</v>
      </c>
      <c r="B239" s="2">
        <v>6601228</v>
      </c>
      <c r="C239" s="3">
        <v>3.7999999999999999E-2</v>
      </c>
      <c r="D239" s="19">
        <v>0.67</v>
      </c>
      <c r="E239" s="4">
        <v>0.21</v>
      </c>
      <c r="F239" s="4">
        <v>0.2</v>
      </c>
      <c r="G239" s="4">
        <v>0.59000000000000008</v>
      </c>
    </row>
    <row r="240" spans="1:7" x14ac:dyDescent="0.25">
      <c r="A240" s="1">
        <v>104</v>
      </c>
      <c r="B240" s="2">
        <v>6575010</v>
      </c>
      <c r="C240" s="3">
        <v>3.2000000000000001E-2</v>
      </c>
      <c r="D240" s="19">
        <v>0.67</v>
      </c>
      <c r="E240" s="4">
        <v>0.21</v>
      </c>
      <c r="F240" s="4">
        <v>0.31</v>
      </c>
      <c r="G240" s="4">
        <v>0.48</v>
      </c>
    </row>
    <row r="241" spans="1:7" x14ac:dyDescent="0.25">
      <c r="A241" s="1">
        <v>105</v>
      </c>
      <c r="B241" s="2">
        <v>6521869</v>
      </c>
      <c r="C241" s="3">
        <v>4.2000000000000003E-2</v>
      </c>
      <c r="D241" s="19">
        <v>0.67</v>
      </c>
      <c r="E241" s="4">
        <v>0.19</v>
      </c>
      <c r="F241" s="4">
        <v>0.25</v>
      </c>
      <c r="G241" s="4">
        <v>0.56000000000000005</v>
      </c>
    </row>
    <row r="242" spans="1:7" x14ac:dyDescent="0.25">
      <c r="A242" s="1">
        <v>107</v>
      </c>
      <c r="B242" s="2">
        <v>5680875</v>
      </c>
      <c r="C242" s="3">
        <v>3.1E-2</v>
      </c>
      <c r="D242" s="19">
        <v>0.67</v>
      </c>
      <c r="E242" s="4">
        <v>0.25</v>
      </c>
      <c r="F242" s="4">
        <v>0.23</v>
      </c>
      <c r="G242" s="4">
        <v>0.52</v>
      </c>
    </row>
    <row r="243" spans="1:7" x14ac:dyDescent="0.25">
      <c r="A243" s="1">
        <v>108</v>
      </c>
      <c r="B243" s="2">
        <v>6995373</v>
      </c>
      <c r="C243" s="3">
        <v>2.9000000000000001E-2</v>
      </c>
      <c r="D243" s="19">
        <v>0.67</v>
      </c>
      <c r="E243" s="4">
        <v>0.22</v>
      </c>
      <c r="F243" s="4">
        <v>0.23</v>
      </c>
      <c r="G243" s="4">
        <v>0.55000000000000004</v>
      </c>
    </row>
    <row r="244" spans="1:7" x14ac:dyDescent="0.25">
      <c r="A244" s="1">
        <v>110</v>
      </c>
      <c r="B244" s="2">
        <v>6101211</v>
      </c>
      <c r="C244" s="3">
        <v>0.03</v>
      </c>
      <c r="D244" s="19">
        <v>0.67</v>
      </c>
      <c r="E244" s="4">
        <v>0.2</v>
      </c>
      <c r="F244" s="4">
        <v>0.28000000000000003</v>
      </c>
      <c r="G244" s="4">
        <v>0.52</v>
      </c>
    </row>
    <row r="245" spans="1:7" x14ac:dyDescent="0.25">
      <c r="A245" s="1">
        <v>111</v>
      </c>
      <c r="B245" s="2">
        <v>5067122</v>
      </c>
      <c r="C245" s="3">
        <v>4.4999999999999998E-2</v>
      </c>
      <c r="D245" s="19">
        <v>0.67</v>
      </c>
      <c r="E245" s="4">
        <v>0.17</v>
      </c>
      <c r="F245" s="4">
        <v>0.3</v>
      </c>
      <c r="G245" s="4">
        <v>0.52999999999999992</v>
      </c>
    </row>
    <row r="246" spans="1:7" x14ac:dyDescent="0.25">
      <c r="A246" s="1">
        <v>117</v>
      </c>
      <c r="B246" s="2">
        <v>5122971</v>
      </c>
      <c r="C246" s="3">
        <v>2.5999999999999999E-2</v>
      </c>
      <c r="D246" s="19">
        <v>0.67</v>
      </c>
      <c r="E246" s="4">
        <v>0.18</v>
      </c>
      <c r="F246" s="4">
        <v>0.17</v>
      </c>
      <c r="G246" s="4">
        <v>0.64999999999999991</v>
      </c>
    </row>
    <row r="247" spans="1:7" x14ac:dyDescent="0.25">
      <c r="A247" s="1">
        <v>118</v>
      </c>
      <c r="B247" s="2">
        <v>6824700</v>
      </c>
      <c r="C247" s="3">
        <v>3.4000000000000002E-2</v>
      </c>
      <c r="D247" s="19">
        <v>0.67</v>
      </c>
      <c r="E247" s="4">
        <v>0.23</v>
      </c>
      <c r="F247" s="4">
        <v>0.28999999999999998</v>
      </c>
      <c r="G247" s="4">
        <v>0.48</v>
      </c>
    </row>
    <row r="248" spans="1:7" x14ac:dyDescent="0.25">
      <c r="A248" s="1">
        <v>121</v>
      </c>
      <c r="B248" s="2">
        <v>6723142</v>
      </c>
      <c r="C248" s="3">
        <v>0.04</v>
      </c>
      <c r="D248" s="19">
        <v>0.67</v>
      </c>
      <c r="E248" s="4">
        <v>0.19</v>
      </c>
      <c r="F248" s="4">
        <v>0.26</v>
      </c>
      <c r="G248" s="4">
        <v>0.55000000000000004</v>
      </c>
    </row>
    <row r="249" spans="1:7" x14ac:dyDescent="0.25">
      <c r="A249" s="1">
        <v>122</v>
      </c>
      <c r="B249" s="2">
        <v>5722937</v>
      </c>
      <c r="C249" s="3">
        <v>2.9000000000000001E-2</v>
      </c>
      <c r="D249" s="19">
        <v>0.67</v>
      </c>
      <c r="E249" s="4">
        <v>0.15</v>
      </c>
      <c r="F249" s="4">
        <v>0.19</v>
      </c>
      <c r="G249" s="4">
        <v>0.66</v>
      </c>
    </row>
    <row r="250" spans="1:7" x14ac:dyDescent="0.25">
      <c r="A250" s="1">
        <v>123</v>
      </c>
      <c r="B250" s="2">
        <v>5762022</v>
      </c>
      <c r="C250" s="3">
        <v>4.1000000000000002E-2</v>
      </c>
      <c r="D250" s="19">
        <v>0.67</v>
      </c>
      <c r="E250" s="4">
        <v>0.17</v>
      </c>
      <c r="F250" s="4">
        <v>0.26</v>
      </c>
      <c r="G250" s="4">
        <v>0.56999999999999995</v>
      </c>
    </row>
    <row r="251" spans="1:7" x14ac:dyDescent="0.25">
      <c r="A251" s="1">
        <v>124</v>
      </c>
      <c r="B251" s="2">
        <v>6900052</v>
      </c>
      <c r="C251" s="3">
        <v>3.9E-2</v>
      </c>
      <c r="D251" s="19">
        <v>0.67</v>
      </c>
      <c r="E251" s="4">
        <v>0.17</v>
      </c>
      <c r="F251" s="4">
        <v>0.15</v>
      </c>
      <c r="G251" s="4">
        <v>0.67999999999999994</v>
      </c>
    </row>
    <row r="252" spans="1:7" x14ac:dyDescent="0.25">
      <c r="A252" s="1">
        <v>128</v>
      </c>
      <c r="B252" s="2">
        <v>5531153</v>
      </c>
      <c r="C252" s="3">
        <v>2.7E-2</v>
      </c>
      <c r="D252" s="19">
        <v>0.67</v>
      </c>
      <c r="E252" s="4">
        <v>0.18</v>
      </c>
      <c r="F252" s="4">
        <v>0.21</v>
      </c>
      <c r="G252" s="4">
        <v>0.6100000000000001</v>
      </c>
    </row>
    <row r="253" spans="1:7" x14ac:dyDescent="0.25">
      <c r="A253" s="1">
        <v>130</v>
      </c>
      <c r="B253" s="2">
        <v>5316225</v>
      </c>
      <c r="C253" s="3">
        <v>4.4999999999999998E-2</v>
      </c>
      <c r="D253" s="19">
        <v>0.67</v>
      </c>
      <c r="E253" s="4">
        <v>0.25</v>
      </c>
      <c r="F253" s="4">
        <v>0.19</v>
      </c>
      <c r="G253" s="4">
        <v>0.56000000000000005</v>
      </c>
    </row>
    <row r="254" spans="1:7" x14ac:dyDescent="0.25">
      <c r="A254" s="1">
        <v>131</v>
      </c>
      <c r="B254" s="2">
        <v>5284490</v>
      </c>
      <c r="C254" s="3">
        <v>0.03</v>
      </c>
      <c r="D254" s="19">
        <v>0.67</v>
      </c>
      <c r="E254" s="4">
        <v>0.2</v>
      </c>
      <c r="F254" s="4">
        <v>0.15</v>
      </c>
      <c r="G254" s="4">
        <v>0.64999999999999991</v>
      </c>
    </row>
    <row r="255" spans="1:7" x14ac:dyDescent="0.25">
      <c r="A255" s="1">
        <v>132</v>
      </c>
      <c r="B255" s="2">
        <v>6370942</v>
      </c>
      <c r="C255" s="3">
        <v>4.3999999999999997E-2</v>
      </c>
      <c r="D255" s="19">
        <v>0.67</v>
      </c>
      <c r="E255" s="4">
        <v>0.2</v>
      </c>
      <c r="F255" s="4">
        <v>0.15</v>
      </c>
      <c r="G255" s="4">
        <v>0.64999999999999991</v>
      </c>
    </row>
    <row r="256" spans="1:7" x14ac:dyDescent="0.25">
      <c r="A256" s="1">
        <v>133</v>
      </c>
      <c r="B256" s="2">
        <v>5822085</v>
      </c>
      <c r="C256" s="3">
        <v>3.5999999999999997E-2</v>
      </c>
      <c r="D256" s="19">
        <v>0.67</v>
      </c>
      <c r="E256" s="4">
        <v>0.23</v>
      </c>
      <c r="F256" s="4">
        <v>0.25</v>
      </c>
      <c r="G256" s="4">
        <v>0.52</v>
      </c>
    </row>
    <row r="257" spans="1:7" x14ac:dyDescent="0.25">
      <c r="A257" s="1">
        <v>136</v>
      </c>
      <c r="B257" s="2">
        <v>6735212</v>
      </c>
      <c r="C257" s="3">
        <v>3.7999999999999999E-2</v>
      </c>
      <c r="D257" s="19">
        <v>0.67</v>
      </c>
      <c r="E257" s="4">
        <v>0.18</v>
      </c>
      <c r="F257" s="4">
        <v>0.31</v>
      </c>
      <c r="G257" s="4">
        <v>0.51</v>
      </c>
    </row>
    <row r="258" spans="1:7" x14ac:dyDescent="0.25">
      <c r="A258" s="1">
        <v>138</v>
      </c>
      <c r="B258" s="2">
        <v>5245286</v>
      </c>
      <c r="C258" s="3">
        <v>4.3999999999999997E-2</v>
      </c>
      <c r="D258" s="19">
        <v>0.67</v>
      </c>
      <c r="E258" s="4">
        <v>0.21</v>
      </c>
      <c r="F258" s="4">
        <v>0.18</v>
      </c>
      <c r="G258" s="4">
        <v>0.6100000000000001</v>
      </c>
    </row>
    <row r="259" spans="1:7" x14ac:dyDescent="0.25">
      <c r="A259" s="1">
        <v>141</v>
      </c>
      <c r="B259" s="2">
        <v>6694508</v>
      </c>
      <c r="C259" s="3">
        <v>3.7999999999999999E-2</v>
      </c>
      <c r="D259" s="19">
        <v>0.67</v>
      </c>
      <c r="E259" s="4">
        <v>0.19</v>
      </c>
      <c r="F259" s="4">
        <v>0.21</v>
      </c>
      <c r="G259" s="4">
        <v>0.60000000000000009</v>
      </c>
    </row>
    <row r="260" spans="1:7" x14ac:dyDescent="0.25">
      <c r="A260" s="1">
        <v>143</v>
      </c>
      <c r="B260" s="2">
        <v>5969113</v>
      </c>
      <c r="C260" s="3">
        <v>4.2000000000000003E-2</v>
      </c>
      <c r="D260" s="19">
        <v>0.67</v>
      </c>
      <c r="E260" s="4">
        <v>0.16</v>
      </c>
      <c r="F260" s="4">
        <v>0.24</v>
      </c>
      <c r="G260" s="4">
        <v>0.6</v>
      </c>
    </row>
    <row r="261" spans="1:7" x14ac:dyDescent="0.25">
      <c r="A261" s="1">
        <v>147</v>
      </c>
      <c r="B261" s="2">
        <v>5478333</v>
      </c>
      <c r="C261" s="3">
        <v>2.7E-2</v>
      </c>
      <c r="D261" s="19">
        <v>0.67</v>
      </c>
      <c r="E261" s="4">
        <v>0.25</v>
      </c>
      <c r="F261" s="4">
        <v>0.17</v>
      </c>
      <c r="G261" s="4">
        <v>0.57999999999999996</v>
      </c>
    </row>
    <row r="262" spans="1:7" x14ac:dyDescent="0.25">
      <c r="A262" s="1">
        <v>151</v>
      </c>
      <c r="B262" s="2">
        <v>5348615</v>
      </c>
      <c r="C262" s="3">
        <v>3.6999999999999998E-2</v>
      </c>
      <c r="D262" s="19">
        <v>0.67</v>
      </c>
      <c r="E262" s="4">
        <v>0.19</v>
      </c>
      <c r="F262" s="4">
        <v>0.35</v>
      </c>
      <c r="G262" s="4">
        <v>0.46</v>
      </c>
    </row>
    <row r="263" spans="1:7" x14ac:dyDescent="0.25">
      <c r="A263" s="1">
        <v>152</v>
      </c>
      <c r="B263" s="2">
        <v>6384693</v>
      </c>
      <c r="C263" s="3">
        <v>3.3000000000000002E-2</v>
      </c>
      <c r="D263" s="19">
        <v>0.67</v>
      </c>
      <c r="E263" s="4">
        <v>0.19</v>
      </c>
      <c r="F263" s="4">
        <v>0.35</v>
      </c>
      <c r="G263" s="4">
        <v>0.46</v>
      </c>
    </row>
    <row r="264" spans="1:7" x14ac:dyDescent="0.25">
      <c r="A264" s="1">
        <v>155</v>
      </c>
      <c r="B264" s="2">
        <v>6345112</v>
      </c>
      <c r="C264" s="3">
        <v>3.7999999999999999E-2</v>
      </c>
      <c r="D264" s="19">
        <v>0.67</v>
      </c>
      <c r="E264" s="4">
        <v>0.18</v>
      </c>
      <c r="F264" s="4">
        <v>0.16</v>
      </c>
      <c r="G264" s="4">
        <v>0.65999999999999992</v>
      </c>
    </row>
    <row r="265" spans="1:7" x14ac:dyDescent="0.25">
      <c r="A265" s="1">
        <v>157</v>
      </c>
      <c r="B265" s="2">
        <v>6829580</v>
      </c>
      <c r="C265" s="3">
        <v>0.03</v>
      </c>
      <c r="D265" s="19">
        <v>0.67</v>
      </c>
      <c r="E265" s="4">
        <v>0.17</v>
      </c>
      <c r="F265" s="4">
        <v>0.26</v>
      </c>
      <c r="G265" s="4">
        <v>0.56999999999999995</v>
      </c>
    </row>
    <row r="266" spans="1:7" x14ac:dyDescent="0.25">
      <c r="A266" s="1">
        <v>158</v>
      </c>
      <c r="B266" s="2">
        <v>5536063</v>
      </c>
      <c r="C266" s="3">
        <v>4.2999999999999997E-2</v>
      </c>
      <c r="D266" s="19">
        <v>0.67</v>
      </c>
      <c r="E266" s="4">
        <v>0.18</v>
      </c>
      <c r="F266" s="4">
        <v>0.24</v>
      </c>
      <c r="G266" s="4">
        <v>0.58000000000000007</v>
      </c>
    </row>
    <row r="267" spans="1:7" x14ac:dyDescent="0.25">
      <c r="A267" s="1">
        <v>162</v>
      </c>
      <c r="B267" s="2">
        <v>6336935</v>
      </c>
      <c r="C267" s="3">
        <v>4.2999999999999997E-2</v>
      </c>
      <c r="D267" s="19">
        <v>0.67</v>
      </c>
      <c r="E267" s="4">
        <v>0.24</v>
      </c>
      <c r="F267" s="4">
        <v>0.2</v>
      </c>
      <c r="G267" s="4">
        <v>0.56000000000000005</v>
      </c>
    </row>
    <row r="268" spans="1:7" x14ac:dyDescent="0.25">
      <c r="A268" s="1">
        <v>168</v>
      </c>
      <c r="B268" s="2">
        <v>5255899</v>
      </c>
      <c r="C268" s="3">
        <v>3.9E-2</v>
      </c>
      <c r="D268" s="19">
        <v>0.67</v>
      </c>
      <c r="E268" s="4">
        <v>0.19</v>
      </c>
      <c r="F268" s="4">
        <v>0.27</v>
      </c>
      <c r="G268" s="4">
        <v>0.54</v>
      </c>
    </row>
    <row r="269" spans="1:7" x14ac:dyDescent="0.25">
      <c r="A269" s="1">
        <v>169</v>
      </c>
      <c r="B269" s="2">
        <v>6634139</v>
      </c>
      <c r="C269" s="3">
        <v>0.04</v>
      </c>
      <c r="D269" s="19">
        <v>0.67</v>
      </c>
      <c r="E269" s="4">
        <v>0.19</v>
      </c>
      <c r="F269" s="4">
        <v>0.27</v>
      </c>
      <c r="G269" s="4">
        <v>0.54</v>
      </c>
    </row>
    <row r="270" spans="1:7" x14ac:dyDescent="0.25">
      <c r="A270" s="1">
        <v>170</v>
      </c>
      <c r="B270" s="2">
        <v>6459858</v>
      </c>
      <c r="C270" s="3">
        <v>4.2000000000000003E-2</v>
      </c>
      <c r="D270" s="19">
        <v>0.67</v>
      </c>
      <c r="E270" s="4">
        <v>0.18</v>
      </c>
      <c r="F270" s="4">
        <v>0.25</v>
      </c>
      <c r="G270" s="4">
        <v>0.57000000000000006</v>
      </c>
    </row>
    <row r="271" spans="1:7" x14ac:dyDescent="0.25">
      <c r="A271" s="1">
        <v>171</v>
      </c>
      <c r="B271" s="2">
        <v>6477860</v>
      </c>
      <c r="C271" s="3">
        <v>3.1E-2</v>
      </c>
      <c r="D271" s="19">
        <v>0.67</v>
      </c>
      <c r="E271" s="4">
        <v>0.15</v>
      </c>
      <c r="F271" s="4">
        <v>0.33</v>
      </c>
      <c r="G271" s="4">
        <v>0.51999999999999991</v>
      </c>
    </row>
    <row r="272" spans="1:7" x14ac:dyDescent="0.25">
      <c r="A272" s="1">
        <v>172</v>
      </c>
      <c r="B272" s="2">
        <v>6628084</v>
      </c>
      <c r="C272" s="3">
        <v>3.2000000000000001E-2</v>
      </c>
      <c r="D272" s="19">
        <v>0.67</v>
      </c>
      <c r="E272" s="4">
        <v>0.21</v>
      </c>
      <c r="F272" s="4">
        <v>0.23</v>
      </c>
      <c r="G272" s="4">
        <v>0.56000000000000005</v>
      </c>
    </row>
    <row r="273" spans="1:7" x14ac:dyDescent="0.25">
      <c r="A273" s="1">
        <v>179</v>
      </c>
      <c r="B273" s="2">
        <v>6941810</v>
      </c>
      <c r="C273" s="3">
        <v>4.2000000000000003E-2</v>
      </c>
      <c r="D273" s="19">
        <v>0.67</v>
      </c>
      <c r="E273" s="4">
        <v>0.21</v>
      </c>
      <c r="F273" s="4">
        <v>0.28000000000000003</v>
      </c>
      <c r="G273" s="4">
        <v>0.51</v>
      </c>
    </row>
    <row r="274" spans="1:7" x14ac:dyDescent="0.25">
      <c r="A274" s="1">
        <v>182</v>
      </c>
      <c r="B274" s="2">
        <v>5347742</v>
      </c>
      <c r="C274" s="3">
        <v>2.5999999999999999E-2</v>
      </c>
      <c r="D274" s="19">
        <v>0.67</v>
      </c>
      <c r="E274" s="4">
        <v>0.24</v>
      </c>
      <c r="F274" s="4">
        <v>0.3</v>
      </c>
      <c r="G274" s="4">
        <v>0.45999999999999996</v>
      </c>
    </row>
    <row r="275" spans="1:7" x14ac:dyDescent="0.25">
      <c r="A275" s="1">
        <v>183</v>
      </c>
      <c r="B275" s="2">
        <v>5440864</v>
      </c>
      <c r="C275" s="3">
        <v>4.2999999999999997E-2</v>
      </c>
      <c r="D275" s="19">
        <v>0.67</v>
      </c>
      <c r="E275" s="4">
        <v>0.19</v>
      </c>
      <c r="F275" s="4">
        <v>0.3</v>
      </c>
      <c r="G275" s="4">
        <v>0.51</v>
      </c>
    </row>
    <row r="276" spans="1:7" x14ac:dyDescent="0.25">
      <c r="A276" s="1">
        <v>187</v>
      </c>
      <c r="B276" s="2">
        <v>5080909</v>
      </c>
      <c r="C276" s="3">
        <v>4.4999999999999998E-2</v>
      </c>
      <c r="D276" s="19">
        <v>0.67</v>
      </c>
      <c r="E276" s="4">
        <v>0.21</v>
      </c>
      <c r="F276" s="4">
        <v>0.21</v>
      </c>
      <c r="G276" s="4">
        <v>0.58000000000000007</v>
      </c>
    </row>
    <row r="277" spans="1:7" x14ac:dyDescent="0.25">
      <c r="A277" s="1">
        <v>195</v>
      </c>
      <c r="B277" s="2">
        <v>6239748</v>
      </c>
      <c r="C277" s="3">
        <v>0.03</v>
      </c>
      <c r="D277" s="19">
        <v>0.67</v>
      </c>
      <c r="E277" s="4">
        <v>0.21</v>
      </c>
      <c r="F277" s="4">
        <v>0.34</v>
      </c>
      <c r="G277" s="4">
        <v>0.44999999999999996</v>
      </c>
    </row>
    <row r="278" spans="1:7" x14ac:dyDescent="0.25">
      <c r="A278" s="1">
        <v>197</v>
      </c>
      <c r="B278" s="2">
        <v>6934678</v>
      </c>
      <c r="C278" s="3">
        <v>2.5999999999999999E-2</v>
      </c>
      <c r="D278" s="19">
        <v>0.67</v>
      </c>
      <c r="E278" s="4">
        <v>0.22</v>
      </c>
      <c r="F278" s="4">
        <v>0.21</v>
      </c>
      <c r="G278" s="4">
        <v>0.57000000000000006</v>
      </c>
    </row>
    <row r="279" spans="1:7" x14ac:dyDescent="0.25">
      <c r="A279" s="1">
        <v>200</v>
      </c>
      <c r="B279" s="2">
        <v>6246116</v>
      </c>
      <c r="C279" s="3">
        <v>2.5000000000000001E-2</v>
      </c>
      <c r="D279" s="19">
        <v>0.67</v>
      </c>
      <c r="E279" s="4">
        <v>0.17</v>
      </c>
      <c r="F279" s="4">
        <v>0.33</v>
      </c>
      <c r="G279" s="4">
        <v>0.49999999999999989</v>
      </c>
    </row>
    <row r="280" spans="1:7" x14ac:dyDescent="0.25">
      <c r="A280" s="1">
        <v>203</v>
      </c>
      <c r="B280" s="2">
        <v>6844469</v>
      </c>
      <c r="C280" s="3">
        <v>2.5000000000000001E-2</v>
      </c>
      <c r="D280" s="19">
        <v>0.67</v>
      </c>
      <c r="E280" s="4">
        <v>0.15</v>
      </c>
      <c r="F280" s="4">
        <v>0.26</v>
      </c>
      <c r="G280" s="4">
        <v>0.59</v>
      </c>
    </row>
    <row r="281" spans="1:7" x14ac:dyDescent="0.25">
      <c r="A281" s="1">
        <v>204</v>
      </c>
      <c r="B281" s="2">
        <v>6140262</v>
      </c>
      <c r="C281" s="3">
        <v>3.2000000000000001E-2</v>
      </c>
      <c r="D281" s="19">
        <v>0.67</v>
      </c>
      <c r="E281" s="4">
        <v>0.16</v>
      </c>
      <c r="F281" s="4">
        <v>0.23</v>
      </c>
      <c r="G281" s="4">
        <v>0.61</v>
      </c>
    </row>
    <row r="282" spans="1:7" x14ac:dyDescent="0.25">
      <c r="A282" s="1">
        <v>208</v>
      </c>
      <c r="B282" s="2">
        <v>6732069</v>
      </c>
      <c r="C282" s="3">
        <v>3.1E-2</v>
      </c>
      <c r="D282" s="19">
        <v>0.67</v>
      </c>
      <c r="E282" s="4">
        <v>0.23</v>
      </c>
      <c r="F282" s="4">
        <v>0.28999999999999998</v>
      </c>
      <c r="G282" s="4">
        <v>0.48</v>
      </c>
    </row>
    <row r="283" spans="1:7" x14ac:dyDescent="0.25">
      <c r="A283" s="1">
        <v>209</v>
      </c>
      <c r="B283" s="2">
        <v>5659197</v>
      </c>
      <c r="C283" s="3">
        <v>4.2999999999999997E-2</v>
      </c>
      <c r="D283" s="19">
        <v>0.67</v>
      </c>
      <c r="E283" s="4">
        <v>0.24</v>
      </c>
      <c r="F283" s="4">
        <v>0.25</v>
      </c>
      <c r="G283" s="4">
        <v>0.51</v>
      </c>
    </row>
    <row r="284" spans="1:7" x14ac:dyDescent="0.25">
      <c r="A284" s="1">
        <v>211</v>
      </c>
      <c r="B284" s="2">
        <v>6893624</v>
      </c>
      <c r="C284" s="3">
        <v>2.7E-2</v>
      </c>
      <c r="D284" s="19">
        <v>0.67</v>
      </c>
      <c r="E284" s="4">
        <v>0.15</v>
      </c>
      <c r="F284" s="4">
        <v>0.3</v>
      </c>
      <c r="G284" s="4">
        <v>0.54999999999999993</v>
      </c>
    </row>
    <row r="285" spans="1:7" x14ac:dyDescent="0.25">
      <c r="A285" s="1">
        <v>212</v>
      </c>
      <c r="B285" s="2">
        <v>6796457</v>
      </c>
      <c r="C285" s="3">
        <v>3.3000000000000002E-2</v>
      </c>
      <c r="D285" s="19">
        <v>0.67</v>
      </c>
      <c r="E285" s="4">
        <v>0.2</v>
      </c>
      <c r="F285" s="4">
        <v>0.27</v>
      </c>
      <c r="G285" s="4">
        <v>0.53</v>
      </c>
    </row>
    <row r="286" spans="1:7" x14ac:dyDescent="0.25">
      <c r="A286" s="1">
        <v>214</v>
      </c>
      <c r="B286" s="2">
        <v>5851009</v>
      </c>
      <c r="C286" s="3">
        <v>3.2000000000000001E-2</v>
      </c>
      <c r="D286" s="19">
        <v>0.67</v>
      </c>
      <c r="E286" s="4">
        <v>0.18</v>
      </c>
      <c r="F286" s="4">
        <v>0.3</v>
      </c>
      <c r="G286" s="4">
        <v>0.52</v>
      </c>
    </row>
    <row r="287" spans="1:7" x14ac:dyDescent="0.25">
      <c r="A287" s="1">
        <v>215</v>
      </c>
      <c r="B287" s="2">
        <v>5767051</v>
      </c>
      <c r="C287" s="3">
        <v>2.7E-2</v>
      </c>
      <c r="D287" s="19">
        <v>0.67</v>
      </c>
      <c r="E287" s="4">
        <v>0.23</v>
      </c>
      <c r="F287" s="4">
        <v>0.33</v>
      </c>
      <c r="G287" s="4">
        <v>0.43999999999999995</v>
      </c>
    </row>
    <row r="288" spans="1:7" x14ac:dyDescent="0.25">
      <c r="A288" s="1">
        <v>216</v>
      </c>
      <c r="B288" s="2">
        <v>5793138</v>
      </c>
      <c r="C288" s="3">
        <v>4.2999999999999997E-2</v>
      </c>
      <c r="D288" s="19">
        <v>0.67</v>
      </c>
      <c r="E288" s="4">
        <v>0.15</v>
      </c>
      <c r="F288" s="4">
        <v>0.22</v>
      </c>
      <c r="G288" s="4">
        <v>0.63</v>
      </c>
    </row>
    <row r="289" spans="1:7" x14ac:dyDescent="0.25">
      <c r="A289" s="1">
        <v>217</v>
      </c>
      <c r="B289" s="2">
        <v>5669932</v>
      </c>
      <c r="C289" s="3">
        <v>3.2000000000000001E-2</v>
      </c>
      <c r="D289" s="19">
        <v>0.67</v>
      </c>
      <c r="E289" s="4">
        <v>0.15</v>
      </c>
      <c r="F289" s="4">
        <v>0.3</v>
      </c>
      <c r="G289" s="4">
        <v>0.54999999999999993</v>
      </c>
    </row>
    <row r="290" spans="1:7" x14ac:dyDescent="0.25">
      <c r="A290" s="1">
        <v>219</v>
      </c>
      <c r="B290" s="2">
        <v>6658357</v>
      </c>
      <c r="C290" s="3">
        <v>4.3999999999999997E-2</v>
      </c>
      <c r="D290" s="19">
        <v>0.67</v>
      </c>
      <c r="E290" s="4">
        <v>0.24</v>
      </c>
      <c r="F290" s="4">
        <v>0.28000000000000003</v>
      </c>
      <c r="G290" s="4">
        <v>0.48</v>
      </c>
    </row>
    <row r="291" spans="1:7" x14ac:dyDescent="0.25">
      <c r="A291" s="1">
        <v>222</v>
      </c>
      <c r="B291" s="2">
        <v>6445487</v>
      </c>
      <c r="C291" s="3">
        <v>3.6999999999999998E-2</v>
      </c>
      <c r="D291" s="19">
        <v>0.67</v>
      </c>
      <c r="E291" s="4">
        <v>0.21</v>
      </c>
      <c r="F291" s="4">
        <v>0.24</v>
      </c>
      <c r="G291" s="4">
        <v>0.55000000000000004</v>
      </c>
    </row>
    <row r="292" spans="1:7" x14ac:dyDescent="0.25">
      <c r="A292" s="1">
        <v>224</v>
      </c>
      <c r="B292" s="2">
        <v>6145235</v>
      </c>
      <c r="C292" s="3">
        <v>2.7E-2</v>
      </c>
      <c r="D292" s="19">
        <v>0.67</v>
      </c>
      <c r="E292" s="4">
        <v>0.21</v>
      </c>
      <c r="F292" s="4">
        <v>0.23</v>
      </c>
      <c r="G292" s="4">
        <v>0.56000000000000005</v>
      </c>
    </row>
    <row r="293" spans="1:7" x14ac:dyDescent="0.25">
      <c r="A293" s="1">
        <v>228</v>
      </c>
      <c r="B293" s="2">
        <v>6823152</v>
      </c>
      <c r="C293" s="3">
        <v>0.04</v>
      </c>
      <c r="D293" s="19">
        <v>0.67</v>
      </c>
      <c r="E293" s="4">
        <v>0.23</v>
      </c>
      <c r="F293" s="4">
        <v>0.26</v>
      </c>
      <c r="G293" s="4">
        <v>0.51</v>
      </c>
    </row>
    <row r="294" spans="1:7" x14ac:dyDescent="0.25">
      <c r="A294" s="1">
        <v>229</v>
      </c>
      <c r="B294" s="2">
        <v>6171364</v>
      </c>
      <c r="C294" s="3">
        <v>3.2000000000000001E-2</v>
      </c>
      <c r="D294" s="19">
        <v>0.67</v>
      </c>
      <c r="E294" s="4">
        <v>0.23</v>
      </c>
      <c r="F294" s="4">
        <v>0.28000000000000003</v>
      </c>
      <c r="G294" s="4">
        <v>0.49</v>
      </c>
    </row>
    <row r="295" spans="1:7" x14ac:dyDescent="0.25">
      <c r="A295" s="1">
        <v>231</v>
      </c>
      <c r="B295" s="2">
        <v>5341800</v>
      </c>
      <c r="C295" s="3">
        <v>4.2000000000000003E-2</v>
      </c>
      <c r="D295" s="19">
        <v>0.67</v>
      </c>
      <c r="E295" s="4">
        <v>0.16</v>
      </c>
      <c r="F295" s="4">
        <v>0.33</v>
      </c>
      <c r="G295" s="4">
        <v>0.5099999999999999</v>
      </c>
    </row>
    <row r="296" spans="1:7" x14ac:dyDescent="0.25">
      <c r="A296" s="1">
        <v>232</v>
      </c>
      <c r="B296" s="2">
        <v>6064601</v>
      </c>
      <c r="C296" s="3">
        <v>3.6999999999999998E-2</v>
      </c>
      <c r="D296" s="19">
        <v>0.67</v>
      </c>
      <c r="E296" s="4">
        <v>0.2</v>
      </c>
      <c r="F296" s="4">
        <v>0.16</v>
      </c>
      <c r="G296" s="4">
        <v>0.6399999999999999</v>
      </c>
    </row>
    <row r="297" spans="1:7" x14ac:dyDescent="0.25">
      <c r="A297" s="1">
        <v>233</v>
      </c>
      <c r="B297" s="2">
        <v>5362155</v>
      </c>
      <c r="C297" s="3">
        <v>4.2000000000000003E-2</v>
      </c>
      <c r="D297" s="19">
        <v>0.67</v>
      </c>
      <c r="E297" s="4">
        <v>0.19</v>
      </c>
      <c r="F297" s="4">
        <v>0.34</v>
      </c>
      <c r="G297" s="4">
        <v>0.46999999999999992</v>
      </c>
    </row>
    <row r="298" spans="1:7" x14ac:dyDescent="0.25">
      <c r="A298" s="1">
        <v>234</v>
      </c>
      <c r="B298" s="2">
        <v>6215568</v>
      </c>
      <c r="C298" s="3">
        <v>3.5999999999999997E-2</v>
      </c>
      <c r="D298" s="19">
        <v>0.67</v>
      </c>
      <c r="E298" s="4">
        <v>0.24</v>
      </c>
      <c r="F298" s="4">
        <v>0.28000000000000003</v>
      </c>
      <c r="G298" s="4">
        <v>0.48</v>
      </c>
    </row>
    <row r="299" spans="1:7" x14ac:dyDescent="0.25">
      <c r="A299" s="1">
        <v>239</v>
      </c>
      <c r="B299" s="2">
        <v>5776756</v>
      </c>
      <c r="C299" s="3">
        <v>3.3000000000000002E-2</v>
      </c>
      <c r="D299" s="19">
        <v>0.67</v>
      </c>
      <c r="E299" s="4">
        <v>0.25</v>
      </c>
      <c r="F299" s="4">
        <v>0.34</v>
      </c>
      <c r="G299" s="4">
        <v>0.40999999999999992</v>
      </c>
    </row>
    <row r="300" spans="1:7" x14ac:dyDescent="0.25">
      <c r="A300" s="1">
        <v>243</v>
      </c>
      <c r="B300" s="2">
        <v>5680694</v>
      </c>
      <c r="C300" s="3">
        <v>2.7E-2</v>
      </c>
      <c r="D300" s="19">
        <v>0.67</v>
      </c>
      <c r="E300" s="4">
        <v>0.17</v>
      </c>
      <c r="F300" s="4">
        <v>0.32</v>
      </c>
      <c r="G300" s="4">
        <v>0.5099999999999999</v>
      </c>
    </row>
    <row r="301" spans="1:7" x14ac:dyDescent="0.25">
      <c r="A301" s="1">
        <v>244</v>
      </c>
      <c r="B301" s="2">
        <v>5556982</v>
      </c>
      <c r="C301" s="3">
        <v>3.3000000000000002E-2</v>
      </c>
      <c r="D301" s="19">
        <v>0.67</v>
      </c>
      <c r="E301" s="4">
        <v>0.25</v>
      </c>
      <c r="F301" s="4">
        <v>0.27</v>
      </c>
      <c r="G301" s="4">
        <v>0.48</v>
      </c>
    </row>
    <row r="302" spans="1:7" x14ac:dyDescent="0.25">
      <c r="A302" s="1">
        <v>247</v>
      </c>
      <c r="B302" s="2">
        <v>6951673</v>
      </c>
      <c r="C302" s="3">
        <v>4.2000000000000003E-2</v>
      </c>
      <c r="D302" s="19">
        <v>0.67</v>
      </c>
      <c r="E302" s="4">
        <v>0.19</v>
      </c>
      <c r="F302" s="4">
        <v>0.32</v>
      </c>
      <c r="G302" s="4">
        <v>0.48999999999999994</v>
      </c>
    </row>
    <row r="303" spans="1:7" x14ac:dyDescent="0.25">
      <c r="A303" s="1">
        <v>250</v>
      </c>
      <c r="B303" s="2">
        <v>5173436</v>
      </c>
      <c r="C303" s="3">
        <v>4.1000000000000002E-2</v>
      </c>
      <c r="D303" s="19">
        <v>0.67</v>
      </c>
      <c r="E303" s="4">
        <v>0.23</v>
      </c>
      <c r="F303" s="4">
        <v>0.21</v>
      </c>
      <c r="G303" s="4">
        <v>0.56000000000000005</v>
      </c>
    </row>
    <row r="304" spans="1:7" x14ac:dyDescent="0.25">
      <c r="A304" s="1">
        <v>251</v>
      </c>
      <c r="B304" s="2">
        <v>5182417</v>
      </c>
      <c r="C304" s="3">
        <v>0.03</v>
      </c>
      <c r="D304" s="19">
        <v>0.67</v>
      </c>
      <c r="E304" s="4">
        <v>0.19</v>
      </c>
      <c r="F304" s="4">
        <v>0.27</v>
      </c>
      <c r="G304" s="4">
        <v>0.54</v>
      </c>
    </row>
    <row r="305" spans="1:7" x14ac:dyDescent="0.25">
      <c r="A305" s="1">
        <v>254</v>
      </c>
      <c r="B305" s="2">
        <v>6731369</v>
      </c>
      <c r="C305" s="3">
        <v>3.7999999999999999E-2</v>
      </c>
      <c r="D305" s="19">
        <v>0.67</v>
      </c>
      <c r="E305" s="4">
        <v>0.18</v>
      </c>
      <c r="F305" s="4">
        <v>0.15</v>
      </c>
      <c r="G305" s="4">
        <v>0.66999999999999993</v>
      </c>
    </row>
    <row r="306" spans="1:7" x14ac:dyDescent="0.25">
      <c r="A306" s="1">
        <v>256</v>
      </c>
      <c r="B306" s="2">
        <v>6358998</v>
      </c>
      <c r="C306" s="3">
        <v>3.4000000000000002E-2</v>
      </c>
      <c r="D306" s="19">
        <v>0.67</v>
      </c>
      <c r="E306" s="4">
        <v>0.21</v>
      </c>
      <c r="F306" s="4">
        <v>0.19</v>
      </c>
      <c r="G306" s="4">
        <v>0.60000000000000009</v>
      </c>
    </row>
    <row r="307" spans="1:7" x14ac:dyDescent="0.25">
      <c r="A307" s="1">
        <v>257</v>
      </c>
      <c r="B307" s="2">
        <v>5341312</v>
      </c>
      <c r="C307" s="3">
        <v>3.4000000000000002E-2</v>
      </c>
      <c r="D307" s="19">
        <v>0.67</v>
      </c>
      <c r="E307" s="4">
        <v>0.24</v>
      </c>
      <c r="F307" s="4">
        <v>0.31</v>
      </c>
      <c r="G307" s="4">
        <v>0.44999999999999996</v>
      </c>
    </row>
    <row r="308" spans="1:7" x14ac:dyDescent="0.25">
      <c r="A308" s="1">
        <v>260</v>
      </c>
      <c r="B308" s="2">
        <v>6502962</v>
      </c>
      <c r="C308" s="3">
        <v>3.5999999999999997E-2</v>
      </c>
      <c r="D308" s="19">
        <v>0.67</v>
      </c>
      <c r="E308" s="4">
        <v>0.23</v>
      </c>
      <c r="F308" s="4">
        <v>0.26</v>
      </c>
      <c r="G308" s="4">
        <v>0.51</v>
      </c>
    </row>
    <row r="309" spans="1:7" x14ac:dyDescent="0.25">
      <c r="A309" s="1">
        <v>261</v>
      </c>
      <c r="B309" s="2">
        <v>5658010</v>
      </c>
      <c r="C309" s="3">
        <v>0.03</v>
      </c>
      <c r="D309" s="19">
        <v>0.67</v>
      </c>
      <c r="E309" s="4">
        <v>0.15</v>
      </c>
      <c r="F309" s="4">
        <v>0.16</v>
      </c>
      <c r="G309" s="4">
        <v>0.69</v>
      </c>
    </row>
    <row r="310" spans="1:7" x14ac:dyDescent="0.25">
      <c r="A310" s="1">
        <v>262</v>
      </c>
      <c r="B310" s="2">
        <v>5956506</v>
      </c>
      <c r="C310" s="3">
        <v>4.1000000000000002E-2</v>
      </c>
      <c r="D310" s="19">
        <v>0.67</v>
      </c>
      <c r="E310" s="4">
        <v>0.21</v>
      </c>
      <c r="F310" s="4">
        <v>0.17</v>
      </c>
      <c r="G310" s="4">
        <v>0.62</v>
      </c>
    </row>
    <row r="311" spans="1:7" x14ac:dyDescent="0.25">
      <c r="A311" s="1">
        <v>263</v>
      </c>
      <c r="B311" s="2">
        <v>6260873</v>
      </c>
      <c r="C311" s="3">
        <v>4.1000000000000002E-2</v>
      </c>
      <c r="D311" s="19">
        <v>0.67</v>
      </c>
      <c r="E311" s="4">
        <v>0.23</v>
      </c>
      <c r="F311" s="4">
        <v>0.28999999999999998</v>
      </c>
      <c r="G311" s="4">
        <v>0.48</v>
      </c>
    </row>
    <row r="312" spans="1:7" x14ac:dyDescent="0.25">
      <c r="A312" s="1">
        <v>264</v>
      </c>
      <c r="B312" s="2">
        <v>6996720</v>
      </c>
      <c r="C312" s="3">
        <v>2.5000000000000001E-2</v>
      </c>
      <c r="D312" s="19">
        <v>0.67</v>
      </c>
      <c r="E312" s="4">
        <v>0.18</v>
      </c>
      <c r="F312" s="4">
        <v>0.28000000000000003</v>
      </c>
      <c r="G312" s="4">
        <v>0.54</v>
      </c>
    </row>
    <row r="313" spans="1:7" x14ac:dyDescent="0.25">
      <c r="A313" s="1">
        <v>267</v>
      </c>
      <c r="B313" s="2">
        <v>5953419</v>
      </c>
      <c r="C313" s="3">
        <v>4.3999999999999997E-2</v>
      </c>
      <c r="D313" s="19">
        <v>0.67</v>
      </c>
      <c r="E313" s="4">
        <v>0.2</v>
      </c>
      <c r="F313" s="4">
        <v>0.28000000000000003</v>
      </c>
      <c r="G313" s="4">
        <v>0.52</v>
      </c>
    </row>
    <row r="314" spans="1:7" x14ac:dyDescent="0.25">
      <c r="A314" s="1">
        <v>268</v>
      </c>
      <c r="B314" s="2">
        <v>5259286</v>
      </c>
      <c r="C314" s="3">
        <v>2.7E-2</v>
      </c>
      <c r="D314" s="19">
        <v>0.67</v>
      </c>
      <c r="E314" s="4">
        <v>0.19</v>
      </c>
      <c r="F314" s="4">
        <v>0.26</v>
      </c>
      <c r="G314" s="4">
        <v>0.55000000000000004</v>
      </c>
    </row>
    <row r="315" spans="1:7" x14ac:dyDescent="0.25">
      <c r="A315" s="1">
        <v>269</v>
      </c>
      <c r="B315" s="2">
        <v>6413816</v>
      </c>
      <c r="C315" s="3">
        <v>3.7999999999999999E-2</v>
      </c>
      <c r="D315" s="19">
        <v>0.67</v>
      </c>
      <c r="E315" s="4">
        <v>0.19</v>
      </c>
      <c r="F315" s="4">
        <v>0.27</v>
      </c>
      <c r="G315" s="4">
        <v>0.54</v>
      </c>
    </row>
    <row r="316" spans="1:7" x14ac:dyDescent="0.25">
      <c r="A316" s="1">
        <v>270</v>
      </c>
      <c r="B316" s="2">
        <v>5065503</v>
      </c>
      <c r="C316" s="3">
        <v>3.3000000000000002E-2</v>
      </c>
      <c r="D316" s="19">
        <v>0.67</v>
      </c>
      <c r="E316" s="4">
        <v>0.19</v>
      </c>
      <c r="F316" s="4">
        <v>0.25</v>
      </c>
      <c r="G316" s="4">
        <v>0.56000000000000005</v>
      </c>
    </row>
    <row r="317" spans="1:7" x14ac:dyDescent="0.25">
      <c r="A317" s="1">
        <v>275</v>
      </c>
      <c r="B317" s="2">
        <v>5585715</v>
      </c>
      <c r="C317" s="3">
        <v>3.7999999999999999E-2</v>
      </c>
      <c r="D317" s="19">
        <v>0.67</v>
      </c>
      <c r="E317" s="4">
        <v>0.16</v>
      </c>
      <c r="F317" s="4">
        <v>0.32</v>
      </c>
      <c r="G317" s="4">
        <v>0.51999999999999991</v>
      </c>
    </row>
    <row r="318" spans="1:7" x14ac:dyDescent="0.25">
      <c r="A318" s="1">
        <v>277</v>
      </c>
      <c r="B318" s="2">
        <v>5985142</v>
      </c>
      <c r="C318" s="3">
        <v>3.9E-2</v>
      </c>
      <c r="D318" s="19">
        <v>0.67</v>
      </c>
      <c r="E318" s="4">
        <v>0.24</v>
      </c>
      <c r="F318" s="4">
        <v>0.16</v>
      </c>
      <c r="G318" s="4">
        <v>0.6</v>
      </c>
    </row>
    <row r="319" spans="1:7" x14ac:dyDescent="0.25">
      <c r="A319" s="1">
        <v>278</v>
      </c>
      <c r="B319" s="2">
        <v>6474664</v>
      </c>
      <c r="C319" s="3">
        <v>3.5000000000000003E-2</v>
      </c>
      <c r="D319" s="19">
        <v>0.67</v>
      </c>
      <c r="E319" s="4">
        <v>0.2</v>
      </c>
      <c r="F319" s="4">
        <v>0.19</v>
      </c>
      <c r="G319" s="4">
        <v>0.6100000000000001</v>
      </c>
    </row>
    <row r="320" spans="1:7" x14ac:dyDescent="0.25">
      <c r="A320" s="1">
        <v>280</v>
      </c>
      <c r="B320" s="2">
        <v>5031298</v>
      </c>
      <c r="C320" s="3">
        <v>2.7E-2</v>
      </c>
      <c r="D320" s="19">
        <v>0.67</v>
      </c>
      <c r="E320" s="4">
        <v>0.21</v>
      </c>
      <c r="F320" s="4">
        <v>0.16</v>
      </c>
      <c r="G320" s="4">
        <v>0.63</v>
      </c>
    </row>
    <row r="321" spans="1:7" x14ac:dyDescent="0.25">
      <c r="A321" s="1">
        <v>282</v>
      </c>
      <c r="B321" s="2">
        <v>6678797</v>
      </c>
      <c r="C321" s="3">
        <v>0.04</v>
      </c>
      <c r="D321" s="19">
        <v>0.67</v>
      </c>
      <c r="E321" s="4">
        <v>0.23</v>
      </c>
      <c r="F321" s="4">
        <v>0.22</v>
      </c>
      <c r="G321" s="4">
        <v>0.55000000000000004</v>
      </c>
    </row>
    <row r="322" spans="1:7" x14ac:dyDescent="0.25">
      <c r="A322" s="1">
        <v>283</v>
      </c>
      <c r="B322" s="2">
        <v>6663341</v>
      </c>
      <c r="C322" s="3">
        <v>0.03</v>
      </c>
      <c r="D322" s="19">
        <v>0.67</v>
      </c>
      <c r="E322" s="4">
        <v>0.22</v>
      </c>
      <c r="F322" s="4">
        <v>0.23</v>
      </c>
      <c r="G322" s="4">
        <v>0.55000000000000004</v>
      </c>
    </row>
    <row r="323" spans="1:7" x14ac:dyDescent="0.25">
      <c r="A323" s="1">
        <v>285</v>
      </c>
      <c r="B323" s="2">
        <v>5655752</v>
      </c>
      <c r="C323" s="3">
        <v>2.5999999999999999E-2</v>
      </c>
      <c r="D323" s="19">
        <v>0.67</v>
      </c>
      <c r="E323" s="4">
        <v>0.25</v>
      </c>
      <c r="F323" s="4">
        <v>0.31</v>
      </c>
      <c r="G323" s="4">
        <v>0.43999999999999995</v>
      </c>
    </row>
    <row r="324" spans="1:7" x14ac:dyDescent="0.25">
      <c r="A324" s="1">
        <v>288</v>
      </c>
      <c r="B324" s="2">
        <v>6575155</v>
      </c>
      <c r="C324" s="3">
        <v>0.04</v>
      </c>
      <c r="D324" s="19">
        <v>0.67</v>
      </c>
      <c r="E324" s="4">
        <v>0.17</v>
      </c>
      <c r="F324" s="4">
        <v>0.33</v>
      </c>
      <c r="G324" s="4">
        <v>0.49999999999999989</v>
      </c>
    </row>
    <row r="325" spans="1:7" x14ac:dyDescent="0.25">
      <c r="A325" s="1">
        <v>292</v>
      </c>
      <c r="B325" s="2">
        <v>5545057</v>
      </c>
      <c r="C325" s="3">
        <v>3.5999999999999997E-2</v>
      </c>
      <c r="D325" s="19">
        <v>0.67</v>
      </c>
      <c r="E325" s="4">
        <v>0.2</v>
      </c>
      <c r="F325" s="4">
        <v>0.33</v>
      </c>
      <c r="G325" s="4">
        <v>0.46999999999999992</v>
      </c>
    </row>
    <row r="326" spans="1:7" x14ac:dyDescent="0.25">
      <c r="A326" s="1">
        <v>293</v>
      </c>
      <c r="B326" s="2">
        <v>6858138</v>
      </c>
      <c r="C326" s="3">
        <v>4.1000000000000002E-2</v>
      </c>
      <c r="D326" s="19">
        <v>0.67</v>
      </c>
      <c r="E326" s="4">
        <v>0.19</v>
      </c>
      <c r="F326" s="4">
        <v>0.18</v>
      </c>
      <c r="G326" s="4">
        <v>0.63000000000000012</v>
      </c>
    </row>
    <row r="327" spans="1:7" x14ac:dyDescent="0.25">
      <c r="A327" s="1">
        <v>294</v>
      </c>
      <c r="B327" s="2">
        <v>5663443</v>
      </c>
      <c r="C327" s="3">
        <v>3.7999999999999999E-2</v>
      </c>
      <c r="D327" s="19">
        <v>0.67</v>
      </c>
      <c r="E327" s="4">
        <v>0.2</v>
      </c>
      <c r="F327" s="4">
        <v>0.15</v>
      </c>
      <c r="G327" s="4">
        <v>0.64999999999999991</v>
      </c>
    </row>
    <row r="328" spans="1:7" x14ac:dyDescent="0.25">
      <c r="A328" s="1">
        <v>298</v>
      </c>
      <c r="B328" s="2">
        <v>6958563</v>
      </c>
      <c r="C328" s="3">
        <v>4.1000000000000002E-2</v>
      </c>
      <c r="D328" s="19">
        <v>0.67</v>
      </c>
      <c r="E328" s="4">
        <v>0.21</v>
      </c>
      <c r="F328" s="4">
        <v>0.17</v>
      </c>
      <c r="G328" s="4">
        <v>0.62</v>
      </c>
    </row>
    <row r="329" spans="1:7" x14ac:dyDescent="0.25">
      <c r="A329" s="1">
        <v>306</v>
      </c>
      <c r="B329" s="2">
        <v>5482592</v>
      </c>
      <c r="C329" s="3">
        <v>0.04</v>
      </c>
      <c r="D329" s="19">
        <v>0.67</v>
      </c>
      <c r="E329" s="4">
        <v>0.24</v>
      </c>
      <c r="F329" s="4">
        <v>0.31</v>
      </c>
      <c r="G329" s="4">
        <v>0.44999999999999996</v>
      </c>
    </row>
    <row r="330" spans="1:7" x14ac:dyDescent="0.25">
      <c r="A330" s="1">
        <v>307</v>
      </c>
      <c r="B330" s="2">
        <v>6031387</v>
      </c>
      <c r="C330" s="3">
        <v>4.2000000000000003E-2</v>
      </c>
      <c r="D330" s="19">
        <v>0.67</v>
      </c>
      <c r="E330" s="4">
        <v>0.15</v>
      </c>
      <c r="F330" s="4">
        <v>0.15</v>
      </c>
      <c r="G330" s="4">
        <v>0.7</v>
      </c>
    </row>
    <row r="331" spans="1:7" x14ac:dyDescent="0.25">
      <c r="A331" s="1">
        <v>314</v>
      </c>
      <c r="B331" s="2">
        <v>5006777</v>
      </c>
      <c r="C331" s="3">
        <v>3.1E-2</v>
      </c>
      <c r="D331" s="19">
        <v>0.67</v>
      </c>
      <c r="E331" s="4">
        <v>0.16</v>
      </c>
      <c r="F331" s="4">
        <v>0.25</v>
      </c>
      <c r="G331" s="4">
        <v>0.59</v>
      </c>
    </row>
    <row r="332" spans="1:7" x14ac:dyDescent="0.25">
      <c r="A332" s="1">
        <v>315</v>
      </c>
      <c r="B332" s="2">
        <v>5721142</v>
      </c>
      <c r="C332" s="3">
        <v>3.5000000000000003E-2</v>
      </c>
      <c r="D332" s="19">
        <v>0.67</v>
      </c>
      <c r="E332" s="4">
        <v>0.2</v>
      </c>
      <c r="F332" s="4">
        <v>0.18</v>
      </c>
      <c r="G332" s="4">
        <v>0.62000000000000011</v>
      </c>
    </row>
    <row r="333" spans="1:7" x14ac:dyDescent="0.25">
      <c r="A333" s="1">
        <v>316</v>
      </c>
      <c r="B333" s="2">
        <v>6190561</v>
      </c>
      <c r="C333" s="3">
        <v>3.3000000000000002E-2</v>
      </c>
      <c r="D333" s="19">
        <v>0.67</v>
      </c>
      <c r="E333" s="4">
        <v>0.25</v>
      </c>
      <c r="F333" s="4">
        <v>0.15</v>
      </c>
      <c r="G333" s="4">
        <v>0.6</v>
      </c>
    </row>
    <row r="334" spans="1:7" x14ac:dyDescent="0.25">
      <c r="A334" s="1">
        <v>322</v>
      </c>
      <c r="B334" s="2">
        <v>5141024</v>
      </c>
      <c r="C334" s="3">
        <v>2.5999999999999999E-2</v>
      </c>
      <c r="D334" s="19">
        <v>0.67</v>
      </c>
      <c r="E334" s="4">
        <v>0.25</v>
      </c>
      <c r="F334" s="4">
        <v>0.19</v>
      </c>
      <c r="G334" s="4">
        <v>0.56000000000000005</v>
      </c>
    </row>
    <row r="335" spans="1:7" x14ac:dyDescent="0.25">
      <c r="A335" s="1">
        <v>323</v>
      </c>
      <c r="B335" s="2">
        <v>5034205</v>
      </c>
      <c r="C335" s="3">
        <v>2.9000000000000001E-2</v>
      </c>
      <c r="D335" s="19">
        <v>0.67</v>
      </c>
      <c r="E335" s="4">
        <v>0.2</v>
      </c>
      <c r="F335" s="4">
        <v>0.23</v>
      </c>
      <c r="G335" s="4">
        <v>0.57000000000000006</v>
      </c>
    </row>
    <row r="336" spans="1:7" x14ac:dyDescent="0.25">
      <c r="A336" s="1">
        <v>327</v>
      </c>
      <c r="B336" s="2">
        <v>5117393</v>
      </c>
      <c r="C336" s="3">
        <v>2.5000000000000001E-2</v>
      </c>
      <c r="D336" s="19">
        <v>0.67</v>
      </c>
      <c r="E336" s="4">
        <v>0.23</v>
      </c>
      <c r="F336" s="4">
        <v>0.24</v>
      </c>
      <c r="G336" s="4">
        <v>0.53</v>
      </c>
    </row>
    <row r="337" spans="1:7" x14ac:dyDescent="0.25">
      <c r="A337" s="1">
        <v>328</v>
      </c>
      <c r="B337" s="2">
        <v>5931260</v>
      </c>
      <c r="C337" s="3">
        <v>3.5000000000000003E-2</v>
      </c>
      <c r="D337" s="19">
        <v>0.67</v>
      </c>
      <c r="E337" s="4">
        <v>0.15</v>
      </c>
      <c r="F337" s="4">
        <v>0.27</v>
      </c>
      <c r="G337" s="4">
        <v>0.57999999999999996</v>
      </c>
    </row>
    <row r="338" spans="1:7" x14ac:dyDescent="0.25">
      <c r="A338" s="1">
        <v>330</v>
      </c>
      <c r="B338" s="2">
        <v>5828489</v>
      </c>
      <c r="C338" s="3">
        <v>2.5000000000000001E-2</v>
      </c>
      <c r="D338" s="19">
        <v>0.67</v>
      </c>
      <c r="E338" s="4">
        <v>0.17</v>
      </c>
      <c r="F338" s="4">
        <v>0.25</v>
      </c>
      <c r="G338" s="4">
        <v>0.57999999999999996</v>
      </c>
    </row>
    <row r="339" spans="1:7" x14ac:dyDescent="0.25">
      <c r="A339" s="1">
        <v>331</v>
      </c>
      <c r="B339" s="2">
        <v>6797955</v>
      </c>
      <c r="C339" s="3">
        <v>4.1000000000000002E-2</v>
      </c>
      <c r="D339" s="19">
        <v>0.67</v>
      </c>
      <c r="E339" s="4">
        <v>0.23</v>
      </c>
      <c r="F339" s="4">
        <v>0.19</v>
      </c>
      <c r="G339" s="4">
        <v>0.58000000000000007</v>
      </c>
    </row>
    <row r="340" spans="1:7" x14ac:dyDescent="0.25">
      <c r="A340" s="1">
        <v>334</v>
      </c>
      <c r="B340" s="2">
        <v>5097095</v>
      </c>
      <c r="C340" s="3">
        <v>3.4000000000000002E-2</v>
      </c>
      <c r="D340" s="19">
        <v>0.67</v>
      </c>
      <c r="E340" s="4">
        <v>0.23</v>
      </c>
      <c r="F340" s="4">
        <v>0.23</v>
      </c>
      <c r="G340" s="4">
        <v>0.54</v>
      </c>
    </row>
    <row r="341" spans="1:7" x14ac:dyDescent="0.25">
      <c r="A341" s="1">
        <v>335</v>
      </c>
      <c r="B341" s="2">
        <v>5939874</v>
      </c>
      <c r="C341" s="3">
        <v>4.3999999999999997E-2</v>
      </c>
      <c r="D341" s="19">
        <v>0.67</v>
      </c>
      <c r="E341" s="4">
        <v>0.25</v>
      </c>
      <c r="F341" s="4">
        <v>0.27</v>
      </c>
      <c r="G341" s="4">
        <v>0.48</v>
      </c>
    </row>
    <row r="342" spans="1:7" x14ac:dyDescent="0.25">
      <c r="A342" s="1">
        <v>339</v>
      </c>
      <c r="B342" s="2">
        <v>5016022</v>
      </c>
      <c r="C342" s="3">
        <v>3.6999999999999998E-2</v>
      </c>
      <c r="D342" s="19">
        <v>0.67</v>
      </c>
      <c r="E342" s="4">
        <v>0.22</v>
      </c>
      <c r="F342" s="4">
        <v>0.16</v>
      </c>
      <c r="G342" s="4">
        <v>0.62</v>
      </c>
    </row>
    <row r="343" spans="1:7" x14ac:dyDescent="0.25">
      <c r="A343" s="1">
        <v>341</v>
      </c>
      <c r="B343" s="2">
        <v>5574435</v>
      </c>
      <c r="C343" s="3">
        <v>2.7E-2</v>
      </c>
      <c r="D343" s="19">
        <v>0.67</v>
      </c>
      <c r="E343" s="4">
        <v>0.18</v>
      </c>
      <c r="F343" s="4">
        <v>0.19</v>
      </c>
      <c r="G343" s="4">
        <v>0.63000000000000012</v>
      </c>
    </row>
    <row r="344" spans="1:7" x14ac:dyDescent="0.25">
      <c r="A344" s="1">
        <v>342</v>
      </c>
      <c r="B344" s="2">
        <v>6649767</v>
      </c>
      <c r="C344" s="3">
        <v>0.04</v>
      </c>
      <c r="D344" s="19">
        <v>0.67</v>
      </c>
      <c r="E344" s="4">
        <v>0.18</v>
      </c>
      <c r="F344" s="4">
        <v>0.28000000000000003</v>
      </c>
      <c r="G344" s="4">
        <v>0.54</v>
      </c>
    </row>
    <row r="345" spans="1:7" x14ac:dyDescent="0.25">
      <c r="A345" s="1">
        <v>343</v>
      </c>
      <c r="B345" s="2">
        <v>6012965</v>
      </c>
      <c r="C345" s="3">
        <v>4.1000000000000002E-2</v>
      </c>
      <c r="D345" s="19">
        <v>0.67</v>
      </c>
      <c r="E345" s="4">
        <v>0.16</v>
      </c>
      <c r="F345" s="4">
        <v>0.24</v>
      </c>
      <c r="G345" s="4">
        <v>0.6</v>
      </c>
    </row>
    <row r="346" spans="1:7" x14ac:dyDescent="0.25">
      <c r="A346" s="1">
        <v>348</v>
      </c>
      <c r="B346" s="2">
        <v>4272981</v>
      </c>
      <c r="C346" s="3">
        <v>3.5000000000000003E-2</v>
      </c>
      <c r="D346" s="19">
        <v>0.67</v>
      </c>
      <c r="E346" s="4">
        <v>0.22</v>
      </c>
      <c r="F346" s="4">
        <v>0.18</v>
      </c>
      <c r="G346" s="4">
        <v>0.60000000000000009</v>
      </c>
    </row>
    <row r="347" spans="1:7" x14ac:dyDescent="0.25">
      <c r="A347" s="1">
        <v>353</v>
      </c>
      <c r="B347" s="2">
        <v>4238790</v>
      </c>
      <c r="C347" s="3">
        <v>3.4000000000000002E-2</v>
      </c>
      <c r="D347" s="19">
        <v>0.67</v>
      </c>
      <c r="E347" s="4">
        <v>0.19</v>
      </c>
      <c r="F347" s="4">
        <v>0.23</v>
      </c>
      <c r="G347" s="4">
        <v>0.58000000000000007</v>
      </c>
    </row>
    <row r="348" spans="1:7" x14ac:dyDescent="0.25">
      <c r="A348" s="1">
        <v>354</v>
      </c>
      <c r="B348" s="2">
        <v>4258943</v>
      </c>
      <c r="C348" s="3">
        <v>3.3000000000000002E-2</v>
      </c>
      <c r="D348" s="19">
        <v>0.67</v>
      </c>
      <c r="E348" s="4">
        <v>0.18</v>
      </c>
      <c r="F348" s="4">
        <v>0.35</v>
      </c>
      <c r="G348" s="4">
        <v>0.47000000000000003</v>
      </c>
    </row>
    <row r="349" spans="1:7" x14ac:dyDescent="0.25">
      <c r="A349" s="1">
        <v>357</v>
      </c>
      <c r="B349" s="2">
        <v>4295763</v>
      </c>
      <c r="C349" s="3">
        <v>2.8000000000000001E-2</v>
      </c>
      <c r="D349" s="19">
        <v>0.67</v>
      </c>
      <c r="E349" s="4">
        <v>0.22</v>
      </c>
      <c r="F349" s="4">
        <v>0.23</v>
      </c>
      <c r="G349" s="4">
        <v>0.55000000000000004</v>
      </c>
    </row>
    <row r="350" spans="1:7" x14ac:dyDescent="0.25">
      <c r="A350" s="1">
        <v>375</v>
      </c>
      <c r="B350" s="2">
        <v>4421516</v>
      </c>
      <c r="C350" s="3">
        <v>2.1000000000000001E-2</v>
      </c>
      <c r="D350" s="19">
        <v>0.67</v>
      </c>
      <c r="E350" s="4">
        <v>0.17</v>
      </c>
      <c r="F350" s="4">
        <v>0.31</v>
      </c>
      <c r="G350" s="4">
        <v>0.51999999999999991</v>
      </c>
    </row>
    <row r="351" spans="1:7" x14ac:dyDescent="0.25">
      <c r="A351" s="1">
        <v>384</v>
      </c>
      <c r="B351" s="2">
        <v>4609600</v>
      </c>
      <c r="C351" s="3">
        <v>3.5000000000000003E-2</v>
      </c>
      <c r="D351" s="19">
        <v>0.67</v>
      </c>
      <c r="E351" s="4">
        <v>0.17</v>
      </c>
      <c r="F351" s="4">
        <v>0.23</v>
      </c>
      <c r="G351" s="4">
        <v>0.6</v>
      </c>
    </row>
    <row r="352" spans="1:7" x14ac:dyDescent="0.25">
      <c r="A352" s="1">
        <v>385</v>
      </c>
      <c r="B352" s="2">
        <v>4157889</v>
      </c>
      <c r="C352" s="3">
        <v>1.6E-2</v>
      </c>
      <c r="D352" s="19">
        <v>0.67</v>
      </c>
      <c r="E352" s="4">
        <v>0.25</v>
      </c>
      <c r="F352" s="4">
        <v>0.15</v>
      </c>
      <c r="G352" s="4">
        <v>0.6</v>
      </c>
    </row>
    <row r="353" spans="1:7" x14ac:dyDescent="0.25">
      <c r="A353" s="1">
        <v>391</v>
      </c>
      <c r="B353" s="2">
        <v>4107887</v>
      </c>
      <c r="C353" s="3">
        <v>1.4999999999999999E-2</v>
      </c>
      <c r="D353" s="19">
        <v>0.67</v>
      </c>
      <c r="E353" s="4">
        <v>0.2</v>
      </c>
      <c r="F353" s="4">
        <v>0.22</v>
      </c>
      <c r="G353" s="4">
        <v>0.58000000000000007</v>
      </c>
    </row>
    <row r="354" spans="1:7" x14ac:dyDescent="0.25">
      <c r="A354" s="1">
        <v>392</v>
      </c>
      <c r="B354" s="2">
        <v>4030470</v>
      </c>
      <c r="C354" s="3">
        <v>3.3000000000000002E-2</v>
      </c>
      <c r="D354" s="19">
        <v>0.67</v>
      </c>
      <c r="E354" s="4">
        <v>0.24</v>
      </c>
      <c r="F354" s="4">
        <v>0.28999999999999998</v>
      </c>
      <c r="G354" s="4">
        <v>0.47</v>
      </c>
    </row>
    <row r="355" spans="1:7" x14ac:dyDescent="0.25">
      <c r="A355" s="1">
        <v>394</v>
      </c>
      <c r="B355" s="2">
        <v>4697336</v>
      </c>
      <c r="C355" s="3">
        <v>2.1000000000000001E-2</v>
      </c>
      <c r="D355" s="19">
        <v>0.67</v>
      </c>
      <c r="E355" s="4">
        <v>0.16</v>
      </c>
      <c r="F355" s="4">
        <v>0.32</v>
      </c>
      <c r="G355" s="4">
        <v>0.51999999999999991</v>
      </c>
    </row>
    <row r="356" spans="1:7" x14ac:dyDescent="0.25">
      <c r="A356" s="1">
        <v>395</v>
      </c>
      <c r="B356" s="2">
        <v>4618987</v>
      </c>
      <c r="C356" s="3">
        <v>2.5999999999999999E-2</v>
      </c>
      <c r="D356" s="19">
        <v>0.67</v>
      </c>
      <c r="E356" s="4">
        <v>0.17</v>
      </c>
      <c r="F356" s="4">
        <v>0.22</v>
      </c>
      <c r="G356" s="4">
        <v>0.61</v>
      </c>
    </row>
    <row r="357" spans="1:7" x14ac:dyDescent="0.25">
      <c r="A357" s="1">
        <v>396</v>
      </c>
      <c r="B357" s="2">
        <v>4593153</v>
      </c>
      <c r="C357" s="3">
        <v>1.7000000000000001E-2</v>
      </c>
      <c r="D357" s="19">
        <v>0.67</v>
      </c>
      <c r="E357" s="4">
        <v>0.2</v>
      </c>
      <c r="F357" s="4">
        <v>0.2</v>
      </c>
      <c r="G357" s="4">
        <v>0.60000000000000009</v>
      </c>
    </row>
    <row r="358" spans="1:7" x14ac:dyDescent="0.25">
      <c r="A358" s="1">
        <v>397</v>
      </c>
      <c r="B358" s="2">
        <v>4018448</v>
      </c>
      <c r="C358" s="3">
        <v>2.1999999999999999E-2</v>
      </c>
      <c r="D358" s="19">
        <v>0.67</v>
      </c>
      <c r="E358" s="4">
        <v>0.23</v>
      </c>
      <c r="F358" s="4">
        <v>0.16</v>
      </c>
      <c r="G358" s="4">
        <v>0.61</v>
      </c>
    </row>
    <row r="359" spans="1:7" x14ac:dyDescent="0.25">
      <c r="A359" s="1">
        <v>400</v>
      </c>
      <c r="B359" s="2">
        <v>4440020</v>
      </c>
      <c r="C359" s="3">
        <v>3.1E-2</v>
      </c>
      <c r="D359" s="19">
        <v>0.67</v>
      </c>
      <c r="E359" s="4">
        <v>0.18</v>
      </c>
      <c r="F359" s="4">
        <v>0.2</v>
      </c>
      <c r="G359" s="4">
        <v>0.62000000000000011</v>
      </c>
    </row>
    <row r="360" spans="1:7" x14ac:dyDescent="0.25">
      <c r="A360" s="1">
        <v>401</v>
      </c>
      <c r="B360" s="2">
        <v>4393298</v>
      </c>
      <c r="C360" s="3">
        <v>1.7999999999999999E-2</v>
      </c>
      <c r="D360" s="19">
        <v>0.67</v>
      </c>
      <c r="E360" s="4">
        <v>0.22</v>
      </c>
      <c r="F360" s="4">
        <v>0.19</v>
      </c>
      <c r="G360" s="4">
        <v>0.59000000000000008</v>
      </c>
    </row>
    <row r="361" spans="1:7" x14ac:dyDescent="0.25">
      <c r="A361" s="1">
        <v>404</v>
      </c>
      <c r="B361" s="2">
        <v>4310326</v>
      </c>
      <c r="C361" s="3">
        <v>2.9000000000000001E-2</v>
      </c>
      <c r="D361" s="19">
        <v>0.67</v>
      </c>
      <c r="E361" s="4">
        <v>0.23</v>
      </c>
      <c r="F361" s="4">
        <v>0.34</v>
      </c>
      <c r="G361" s="4">
        <v>0.42999999999999994</v>
      </c>
    </row>
    <row r="362" spans="1:7" x14ac:dyDescent="0.25">
      <c r="A362" s="1">
        <v>405</v>
      </c>
      <c r="B362" s="2">
        <v>4623958</v>
      </c>
      <c r="C362" s="3">
        <v>2.3E-2</v>
      </c>
      <c r="D362" s="19">
        <v>0.67</v>
      </c>
      <c r="E362" s="4">
        <v>0.18</v>
      </c>
      <c r="F362" s="4">
        <v>0.28999999999999998</v>
      </c>
      <c r="G362" s="4">
        <v>0.53</v>
      </c>
    </row>
    <row r="363" spans="1:7" x14ac:dyDescent="0.25">
      <c r="A363" s="1">
        <v>406</v>
      </c>
      <c r="B363" s="2">
        <v>4850062</v>
      </c>
      <c r="C363" s="3">
        <v>2.8000000000000001E-2</v>
      </c>
      <c r="D363" s="19">
        <v>0.67</v>
      </c>
      <c r="E363" s="4">
        <v>0.16</v>
      </c>
      <c r="F363" s="4">
        <v>0.31</v>
      </c>
      <c r="G363" s="4">
        <v>0.52999999999999992</v>
      </c>
    </row>
    <row r="364" spans="1:7" x14ac:dyDescent="0.25">
      <c r="A364" s="1">
        <v>408</v>
      </c>
      <c r="B364" s="2">
        <v>4865878</v>
      </c>
      <c r="C364" s="3">
        <v>1.6E-2</v>
      </c>
      <c r="D364" s="19">
        <v>0.67</v>
      </c>
      <c r="E364" s="4">
        <v>0.19</v>
      </c>
      <c r="F364" s="4">
        <v>0.18</v>
      </c>
      <c r="G364" s="4">
        <v>0.63000000000000012</v>
      </c>
    </row>
    <row r="365" spans="1:7" x14ac:dyDescent="0.25">
      <c r="A365" s="1">
        <v>410</v>
      </c>
      <c r="B365" s="2">
        <v>4793204</v>
      </c>
      <c r="C365" s="3">
        <v>1.4999999999999999E-2</v>
      </c>
      <c r="D365" s="19">
        <v>0.67</v>
      </c>
      <c r="E365" s="4">
        <v>0.24</v>
      </c>
      <c r="F365" s="4">
        <v>0.23</v>
      </c>
      <c r="G365" s="4">
        <v>0.53</v>
      </c>
    </row>
    <row r="366" spans="1:7" x14ac:dyDescent="0.25">
      <c r="A366" s="1">
        <v>413</v>
      </c>
      <c r="B366" s="2">
        <v>4884187</v>
      </c>
      <c r="C366" s="3">
        <v>0.02</v>
      </c>
      <c r="D366" s="19">
        <v>0.67</v>
      </c>
      <c r="E366" s="4">
        <v>0.22</v>
      </c>
      <c r="F366" s="4">
        <v>0.25</v>
      </c>
      <c r="G366" s="4">
        <v>0.53</v>
      </c>
    </row>
    <row r="367" spans="1:7" x14ac:dyDescent="0.25">
      <c r="A367" s="1">
        <v>417</v>
      </c>
      <c r="B367" s="2">
        <v>4789817</v>
      </c>
      <c r="C367" s="3">
        <v>1.9E-2</v>
      </c>
      <c r="D367" s="19">
        <v>0.67</v>
      </c>
      <c r="E367" s="4">
        <v>0.18</v>
      </c>
      <c r="F367" s="4">
        <v>0.24</v>
      </c>
      <c r="G367" s="4">
        <v>0.58000000000000007</v>
      </c>
    </row>
    <row r="368" spans="1:7" x14ac:dyDescent="0.25">
      <c r="A368" s="1">
        <v>421</v>
      </c>
      <c r="B368" s="2">
        <v>4587591</v>
      </c>
      <c r="C368" s="3">
        <v>2.1000000000000001E-2</v>
      </c>
      <c r="D368" s="19">
        <v>0.67</v>
      </c>
      <c r="E368" s="4">
        <v>0.21</v>
      </c>
      <c r="F368" s="4">
        <v>0.28999999999999998</v>
      </c>
      <c r="G368" s="4">
        <v>0.5</v>
      </c>
    </row>
    <row r="369" spans="1:7" x14ac:dyDescent="0.25">
      <c r="A369" s="1">
        <v>425</v>
      </c>
      <c r="B369" s="2">
        <v>4605706</v>
      </c>
      <c r="C369" s="3">
        <v>2.1000000000000001E-2</v>
      </c>
      <c r="D369" s="19">
        <v>0.67</v>
      </c>
      <c r="E369" s="4">
        <v>0.24</v>
      </c>
      <c r="F369" s="4">
        <v>0.28999999999999998</v>
      </c>
      <c r="G369" s="4">
        <v>0.47</v>
      </c>
    </row>
    <row r="370" spans="1:7" x14ac:dyDescent="0.25">
      <c r="A370" s="1">
        <v>431</v>
      </c>
      <c r="B370" s="2">
        <v>4667523</v>
      </c>
      <c r="C370" s="3">
        <v>2.5999999999999999E-2</v>
      </c>
      <c r="D370" s="19">
        <v>0.67</v>
      </c>
      <c r="E370" s="4">
        <v>0.15</v>
      </c>
      <c r="F370" s="4">
        <v>0.28999999999999998</v>
      </c>
      <c r="G370" s="4">
        <v>0.55999999999999994</v>
      </c>
    </row>
    <row r="371" spans="1:7" x14ac:dyDescent="0.25">
      <c r="A371" s="1">
        <v>433</v>
      </c>
      <c r="B371" s="2">
        <v>4213674</v>
      </c>
      <c r="C371" s="3">
        <v>2.8000000000000001E-2</v>
      </c>
      <c r="D371" s="19">
        <v>0.67</v>
      </c>
      <c r="E371" s="4">
        <v>0.18</v>
      </c>
      <c r="F371" s="4">
        <v>0.24</v>
      </c>
      <c r="G371" s="4">
        <v>0.58000000000000007</v>
      </c>
    </row>
    <row r="372" spans="1:7" x14ac:dyDescent="0.25">
      <c r="A372" s="1">
        <v>443</v>
      </c>
      <c r="B372" s="2">
        <v>4188018</v>
      </c>
      <c r="C372" s="3">
        <v>3.3000000000000002E-2</v>
      </c>
      <c r="D372" s="19">
        <v>0.67</v>
      </c>
      <c r="E372" s="4">
        <v>0.19</v>
      </c>
      <c r="F372" s="4">
        <v>0.17</v>
      </c>
      <c r="G372" s="4">
        <v>0.6399999999999999</v>
      </c>
    </row>
    <row r="373" spans="1:7" x14ac:dyDescent="0.25">
      <c r="A373" s="1">
        <v>446</v>
      </c>
      <c r="B373" s="2">
        <v>4719973</v>
      </c>
      <c r="C373" s="3">
        <v>2.9000000000000001E-2</v>
      </c>
      <c r="D373" s="19">
        <v>0.67</v>
      </c>
      <c r="E373" s="4">
        <v>0.21</v>
      </c>
      <c r="F373" s="4">
        <v>0.21</v>
      </c>
      <c r="G373" s="4">
        <v>0.58000000000000007</v>
      </c>
    </row>
    <row r="374" spans="1:7" x14ac:dyDescent="0.25">
      <c r="A374" s="1">
        <v>447</v>
      </c>
      <c r="B374" s="2">
        <v>4815434</v>
      </c>
      <c r="C374" s="3">
        <v>2.5999999999999999E-2</v>
      </c>
      <c r="D374" s="19">
        <v>0.67</v>
      </c>
      <c r="E374" s="4">
        <v>0.17</v>
      </c>
      <c r="F374" s="4">
        <v>0.32</v>
      </c>
      <c r="G374" s="4">
        <v>0.5099999999999999</v>
      </c>
    </row>
    <row r="375" spans="1:7" x14ac:dyDescent="0.25">
      <c r="A375" s="1">
        <v>448</v>
      </c>
      <c r="B375" s="2">
        <v>4163809</v>
      </c>
      <c r="C375" s="3">
        <v>2.7E-2</v>
      </c>
      <c r="D375" s="19">
        <v>0.67</v>
      </c>
      <c r="E375" s="4">
        <v>0.23</v>
      </c>
      <c r="F375" s="4">
        <v>0.17</v>
      </c>
      <c r="G375" s="4">
        <v>0.6</v>
      </c>
    </row>
    <row r="376" spans="1:7" x14ac:dyDescent="0.25">
      <c r="A376" s="1">
        <v>450</v>
      </c>
      <c r="B376" s="2">
        <v>4847498</v>
      </c>
      <c r="C376" s="3">
        <v>2.4E-2</v>
      </c>
      <c r="D376" s="19">
        <v>0.67</v>
      </c>
      <c r="E376" s="4">
        <v>0.19</v>
      </c>
      <c r="F376" s="4">
        <v>0.26</v>
      </c>
      <c r="G376" s="4">
        <v>0.55000000000000004</v>
      </c>
    </row>
    <row r="377" spans="1:7" x14ac:dyDescent="0.25">
      <c r="A377" s="1">
        <v>454</v>
      </c>
      <c r="B377" s="2">
        <v>4598729</v>
      </c>
      <c r="C377" s="3">
        <v>3.3000000000000002E-2</v>
      </c>
      <c r="D377" s="19">
        <v>0.67</v>
      </c>
      <c r="E377" s="4">
        <v>0.2</v>
      </c>
      <c r="F377" s="4">
        <v>0.31</v>
      </c>
      <c r="G377" s="4">
        <v>0.48999999999999994</v>
      </c>
    </row>
    <row r="378" spans="1:7" x14ac:dyDescent="0.25">
      <c r="A378" s="1">
        <v>459</v>
      </c>
      <c r="B378" s="2">
        <v>4209432</v>
      </c>
      <c r="C378" s="3">
        <v>1.6E-2</v>
      </c>
      <c r="D378" s="19">
        <v>0.67</v>
      </c>
      <c r="E378" s="4">
        <v>0.16</v>
      </c>
      <c r="F378" s="4">
        <v>0.21</v>
      </c>
      <c r="G378" s="4">
        <v>0.63</v>
      </c>
    </row>
    <row r="379" spans="1:7" x14ac:dyDescent="0.25">
      <c r="A379" s="1">
        <v>460</v>
      </c>
      <c r="B379" s="2">
        <v>4111522</v>
      </c>
      <c r="C379" s="3">
        <v>1.9E-2</v>
      </c>
      <c r="D379" s="19">
        <v>0.67</v>
      </c>
      <c r="E379" s="4">
        <v>0.15</v>
      </c>
      <c r="F379" s="4">
        <v>0.34</v>
      </c>
      <c r="G379" s="4">
        <v>0.5099999999999999</v>
      </c>
    </row>
    <row r="380" spans="1:7" x14ac:dyDescent="0.25">
      <c r="A380" s="1">
        <v>463</v>
      </c>
      <c r="B380" s="2">
        <v>4781544</v>
      </c>
      <c r="C380" s="3">
        <v>2.7E-2</v>
      </c>
      <c r="D380" s="19">
        <v>0.67</v>
      </c>
      <c r="E380" s="4">
        <v>0.16</v>
      </c>
      <c r="F380" s="4">
        <v>0.22</v>
      </c>
      <c r="G380" s="4">
        <v>0.62</v>
      </c>
    </row>
    <row r="381" spans="1:7" x14ac:dyDescent="0.25">
      <c r="A381" s="1">
        <v>464</v>
      </c>
      <c r="B381" s="2">
        <v>4416538</v>
      </c>
      <c r="C381" s="3">
        <v>2.8000000000000001E-2</v>
      </c>
      <c r="D381" s="19">
        <v>0.67</v>
      </c>
      <c r="E381" s="4">
        <v>0.23</v>
      </c>
      <c r="F381" s="4">
        <v>0.28000000000000003</v>
      </c>
      <c r="G381" s="4">
        <v>0.49</v>
      </c>
    </row>
    <row r="382" spans="1:7" x14ac:dyDescent="0.25">
      <c r="A382" s="1">
        <v>466</v>
      </c>
      <c r="B382" s="2">
        <v>4057497</v>
      </c>
      <c r="C382" s="3">
        <v>2.5000000000000001E-2</v>
      </c>
      <c r="D382" s="19">
        <v>0.67</v>
      </c>
      <c r="E382" s="4">
        <v>0.25</v>
      </c>
      <c r="F382" s="4">
        <v>0.24</v>
      </c>
      <c r="G382" s="4">
        <v>0.51</v>
      </c>
    </row>
    <row r="383" spans="1:7" x14ac:dyDescent="0.25">
      <c r="A383" s="1">
        <v>469</v>
      </c>
      <c r="B383" s="2">
        <v>4190855</v>
      </c>
      <c r="C383" s="3">
        <v>1.7999999999999999E-2</v>
      </c>
      <c r="D383" s="19">
        <v>0.67</v>
      </c>
      <c r="E383" s="4">
        <v>0.17</v>
      </c>
      <c r="F383" s="4">
        <v>0.33</v>
      </c>
      <c r="G383" s="4">
        <v>0.49999999999999989</v>
      </c>
    </row>
    <row r="384" spans="1:7" x14ac:dyDescent="0.25">
      <c r="A384" s="1">
        <v>471</v>
      </c>
      <c r="B384" s="2">
        <v>4378173</v>
      </c>
      <c r="C384" s="3">
        <v>1.7999999999999999E-2</v>
      </c>
      <c r="D384" s="19">
        <v>0.67</v>
      </c>
      <c r="E384" s="4">
        <v>0.15</v>
      </c>
      <c r="F384" s="4">
        <v>0.31</v>
      </c>
      <c r="G384" s="4">
        <v>0.53999999999999992</v>
      </c>
    </row>
    <row r="385" spans="1:7" x14ac:dyDescent="0.25">
      <c r="A385" s="1">
        <v>473</v>
      </c>
      <c r="B385" s="2">
        <v>4657253</v>
      </c>
      <c r="C385" s="3">
        <v>3.1E-2</v>
      </c>
      <c r="D385" s="19">
        <v>0.67</v>
      </c>
      <c r="E385" s="4">
        <v>0.19</v>
      </c>
      <c r="F385" s="4">
        <v>0.33</v>
      </c>
      <c r="G385" s="4">
        <v>0.47999999999999993</v>
      </c>
    </row>
    <row r="386" spans="1:7" x14ac:dyDescent="0.25">
      <c r="A386" s="1">
        <v>474</v>
      </c>
      <c r="B386" s="2">
        <v>4976773</v>
      </c>
      <c r="C386" s="3">
        <v>3.3000000000000002E-2</v>
      </c>
      <c r="D386" s="19">
        <v>0.67</v>
      </c>
      <c r="E386" s="4">
        <v>0.19</v>
      </c>
      <c r="F386" s="4">
        <v>0.33</v>
      </c>
      <c r="G386" s="4">
        <v>0.47999999999999993</v>
      </c>
    </row>
    <row r="387" spans="1:7" x14ac:dyDescent="0.25">
      <c r="A387" s="1">
        <v>476</v>
      </c>
      <c r="B387" s="2">
        <v>4329751</v>
      </c>
      <c r="C387" s="3">
        <v>2.4E-2</v>
      </c>
      <c r="D387" s="19">
        <v>0.67</v>
      </c>
      <c r="E387" s="4">
        <v>0.22</v>
      </c>
      <c r="F387" s="4">
        <v>0.21</v>
      </c>
      <c r="G387" s="4">
        <v>0.57000000000000006</v>
      </c>
    </row>
    <row r="388" spans="1:7" x14ac:dyDescent="0.25">
      <c r="A388" s="1">
        <v>479</v>
      </c>
      <c r="B388" s="2">
        <v>4877927</v>
      </c>
      <c r="C388" s="3">
        <v>2.9000000000000001E-2</v>
      </c>
      <c r="D388" s="19">
        <v>0.67</v>
      </c>
      <c r="E388" s="4">
        <v>0.16</v>
      </c>
      <c r="F388" s="4">
        <v>0.22</v>
      </c>
      <c r="G388" s="4">
        <v>0.62</v>
      </c>
    </row>
    <row r="389" spans="1:7" x14ac:dyDescent="0.25">
      <c r="A389" s="1">
        <v>480</v>
      </c>
      <c r="B389" s="2">
        <v>4851104</v>
      </c>
      <c r="C389" s="3">
        <v>3.1E-2</v>
      </c>
      <c r="D389" s="19">
        <v>0.67</v>
      </c>
      <c r="E389" s="4">
        <v>0.22</v>
      </c>
      <c r="F389" s="4">
        <v>0.15</v>
      </c>
      <c r="G389" s="4">
        <v>0.63</v>
      </c>
    </row>
    <row r="390" spans="1:7" x14ac:dyDescent="0.25">
      <c r="A390" s="1">
        <v>483</v>
      </c>
      <c r="B390" s="2">
        <v>4029978</v>
      </c>
      <c r="C390" s="3">
        <v>3.1E-2</v>
      </c>
      <c r="D390" s="19">
        <v>0.67</v>
      </c>
      <c r="E390" s="4">
        <v>0.25</v>
      </c>
      <c r="F390" s="4">
        <v>0.27</v>
      </c>
      <c r="G390" s="4">
        <v>0.48</v>
      </c>
    </row>
    <row r="391" spans="1:7" x14ac:dyDescent="0.25">
      <c r="A391" s="1">
        <v>484</v>
      </c>
      <c r="B391" s="2">
        <v>4320741</v>
      </c>
      <c r="C391" s="3">
        <v>2.1000000000000001E-2</v>
      </c>
      <c r="D391" s="19">
        <v>0.67</v>
      </c>
      <c r="E391" s="4">
        <v>0.24</v>
      </c>
      <c r="F391" s="4">
        <v>0.18</v>
      </c>
      <c r="G391" s="4">
        <v>0.58000000000000007</v>
      </c>
    </row>
    <row r="392" spans="1:7" x14ac:dyDescent="0.25">
      <c r="A392" s="1">
        <v>485</v>
      </c>
      <c r="B392" s="2">
        <v>4243865</v>
      </c>
      <c r="C392" s="3">
        <v>0.03</v>
      </c>
      <c r="D392" s="19">
        <v>0.67</v>
      </c>
      <c r="E392" s="4">
        <v>0.16</v>
      </c>
      <c r="F392" s="4">
        <v>0.18</v>
      </c>
      <c r="G392" s="4">
        <v>0.66</v>
      </c>
    </row>
    <row r="393" spans="1:7" x14ac:dyDescent="0.25">
      <c r="A393" s="1">
        <v>486</v>
      </c>
      <c r="B393" s="2">
        <v>4969680</v>
      </c>
      <c r="C393" s="3">
        <v>3.5000000000000003E-2</v>
      </c>
      <c r="D393" s="19">
        <v>0.67</v>
      </c>
      <c r="E393" s="4">
        <v>0.18</v>
      </c>
      <c r="F393" s="4">
        <v>0.15</v>
      </c>
      <c r="G393" s="4">
        <v>0.66999999999999993</v>
      </c>
    </row>
    <row r="394" spans="1:7" x14ac:dyDescent="0.25">
      <c r="A394" s="1">
        <v>487</v>
      </c>
      <c r="B394" s="2">
        <v>4812876</v>
      </c>
      <c r="C394" s="3">
        <v>1.6E-2</v>
      </c>
      <c r="D394" s="19">
        <v>0.67</v>
      </c>
      <c r="E394" s="4">
        <v>0.15</v>
      </c>
      <c r="F394" s="4">
        <v>0.26</v>
      </c>
      <c r="G394" s="4">
        <v>0.59</v>
      </c>
    </row>
    <row r="395" spans="1:7" x14ac:dyDescent="0.25">
      <c r="A395" s="1">
        <v>490</v>
      </c>
      <c r="B395" s="2">
        <v>4492009</v>
      </c>
      <c r="C395" s="3">
        <v>0.03</v>
      </c>
      <c r="D395" s="19">
        <v>0.67</v>
      </c>
      <c r="E395" s="4">
        <v>0.25</v>
      </c>
      <c r="F395" s="4">
        <v>0.24</v>
      </c>
      <c r="G395" s="4">
        <v>0.51</v>
      </c>
    </row>
    <row r="396" spans="1:7" x14ac:dyDescent="0.25">
      <c r="A396" s="1">
        <v>494</v>
      </c>
      <c r="B396" s="2">
        <v>4239219</v>
      </c>
      <c r="C396" s="3">
        <v>2.5000000000000001E-2</v>
      </c>
      <c r="D396" s="19">
        <v>0.67</v>
      </c>
      <c r="E396" s="4">
        <v>0.21</v>
      </c>
      <c r="F396" s="4">
        <v>0.23</v>
      </c>
      <c r="G396" s="4">
        <v>0.56000000000000005</v>
      </c>
    </row>
    <row r="397" spans="1:7" x14ac:dyDescent="0.25">
      <c r="A397" s="1">
        <v>495</v>
      </c>
      <c r="B397" s="2">
        <v>4350487</v>
      </c>
      <c r="C397" s="3">
        <v>1.4999999999999999E-2</v>
      </c>
      <c r="D397" s="19">
        <v>0.67</v>
      </c>
      <c r="E397" s="4">
        <v>0.2</v>
      </c>
      <c r="F397" s="4">
        <v>0.18</v>
      </c>
      <c r="G397" s="4">
        <v>0.62000000000000011</v>
      </c>
    </row>
    <row r="398" spans="1:7" x14ac:dyDescent="0.25">
      <c r="A398" s="1">
        <v>498</v>
      </c>
      <c r="B398" s="2">
        <v>4063605</v>
      </c>
      <c r="C398" s="3">
        <v>3.1E-2</v>
      </c>
      <c r="D398" s="19">
        <v>0.67</v>
      </c>
      <c r="E398" s="4">
        <v>0.23</v>
      </c>
      <c r="F398" s="4">
        <v>0.21</v>
      </c>
      <c r="G398" s="4">
        <v>0.56000000000000005</v>
      </c>
    </row>
    <row r="399" spans="1:7" x14ac:dyDescent="0.25">
      <c r="A399" s="1">
        <v>499</v>
      </c>
      <c r="B399" s="2">
        <v>4461572</v>
      </c>
      <c r="C399" s="3">
        <v>3.1E-2</v>
      </c>
      <c r="D399" s="19">
        <v>0.67</v>
      </c>
      <c r="E399" s="4">
        <v>0.15</v>
      </c>
      <c r="F399" s="4">
        <v>0.3</v>
      </c>
      <c r="G399" s="4">
        <v>0.54999999999999993</v>
      </c>
    </row>
    <row r="400" spans="1:7" x14ac:dyDescent="0.25">
      <c r="A400" s="1">
        <v>500</v>
      </c>
      <c r="B400" s="2">
        <v>4974958</v>
      </c>
      <c r="C400" s="3">
        <v>2.1000000000000001E-2</v>
      </c>
      <c r="D400" s="19">
        <v>0.67</v>
      </c>
      <c r="E400" s="4">
        <v>0.19</v>
      </c>
      <c r="F400" s="4">
        <v>0.18</v>
      </c>
      <c r="G400" s="4">
        <v>0.63000000000000012</v>
      </c>
    </row>
    <row r="401" spans="1:7" x14ac:dyDescent="0.25">
      <c r="A401" s="1">
        <v>501</v>
      </c>
      <c r="B401" s="2">
        <v>4506545</v>
      </c>
      <c r="C401" s="3">
        <v>0.03</v>
      </c>
      <c r="D401" s="19">
        <v>0.67</v>
      </c>
      <c r="E401" s="4">
        <v>0.15</v>
      </c>
      <c r="F401" s="4">
        <v>0.21</v>
      </c>
      <c r="G401" s="4">
        <v>0.64</v>
      </c>
    </row>
    <row r="402" spans="1:7" x14ac:dyDescent="0.25">
      <c r="A402" s="1">
        <v>508</v>
      </c>
      <c r="B402" s="2">
        <v>4052065</v>
      </c>
      <c r="C402" s="3">
        <v>1.7000000000000001E-2</v>
      </c>
      <c r="D402" s="19">
        <v>0.67</v>
      </c>
      <c r="E402" s="4">
        <v>0.21</v>
      </c>
      <c r="F402" s="4">
        <v>0.17</v>
      </c>
      <c r="G402" s="4">
        <v>0.62</v>
      </c>
    </row>
    <row r="403" spans="1:7" x14ac:dyDescent="0.25">
      <c r="A403" s="1">
        <v>509</v>
      </c>
      <c r="B403" s="2">
        <v>4142293</v>
      </c>
      <c r="C403" s="3">
        <v>2.8000000000000001E-2</v>
      </c>
      <c r="D403" s="19">
        <v>0.67</v>
      </c>
      <c r="E403" s="4">
        <v>0.15</v>
      </c>
      <c r="F403" s="4">
        <v>0.3</v>
      </c>
      <c r="G403" s="4">
        <v>0.54999999999999993</v>
      </c>
    </row>
    <row r="404" spans="1:7" x14ac:dyDescent="0.25">
      <c r="A404" s="1">
        <v>514</v>
      </c>
      <c r="B404" s="2">
        <v>4595754</v>
      </c>
      <c r="C404" s="3">
        <v>2.5000000000000001E-2</v>
      </c>
      <c r="D404" s="19">
        <v>0.67</v>
      </c>
      <c r="E404" s="4">
        <v>0.18</v>
      </c>
      <c r="F404" s="4">
        <v>0.35</v>
      </c>
      <c r="G404" s="4">
        <v>0.47000000000000003</v>
      </c>
    </row>
    <row r="405" spans="1:7" x14ac:dyDescent="0.25">
      <c r="A405" s="1">
        <v>519</v>
      </c>
      <c r="B405" s="2">
        <v>4592880</v>
      </c>
      <c r="C405" s="3">
        <v>0.03</v>
      </c>
      <c r="D405" s="19">
        <v>0.67</v>
      </c>
      <c r="E405" s="4">
        <v>0.24</v>
      </c>
      <c r="F405" s="4">
        <v>0.3</v>
      </c>
      <c r="G405" s="4">
        <v>0.45999999999999996</v>
      </c>
    </row>
    <row r="406" spans="1:7" x14ac:dyDescent="0.25">
      <c r="A406" s="1">
        <v>520</v>
      </c>
      <c r="B406" s="2">
        <v>4615921</v>
      </c>
      <c r="C406" s="3">
        <v>1.9E-2</v>
      </c>
      <c r="D406" s="19">
        <v>0.67</v>
      </c>
      <c r="E406" s="4">
        <v>0.22</v>
      </c>
      <c r="F406" s="4">
        <v>0.18</v>
      </c>
      <c r="G406" s="4">
        <v>0.60000000000000009</v>
      </c>
    </row>
    <row r="407" spans="1:7" x14ac:dyDescent="0.25">
      <c r="A407" s="1">
        <v>523</v>
      </c>
      <c r="B407" s="2">
        <v>4273753</v>
      </c>
      <c r="C407" s="3">
        <v>3.4000000000000002E-2</v>
      </c>
      <c r="D407" s="19">
        <v>0.67</v>
      </c>
      <c r="E407" s="4">
        <v>0.17</v>
      </c>
      <c r="F407" s="4">
        <v>0.35</v>
      </c>
      <c r="G407" s="4">
        <v>0.48</v>
      </c>
    </row>
    <row r="408" spans="1:7" x14ac:dyDescent="0.25">
      <c r="A408" s="1">
        <v>527</v>
      </c>
      <c r="B408" s="2">
        <v>4282191</v>
      </c>
      <c r="C408" s="3">
        <v>2.5000000000000001E-2</v>
      </c>
      <c r="D408" s="19">
        <v>0.67</v>
      </c>
      <c r="E408" s="4">
        <v>0.16</v>
      </c>
      <c r="F408" s="4">
        <v>0.17</v>
      </c>
      <c r="G408" s="4">
        <v>0.66999999999999993</v>
      </c>
    </row>
    <row r="409" spans="1:7" x14ac:dyDescent="0.25">
      <c r="A409" s="1">
        <v>528</v>
      </c>
      <c r="B409" s="2">
        <v>4090329</v>
      </c>
      <c r="C409" s="3">
        <v>3.3000000000000002E-2</v>
      </c>
      <c r="D409" s="19">
        <v>0.67</v>
      </c>
      <c r="E409" s="4">
        <v>0.24</v>
      </c>
      <c r="F409" s="4">
        <v>0.17</v>
      </c>
      <c r="G409" s="4">
        <v>0.59</v>
      </c>
    </row>
    <row r="410" spans="1:7" x14ac:dyDescent="0.25">
      <c r="A410" s="1">
        <v>530</v>
      </c>
      <c r="B410" s="2">
        <v>4461039</v>
      </c>
      <c r="C410" s="3">
        <v>1.6E-2</v>
      </c>
      <c r="D410" s="19">
        <v>0.67</v>
      </c>
      <c r="E410" s="4">
        <v>0.24</v>
      </c>
      <c r="F410" s="4">
        <v>0.21</v>
      </c>
      <c r="G410" s="4">
        <v>0.55000000000000004</v>
      </c>
    </row>
    <row r="411" spans="1:7" x14ac:dyDescent="0.25">
      <c r="A411" s="1">
        <v>531</v>
      </c>
      <c r="B411" s="2">
        <v>4614858</v>
      </c>
      <c r="C411" s="3">
        <v>2.7E-2</v>
      </c>
      <c r="D411" s="19">
        <v>0.67</v>
      </c>
      <c r="E411" s="4">
        <v>0.17</v>
      </c>
      <c r="F411" s="4">
        <v>0.17</v>
      </c>
      <c r="G411" s="4">
        <v>0.65999999999999992</v>
      </c>
    </row>
    <row r="412" spans="1:7" x14ac:dyDescent="0.25">
      <c r="A412" s="1">
        <v>540</v>
      </c>
      <c r="B412" s="2">
        <v>4171574</v>
      </c>
      <c r="C412" s="3">
        <v>2.5999999999999999E-2</v>
      </c>
      <c r="D412" s="19">
        <v>0.67</v>
      </c>
      <c r="E412" s="4">
        <v>0.19</v>
      </c>
      <c r="F412" s="4">
        <v>0.23</v>
      </c>
      <c r="G412" s="4">
        <v>0.58000000000000007</v>
      </c>
    </row>
    <row r="413" spans="1:7" x14ac:dyDescent="0.25">
      <c r="A413" s="1">
        <v>541</v>
      </c>
      <c r="B413" s="2">
        <v>4410596</v>
      </c>
      <c r="C413" s="3">
        <v>3.5000000000000003E-2</v>
      </c>
      <c r="D413" s="19">
        <v>0.67</v>
      </c>
      <c r="E413" s="4">
        <v>0.18</v>
      </c>
      <c r="F413" s="4">
        <v>0.26</v>
      </c>
      <c r="G413" s="4">
        <v>0.56000000000000005</v>
      </c>
    </row>
    <row r="414" spans="1:7" x14ac:dyDescent="0.25">
      <c r="A414" s="1">
        <v>542</v>
      </c>
      <c r="B414" s="2">
        <v>4161563</v>
      </c>
      <c r="C414" s="3">
        <v>2.7E-2</v>
      </c>
      <c r="D414" s="19">
        <v>0.67</v>
      </c>
      <c r="E414" s="4">
        <v>0.18</v>
      </c>
      <c r="F414" s="4">
        <v>0.25</v>
      </c>
      <c r="G414" s="4">
        <v>0.57000000000000006</v>
      </c>
    </row>
    <row r="415" spans="1:7" x14ac:dyDescent="0.25">
      <c r="A415" s="1">
        <v>546</v>
      </c>
      <c r="B415" s="2">
        <v>4254421</v>
      </c>
      <c r="C415" s="3">
        <v>2.7E-2</v>
      </c>
      <c r="D415" s="19">
        <v>0.67</v>
      </c>
      <c r="E415" s="4">
        <v>0.18</v>
      </c>
      <c r="F415" s="4">
        <v>0.26</v>
      </c>
      <c r="G415" s="4">
        <v>0.56000000000000005</v>
      </c>
    </row>
    <row r="416" spans="1:7" x14ac:dyDescent="0.25">
      <c r="A416" s="1">
        <v>548</v>
      </c>
      <c r="B416" s="2">
        <v>4437768</v>
      </c>
      <c r="C416" s="3">
        <v>2.7E-2</v>
      </c>
      <c r="D416" s="19">
        <v>0.67</v>
      </c>
      <c r="E416" s="4">
        <v>0.25</v>
      </c>
      <c r="F416" s="4">
        <v>0.28000000000000003</v>
      </c>
      <c r="G416" s="4">
        <v>0.47</v>
      </c>
    </row>
    <row r="417" spans="1:7" x14ac:dyDescent="0.25">
      <c r="A417" s="1">
        <v>550</v>
      </c>
      <c r="B417" s="2">
        <v>4507718</v>
      </c>
      <c r="C417" s="3">
        <v>2.1000000000000001E-2</v>
      </c>
      <c r="D417" s="19">
        <v>0.67</v>
      </c>
      <c r="E417" s="4">
        <v>0.22</v>
      </c>
      <c r="F417" s="4">
        <v>0.26</v>
      </c>
      <c r="G417" s="4">
        <v>0.52</v>
      </c>
    </row>
    <row r="418" spans="1:7" x14ac:dyDescent="0.25">
      <c r="A418" s="1">
        <v>551</v>
      </c>
      <c r="B418" s="2">
        <v>4371365</v>
      </c>
      <c r="C418" s="3">
        <v>2.7E-2</v>
      </c>
      <c r="D418" s="19">
        <v>0.67</v>
      </c>
      <c r="E418" s="4">
        <v>0.18</v>
      </c>
      <c r="F418" s="4">
        <v>0.16</v>
      </c>
      <c r="G418" s="4">
        <v>0.65999999999999992</v>
      </c>
    </row>
    <row r="419" spans="1:7" x14ac:dyDescent="0.25">
      <c r="A419" s="1">
        <v>552</v>
      </c>
      <c r="B419" s="2">
        <v>4800474</v>
      </c>
      <c r="C419" s="3">
        <v>2.5000000000000001E-2</v>
      </c>
      <c r="D419" s="19">
        <v>0.67</v>
      </c>
      <c r="E419" s="4">
        <v>0.2</v>
      </c>
      <c r="F419" s="4">
        <v>0.18</v>
      </c>
      <c r="G419" s="4">
        <v>0.62000000000000011</v>
      </c>
    </row>
    <row r="420" spans="1:7" x14ac:dyDescent="0.25">
      <c r="A420" s="1">
        <v>557</v>
      </c>
      <c r="B420" s="2">
        <v>4295337</v>
      </c>
      <c r="C420" s="3">
        <v>2.9000000000000001E-2</v>
      </c>
      <c r="D420" s="19">
        <v>0.67</v>
      </c>
      <c r="E420" s="4">
        <v>0.15</v>
      </c>
      <c r="F420" s="4">
        <v>0.28000000000000003</v>
      </c>
      <c r="G420" s="4">
        <v>0.56999999999999995</v>
      </c>
    </row>
    <row r="421" spans="1:7" x14ac:dyDescent="0.25">
      <c r="A421" s="1">
        <v>566</v>
      </c>
      <c r="B421" s="2">
        <v>4897491</v>
      </c>
      <c r="C421" s="3">
        <v>3.4000000000000002E-2</v>
      </c>
      <c r="D421" s="19">
        <v>0.67</v>
      </c>
      <c r="E421" s="4">
        <v>0.2</v>
      </c>
      <c r="F421" s="4">
        <v>0.31</v>
      </c>
      <c r="G421" s="4">
        <v>0.48999999999999994</v>
      </c>
    </row>
    <row r="422" spans="1:7" x14ac:dyDescent="0.25">
      <c r="A422" s="1">
        <v>573</v>
      </c>
      <c r="B422" s="2">
        <v>4506691</v>
      </c>
      <c r="C422" s="3">
        <v>3.1E-2</v>
      </c>
      <c r="D422" s="19">
        <v>0.67</v>
      </c>
      <c r="E422" s="4">
        <v>0.16</v>
      </c>
      <c r="F422" s="4">
        <v>0.33</v>
      </c>
      <c r="G422" s="4">
        <v>0.5099999999999999</v>
      </c>
    </row>
    <row r="423" spans="1:7" x14ac:dyDescent="0.25">
      <c r="A423" s="1">
        <v>574</v>
      </c>
      <c r="B423" s="2">
        <v>4269543</v>
      </c>
      <c r="C423" s="3">
        <v>2.8000000000000001E-2</v>
      </c>
      <c r="D423" s="19">
        <v>0.67</v>
      </c>
      <c r="E423" s="4">
        <v>0.15</v>
      </c>
      <c r="F423" s="4">
        <v>0.34</v>
      </c>
      <c r="G423" s="4">
        <v>0.5099999999999999</v>
      </c>
    </row>
    <row r="424" spans="1:7" x14ac:dyDescent="0.25">
      <c r="A424" s="1">
        <v>576</v>
      </c>
      <c r="B424" s="2">
        <v>4232718</v>
      </c>
      <c r="C424" s="3">
        <v>2.5000000000000001E-2</v>
      </c>
      <c r="D424" s="19">
        <v>0.67</v>
      </c>
      <c r="E424" s="4">
        <v>0.16</v>
      </c>
      <c r="F424" s="4">
        <v>0.19</v>
      </c>
      <c r="G424" s="4">
        <v>0.65</v>
      </c>
    </row>
    <row r="425" spans="1:7" x14ac:dyDescent="0.25">
      <c r="A425" s="1">
        <v>581</v>
      </c>
      <c r="B425" s="2">
        <v>4357420</v>
      </c>
      <c r="C425" s="3">
        <v>2.1000000000000001E-2</v>
      </c>
      <c r="D425" s="19">
        <v>0.67</v>
      </c>
      <c r="E425" s="4">
        <v>0.16</v>
      </c>
      <c r="F425" s="4">
        <v>0.23</v>
      </c>
      <c r="G425" s="4">
        <v>0.61</v>
      </c>
    </row>
    <row r="426" spans="1:7" x14ac:dyDescent="0.25">
      <c r="A426" s="1">
        <v>582</v>
      </c>
      <c r="B426" s="2">
        <v>4541297</v>
      </c>
      <c r="C426" s="3">
        <v>1.7000000000000001E-2</v>
      </c>
      <c r="D426" s="19">
        <v>0.67</v>
      </c>
      <c r="E426" s="4">
        <v>0.23</v>
      </c>
      <c r="F426" s="4">
        <v>0.33</v>
      </c>
      <c r="G426" s="4">
        <v>0.43999999999999995</v>
      </c>
    </row>
    <row r="427" spans="1:7" x14ac:dyDescent="0.25">
      <c r="A427" s="1">
        <v>589</v>
      </c>
      <c r="B427" s="2">
        <v>4801193</v>
      </c>
      <c r="C427" s="3">
        <v>2.7E-2</v>
      </c>
      <c r="D427" s="19">
        <v>0.67</v>
      </c>
      <c r="E427" s="4">
        <v>0.19</v>
      </c>
      <c r="F427" s="4">
        <v>0.21</v>
      </c>
      <c r="G427" s="4">
        <v>0.60000000000000009</v>
      </c>
    </row>
    <row r="428" spans="1:7" x14ac:dyDescent="0.25">
      <c r="A428" s="1">
        <v>594</v>
      </c>
      <c r="B428" s="2">
        <v>4777292</v>
      </c>
      <c r="C428" s="3">
        <v>2.8000000000000001E-2</v>
      </c>
      <c r="D428" s="19">
        <v>0.67</v>
      </c>
      <c r="E428" s="4">
        <v>0.19</v>
      </c>
      <c r="F428" s="4">
        <v>0.18</v>
      </c>
      <c r="G428" s="4">
        <v>0.63000000000000012</v>
      </c>
    </row>
    <row r="429" spans="1:7" x14ac:dyDescent="0.25">
      <c r="A429" s="1">
        <v>598</v>
      </c>
      <c r="B429" s="2">
        <v>4201863</v>
      </c>
      <c r="C429" s="3">
        <v>2.3E-2</v>
      </c>
      <c r="D429" s="19">
        <v>0.67</v>
      </c>
      <c r="E429" s="4">
        <v>0.17</v>
      </c>
      <c r="F429" s="4">
        <v>0.23</v>
      </c>
      <c r="G429" s="4">
        <v>0.6</v>
      </c>
    </row>
    <row r="430" spans="1:7" x14ac:dyDescent="0.25">
      <c r="A430" s="1">
        <v>599</v>
      </c>
      <c r="B430" s="2">
        <v>4094199</v>
      </c>
      <c r="C430" s="3">
        <v>0.03</v>
      </c>
      <c r="D430" s="19">
        <v>0.67</v>
      </c>
      <c r="E430" s="4">
        <v>0.15</v>
      </c>
      <c r="F430" s="4">
        <v>0.28999999999999998</v>
      </c>
      <c r="G430" s="4">
        <v>0.55999999999999994</v>
      </c>
    </row>
    <row r="431" spans="1:7" x14ac:dyDescent="0.25">
      <c r="A431" s="1">
        <v>600</v>
      </c>
      <c r="B431" s="2">
        <v>4132209</v>
      </c>
      <c r="C431" s="3">
        <v>1.7000000000000001E-2</v>
      </c>
      <c r="D431" s="19">
        <v>0.67</v>
      </c>
      <c r="E431" s="4">
        <v>0.17</v>
      </c>
      <c r="F431" s="4">
        <v>0.24</v>
      </c>
      <c r="G431" s="4">
        <v>0.59</v>
      </c>
    </row>
    <row r="432" spans="1:7" x14ac:dyDescent="0.25">
      <c r="A432" s="1">
        <v>604</v>
      </c>
      <c r="B432" s="2">
        <v>4726396</v>
      </c>
      <c r="C432" s="3">
        <v>2.3E-2</v>
      </c>
      <c r="D432" s="19">
        <v>0.67</v>
      </c>
      <c r="E432" s="4">
        <v>0.22</v>
      </c>
      <c r="F432" s="4">
        <v>0.28999999999999998</v>
      </c>
      <c r="G432" s="4">
        <v>0.49</v>
      </c>
    </row>
    <row r="433" spans="1:7" x14ac:dyDescent="0.25">
      <c r="A433" s="1">
        <v>605</v>
      </c>
      <c r="B433" s="2">
        <v>4657637</v>
      </c>
      <c r="C433" s="3">
        <v>2.3E-2</v>
      </c>
      <c r="D433" s="19">
        <v>0.67</v>
      </c>
      <c r="E433" s="4">
        <v>0.2</v>
      </c>
      <c r="F433" s="4">
        <v>0.28000000000000003</v>
      </c>
      <c r="G433" s="4">
        <v>0.52</v>
      </c>
    </row>
    <row r="434" spans="1:7" x14ac:dyDescent="0.25">
      <c r="A434" s="1">
        <v>608</v>
      </c>
      <c r="B434" s="2">
        <v>4647478</v>
      </c>
      <c r="C434" s="3">
        <v>1.7999999999999999E-2</v>
      </c>
      <c r="D434" s="19">
        <v>0.67</v>
      </c>
      <c r="E434" s="4">
        <v>0.17</v>
      </c>
      <c r="F434" s="4">
        <v>0.28999999999999998</v>
      </c>
      <c r="G434" s="4">
        <v>0.53999999999999992</v>
      </c>
    </row>
    <row r="435" spans="1:7" x14ac:dyDescent="0.25">
      <c r="A435" s="1">
        <v>610</v>
      </c>
      <c r="B435" s="2">
        <v>4667228</v>
      </c>
      <c r="C435" s="3">
        <v>2.3E-2</v>
      </c>
      <c r="D435" s="19">
        <v>0.67</v>
      </c>
      <c r="E435" s="4">
        <v>0.25</v>
      </c>
      <c r="F435" s="4">
        <v>0.18</v>
      </c>
      <c r="G435" s="4">
        <v>0.57000000000000006</v>
      </c>
    </row>
    <row r="436" spans="1:7" x14ac:dyDescent="0.25">
      <c r="A436" s="1">
        <v>611</v>
      </c>
      <c r="B436" s="2">
        <v>4938150</v>
      </c>
      <c r="C436" s="3">
        <v>2.8000000000000001E-2</v>
      </c>
      <c r="D436" s="19">
        <v>0.67</v>
      </c>
      <c r="E436" s="4">
        <v>0.24</v>
      </c>
      <c r="F436" s="4">
        <v>0.31</v>
      </c>
      <c r="G436" s="4">
        <v>0.44999999999999996</v>
      </c>
    </row>
    <row r="437" spans="1:7" x14ac:dyDescent="0.25">
      <c r="A437" s="1">
        <v>612</v>
      </c>
      <c r="B437" s="2">
        <v>4350333</v>
      </c>
      <c r="C437" s="3">
        <v>2.9000000000000001E-2</v>
      </c>
      <c r="D437" s="19">
        <v>0.67</v>
      </c>
      <c r="E437" s="4">
        <v>0.2</v>
      </c>
      <c r="F437" s="4">
        <v>0.15</v>
      </c>
      <c r="G437" s="4">
        <v>0.64999999999999991</v>
      </c>
    </row>
    <row r="438" spans="1:7" x14ac:dyDescent="0.25">
      <c r="A438" s="1">
        <v>613</v>
      </c>
      <c r="B438" s="2">
        <v>4101477</v>
      </c>
      <c r="C438" s="3">
        <v>2.7E-2</v>
      </c>
      <c r="D438" s="19">
        <v>0.67</v>
      </c>
      <c r="E438" s="4">
        <v>0.17</v>
      </c>
      <c r="F438" s="4">
        <v>0.2</v>
      </c>
      <c r="G438" s="4">
        <v>0.63</v>
      </c>
    </row>
    <row r="439" spans="1:7" x14ac:dyDescent="0.25">
      <c r="A439" s="1">
        <v>628</v>
      </c>
      <c r="B439" s="2">
        <v>4363697</v>
      </c>
      <c r="C439" s="3">
        <v>3.4000000000000002E-2</v>
      </c>
      <c r="D439" s="19">
        <v>0.67</v>
      </c>
      <c r="E439" s="4">
        <v>0.17</v>
      </c>
      <c r="F439" s="4">
        <v>0.17</v>
      </c>
      <c r="G439" s="4">
        <v>0.65999999999999992</v>
      </c>
    </row>
    <row r="440" spans="1:7" x14ac:dyDescent="0.25">
      <c r="A440" s="1">
        <v>629</v>
      </c>
      <c r="B440" s="2">
        <v>4139466</v>
      </c>
      <c r="C440" s="3">
        <v>2.8000000000000001E-2</v>
      </c>
      <c r="D440" s="19">
        <v>0.67</v>
      </c>
      <c r="E440" s="4">
        <v>0.25</v>
      </c>
      <c r="F440" s="4">
        <v>0.28000000000000003</v>
      </c>
      <c r="G440" s="4">
        <v>0.47</v>
      </c>
    </row>
    <row r="441" spans="1:7" x14ac:dyDescent="0.25">
      <c r="A441" s="1">
        <v>630</v>
      </c>
      <c r="B441" s="2">
        <v>4197330</v>
      </c>
      <c r="C441" s="3">
        <v>3.3000000000000002E-2</v>
      </c>
      <c r="D441" s="19">
        <v>0.67</v>
      </c>
      <c r="E441" s="4">
        <v>0.23</v>
      </c>
      <c r="F441" s="4">
        <v>0.34</v>
      </c>
      <c r="G441" s="4">
        <v>0.42999999999999994</v>
      </c>
    </row>
    <row r="442" spans="1:7" x14ac:dyDescent="0.25">
      <c r="A442" s="1">
        <v>631</v>
      </c>
      <c r="B442" s="2">
        <v>4454865</v>
      </c>
      <c r="C442" s="3">
        <v>2.1000000000000001E-2</v>
      </c>
      <c r="D442" s="19">
        <v>0.67</v>
      </c>
      <c r="E442" s="4">
        <v>0.22</v>
      </c>
      <c r="F442" s="4">
        <v>0.18</v>
      </c>
      <c r="G442" s="4">
        <v>0.60000000000000009</v>
      </c>
    </row>
    <row r="443" spans="1:7" x14ac:dyDescent="0.25">
      <c r="A443" s="1">
        <v>636</v>
      </c>
      <c r="B443" s="2">
        <v>4941496</v>
      </c>
      <c r="C443" s="3">
        <v>3.2000000000000001E-2</v>
      </c>
      <c r="D443" s="19">
        <v>0.67</v>
      </c>
      <c r="E443" s="4">
        <v>0.2</v>
      </c>
      <c r="F443" s="4">
        <v>0.21</v>
      </c>
      <c r="G443" s="4">
        <v>0.59000000000000008</v>
      </c>
    </row>
    <row r="444" spans="1:7" x14ac:dyDescent="0.25">
      <c r="A444" s="1">
        <v>637</v>
      </c>
      <c r="B444" s="2">
        <v>4228022</v>
      </c>
      <c r="C444" s="3">
        <v>1.6E-2</v>
      </c>
      <c r="D444" s="19">
        <v>0.67</v>
      </c>
      <c r="E444" s="4">
        <v>0.17</v>
      </c>
      <c r="F444" s="4">
        <v>0.28000000000000003</v>
      </c>
      <c r="G444" s="4">
        <v>0.54999999999999993</v>
      </c>
    </row>
    <row r="445" spans="1:7" x14ac:dyDescent="0.25">
      <c r="A445" s="1">
        <v>640</v>
      </c>
      <c r="B445" s="2">
        <v>4689490</v>
      </c>
      <c r="C445" s="3">
        <v>1.7999999999999999E-2</v>
      </c>
      <c r="D445" s="19">
        <v>0.67</v>
      </c>
      <c r="E445" s="4">
        <v>0.17</v>
      </c>
      <c r="F445" s="4">
        <v>0.21</v>
      </c>
      <c r="G445" s="4">
        <v>0.62</v>
      </c>
    </row>
    <row r="446" spans="1:7" x14ac:dyDescent="0.25">
      <c r="A446" s="1">
        <v>642</v>
      </c>
      <c r="B446" s="2">
        <v>4408584</v>
      </c>
      <c r="C446" s="3">
        <v>1.7000000000000001E-2</v>
      </c>
      <c r="D446" s="19">
        <v>0.67</v>
      </c>
      <c r="E446" s="4">
        <v>0.23</v>
      </c>
      <c r="F446" s="4">
        <v>0.33</v>
      </c>
      <c r="G446" s="4">
        <v>0.43999999999999995</v>
      </c>
    </row>
    <row r="447" spans="1:7" x14ac:dyDescent="0.25">
      <c r="A447" s="1">
        <v>647</v>
      </c>
      <c r="B447" s="2">
        <v>4673834</v>
      </c>
      <c r="C447" s="3">
        <v>1.7000000000000001E-2</v>
      </c>
      <c r="D447" s="19">
        <v>0.67</v>
      </c>
      <c r="E447" s="4">
        <v>0.21</v>
      </c>
      <c r="F447" s="4">
        <v>0.23</v>
      </c>
      <c r="G447" s="4">
        <v>0.56000000000000005</v>
      </c>
    </row>
    <row r="448" spans="1:7" x14ac:dyDescent="0.25">
      <c r="A448" s="1">
        <v>649</v>
      </c>
      <c r="B448" s="2">
        <v>4854711</v>
      </c>
      <c r="C448" s="3">
        <v>3.1E-2</v>
      </c>
      <c r="D448" s="19">
        <v>0.67</v>
      </c>
      <c r="E448" s="4">
        <v>0.2</v>
      </c>
      <c r="F448" s="4">
        <v>0.28999999999999998</v>
      </c>
      <c r="G448" s="4">
        <v>0.51</v>
      </c>
    </row>
    <row r="449" spans="1:7" x14ac:dyDescent="0.25">
      <c r="A449" s="1">
        <v>650</v>
      </c>
      <c r="B449" s="2">
        <v>4117256</v>
      </c>
      <c r="C449" s="3">
        <v>1.7999999999999999E-2</v>
      </c>
      <c r="D449" s="19">
        <v>0.67</v>
      </c>
      <c r="E449" s="4">
        <v>0.24</v>
      </c>
      <c r="F449" s="4">
        <v>0.16</v>
      </c>
      <c r="G449" s="4">
        <v>0.6</v>
      </c>
    </row>
    <row r="450" spans="1:7" x14ac:dyDescent="0.25">
      <c r="A450" s="1">
        <v>651</v>
      </c>
      <c r="B450" s="2">
        <v>4343362</v>
      </c>
      <c r="C450" s="3">
        <v>3.2000000000000001E-2</v>
      </c>
      <c r="D450" s="19">
        <v>0.67</v>
      </c>
      <c r="E450" s="4">
        <v>0.16</v>
      </c>
      <c r="F450" s="4">
        <v>0.24</v>
      </c>
      <c r="G450" s="4">
        <v>0.6</v>
      </c>
    </row>
    <row r="451" spans="1:7" x14ac:dyDescent="0.25">
      <c r="A451" s="1">
        <v>652</v>
      </c>
      <c r="B451" s="2">
        <v>4561057</v>
      </c>
      <c r="C451" s="3">
        <v>2.5999999999999999E-2</v>
      </c>
      <c r="D451" s="19">
        <v>0.67</v>
      </c>
      <c r="E451" s="4">
        <v>0.2</v>
      </c>
      <c r="F451" s="4">
        <v>0.17</v>
      </c>
      <c r="G451" s="4">
        <v>0.62999999999999989</v>
      </c>
    </row>
    <row r="452" spans="1:7" x14ac:dyDescent="0.25">
      <c r="A452" s="1">
        <v>659</v>
      </c>
      <c r="B452" s="2">
        <v>4689494</v>
      </c>
      <c r="C452" s="3">
        <v>1.9E-2</v>
      </c>
      <c r="D452" s="19">
        <v>0.67</v>
      </c>
      <c r="E452" s="4">
        <v>0.16</v>
      </c>
      <c r="F452" s="4">
        <v>0.21</v>
      </c>
      <c r="G452" s="4">
        <v>0.63</v>
      </c>
    </row>
    <row r="453" spans="1:7" x14ac:dyDescent="0.25">
      <c r="A453" s="1">
        <v>668</v>
      </c>
      <c r="B453" s="2">
        <v>4311715</v>
      </c>
      <c r="C453" s="3">
        <v>3.1E-2</v>
      </c>
      <c r="D453" s="19">
        <v>0.67</v>
      </c>
      <c r="E453" s="4">
        <v>0.17</v>
      </c>
      <c r="F453" s="4">
        <v>0.25</v>
      </c>
      <c r="G453" s="4">
        <v>0.57999999999999996</v>
      </c>
    </row>
    <row r="454" spans="1:7" x14ac:dyDescent="0.25">
      <c r="A454" s="1">
        <v>676</v>
      </c>
      <c r="B454" s="2">
        <v>4049523</v>
      </c>
      <c r="C454" s="3">
        <v>1.4999999999999999E-2</v>
      </c>
      <c r="D454" s="19">
        <v>0.67</v>
      </c>
      <c r="E454" s="4">
        <v>0.18</v>
      </c>
      <c r="F454" s="4">
        <v>0.26</v>
      </c>
      <c r="G454" s="4">
        <v>0.56000000000000005</v>
      </c>
    </row>
    <row r="455" spans="1:7" x14ac:dyDescent="0.25">
      <c r="A455" s="1">
        <v>677</v>
      </c>
      <c r="B455" s="2">
        <v>4883982</v>
      </c>
      <c r="C455" s="3">
        <v>1.7999999999999999E-2</v>
      </c>
      <c r="D455" s="19">
        <v>0.67</v>
      </c>
      <c r="E455" s="4">
        <v>0.25</v>
      </c>
      <c r="F455" s="4">
        <v>0.35</v>
      </c>
      <c r="G455" s="4">
        <v>0.4</v>
      </c>
    </row>
    <row r="456" spans="1:7" x14ac:dyDescent="0.25">
      <c r="A456" s="1">
        <v>680</v>
      </c>
      <c r="B456" s="2">
        <v>4203432</v>
      </c>
      <c r="C456" s="3">
        <v>1.7000000000000001E-2</v>
      </c>
      <c r="D456" s="19">
        <v>0.67</v>
      </c>
      <c r="E456" s="4">
        <v>0.2</v>
      </c>
      <c r="F456" s="4">
        <v>0.16</v>
      </c>
      <c r="G456" s="4">
        <v>0.6399999999999999</v>
      </c>
    </row>
    <row r="457" spans="1:7" x14ac:dyDescent="0.25">
      <c r="A457" s="1">
        <v>682</v>
      </c>
      <c r="B457" s="2">
        <v>4168995</v>
      </c>
      <c r="C457" s="3">
        <v>3.1E-2</v>
      </c>
      <c r="D457" s="19">
        <v>0.67</v>
      </c>
      <c r="E457" s="4">
        <v>0.17</v>
      </c>
      <c r="F457" s="4">
        <v>0.32</v>
      </c>
      <c r="G457" s="4">
        <v>0.5099999999999999</v>
      </c>
    </row>
    <row r="458" spans="1:7" x14ac:dyDescent="0.25">
      <c r="A458" s="1">
        <v>684</v>
      </c>
      <c r="B458" s="2">
        <v>4895596</v>
      </c>
      <c r="C458" s="3">
        <v>2.3E-2</v>
      </c>
      <c r="D458" s="19">
        <v>0.67</v>
      </c>
      <c r="E458" s="4">
        <v>0.25</v>
      </c>
      <c r="F458" s="4">
        <v>0.28000000000000003</v>
      </c>
      <c r="G458" s="4">
        <v>0.47</v>
      </c>
    </row>
    <row r="459" spans="1:7" x14ac:dyDescent="0.25">
      <c r="A459" s="1">
        <v>687</v>
      </c>
      <c r="B459" s="2">
        <v>4529025</v>
      </c>
      <c r="C459" s="3">
        <v>2.3E-2</v>
      </c>
      <c r="D459" s="19">
        <v>0.67</v>
      </c>
      <c r="E459" s="4">
        <v>0.25</v>
      </c>
      <c r="F459" s="4">
        <v>0.21</v>
      </c>
      <c r="G459" s="4">
        <v>0.54</v>
      </c>
    </row>
    <row r="460" spans="1:7" x14ac:dyDescent="0.25">
      <c r="A460" s="1">
        <v>691</v>
      </c>
      <c r="B460" s="2">
        <v>4324847</v>
      </c>
      <c r="C460" s="3">
        <v>2.5999999999999999E-2</v>
      </c>
      <c r="D460" s="19">
        <v>0.67</v>
      </c>
      <c r="E460" s="4">
        <v>0.24</v>
      </c>
      <c r="F460" s="4">
        <v>0.2</v>
      </c>
      <c r="G460" s="4">
        <v>0.56000000000000005</v>
      </c>
    </row>
    <row r="461" spans="1:7" x14ac:dyDescent="0.25">
      <c r="A461" s="1">
        <v>699</v>
      </c>
      <c r="B461" s="2">
        <v>4897297</v>
      </c>
      <c r="C461" s="3">
        <v>3.3000000000000002E-2</v>
      </c>
      <c r="D461" s="19">
        <v>0.67</v>
      </c>
      <c r="E461" s="4">
        <v>0.25</v>
      </c>
      <c r="F461" s="4">
        <v>0.28000000000000003</v>
      </c>
      <c r="G461" s="4">
        <v>0.47</v>
      </c>
    </row>
    <row r="462" spans="1:7" x14ac:dyDescent="0.25">
      <c r="A462" s="1">
        <v>700</v>
      </c>
      <c r="B462" s="2">
        <v>4634710</v>
      </c>
      <c r="C462" s="3">
        <v>3.1E-2</v>
      </c>
      <c r="D462" s="19">
        <v>0.67</v>
      </c>
      <c r="E462" s="4">
        <v>0.18</v>
      </c>
      <c r="F462" s="4">
        <v>0.27</v>
      </c>
      <c r="G462" s="4">
        <v>0.55000000000000004</v>
      </c>
    </row>
    <row r="463" spans="1:7" x14ac:dyDescent="0.25">
      <c r="A463" s="1">
        <v>702</v>
      </c>
      <c r="B463" s="2">
        <v>4143278</v>
      </c>
      <c r="C463" s="3">
        <v>1.7999999999999999E-2</v>
      </c>
      <c r="D463" s="19">
        <v>0.67</v>
      </c>
      <c r="E463" s="4">
        <v>0.16</v>
      </c>
      <c r="F463" s="4">
        <v>0.26</v>
      </c>
      <c r="G463" s="4">
        <v>0.57999999999999996</v>
      </c>
    </row>
    <row r="464" spans="1:7" x14ac:dyDescent="0.25">
      <c r="A464" s="1">
        <v>703</v>
      </c>
      <c r="B464" s="2">
        <v>4990356</v>
      </c>
      <c r="C464" s="3">
        <v>3.4000000000000002E-2</v>
      </c>
      <c r="D464" s="19">
        <v>0.67</v>
      </c>
      <c r="E464" s="4">
        <v>0.24</v>
      </c>
      <c r="F464" s="4">
        <v>0.23</v>
      </c>
      <c r="G464" s="4">
        <v>0.53</v>
      </c>
    </row>
    <row r="465" spans="1:7" x14ac:dyDescent="0.25">
      <c r="A465" s="1">
        <v>705</v>
      </c>
      <c r="B465" s="2">
        <v>4368396</v>
      </c>
      <c r="C465" s="3">
        <v>3.3000000000000002E-2</v>
      </c>
      <c r="D465" s="19">
        <v>0.67</v>
      </c>
      <c r="E465" s="4">
        <v>0.22</v>
      </c>
      <c r="F465" s="4">
        <v>0.25</v>
      </c>
      <c r="G465" s="4">
        <v>0.53</v>
      </c>
    </row>
    <row r="466" spans="1:7" x14ac:dyDescent="0.25">
      <c r="A466" s="1">
        <v>707</v>
      </c>
      <c r="B466" s="2">
        <v>4703405</v>
      </c>
      <c r="C466" s="3">
        <v>2.4E-2</v>
      </c>
      <c r="D466" s="19">
        <v>0.67</v>
      </c>
      <c r="E466" s="4">
        <v>0.16</v>
      </c>
      <c r="F466" s="4">
        <v>0.27</v>
      </c>
      <c r="G466" s="4">
        <v>0.56999999999999995</v>
      </c>
    </row>
    <row r="467" spans="1:7" x14ac:dyDescent="0.25">
      <c r="A467" s="1">
        <v>709</v>
      </c>
      <c r="B467" s="2">
        <v>4167402</v>
      </c>
      <c r="C467" s="3">
        <v>3.2000000000000001E-2</v>
      </c>
      <c r="D467" s="19">
        <v>0.67</v>
      </c>
      <c r="E467" s="4">
        <v>0.22</v>
      </c>
      <c r="F467" s="4">
        <v>0.23</v>
      </c>
      <c r="G467" s="4">
        <v>0.55000000000000004</v>
      </c>
    </row>
    <row r="468" spans="1:7" x14ac:dyDescent="0.25">
      <c r="A468" s="1">
        <v>710</v>
      </c>
      <c r="B468" s="2">
        <v>4696838</v>
      </c>
      <c r="C468" s="3">
        <v>2.4E-2</v>
      </c>
      <c r="D468" s="19">
        <v>0.67</v>
      </c>
      <c r="E468" s="4">
        <v>0.19</v>
      </c>
      <c r="F468" s="4">
        <v>0.34</v>
      </c>
      <c r="G468" s="4">
        <v>0.46999999999999992</v>
      </c>
    </row>
    <row r="469" spans="1:7" x14ac:dyDescent="0.25">
      <c r="A469" s="1">
        <v>714</v>
      </c>
      <c r="B469" s="2">
        <v>4387051</v>
      </c>
      <c r="C469" s="3">
        <v>3.4000000000000002E-2</v>
      </c>
      <c r="D469" s="19">
        <v>0.67</v>
      </c>
      <c r="E469" s="4">
        <v>0.2</v>
      </c>
      <c r="F469" s="4">
        <v>0.31</v>
      </c>
      <c r="G469" s="4">
        <v>0.48999999999999994</v>
      </c>
    </row>
    <row r="470" spans="1:7" x14ac:dyDescent="0.25">
      <c r="A470" s="1">
        <v>716</v>
      </c>
      <c r="B470" s="2">
        <v>4013009</v>
      </c>
      <c r="C470" s="3">
        <v>2.1999999999999999E-2</v>
      </c>
      <c r="D470" s="19">
        <v>0.67</v>
      </c>
      <c r="E470" s="4">
        <v>0.23</v>
      </c>
      <c r="F470" s="4">
        <v>0.32</v>
      </c>
      <c r="G470" s="4">
        <v>0.44999999999999996</v>
      </c>
    </row>
    <row r="471" spans="1:7" x14ac:dyDescent="0.25">
      <c r="A471" s="1">
        <v>719</v>
      </c>
      <c r="B471" s="2">
        <v>4981607</v>
      </c>
      <c r="C471" s="3">
        <v>2.9000000000000001E-2</v>
      </c>
      <c r="D471" s="19">
        <v>0.67</v>
      </c>
      <c r="E471" s="4">
        <v>0.22</v>
      </c>
      <c r="F471" s="4">
        <v>0.31</v>
      </c>
      <c r="G471" s="4">
        <v>0.47</v>
      </c>
    </row>
    <row r="472" spans="1:7" x14ac:dyDescent="0.25">
      <c r="A472" s="1">
        <v>725</v>
      </c>
      <c r="B472" s="2">
        <v>4542248</v>
      </c>
      <c r="C472" s="3">
        <v>2.5999999999999999E-2</v>
      </c>
      <c r="D472" s="19">
        <v>0.67</v>
      </c>
      <c r="E472" s="4">
        <v>0.19</v>
      </c>
      <c r="F472" s="4">
        <v>0.3</v>
      </c>
      <c r="G472" s="4">
        <v>0.51</v>
      </c>
    </row>
    <row r="473" spans="1:7" x14ac:dyDescent="0.25">
      <c r="A473" s="1">
        <v>729</v>
      </c>
      <c r="B473" s="2">
        <v>4973974</v>
      </c>
      <c r="C473" s="3">
        <v>3.1E-2</v>
      </c>
      <c r="D473" s="19">
        <v>0.67</v>
      </c>
      <c r="E473" s="4">
        <v>0.15</v>
      </c>
      <c r="F473" s="4">
        <v>0.32</v>
      </c>
      <c r="G473" s="4">
        <v>0.52999999999999992</v>
      </c>
    </row>
    <row r="474" spans="1:7" x14ac:dyDescent="0.25">
      <c r="A474" s="1">
        <v>735</v>
      </c>
      <c r="B474" s="2">
        <v>4566063</v>
      </c>
      <c r="C474" s="3">
        <v>3.1E-2</v>
      </c>
      <c r="D474" s="19">
        <v>0.67</v>
      </c>
      <c r="E474" s="4">
        <v>0.18</v>
      </c>
      <c r="F474" s="4">
        <v>0.34</v>
      </c>
      <c r="G474" s="4">
        <v>0.47999999999999993</v>
      </c>
    </row>
    <row r="475" spans="1:7" x14ac:dyDescent="0.25">
      <c r="A475" s="1">
        <v>736</v>
      </c>
      <c r="B475" s="2">
        <v>4498987</v>
      </c>
      <c r="C475" s="3">
        <v>0.03</v>
      </c>
      <c r="D475" s="19">
        <v>0.67</v>
      </c>
      <c r="E475" s="4">
        <v>0.16</v>
      </c>
      <c r="F475" s="4">
        <v>0.16</v>
      </c>
      <c r="G475" s="4">
        <v>0.67999999999999994</v>
      </c>
    </row>
    <row r="476" spans="1:7" x14ac:dyDescent="0.25">
      <c r="A476" s="1">
        <v>738</v>
      </c>
      <c r="B476" s="2">
        <v>4209744</v>
      </c>
      <c r="C476" s="3">
        <v>2.5000000000000001E-2</v>
      </c>
      <c r="D476" s="19">
        <v>0.67</v>
      </c>
      <c r="E476" s="4">
        <v>0.2</v>
      </c>
      <c r="F476" s="4">
        <v>0.15</v>
      </c>
      <c r="G476" s="4">
        <v>0.64999999999999991</v>
      </c>
    </row>
    <row r="477" spans="1:7" x14ac:dyDescent="0.25">
      <c r="A477" s="1">
        <v>739</v>
      </c>
      <c r="B477" s="2">
        <v>4462204</v>
      </c>
      <c r="C477" s="3">
        <v>2.4E-2</v>
      </c>
      <c r="D477" s="19">
        <v>0.67</v>
      </c>
      <c r="E477" s="4">
        <v>0.15</v>
      </c>
      <c r="F477" s="4">
        <v>0.33</v>
      </c>
      <c r="G477" s="4">
        <v>0.51999999999999991</v>
      </c>
    </row>
    <row r="478" spans="1:7" x14ac:dyDescent="0.25">
      <c r="A478" s="1">
        <v>742</v>
      </c>
      <c r="B478" s="2">
        <v>4544266</v>
      </c>
      <c r="C478" s="3">
        <v>1.7999999999999999E-2</v>
      </c>
      <c r="D478" s="19">
        <v>0.67</v>
      </c>
      <c r="E478" s="4">
        <v>0.15</v>
      </c>
      <c r="F478" s="4">
        <v>0.33</v>
      </c>
      <c r="G478" s="4">
        <v>0.51999999999999991</v>
      </c>
    </row>
    <row r="479" spans="1:7" x14ac:dyDescent="0.25">
      <c r="A479" s="1">
        <v>743</v>
      </c>
      <c r="B479" s="2">
        <v>4433689</v>
      </c>
      <c r="C479" s="3">
        <v>1.9E-2</v>
      </c>
      <c r="D479" s="19">
        <v>0.67</v>
      </c>
      <c r="E479" s="4">
        <v>0.24</v>
      </c>
      <c r="F479" s="4">
        <v>0.26</v>
      </c>
      <c r="G479" s="4">
        <v>0.5</v>
      </c>
    </row>
    <row r="480" spans="1:7" x14ac:dyDescent="0.25">
      <c r="A480" s="1">
        <v>748</v>
      </c>
      <c r="B480" s="2">
        <v>4707589</v>
      </c>
      <c r="C480" s="3">
        <v>1.9E-2</v>
      </c>
      <c r="D480" s="19">
        <v>0.67</v>
      </c>
      <c r="E480" s="4">
        <v>0.15</v>
      </c>
      <c r="F480" s="4">
        <v>0.33</v>
      </c>
      <c r="G480" s="4">
        <v>0.51999999999999991</v>
      </c>
    </row>
    <row r="481" spans="1:7" x14ac:dyDescent="0.25">
      <c r="A481" s="1">
        <v>345</v>
      </c>
      <c r="B481" s="2">
        <v>3101279</v>
      </c>
      <c r="C481" s="3">
        <v>3.3000000000000002E-2</v>
      </c>
      <c r="D481" s="1">
        <v>0.5</v>
      </c>
      <c r="E481" s="4">
        <v>0.16</v>
      </c>
      <c r="F481" s="4">
        <v>0.34</v>
      </c>
      <c r="G481" s="4">
        <v>0.49999999999999989</v>
      </c>
    </row>
    <row r="482" spans="1:7" x14ac:dyDescent="0.25">
      <c r="A482" s="1">
        <v>346</v>
      </c>
      <c r="B482" s="2">
        <v>3245176</v>
      </c>
      <c r="C482" s="3">
        <v>3.1E-2</v>
      </c>
      <c r="D482" s="1">
        <v>0.5</v>
      </c>
      <c r="E482" s="4">
        <v>0.15</v>
      </c>
      <c r="F482" s="4">
        <v>0.18</v>
      </c>
      <c r="G482" s="4">
        <v>0.67</v>
      </c>
    </row>
    <row r="483" spans="1:7" x14ac:dyDescent="0.25">
      <c r="A483" s="1">
        <v>347</v>
      </c>
      <c r="B483" s="2">
        <v>2326477</v>
      </c>
      <c r="C483" s="3">
        <v>3.2000000000000001E-2</v>
      </c>
      <c r="D483" s="1">
        <v>0.5</v>
      </c>
      <c r="E483" s="4">
        <v>0.15</v>
      </c>
      <c r="F483" s="4">
        <v>0.35</v>
      </c>
      <c r="G483" s="4">
        <v>0.5</v>
      </c>
    </row>
    <row r="484" spans="1:7" x14ac:dyDescent="0.25">
      <c r="A484" s="1">
        <v>349</v>
      </c>
      <c r="B484" s="2">
        <v>3562287</v>
      </c>
      <c r="C484" s="3">
        <v>0.03</v>
      </c>
      <c r="D484" s="1">
        <v>0.5</v>
      </c>
      <c r="E484" s="4">
        <v>0.23</v>
      </c>
      <c r="F484" s="4">
        <v>0.18</v>
      </c>
      <c r="G484" s="4">
        <v>0.59000000000000008</v>
      </c>
    </row>
    <row r="485" spans="1:7" x14ac:dyDescent="0.25">
      <c r="A485" s="1">
        <v>350</v>
      </c>
      <c r="B485" s="2">
        <v>3251156</v>
      </c>
      <c r="C485" s="3">
        <v>0.04</v>
      </c>
      <c r="D485" s="1">
        <v>0.5</v>
      </c>
      <c r="E485" s="4">
        <v>0.17</v>
      </c>
      <c r="F485" s="4">
        <v>0.28000000000000003</v>
      </c>
      <c r="G485" s="4">
        <v>0.54999999999999993</v>
      </c>
    </row>
    <row r="486" spans="1:7" x14ac:dyDescent="0.25">
      <c r="A486" s="1">
        <v>351</v>
      </c>
      <c r="B486" s="2">
        <v>2195268</v>
      </c>
      <c r="C486" s="3">
        <v>2.4E-2</v>
      </c>
      <c r="D486" s="1">
        <v>0.5</v>
      </c>
      <c r="E486" s="4">
        <v>0.2</v>
      </c>
      <c r="F486" s="4">
        <v>0.27</v>
      </c>
      <c r="G486" s="4">
        <v>0.53</v>
      </c>
    </row>
    <row r="487" spans="1:7" x14ac:dyDescent="0.25">
      <c r="A487" s="1">
        <v>352</v>
      </c>
      <c r="B487" s="2">
        <v>2797072</v>
      </c>
      <c r="C487" s="3">
        <v>2.9000000000000001E-2</v>
      </c>
      <c r="D487" s="1">
        <v>0.5</v>
      </c>
      <c r="E487" s="4">
        <v>0.17</v>
      </c>
      <c r="F487" s="4">
        <v>0.32</v>
      </c>
      <c r="G487" s="4">
        <v>0.5099999999999999</v>
      </c>
    </row>
    <row r="488" spans="1:7" x14ac:dyDescent="0.25">
      <c r="A488" s="1">
        <v>355</v>
      </c>
      <c r="B488" s="2">
        <v>3376070</v>
      </c>
      <c r="C488" s="3">
        <v>2.3E-2</v>
      </c>
      <c r="D488" s="1">
        <v>0.5</v>
      </c>
      <c r="E488" s="4">
        <v>0.16</v>
      </c>
      <c r="F488" s="4">
        <v>0.25</v>
      </c>
      <c r="G488" s="4">
        <v>0.59</v>
      </c>
    </row>
    <row r="489" spans="1:7" x14ac:dyDescent="0.25">
      <c r="A489" s="1">
        <v>356</v>
      </c>
      <c r="B489" s="2">
        <v>2544425</v>
      </c>
      <c r="C489" s="3">
        <v>2.1000000000000001E-2</v>
      </c>
      <c r="D489" s="1">
        <v>0.5</v>
      </c>
      <c r="E489" s="4">
        <v>0.16</v>
      </c>
      <c r="F489" s="4">
        <v>0.23</v>
      </c>
      <c r="G489" s="4">
        <v>0.61</v>
      </c>
    </row>
    <row r="490" spans="1:7" x14ac:dyDescent="0.25">
      <c r="A490" s="1">
        <v>358</v>
      </c>
      <c r="B490" s="2">
        <v>3105349</v>
      </c>
      <c r="C490" s="3">
        <v>1.7999999999999999E-2</v>
      </c>
      <c r="D490" s="1">
        <v>0.5</v>
      </c>
      <c r="E490" s="4">
        <v>0.21</v>
      </c>
      <c r="F490" s="4">
        <v>0.16</v>
      </c>
      <c r="G490" s="4">
        <v>0.63</v>
      </c>
    </row>
    <row r="491" spans="1:7" x14ac:dyDescent="0.25">
      <c r="A491" s="1">
        <v>359</v>
      </c>
      <c r="B491" s="2">
        <v>2440987</v>
      </c>
      <c r="C491" s="3">
        <v>2.5999999999999999E-2</v>
      </c>
      <c r="D491" s="1">
        <v>0.5</v>
      </c>
      <c r="E491" s="4">
        <v>0.22</v>
      </c>
      <c r="F491" s="4">
        <v>0.27</v>
      </c>
      <c r="G491" s="4">
        <v>0.51</v>
      </c>
    </row>
    <row r="492" spans="1:7" x14ac:dyDescent="0.25">
      <c r="A492" s="1">
        <v>360</v>
      </c>
      <c r="B492" s="2">
        <v>2873864</v>
      </c>
      <c r="C492" s="3">
        <v>2.1000000000000001E-2</v>
      </c>
      <c r="D492" s="1">
        <v>0.5</v>
      </c>
      <c r="E492" s="4">
        <v>0.2</v>
      </c>
      <c r="F492" s="4">
        <v>0.3</v>
      </c>
      <c r="G492" s="4">
        <v>0.49999999999999994</v>
      </c>
    </row>
    <row r="493" spans="1:7" x14ac:dyDescent="0.25">
      <c r="A493" s="1">
        <v>361</v>
      </c>
      <c r="B493" s="2">
        <v>2253943</v>
      </c>
      <c r="C493" s="3">
        <v>1.7000000000000001E-2</v>
      </c>
      <c r="D493" s="1">
        <v>0.5</v>
      </c>
      <c r="E493" s="4">
        <v>0.24</v>
      </c>
      <c r="F493" s="4">
        <v>0.25</v>
      </c>
      <c r="G493" s="4">
        <v>0.51</v>
      </c>
    </row>
    <row r="494" spans="1:7" x14ac:dyDescent="0.25">
      <c r="A494" s="1">
        <v>362</v>
      </c>
      <c r="B494" s="2">
        <v>2189687</v>
      </c>
      <c r="C494" s="3">
        <v>1.7000000000000001E-2</v>
      </c>
      <c r="D494" s="1">
        <v>0.5</v>
      </c>
      <c r="E494" s="4">
        <v>0.16</v>
      </c>
      <c r="F494" s="4">
        <v>0.15</v>
      </c>
      <c r="G494" s="4">
        <v>0.69</v>
      </c>
    </row>
    <row r="495" spans="1:7" x14ac:dyDescent="0.25">
      <c r="A495" s="1">
        <v>363</v>
      </c>
      <c r="B495" s="2">
        <v>2601038</v>
      </c>
      <c r="C495" s="3">
        <v>2.3E-2</v>
      </c>
      <c r="D495" s="1">
        <v>0.5</v>
      </c>
      <c r="E495" s="4">
        <v>0.15</v>
      </c>
      <c r="F495" s="4">
        <v>0.23</v>
      </c>
      <c r="G495" s="4">
        <v>0.62</v>
      </c>
    </row>
    <row r="496" spans="1:7" x14ac:dyDescent="0.25">
      <c r="A496" s="1">
        <v>364</v>
      </c>
      <c r="B496" s="2">
        <v>2537695</v>
      </c>
      <c r="C496" s="3">
        <v>3.1E-2</v>
      </c>
      <c r="D496" s="1">
        <v>0.5</v>
      </c>
      <c r="E496" s="4">
        <v>0.16</v>
      </c>
      <c r="F496" s="4">
        <v>0.24</v>
      </c>
      <c r="G496" s="4">
        <v>0.6</v>
      </c>
    </row>
    <row r="497" spans="1:7" x14ac:dyDescent="0.25">
      <c r="A497" s="1">
        <v>365</v>
      </c>
      <c r="B497" s="2">
        <v>3895127</v>
      </c>
      <c r="C497" s="3">
        <v>1.7000000000000001E-2</v>
      </c>
      <c r="D497" s="1">
        <v>0.5</v>
      </c>
      <c r="E497" s="4">
        <v>0.18</v>
      </c>
      <c r="F497" s="4">
        <v>0.17</v>
      </c>
      <c r="G497" s="4">
        <v>0.64999999999999991</v>
      </c>
    </row>
    <row r="498" spans="1:7" x14ac:dyDescent="0.25">
      <c r="A498" s="1">
        <v>366</v>
      </c>
      <c r="B498" s="2">
        <v>2186400</v>
      </c>
      <c r="C498" s="3">
        <v>1.7000000000000001E-2</v>
      </c>
      <c r="D498" s="1">
        <v>0.5</v>
      </c>
      <c r="E498" s="4">
        <v>0.24</v>
      </c>
      <c r="F498" s="4">
        <v>0.27</v>
      </c>
      <c r="G498" s="4">
        <v>0.49</v>
      </c>
    </row>
    <row r="499" spans="1:7" x14ac:dyDescent="0.25">
      <c r="A499" s="1">
        <v>367</v>
      </c>
      <c r="B499" s="2">
        <v>3454021</v>
      </c>
      <c r="C499" s="3">
        <v>2.1999999999999999E-2</v>
      </c>
      <c r="D499" s="1">
        <v>0.5</v>
      </c>
      <c r="E499" s="4">
        <v>0.15</v>
      </c>
      <c r="F499" s="4">
        <v>0.27</v>
      </c>
      <c r="G499" s="4">
        <v>0.57999999999999996</v>
      </c>
    </row>
    <row r="500" spans="1:7" x14ac:dyDescent="0.25">
      <c r="A500" s="1">
        <v>368</v>
      </c>
      <c r="B500" s="2">
        <v>2941523</v>
      </c>
      <c r="C500" s="3">
        <v>2.8000000000000001E-2</v>
      </c>
      <c r="D500" s="1">
        <v>0.5</v>
      </c>
      <c r="E500" s="4">
        <v>0.16</v>
      </c>
      <c r="F500" s="4">
        <v>0.28000000000000003</v>
      </c>
      <c r="G500" s="4">
        <v>0.55999999999999994</v>
      </c>
    </row>
    <row r="501" spans="1:7" x14ac:dyDescent="0.25">
      <c r="A501" s="1">
        <v>369</v>
      </c>
      <c r="B501" s="2">
        <v>2348568</v>
      </c>
      <c r="C501" s="3">
        <v>2.5999999999999999E-2</v>
      </c>
      <c r="D501" s="1">
        <v>0.5</v>
      </c>
      <c r="E501" s="4">
        <v>0.2</v>
      </c>
      <c r="F501" s="4">
        <v>0.22</v>
      </c>
      <c r="G501" s="4">
        <v>0.58000000000000007</v>
      </c>
    </row>
    <row r="502" spans="1:7" x14ac:dyDescent="0.25">
      <c r="A502" s="1">
        <v>370</v>
      </c>
      <c r="B502" s="2">
        <v>2544166</v>
      </c>
      <c r="C502" s="3">
        <v>1.6E-2</v>
      </c>
      <c r="D502" s="1">
        <v>0.5</v>
      </c>
      <c r="E502" s="4">
        <v>0.2</v>
      </c>
      <c r="F502" s="4">
        <v>0.25</v>
      </c>
      <c r="G502" s="4">
        <v>0.55000000000000004</v>
      </c>
    </row>
    <row r="503" spans="1:7" x14ac:dyDescent="0.25">
      <c r="A503" s="1">
        <v>371</v>
      </c>
      <c r="B503" s="2">
        <v>2888269</v>
      </c>
      <c r="C503" s="3">
        <v>3.1E-2</v>
      </c>
      <c r="D503" s="1">
        <v>0.5</v>
      </c>
      <c r="E503" s="4">
        <v>0.23</v>
      </c>
      <c r="F503" s="4">
        <v>0.28000000000000003</v>
      </c>
      <c r="G503" s="4">
        <v>0.49</v>
      </c>
    </row>
    <row r="504" spans="1:7" x14ac:dyDescent="0.25">
      <c r="A504" s="1">
        <v>372</v>
      </c>
      <c r="B504" s="2">
        <v>2963169</v>
      </c>
      <c r="C504" s="3">
        <v>1.4999999999999999E-2</v>
      </c>
      <c r="D504" s="1">
        <v>0.5</v>
      </c>
      <c r="E504" s="4">
        <v>0.19</v>
      </c>
      <c r="F504" s="4">
        <v>0.34</v>
      </c>
      <c r="G504" s="4">
        <v>0.46999999999999992</v>
      </c>
    </row>
    <row r="505" spans="1:7" x14ac:dyDescent="0.25">
      <c r="A505" s="1">
        <v>373</v>
      </c>
      <c r="B505" s="2">
        <v>3502353</v>
      </c>
      <c r="C505" s="3">
        <v>1.7000000000000001E-2</v>
      </c>
      <c r="D505" s="1">
        <v>0.5</v>
      </c>
      <c r="E505" s="4">
        <v>0.19</v>
      </c>
      <c r="F505" s="4">
        <v>0.15</v>
      </c>
      <c r="G505" s="4">
        <v>0.65999999999999992</v>
      </c>
    </row>
    <row r="506" spans="1:7" x14ac:dyDescent="0.25">
      <c r="A506" s="1">
        <v>374</v>
      </c>
      <c r="B506" s="2">
        <v>3726667</v>
      </c>
      <c r="C506" s="3">
        <v>0.03</v>
      </c>
      <c r="D506" s="1">
        <v>0.5</v>
      </c>
      <c r="E506" s="4">
        <v>0.15</v>
      </c>
      <c r="F506" s="4">
        <v>0.16</v>
      </c>
      <c r="G506" s="4">
        <v>0.69</v>
      </c>
    </row>
    <row r="507" spans="1:7" x14ac:dyDescent="0.25">
      <c r="A507" s="1">
        <v>376</v>
      </c>
      <c r="B507" s="2">
        <v>3886279</v>
      </c>
      <c r="C507" s="3">
        <v>1.9E-2</v>
      </c>
      <c r="D507" s="1">
        <v>0.5</v>
      </c>
      <c r="E507" s="4">
        <v>0.2</v>
      </c>
      <c r="F507" s="4">
        <v>0.24</v>
      </c>
      <c r="G507" s="4">
        <v>0.56000000000000005</v>
      </c>
    </row>
    <row r="508" spans="1:7" x14ac:dyDescent="0.25">
      <c r="A508" s="1">
        <v>377</v>
      </c>
      <c r="B508" s="2">
        <v>2443432</v>
      </c>
      <c r="C508" s="3">
        <v>1.6E-2</v>
      </c>
      <c r="D508" s="1">
        <v>0.5</v>
      </c>
      <c r="E508" s="4">
        <v>0.21</v>
      </c>
      <c r="F508" s="4">
        <v>0.32</v>
      </c>
      <c r="G508" s="4">
        <v>0.47</v>
      </c>
    </row>
    <row r="509" spans="1:7" x14ac:dyDescent="0.25">
      <c r="A509" s="1">
        <v>378</v>
      </c>
      <c r="B509" s="2">
        <v>2015581</v>
      </c>
      <c r="C509" s="3">
        <v>2.1999999999999999E-2</v>
      </c>
      <c r="D509" s="1">
        <v>0.5</v>
      </c>
      <c r="E509" s="4">
        <v>0.17</v>
      </c>
      <c r="F509" s="4">
        <v>0.23</v>
      </c>
      <c r="G509" s="4">
        <v>0.6</v>
      </c>
    </row>
    <row r="510" spans="1:7" x14ac:dyDescent="0.25">
      <c r="A510" s="1">
        <v>379</v>
      </c>
      <c r="B510" s="2">
        <v>2280741</v>
      </c>
      <c r="C510" s="3">
        <v>2.8000000000000001E-2</v>
      </c>
      <c r="D510" s="1">
        <v>0.5</v>
      </c>
      <c r="E510" s="4">
        <v>0.18</v>
      </c>
      <c r="F510" s="4">
        <v>0.26</v>
      </c>
      <c r="G510" s="4">
        <v>0.56000000000000005</v>
      </c>
    </row>
    <row r="511" spans="1:7" x14ac:dyDescent="0.25">
      <c r="A511" s="1">
        <v>380</v>
      </c>
      <c r="B511" s="2">
        <v>2555042</v>
      </c>
      <c r="C511" s="3">
        <v>1.9E-2</v>
      </c>
      <c r="D511" s="1">
        <v>0.5</v>
      </c>
      <c r="E511" s="4">
        <v>0.17</v>
      </c>
      <c r="F511" s="4">
        <v>0.33</v>
      </c>
      <c r="G511" s="4">
        <v>0.49999999999999989</v>
      </c>
    </row>
    <row r="512" spans="1:7" x14ac:dyDescent="0.25">
      <c r="A512" s="1">
        <v>381</v>
      </c>
      <c r="B512" s="2">
        <v>2500314</v>
      </c>
      <c r="C512" s="3">
        <v>0.02</v>
      </c>
      <c r="D512" s="1">
        <v>0.5</v>
      </c>
      <c r="E512" s="4">
        <v>0.2</v>
      </c>
      <c r="F512" s="4">
        <v>0.2</v>
      </c>
      <c r="G512" s="4">
        <v>0.60000000000000009</v>
      </c>
    </row>
    <row r="513" spans="1:7" x14ac:dyDescent="0.25">
      <c r="A513" s="1">
        <v>382</v>
      </c>
      <c r="B513" s="2">
        <v>3876596</v>
      </c>
      <c r="C513" s="3">
        <v>0.03</v>
      </c>
      <c r="D513" s="1">
        <v>0.5</v>
      </c>
      <c r="E513" s="4">
        <v>0.21</v>
      </c>
      <c r="F513" s="4">
        <v>0.17</v>
      </c>
      <c r="G513" s="4">
        <v>0.62</v>
      </c>
    </row>
    <row r="514" spans="1:7" x14ac:dyDescent="0.25">
      <c r="A514" s="1">
        <v>383</v>
      </c>
      <c r="B514" s="2">
        <v>2753142</v>
      </c>
      <c r="C514" s="3">
        <v>0.02</v>
      </c>
      <c r="D514" s="1">
        <v>0.5</v>
      </c>
      <c r="E514" s="4">
        <v>0.17</v>
      </c>
      <c r="F514" s="4">
        <v>0.28999999999999998</v>
      </c>
      <c r="G514" s="4">
        <v>0.53999999999999992</v>
      </c>
    </row>
    <row r="515" spans="1:7" x14ac:dyDescent="0.25">
      <c r="A515" s="1">
        <v>386</v>
      </c>
      <c r="B515" s="2">
        <v>2933061</v>
      </c>
      <c r="C515" s="3">
        <v>2.7E-2</v>
      </c>
      <c r="D515" s="1">
        <v>0.5</v>
      </c>
      <c r="E515" s="4">
        <v>0.15</v>
      </c>
      <c r="F515" s="4">
        <v>0.31</v>
      </c>
      <c r="G515" s="4">
        <v>0.53999999999999992</v>
      </c>
    </row>
    <row r="516" spans="1:7" x14ac:dyDescent="0.25">
      <c r="A516" s="1">
        <v>387</v>
      </c>
      <c r="B516" s="2">
        <v>2444427</v>
      </c>
      <c r="C516" s="3">
        <v>1.7999999999999999E-2</v>
      </c>
      <c r="D516" s="1">
        <v>0.5</v>
      </c>
      <c r="E516" s="4">
        <v>0.24</v>
      </c>
      <c r="F516" s="4">
        <v>0.32</v>
      </c>
      <c r="G516" s="4">
        <v>0.43999999999999995</v>
      </c>
    </row>
    <row r="517" spans="1:7" x14ac:dyDescent="0.25">
      <c r="A517" s="1">
        <v>388</v>
      </c>
      <c r="B517" s="2">
        <v>2878771</v>
      </c>
      <c r="C517" s="3">
        <v>3.5000000000000003E-2</v>
      </c>
      <c r="D517" s="1">
        <v>0.5</v>
      </c>
      <c r="E517" s="4">
        <v>0.18</v>
      </c>
      <c r="F517" s="4">
        <v>0.33</v>
      </c>
      <c r="G517" s="4">
        <v>0.48999999999999994</v>
      </c>
    </row>
    <row r="518" spans="1:7" x14ac:dyDescent="0.25">
      <c r="A518" s="1">
        <v>389</v>
      </c>
      <c r="B518" s="2">
        <v>2998700</v>
      </c>
      <c r="C518" s="3">
        <v>2.9000000000000001E-2</v>
      </c>
      <c r="D518" s="1">
        <v>0.5</v>
      </c>
      <c r="E518" s="4">
        <v>0.15</v>
      </c>
      <c r="F518" s="4">
        <v>0.21</v>
      </c>
      <c r="G518" s="4">
        <v>0.64</v>
      </c>
    </row>
    <row r="519" spans="1:7" x14ac:dyDescent="0.25">
      <c r="A519" s="1">
        <v>390</v>
      </c>
      <c r="B519" s="2">
        <v>3092499</v>
      </c>
      <c r="C519" s="3">
        <v>3.2000000000000001E-2</v>
      </c>
      <c r="D519" s="1">
        <v>0.5</v>
      </c>
      <c r="E519" s="4">
        <v>0.19</v>
      </c>
      <c r="F519" s="4">
        <v>0.2</v>
      </c>
      <c r="G519" s="4">
        <v>0.6100000000000001</v>
      </c>
    </row>
    <row r="520" spans="1:7" x14ac:dyDescent="0.25">
      <c r="A520" s="1">
        <v>393</v>
      </c>
      <c r="B520" s="2">
        <v>2687248</v>
      </c>
      <c r="C520" s="3">
        <v>1.6E-2</v>
      </c>
      <c r="D520" s="1">
        <v>0.5</v>
      </c>
      <c r="E520" s="4">
        <v>0.23</v>
      </c>
      <c r="F520" s="4">
        <v>0.15</v>
      </c>
      <c r="G520" s="4">
        <v>0.62</v>
      </c>
    </row>
    <row r="521" spans="1:7" x14ac:dyDescent="0.25">
      <c r="A521" s="1">
        <v>398</v>
      </c>
      <c r="B521" s="2">
        <v>2681807</v>
      </c>
      <c r="C521" s="3">
        <v>1.7999999999999999E-2</v>
      </c>
      <c r="D521" s="1">
        <v>0.5</v>
      </c>
      <c r="E521" s="4">
        <v>0.2</v>
      </c>
      <c r="F521" s="4">
        <v>0.21</v>
      </c>
      <c r="G521" s="4">
        <v>0.59000000000000008</v>
      </c>
    </row>
    <row r="522" spans="1:7" x14ac:dyDescent="0.25">
      <c r="A522" s="1">
        <v>399</v>
      </c>
      <c r="B522" s="2">
        <v>3428681</v>
      </c>
      <c r="C522" s="3">
        <v>2.7E-2</v>
      </c>
      <c r="D522" s="1">
        <v>0.5</v>
      </c>
      <c r="E522" s="4">
        <v>0.16</v>
      </c>
      <c r="F522" s="4">
        <v>0.28999999999999998</v>
      </c>
      <c r="G522" s="4">
        <v>0.54999999999999993</v>
      </c>
    </row>
    <row r="523" spans="1:7" x14ac:dyDescent="0.25">
      <c r="A523" s="1">
        <v>402</v>
      </c>
      <c r="B523" s="2">
        <v>2052234</v>
      </c>
      <c r="C523" s="3">
        <v>2.7E-2</v>
      </c>
      <c r="D523" s="1">
        <v>0.5</v>
      </c>
      <c r="E523" s="4">
        <v>0.18</v>
      </c>
      <c r="F523" s="4">
        <v>0.34</v>
      </c>
      <c r="G523" s="4">
        <v>0.47999999999999993</v>
      </c>
    </row>
    <row r="524" spans="1:7" x14ac:dyDescent="0.25">
      <c r="A524" s="1">
        <v>403</v>
      </c>
      <c r="B524" s="2">
        <v>2668403</v>
      </c>
      <c r="C524" s="3">
        <v>1.7000000000000001E-2</v>
      </c>
      <c r="D524" s="1">
        <v>0.5</v>
      </c>
      <c r="E524" s="4">
        <v>0.23</v>
      </c>
      <c r="F524" s="4">
        <v>0.22</v>
      </c>
      <c r="G524" s="4">
        <v>0.55000000000000004</v>
      </c>
    </row>
    <row r="525" spans="1:7" x14ac:dyDescent="0.25">
      <c r="A525" s="1">
        <v>407</v>
      </c>
      <c r="B525" s="2">
        <v>3779200</v>
      </c>
      <c r="C525" s="3">
        <v>2.5000000000000001E-2</v>
      </c>
      <c r="D525" s="1">
        <v>0.5</v>
      </c>
      <c r="E525" s="4">
        <v>0.24</v>
      </c>
      <c r="F525" s="4">
        <v>0.28999999999999998</v>
      </c>
      <c r="G525" s="4">
        <v>0.47</v>
      </c>
    </row>
    <row r="526" spans="1:7" x14ac:dyDescent="0.25">
      <c r="A526" s="1">
        <v>409</v>
      </c>
      <c r="B526" s="2">
        <v>3512213</v>
      </c>
      <c r="C526" s="3">
        <v>2.7E-2</v>
      </c>
      <c r="D526" s="1">
        <v>0.5</v>
      </c>
      <c r="E526" s="4">
        <v>0.23</v>
      </c>
      <c r="F526" s="4">
        <v>0.27</v>
      </c>
      <c r="G526" s="4">
        <v>0.5</v>
      </c>
    </row>
    <row r="527" spans="1:7" x14ac:dyDescent="0.25">
      <c r="A527" s="1">
        <v>411</v>
      </c>
      <c r="B527" s="2">
        <v>3950749</v>
      </c>
      <c r="C527" s="3">
        <v>1.6E-2</v>
      </c>
      <c r="D527" s="1">
        <v>0.5</v>
      </c>
      <c r="E527" s="4">
        <v>0.19</v>
      </c>
      <c r="F527" s="4">
        <v>0.28000000000000003</v>
      </c>
      <c r="G527" s="4">
        <v>0.53</v>
      </c>
    </row>
    <row r="528" spans="1:7" x14ac:dyDescent="0.25">
      <c r="A528" s="1">
        <v>412</v>
      </c>
      <c r="B528" s="2">
        <v>3536579</v>
      </c>
      <c r="C528" s="3">
        <v>2.9000000000000001E-2</v>
      </c>
      <c r="D528" s="1">
        <v>0.5</v>
      </c>
      <c r="E528" s="4">
        <v>0.2</v>
      </c>
      <c r="F528" s="4">
        <v>0.15</v>
      </c>
      <c r="G528" s="4">
        <v>0.64999999999999991</v>
      </c>
    </row>
    <row r="529" spans="1:7" x14ac:dyDescent="0.25">
      <c r="A529" s="1">
        <v>414</v>
      </c>
      <c r="B529" s="2">
        <v>3767548</v>
      </c>
      <c r="C529" s="3">
        <v>1.6E-2</v>
      </c>
      <c r="D529" s="1">
        <v>0.5</v>
      </c>
      <c r="E529" s="4">
        <v>0.23</v>
      </c>
      <c r="F529" s="4">
        <v>0.33</v>
      </c>
      <c r="G529" s="4">
        <v>0.43999999999999995</v>
      </c>
    </row>
    <row r="530" spans="1:7" x14ac:dyDescent="0.25">
      <c r="A530" s="1">
        <v>415</v>
      </c>
      <c r="B530" s="2">
        <v>3622316</v>
      </c>
      <c r="C530" s="3">
        <v>1.4999999999999999E-2</v>
      </c>
      <c r="D530" s="1">
        <v>0.5</v>
      </c>
      <c r="E530" s="4">
        <v>0.21</v>
      </c>
      <c r="F530" s="4">
        <v>0.3</v>
      </c>
      <c r="G530" s="4">
        <v>0.49</v>
      </c>
    </row>
    <row r="531" spans="1:7" x14ac:dyDescent="0.25">
      <c r="A531" s="1">
        <v>416</v>
      </c>
      <c r="B531" s="2">
        <v>2942084</v>
      </c>
      <c r="C531" s="3">
        <v>1.4999999999999999E-2</v>
      </c>
      <c r="D531" s="1">
        <v>0.5</v>
      </c>
      <c r="E531" s="4">
        <v>0.22</v>
      </c>
      <c r="F531" s="4">
        <v>0.18</v>
      </c>
      <c r="G531" s="4">
        <v>0.60000000000000009</v>
      </c>
    </row>
    <row r="532" spans="1:7" x14ac:dyDescent="0.25">
      <c r="A532" s="1">
        <v>418</v>
      </c>
      <c r="B532" s="2">
        <v>2023046</v>
      </c>
      <c r="C532" s="3">
        <v>2.4E-2</v>
      </c>
      <c r="D532" s="1">
        <v>0.5</v>
      </c>
      <c r="E532" s="4">
        <v>0.22</v>
      </c>
      <c r="F532" s="4">
        <v>0.19</v>
      </c>
      <c r="G532" s="4">
        <v>0.59000000000000008</v>
      </c>
    </row>
    <row r="533" spans="1:7" x14ac:dyDescent="0.25">
      <c r="A533" s="1">
        <v>419</v>
      </c>
      <c r="B533" s="2">
        <v>3024236</v>
      </c>
      <c r="C533" s="3">
        <v>2.4E-2</v>
      </c>
      <c r="D533" s="1">
        <v>0.5</v>
      </c>
      <c r="E533" s="4">
        <v>0.18</v>
      </c>
      <c r="F533" s="4">
        <v>0.33</v>
      </c>
      <c r="G533" s="4">
        <v>0.48999999999999994</v>
      </c>
    </row>
    <row r="534" spans="1:7" x14ac:dyDescent="0.25">
      <c r="A534" s="1">
        <v>420</v>
      </c>
      <c r="B534" s="2">
        <v>2318158</v>
      </c>
      <c r="C534" s="3">
        <v>3.1E-2</v>
      </c>
      <c r="D534" s="1">
        <v>0.5</v>
      </c>
      <c r="E534" s="4">
        <v>0.17</v>
      </c>
      <c r="F534" s="4">
        <v>0.22</v>
      </c>
      <c r="G534" s="4">
        <v>0.61</v>
      </c>
    </row>
    <row r="535" spans="1:7" x14ac:dyDescent="0.25">
      <c r="A535" s="1">
        <v>422</v>
      </c>
      <c r="B535" s="2">
        <v>3124376</v>
      </c>
      <c r="C535" s="3">
        <v>3.4000000000000002E-2</v>
      </c>
      <c r="D535" s="1">
        <v>0.5</v>
      </c>
      <c r="E535" s="4">
        <v>0.2</v>
      </c>
      <c r="F535" s="4">
        <v>0.18</v>
      </c>
      <c r="G535" s="4">
        <v>0.62000000000000011</v>
      </c>
    </row>
    <row r="536" spans="1:7" x14ac:dyDescent="0.25">
      <c r="A536" s="1">
        <v>423</v>
      </c>
      <c r="B536" s="2">
        <v>3090153</v>
      </c>
      <c r="C536" s="3">
        <v>3.4000000000000002E-2</v>
      </c>
      <c r="D536" s="1">
        <v>0.5</v>
      </c>
      <c r="E536" s="4">
        <v>0.19</v>
      </c>
      <c r="F536" s="4">
        <v>0.23</v>
      </c>
      <c r="G536" s="4">
        <v>0.58000000000000007</v>
      </c>
    </row>
    <row r="537" spans="1:7" x14ac:dyDescent="0.25">
      <c r="A537" s="1">
        <v>424</v>
      </c>
      <c r="B537" s="2">
        <v>3378221</v>
      </c>
      <c r="C537" s="3">
        <v>2.9000000000000001E-2</v>
      </c>
      <c r="D537" s="1">
        <v>0.5</v>
      </c>
      <c r="E537" s="4">
        <v>0.19</v>
      </c>
      <c r="F537" s="4">
        <v>0.19</v>
      </c>
      <c r="G537" s="4">
        <v>0.62000000000000011</v>
      </c>
    </row>
    <row r="538" spans="1:7" x14ac:dyDescent="0.25">
      <c r="A538" s="1">
        <v>426</v>
      </c>
      <c r="B538" s="2">
        <v>3940670</v>
      </c>
      <c r="C538" s="3">
        <v>1.4999999999999999E-2</v>
      </c>
      <c r="D538" s="1">
        <v>0.5</v>
      </c>
      <c r="E538" s="4">
        <v>0.15</v>
      </c>
      <c r="F538" s="4">
        <v>0.16</v>
      </c>
      <c r="G538" s="4">
        <v>0.69</v>
      </c>
    </row>
    <row r="539" spans="1:7" x14ac:dyDescent="0.25">
      <c r="A539" s="1">
        <v>427</v>
      </c>
      <c r="B539" s="2">
        <v>2401049</v>
      </c>
      <c r="C539" s="3">
        <v>2.8000000000000001E-2</v>
      </c>
      <c r="D539" s="1">
        <v>0.5</v>
      </c>
      <c r="E539" s="4">
        <v>0.19</v>
      </c>
      <c r="F539" s="4">
        <v>0.19</v>
      </c>
      <c r="G539" s="4">
        <v>0.62000000000000011</v>
      </c>
    </row>
    <row r="540" spans="1:7" x14ac:dyDescent="0.25">
      <c r="A540" s="1">
        <v>428</v>
      </c>
      <c r="B540" s="2">
        <v>2223704</v>
      </c>
      <c r="C540" s="3">
        <v>3.4000000000000002E-2</v>
      </c>
      <c r="D540" s="1">
        <v>0.5</v>
      </c>
      <c r="E540" s="4">
        <v>0.23</v>
      </c>
      <c r="F540" s="4">
        <v>0.24</v>
      </c>
      <c r="G540" s="4">
        <v>0.53</v>
      </c>
    </row>
    <row r="541" spans="1:7" x14ac:dyDescent="0.25">
      <c r="A541" s="1">
        <v>429</v>
      </c>
      <c r="B541" s="2">
        <v>2723893</v>
      </c>
      <c r="C541" s="3">
        <v>3.4000000000000002E-2</v>
      </c>
      <c r="D541" s="1">
        <v>0.5</v>
      </c>
      <c r="E541" s="4">
        <v>0.17</v>
      </c>
      <c r="F541" s="4">
        <v>0.19</v>
      </c>
      <c r="G541" s="4">
        <v>0.64</v>
      </c>
    </row>
    <row r="542" spans="1:7" x14ac:dyDescent="0.25">
      <c r="A542" s="1">
        <v>430</v>
      </c>
      <c r="B542" s="2">
        <v>3512761</v>
      </c>
      <c r="C542" s="3">
        <v>3.1E-2</v>
      </c>
      <c r="D542" s="1">
        <v>0.5</v>
      </c>
      <c r="E542" s="4">
        <v>0.2</v>
      </c>
      <c r="F542" s="4">
        <v>0.15</v>
      </c>
      <c r="G542" s="4">
        <v>0.64999999999999991</v>
      </c>
    </row>
    <row r="543" spans="1:7" x14ac:dyDescent="0.25">
      <c r="A543" s="1">
        <v>432</v>
      </c>
      <c r="B543" s="2">
        <v>3116971</v>
      </c>
      <c r="C543" s="3">
        <v>1.7999999999999999E-2</v>
      </c>
      <c r="D543" s="1">
        <v>0.5</v>
      </c>
      <c r="E543" s="4">
        <v>0.22</v>
      </c>
      <c r="F543" s="4">
        <v>0.33</v>
      </c>
      <c r="G543" s="4">
        <v>0.44999999999999996</v>
      </c>
    </row>
    <row r="544" spans="1:7" x14ac:dyDescent="0.25">
      <c r="A544" s="1">
        <v>434</v>
      </c>
      <c r="B544" s="2">
        <v>2066657</v>
      </c>
      <c r="C544" s="3">
        <v>2.5000000000000001E-2</v>
      </c>
      <c r="D544" s="1">
        <v>0.5</v>
      </c>
      <c r="E544" s="4">
        <v>0.22</v>
      </c>
      <c r="F544" s="4">
        <v>0.25</v>
      </c>
      <c r="G544" s="4">
        <v>0.53</v>
      </c>
    </row>
    <row r="545" spans="1:7" x14ac:dyDescent="0.25">
      <c r="A545" s="1">
        <v>435</v>
      </c>
      <c r="B545" s="2">
        <v>3082947</v>
      </c>
      <c r="C545" s="3">
        <v>2.3E-2</v>
      </c>
      <c r="D545" s="1">
        <v>0.5</v>
      </c>
      <c r="E545" s="4">
        <v>0.19</v>
      </c>
      <c r="F545" s="4">
        <v>0.26</v>
      </c>
      <c r="G545" s="4">
        <v>0.55000000000000004</v>
      </c>
    </row>
    <row r="546" spans="1:7" x14ac:dyDescent="0.25">
      <c r="A546" s="1">
        <v>436</v>
      </c>
      <c r="B546" s="2">
        <v>3404458</v>
      </c>
      <c r="C546" s="3">
        <v>2.3E-2</v>
      </c>
      <c r="D546" s="1">
        <v>0.5</v>
      </c>
      <c r="E546" s="4">
        <v>0.17</v>
      </c>
      <c r="F546" s="4">
        <v>0.28999999999999998</v>
      </c>
      <c r="G546" s="4">
        <v>0.53999999999999992</v>
      </c>
    </row>
    <row r="547" spans="1:7" x14ac:dyDescent="0.25">
      <c r="A547" s="1">
        <v>437</v>
      </c>
      <c r="B547" s="2">
        <v>2482337</v>
      </c>
      <c r="C547" s="3">
        <v>2.7E-2</v>
      </c>
      <c r="D547" s="1">
        <v>0.5</v>
      </c>
      <c r="E547" s="4">
        <v>0.23</v>
      </c>
      <c r="F547" s="4">
        <v>0.33</v>
      </c>
      <c r="G547" s="4">
        <v>0.43999999999999995</v>
      </c>
    </row>
    <row r="548" spans="1:7" x14ac:dyDescent="0.25">
      <c r="A548" s="1">
        <v>438</v>
      </c>
      <c r="B548" s="2">
        <v>2073041</v>
      </c>
      <c r="C548" s="3">
        <v>3.2000000000000001E-2</v>
      </c>
      <c r="D548" s="1">
        <v>0.5</v>
      </c>
      <c r="E548" s="4">
        <v>0.23</v>
      </c>
      <c r="F548" s="4">
        <v>0.25</v>
      </c>
      <c r="G548" s="4">
        <v>0.52</v>
      </c>
    </row>
    <row r="549" spans="1:7" x14ac:dyDescent="0.25">
      <c r="A549" s="1">
        <v>439</v>
      </c>
      <c r="B549" s="2">
        <v>2161781</v>
      </c>
      <c r="C549" s="3">
        <v>2.5000000000000001E-2</v>
      </c>
      <c r="D549" s="1">
        <v>0.5</v>
      </c>
      <c r="E549" s="4">
        <v>0.16</v>
      </c>
      <c r="F549" s="4">
        <v>0.28999999999999998</v>
      </c>
      <c r="G549" s="4">
        <v>0.54999999999999993</v>
      </c>
    </row>
    <row r="550" spans="1:7" x14ac:dyDescent="0.25">
      <c r="A550" s="1">
        <v>440</v>
      </c>
      <c r="B550" s="2">
        <v>2699159</v>
      </c>
      <c r="C550" s="3">
        <v>2.5000000000000001E-2</v>
      </c>
      <c r="D550" s="1">
        <v>0.5</v>
      </c>
      <c r="E550" s="4">
        <v>0.15</v>
      </c>
      <c r="F550" s="4">
        <v>0.19</v>
      </c>
      <c r="G550" s="4">
        <v>0.66</v>
      </c>
    </row>
    <row r="551" spans="1:7" x14ac:dyDescent="0.25">
      <c r="A551" s="1">
        <v>441</v>
      </c>
      <c r="B551" s="2">
        <v>3544863</v>
      </c>
      <c r="C551" s="3">
        <v>0.03</v>
      </c>
      <c r="D551" s="1">
        <v>0.5</v>
      </c>
      <c r="E551" s="4">
        <v>0.21</v>
      </c>
      <c r="F551" s="4">
        <v>0.28000000000000003</v>
      </c>
      <c r="G551" s="4">
        <v>0.51</v>
      </c>
    </row>
    <row r="552" spans="1:7" x14ac:dyDescent="0.25">
      <c r="A552" s="1">
        <v>442</v>
      </c>
      <c r="B552" s="2">
        <v>3353569</v>
      </c>
      <c r="C552" s="3">
        <v>1.4999999999999999E-2</v>
      </c>
      <c r="D552" s="1">
        <v>0.5</v>
      </c>
      <c r="E552" s="4">
        <v>0.22</v>
      </c>
      <c r="F552" s="4">
        <v>0.34</v>
      </c>
      <c r="G552" s="4">
        <v>0.43999999999999995</v>
      </c>
    </row>
    <row r="553" spans="1:7" x14ac:dyDescent="0.25">
      <c r="A553" s="1">
        <v>444</v>
      </c>
      <c r="B553" s="2">
        <v>2107513</v>
      </c>
      <c r="C553" s="3">
        <v>2.5999999999999999E-2</v>
      </c>
      <c r="D553" s="1">
        <v>0.5</v>
      </c>
      <c r="E553" s="4">
        <v>0.25</v>
      </c>
      <c r="F553" s="4">
        <v>0.2</v>
      </c>
      <c r="G553" s="4">
        <v>0.55000000000000004</v>
      </c>
    </row>
    <row r="554" spans="1:7" x14ac:dyDescent="0.25">
      <c r="A554" s="1">
        <v>445</v>
      </c>
      <c r="B554" s="2">
        <v>3683404</v>
      </c>
      <c r="C554" s="3">
        <v>2.5000000000000001E-2</v>
      </c>
      <c r="D554" s="1">
        <v>0.5</v>
      </c>
      <c r="E554" s="4">
        <v>0.22</v>
      </c>
      <c r="F554" s="4">
        <v>0.34</v>
      </c>
      <c r="G554" s="4">
        <v>0.43999999999999995</v>
      </c>
    </row>
    <row r="555" spans="1:7" x14ac:dyDescent="0.25">
      <c r="A555" s="1">
        <v>449</v>
      </c>
      <c r="B555" s="2">
        <v>2082410</v>
      </c>
      <c r="C555" s="3">
        <v>1.9E-2</v>
      </c>
      <c r="D555" s="1">
        <v>0.5</v>
      </c>
      <c r="E555" s="4">
        <v>0.18</v>
      </c>
      <c r="F555" s="4">
        <v>0.2</v>
      </c>
      <c r="G555" s="4">
        <v>0.62000000000000011</v>
      </c>
    </row>
    <row r="556" spans="1:7" x14ac:dyDescent="0.25">
      <c r="A556" s="1">
        <v>451</v>
      </c>
      <c r="B556" s="2">
        <v>2343004</v>
      </c>
      <c r="C556" s="3">
        <v>2.5000000000000001E-2</v>
      </c>
      <c r="D556" s="1">
        <v>0.5</v>
      </c>
      <c r="E556" s="4">
        <v>0.18</v>
      </c>
      <c r="F556" s="4">
        <v>0.32</v>
      </c>
      <c r="G556" s="4">
        <v>0.49999999999999994</v>
      </c>
    </row>
    <row r="557" spans="1:7" x14ac:dyDescent="0.25">
      <c r="A557" s="1">
        <v>452</v>
      </c>
      <c r="B557" s="2">
        <v>2236076</v>
      </c>
      <c r="C557" s="3">
        <v>3.3000000000000002E-2</v>
      </c>
      <c r="D557" s="1">
        <v>0.5</v>
      </c>
      <c r="E557" s="4">
        <v>0.24</v>
      </c>
      <c r="F557" s="4">
        <v>0.32</v>
      </c>
      <c r="G557" s="4">
        <v>0.43999999999999995</v>
      </c>
    </row>
    <row r="558" spans="1:7" x14ac:dyDescent="0.25">
      <c r="A558" s="1">
        <v>453</v>
      </c>
      <c r="B558" s="2">
        <v>3339554</v>
      </c>
      <c r="C558" s="3">
        <v>1.4999999999999999E-2</v>
      </c>
      <c r="D558" s="1">
        <v>0.5</v>
      </c>
      <c r="E558" s="4">
        <v>0.15</v>
      </c>
      <c r="F558" s="4">
        <v>0.24</v>
      </c>
      <c r="G558" s="4">
        <v>0.61</v>
      </c>
    </row>
    <row r="559" spans="1:7" x14ac:dyDescent="0.25">
      <c r="A559" s="1">
        <v>455</v>
      </c>
      <c r="B559" s="2">
        <v>2721574</v>
      </c>
      <c r="C559" s="3">
        <v>1.7000000000000001E-2</v>
      </c>
      <c r="D559" s="1">
        <v>0.5</v>
      </c>
      <c r="E559" s="4">
        <v>0.22</v>
      </c>
      <c r="F559" s="4">
        <v>0.18</v>
      </c>
      <c r="G559" s="4">
        <v>0.60000000000000009</v>
      </c>
    </row>
    <row r="560" spans="1:7" x14ac:dyDescent="0.25">
      <c r="A560" s="1">
        <v>456</v>
      </c>
      <c r="B560" s="2">
        <v>2814693</v>
      </c>
      <c r="C560" s="3">
        <v>1.9E-2</v>
      </c>
      <c r="D560" s="1">
        <v>0.5</v>
      </c>
      <c r="E560" s="4">
        <v>0.25</v>
      </c>
      <c r="F560" s="4">
        <v>0.28000000000000003</v>
      </c>
      <c r="G560" s="4">
        <v>0.47</v>
      </c>
    </row>
    <row r="561" spans="1:7" x14ac:dyDescent="0.25">
      <c r="A561" s="1">
        <v>457</v>
      </c>
      <c r="B561" s="2">
        <v>2809537</v>
      </c>
      <c r="C561" s="3">
        <v>0.03</v>
      </c>
      <c r="D561" s="1">
        <v>0.5</v>
      </c>
      <c r="E561" s="4">
        <v>0.15</v>
      </c>
      <c r="F561" s="4">
        <v>0.31</v>
      </c>
      <c r="G561" s="4">
        <v>0.53999999999999992</v>
      </c>
    </row>
    <row r="562" spans="1:7" x14ac:dyDescent="0.25">
      <c r="A562" s="1">
        <v>458</v>
      </c>
      <c r="B562" s="2">
        <v>3271102</v>
      </c>
      <c r="C562" s="3">
        <v>1.4999999999999999E-2</v>
      </c>
      <c r="D562" s="1">
        <v>0.5</v>
      </c>
      <c r="E562" s="4">
        <v>0.18</v>
      </c>
      <c r="F562" s="4">
        <v>0.24</v>
      </c>
      <c r="G562" s="4">
        <v>0.58000000000000007</v>
      </c>
    </row>
    <row r="563" spans="1:7" x14ac:dyDescent="0.25">
      <c r="A563" s="1">
        <v>461</v>
      </c>
      <c r="B563" s="2">
        <v>2091835</v>
      </c>
      <c r="C563" s="3">
        <v>1.7000000000000001E-2</v>
      </c>
      <c r="D563" s="1">
        <v>0.5</v>
      </c>
      <c r="E563" s="4">
        <v>0.15</v>
      </c>
      <c r="F563" s="4">
        <v>0.28000000000000003</v>
      </c>
      <c r="G563" s="4">
        <v>0.56999999999999995</v>
      </c>
    </row>
    <row r="564" spans="1:7" x14ac:dyDescent="0.25">
      <c r="A564" s="1">
        <v>462</v>
      </c>
      <c r="B564" s="2">
        <v>3818201</v>
      </c>
      <c r="C564" s="3">
        <v>1.9E-2</v>
      </c>
      <c r="D564" s="1">
        <v>0.5</v>
      </c>
      <c r="E564" s="4">
        <v>0.22</v>
      </c>
      <c r="F564" s="4">
        <v>0.35</v>
      </c>
      <c r="G564" s="4">
        <v>0.43000000000000005</v>
      </c>
    </row>
    <row r="565" spans="1:7" x14ac:dyDescent="0.25">
      <c r="A565" s="1">
        <v>465</v>
      </c>
      <c r="B565" s="2">
        <v>2379396</v>
      </c>
      <c r="C565" s="3">
        <v>3.5000000000000003E-2</v>
      </c>
      <c r="D565" s="1">
        <v>0.5</v>
      </c>
      <c r="E565" s="4">
        <v>0.18</v>
      </c>
      <c r="F565" s="4">
        <v>0.28000000000000003</v>
      </c>
      <c r="G565" s="4">
        <v>0.54</v>
      </c>
    </row>
    <row r="566" spans="1:7" x14ac:dyDescent="0.25">
      <c r="A566" s="1">
        <v>467</v>
      </c>
      <c r="B566" s="2">
        <v>2632414</v>
      </c>
      <c r="C566" s="3">
        <v>0.03</v>
      </c>
      <c r="D566" s="1">
        <v>0.5</v>
      </c>
      <c r="E566" s="4">
        <v>0.15</v>
      </c>
      <c r="F566" s="4">
        <v>0.27</v>
      </c>
      <c r="G566" s="4">
        <v>0.57999999999999996</v>
      </c>
    </row>
    <row r="567" spans="1:7" x14ac:dyDescent="0.25">
      <c r="A567" s="1">
        <v>468</v>
      </c>
      <c r="B567" s="2">
        <v>2144262</v>
      </c>
      <c r="C567" s="3">
        <v>0.02</v>
      </c>
      <c r="D567" s="1">
        <v>0.5</v>
      </c>
      <c r="E567" s="4">
        <v>0.18</v>
      </c>
      <c r="F567" s="4">
        <v>0.35</v>
      </c>
      <c r="G567" s="4">
        <v>0.47000000000000003</v>
      </c>
    </row>
    <row r="568" spans="1:7" x14ac:dyDescent="0.25">
      <c r="A568" s="1">
        <v>470</v>
      </c>
      <c r="B568" s="2">
        <v>2106882</v>
      </c>
      <c r="C568" s="3">
        <v>2.5999999999999999E-2</v>
      </c>
      <c r="D568" s="1">
        <v>0.5</v>
      </c>
      <c r="E568" s="4">
        <v>0.2</v>
      </c>
      <c r="F568" s="4">
        <v>0.25</v>
      </c>
      <c r="G568" s="4">
        <v>0.55000000000000004</v>
      </c>
    </row>
    <row r="569" spans="1:7" x14ac:dyDescent="0.25">
      <c r="A569" s="1">
        <v>472</v>
      </c>
      <c r="B569" s="2">
        <v>2038628</v>
      </c>
      <c r="C569" s="3">
        <v>2.8000000000000001E-2</v>
      </c>
      <c r="D569" s="1">
        <v>0.5</v>
      </c>
      <c r="E569" s="4">
        <v>0.2</v>
      </c>
      <c r="F569" s="4">
        <v>0.18</v>
      </c>
      <c r="G569" s="4">
        <v>0.62000000000000011</v>
      </c>
    </row>
    <row r="570" spans="1:7" x14ac:dyDescent="0.25">
      <c r="A570" s="1">
        <v>475</v>
      </c>
      <c r="B570" s="2">
        <v>2705531</v>
      </c>
      <c r="C570" s="3">
        <v>1.7000000000000001E-2</v>
      </c>
      <c r="D570" s="1">
        <v>0.5</v>
      </c>
      <c r="E570" s="4">
        <v>0.18</v>
      </c>
      <c r="F570" s="4">
        <v>0.34</v>
      </c>
      <c r="G570" s="4">
        <v>0.47999999999999993</v>
      </c>
    </row>
    <row r="571" spans="1:7" x14ac:dyDescent="0.25">
      <c r="A571" s="1">
        <v>477</v>
      </c>
      <c r="B571" s="2">
        <v>2756090</v>
      </c>
      <c r="C571" s="3">
        <v>2.7E-2</v>
      </c>
      <c r="D571" s="1">
        <v>0.5</v>
      </c>
      <c r="E571" s="4">
        <v>0.23</v>
      </c>
      <c r="F571" s="4">
        <v>0.23</v>
      </c>
      <c r="G571" s="4">
        <v>0.54</v>
      </c>
    </row>
    <row r="572" spans="1:7" x14ac:dyDescent="0.25">
      <c r="A572" s="1">
        <v>478</v>
      </c>
      <c r="B572" s="2">
        <v>2526358</v>
      </c>
      <c r="C572" s="3">
        <v>0.02</v>
      </c>
      <c r="D572" s="1">
        <v>0.5</v>
      </c>
      <c r="E572" s="4">
        <v>0.17</v>
      </c>
      <c r="F572" s="4">
        <v>0.31</v>
      </c>
      <c r="G572" s="4">
        <v>0.51999999999999991</v>
      </c>
    </row>
    <row r="573" spans="1:7" x14ac:dyDescent="0.25">
      <c r="A573" s="1">
        <v>481</v>
      </c>
      <c r="B573" s="2">
        <v>3978572</v>
      </c>
      <c r="C573" s="3">
        <v>3.5000000000000003E-2</v>
      </c>
      <c r="D573" s="1">
        <v>0.5</v>
      </c>
      <c r="E573" s="4">
        <v>0.25</v>
      </c>
      <c r="F573" s="4">
        <v>0.3</v>
      </c>
      <c r="G573" s="4">
        <v>0.44999999999999996</v>
      </c>
    </row>
    <row r="574" spans="1:7" x14ac:dyDescent="0.25">
      <c r="A574" s="1">
        <v>482</v>
      </c>
      <c r="B574" s="2">
        <v>3194993</v>
      </c>
      <c r="C574" s="3">
        <v>2.3E-2</v>
      </c>
      <c r="D574" s="1">
        <v>0.5</v>
      </c>
      <c r="E574" s="4">
        <v>0.2</v>
      </c>
      <c r="F574" s="4">
        <v>0.25</v>
      </c>
      <c r="G574" s="4">
        <v>0.55000000000000004</v>
      </c>
    </row>
    <row r="575" spans="1:7" x14ac:dyDescent="0.25">
      <c r="A575" s="1">
        <v>488</v>
      </c>
      <c r="B575" s="2">
        <v>2067984</v>
      </c>
      <c r="C575" s="3">
        <v>0.02</v>
      </c>
      <c r="D575" s="1">
        <v>0.5</v>
      </c>
      <c r="E575" s="4">
        <v>0.23</v>
      </c>
      <c r="F575" s="4">
        <v>0.28999999999999998</v>
      </c>
      <c r="G575" s="4">
        <v>0.48</v>
      </c>
    </row>
    <row r="576" spans="1:7" x14ac:dyDescent="0.25">
      <c r="A576" s="1">
        <v>489</v>
      </c>
      <c r="B576" s="2">
        <v>3958933</v>
      </c>
      <c r="C576" s="3">
        <v>3.5000000000000003E-2</v>
      </c>
      <c r="D576" s="1">
        <v>0.5</v>
      </c>
      <c r="E576" s="4">
        <v>0.21</v>
      </c>
      <c r="F576" s="4">
        <v>0.35</v>
      </c>
      <c r="G576" s="4">
        <v>0.44000000000000006</v>
      </c>
    </row>
    <row r="577" spans="1:7" x14ac:dyDescent="0.25">
      <c r="A577" s="1">
        <v>491</v>
      </c>
      <c r="B577" s="2">
        <v>3314774</v>
      </c>
      <c r="C577" s="3">
        <v>2.1999999999999999E-2</v>
      </c>
      <c r="D577" s="1">
        <v>0.5</v>
      </c>
      <c r="E577" s="4">
        <v>0.17</v>
      </c>
      <c r="F577" s="4">
        <v>0.32</v>
      </c>
      <c r="G577" s="4">
        <v>0.5099999999999999</v>
      </c>
    </row>
    <row r="578" spans="1:7" x14ac:dyDescent="0.25">
      <c r="A578" s="1">
        <v>492</v>
      </c>
      <c r="B578" s="2">
        <v>2250854</v>
      </c>
      <c r="C578" s="3">
        <v>2.7E-2</v>
      </c>
      <c r="D578" s="1">
        <v>0.5</v>
      </c>
      <c r="E578" s="4">
        <v>0.2</v>
      </c>
      <c r="F578" s="4">
        <v>0.21</v>
      </c>
      <c r="G578" s="4">
        <v>0.59000000000000008</v>
      </c>
    </row>
    <row r="579" spans="1:7" x14ac:dyDescent="0.25">
      <c r="A579" s="1">
        <v>493</v>
      </c>
      <c r="B579" s="2">
        <v>2542824</v>
      </c>
      <c r="C579" s="3">
        <v>3.4000000000000002E-2</v>
      </c>
      <c r="D579" s="1">
        <v>0.5</v>
      </c>
      <c r="E579" s="4">
        <v>0.16</v>
      </c>
      <c r="F579" s="4">
        <v>0.26</v>
      </c>
      <c r="G579" s="4">
        <v>0.57999999999999996</v>
      </c>
    </row>
    <row r="580" spans="1:7" x14ac:dyDescent="0.25">
      <c r="A580" s="1">
        <v>496</v>
      </c>
      <c r="B580" s="2">
        <v>3619737</v>
      </c>
      <c r="C580" s="3">
        <v>3.4000000000000002E-2</v>
      </c>
      <c r="D580" s="1">
        <v>0.5</v>
      </c>
      <c r="E580" s="4">
        <v>0.16</v>
      </c>
      <c r="F580" s="4">
        <v>0.22</v>
      </c>
      <c r="G580" s="4">
        <v>0.62</v>
      </c>
    </row>
    <row r="581" spans="1:7" x14ac:dyDescent="0.25">
      <c r="A581" s="1">
        <v>497</v>
      </c>
      <c r="B581" s="2">
        <v>3531580</v>
      </c>
      <c r="C581" s="3">
        <v>2.1999999999999999E-2</v>
      </c>
      <c r="D581" s="1">
        <v>0.5</v>
      </c>
      <c r="E581" s="4">
        <v>0.22</v>
      </c>
      <c r="F581" s="4">
        <v>0.22</v>
      </c>
      <c r="G581" s="4">
        <v>0.56000000000000005</v>
      </c>
    </row>
    <row r="582" spans="1:7" x14ac:dyDescent="0.25">
      <c r="A582" s="1">
        <v>502</v>
      </c>
      <c r="B582" s="2">
        <v>3100665</v>
      </c>
      <c r="C582" s="3">
        <v>1.7000000000000001E-2</v>
      </c>
      <c r="D582" s="1">
        <v>0.5</v>
      </c>
      <c r="E582" s="4">
        <v>0.22</v>
      </c>
      <c r="F582" s="4">
        <v>0.18</v>
      </c>
      <c r="G582" s="4">
        <v>0.60000000000000009</v>
      </c>
    </row>
    <row r="583" spans="1:7" x14ac:dyDescent="0.25">
      <c r="A583" s="1">
        <v>503</v>
      </c>
      <c r="B583" s="2">
        <v>3436652</v>
      </c>
      <c r="C583" s="3">
        <v>2.4E-2</v>
      </c>
      <c r="D583" s="1">
        <v>0.5</v>
      </c>
      <c r="E583" s="4">
        <v>0.22</v>
      </c>
      <c r="F583" s="4">
        <v>0.22</v>
      </c>
      <c r="G583" s="4">
        <v>0.56000000000000005</v>
      </c>
    </row>
    <row r="584" spans="1:7" x14ac:dyDescent="0.25">
      <c r="A584" s="1">
        <v>504</v>
      </c>
      <c r="B584" s="2">
        <v>3389417</v>
      </c>
      <c r="C584" s="3">
        <v>1.7999999999999999E-2</v>
      </c>
      <c r="D584" s="1">
        <v>0.5</v>
      </c>
      <c r="E584" s="4">
        <v>0.15</v>
      </c>
      <c r="F584" s="4">
        <v>0.34</v>
      </c>
      <c r="G584" s="4">
        <v>0.5099999999999999</v>
      </c>
    </row>
    <row r="585" spans="1:7" x14ac:dyDescent="0.25">
      <c r="A585" s="1">
        <v>505</v>
      </c>
      <c r="B585" s="2">
        <v>3711861</v>
      </c>
      <c r="C585" s="3">
        <v>2.7E-2</v>
      </c>
      <c r="D585" s="1">
        <v>0.5</v>
      </c>
      <c r="E585" s="4">
        <v>0.25</v>
      </c>
      <c r="F585" s="4">
        <v>0.19</v>
      </c>
      <c r="G585" s="4">
        <v>0.56000000000000005</v>
      </c>
    </row>
    <row r="586" spans="1:7" x14ac:dyDescent="0.25">
      <c r="A586" s="1">
        <v>506</v>
      </c>
      <c r="B586" s="2">
        <v>2374936</v>
      </c>
      <c r="C586" s="3">
        <v>1.9E-2</v>
      </c>
      <c r="D586" s="1">
        <v>0.5</v>
      </c>
      <c r="E586" s="4">
        <v>0.16</v>
      </c>
      <c r="F586" s="4">
        <v>0.33</v>
      </c>
      <c r="G586" s="4">
        <v>0.5099999999999999</v>
      </c>
    </row>
    <row r="587" spans="1:7" x14ac:dyDescent="0.25">
      <c r="A587" s="1">
        <v>507</v>
      </c>
      <c r="B587" s="2">
        <v>3924223</v>
      </c>
      <c r="C587" s="3">
        <v>2.8000000000000001E-2</v>
      </c>
      <c r="D587" s="1">
        <v>0.5</v>
      </c>
      <c r="E587" s="4">
        <v>0.2</v>
      </c>
      <c r="F587" s="4">
        <v>0.32</v>
      </c>
      <c r="G587" s="4">
        <v>0.47999999999999993</v>
      </c>
    </row>
    <row r="588" spans="1:7" x14ac:dyDescent="0.25">
      <c r="A588" s="1">
        <v>510</v>
      </c>
      <c r="B588" s="2">
        <v>3343006</v>
      </c>
      <c r="C588" s="3">
        <v>2.4E-2</v>
      </c>
      <c r="D588" s="1">
        <v>0.5</v>
      </c>
      <c r="E588" s="4">
        <v>0.17</v>
      </c>
      <c r="F588" s="4">
        <v>0.28999999999999998</v>
      </c>
      <c r="G588" s="4">
        <v>0.53999999999999992</v>
      </c>
    </row>
    <row r="589" spans="1:7" x14ac:dyDescent="0.25">
      <c r="A589" s="1">
        <v>511</v>
      </c>
      <c r="B589" s="2">
        <v>2264854</v>
      </c>
      <c r="C589" s="3">
        <v>2.5999999999999999E-2</v>
      </c>
      <c r="D589" s="1">
        <v>0.5</v>
      </c>
      <c r="E589" s="4">
        <v>0.2</v>
      </c>
      <c r="F589" s="4">
        <v>0.2</v>
      </c>
      <c r="G589" s="4">
        <v>0.60000000000000009</v>
      </c>
    </row>
    <row r="590" spans="1:7" x14ac:dyDescent="0.25">
      <c r="A590" s="1">
        <v>512</v>
      </c>
      <c r="B590" s="2">
        <v>2391319</v>
      </c>
      <c r="C590" s="3">
        <v>1.7999999999999999E-2</v>
      </c>
      <c r="D590" s="1">
        <v>0.5</v>
      </c>
      <c r="E590" s="4">
        <v>0.16</v>
      </c>
      <c r="F590" s="4">
        <v>0.26</v>
      </c>
      <c r="G590" s="4">
        <v>0.57999999999999996</v>
      </c>
    </row>
    <row r="591" spans="1:7" x14ac:dyDescent="0.25">
      <c r="A591" s="1">
        <v>513</v>
      </c>
      <c r="B591" s="2">
        <v>2108355</v>
      </c>
      <c r="C591" s="3">
        <v>3.5000000000000003E-2</v>
      </c>
      <c r="D591" s="1">
        <v>0.5</v>
      </c>
      <c r="E591" s="4">
        <v>0.21</v>
      </c>
      <c r="F591" s="4">
        <v>0.19</v>
      </c>
      <c r="G591" s="4">
        <v>0.60000000000000009</v>
      </c>
    </row>
    <row r="592" spans="1:7" x14ac:dyDescent="0.25">
      <c r="A592" s="1">
        <v>515</v>
      </c>
      <c r="B592" s="2">
        <v>3203007</v>
      </c>
      <c r="C592" s="3">
        <v>2.7E-2</v>
      </c>
      <c r="D592" s="1">
        <v>0.5</v>
      </c>
      <c r="E592" s="4">
        <v>0.19</v>
      </c>
      <c r="F592" s="4">
        <v>0.32</v>
      </c>
      <c r="G592" s="4">
        <v>0.48999999999999994</v>
      </c>
    </row>
    <row r="593" spans="1:7" x14ac:dyDescent="0.25">
      <c r="A593" s="1">
        <v>516</v>
      </c>
      <c r="B593" s="2">
        <v>2639295</v>
      </c>
      <c r="C593" s="3">
        <v>2.9000000000000001E-2</v>
      </c>
      <c r="D593" s="1">
        <v>0.5</v>
      </c>
      <c r="E593" s="4">
        <v>0.25</v>
      </c>
      <c r="F593" s="4">
        <v>0.2</v>
      </c>
      <c r="G593" s="4">
        <v>0.55000000000000004</v>
      </c>
    </row>
    <row r="594" spans="1:7" x14ac:dyDescent="0.25">
      <c r="A594" s="1">
        <v>517</v>
      </c>
      <c r="B594" s="2">
        <v>3672982</v>
      </c>
      <c r="C594" s="3">
        <v>3.5000000000000003E-2</v>
      </c>
      <c r="D594" s="1">
        <v>0.5</v>
      </c>
      <c r="E594" s="4">
        <v>0.21</v>
      </c>
      <c r="F594" s="4">
        <v>0.24</v>
      </c>
      <c r="G594" s="4">
        <v>0.55000000000000004</v>
      </c>
    </row>
    <row r="595" spans="1:7" x14ac:dyDescent="0.25">
      <c r="A595" s="1">
        <v>518</v>
      </c>
      <c r="B595" s="2">
        <v>2853547</v>
      </c>
      <c r="C595" s="3">
        <v>3.3000000000000002E-2</v>
      </c>
      <c r="D595" s="1">
        <v>0.5</v>
      </c>
      <c r="E595" s="4">
        <v>0.21</v>
      </c>
      <c r="F595" s="4">
        <v>0.27</v>
      </c>
      <c r="G595" s="4">
        <v>0.52</v>
      </c>
    </row>
    <row r="596" spans="1:7" x14ac:dyDescent="0.25">
      <c r="A596" s="1">
        <v>521</v>
      </c>
      <c r="B596" s="2">
        <v>2646303</v>
      </c>
      <c r="C596" s="3">
        <v>1.7000000000000001E-2</v>
      </c>
      <c r="D596" s="1">
        <v>0.5</v>
      </c>
      <c r="E596" s="4">
        <v>0.25</v>
      </c>
      <c r="F596" s="4">
        <v>0.15</v>
      </c>
      <c r="G596" s="4">
        <v>0.6</v>
      </c>
    </row>
    <row r="597" spans="1:7" x14ac:dyDescent="0.25">
      <c r="A597" s="1">
        <v>522</v>
      </c>
      <c r="B597" s="2">
        <v>2762804</v>
      </c>
      <c r="C597" s="3">
        <v>1.6E-2</v>
      </c>
      <c r="D597" s="1">
        <v>0.5</v>
      </c>
      <c r="E597" s="4">
        <v>0.19</v>
      </c>
      <c r="F597" s="4">
        <v>0.27</v>
      </c>
      <c r="G597" s="4">
        <v>0.54</v>
      </c>
    </row>
    <row r="598" spans="1:7" x14ac:dyDescent="0.25">
      <c r="A598" s="1">
        <v>524</v>
      </c>
      <c r="B598" s="2">
        <v>3815366</v>
      </c>
      <c r="C598" s="3">
        <v>2.8000000000000001E-2</v>
      </c>
      <c r="D598" s="1">
        <v>0.5</v>
      </c>
      <c r="E598" s="4">
        <v>0.17</v>
      </c>
      <c r="F598" s="4">
        <v>0.28000000000000003</v>
      </c>
      <c r="G598" s="4">
        <v>0.54999999999999993</v>
      </c>
    </row>
    <row r="599" spans="1:7" x14ac:dyDescent="0.25">
      <c r="A599" s="1">
        <v>525</v>
      </c>
      <c r="B599" s="2">
        <v>2125107</v>
      </c>
      <c r="C599" s="3">
        <v>3.3000000000000002E-2</v>
      </c>
      <c r="D599" s="1">
        <v>0.5</v>
      </c>
      <c r="E599" s="4">
        <v>0.19</v>
      </c>
      <c r="F599" s="4">
        <v>0.3</v>
      </c>
      <c r="G599" s="4">
        <v>0.51</v>
      </c>
    </row>
    <row r="600" spans="1:7" x14ac:dyDescent="0.25">
      <c r="A600" s="1">
        <v>526</v>
      </c>
      <c r="B600" s="2">
        <v>3357430</v>
      </c>
      <c r="C600" s="3">
        <v>3.1E-2</v>
      </c>
      <c r="D600" s="1">
        <v>0.5</v>
      </c>
      <c r="E600" s="4">
        <v>0.2</v>
      </c>
      <c r="F600" s="4">
        <v>0.28000000000000003</v>
      </c>
      <c r="G600" s="4">
        <v>0.52</v>
      </c>
    </row>
    <row r="601" spans="1:7" x14ac:dyDescent="0.25">
      <c r="A601" s="1">
        <v>529</v>
      </c>
      <c r="B601" s="2">
        <v>3760357</v>
      </c>
      <c r="C601" s="3">
        <v>2.4E-2</v>
      </c>
      <c r="D601" s="1">
        <v>0.5</v>
      </c>
      <c r="E601" s="4">
        <v>0.25</v>
      </c>
      <c r="F601" s="4">
        <v>0.32</v>
      </c>
      <c r="G601" s="4">
        <v>0.42999999999999994</v>
      </c>
    </row>
    <row r="602" spans="1:7" x14ac:dyDescent="0.25">
      <c r="A602" s="1">
        <v>532</v>
      </c>
      <c r="B602" s="2">
        <v>2227871</v>
      </c>
      <c r="C602" s="3">
        <v>2.4E-2</v>
      </c>
      <c r="D602" s="1">
        <v>0.5</v>
      </c>
      <c r="E602" s="4">
        <v>0.19</v>
      </c>
      <c r="F602" s="4">
        <v>0.15</v>
      </c>
      <c r="G602" s="4">
        <v>0.65999999999999992</v>
      </c>
    </row>
    <row r="603" spans="1:7" x14ac:dyDescent="0.25">
      <c r="A603" s="1">
        <v>533</v>
      </c>
      <c r="B603" s="2">
        <v>3409873</v>
      </c>
      <c r="C603" s="3">
        <v>2.5999999999999999E-2</v>
      </c>
      <c r="D603" s="1">
        <v>0.5</v>
      </c>
      <c r="E603" s="4">
        <v>0.24</v>
      </c>
      <c r="F603" s="4">
        <v>0.35</v>
      </c>
      <c r="G603" s="4">
        <v>0.41000000000000003</v>
      </c>
    </row>
    <row r="604" spans="1:7" x14ac:dyDescent="0.25">
      <c r="A604" s="1">
        <v>534</v>
      </c>
      <c r="B604" s="2">
        <v>2582606</v>
      </c>
      <c r="C604" s="3">
        <v>1.7999999999999999E-2</v>
      </c>
      <c r="D604" s="1">
        <v>0.5</v>
      </c>
      <c r="E604" s="4">
        <v>0.18</v>
      </c>
      <c r="F604" s="4">
        <v>0.33</v>
      </c>
      <c r="G604" s="4">
        <v>0.48999999999999994</v>
      </c>
    </row>
    <row r="605" spans="1:7" x14ac:dyDescent="0.25">
      <c r="A605" s="1">
        <v>535</v>
      </c>
      <c r="B605" s="2">
        <v>3857168</v>
      </c>
      <c r="C605" s="3">
        <v>1.4999999999999999E-2</v>
      </c>
      <c r="D605" s="1">
        <v>0.5</v>
      </c>
      <c r="E605" s="4">
        <v>0.22</v>
      </c>
      <c r="F605" s="4">
        <v>0.35</v>
      </c>
      <c r="G605" s="4">
        <v>0.43000000000000005</v>
      </c>
    </row>
    <row r="606" spans="1:7" x14ac:dyDescent="0.25">
      <c r="A606" s="1">
        <v>536</v>
      </c>
      <c r="B606" s="2">
        <v>3817071</v>
      </c>
      <c r="C606" s="3">
        <v>2.5999999999999999E-2</v>
      </c>
      <c r="D606" s="1">
        <v>0.5</v>
      </c>
      <c r="E606" s="4">
        <v>0.23</v>
      </c>
      <c r="F606" s="4">
        <v>0.31</v>
      </c>
      <c r="G606" s="4">
        <v>0.45999999999999996</v>
      </c>
    </row>
    <row r="607" spans="1:7" x14ac:dyDescent="0.25">
      <c r="A607" s="1">
        <v>537</v>
      </c>
      <c r="B607" s="2">
        <v>3739914</v>
      </c>
      <c r="C607" s="3">
        <v>2.7E-2</v>
      </c>
      <c r="D607" s="1">
        <v>0.5</v>
      </c>
      <c r="E607" s="4">
        <v>0.24</v>
      </c>
      <c r="F607" s="4">
        <v>0.32</v>
      </c>
      <c r="G607" s="4">
        <v>0.43999999999999995</v>
      </c>
    </row>
    <row r="608" spans="1:7" x14ac:dyDescent="0.25">
      <c r="A608" s="1">
        <v>538</v>
      </c>
      <c r="B608" s="2">
        <v>2669723</v>
      </c>
      <c r="C608" s="3">
        <v>3.4000000000000002E-2</v>
      </c>
      <c r="D608" s="1">
        <v>0.5</v>
      </c>
      <c r="E608" s="4">
        <v>0.16</v>
      </c>
      <c r="F608" s="4">
        <v>0.19</v>
      </c>
      <c r="G608" s="4">
        <v>0.65</v>
      </c>
    </row>
    <row r="609" spans="1:7" x14ac:dyDescent="0.25">
      <c r="A609" s="1">
        <v>539</v>
      </c>
      <c r="B609" s="2">
        <v>3558166</v>
      </c>
      <c r="C609" s="3">
        <v>1.6E-2</v>
      </c>
      <c r="D609" s="1">
        <v>0.5</v>
      </c>
      <c r="E609" s="4">
        <v>0.2</v>
      </c>
      <c r="F609" s="4">
        <v>0.32</v>
      </c>
      <c r="G609" s="4">
        <v>0.47999999999999993</v>
      </c>
    </row>
    <row r="610" spans="1:7" x14ac:dyDescent="0.25">
      <c r="A610" s="1">
        <v>543</v>
      </c>
      <c r="B610" s="2">
        <v>3654390</v>
      </c>
      <c r="C610" s="3">
        <v>3.4000000000000002E-2</v>
      </c>
      <c r="D610" s="1">
        <v>0.5</v>
      </c>
      <c r="E610" s="4">
        <v>0.25</v>
      </c>
      <c r="F610" s="4">
        <v>0.24</v>
      </c>
      <c r="G610" s="4">
        <v>0.51</v>
      </c>
    </row>
    <row r="611" spans="1:7" x14ac:dyDescent="0.25">
      <c r="A611" s="1">
        <v>544</v>
      </c>
      <c r="B611" s="2">
        <v>2533167</v>
      </c>
      <c r="C611" s="3">
        <v>2.7E-2</v>
      </c>
      <c r="D611" s="1">
        <v>0.5</v>
      </c>
      <c r="E611" s="4">
        <v>0.16</v>
      </c>
      <c r="F611" s="4">
        <v>0.25</v>
      </c>
      <c r="G611" s="4">
        <v>0.59</v>
      </c>
    </row>
    <row r="612" spans="1:7" x14ac:dyDescent="0.25">
      <c r="A612" s="1">
        <v>545</v>
      </c>
      <c r="B612" s="2">
        <v>2340670</v>
      </c>
      <c r="C612" s="3">
        <v>2.9000000000000001E-2</v>
      </c>
      <c r="D612" s="1">
        <v>0.5</v>
      </c>
      <c r="E612" s="4">
        <v>0.18</v>
      </c>
      <c r="F612" s="4">
        <v>0.24</v>
      </c>
      <c r="G612" s="4">
        <v>0.58000000000000007</v>
      </c>
    </row>
    <row r="613" spans="1:7" x14ac:dyDescent="0.25">
      <c r="A613" s="1">
        <v>547</v>
      </c>
      <c r="B613" s="2">
        <v>3308251</v>
      </c>
      <c r="C613" s="3">
        <v>2.5000000000000001E-2</v>
      </c>
      <c r="D613" s="1">
        <v>0.5</v>
      </c>
      <c r="E613" s="4">
        <v>0.17</v>
      </c>
      <c r="F613" s="4">
        <v>0.2</v>
      </c>
      <c r="G613" s="4">
        <v>0.63</v>
      </c>
    </row>
    <row r="614" spans="1:7" x14ac:dyDescent="0.25">
      <c r="A614" s="1">
        <v>549</v>
      </c>
      <c r="B614" s="2">
        <v>3382410</v>
      </c>
      <c r="C614" s="3">
        <v>2.3E-2</v>
      </c>
      <c r="D614" s="1">
        <v>0.5</v>
      </c>
      <c r="E614" s="4">
        <v>0.22</v>
      </c>
      <c r="F614" s="4">
        <v>0.33</v>
      </c>
      <c r="G614" s="4">
        <v>0.44999999999999996</v>
      </c>
    </row>
    <row r="615" spans="1:7" x14ac:dyDescent="0.25">
      <c r="A615" s="1">
        <v>553</v>
      </c>
      <c r="B615" s="2">
        <v>3794614</v>
      </c>
      <c r="C615" s="3">
        <v>2.5000000000000001E-2</v>
      </c>
      <c r="D615" s="1">
        <v>0.5</v>
      </c>
      <c r="E615" s="4">
        <v>0.17</v>
      </c>
      <c r="F615" s="4">
        <v>0.26</v>
      </c>
      <c r="G615" s="4">
        <v>0.56999999999999995</v>
      </c>
    </row>
    <row r="616" spans="1:7" x14ac:dyDescent="0.25">
      <c r="A616" s="1">
        <v>554</v>
      </c>
      <c r="B616" s="2">
        <v>2289942</v>
      </c>
      <c r="C616" s="3">
        <v>0.03</v>
      </c>
      <c r="D616" s="1">
        <v>0.5</v>
      </c>
      <c r="E616" s="4">
        <v>0.25</v>
      </c>
      <c r="F616" s="4">
        <v>0.27</v>
      </c>
      <c r="G616" s="4">
        <v>0.48</v>
      </c>
    </row>
    <row r="617" spans="1:7" x14ac:dyDescent="0.25">
      <c r="A617" s="1">
        <v>555</v>
      </c>
      <c r="B617" s="2">
        <v>3166965</v>
      </c>
      <c r="C617" s="3">
        <v>2.1000000000000001E-2</v>
      </c>
      <c r="D617" s="1">
        <v>0.5</v>
      </c>
      <c r="E617" s="4">
        <v>0.22</v>
      </c>
      <c r="F617" s="4">
        <v>0.23</v>
      </c>
      <c r="G617" s="4">
        <v>0.55000000000000004</v>
      </c>
    </row>
    <row r="618" spans="1:7" x14ac:dyDescent="0.25">
      <c r="A618" s="1">
        <v>556</v>
      </c>
      <c r="B618" s="2">
        <v>2295195</v>
      </c>
      <c r="C618" s="3">
        <v>2.7E-2</v>
      </c>
      <c r="D618" s="1">
        <v>0.5</v>
      </c>
      <c r="E618" s="4">
        <v>0.22</v>
      </c>
      <c r="F618" s="4">
        <v>0.22</v>
      </c>
      <c r="G618" s="4">
        <v>0.56000000000000005</v>
      </c>
    </row>
    <row r="619" spans="1:7" x14ac:dyDescent="0.25">
      <c r="A619" s="1">
        <v>558</v>
      </c>
      <c r="B619" s="2">
        <v>2383891</v>
      </c>
      <c r="C619" s="3">
        <v>0.02</v>
      </c>
      <c r="D619" s="1">
        <v>0.5</v>
      </c>
      <c r="E619" s="4">
        <v>0.16</v>
      </c>
      <c r="F619" s="4">
        <v>0.32</v>
      </c>
      <c r="G619" s="4">
        <v>0.51999999999999991</v>
      </c>
    </row>
    <row r="620" spans="1:7" x14ac:dyDescent="0.25">
      <c r="A620" s="1">
        <v>559</v>
      </c>
      <c r="B620" s="2">
        <v>2596179</v>
      </c>
      <c r="C620" s="3">
        <v>2.1999999999999999E-2</v>
      </c>
      <c r="D620" s="1">
        <v>0.5</v>
      </c>
      <c r="E620" s="4">
        <v>0.2</v>
      </c>
      <c r="F620" s="4">
        <v>0.17</v>
      </c>
      <c r="G620" s="4">
        <v>0.62999999999999989</v>
      </c>
    </row>
    <row r="621" spans="1:7" x14ac:dyDescent="0.25">
      <c r="A621" s="1">
        <v>560</v>
      </c>
      <c r="B621" s="2">
        <v>3974644</v>
      </c>
      <c r="C621" s="3">
        <v>3.3000000000000002E-2</v>
      </c>
      <c r="D621" s="1">
        <v>0.5</v>
      </c>
      <c r="E621" s="4">
        <v>0.16</v>
      </c>
      <c r="F621" s="4">
        <v>0.22</v>
      </c>
      <c r="G621" s="4">
        <v>0.62</v>
      </c>
    </row>
    <row r="622" spans="1:7" x14ac:dyDescent="0.25">
      <c r="A622" s="1">
        <v>561</v>
      </c>
      <c r="B622" s="2">
        <v>3125752</v>
      </c>
      <c r="C622" s="3">
        <v>2.4E-2</v>
      </c>
      <c r="D622" s="1">
        <v>0.5</v>
      </c>
      <c r="E622" s="4">
        <v>0.19</v>
      </c>
      <c r="F622" s="4">
        <v>0.22</v>
      </c>
      <c r="G622" s="4">
        <v>0.59000000000000008</v>
      </c>
    </row>
    <row r="623" spans="1:7" x14ac:dyDescent="0.25">
      <c r="A623" s="1">
        <v>562</v>
      </c>
      <c r="B623" s="2">
        <v>2281380</v>
      </c>
      <c r="C623" s="3">
        <v>1.9E-2</v>
      </c>
      <c r="D623" s="1">
        <v>0.5</v>
      </c>
      <c r="E623" s="4">
        <v>0.21</v>
      </c>
      <c r="F623" s="4">
        <v>0.18</v>
      </c>
      <c r="G623" s="4">
        <v>0.6100000000000001</v>
      </c>
    </row>
    <row r="624" spans="1:7" x14ac:dyDescent="0.25">
      <c r="A624" s="1">
        <v>563</v>
      </c>
      <c r="B624" s="2">
        <v>2166904</v>
      </c>
      <c r="C624" s="3">
        <v>2.5999999999999999E-2</v>
      </c>
      <c r="D624" s="1">
        <v>0.5</v>
      </c>
      <c r="E624" s="4">
        <v>0.18</v>
      </c>
      <c r="F624" s="4">
        <v>0.26</v>
      </c>
      <c r="G624" s="4">
        <v>0.56000000000000005</v>
      </c>
    </row>
    <row r="625" spans="1:7" x14ac:dyDescent="0.25">
      <c r="A625" s="1">
        <v>564</v>
      </c>
      <c r="B625" s="2">
        <v>2175578</v>
      </c>
      <c r="C625" s="3">
        <v>2.8000000000000001E-2</v>
      </c>
      <c r="D625" s="1">
        <v>0.5</v>
      </c>
      <c r="E625" s="4">
        <v>0.15</v>
      </c>
      <c r="F625" s="4">
        <v>0.25</v>
      </c>
      <c r="G625" s="4">
        <v>0.6</v>
      </c>
    </row>
    <row r="626" spans="1:7" x14ac:dyDescent="0.25">
      <c r="A626" s="1">
        <v>565</v>
      </c>
      <c r="B626" s="2">
        <v>2647137</v>
      </c>
      <c r="C626" s="3">
        <v>2.5000000000000001E-2</v>
      </c>
      <c r="D626" s="1">
        <v>0.5</v>
      </c>
      <c r="E626" s="4">
        <v>0.22</v>
      </c>
      <c r="F626" s="4">
        <v>0.27</v>
      </c>
      <c r="G626" s="4">
        <v>0.51</v>
      </c>
    </row>
    <row r="627" spans="1:7" x14ac:dyDescent="0.25">
      <c r="A627" s="1">
        <v>567</v>
      </c>
      <c r="B627" s="2">
        <v>2494262</v>
      </c>
      <c r="C627" s="3">
        <v>1.4999999999999999E-2</v>
      </c>
      <c r="D627" s="1">
        <v>0.5</v>
      </c>
      <c r="E627" s="4">
        <v>0.16</v>
      </c>
      <c r="F627" s="4">
        <v>0.26</v>
      </c>
      <c r="G627" s="4">
        <v>0.57999999999999996</v>
      </c>
    </row>
    <row r="628" spans="1:7" x14ac:dyDescent="0.25">
      <c r="A628" s="1">
        <v>568</v>
      </c>
      <c r="B628" s="2">
        <v>3374578</v>
      </c>
      <c r="C628" s="3">
        <v>3.3000000000000002E-2</v>
      </c>
      <c r="D628" s="1">
        <v>0.5</v>
      </c>
      <c r="E628" s="4">
        <v>0.21</v>
      </c>
      <c r="F628" s="4">
        <v>0.17</v>
      </c>
      <c r="G628" s="4">
        <v>0.62</v>
      </c>
    </row>
    <row r="629" spans="1:7" x14ac:dyDescent="0.25">
      <c r="A629" s="1">
        <v>569</v>
      </c>
      <c r="B629" s="2">
        <v>3799209</v>
      </c>
      <c r="C629" s="3">
        <v>2.5999999999999999E-2</v>
      </c>
      <c r="D629" s="1">
        <v>0.5</v>
      </c>
      <c r="E629" s="4">
        <v>0.19</v>
      </c>
      <c r="F629" s="4">
        <v>0.28000000000000003</v>
      </c>
      <c r="G629" s="4">
        <v>0.53</v>
      </c>
    </row>
    <row r="630" spans="1:7" x14ac:dyDescent="0.25">
      <c r="A630" s="1">
        <v>570</v>
      </c>
      <c r="B630" s="2">
        <v>3029083</v>
      </c>
      <c r="C630" s="3">
        <v>0.03</v>
      </c>
      <c r="D630" s="1">
        <v>0.5</v>
      </c>
      <c r="E630" s="4">
        <v>0.2</v>
      </c>
      <c r="F630" s="4">
        <v>0.28999999999999998</v>
      </c>
      <c r="G630" s="4">
        <v>0.51</v>
      </c>
    </row>
    <row r="631" spans="1:7" x14ac:dyDescent="0.25">
      <c r="A631" s="1">
        <v>571</v>
      </c>
      <c r="B631" s="2">
        <v>2040707</v>
      </c>
      <c r="C631" s="3">
        <v>2.9000000000000001E-2</v>
      </c>
      <c r="D631" s="1">
        <v>0.5</v>
      </c>
      <c r="E631" s="4">
        <v>0.23</v>
      </c>
      <c r="F631" s="4">
        <v>0.33</v>
      </c>
      <c r="G631" s="4">
        <v>0.43999999999999995</v>
      </c>
    </row>
    <row r="632" spans="1:7" x14ac:dyDescent="0.25">
      <c r="A632" s="1">
        <v>572</v>
      </c>
      <c r="B632" s="2">
        <v>3878942</v>
      </c>
      <c r="C632" s="3">
        <v>1.9E-2</v>
      </c>
      <c r="D632" s="1">
        <v>0.5</v>
      </c>
      <c r="E632" s="4">
        <v>0.21</v>
      </c>
      <c r="F632" s="4">
        <v>0.22</v>
      </c>
      <c r="G632" s="4">
        <v>0.57000000000000006</v>
      </c>
    </row>
    <row r="633" spans="1:7" x14ac:dyDescent="0.25">
      <c r="A633" s="1">
        <v>575</v>
      </c>
      <c r="B633" s="2">
        <v>3475363</v>
      </c>
      <c r="C633" s="3">
        <v>2.4E-2</v>
      </c>
      <c r="D633" s="1">
        <v>0.5</v>
      </c>
      <c r="E633" s="4">
        <v>0.24</v>
      </c>
      <c r="F633" s="4">
        <v>0.31</v>
      </c>
      <c r="G633" s="4">
        <v>0.44999999999999996</v>
      </c>
    </row>
    <row r="634" spans="1:7" x14ac:dyDescent="0.25">
      <c r="A634" s="1">
        <v>577</v>
      </c>
      <c r="B634" s="2">
        <v>3614921</v>
      </c>
      <c r="C634" s="3">
        <v>1.4999999999999999E-2</v>
      </c>
      <c r="D634" s="1">
        <v>0.5</v>
      </c>
      <c r="E634" s="4">
        <v>0.22</v>
      </c>
      <c r="F634" s="4">
        <v>0.3</v>
      </c>
      <c r="G634" s="4">
        <v>0.48</v>
      </c>
    </row>
    <row r="635" spans="1:7" x14ac:dyDescent="0.25">
      <c r="A635" s="1">
        <v>578</v>
      </c>
      <c r="B635" s="2">
        <v>3112860</v>
      </c>
      <c r="C635" s="3">
        <v>1.7999999999999999E-2</v>
      </c>
      <c r="D635" s="1">
        <v>0.5</v>
      </c>
      <c r="E635" s="4">
        <v>0.21</v>
      </c>
      <c r="F635" s="4">
        <v>0.34</v>
      </c>
      <c r="G635" s="4">
        <v>0.44999999999999996</v>
      </c>
    </row>
    <row r="636" spans="1:7" x14ac:dyDescent="0.25">
      <c r="A636" s="1">
        <v>579</v>
      </c>
      <c r="B636" s="2">
        <v>3255021</v>
      </c>
      <c r="C636" s="3">
        <v>2.4E-2</v>
      </c>
      <c r="D636" s="1">
        <v>0.5</v>
      </c>
      <c r="E636" s="4">
        <v>0.16</v>
      </c>
      <c r="F636" s="4">
        <v>0.32</v>
      </c>
      <c r="G636" s="4">
        <v>0.51999999999999991</v>
      </c>
    </row>
    <row r="637" spans="1:7" x14ac:dyDescent="0.25">
      <c r="A637" s="1">
        <v>580</v>
      </c>
      <c r="B637" s="2">
        <v>2198385</v>
      </c>
      <c r="C637" s="3">
        <v>2.9000000000000001E-2</v>
      </c>
      <c r="D637" s="1">
        <v>0.5</v>
      </c>
      <c r="E637" s="4">
        <v>0.24</v>
      </c>
      <c r="F637" s="4">
        <v>0.18</v>
      </c>
      <c r="G637" s="4">
        <v>0.58000000000000007</v>
      </c>
    </row>
    <row r="638" spans="1:7" x14ac:dyDescent="0.25">
      <c r="A638" s="1">
        <v>583</v>
      </c>
      <c r="B638" s="2">
        <v>2055897</v>
      </c>
      <c r="C638" s="3">
        <v>2.4E-2</v>
      </c>
      <c r="D638" s="1">
        <v>0.5</v>
      </c>
      <c r="E638" s="4">
        <v>0.24</v>
      </c>
      <c r="F638" s="4">
        <v>0.16</v>
      </c>
      <c r="G638" s="4">
        <v>0.6</v>
      </c>
    </row>
    <row r="639" spans="1:7" x14ac:dyDescent="0.25">
      <c r="A639" s="1">
        <v>584</v>
      </c>
      <c r="B639" s="2">
        <v>3802867</v>
      </c>
      <c r="C639" s="3">
        <v>1.4999999999999999E-2</v>
      </c>
      <c r="D639" s="1">
        <v>0.5</v>
      </c>
      <c r="E639" s="4">
        <v>0.19</v>
      </c>
      <c r="F639" s="4">
        <v>0.33</v>
      </c>
      <c r="G639" s="4">
        <v>0.47999999999999993</v>
      </c>
    </row>
    <row r="640" spans="1:7" x14ac:dyDescent="0.25">
      <c r="A640" s="1">
        <v>585</v>
      </c>
      <c r="B640" s="2">
        <v>2738740</v>
      </c>
      <c r="C640" s="3">
        <v>3.2000000000000001E-2</v>
      </c>
      <c r="D640" s="1">
        <v>0.5</v>
      </c>
      <c r="E640" s="4">
        <v>0.17</v>
      </c>
      <c r="F640" s="4">
        <v>0.32</v>
      </c>
      <c r="G640" s="4">
        <v>0.5099999999999999</v>
      </c>
    </row>
    <row r="641" spans="1:7" x14ac:dyDescent="0.25">
      <c r="A641" s="1">
        <v>586</v>
      </c>
      <c r="B641" s="2">
        <v>3041368</v>
      </c>
      <c r="C641" s="3">
        <v>3.1E-2</v>
      </c>
      <c r="D641" s="1">
        <v>0.5</v>
      </c>
      <c r="E641" s="4">
        <v>0.21</v>
      </c>
      <c r="F641" s="4">
        <v>0.31</v>
      </c>
      <c r="G641" s="4">
        <v>0.48</v>
      </c>
    </row>
    <row r="642" spans="1:7" x14ac:dyDescent="0.25">
      <c r="A642" s="1">
        <v>587</v>
      </c>
      <c r="B642" s="2">
        <v>3818052</v>
      </c>
      <c r="C642" s="3">
        <v>1.7000000000000001E-2</v>
      </c>
      <c r="D642" s="1">
        <v>0.5</v>
      </c>
      <c r="E642" s="4">
        <v>0.19</v>
      </c>
      <c r="F642" s="4">
        <v>0.22</v>
      </c>
      <c r="G642" s="4">
        <v>0.59000000000000008</v>
      </c>
    </row>
    <row r="643" spans="1:7" x14ac:dyDescent="0.25">
      <c r="A643" s="1">
        <v>588</v>
      </c>
      <c r="B643" s="2">
        <v>3625699</v>
      </c>
      <c r="C643" s="3">
        <v>1.7999999999999999E-2</v>
      </c>
      <c r="D643" s="1">
        <v>0.5</v>
      </c>
      <c r="E643" s="4">
        <v>0.24</v>
      </c>
      <c r="F643" s="4">
        <v>0.28999999999999998</v>
      </c>
      <c r="G643" s="4">
        <v>0.47</v>
      </c>
    </row>
    <row r="644" spans="1:7" x14ac:dyDescent="0.25">
      <c r="A644" s="1">
        <v>590</v>
      </c>
      <c r="B644" s="2">
        <v>3995666</v>
      </c>
      <c r="C644" s="3">
        <v>1.7000000000000001E-2</v>
      </c>
      <c r="D644" s="1">
        <v>0.5</v>
      </c>
      <c r="E644" s="4">
        <v>0.19</v>
      </c>
      <c r="F644" s="4">
        <v>0.35</v>
      </c>
      <c r="G644" s="4">
        <v>0.46</v>
      </c>
    </row>
    <row r="645" spans="1:7" x14ac:dyDescent="0.25">
      <c r="A645" s="1">
        <v>591</v>
      </c>
      <c r="B645" s="2">
        <v>3991407</v>
      </c>
      <c r="C645" s="3">
        <v>1.4999999999999999E-2</v>
      </c>
      <c r="D645" s="1">
        <v>0.5</v>
      </c>
      <c r="E645" s="4">
        <v>0.16</v>
      </c>
      <c r="F645" s="4">
        <v>0.33</v>
      </c>
      <c r="G645" s="4">
        <v>0.5099999999999999</v>
      </c>
    </row>
    <row r="646" spans="1:7" x14ac:dyDescent="0.25">
      <c r="A646" s="1">
        <v>592</v>
      </c>
      <c r="B646" s="2">
        <v>2789791</v>
      </c>
      <c r="C646" s="3">
        <v>3.5000000000000003E-2</v>
      </c>
      <c r="D646" s="1">
        <v>0.5</v>
      </c>
      <c r="E646" s="4">
        <v>0.18</v>
      </c>
      <c r="F646" s="4">
        <v>0.26</v>
      </c>
      <c r="G646" s="4">
        <v>0.56000000000000005</v>
      </c>
    </row>
    <row r="647" spans="1:7" x14ac:dyDescent="0.25">
      <c r="A647" s="1">
        <v>593</v>
      </c>
      <c r="B647" s="2">
        <v>3698558</v>
      </c>
      <c r="C647" s="3">
        <v>1.9E-2</v>
      </c>
      <c r="D647" s="1">
        <v>0.5</v>
      </c>
      <c r="E647" s="4">
        <v>0.24</v>
      </c>
      <c r="F647" s="4">
        <v>0.28999999999999998</v>
      </c>
      <c r="G647" s="4">
        <v>0.47</v>
      </c>
    </row>
    <row r="648" spans="1:7" x14ac:dyDescent="0.25">
      <c r="A648" s="1">
        <v>595</v>
      </c>
      <c r="B648" s="2">
        <v>2088231</v>
      </c>
      <c r="C648" s="3">
        <v>0.02</v>
      </c>
      <c r="D648" s="1">
        <v>0.5</v>
      </c>
      <c r="E648" s="4">
        <v>0.2</v>
      </c>
      <c r="F648" s="4">
        <v>0.24</v>
      </c>
      <c r="G648" s="4">
        <v>0.56000000000000005</v>
      </c>
    </row>
    <row r="649" spans="1:7" x14ac:dyDescent="0.25">
      <c r="A649" s="1">
        <v>596</v>
      </c>
      <c r="B649" s="2">
        <v>2457760</v>
      </c>
      <c r="C649" s="3">
        <v>2.3E-2</v>
      </c>
      <c r="D649" s="1">
        <v>0.5</v>
      </c>
      <c r="E649" s="4">
        <v>0.25</v>
      </c>
      <c r="F649" s="4">
        <v>0.35</v>
      </c>
      <c r="G649" s="4">
        <v>0.4</v>
      </c>
    </row>
    <row r="650" spans="1:7" x14ac:dyDescent="0.25">
      <c r="A650" s="1">
        <v>597</v>
      </c>
      <c r="B650" s="2">
        <v>2734915</v>
      </c>
      <c r="C650" s="3">
        <v>3.4000000000000002E-2</v>
      </c>
      <c r="D650" s="1">
        <v>0.5</v>
      </c>
      <c r="E650" s="4">
        <v>0.2</v>
      </c>
      <c r="F650" s="4">
        <v>0.16</v>
      </c>
      <c r="G650" s="4">
        <v>0.6399999999999999</v>
      </c>
    </row>
    <row r="651" spans="1:7" x14ac:dyDescent="0.25">
      <c r="A651" s="1">
        <v>601</v>
      </c>
      <c r="B651" s="2">
        <v>3097167</v>
      </c>
      <c r="C651" s="3">
        <v>1.7000000000000001E-2</v>
      </c>
      <c r="D651" s="1">
        <v>0.5</v>
      </c>
      <c r="E651" s="4">
        <v>0.17</v>
      </c>
      <c r="F651" s="4">
        <v>0.28000000000000003</v>
      </c>
      <c r="G651" s="4">
        <v>0.54999999999999993</v>
      </c>
    </row>
    <row r="652" spans="1:7" x14ac:dyDescent="0.25">
      <c r="A652" s="1">
        <v>602</v>
      </c>
      <c r="B652" s="2">
        <v>3714061</v>
      </c>
      <c r="C652" s="3">
        <v>1.7000000000000001E-2</v>
      </c>
      <c r="D652" s="1">
        <v>0.5</v>
      </c>
      <c r="E652" s="4">
        <v>0.15</v>
      </c>
      <c r="F652" s="4">
        <v>0.33</v>
      </c>
      <c r="G652" s="4">
        <v>0.51999999999999991</v>
      </c>
    </row>
    <row r="653" spans="1:7" x14ac:dyDescent="0.25">
      <c r="A653" s="1">
        <v>603</v>
      </c>
      <c r="B653" s="2">
        <v>3617062</v>
      </c>
      <c r="C653" s="3">
        <v>3.1E-2</v>
      </c>
      <c r="D653" s="1">
        <v>0.5</v>
      </c>
      <c r="E653" s="4">
        <v>0.23</v>
      </c>
      <c r="F653" s="4">
        <v>0.19</v>
      </c>
      <c r="G653" s="4">
        <v>0.58000000000000007</v>
      </c>
    </row>
    <row r="654" spans="1:7" x14ac:dyDescent="0.25">
      <c r="A654" s="1">
        <v>606</v>
      </c>
      <c r="B654" s="2">
        <v>3162713</v>
      </c>
      <c r="C654" s="3">
        <v>1.6E-2</v>
      </c>
      <c r="D654" s="1">
        <v>0.5</v>
      </c>
      <c r="E654" s="4">
        <v>0.23</v>
      </c>
      <c r="F654" s="4">
        <v>0.24</v>
      </c>
      <c r="G654" s="4">
        <v>0.53</v>
      </c>
    </row>
    <row r="655" spans="1:7" x14ac:dyDescent="0.25">
      <c r="A655" s="1">
        <v>607</v>
      </c>
      <c r="B655" s="2">
        <v>2611007</v>
      </c>
      <c r="C655" s="3">
        <v>2.3E-2</v>
      </c>
      <c r="D655" s="1">
        <v>0.5</v>
      </c>
      <c r="E655" s="4">
        <v>0.16</v>
      </c>
      <c r="F655" s="4">
        <v>0.19</v>
      </c>
      <c r="G655" s="4">
        <v>0.65</v>
      </c>
    </row>
    <row r="656" spans="1:7" x14ac:dyDescent="0.25">
      <c r="A656" s="1">
        <v>609</v>
      </c>
      <c r="B656" s="2">
        <v>3118465</v>
      </c>
      <c r="C656" s="3">
        <v>1.4999999999999999E-2</v>
      </c>
      <c r="D656" s="1">
        <v>0.5</v>
      </c>
      <c r="E656" s="4">
        <v>0.23</v>
      </c>
      <c r="F656" s="4">
        <v>0.22</v>
      </c>
      <c r="G656" s="4">
        <v>0.55000000000000004</v>
      </c>
    </row>
    <row r="657" spans="1:7" x14ac:dyDescent="0.25">
      <c r="A657" s="1">
        <v>614</v>
      </c>
      <c r="B657" s="2">
        <v>3062820</v>
      </c>
      <c r="C657" s="3">
        <v>1.6E-2</v>
      </c>
      <c r="D657" s="1">
        <v>0.5</v>
      </c>
      <c r="E657" s="4">
        <v>0.18</v>
      </c>
      <c r="F657" s="4">
        <v>0.21</v>
      </c>
      <c r="G657" s="4">
        <v>0.6100000000000001</v>
      </c>
    </row>
    <row r="658" spans="1:7" x14ac:dyDescent="0.25">
      <c r="A658" s="1">
        <v>615</v>
      </c>
      <c r="B658" s="2">
        <v>3957603</v>
      </c>
      <c r="C658" s="3">
        <v>2.4E-2</v>
      </c>
      <c r="D658" s="1">
        <v>0.5</v>
      </c>
      <c r="E658" s="4">
        <v>0.19</v>
      </c>
      <c r="F658" s="4">
        <v>0.32</v>
      </c>
      <c r="G658" s="4">
        <v>0.48999999999999994</v>
      </c>
    </row>
    <row r="659" spans="1:7" x14ac:dyDescent="0.25">
      <c r="A659" s="1">
        <v>616</v>
      </c>
      <c r="B659" s="2">
        <v>3963304</v>
      </c>
      <c r="C659" s="3">
        <v>3.1E-2</v>
      </c>
      <c r="D659" s="1">
        <v>0.5</v>
      </c>
      <c r="E659" s="4">
        <v>0.16</v>
      </c>
      <c r="F659" s="4">
        <v>0.22</v>
      </c>
      <c r="G659" s="4">
        <v>0.62</v>
      </c>
    </row>
    <row r="660" spans="1:7" x14ac:dyDescent="0.25">
      <c r="A660" s="1">
        <v>617</v>
      </c>
      <c r="B660" s="2">
        <v>3893122</v>
      </c>
      <c r="C660" s="3">
        <v>0.03</v>
      </c>
      <c r="D660" s="1">
        <v>0.5</v>
      </c>
      <c r="E660" s="4">
        <v>0.2</v>
      </c>
      <c r="F660" s="4">
        <v>0.34</v>
      </c>
      <c r="G660" s="4">
        <v>0.45999999999999991</v>
      </c>
    </row>
    <row r="661" spans="1:7" x14ac:dyDescent="0.25">
      <c r="A661" s="1">
        <v>618</v>
      </c>
      <c r="B661" s="2">
        <v>3529282</v>
      </c>
      <c r="C661" s="3">
        <v>1.4999999999999999E-2</v>
      </c>
      <c r="D661" s="1">
        <v>0.5</v>
      </c>
      <c r="E661" s="4">
        <v>0.22</v>
      </c>
      <c r="F661" s="4">
        <v>0.27</v>
      </c>
      <c r="G661" s="4">
        <v>0.51</v>
      </c>
    </row>
    <row r="662" spans="1:7" x14ac:dyDescent="0.25">
      <c r="A662" s="1">
        <v>619</v>
      </c>
      <c r="B662" s="2">
        <v>3237662</v>
      </c>
      <c r="C662" s="3">
        <v>2.4E-2</v>
      </c>
      <c r="D662" s="1">
        <v>0.5</v>
      </c>
      <c r="E662" s="4">
        <v>0.2</v>
      </c>
      <c r="F662" s="4">
        <v>0.32</v>
      </c>
      <c r="G662" s="4">
        <v>0.47999999999999993</v>
      </c>
    </row>
    <row r="663" spans="1:7" x14ac:dyDescent="0.25">
      <c r="A663" s="1">
        <v>620</v>
      </c>
      <c r="B663" s="2">
        <v>3774103</v>
      </c>
      <c r="C663" s="3">
        <v>1.7000000000000001E-2</v>
      </c>
      <c r="D663" s="1">
        <v>0.5</v>
      </c>
      <c r="E663" s="4">
        <v>0.23</v>
      </c>
      <c r="F663" s="4">
        <v>0.17</v>
      </c>
      <c r="G663" s="4">
        <v>0.6</v>
      </c>
    </row>
    <row r="664" spans="1:7" x14ac:dyDescent="0.25">
      <c r="A664" s="1">
        <v>621</v>
      </c>
      <c r="B664" s="2">
        <v>2028736</v>
      </c>
      <c r="C664" s="3">
        <v>3.5000000000000003E-2</v>
      </c>
      <c r="D664" s="1">
        <v>0.5</v>
      </c>
      <c r="E664" s="4">
        <v>0.21</v>
      </c>
      <c r="F664" s="4">
        <v>0.18</v>
      </c>
      <c r="G664" s="4">
        <v>0.6100000000000001</v>
      </c>
    </row>
    <row r="665" spans="1:7" x14ac:dyDescent="0.25">
      <c r="A665" s="1">
        <v>622</v>
      </c>
      <c r="B665" s="2">
        <v>2893750</v>
      </c>
      <c r="C665" s="3">
        <v>3.1E-2</v>
      </c>
      <c r="D665" s="1">
        <v>0.5</v>
      </c>
      <c r="E665" s="4">
        <v>0.19</v>
      </c>
      <c r="F665" s="4">
        <v>0.35</v>
      </c>
      <c r="G665" s="4">
        <v>0.46</v>
      </c>
    </row>
    <row r="666" spans="1:7" x14ac:dyDescent="0.25">
      <c r="A666" s="1">
        <v>623</v>
      </c>
      <c r="B666" s="2">
        <v>3923973</v>
      </c>
      <c r="C666" s="3">
        <v>1.7999999999999999E-2</v>
      </c>
      <c r="D666" s="1">
        <v>0.5</v>
      </c>
      <c r="E666" s="4">
        <v>0.19</v>
      </c>
      <c r="F666" s="4">
        <v>0.23</v>
      </c>
      <c r="G666" s="4">
        <v>0.58000000000000007</v>
      </c>
    </row>
    <row r="667" spans="1:7" x14ac:dyDescent="0.25">
      <c r="A667" s="1">
        <v>624</v>
      </c>
      <c r="B667" s="2">
        <v>2344462</v>
      </c>
      <c r="C667" s="3">
        <v>2.5000000000000001E-2</v>
      </c>
      <c r="D667" s="1">
        <v>0.5</v>
      </c>
      <c r="E667" s="4">
        <v>0.25</v>
      </c>
      <c r="F667" s="4">
        <v>0.23</v>
      </c>
      <c r="G667" s="4">
        <v>0.52</v>
      </c>
    </row>
    <row r="668" spans="1:7" x14ac:dyDescent="0.25">
      <c r="A668" s="1">
        <v>625</v>
      </c>
      <c r="B668" s="2">
        <v>3828921</v>
      </c>
      <c r="C668" s="3">
        <v>1.6E-2</v>
      </c>
      <c r="D668" s="1">
        <v>0.5</v>
      </c>
      <c r="E668" s="4">
        <v>0.15</v>
      </c>
      <c r="F668" s="4">
        <v>0.3</v>
      </c>
      <c r="G668" s="4">
        <v>0.54999999999999993</v>
      </c>
    </row>
    <row r="669" spans="1:7" x14ac:dyDescent="0.25">
      <c r="A669" s="1">
        <v>626</v>
      </c>
      <c r="B669" s="2">
        <v>2063764</v>
      </c>
      <c r="C669" s="3">
        <v>0.02</v>
      </c>
      <c r="D669" s="1">
        <v>0.5</v>
      </c>
      <c r="E669" s="4">
        <v>0.15</v>
      </c>
      <c r="F669" s="4">
        <v>0.25</v>
      </c>
      <c r="G669" s="4">
        <v>0.6</v>
      </c>
    </row>
    <row r="670" spans="1:7" x14ac:dyDescent="0.25">
      <c r="A670" s="1">
        <v>627</v>
      </c>
      <c r="B670" s="2">
        <v>3471734</v>
      </c>
      <c r="C670" s="3">
        <v>3.3000000000000002E-2</v>
      </c>
      <c r="D670" s="1">
        <v>0.5</v>
      </c>
      <c r="E670" s="4">
        <v>0.15</v>
      </c>
      <c r="F670" s="4">
        <v>0.17</v>
      </c>
      <c r="G670" s="4">
        <v>0.67999999999999994</v>
      </c>
    </row>
    <row r="671" spans="1:7" x14ac:dyDescent="0.25">
      <c r="A671" s="1">
        <v>632</v>
      </c>
      <c r="B671" s="2">
        <v>2305658</v>
      </c>
      <c r="C671" s="3">
        <v>3.5000000000000003E-2</v>
      </c>
      <c r="D671" s="1">
        <v>0.5</v>
      </c>
      <c r="E671" s="4">
        <v>0.23</v>
      </c>
      <c r="F671" s="4">
        <v>0.34</v>
      </c>
      <c r="G671" s="4">
        <v>0.42999999999999994</v>
      </c>
    </row>
    <row r="672" spans="1:7" x14ac:dyDescent="0.25">
      <c r="A672" s="1">
        <v>633</v>
      </c>
      <c r="B672" s="2">
        <v>2590906</v>
      </c>
      <c r="C672" s="3">
        <v>2.3E-2</v>
      </c>
      <c r="D672" s="1">
        <v>0.5</v>
      </c>
      <c r="E672" s="4">
        <v>0.19</v>
      </c>
      <c r="F672" s="4">
        <v>0.27</v>
      </c>
      <c r="G672" s="4">
        <v>0.54</v>
      </c>
    </row>
    <row r="673" spans="1:7" x14ac:dyDescent="0.25">
      <c r="A673" s="1">
        <v>634</v>
      </c>
      <c r="B673" s="2">
        <v>2978275</v>
      </c>
      <c r="C673" s="3">
        <v>2.3E-2</v>
      </c>
      <c r="D673" s="1">
        <v>0.5</v>
      </c>
      <c r="E673" s="4">
        <v>0.15</v>
      </c>
      <c r="F673" s="4">
        <v>0.19</v>
      </c>
      <c r="G673" s="4">
        <v>0.66</v>
      </c>
    </row>
    <row r="674" spans="1:7" x14ac:dyDescent="0.25">
      <c r="A674" s="1">
        <v>635</v>
      </c>
      <c r="B674" s="2">
        <v>3845131</v>
      </c>
      <c r="C674" s="3">
        <v>3.3000000000000002E-2</v>
      </c>
      <c r="D674" s="1">
        <v>0.5</v>
      </c>
      <c r="E674" s="4">
        <v>0.23</v>
      </c>
      <c r="F674" s="4">
        <v>0.27</v>
      </c>
      <c r="G674" s="4">
        <v>0.5</v>
      </c>
    </row>
    <row r="675" spans="1:7" x14ac:dyDescent="0.25">
      <c r="A675" s="1">
        <v>638</v>
      </c>
      <c r="B675" s="2">
        <v>3967798</v>
      </c>
      <c r="C675" s="3">
        <v>3.2000000000000001E-2</v>
      </c>
      <c r="D675" s="1">
        <v>0.5</v>
      </c>
      <c r="E675" s="4">
        <v>0.16</v>
      </c>
      <c r="F675" s="4">
        <v>0.31</v>
      </c>
      <c r="G675" s="4">
        <v>0.52999999999999992</v>
      </c>
    </row>
    <row r="676" spans="1:7" x14ac:dyDescent="0.25">
      <c r="A676" s="1">
        <v>639</v>
      </c>
      <c r="B676" s="2">
        <v>2702795</v>
      </c>
      <c r="C676" s="3">
        <v>1.7000000000000001E-2</v>
      </c>
      <c r="D676" s="1">
        <v>0.5</v>
      </c>
      <c r="E676" s="4">
        <v>0.18</v>
      </c>
      <c r="F676" s="4">
        <v>0.33</v>
      </c>
      <c r="G676" s="4">
        <v>0.48999999999999994</v>
      </c>
    </row>
    <row r="677" spans="1:7" x14ac:dyDescent="0.25">
      <c r="A677" s="1">
        <v>641</v>
      </c>
      <c r="B677" s="2">
        <v>3782110</v>
      </c>
      <c r="C677" s="3">
        <v>2.9000000000000001E-2</v>
      </c>
      <c r="D677" s="1">
        <v>0.5</v>
      </c>
      <c r="E677" s="4">
        <v>0.19</v>
      </c>
      <c r="F677" s="4">
        <v>0.19</v>
      </c>
      <c r="G677" s="4">
        <v>0.62000000000000011</v>
      </c>
    </row>
    <row r="678" spans="1:7" x14ac:dyDescent="0.25">
      <c r="A678" s="1">
        <v>643</v>
      </c>
      <c r="B678" s="2">
        <v>3010003</v>
      </c>
      <c r="C678" s="3">
        <v>1.6E-2</v>
      </c>
      <c r="D678" s="1">
        <v>0.5</v>
      </c>
      <c r="E678" s="4">
        <v>0.22</v>
      </c>
      <c r="F678" s="4">
        <v>0.19</v>
      </c>
      <c r="G678" s="4">
        <v>0.59000000000000008</v>
      </c>
    </row>
    <row r="679" spans="1:7" x14ac:dyDescent="0.25">
      <c r="A679" s="1">
        <v>644</v>
      </c>
      <c r="B679" s="2">
        <v>3829255</v>
      </c>
      <c r="C679" s="3">
        <v>2.5999999999999999E-2</v>
      </c>
      <c r="D679" s="1">
        <v>0.5</v>
      </c>
      <c r="E679" s="4">
        <v>0.24</v>
      </c>
      <c r="F679" s="4">
        <v>0.25</v>
      </c>
      <c r="G679" s="4">
        <v>0.51</v>
      </c>
    </row>
    <row r="680" spans="1:7" x14ac:dyDescent="0.25">
      <c r="A680" s="1">
        <v>645</v>
      </c>
      <c r="B680" s="2">
        <v>3591758</v>
      </c>
      <c r="C680" s="3">
        <v>3.4000000000000002E-2</v>
      </c>
      <c r="D680" s="1">
        <v>0.5</v>
      </c>
      <c r="E680" s="4">
        <v>0.15</v>
      </c>
      <c r="F680" s="4">
        <v>0.19</v>
      </c>
      <c r="G680" s="4">
        <v>0.66</v>
      </c>
    </row>
    <row r="681" spans="1:7" x14ac:dyDescent="0.25">
      <c r="A681" s="1">
        <v>646</v>
      </c>
      <c r="B681" s="2">
        <v>3942741</v>
      </c>
      <c r="C681" s="3">
        <v>3.5000000000000003E-2</v>
      </c>
      <c r="D681" s="1">
        <v>0.5</v>
      </c>
      <c r="E681" s="4">
        <v>0.18</v>
      </c>
      <c r="F681" s="4">
        <v>0.34</v>
      </c>
      <c r="G681" s="4">
        <v>0.47999999999999993</v>
      </c>
    </row>
    <row r="682" spans="1:7" x14ac:dyDescent="0.25">
      <c r="A682" s="1">
        <v>648</v>
      </c>
      <c r="B682" s="2">
        <v>3688868</v>
      </c>
      <c r="C682" s="3">
        <v>1.6E-2</v>
      </c>
      <c r="D682" s="1">
        <v>0.5</v>
      </c>
      <c r="E682" s="4">
        <v>0.25</v>
      </c>
      <c r="F682" s="4">
        <v>0.28999999999999998</v>
      </c>
      <c r="G682" s="4">
        <v>0.45999999999999996</v>
      </c>
    </row>
    <row r="683" spans="1:7" x14ac:dyDescent="0.25">
      <c r="A683" s="1">
        <v>653</v>
      </c>
      <c r="B683" s="2">
        <v>2118189</v>
      </c>
      <c r="C683" s="3">
        <v>2.3E-2</v>
      </c>
      <c r="D683" s="1">
        <v>0.5</v>
      </c>
      <c r="E683" s="4">
        <v>0.22</v>
      </c>
      <c r="F683" s="4">
        <v>0.22</v>
      </c>
      <c r="G683" s="4">
        <v>0.56000000000000005</v>
      </c>
    </row>
    <row r="684" spans="1:7" x14ac:dyDescent="0.25">
      <c r="A684" s="1">
        <v>654</v>
      </c>
      <c r="B684" s="2">
        <v>2740742</v>
      </c>
      <c r="C684" s="3">
        <v>2.4E-2</v>
      </c>
      <c r="D684" s="1">
        <v>0.5</v>
      </c>
      <c r="E684" s="4">
        <v>0.21</v>
      </c>
      <c r="F684" s="4">
        <v>0.33</v>
      </c>
      <c r="G684" s="4">
        <v>0.45999999999999996</v>
      </c>
    </row>
    <row r="685" spans="1:7" x14ac:dyDescent="0.25">
      <c r="A685" s="1">
        <v>655</v>
      </c>
      <c r="B685" s="2">
        <v>3440759</v>
      </c>
      <c r="C685" s="3">
        <v>1.7999999999999999E-2</v>
      </c>
      <c r="D685" s="1">
        <v>0.5</v>
      </c>
      <c r="E685" s="4">
        <v>0.18</v>
      </c>
      <c r="F685" s="4">
        <v>0.3</v>
      </c>
      <c r="G685" s="4">
        <v>0.52</v>
      </c>
    </row>
    <row r="686" spans="1:7" x14ac:dyDescent="0.25">
      <c r="A686" s="1">
        <v>656</v>
      </c>
      <c r="B686" s="2">
        <v>3227794</v>
      </c>
      <c r="C686" s="3">
        <v>3.4000000000000002E-2</v>
      </c>
      <c r="D686" s="1">
        <v>0.5</v>
      </c>
      <c r="E686" s="4">
        <v>0.18</v>
      </c>
      <c r="F686" s="4">
        <v>0.18</v>
      </c>
      <c r="G686" s="4">
        <v>0.64000000000000012</v>
      </c>
    </row>
    <row r="687" spans="1:7" x14ac:dyDescent="0.25">
      <c r="A687" s="1">
        <v>657</v>
      </c>
      <c r="B687" s="2">
        <v>2052652</v>
      </c>
      <c r="C687" s="3">
        <v>2.1000000000000001E-2</v>
      </c>
      <c r="D687" s="1">
        <v>0.5</v>
      </c>
      <c r="E687" s="4">
        <v>0.2</v>
      </c>
      <c r="F687" s="4">
        <v>0.16</v>
      </c>
      <c r="G687" s="4">
        <v>0.6399999999999999</v>
      </c>
    </row>
    <row r="688" spans="1:7" x14ac:dyDescent="0.25">
      <c r="A688" s="1">
        <v>658</v>
      </c>
      <c r="B688" s="2">
        <v>3738033</v>
      </c>
      <c r="C688" s="3">
        <v>2.1999999999999999E-2</v>
      </c>
      <c r="D688" s="1">
        <v>0.5</v>
      </c>
      <c r="E688" s="4">
        <v>0.23</v>
      </c>
      <c r="F688" s="4">
        <v>0.31</v>
      </c>
      <c r="G688" s="4">
        <v>0.45999999999999996</v>
      </c>
    </row>
    <row r="689" spans="1:7" x14ac:dyDescent="0.25">
      <c r="A689" s="1">
        <v>660</v>
      </c>
      <c r="B689" s="2">
        <v>3107316</v>
      </c>
      <c r="C689" s="3">
        <v>1.7999999999999999E-2</v>
      </c>
      <c r="D689" s="1">
        <v>0.5</v>
      </c>
      <c r="E689" s="4">
        <v>0.25</v>
      </c>
      <c r="F689" s="4">
        <v>0.28000000000000003</v>
      </c>
      <c r="G689" s="4">
        <v>0.47</v>
      </c>
    </row>
    <row r="690" spans="1:7" x14ac:dyDescent="0.25">
      <c r="A690" s="1">
        <v>661</v>
      </c>
      <c r="B690" s="2">
        <v>3102574</v>
      </c>
      <c r="C690" s="3">
        <v>3.3000000000000002E-2</v>
      </c>
      <c r="D690" s="1">
        <v>0.5</v>
      </c>
      <c r="E690" s="4">
        <v>0.17</v>
      </c>
      <c r="F690" s="4">
        <v>0.22</v>
      </c>
      <c r="G690" s="4">
        <v>0.61</v>
      </c>
    </row>
    <row r="691" spans="1:7" x14ac:dyDescent="0.25">
      <c r="A691" s="1">
        <v>662</v>
      </c>
      <c r="B691" s="2">
        <v>3581523</v>
      </c>
      <c r="C691" s="3">
        <v>1.4999999999999999E-2</v>
      </c>
      <c r="D691" s="1">
        <v>0.5</v>
      </c>
      <c r="E691" s="4">
        <v>0.19</v>
      </c>
      <c r="F691" s="4">
        <v>0.18</v>
      </c>
      <c r="G691" s="4">
        <v>0.63000000000000012</v>
      </c>
    </row>
    <row r="692" spans="1:7" x14ac:dyDescent="0.25">
      <c r="A692" s="1">
        <v>663</v>
      </c>
      <c r="B692" s="2">
        <v>2222275</v>
      </c>
      <c r="C692" s="3">
        <v>1.6E-2</v>
      </c>
      <c r="D692" s="1">
        <v>0.5</v>
      </c>
      <c r="E692" s="4">
        <v>0.23</v>
      </c>
      <c r="F692" s="4">
        <v>0.18</v>
      </c>
      <c r="G692" s="4">
        <v>0.59000000000000008</v>
      </c>
    </row>
    <row r="693" spans="1:7" x14ac:dyDescent="0.25">
      <c r="A693" s="1">
        <v>664</v>
      </c>
      <c r="B693" s="2">
        <v>2396474</v>
      </c>
      <c r="C693" s="3">
        <v>0.03</v>
      </c>
      <c r="D693" s="1">
        <v>0.5</v>
      </c>
      <c r="E693" s="4">
        <v>0.25</v>
      </c>
      <c r="F693" s="4">
        <v>0.23</v>
      </c>
      <c r="G693" s="4">
        <v>0.52</v>
      </c>
    </row>
    <row r="694" spans="1:7" x14ac:dyDescent="0.25">
      <c r="A694" s="1">
        <v>665</v>
      </c>
      <c r="B694" s="2">
        <v>2889003</v>
      </c>
      <c r="C694" s="3">
        <v>2.7E-2</v>
      </c>
      <c r="D694" s="1">
        <v>0.5</v>
      </c>
      <c r="E694" s="4">
        <v>0.23</v>
      </c>
      <c r="F694" s="4">
        <v>0.35</v>
      </c>
      <c r="G694" s="4">
        <v>0.42000000000000004</v>
      </c>
    </row>
    <row r="695" spans="1:7" x14ac:dyDescent="0.25">
      <c r="A695" s="1">
        <v>666</v>
      </c>
      <c r="B695" s="2">
        <v>3743711</v>
      </c>
      <c r="C695" s="3">
        <v>2.5999999999999999E-2</v>
      </c>
      <c r="D695" s="1">
        <v>0.5</v>
      </c>
      <c r="E695" s="4">
        <v>0.2</v>
      </c>
      <c r="F695" s="4">
        <v>0.18</v>
      </c>
      <c r="G695" s="4">
        <v>0.62000000000000011</v>
      </c>
    </row>
    <row r="696" spans="1:7" x14ac:dyDescent="0.25">
      <c r="A696" s="1">
        <v>667</v>
      </c>
      <c r="B696" s="2">
        <v>3427833</v>
      </c>
      <c r="C696" s="3">
        <v>2.1999999999999999E-2</v>
      </c>
      <c r="D696" s="1">
        <v>0.5</v>
      </c>
      <c r="E696" s="4">
        <v>0.23</v>
      </c>
      <c r="F696" s="4">
        <v>0.31</v>
      </c>
      <c r="G696" s="4">
        <v>0.45999999999999996</v>
      </c>
    </row>
    <row r="697" spans="1:7" x14ac:dyDescent="0.25">
      <c r="A697" s="1">
        <v>669</v>
      </c>
      <c r="B697" s="2">
        <v>2965194</v>
      </c>
      <c r="C697" s="3">
        <v>1.7999999999999999E-2</v>
      </c>
      <c r="D697" s="1">
        <v>0.5</v>
      </c>
      <c r="E697" s="4">
        <v>0.17</v>
      </c>
      <c r="F697" s="4">
        <v>0.17</v>
      </c>
      <c r="G697" s="4">
        <v>0.65999999999999992</v>
      </c>
    </row>
    <row r="698" spans="1:7" x14ac:dyDescent="0.25">
      <c r="A698" s="1">
        <v>670</v>
      </c>
      <c r="B698" s="2">
        <v>2628785</v>
      </c>
      <c r="C698" s="3">
        <v>2.7E-2</v>
      </c>
      <c r="D698" s="1">
        <v>0.5</v>
      </c>
      <c r="E698" s="4">
        <v>0.19</v>
      </c>
      <c r="F698" s="4">
        <v>0.19</v>
      </c>
      <c r="G698" s="4">
        <v>0.62000000000000011</v>
      </c>
    </row>
    <row r="699" spans="1:7" x14ac:dyDescent="0.25">
      <c r="A699" s="1">
        <v>671</v>
      </c>
      <c r="B699" s="2">
        <v>2664330</v>
      </c>
      <c r="C699" s="3">
        <v>2.3E-2</v>
      </c>
      <c r="D699" s="1">
        <v>0.5</v>
      </c>
      <c r="E699" s="4">
        <v>0.15</v>
      </c>
      <c r="F699" s="4">
        <v>0.19</v>
      </c>
      <c r="G699" s="4">
        <v>0.66</v>
      </c>
    </row>
    <row r="700" spans="1:7" x14ac:dyDescent="0.25">
      <c r="A700" s="1">
        <v>672</v>
      </c>
      <c r="B700" s="2">
        <v>3335044</v>
      </c>
      <c r="C700" s="3">
        <v>1.9E-2</v>
      </c>
      <c r="D700" s="1">
        <v>0.5</v>
      </c>
      <c r="E700" s="4">
        <v>0.24</v>
      </c>
      <c r="F700" s="4">
        <v>0.28000000000000003</v>
      </c>
      <c r="G700" s="4">
        <v>0.48</v>
      </c>
    </row>
    <row r="701" spans="1:7" x14ac:dyDescent="0.25">
      <c r="A701" s="1">
        <v>673</v>
      </c>
      <c r="B701" s="2">
        <v>2173238</v>
      </c>
      <c r="C701" s="3">
        <v>2.1000000000000001E-2</v>
      </c>
      <c r="D701" s="1">
        <v>0.5</v>
      </c>
      <c r="E701" s="4">
        <v>0.21</v>
      </c>
      <c r="F701" s="4">
        <v>0.21</v>
      </c>
      <c r="G701" s="4">
        <v>0.58000000000000007</v>
      </c>
    </row>
    <row r="702" spans="1:7" x14ac:dyDescent="0.25">
      <c r="A702" s="1">
        <v>674</v>
      </c>
      <c r="B702" s="2">
        <v>3741325</v>
      </c>
      <c r="C702" s="3">
        <v>3.2000000000000001E-2</v>
      </c>
      <c r="D702" s="1">
        <v>0.5</v>
      </c>
      <c r="E702" s="4">
        <v>0.17</v>
      </c>
      <c r="F702" s="4">
        <v>0.34</v>
      </c>
      <c r="G702" s="4">
        <v>0.48999999999999988</v>
      </c>
    </row>
    <row r="703" spans="1:7" x14ac:dyDescent="0.25">
      <c r="A703" s="1">
        <v>675</v>
      </c>
      <c r="B703" s="2">
        <v>3123984</v>
      </c>
      <c r="C703" s="3">
        <v>2.5000000000000001E-2</v>
      </c>
      <c r="D703" s="1">
        <v>0.5</v>
      </c>
      <c r="E703" s="4">
        <v>0.23</v>
      </c>
      <c r="F703" s="4">
        <v>0.19</v>
      </c>
      <c r="G703" s="4">
        <v>0.58000000000000007</v>
      </c>
    </row>
    <row r="704" spans="1:7" x14ac:dyDescent="0.25">
      <c r="A704" s="1">
        <v>678</v>
      </c>
      <c r="B704" s="2">
        <v>3125896</v>
      </c>
      <c r="C704" s="3">
        <v>3.2000000000000001E-2</v>
      </c>
      <c r="D704" s="1">
        <v>0.5</v>
      </c>
      <c r="E704" s="4">
        <v>0.17</v>
      </c>
      <c r="F704" s="4">
        <v>0.32</v>
      </c>
      <c r="G704" s="4">
        <v>0.5099999999999999</v>
      </c>
    </row>
    <row r="705" spans="1:7" x14ac:dyDescent="0.25">
      <c r="A705" s="1">
        <v>679</v>
      </c>
      <c r="B705" s="2">
        <v>3008657</v>
      </c>
      <c r="C705" s="3">
        <v>3.1E-2</v>
      </c>
      <c r="D705" s="1">
        <v>0.5</v>
      </c>
      <c r="E705" s="4">
        <v>0.21</v>
      </c>
      <c r="F705" s="4">
        <v>0.34</v>
      </c>
      <c r="G705" s="4">
        <v>0.44999999999999996</v>
      </c>
    </row>
    <row r="706" spans="1:7" x14ac:dyDescent="0.25">
      <c r="A706" s="1">
        <v>681</v>
      </c>
      <c r="B706" s="2">
        <v>2040367</v>
      </c>
      <c r="C706" s="3">
        <v>0.03</v>
      </c>
      <c r="D706" s="1">
        <v>0.5</v>
      </c>
      <c r="E706" s="4">
        <v>0.23</v>
      </c>
      <c r="F706" s="4">
        <v>0.28000000000000003</v>
      </c>
      <c r="G706" s="4">
        <v>0.49</v>
      </c>
    </row>
    <row r="707" spans="1:7" x14ac:dyDescent="0.25">
      <c r="A707" s="1">
        <v>683</v>
      </c>
      <c r="B707" s="2">
        <v>3836031</v>
      </c>
      <c r="C707" s="3">
        <v>1.6E-2</v>
      </c>
      <c r="D707" s="1">
        <v>0.5</v>
      </c>
      <c r="E707" s="4">
        <v>0.17</v>
      </c>
      <c r="F707" s="4">
        <v>0.22</v>
      </c>
      <c r="G707" s="4">
        <v>0.61</v>
      </c>
    </row>
    <row r="708" spans="1:7" x14ac:dyDescent="0.25">
      <c r="A708" s="1">
        <v>685</v>
      </c>
      <c r="B708" s="2">
        <v>2773080</v>
      </c>
      <c r="C708" s="3">
        <v>2.3E-2</v>
      </c>
      <c r="D708" s="1">
        <v>0.5</v>
      </c>
      <c r="E708" s="4">
        <v>0.2</v>
      </c>
      <c r="F708" s="4">
        <v>0.28999999999999998</v>
      </c>
      <c r="G708" s="4">
        <v>0.51</v>
      </c>
    </row>
    <row r="709" spans="1:7" x14ac:dyDescent="0.25">
      <c r="A709" s="1">
        <v>686</v>
      </c>
      <c r="B709" s="2">
        <v>3333702</v>
      </c>
      <c r="C709" s="3">
        <v>3.3000000000000002E-2</v>
      </c>
      <c r="D709" s="1">
        <v>0.5</v>
      </c>
      <c r="E709" s="4">
        <v>0.18</v>
      </c>
      <c r="F709" s="4">
        <v>0.33</v>
      </c>
      <c r="G709" s="4">
        <v>0.48999999999999994</v>
      </c>
    </row>
    <row r="710" spans="1:7" x14ac:dyDescent="0.25">
      <c r="A710" s="1">
        <v>688</v>
      </c>
      <c r="B710" s="2">
        <v>3517288</v>
      </c>
      <c r="C710" s="3">
        <v>2.8000000000000001E-2</v>
      </c>
      <c r="D710" s="1">
        <v>0.5</v>
      </c>
      <c r="E710" s="4">
        <v>0.2</v>
      </c>
      <c r="F710" s="4">
        <v>0.21</v>
      </c>
      <c r="G710" s="4">
        <v>0.59000000000000008</v>
      </c>
    </row>
    <row r="711" spans="1:7" x14ac:dyDescent="0.25">
      <c r="A711" s="1">
        <v>689</v>
      </c>
      <c r="B711" s="2">
        <v>2758668</v>
      </c>
      <c r="C711" s="3">
        <v>2.1000000000000001E-2</v>
      </c>
      <c r="D711" s="1">
        <v>0.5</v>
      </c>
      <c r="E711" s="4">
        <v>0.24</v>
      </c>
      <c r="F711" s="4">
        <v>0.26</v>
      </c>
      <c r="G711" s="4">
        <v>0.5</v>
      </c>
    </row>
    <row r="712" spans="1:7" x14ac:dyDescent="0.25">
      <c r="A712" s="1">
        <v>690</v>
      </c>
      <c r="B712" s="2">
        <v>3432718</v>
      </c>
      <c r="C712" s="3">
        <v>1.7999999999999999E-2</v>
      </c>
      <c r="D712" s="1">
        <v>0.5</v>
      </c>
      <c r="E712" s="4">
        <v>0.15</v>
      </c>
      <c r="F712" s="4">
        <v>0.19</v>
      </c>
      <c r="G712" s="4">
        <v>0.66</v>
      </c>
    </row>
    <row r="713" spans="1:7" x14ac:dyDescent="0.25">
      <c r="A713" s="1">
        <v>692</v>
      </c>
      <c r="B713" s="2">
        <v>2719521</v>
      </c>
      <c r="C713" s="3">
        <v>3.1E-2</v>
      </c>
      <c r="D713" s="1">
        <v>0.5</v>
      </c>
      <c r="E713" s="4">
        <v>0.23</v>
      </c>
      <c r="F713" s="4">
        <v>0.32</v>
      </c>
      <c r="G713" s="4">
        <v>0.44999999999999996</v>
      </c>
    </row>
    <row r="714" spans="1:7" x14ac:dyDescent="0.25">
      <c r="A714" s="1">
        <v>693</v>
      </c>
      <c r="B714" s="2">
        <v>2835894</v>
      </c>
      <c r="C714" s="3">
        <v>0.03</v>
      </c>
      <c r="D714" s="1">
        <v>0.5</v>
      </c>
      <c r="E714" s="4">
        <v>0.19</v>
      </c>
      <c r="F714" s="4">
        <v>0.25</v>
      </c>
      <c r="G714" s="4">
        <v>0.56000000000000005</v>
      </c>
    </row>
    <row r="715" spans="1:7" x14ac:dyDescent="0.25">
      <c r="A715" s="1">
        <v>694</v>
      </c>
      <c r="B715" s="2">
        <v>3511428</v>
      </c>
      <c r="C715" s="3">
        <v>3.1E-2</v>
      </c>
      <c r="D715" s="1">
        <v>0.5</v>
      </c>
      <c r="E715" s="4">
        <v>0.24</v>
      </c>
      <c r="F715" s="4">
        <v>0.19</v>
      </c>
      <c r="G715" s="4">
        <v>0.57000000000000006</v>
      </c>
    </row>
    <row r="716" spans="1:7" x14ac:dyDescent="0.25">
      <c r="A716" s="1">
        <v>695</v>
      </c>
      <c r="B716" s="2">
        <v>3442882</v>
      </c>
      <c r="C716" s="3">
        <v>2.4E-2</v>
      </c>
      <c r="D716" s="1">
        <v>0.5</v>
      </c>
      <c r="E716" s="4">
        <v>0.25</v>
      </c>
      <c r="F716" s="4">
        <v>0.31</v>
      </c>
      <c r="G716" s="4">
        <v>0.43999999999999995</v>
      </c>
    </row>
    <row r="717" spans="1:7" x14ac:dyDescent="0.25">
      <c r="A717" s="1">
        <v>696</v>
      </c>
      <c r="B717" s="2">
        <v>2602815</v>
      </c>
      <c r="C717" s="3">
        <v>2.4E-2</v>
      </c>
      <c r="D717" s="1">
        <v>0.5</v>
      </c>
      <c r="E717" s="4">
        <v>0.2</v>
      </c>
      <c r="F717" s="4">
        <v>0.17</v>
      </c>
      <c r="G717" s="4">
        <v>0.62999999999999989</v>
      </c>
    </row>
    <row r="718" spans="1:7" x14ac:dyDescent="0.25">
      <c r="A718" s="1">
        <v>697</v>
      </c>
      <c r="B718" s="2">
        <v>3650238</v>
      </c>
      <c r="C718" s="3">
        <v>3.3000000000000002E-2</v>
      </c>
      <c r="D718" s="1">
        <v>0.5</v>
      </c>
      <c r="E718" s="4">
        <v>0.2</v>
      </c>
      <c r="F718" s="4">
        <v>0.35</v>
      </c>
      <c r="G718" s="4">
        <v>0.45</v>
      </c>
    </row>
    <row r="719" spans="1:7" x14ac:dyDescent="0.25">
      <c r="A719" s="1">
        <v>698</v>
      </c>
      <c r="B719" s="2">
        <v>2004856</v>
      </c>
      <c r="C719" s="3">
        <v>2.1999999999999999E-2</v>
      </c>
      <c r="D719" s="1">
        <v>0.5</v>
      </c>
      <c r="E719" s="4">
        <v>0.18</v>
      </c>
      <c r="F719" s="4">
        <v>0.18</v>
      </c>
      <c r="G719" s="4">
        <v>0.64000000000000012</v>
      </c>
    </row>
    <row r="720" spans="1:7" x14ac:dyDescent="0.25">
      <c r="A720" s="1">
        <v>701</v>
      </c>
      <c r="B720" s="2">
        <v>3034282</v>
      </c>
      <c r="C720" s="3">
        <v>3.4000000000000002E-2</v>
      </c>
      <c r="D720" s="1">
        <v>0.5</v>
      </c>
      <c r="E720" s="4">
        <v>0.25</v>
      </c>
      <c r="F720" s="4">
        <v>0.2</v>
      </c>
      <c r="G720" s="4">
        <v>0.55000000000000004</v>
      </c>
    </row>
    <row r="721" spans="1:7" x14ac:dyDescent="0.25">
      <c r="A721" s="1">
        <v>704</v>
      </c>
      <c r="B721" s="2">
        <v>2107860</v>
      </c>
      <c r="C721" s="3">
        <v>1.7000000000000001E-2</v>
      </c>
      <c r="D721" s="1">
        <v>0.5</v>
      </c>
      <c r="E721" s="4">
        <v>0.25</v>
      </c>
      <c r="F721" s="4">
        <v>0.27</v>
      </c>
      <c r="G721" s="4">
        <v>0.48</v>
      </c>
    </row>
    <row r="722" spans="1:7" x14ac:dyDescent="0.25">
      <c r="A722" s="1">
        <v>706</v>
      </c>
      <c r="B722" s="2">
        <v>3027699</v>
      </c>
      <c r="C722" s="3">
        <v>2.1000000000000001E-2</v>
      </c>
      <c r="D722" s="1">
        <v>0.5</v>
      </c>
      <c r="E722" s="4">
        <v>0.19</v>
      </c>
      <c r="F722" s="4">
        <v>0.27</v>
      </c>
      <c r="G722" s="4">
        <v>0.54</v>
      </c>
    </row>
    <row r="723" spans="1:7" x14ac:dyDescent="0.25">
      <c r="A723" s="1">
        <v>708</v>
      </c>
      <c r="B723" s="2">
        <v>3925652</v>
      </c>
      <c r="C723" s="3">
        <v>2.1999999999999999E-2</v>
      </c>
      <c r="D723" s="1">
        <v>0.5</v>
      </c>
      <c r="E723" s="4">
        <v>0.25</v>
      </c>
      <c r="F723" s="4">
        <v>0.3</v>
      </c>
      <c r="G723" s="4">
        <v>0.44999999999999996</v>
      </c>
    </row>
    <row r="724" spans="1:7" x14ac:dyDescent="0.25">
      <c r="A724" s="1">
        <v>711</v>
      </c>
      <c r="B724" s="2">
        <v>3788459</v>
      </c>
      <c r="C724" s="3">
        <v>2.7E-2</v>
      </c>
      <c r="D724" s="1">
        <v>0.5</v>
      </c>
      <c r="E724" s="4">
        <v>0.23</v>
      </c>
      <c r="F724" s="4">
        <v>0.15</v>
      </c>
      <c r="G724" s="4">
        <v>0.62</v>
      </c>
    </row>
    <row r="725" spans="1:7" x14ac:dyDescent="0.25">
      <c r="A725" s="1">
        <v>712</v>
      </c>
      <c r="B725" s="2">
        <v>3980344</v>
      </c>
      <c r="C725" s="3">
        <v>0.02</v>
      </c>
      <c r="D725" s="1">
        <v>0.5</v>
      </c>
      <c r="E725" s="4">
        <v>0.25</v>
      </c>
      <c r="F725" s="4">
        <v>0.19</v>
      </c>
      <c r="G725" s="4">
        <v>0.56000000000000005</v>
      </c>
    </row>
    <row r="726" spans="1:7" x14ac:dyDescent="0.25">
      <c r="A726" s="1">
        <v>713</v>
      </c>
      <c r="B726" s="2">
        <v>2460759</v>
      </c>
      <c r="C726" s="3">
        <v>3.5000000000000003E-2</v>
      </c>
      <c r="D726" s="1">
        <v>0.5</v>
      </c>
      <c r="E726" s="4">
        <v>0.17</v>
      </c>
      <c r="F726" s="4">
        <v>0.3</v>
      </c>
      <c r="G726" s="4">
        <v>0.52999999999999992</v>
      </c>
    </row>
    <row r="727" spans="1:7" x14ac:dyDescent="0.25">
      <c r="A727" s="1">
        <v>715</v>
      </c>
      <c r="B727" s="2">
        <v>2408203</v>
      </c>
      <c r="C727" s="3">
        <v>0.02</v>
      </c>
      <c r="D727" s="1">
        <v>0.5</v>
      </c>
      <c r="E727" s="4">
        <v>0.15</v>
      </c>
      <c r="F727" s="4">
        <v>0.19</v>
      </c>
      <c r="G727" s="4">
        <v>0.66</v>
      </c>
    </row>
    <row r="728" spans="1:7" x14ac:dyDescent="0.25">
      <c r="A728" s="1">
        <v>717</v>
      </c>
      <c r="B728" s="2">
        <v>2407573</v>
      </c>
      <c r="C728" s="3">
        <v>1.6E-2</v>
      </c>
      <c r="D728" s="1">
        <v>0.5</v>
      </c>
      <c r="E728" s="4">
        <v>0.25</v>
      </c>
      <c r="F728" s="4">
        <v>0.35</v>
      </c>
      <c r="G728" s="4">
        <v>0.4</v>
      </c>
    </row>
    <row r="729" spans="1:7" x14ac:dyDescent="0.25">
      <c r="A729" s="1">
        <v>718</v>
      </c>
      <c r="B729" s="2">
        <v>3181832</v>
      </c>
      <c r="C729" s="3">
        <v>0.02</v>
      </c>
      <c r="D729" s="1">
        <v>0.5</v>
      </c>
      <c r="E729" s="4">
        <v>0.24</v>
      </c>
      <c r="F729" s="4">
        <v>0.21</v>
      </c>
      <c r="G729" s="4">
        <v>0.55000000000000004</v>
      </c>
    </row>
    <row r="730" spans="1:7" x14ac:dyDescent="0.25">
      <c r="A730" s="1">
        <v>720</v>
      </c>
      <c r="B730" s="2">
        <v>2133293</v>
      </c>
      <c r="C730" s="3">
        <v>2.4E-2</v>
      </c>
      <c r="D730" s="1">
        <v>0.5</v>
      </c>
      <c r="E730" s="4">
        <v>0.15</v>
      </c>
      <c r="F730" s="4">
        <v>0.16</v>
      </c>
      <c r="G730" s="4">
        <v>0.69</v>
      </c>
    </row>
    <row r="731" spans="1:7" x14ac:dyDescent="0.25">
      <c r="A731" s="1">
        <v>721</v>
      </c>
      <c r="B731" s="2">
        <v>2403856</v>
      </c>
      <c r="C731" s="3">
        <v>2.1999999999999999E-2</v>
      </c>
      <c r="D731" s="1">
        <v>0.5</v>
      </c>
      <c r="E731" s="4">
        <v>0.25</v>
      </c>
      <c r="F731" s="4">
        <v>0.31</v>
      </c>
      <c r="G731" s="4">
        <v>0.43999999999999995</v>
      </c>
    </row>
    <row r="732" spans="1:7" x14ac:dyDescent="0.25">
      <c r="A732" s="1">
        <v>722</v>
      </c>
      <c r="B732" s="2">
        <v>2093696</v>
      </c>
      <c r="C732" s="3">
        <v>2.3E-2</v>
      </c>
      <c r="D732" s="1">
        <v>0.5</v>
      </c>
      <c r="E732" s="4">
        <v>0.16</v>
      </c>
      <c r="F732" s="4">
        <v>0.19</v>
      </c>
      <c r="G732" s="4">
        <v>0.65</v>
      </c>
    </row>
    <row r="733" spans="1:7" x14ac:dyDescent="0.25">
      <c r="A733" s="1">
        <v>723</v>
      </c>
      <c r="B733" s="2">
        <v>2376606</v>
      </c>
      <c r="C733" s="3">
        <v>2.7E-2</v>
      </c>
      <c r="D733" s="1">
        <v>0.5</v>
      </c>
      <c r="E733" s="4">
        <v>0.23</v>
      </c>
      <c r="F733" s="4">
        <v>0.23</v>
      </c>
      <c r="G733" s="4">
        <v>0.54</v>
      </c>
    </row>
    <row r="734" spans="1:7" x14ac:dyDescent="0.25">
      <c r="A734" s="1">
        <v>724</v>
      </c>
      <c r="B734" s="2">
        <v>3449521</v>
      </c>
      <c r="C734" s="3">
        <v>2.7E-2</v>
      </c>
      <c r="D734" s="1">
        <v>0.5</v>
      </c>
      <c r="E734" s="4">
        <v>0.19</v>
      </c>
      <c r="F734" s="4">
        <v>0.27</v>
      </c>
      <c r="G734" s="4">
        <v>0.54</v>
      </c>
    </row>
    <row r="735" spans="1:7" x14ac:dyDescent="0.25">
      <c r="A735" s="1">
        <v>726</v>
      </c>
      <c r="B735" s="2">
        <v>2957218</v>
      </c>
      <c r="C735" s="3">
        <v>0.03</v>
      </c>
      <c r="D735" s="1">
        <v>0.5</v>
      </c>
      <c r="E735" s="4">
        <v>0.25</v>
      </c>
      <c r="F735" s="4">
        <v>0.16</v>
      </c>
      <c r="G735" s="4">
        <v>0.59</v>
      </c>
    </row>
    <row r="736" spans="1:7" x14ac:dyDescent="0.25">
      <c r="A736" s="1">
        <v>727</v>
      </c>
      <c r="B736" s="2">
        <v>3567766</v>
      </c>
      <c r="C736" s="3">
        <v>1.7999999999999999E-2</v>
      </c>
      <c r="D736" s="1">
        <v>0.5</v>
      </c>
      <c r="E736" s="4">
        <v>0.16</v>
      </c>
      <c r="F736" s="4">
        <v>0.21</v>
      </c>
      <c r="G736" s="4">
        <v>0.63</v>
      </c>
    </row>
    <row r="737" spans="1:7" x14ac:dyDescent="0.25">
      <c r="A737" s="1">
        <v>728</v>
      </c>
      <c r="B737" s="2">
        <v>2837369</v>
      </c>
      <c r="C737" s="3">
        <v>1.7000000000000001E-2</v>
      </c>
      <c r="D737" s="1">
        <v>0.5</v>
      </c>
      <c r="E737" s="4">
        <v>0.24</v>
      </c>
      <c r="F737" s="4">
        <v>0.27</v>
      </c>
      <c r="G737" s="4">
        <v>0.49</v>
      </c>
    </row>
    <row r="738" spans="1:7" x14ac:dyDescent="0.25">
      <c r="A738" s="1">
        <v>730</v>
      </c>
      <c r="B738" s="2">
        <v>2088545</v>
      </c>
      <c r="C738" s="3">
        <v>1.7999999999999999E-2</v>
      </c>
      <c r="D738" s="1">
        <v>0.5</v>
      </c>
      <c r="E738" s="4">
        <v>0.22</v>
      </c>
      <c r="F738" s="4">
        <v>0.23</v>
      </c>
      <c r="G738" s="4">
        <v>0.55000000000000004</v>
      </c>
    </row>
    <row r="739" spans="1:7" x14ac:dyDescent="0.25">
      <c r="A739" s="1">
        <v>731</v>
      </c>
      <c r="B739" s="2">
        <v>3959988</v>
      </c>
      <c r="C739" s="3">
        <v>3.4000000000000002E-2</v>
      </c>
      <c r="D739" s="1">
        <v>0.5</v>
      </c>
      <c r="E739" s="4">
        <v>0.16</v>
      </c>
      <c r="F739" s="4">
        <v>0.19</v>
      </c>
      <c r="G739" s="4">
        <v>0.65</v>
      </c>
    </row>
    <row r="740" spans="1:7" x14ac:dyDescent="0.25">
      <c r="A740" s="1">
        <v>732</v>
      </c>
      <c r="B740" s="2">
        <v>3968495</v>
      </c>
      <c r="C740" s="3">
        <v>1.7999999999999999E-2</v>
      </c>
      <c r="D740" s="1">
        <v>0.5</v>
      </c>
      <c r="E740" s="4">
        <v>0.24</v>
      </c>
      <c r="F740" s="4">
        <v>0.25</v>
      </c>
      <c r="G740" s="4">
        <v>0.51</v>
      </c>
    </row>
    <row r="741" spans="1:7" x14ac:dyDescent="0.25">
      <c r="A741" s="1">
        <v>733</v>
      </c>
      <c r="B741" s="2">
        <v>3089829</v>
      </c>
      <c r="C741" s="3">
        <v>0.03</v>
      </c>
      <c r="D741" s="1">
        <v>0.5</v>
      </c>
      <c r="E741" s="4">
        <v>0.16</v>
      </c>
      <c r="F741" s="4">
        <v>0.31</v>
      </c>
      <c r="G741" s="4">
        <v>0.52999999999999992</v>
      </c>
    </row>
    <row r="742" spans="1:7" x14ac:dyDescent="0.25">
      <c r="A742" s="1">
        <v>734</v>
      </c>
      <c r="B742" s="2">
        <v>3875985</v>
      </c>
      <c r="C742" s="3">
        <v>2.5000000000000001E-2</v>
      </c>
      <c r="D742" s="1">
        <v>0.5</v>
      </c>
      <c r="E742" s="4">
        <v>0.17</v>
      </c>
      <c r="F742" s="4">
        <v>0.15</v>
      </c>
      <c r="G742" s="4">
        <v>0.67999999999999994</v>
      </c>
    </row>
    <row r="743" spans="1:7" x14ac:dyDescent="0.25">
      <c r="A743" s="1">
        <v>737</v>
      </c>
      <c r="B743" s="2">
        <v>2843783</v>
      </c>
      <c r="C743" s="3">
        <v>1.9E-2</v>
      </c>
      <c r="D743" s="1">
        <v>0.5</v>
      </c>
      <c r="E743" s="4">
        <v>0.17</v>
      </c>
      <c r="F743" s="4">
        <v>0.28999999999999998</v>
      </c>
      <c r="G743" s="4">
        <v>0.53999999999999992</v>
      </c>
    </row>
    <row r="744" spans="1:7" x14ac:dyDescent="0.25">
      <c r="A744" s="1">
        <v>740</v>
      </c>
      <c r="B744" s="2">
        <v>3756924</v>
      </c>
      <c r="C744" s="3">
        <v>1.4999999999999999E-2</v>
      </c>
      <c r="D744" s="1">
        <v>0.5</v>
      </c>
      <c r="E744" s="4">
        <v>0.17</v>
      </c>
      <c r="F744" s="4">
        <v>0.19</v>
      </c>
      <c r="G744" s="4">
        <v>0.64</v>
      </c>
    </row>
    <row r="745" spans="1:7" x14ac:dyDescent="0.25">
      <c r="A745" s="1">
        <v>741</v>
      </c>
      <c r="B745" s="2">
        <v>2611642</v>
      </c>
      <c r="C745" s="3">
        <v>2.5000000000000001E-2</v>
      </c>
      <c r="D745" s="1">
        <v>0.5</v>
      </c>
      <c r="E745" s="4">
        <v>0.18</v>
      </c>
      <c r="F745" s="4">
        <v>0.27</v>
      </c>
      <c r="G745" s="4">
        <v>0.55000000000000004</v>
      </c>
    </row>
    <row r="746" spans="1:7" x14ac:dyDescent="0.25">
      <c r="A746" s="1">
        <v>744</v>
      </c>
      <c r="B746" s="2">
        <v>2083580</v>
      </c>
      <c r="C746" s="3">
        <v>1.6E-2</v>
      </c>
      <c r="D746" s="1">
        <v>0.5</v>
      </c>
      <c r="E746" s="4">
        <v>0.19</v>
      </c>
      <c r="F746" s="4">
        <v>0.34</v>
      </c>
      <c r="G746" s="4">
        <v>0.46999999999999992</v>
      </c>
    </row>
    <row r="747" spans="1:7" x14ac:dyDescent="0.25">
      <c r="A747" s="1">
        <v>745</v>
      </c>
      <c r="B747" s="2">
        <v>2979406</v>
      </c>
      <c r="C747" s="3">
        <v>2.5999999999999999E-2</v>
      </c>
      <c r="D747" s="1">
        <v>0.5</v>
      </c>
      <c r="E747" s="4">
        <v>0.22</v>
      </c>
      <c r="F747" s="4">
        <v>0.24</v>
      </c>
      <c r="G747" s="4">
        <v>0.54</v>
      </c>
    </row>
    <row r="748" spans="1:7" x14ac:dyDescent="0.25">
      <c r="A748" s="1">
        <v>746</v>
      </c>
      <c r="B748" s="2">
        <v>3143108</v>
      </c>
      <c r="C748" s="3">
        <v>1.7000000000000001E-2</v>
      </c>
      <c r="D748" s="1">
        <v>0.5</v>
      </c>
      <c r="E748" s="4">
        <v>0.17</v>
      </c>
      <c r="F748" s="4">
        <v>0.16</v>
      </c>
      <c r="G748" s="4">
        <v>0.66999999999999993</v>
      </c>
    </row>
    <row r="749" spans="1:7" x14ac:dyDescent="0.25">
      <c r="A749" s="1">
        <v>747</v>
      </c>
      <c r="B749" s="2">
        <v>3584049</v>
      </c>
      <c r="C749" s="3">
        <v>1.6E-2</v>
      </c>
      <c r="D749" s="1">
        <v>0.5</v>
      </c>
      <c r="E749" s="4">
        <v>0.25</v>
      </c>
      <c r="F749" s="4">
        <v>0.33</v>
      </c>
      <c r="G749" s="4">
        <v>0.41999999999999993</v>
      </c>
    </row>
    <row r="750" spans="1:7" x14ac:dyDescent="0.25">
      <c r="A750" s="1">
        <v>749</v>
      </c>
      <c r="B750" s="2">
        <v>1855379</v>
      </c>
      <c r="C750" s="3">
        <v>3.2000000000000001E-2</v>
      </c>
      <c r="D750" s="1">
        <v>0.5</v>
      </c>
      <c r="E750" s="4">
        <v>0.25</v>
      </c>
      <c r="F750" s="4">
        <v>0.16</v>
      </c>
      <c r="G750" s="4">
        <v>0.59</v>
      </c>
    </row>
    <row r="751" spans="1:7" x14ac:dyDescent="0.25">
      <c r="A751" s="1">
        <v>750</v>
      </c>
      <c r="B751" s="2">
        <v>1844622</v>
      </c>
      <c r="C751" s="3">
        <v>2.1999999999999999E-2</v>
      </c>
      <c r="D751" s="1">
        <v>0.5</v>
      </c>
      <c r="E751" s="4">
        <v>0.17</v>
      </c>
      <c r="F751" s="4">
        <v>0.22</v>
      </c>
      <c r="G751" s="4">
        <v>0.61</v>
      </c>
    </row>
    <row r="752" spans="1:7" x14ac:dyDescent="0.25">
      <c r="A752" s="1">
        <v>751</v>
      </c>
      <c r="B752" s="2">
        <v>1041834</v>
      </c>
      <c r="C752" s="3">
        <v>1.9E-2</v>
      </c>
      <c r="D752" s="1">
        <v>0.5</v>
      </c>
      <c r="E752" s="4">
        <v>0.15</v>
      </c>
      <c r="F752" s="4">
        <v>0.21</v>
      </c>
      <c r="G752" s="4">
        <v>0.64</v>
      </c>
    </row>
    <row r="753" spans="1:7" x14ac:dyDescent="0.25">
      <c r="A753" s="1">
        <v>752</v>
      </c>
      <c r="B753" s="2">
        <v>1975306</v>
      </c>
      <c r="C753" s="3">
        <v>3.2000000000000001E-2</v>
      </c>
      <c r="D753" s="1">
        <v>0.5</v>
      </c>
      <c r="E753" s="4">
        <v>0.19</v>
      </c>
      <c r="F753" s="4">
        <v>0.28000000000000003</v>
      </c>
      <c r="G753" s="4">
        <v>0.53</v>
      </c>
    </row>
    <row r="754" spans="1:7" x14ac:dyDescent="0.25">
      <c r="A754" s="1">
        <v>753</v>
      </c>
      <c r="B754" s="2">
        <v>1388430</v>
      </c>
      <c r="C754" s="3">
        <v>2.4E-2</v>
      </c>
      <c r="D754" s="1">
        <v>0.5</v>
      </c>
      <c r="E754" s="4">
        <v>0.23</v>
      </c>
      <c r="F754" s="4">
        <v>0.21</v>
      </c>
      <c r="G754" s="4">
        <v>0.56000000000000005</v>
      </c>
    </row>
    <row r="755" spans="1:7" x14ac:dyDescent="0.25">
      <c r="A755" s="1">
        <v>754</v>
      </c>
      <c r="B755" s="2">
        <v>1617221</v>
      </c>
      <c r="C755" s="3">
        <v>0.02</v>
      </c>
      <c r="D755" s="1">
        <v>0.5</v>
      </c>
      <c r="E755" s="4">
        <v>0.16</v>
      </c>
      <c r="F755" s="4">
        <v>0.18</v>
      </c>
      <c r="G755" s="4">
        <v>0.66</v>
      </c>
    </row>
    <row r="756" spans="1:7" x14ac:dyDescent="0.25">
      <c r="A756" s="1">
        <v>755</v>
      </c>
      <c r="B756" s="2">
        <v>1170980</v>
      </c>
      <c r="C756" s="3">
        <v>2.9000000000000001E-2</v>
      </c>
      <c r="D756" s="1">
        <v>0.5</v>
      </c>
      <c r="E756" s="4">
        <v>0.15</v>
      </c>
      <c r="F756" s="4">
        <v>0.33</v>
      </c>
      <c r="G756" s="4">
        <v>0.51999999999999991</v>
      </c>
    </row>
    <row r="757" spans="1:7" x14ac:dyDescent="0.25">
      <c r="A757" s="1">
        <v>756</v>
      </c>
      <c r="B757" s="2">
        <v>1273330</v>
      </c>
      <c r="C757" s="3">
        <v>1.4999999999999999E-2</v>
      </c>
      <c r="D757" s="1">
        <v>0.5</v>
      </c>
      <c r="E757" s="4">
        <v>0.16</v>
      </c>
      <c r="F757" s="4">
        <v>0.25</v>
      </c>
      <c r="G757" s="4">
        <v>0.59</v>
      </c>
    </row>
    <row r="758" spans="1:7" x14ac:dyDescent="0.25">
      <c r="A758" s="1">
        <v>757</v>
      </c>
      <c r="B758" s="2">
        <v>1017835</v>
      </c>
      <c r="C758" s="3">
        <v>2.9000000000000001E-2</v>
      </c>
      <c r="D758" s="1">
        <v>0.5</v>
      </c>
      <c r="E758" s="4">
        <v>0.17</v>
      </c>
      <c r="F758" s="4">
        <v>0.28999999999999998</v>
      </c>
      <c r="G758" s="4">
        <v>0.53999999999999992</v>
      </c>
    </row>
    <row r="759" spans="1:7" x14ac:dyDescent="0.25">
      <c r="A759" s="1">
        <v>758</v>
      </c>
      <c r="B759" s="2">
        <v>1225982</v>
      </c>
      <c r="C759" s="3">
        <v>0.02</v>
      </c>
      <c r="D759" s="1">
        <v>0.5</v>
      </c>
      <c r="E759" s="4">
        <v>0.24</v>
      </c>
      <c r="F759" s="4">
        <v>0.17</v>
      </c>
      <c r="G759" s="4">
        <v>0.59</v>
      </c>
    </row>
    <row r="760" spans="1:7" x14ac:dyDescent="0.25">
      <c r="A760" s="1">
        <v>759</v>
      </c>
      <c r="B760" s="2">
        <v>1544484</v>
      </c>
      <c r="C760" s="3">
        <v>0.03</v>
      </c>
      <c r="D760" s="1">
        <v>0.5</v>
      </c>
      <c r="E760" s="4">
        <v>0.25</v>
      </c>
      <c r="F760" s="4">
        <v>0.33</v>
      </c>
      <c r="G760" s="4">
        <v>0.41999999999999993</v>
      </c>
    </row>
    <row r="761" spans="1:7" x14ac:dyDescent="0.25">
      <c r="A761" s="1">
        <v>760</v>
      </c>
      <c r="B761" s="2">
        <v>1252036</v>
      </c>
      <c r="C761" s="3">
        <v>2.9000000000000001E-2</v>
      </c>
      <c r="D761" s="1">
        <v>0.5</v>
      </c>
      <c r="E761" s="4">
        <v>0.17</v>
      </c>
      <c r="F761" s="4">
        <v>0.32</v>
      </c>
      <c r="G761" s="4">
        <v>0.5099999999999999</v>
      </c>
    </row>
    <row r="762" spans="1:7" x14ac:dyDescent="0.25">
      <c r="A762" s="1">
        <v>761</v>
      </c>
      <c r="B762" s="2">
        <v>1994172</v>
      </c>
      <c r="C762" s="3">
        <v>3.1E-2</v>
      </c>
      <c r="D762" s="1">
        <v>0.5</v>
      </c>
      <c r="E762" s="4">
        <v>0.15</v>
      </c>
      <c r="F762" s="4">
        <v>0.24</v>
      </c>
      <c r="G762" s="4">
        <v>0.61</v>
      </c>
    </row>
    <row r="763" spans="1:7" x14ac:dyDescent="0.25">
      <c r="A763" s="1">
        <v>762</v>
      </c>
      <c r="B763" s="2">
        <v>1353946</v>
      </c>
      <c r="C763" s="3">
        <v>3.5000000000000003E-2</v>
      </c>
      <c r="D763" s="1">
        <v>0.5</v>
      </c>
      <c r="E763" s="4">
        <v>0.23</v>
      </c>
      <c r="F763" s="4">
        <v>0.2</v>
      </c>
      <c r="G763" s="4">
        <v>0.57000000000000006</v>
      </c>
    </row>
    <row r="764" spans="1:7" x14ac:dyDescent="0.25">
      <c r="A764" s="1">
        <v>763</v>
      </c>
      <c r="B764" s="2">
        <v>1663696</v>
      </c>
      <c r="C764" s="3">
        <v>2.7E-2</v>
      </c>
      <c r="D764" s="1">
        <v>0.5</v>
      </c>
      <c r="E764" s="4">
        <v>0.16</v>
      </c>
      <c r="F764" s="4">
        <v>0.31</v>
      </c>
      <c r="G764" s="4">
        <v>0.52999999999999992</v>
      </c>
    </row>
    <row r="765" spans="1:7" x14ac:dyDescent="0.25">
      <c r="A765" s="1">
        <v>764</v>
      </c>
      <c r="B765" s="2">
        <v>1017364</v>
      </c>
      <c r="C765" s="3">
        <v>2.1999999999999999E-2</v>
      </c>
      <c r="D765" s="1">
        <v>0.5</v>
      </c>
      <c r="E765" s="4">
        <v>0.16</v>
      </c>
      <c r="F765" s="4">
        <v>0.27</v>
      </c>
      <c r="G765" s="4">
        <v>0.56999999999999995</v>
      </c>
    </row>
    <row r="766" spans="1:7" x14ac:dyDescent="0.25">
      <c r="A766" s="1">
        <v>765</v>
      </c>
      <c r="B766" s="2">
        <v>1877040</v>
      </c>
      <c r="C766" s="3">
        <v>1.7999999999999999E-2</v>
      </c>
      <c r="D766" s="1">
        <v>0.5</v>
      </c>
      <c r="E766" s="4">
        <v>0.22</v>
      </c>
      <c r="F766" s="4">
        <v>0.24</v>
      </c>
      <c r="G766" s="4">
        <v>0.54</v>
      </c>
    </row>
    <row r="767" spans="1:7" x14ac:dyDescent="0.25">
      <c r="A767" s="1">
        <v>766</v>
      </c>
      <c r="B767" s="2">
        <v>1389613</v>
      </c>
      <c r="C767" s="3">
        <v>3.5000000000000003E-2</v>
      </c>
      <c r="D767" s="1">
        <v>0.5</v>
      </c>
      <c r="E767" s="4">
        <v>0.19</v>
      </c>
      <c r="F767" s="4">
        <v>0.32</v>
      </c>
      <c r="G767" s="4">
        <v>0.48999999999999994</v>
      </c>
    </row>
    <row r="768" spans="1:7" x14ac:dyDescent="0.25">
      <c r="A768" s="1">
        <v>767</v>
      </c>
      <c r="B768" s="2">
        <v>1787307</v>
      </c>
      <c r="C768" s="3">
        <v>1.9E-2</v>
      </c>
      <c r="D768" s="1">
        <v>0.5</v>
      </c>
      <c r="E768" s="4">
        <v>0.16</v>
      </c>
      <c r="F768" s="4">
        <v>0.34</v>
      </c>
      <c r="G768" s="4">
        <v>0.49999999999999989</v>
      </c>
    </row>
    <row r="769" spans="1:7" x14ac:dyDescent="0.25">
      <c r="A769" s="1">
        <v>768</v>
      </c>
      <c r="B769" s="2">
        <v>1818917</v>
      </c>
      <c r="C769" s="3">
        <v>2.9000000000000001E-2</v>
      </c>
      <c r="D769" s="1">
        <v>0.5</v>
      </c>
      <c r="E769" s="4">
        <v>0.25</v>
      </c>
      <c r="F769" s="4">
        <v>0.28999999999999998</v>
      </c>
      <c r="G769" s="4">
        <v>0.45999999999999996</v>
      </c>
    </row>
    <row r="770" spans="1:7" x14ac:dyDescent="0.25">
      <c r="A770" s="1">
        <v>769</v>
      </c>
      <c r="B770" s="2">
        <v>1821241</v>
      </c>
      <c r="C770" s="3">
        <v>3.1E-2</v>
      </c>
      <c r="D770" s="1">
        <v>0.5</v>
      </c>
      <c r="E770" s="4">
        <v>0.21</v>
      </c>
      <c r="F770" s="4">
        <v>0.32</v>
      </c>
      <c r="G770" s="4">
        <v>0.47</v>
      </c>
    </row>
    <row r="771" spans="1:7" x14ac:dyDescent="0.25">
      <c r="A771" s="1">
        <v>770</v>
      </c>
      <c r="B771" s="2">
        <v>1851365</v>
      </c>
      <c r="C771" s="3">
        <v>1.9E-2</v>
      </c>
      <c r="D771" s="1">
        <v>0.5</v>
      </c>
      <c r="E771" s="4">
        <v>0.22</v>
      </c>
      <c r="F771" s="4">
        <v>0.22</v>
      </c>
      <c r="G771" s="4">
        <v>0.56000000000000005</v>
      </c>
    </row>
    <row r="772" spans="1:7" x14ac:dyDescent="0.25">
      <c r="A772" s="1">
        <v>771</v>
      </c>
      <c r="B772" s="2">
        <v>1456204</v>
      </c>
      <c r="C772" s="3">
        <v>1.9E-2</v>
      </c>
      <c r="D772" s="1">
        <v>0.5</v>
      </c>
      <c r="E772" s="4">
        <v>0.25</v>
      </c>
      <c r="F772" s="4">
        <v>0.25</v>
      </c>
      <c r="G772" s="4">
        <v>0.5</v>
      </c>
    </row>
    <row r="773" spans="1:7" x14ac:dyDescent="0.25">
      <c r="A773" s="1">
        <v>772</v>
      </c>
      <c r="B773" s="2">
        <v>1651803</v>
      </c>
      <c r="C773" s="3">
        <v>1.4999999999999999E-2</v>
      </c>
      <c r="D773" s="1">
        <v>0.5</v>
      </c>
      <c r="E773" s="4">
        <v>0.19</v>
      </c>
      <c r="F773" s="4">
        <v>0.2</v>
      </c>
      <c r="G773" s="4">
        <v>0.6100000000000001</v>
      </c>
    </row>
    <row r="774" spans="1:7" x14ac:dyDescent="0.25">
      <c r="A774" s="1">
        <v>773</v>
      </c>
      <c r="B774" s="2">
        <v>1759705</v>
      </c>
      <c r="C774" s="3">
        <v>3.4000000000000002E-2</v>
      </c>
      <c r="D774" s="1">
        <v>0.5</v>
      </c>
      <c r="E774" s="4">
        <v>0.21</v>
      </c>
      <c r="F774" s="4">
        <v>0.32</v>
      </c>
      <c r="G774" s="4">
        <v>0.47</v>
      </c>
    </row>
    <row r="775" spans="1:7" x14ac:dyDescent="0.25">
      <c r="A775" s="1">
        <v>774</v>
      </c>
      <c r="B775" s="2">
        <v>1347301</v>
      </c>
      <c r="C775" s="3">
        <v>1.7999999999999999E-2</v>
      </c>
      <c r="D775" s="1">
        <v>0.5</v>
      </c>
      <c r="E775" s="4">
        <v>0.25</v>
      </c>
      <c r="F775" s="4">
        <v>0.17</v>
      </c>
      <c r="G775" s="4">
        <v>0.57999999999999996</v>
      </c>
    </row>
    <row r="776" spans="1:7" x14ac:dyDescent="0.25">
      <c r="A776" s="1">
        <v>775</v>
      </c>
      <c r="B776" s="2">
        <v>1546315</v>
      </c>
      <c r="C776" s="3">
        <v>0.02</v>
      </c>
      <c r="D776" s="1">
        <v>0.5</v>
      </c>
      <c r="E776" s="4">
        <v>0.17</v>
      </c>
      <c r="F776" s="4">
        <v>0.22</v>
      </c>
      <c r="G776" s="4">
        <v>0.61</v>
      </c>
    </row>
    <row r="777" spans="1:7" x14ac:dyDescent="0.25">
      <c r="A777" s="1">
        <v>776</v>
      </c>
      <c r="B777" s="2">
        <v>1297719</v>
      </c>
      <c r="C777" s="3">
        <v>1.7000000000000001E-2</v>
      </c>
      <c r="D777" s="1">
        <v>0.5</v>
      </c>
      <c r="E777" s="4">
        <v>0.19</v>
      </c>
      <c r="F777" s="4">
        <v>0.26</v>
      </c>
      <c r="G777" s="4">
        <v>0.55000000000000004</v>
      </c>
    </row>
    <row r="778" spans="1:7" x14ac:dyDescent="0.25">
      <c r="A778" s="1">
        <v>777</v>
      </c>
      <c r="B778" s="2">
        <v>1861726</v>
      </c>
      <c r="C778" s="3">
        <v>1.7000000000000001E-2</v>
      </c>
      <c r="D778" s="1">
        <v>0.5</v>
      </c>
      <c r="E778" s="4">
        <v>0.23</v>
      </c>
      <c r="F778" s="4">
        <v>0.18</v>
      </c>
      <c r="G778" s="4">
        <v>0.59000000000000008</v>
      </c>
    </row>
    <row r="779" spans="1:7" x14ac:dyDescent="0.25">
      <c r="A779" s="1">
        <v>778</v>
      </c>
      <c r="B779" s="2">
        <v>1845292</v>
      </c>
      <c r="C779" s="3">
        <v>3.5000000000000003E-2</v>
      </c>
      <c r="D779" s="1">
        <v>0.5</v>
      </c>
      <c r="E779" s="4">
        <v>0.23</v>
      </c>
      <c r="F779" s="4">
        <v>0.24</v>
      </c>
      <c r="G779" s="4">
        <v>0.53</v>
      </c>
    </row>
    <row r="780" spans="1:7" x14ac:dyDescent="0.25">
      <c r="A780" s="1">
        <v>779</v>
      </c>
      <c r="B780" s="2">
        <v>1787515</v>
      </c>
      <c r="C780" s="3">
        <v>2.5000000000000001E-2</v>
      </c>
      <c r="D780" s="1">
        <v>0.5</v>
      </c>
      <c r="E780" s="4">
        <v>0.15</v>
      </c>
      <c r="F780" s="4">
        <v>0.35</v>
      </c>
      <c r="G780" s="4">
        <v>0.5</v>
      </c>
    </row>
    <row r="781" spans="1:7" x14ac:dyDescent="0.25">
      <c r="A781" s="1">
        <v>780</v>
      </c>
      <c r="B781" s="2">
        <v>1340261</v>
      </c>
      <c r="C781" s="3">
        <v>1.4999999999999999E-2</v>
      </c>
      <c r="D781" s="1">
        <v>0.5</v>
      </c>
      <c r="E781" s="4">
        <v>0.18</v>
      </c>
      <c r="F781" s="4">
        <v>0.28000000000000003</v>
      </c>
      <c r="G781" s="4">
        <v>0.54</v>
      </c>
    </row>
    <row r="782" spans="1:7" x14ac:dyDescent="0.25">
      <c r="A782" s="1">
        <v>781</v>
      </c>
      <c r="B782" s="2">
        <v>1336224</v>
      </c>
      <c r="C782" s="3">
        <v>2.4E-2</v>
      </c>
      <c r="D782" s="1">
        <v>0.5</v>
      </c>
      <c r="E782" s="4">
        <v>0.24</v>
      </c>
      <c r="F782" s="4">
        <v>0.32</v>
      </c>
      <c r="G782" s="4">
        <v>0.43999999999999995</v>
      </c>
    </row>
    <row r="783" spans="1:7" x14ac:dyDescent="0.25">
      <c r="A783" s="1">
        <v>782</v>
      </c>
      <c r="B783" s="2">
        <v>1803817</v>
      </c>
      <c r="C783" s="3">
        <v>2.5000000000000001E-2</v>
      </c>
      <c r="D783" s="1">
        <v>0.5</v>
      </c>
      <c r="E783" s="4">
        <v>0.17</v>
      </c>
      <c r="F783" s="4">
        <v>0.16</v>
      </c>
      <c r="G783" s="4">
        <v>0.66999999999999993</v>
      </c>
    </row>
    <row r="784" spans="1:7" x14ac:dyDescent="0.25">
      <c r="A784" s="1">
        <v>783</v>
      </c>
      <c r="B784" s="2">
        <v>1702054</v>
      </c>
      <c r="C784" s="3">
        <v>3.5000000000000003E-2</v>
      </c>
      <c r="D784" s="1">
        <v>0.5</v>
      </c>
      <c r="E784" s="4">
        <v>0.21</v>
      </c>
      <c r="F784" s="4">
        <v>0.16</v>
      </c>
      <c r="G784" s="4">
        <v>0.63</v>
      </c>
    </row>
    <row r="785" spans="1:7" x14ac:dyDescent="0.25">
      <c r="A785" s="1">
        <v>784</v>
      </c>
      <c r="B785" s="2">
        <v>1993634</v>
      </c>
      <c r="C785" s="3">
        <v>2.4E-2</v>
      </c>
      <c r="D785" s="1">
        <v>0.5</v>
      </c>
      <c r="E785" s="4">
        <v>0.17</v>
      </c>
      <c r="F785" s="4">
        <v>0.17</v>
      </c>
      <c r="G785" s="4">
        <v>0.65999999999999992</v>
      </c>
    </row>
    <row r="786" spans="1:7" x14ac:dyDescent="0.25">
      <c r="A786" s="1">
        <v>785</v>
      </c>
      <c r="B786" s="2">
        <v>1033399</v>
      </c>
      <c r="C786" s="3">
        <v>1.7000000000000001E-2</v>
      </c>
      <c r="D786" s="1">
        <v>0.5</v>
      </c>
      <c r="E786" s="4">
        <v>0.24</v>
      </c>
      <c r="F786" s="4">
        <v>0.35</v>
      </c>
      <c r="G786" s="4">
        <v>0.41000000000000003</v>
      </c>
    </row>
    <row r="787" spans="1:7" x14ac:dyDescent="0.25">
      <c r="A787" s="1">
        <v>786</v>
      </c>
      <c r="B787" s="2">
        <v>1835943</v>
      </c>
      <c r="C787" s="3">
        <v>2.1000000000000001E-2</v>
      </c>
      <c r="D787" s="1">
        <v>0.5</v>
      </c>
      <c r="E787" s="4">
        <v>0.23</v>
      </c>
      <c r="F787" s="4">
        <v>0.3</v>
      </c>
      <c r="G787" s="4">
        <v>0.47</v>
      </c>
    </row>
    <row r="788" spans="1:7" x14ac:dyDescent="0.25">
      <c r="A788" s="1">
        <v>787</v>
      </c>
      <c r="B788" s="2">
        <v>1357771</v>
      </c>
      <c r="C788" s="3">
        <v>2.5000000000000001E-2</v>
      </c>
      <c r="D788" s="1">
        <v>0.5</v>
      </c>
      <c r="E788" s="4">
        <v>0.17</v>
      </c>
      <c r="F788" s="4">
        <v>0.21</v>
      </c>
      <c r="G788" s="4">
        <v>0.62</v>
      </c>
    </row>
    <row r="789" spans="1:7" x14ac:dyDescent="0.25">
      <c r="A789" s="1">
        <v>788</v>
      </c>
      <c r="B789" s="2">
        <v>1870058</v>
      </c>
      <c r="C789" s="3">
        <v>2.8000000000000001E-2</v>
      </c>
      <c r="D789" s="1">
        <v>0.5</v>
      </c>
      <c r="E789" s="4">
        <v>0.19</v>
      </c>
      <c r="F789" s="4">
        <v>0.19</v>
      </c>
      <c r="G789" s="4">
        <v>0.62000000000000011</v>
      </c>
    </row>
    <row r="790" spans="1:7" x14ac:dyDescent="0.25">
      <c r="A790" s="1">
        <v>789</v>
      </c>
      <c r="B790" s="2">
        <v>1516918</v>
      </c>
      <c r="C790" s="3">
        <v>1.6E-2</v>
      </c>
      <c r="D790" s="1">
        <v>0.5</v>
      </c>
      <c r="E790" s="4">
        <v>0.25</v>
      </c>
      <c r="F790" s="4">
        <v>0.26</v>
      </c>
      <c r="G790" s="4">
        <v>0.49</v>
      </c>
    </row>
    <row r="791" spans="1:7" x14ac:dyDescent="0.25">
      <c r="A791" s="1">
        <v>790</v>
      </c>
      <c r="B791" s="2">
        <v>1846070</v>
      </c>
      <c r="C791" s="3">
        <v>2.3E-2</v>
      </c>
      <c r="D791" s="1">
        <v>0.5</v>
      </c>
      <c r="E791" s="4">
        <v>0.24</v>
      </c>
      <c r="F791" s="4">
        <v>0.21</v>
      </c>
      <c r="G791" s="4">
        <v>0.55000000000000004</v>
      </c>
    </row>
    <row r="792" spans="1:7" x14ac:dyDescent="0.25">
      <c r="A792" s="1">
        <v>791</v>
      </c>
      <c r="B792" s="2">
        <v>1753777</v>
      </c>
      <c r="C792" s="3">
        <v>2.8000000000000001E-2</v>
      </c>
      <c r="D792" s="1">
        <v>0.5</v>
      </c>
      <c r="E792" s="4">
        <v>0.2</v>
      </c>
      <c r="F792" s="4">
        <v>0.25</v>
      </c>
      <c r="G792" s="4">
        <v>0.55000000000000004</v>
      </c>
    </row>
    <row r="793" spans="1:7" x14ac:dyDescent="0.25">
      <c r="A793" s="1">
        <v>792</v>
      </c>
      <c r="B793" s="2">
        <v>1911073</v>
      </c>
      <c r="C793" s="3">
        <v>3.1E-2</v>
      </c>
      <c r="D793" s="1">
        <v>0.5</v>
      </c>
      <c r="E793" s="4">
        <v>0.23</v>
      </c>
      <c r="F793" s="4">
        <v>0.35</v>
      </c>
      <c r="G793" s="4">
        <v>0.42000000000000004</v>
      </c>
    </row>
    <row r="794" spans="1:7" x14ac:dyDescent="0.25">
      <c r="A794" s="1">
        <v>793</v>
      </c>
      <c r="B794" s="2">
        <v>1565729</v>
      </c>
      <c r="C794" s="3">
        <v>3.2000000000000001E-2</v>
      </c>
      <c r="D794" s="1">
        <v>0.5</v>
      </c>
      <c r="E794" s="4">
        <v>0.21</v>
      </c>
      <c r="F794" s="4">
        <v>0.24</v>
      </c>
      <c r="G794" s="4">
        <v>0.55000000000000004</v>
      </c>
    </row>
    <row r="795" spans="1:7" x14ac:dyDescent="0.25">
      <c r="A795" s="1">
        <v>794</v>
      </c>
      <c r="B795" s="2">
        <v>1541913</v>
      </c>
      <c r="C795" s="3">
        <v>2.5999999999999999E-2</v>
      </c>
      <c r="D795" s="1">
        <v>0.5</v>
      </c>
      <c r="E795" s="4">
        <v>0.25</v>
      </c>
      <c r="F795" s="4">
        <v>0.3</v>
      </c>
      <c r="G795" s="4">
        <v>0.44999999999999996</v>
      </c>
    </row>
    <row r="796" spans="1:7" x14ac:dyDescent="0.25">
      <c r="A796" s="1">
        <v>795</v>
      </c>
      <c r="B796" s="2">
        <v>1910856</v>
      </c>
      <c r="C796" s="3">
        <v>2.1999999999999999E-2</v>
      </c>
      <c r="D796" s="1">
        <v>0.5</v>
      </c>
      <c r="E796" s="4">
        <v>0.22</v>
      </c>
      <c r="F796" s="4">
        <v>0.31</v>
      </c>
      <c r="G796" s="4">
        <v>0.47</v>
      </c>
    </row>
    <row r="797" spans="1:7" x14ac:dyDescent="0.25">
      <c r="A797" s="1">
        <v>796</v>
      </c>
      <c r="B797" s="2">
        <v>1227313</v>
      </c>
      <c r="C797" s="3">
        <v>0.03</v>
      </c>
      <c r="D797" s="1">
        <v>0.5</v>
      </c>
      <c r="E797" s="4">
        <v>0.22</v>
      </c>
      <c r="F797" s="4">
        <v>0.25</v>
      </c>
      <c r="G797" s="4">
        <v>0.53</v>
      </c>
    </row>
    <row r="798" spans="1:7" x14ac:dyDescent="0.25">
      <c r="A798" s="1">
        <v>797</v>
      </c>
      <c r="B798" s="2">
        <v>1758836</v>
      </c>
      <c r="C798" s="3">
        <v>2.5999999999999999E-2</v>
      </c>
      <c r="D798" s="1">
        <v>0.5</v>
      </c>
      <c r="E798" s="4">
        <v>0.21</v>
      </c>
      <c r="F798" s="4">
        <v>0.25</v>
      </c>
      <c r="G798" s="4">
        <v>0.54</v>
      </c>
    </row>
    <row r="799" spans="1:7" x14ac:dyDescent="0.25">
      <c r="A799" s="1">
        <v>798</v>
      </c>
      <c r="B799" s="2">
        <v>1473870</v>
      </c>
      <c r="C799" s="3">
        <v>2.7E-2</v>
      </c>
      <c r="D799" s="1">
        <v>0.5</v>
      </c>
      <c r="E799" s="4">
        <v>0.16</v>
      </c>
      <c r="F799" s="4">
        <v>0.23</v>
      </c>
      <c r="G799" s="4">
        <v>0.61</v>
      </c>
    </row>
    <row r="800" spans="1:7" x14ac:dyDescent="0.25">
      <c r="A800" s="1">
        <v>799</v>
      </c>
      <c r="B800" s="2">
        <v>1835690</v>
      </c>
      <c r="C800" s="3">
        <v>2.5000000000000001E-2</v>
      </c>
      <c r="D800" s="1">
        <v>0.5</v>
      </c>
      <c r="E800" s="4">
        <v>0.25</v>
      </c>
      <c r="F800" s="4">
        <v>0.26</v>
      </c>
      <c r="G800" s="4">
        <v>0.49</v>
      </c>
    </row>
    <row r="801" spans="1:7" x14ac:dyDescent="0.25">
      <c r="A801" s="1">
        <v>800</v>
      </c>
      <c r="B801" s="2">
        <v>1440083</v>
      </c>
      <c r="C801" s="3">
        <v>1.7000000000000001E-2</v>
      </c>
      <c r="D801" s="1">
        <v>0.5</v>
      </c>
      <c r="E801" s="4">
        <v>0.21</v>
      </c>
      <c r="F801" s="4">
        <v>0.28999999999999998</v>
      </c>
      <c r="G801" s="4">
        <v>0.5</v>
      </c>
    </row>
    <row r="802" spans="1:7" x14ac:dyDescent="0.25">
      <c r="A802" s="1">
        <v>801</v>
      </c>
      <c r="B802" s="2">
        <v>1825083</v>
      </c>
      <c r="C802" s="3">
        <v>2.3E-2</v>
      </c>
      <c r="D802" s="1">
        <v>0.5</v>
      </c>
      <c r="E802" s="4">
        <v>0.2</v>
      </c>
      <c r="F802" s="4">
        <v>0.34</v>
      </c>
      <c r="G802" s="4">
        <v>0.45999999999999991</v>
      </c>
    </row>
    <row r="803" spans="1:7" x14ac:dyDescent="0.25">
      <c r="A803" s="1">
        <v>802</v>
      </c>
      <c r="B803" s="2">
        <v>1233894</v>
      </c>
      <c r="C803" s="3">
        <v>2.3E-2</v>
      </c>
      <c r="D803" s="1">
        <v>0.5</v>
      </c>
      <c r="E803" s="4">
        <v>0.23</v>
      </c>
      <c r="F803" s="4">
        <v>0.25</v>
      </c>
      <c r="G803" s="4">
        <v>0.52</v>
      </c>
    </row>
    <row r="804" spans="1:7" x14ac:dyDescent="0.25">
      <c r="A804" s="1">
        <v>803</v>
      </c>
      <c r="B804" s="2">
        <v>1826592</v>
      </c>
      <c r="C804" s="3">
        <v>3.5000000000000003E-2</v>
      </c>
      <c r="D804" s="1">
        <v>0.5</v>
      </c>
      <c r="E804" s="4">
        <v>0.2</v>
      </c>
      <c r="F804" s="4">
        <v>0.21</v>
      </c>
      <c r="G804" s="4">
        <v>0.59000000000000008</v>
      </c>
    </row>
    <row r="805" spans="1:7" x14ac:dyDescent="0.25">
      <c r="A805" s="1">
        <v>804</v>
      </c>
      <c r="B805" s="2">
        <v>1065401</v>
      </c>
      <c r="C805" s="3">
        <v>2.3E-2</v>
      </c>
      <c r="D805" s="1">
        <v>0.5</v>
      </c>
      <c r="E805" s="4">
        <v>0.17</v>
      </c>
      <c r="F805" s="4">
        <v>0.26</v>
      </c>
      <c r="G805" s="4">
        <v>0.56999999999999995</v>
      </c>
    </row>
    <row r="806" spans="1:7" x14ac:dyDescent="0.25">
      <c r="A806" s="1">
        <v>805</v>
      </c>
      <c r="B806" s="2">
        <v>1391714</v>
      </c>
      <c r="C806" s="3">
        <v>2.3E-2</v>
      </c>
      <c r="D806" s="1">
        <v>0.5</v>
      </c>
      <c r="E806" s="4">
        <v>0.19</v>
      </c>
      <c r="F806" s="4">
        <v>0.28000000000000003</v>
      </c>
      <c r="G806" s="4">
        <v>0.53</v>
      </c>
    </row>
    <row r="807" spans="1:7" x14ac:dyDescent="0.25">
      <c r="A807" s="1">
        <v>806</v>
      </c>
      <c r="B807" s="2">
        <v>1348100</v>
      </c>
      <c r="C807" s="3">
        <v>2.5000000000000001E-2</v>
      </c>
      <c r="D807" s="1">
        <v>0.5</v>
      </c>
      <c r="E807" s="4">
        <v>0.22</v>
      </c>
      <c r="F807" s="4">
        <v>0.28999999999999998</v>
      </c>
      <c r="G807" s="4">
        <v>0.49</v>
      </c>
    </row>
    <row r="808" spans="1:7" x14ac:dyDescent="0.25">
      <c r="A808" s="1">
        <v>807</v>
      </c>
      <c r="B808" s="2">
        <v>1165381</v>
      </c>
      <c r="C808" s="3">
        <v>2.5000000000000001E-2</v>
      </c>
      <c r="D808" s="1">
        <v>0.5</v>
      </c>
      <c r="E808" s="4">
        <v>0.23</v>
      </c>
      <c r="F808" s="4">
        <v>0.15</v>
      </c>
      <c r="G808" s="4">
        <v>0.62</v>
      </c>
    </row>
    <row r="809" spans="1:7" x14ac:dyDescent="0.25">
      <c r="A809" s="1">
        <v>808</v>
      </c>
      <c r="B809" s="2">
        <v>1226605</v>
      </c>
      <c r="C809" s="3">
        <v>3.5000000000000003E-2</v>
      </c>
      <c r="D809" s="1">
        <v>0.5</v>
      </c>
      <c r="E809" s="4">
        <v>0.16</v>
      </c>
      <c r="F809" s="4">
        <v>0.34</v>
      </c>
      <c r="G809" s="4">
        <v>0.49999999999999989</v>
      </c>
    </row>
    <row r="810" spans="1:7" x14ac:dyDescent="0.25">
      <c r="A810" s="1">
        <v>809</v>
      </c>
      <c r="B810" s="2">
        <v>1254530</v>
      </c>
      <c r="C810" s="3">
        <v>2.4E-2</v>
      </c>
      <c r="D810" s="1">
        <v>0.5</v>
      </c>
      <c r="E810" s="4">
        <v>0.25</v>
      </c>
      <c r="F810" s="4">
        <v>0.2</v>
      </c>
      <c r="G810" s="4">
        <v>0.55000000000000004</v>
      </c>
    </row>
    <row r="811" spans="1:7" x14ac:dyDescent="0.25">
      <c r="A811" s="1">
        <v>810</v>
      </c>
      <c r="B811" s="2">
        <v>1482662</v>
      </c>
      <c r="C811" s="3">
        <v>0.02</v>
      </c>
      <c r="D811" s="1">
        <v>0.5</v>
      </c>
      <c r="E811" s="4">
        <v>0.19</v>
      </c>
      <c r="F811" s="4">
        <v>0.3</v>
      </c>
      <c r="G811" s="4">
        <v>0.51</v>
      </c>
    </row>
    <row r="812" spans="1:7" x14ac:dyDescent="0.25">
      <c r="A812" s="1">
        <v>811</v>
      </c>
      <c r="B812" s="2">
        <v>1233696</v>
      </c>
      <c r="C812" s="3">
        <v>1.7000000000000001E-2</v>
      </c>
      <c r="D812" s="1">
        <v>0.5</v>
      </c>
      <c r="E812" s="4">
        <v>0.22</v>
      </c>
      <c r="F812" s="4">
        <v>0.26</v>
      </c>
      <c r="G812" s="4">
        <v>0.52</v>
      </c>
    </row>
    <row r="813" spans="1:7" x14ac:dyDescent="0.25">
      <c r="A813" s="1">
        <v>812</v>
      </c>
      <c r="B813" s="2">
        <v>1517449</v>
      </c>
      <c r="C813" s="3">
        <v>2.1999999999999999E-2</v>
      </c>
      <c r="D813" s="1">
        <v>0.5</v>
      </c>
      <c r="E813" s="4">
        <v>0.25</v>
      </c>
      <c r="F813" s="4">
        <v>0.2</v>
      </c>
      <c r="G813" s="4">
        <v>0.55000000000000004</v>
      </c>
    </row>
    <row r="814" spans="1:7" x14ac:dyDescent="0.25">
      <c r="A814" s="1">
        <v>813</v>
      </c>
      <c r="B814" s="2">
        <v>1347733</v>
      </c>
      <c r="C814" s="3">
        <v>1.7000000000000001E-2</v>
      </c>
      <c r="D814" s="1">
        <v>0.5</v>
      </c>
      <c r="E814" s="4">
        <v>0.16</v>
      </c>
      <c r="F814" s="4">
        <v>0.24</v>
      </c>
      <c r="G814" s="4">
        <v>0.6</v>
      </c>
    </row>
    <row r="815" spans="1:7" x14ac:dyDescent="0.25">
      <c r="A815" s="1">
        <v>814</v>
      </c>
      <c r="B815" s="2">
        <v>1804463</v>
      </c>
      <c r="C815" s="3">
        <v>3.2000000000000001E-2</v>
      </c>
      <c r="D815" s="1">
        <v>0.5</v>
      </c>
      <c r="E815" s="4">
        <v>0.2</v>
      </c>
      <c r="F815" s="4">
        <v>0.2</v>
      </c>
      <c r="G815" s="4">
        <v>0.60000000000000009</v>
      </c>
    </row>
    <row r="816" spans="1:7" x14ac:dyDescent="0.25">
      <c r="A816" s="1">
        <v>815</v>
      </c>
      <c r="B816" s="2">
        <v>1898245</v>
      </c>
      <c r="C816" s="3">
        <v>1.9E-2</v>
      </c>
      <c r="D816" s="1">
        <v>0.5</v>
      </c>
      <c r="E816" s="4">
        <v>0.17</v>
      </c>
      <c r="F816" s="4">
        <v>0.23</v>
      </c>
      <c r="G816" s="4">
        <v>0.6</v>
      </c>
    </row>
    <row r="817" spans="1:7" x14ac:dyDescent="0.25">
      <c r="A817" s="1">
        <v>816</v>
      </c>
      <c r="B817" s="2">
        <v>1239198</v>
      </c>
      <c r="C817" s="3">
        <v>3.1E-2</v>
      </c>
      <c r="D817" s="1">
        <v>0.5</v>
      </c>
      <c r="E817" s="4">
        <v>0.19</v>
      </c>
      <c r="F817" s="4">
        <v>0.23</v>
      </c>
      <c r="G817" s="4">
        <v>0.58000000000000007</v>
      </c>
    </row>
    <row r="818" spans="1:7" x14ac:dyDescent="0.25">
      <c r="A818" s="1">
        <v>817</v>
      </c>
      <c r="B818" s="2">
        <v>1902690</v>
      </c>
      <c r="C818" s="3">
        <v>1.9E-2</v>
      </c>
      <c r="D818" s="1">
        <v>0.5</v>
      </c>
      <c r="E818" s="4">
        <v>0.24</v>
      </c>
      <c r="F818" s="4">
        <v>0.24</v>
      </c>
      <c r="G818" s="4">
        <v>0.52</v>
      </c>
    </row>
    <row r="819" spans="1:7" x14ac:dyDescent="0.25">
      <c r="A819" s="1">
        <v>818</v>
      </c>
      <c r="B819" s="2">
        <v>1127135</v>
      </c>
      <c r="C819" s="3">
        <v>2.1999999999999999E-2</v>
      </c>
      <c r="D819" s="1">
        <v>0.5</v>
      </c>
      <c r="E819" s="4">
        <v>0.16</v>
      </c>
      <c r="F819" s="4">
        <v>0.35</v>
      </c>
      <c r="G819" s="4">
        <v>0.49</v>
      </c>
    </row>
    <row r="820" spans="1:7" x14ac:dyDescent="0.25">
      <c r="A820" s="1">
        <v>819</v>
      </c>
      <c r="B820" s="2">
        <v>1243498</v>
      </c>
      <c r="C820" s="3">
        <v>2.9000000000000001E-2</v>
      </c>
      <c r="D820" s="1">
        <v>0.5</v>
      </c>
      <c r="E820" s="4">
        <v>0.2</v>
      </c>
      <c r="F820" s="4">
        <v>0.24</v>
      </c>
      <c r="G820" s="4">
        <v>0.56000000000000005</v>
      </c>
    </row>
    <row r="821" spans="1:7" x14ac:dyDescent="0.25">
      <c r="A821" s="1">
        <v>820</v>
      </c>
      <c r="B821" s="2">
        <v>1706509</v>
      </c>
      <c r="C821" s="3">
        <v>1.7999999999999999E-2</v>
      </c>
      <c r="D821" s="1">
        <v>0.5</v>
      </c>
      <c r="E821" s="4">
        <v>0.17</v>
      </c>
      <c r="F821" s="4">
        <v>0.3</v>
      </c>
      <c r="G821" s="4">
        <v>0.52999999999999992</v>
      </c>
    </row>
    <row r="822" spans="1:7" x14ac:dyDescent="0.25">
      <c r="A822" s="1">
        <v>821</v>
      </c>
      <c r="B822" s="2">
        <v>1583150</v>
      </c>
      <c r="C822" s="3">
        <v>3.1E-2</v>
      </c>
      <c r="D822" s="1">
        <v>0.5</v>
      </c>
      <c r="E822" s="4">
        <v>0.15</v>
      </c>
      <c r="F822" s="4">
        <v>0.21</v>
      </c>
      <c r="G822" s="4">
        <v>0.64</v>
      </c>
    </row>
    <row r="823" spans="1:7" x14ac:dyDescent="0.25">
      <c r="A823" s="1">
        <v>822</v>
      </c>
      <c r="B823" s="2">
        <v>1678988</v>
      </c>
      <c r="C823" s="3">
        <v>1.2E-2</v>
      </c>
      <c r="D823" s="1">
        <v>0.5</v>
      </c>
      <c r="E823" s="4">
        <v>0.19</v>
      </c>
      <c r="F823" s="4">
        <v>0.22</v>
      </c>
      <c r="G823" s="4">
        <v>0.59000000000000008</v>
      </c>
    </row>
    <row r="824" spans="1:7" x14ac:dyDescent="0.25">
      <c r="A824" s="1">
        <v>823</v>
      </c>
      <c r="B824" s="2">
        <v>1112954</v>
      </c>
      <c r="C824" s="3">
        <v>2.5999999999999999E-2</v>
      </c>
      <c r="D824" s="1">
        <v>0.5</v>
      </c>
      <c r="E824" s="4">
        <v>0.23</v>
      </c>
      <c r="F824" s="4">
        <v>0.18</v>
      </c>
      <c r="G824" s="4">
        <v>0.59000000000000008</v>
      </c>
    </row>
    <row r="825" spans="1:7" x14ac:dyDescent="0.25">
      <c r="A825" s="1">
        <v>824</v>
      </c>
      <c r="B825" s="2">
        <v>1418863</v>
      </c>
      <c r="C825" s="3">
        <v>0.03</v>
      </c>
      <c r="D825" s="1">
        <v>0.5</v>
      </c>
      <c r="E825" s="4">
        <v>0.23</v>
      </c>
      <c r="F825" s="4">
        <v>0.18</v>
      </c>
      <c r="G825" s="4">
        <v>0.59000000000000008</v>
      </c>
    </row>
    <row r="826" spans="1:7" x14ac:dyDescent="0.25">
      <c r="A826" s="1">
        <v>825</v>
      </c>
      <c r="B826" s="2">
        <v>1490975</v>
      </c>
      <c r="C826" s="3">
        <v>2.5000000000000001E-2</v>
      </c>
      <c r="D826" s="1">
        <v>0.5</v>
      </c>
      <c r="E826" s="4">
        <v>0.17</v>
      </c>
      <c r="F826" s="4">
        <v>0.33</v>
      </c>
      <c r="G826" s="4">
        <v>0.49999999999999989</v>
      </c>
    </row>
    <row r="827" spans="1:7" x14ac:dyDescent="0.25">
      <c r="A827" s="1">
        <v>826</v>
      </c>
      <c r="B827" s="2">
        <v>1649970</v>
      </c>
      <c r="C827" s="3">
        <v>1.9E-2</v>
      </c>
      <c r="D827" s="1">
        <v>0.5</v>
      </c>
      <c r="E827" s="4">
        <v>0.19</v>
      </c>
      <c r="F827" s="4">
        <v>0.17</v>
      </c>
      <c r="G827" s="4">
        <v>0.6399999999999999</v>
      </c>
    </row>
    <row r="828" spans="1:7" x14ac:dyDescent="0.25">
      <c r="A828" s="1">
        <v>827</v>
      </c>
      <c r="B828" s="2">
        <v>1712224</v>
      </c>
      <c r="C828" s="3">
        <v>2.7E-2</v>
      </c>
      <c r="D828" s="1">
        <v>0.5</v>
      </c>
      <c r="E828" s="4">
        <v>0.24</v>
      </c>
      <c r="F828" s="4">
        <v>0.23</v>
      </c>
      <c r="G828" s="4">
        <v>0.53</v>
      </c>
    </row>
    <row r="829" spans="1:7" x14ac:dyDescent="0.25">
      <c r="A829" s="1">
        <v>828</v>
      </c>
      <c r="B829" s="2">
        <v>1637367</v>
      </c>
      <c r="C829" s="3">
        <v>1.7999999999999999E-2</v>
      </c>
      <c r="D829" s="1">
        <v>0.5</v>
      </c>
      <c r="E829" s="4">
        <v>0.15</v>
      </c>
      <c r="F829" s="4">
        <v>0.3</v>
      </c>
      <c r="G829" s="4">
        <v>0.54999999999999993</v>
      </c>
    </row>
    <row r="830" spans="1:7" x14ac:dyDescent="0.25">
      <c r="A830" s="1">
        <v>829</v>
      </c>
      <c r="B830" s="2">
        <v>1839195</v>
      </c>
      <c r="C830" s="3">
        <v>1.7999999999999999E-2</v>
      </c>
      <c r="D830" s="1">
        <v>0.5</v>
      </c>
      <c r="E830" s="4">
        <v>0.17</v>
      </c>
      <c r="F830" s="4">
        <v>0.15</v>
      </c>
      <c r="G830" s="4">
        <v>0.67999999999999994</v>
      </c>
    </row>
    <row r="831" spans="1:7" x14ac:dyDescent="0.25">
      <c r="A831" s="1">
        <v>830</v>
      </c>
      <c r="B831" s="2">
        <v>1668414</v>
      </c>
      <c r="C831" s="3">
        <v>2.7E-2</v>
      </c>
      <c r="D831" s="1">
        <v>0.5</v>
      </c>
      <c r="E831" s="4">
        <v>0.21</v>
      </c>
      <c r="F831" s="4">
        <v>0.21</v>
      </c>
      <c r="G831" s="4">
        <v>0.58000000000000007</v>
      </c>
    </row>
    <row r="832" spans="1:7" x14ac:dyDescent="0.25">
      <c r="A832" s="1">
        <v>831</v>
      </c>
      <c r="B832" s="2">
        <v>1867325</v>
      </c>
      <c r="C832" s="3">
        <v>1.0999999999999999E-2</v>
      </c>
      <c r="D832" s="1">
        <v>0.5</v>
      </c>
      <c r="E832" s="4">
        <v>0.17</v>
      </c>
      <c r="F832" s="4">
        <v>0.33</v>
      </c>
      <c r="G832" s="4">
        <v>0.49999999999999989</v>
      </c>
    </row>
    <row r="833" spans="1:7" x14ac:dyDescent="0.25">
      <c r="A833" s="1">
        <v>832</v>
      </c>
      <c r="B833" s="2">
        <v>1026731</v>
      </c>
      <c r="C833" s="3">
        <v>1.2999999999999999E-2</v>
      </c>
      <c r="D833" s="1">
        <v>0.5</v>
      </c>
      <c r="E833" s="4">
        <v>0.19</v>
      </c>
      <c r="F833" s="4">
        <v>0.21</v>
      </c>
      <c r="G833" s="4">
        <v>0.60000000000000009</v>
      </c>
    </row>
    <row r="834" spans="1:7" x14ac:dyDescent="0.25">
      <c r="A834" s="1">
        <v>833</v>
      </c>
      <c r="B834" s="2">
        <v>1738047</v>
      </c>
      <c r="C834" s="3">
        <v>1.7999999999999999E-2</v>
      </c>
      <c r="D834" s="1">
        <v>0.5</v>
      </c>
      <c r="E834" s="4">
        <v>0.23</v>
      </c>
      <c r="F834" s="4">
        <v>0.19</v>
      </c>
      <c r="G834" s="4">
        <v>0.58000000000000007</v>
      </c>
    </row>
    <row r="835" spans="1:7" x14ac:dyDescent="0.25">
      <c r="A835" s="1">
        <v>834</v>
      </c>
      <c r="B835" s="2">
        <v>1449775</v>
      </c>
      <c r="C835" s="3">
        <v>0.02</v>
      </c>
      <c r="D835" s="1">
        <v>0.5</v>
      </c>
      <c r="E835" s="4">
        <v>0.25</v>
      </c>
      <c r="F835" s="4">
        <v>0.3</v>
      </c>
      <c r="G835" s="4">
        <v>0.44999999999999996</v>
      </c>
    </row>
    <row r="836" spans="1:7" x14ac:dyDescent="0.25">
      <c r="A836" s="1">
        <v>835</v>
      </c>
      <c r="B836" s="2">
        <v>1808226</v>
      </c>
      <c r="C836" s="3">
        <v>2.5000000000000001E-2</v>
      </c>
      <c r="D836" s="1">
        <v>0.5</v>
      </c>
      <c r="E836" s="4">
        <v>0.21</v>
      </c>
      <c r="F836" s="4">
        <v>0.25</v>
      </c>
      <c r="G836" s="4">
        <v>0.54</v>
      </c>
    </row>
    <row r="837" spans="1:7" x14ac:dyDescent="0.25">
      <c r="A837" s="1">
        <v>836</v>
      </c>
      <c r="B837" s="2">
        <v>1769894</v>
      </c>
      <c r="C837" s="3">
        <v>2.9000000000000001E-2</v>
      </c>
      <c r="D837" s="1">
        <v>0.5</v>
      </c>
      <c r="E837" s="4">
        <v>0.22</v>
      </c>
      <c r="F837" s="4">
        <v>0.19</v>
      </c>
      <c r="G837" s="4">
        <v>0.59000000000000008</v>
      </c>
    </row>
    <row r="838" spans="1:7" x14ac:dyDescent="0.25">
      <c r="A838" s="1">
        <v>837</v>
      </c>
      <c r="B838" s="2">
        <v>1470809</v>
      </c>
      <c r="C838" s="3">
        <v>1.4999999999999999E-2</v>
      </c>
      <c r="D838" s="1">
        <v>0.5</v>
      </c>
      <c r="E838" s="4">
        <v>0.22</v>
      </c>
      <c r="F838" s="4">
        <v>0.28999999999999998</v>
      </c>
      <c r="G838" s="4">
        <v>0.49</v>
      </c>
    </row>
    <row r="839" spans="1:7" x14ac:dyDescent="0.25">
      <c r="A839" s="1">
        <v>838</v>
      </c>
      <c r="B839" s="2">
        <v>1174993</v>
      </c>
      <c r="C839" s="3">
        <v>2.9000000000000001E-2</v>
      </c>
      <c r="D839" s="1">
        <v>0.5</v>
      </c>
      <c r="E839" s="4">
        <v>0.19</v>
      </c>
      <c r="F839" s="4">
        <v>0.24</v>
      </c>
      <c r="G839" s="4">
        <v>0.57000000000000006</v>
      </c>
    </row>
    <row r="840" spans="1:7" x14ac:dyDescent="0.25">
      <c r="A840" s="1">
        <v>839</v>
      </c>
      <c r="B840" s="2">
        <v>1060810</v>
      </c>
      <c r="C840" s="3">
        <v>0.02</v>
      </c>
      <c r="D840" s="1">
        <v>0.5</v>
      </c>
      <c r="E840" s="4">
        <v>0.19</v>
      </c>
      <c r="F840" s="4">
        <v>0.21</v>
      </c>
      <c r="G840" s="4">
        <v>0.60000000000000009</v>
      </c>
    </row>
    <row r="841" spans="1:7" x14ac:dyDescent="0.25">
      <c r="A841" s="1">
        <v>840</v>
      </c>
      <c r="B841" s="2">
        <v>1323300</v>
      </c>
      <c r="C841" s="3">
        <v>1.4E-2</v>
      </c>
      <c r="D841" s="1">
        <v>0.5</v>
      </c>
      <c r="E841" s="4">
        <v>0.17</v>
      </c>
      <c r="F841" s="4">
        <v>0.27</v>
      </c>
      <c r="G841" s="4">
        <v>0.55999999999999994</v>
      </c>
    </row>
    <row r="842" spans="1:7" x14ac:dyDescent="0.25">
      <c r="A842" s="1">
        <v>841</v>
      </c>
      <c r="B842" s="2">
        <v>1610061</v>
      </c>
      <c r="C842" s="3">
        <v>1.9E-2</v>
      </c>
      <c r="D842" s="1">
        <v>0.5</v>
      </c>
      <c r="E842" s="4">
        <v>0.18</v>
      </c>
      <c r="F842" s="4">
        <v>0.31</v>
      </c>
      <c r="G842" s="4">
        <v>0.51</v>
      </c>
    </row>
    <row r="843" spans="1:7" x14ac:dyDescent="0.25">
      <c r="A843" s="1">
        <v>842</v>
      </c>
      <c r="B843" s="2">
        <v>1704291</v>
      </c>
      <c r="C843" s="3">
        <v>2.7E-2</v>
      </c>
      <c r="D843" s="1">
        <v>0.5</v>
      </c>
      <c r="E843" s="4">
        <v>0.2</v>
      </c>
      <c r="F843" s="4">
        <v>0.16</v>
      </c>
      <c r="G843" s="4">
        <v>0.6399999999999999</v>
      </c>
    </row>
    <row r="844" spans="1:7" x14ac:dyDescent="0.25">
      <c r="A844" s="1">
        <v>843</v>
      </c>
      <c r="B844" s="2">
        <v>1221483</v>
      </c>
      <c r="C844" s="3">
        <v>0.03</v>
      </c>
      <c r="D844" s="1">
        <v>0.5</v>
      </c>
      <c r="E844" s="4">
        <v>0.22</v>
      </c>
      <c r="F844" s="4">
        <v>0.28000000000000003</v>
      </c>
      <c r="G844" s="4">
        <v>0.5</v>
      </c>
    </row>
    <row r="845" spans="1:7" x14ac:dyDescent="0.25">
      <c r="A845" s="1">
        <v>844</v>
      </c>
      <c r="B845" s="2">
        <v>1326440</v>
      </c>
      <c r="C845" s="3">
        <v>1.2E-2</v>
      </c>
      <c r="D845" s="1">
        <v>0.5</v>
      </c>
      <c r="E845" s="4">
        <v>0.15</v>
      </c>
      <c r="F845" s="4">
        <v>0.19</v>
      </c>
      <c r="G845" s="4">
        <v>0.66</v>
      </c>
    </row>
    <row r="846" spans="1:7" x14ac:dyDescent="0.25">
      <c r="A846" s="1">
        <v>845</v>
      </c>
      <c r="B846" s="2">
        <v>1487681</v>
      </c>
      <c r="C846" s="3">
        <v>2.4E-2</v>
      </c>
      <c r="D846" s="1">
        <v>0.5</v>
      </c>
      <c r="E846" s="4">
        <v>0.17</v>
      </c>
      <c r="F846" s="4">
        <v>0.32</v>
      </c>
      <c r="G846" s="4">
        <v>0.5099999999999999</v>
      </c>
    </row>
    <row r="847" spans="1:7" x14ac:dyDescent="0.25">
      <c r="A847" s="1">
        <v>846</v>
      </c>
      <c r="B847" s="2">
        <v>1281988</v>
      </c>
      <c r="C847" s="3">
        <v>2.1999999999999999E-2</v>
      </c>
      <c r="D847" s="1">
        <v>0.5</v>
      </c>
      <c r="E847" s="4">
        <v>0.21</v>
      </c>
      <c r="F847" s="4">
        <v>0.34</v>
      </c>
      <c r="G847" s="4">
        <v>0.44999999999999996</v>
      </c>
    </row>
    <row r="848" spans="1:7" x14ac:dyDescent="0.25">
      <c r="A848" s="1">
        <v>847</v>
      </c>
      <c r="B848" s="2">
        <v>1797807</v>
      </c>
      <c r="C848" s="3">
        <v>1.0999999999999999E-2</v>
      </c>
      <c r="D848" s="1">
        <v>0.5</v>
      </c>
      <c r="E848" s="4">
        <v>0.17</v>
      </c>
      <c r="F848" s="4">
        <v>0.33</v>
      </c>
      <c r="G848" s="4">
        <v>0.49999999999999989</v>
      </c>
    </row>
    <row r="849" spans="1:7" x14ac:dyDescent="0.25">
      <c r="A849" s="1">
        <v>848</v>
      </c>
      <c r="B849" s="2">
        <v>1572163</v>
      </c>
      <c r="C849" s="3">
        <v>2.7E-2</v>
      </c>
      <c r="D849" s="1">
        <v>0.5</v>
      </c>
      <c r="E849" s="4">
        <v>0.23</v>
      </c>
      <c r="F849" s="4">
        <v>0.28000000000000003</v>
      </c>
      <c r="G849" s="4">
        <v>0.49</v>
      </c>
    </row>
    <row r="850" spans="1:7" x14ac:dyDescent="0.25">
      <c r="A850" s="1">
        <v>849</v>
      </c>
      <c r="B850" s="2">
        <v>1612390</v>
      </c>
      <c r="C850" s="3">
        <v>2.9000000000000001E-2</v>
      </c>
      <c r="D850" s="1">
        <v>0.5</v>
      </c>
      <c r="E850" s="4">
        <v>0.21</v>
      </c>
      <c r="F850" s="4">
        <v>0.31</v>
      </c>
      <c r="G850" s="4">
        <v>0.48</v>
      </c>
    </row>
    <row r="851" spans="1:7" x14ac:dyDescent="0.25">
      <c r="A851" s="1">
        <v>850</v>
      </c>
      <c r="B851" s="2">
        <v>1836290</v>
      </c>
      <c r="C851" s="3">
        <v>1.9E-2</v>
      </c>
      <c r="D851" s="1">
        <v>0.5</v>
      </c>
      <c r="E851" s="4">
        <v>0.16</v>
      </c>
      <c r="F851" s="4">
        <v>0.24</v>
      </c>
      <c r="G851" s="4">
        <v>0.6</v>
      </c>
    </row>
    <row r="852" spans="1:7" x14ac:dyDescent="0.25">
      <c r="A852" s="1">
        <v>851</v>
      </c>
      <c r="B852" s="2">
        <v>1601172</v>
      </c>
      <c r="C852" s="3">
        <v>2.3E-2</v>
      </c>
      <c r="D852" s="1">
        <v>0.5</v>
      </c>
      <c r="E852" s="4">
        <v>0.18</v>
      </c>
      <c r="F852" s="4">
        <v>0.2</v>
      </c>
      <c r="G852" s="4">
        <v>0.62000000000000011</v>
      </c>
    </row>
    <row r="853" spans="1:7" x14ac:dyDescent="0.25">
      <c r="A853" s="1">
        <v>852</v>
      </c>
      <c r="B853" s="2">
        <v>1742268</v>
      </c>
      <c r="C853" s="3">
        <v>2.5000000000000001E-2</v>
      </c>
      <c r="D853" s="1">
        <v>0.5</v>
      </c>
      <c r="E853" s="4">
        <v>0.2</v>
      </c>
      <c r="F853" s="4">
        <v>0.18</v>
      </c>
      <c r="G853" s="4">
        <v>0.62000000000000011</v>
      </c>
    </row>
    <row r="854" spans="1:7" x14ac:dyDescent="0.25">
      <c r="A854" s="1">
        <v>853</v>
      </c>
      <c r="B854" s="2">
        <v>1429741</v>
      </c>
      <c r="C854" s="3">
        <v>1.0999999999999999E-2</v>
      </c>
      <c r="D854" s="1">
        <v>0.5</v>
      </c>
      <c r="E854" s="4">
        <v>0.18</v>
      </c>
      <c r="F854" s="4">
        <v>0.19</v>
      </c>
      <c r="G854" s="4">
        <v>0.63000000000000012</v>
      </c>
    </row>
    <row r="855" spans="1:7" x14ac:dyDescent="0.25">
      <c r="A855" s="1">
        <v>854</v>
      </c>
      <c r="B855" s="2">
        <v>1459285</v>
      </c>
      <c r="C855" s="3">
        <v>1.7000000000000001E-2</v>
      </c>
      <c r="D855" s="1">
        <v>0.5</v>
      </c>
      <c r="E855" s="4">
        <v>0.25</v>
      </c>
      <c r="F855" s="4">
        <v>0.2</v>
      </c>
      <c r="G855" s="4">
        <v>0.55000000000000004</v>
      </c>
    </row>
    <row r="856" spans="1:7" x14ac:dyDescent="0.25">
      <c r="A856" s="1">
        <v>855</v>
      </c>
      <c r="B856" s="2">
        <v>1103261</v>
      </c>
      <c r="C856" s="3">
        <v>1.7000000000000001E-2</v>
      </c>
      <c r="D856" s="1">
        <v>0.5</v>
      </c>
      <c r="E856" s="4">
        <v>0.24</v>
      </c>
      <c r="F856" s="4">
        <v>0.2</v>
      </c>
      <c r="G856" s="4">
        <v>0.56000000000000005</v>
      </c>
    </row>
    <row r="857" spans="1:7" x14ac:dyDescent="0.25">
      <c r="A857" s="1">
        <v>856</v>
      </c>
      <c r="B857" s="2">
        <v>1531637</v>
      </c>
      <c r="C857" s="3">
        <v>2.5999999999999999E-2</v>
      </c>
      <c r="D857" s="1">
        <v>0.5</v>
      </c>
      <c r="E857" s="4">
        <v>0.17</v>
      </c>
      <c r="F857" s="4">
        <v>0.28000000000000003</v>
      </c>
      <c r="G857" s="4">
        <v>0.54999999999999993</v>
      </c>
    </row>
    <row r="858" spans="1:7" x14ac:dyDescent="0.25">
      <c r="A858" s="1">
        <v>857</v>
      </c>
      <c r="B858" s="2">
        <v>1383955</v>
      </c>
      <c r="C858" s="3">
        <v>2.5999999999999999E-2</v>
      </c>
      <c r="D858" s="1">
        <v>0.5</v>
      </c>
      <c r="E858" s="4">
        <v>0.18</v>
      </c>
      <c r="F858" s="4">
        <v>0.27</v>
      </c>
      <c r="G858" s="4">
        <v>0.55000000000000004</v>
      </c>
    </row>
    <row r="859" spans="1:7" x14ac:dyDescent="0.25">
      <c r="A859" s="1">
        <v>858</v>
      </c>
      <c r="B859" s="2">
        <v>1359986</v>
      </c>
      <c r="C859" s="3">
        <v>0.03</v>
      </c>
      <c r="D859" s="1">
        <v>0.5</v>
      </c>
      <c r="E859" s="4">
        <v>0.23</v>
      </c>
      <c r="F859" s="4">
        <v>0.26</v>
      </c>
      <c r="G859" s="4">
        <v>0.51</v>
      </c>
    </row>
    <row r="860" spans="1:7" x14ac:dyDescent="0.25">
      <c r="A860" s="1">
        <v>859</v>
      </c>
      <c r="B860" s="2">
        <v>1805339</v>
      </c>
      <c r="C860" s="3">
        <v>0.01</v>
      </c>
      <c r="D860" s="1">
        <v>0.5</v>
      </c>
      <c r="E860" s="4">
        <v>0.21</v>
      </c>
      <c r="F860" s="4">
        <v>0.24</v>
      </c>
      <c r="G860" s="4">
        <v>0.55000000000000004</v>
      </c>
    </row>
    <row r="861" spans="1:7" x14ac:dyDescent="0.25">
      <c r="A861" s="1">
        <v>860</v>
      </c>
      <c r="B861" s="2">
        <v>1047054</v>
      </c>
      <c r="C861" s="3">
        <v>1.4E-2</v>
      </c>
      <c r="D861" s="1">
        <v>0.5</v>
      </c>
      <c r="E861" s="4">
        <v>0.24</v>
      </c>
      <c r="F861" s="4">
        <v>0.22</v>
      </c>
      <c r="G861" s="4">
        <v>0.54</v>
      </c>
    </row>
    <row r="862" spans="1:7" x14ac:dyDescent="0.25">
      <c r="A862" s="1">
        <v>861</v>
      </c>
      <c r="B862" s="2">
        <v>1467788</v>
      </c>
      <c r="C862" s="3">
        <v>2.1000000000000001E-2</v>
      </c>
      <c r="D862" s="1">
        <v>0.5</v>
      </c>
      <c r="E862" s="4">
        <v>0.16</v>
      </c>
      <c r="F862" s="4">
        <v>0.33</v>
      </c>
      <c r="G862" s="4">
        <v>0.5099999999999999</v>
      </c>
    </row>
    <row r="863" spans="1:7" x14ac:dyDescent="0.25">
      <c r="A863" s="1">
        <v>862</v>
      </c>
      <c r="B863" s="2">
        <v>1010592</v>
      </c>
      <c r="C863" s="3">
        <v>0.01</v>
      </c>
      <c r="D863" s="1">
        <v>0.5</v>
      </c>
      <c r="E863" s="4">
        <v>0.23</v>
      </c>
      <c r="F863" s="4">
        <v>0.35</v>
      </c>
      <c r="G863" s="4">
        <v>0.42000000000000004</v>
      </c>
    </row>
    <row r="864" spans="1:7" x14ac:dyDescent="0.25">
      <c r="A864" s="1">
        <v>863</v>
      </c>
      <c r="B864" s="2">
        <v>1004085</v>
      </c>
      <c r="C864" s="3">
        <v>1.7999999999999999E-2</v>
      </c>
      <c r="D864" s="1">
        <v>0.5</v>
      </c>
      <c r="E864" s="4">
        <v>0.18</v>
      </c>
      <c r="F864" s="4">
        <v>0.22</v>
      </c>
      <c r="G864" s="4">
        <v>0.60000000000000009</v>
      </c>
    </row>
    <row r="865" spans="1:7" x14ac:dyDescent="0.25">
      <c r="A865" s="1">
        <v>864</v>
      </c>
      <c r="B865" s="2">
        <v>1461335</v>
      </c>
      <c r="C865" s="3">
        <v>1.4E-2</v>
      </c>
      <c r="D865" s="1">
        <v>0.5</v>
      </c>
      <c r="E865" s="4">
        <v>0.2</v>
      </c>
      <c r="F865" s="4">
        <v>0.22</v>
      </c>
      <c r="G865" s="4">
        <v>0.58000000000000007</v>
      </c>
    </row>
    <row r="866" spans="1:7" x14ac:dyDescent="0.25">
      <c r="A866" s="1">
        <v>865</v>
      </c>
      <c r="B866" s="2">
        <v>1521665</v>
      </c>
      <c r="C866" s="3">
        <v>1.6E-2</v>
      </c>
      <c r="D866" s="1">
        <v>0.5</v>
      </c>
      <c r="E866" s="4">
        <v>0.21</v>
      </c>
      <c r="F866" s="4">
        <v>0.28999999999999998</v>
      </c>
      <c r="G866" s="4">
        <v>0.5</v>
      </c>
    </row>
    <row r="867" spans="1:7" x14ac:dyDescent="0.25">
      <c r="A867" s="1">
        <v>866</v>
      </c>
      <c r="B867" s="2">
        <v>1957326</v>
      </c>
      <c r="C867" s="3">
        <v>1.9E-2</v>
      </c>
      <c r="D867" s="1">
        <v>0.5</v>
      </c>
      <c r="E867" s="4">
        <v>0.19</v>
      </c>
      <c r="F867" s="4">
        <v>0.23</v>
      </c>
      <c r="G867" s="4">
        <v>0.58000000000000007</v>
      </c>
    </row>
    <row r="868" spans="1:7" x14ac:dyDescent="0.25">
      <c r="A868" s="1">
        <v>867</v>
      </c>
      <c r="B868" s="2">
        <v>1244894</v>
      </c>
      <c r="C868" s="3">
        <v>1.7000000000000001E-2</v>
      </c>
      <c r="D868" s="1">
        <v>0.5</v>
      </c>
      <c r="E868" s="4">
        <v>0.19</v>
      </c>
      <c r="F868" s="4">
        <v>0.2</v>
      </c>
      <c r="G868" s="4">
        <v>0.6100000000000001</v>
      </c>
    </row>
    <row r="869" spans="1:7" x14ac:dyDescent="0.25">
      <c r="A869" s="1">
        <v>868</v>
      </c>
      <c r="B869" s="2">
        <v>1070972</v>
      </c>
      <c r="C869" s="3">
        <v>2.9000000000000001E-2</v>
      </c>
      <c r="D869" s="1">
        <v>0.5</v>
      </c>
      <c r="E869" s="4">
        <v>0.15</v>
      </c>
      <c r="F869" s="4">
        <v>0.27</v>
      </c>
      <c r="G869" s="4">
        <v>0.57999999999999996</v>
      </c>
    </row>
    <row r="870" spans="1:7" x14ac:dyDescent="0.25">
      <c r="A870" s="1">
        <v>869</v>
      </c>
      <c r="B870" s="2">
        <v>1372533</v>
      </c>
      <c r="C870" s="3">
        <v>2.4E-2</v>
      </c>
      <c r="D870" s="1">
        <v>0.5</v>
      </c>
      <c r="E870" s="4">
        <v>0.19</v>
      </c>
      <c r="F870" s="4">
        <v>0.23</v>
      </c>
      <c r="G870" s="4">
        <v>0.58000000000000007</v>
      </c>
    </row>
    <row r="871" spans="1:7" x14ac:dyDescent="0.25">
      <c r="A871" s="1">
        <v>870</v>
      </c>
      <c r="B871" s="2">
        <v>1805851</v>
      </c>
      <c r="C871" s="3">
        <v>1.7999999999999999E-2</v>
      </c>
      <c r="D871" s="1">
        <v>0.5</v>
      </c>
      <c r="E871" s="4">
        <v>0.17</v>
      </c>
      <c r="F871" s="4">
        <v>0.3</v>
      </c>
      <c r="G871" s="4">
        <v>0.52999999999999992</v>
      </c>
    </row>
    <row r="872" spans="1:7" x14ac:dyDescent="0.25">
      <c r="A872" s="1">
        <v>871</v>
      </c>
      <c r="B872" s="2">
        <v>1181103</v>
      </c>
      <c r="C872" s="3">
        <v>1.0999999999999999E-2</v>
      </c>
      <c r="D872" s="1">
        <v>0.5</v>
      </c>
      <c r="E872" s="4">
        <v>0.21</v>
      </c>
      <c r="F872" s="4">
        <v>0.26</v>
      </c>
      <c r="G872" s="4">
        <v>0.53</v>
      </c>
    </row>
    <row r="873" spans="1:7" x14ac:dyDescent="0.25">
      <c r="A873" s="1">
        <v>872</v>
      </c>
      <c r="B873" s="2">
        <v>1859948</v>
      </c>
      <c r="C873" s="3">
        <v>0.02</v>
      </c>
      <c r="D873" s="1">
        <v>0.5</v>
      </c>
      <c r="E873" s="4">
        <v>0.16</v>
      </c>
      <c r="F873" s="4">
        <v>0.24</v>
      </c>
      <c r="G873" s="4">
        <v>0.6</v>
      </c>
    </row>
    <row r="874" spans="1:7" x14ac:dyDescent="0.25">
      <c r="A874" s="1">
        <v>873</v>
      </c>
      <c r="B874" s="2">
        <v>1637149</v>
      </c>
      <c r="C874" s="3">
        <v>1.2E-2</v>
      </c>
      <c r="D874" s="1">
        <v>0.5</v>
      </c>
      <c r="E874" s="4">
        <v>0.25</v>
      </c>
      <c r="F874" s="4">
        <v>0.18</v>
      </c>
      <c r="G874" s="4">
        <v>0.57000000000000006</v>
      </c>
    </row>
    <row r="875" spans="1:7" x14ac:dyDescent="0.25">
      <c r="A875" s="1">
        <v>874</v>
      </c>
      <c r="B875" s="2">
        <v>1937779</v>
      </c>
      <c r="C875" s="3">
        <v>1.2E-2</v>
      </c>
      <c r="D875" s="1">
        <v>0.5</v>
      </c>
      <c r="E875" s="4">
        <v>0.19</v>
      </c>
      <c r="F875" s="4">
        <v>0.3</v>
      </c>
      <c r="G875" s="4">
        <v>0.51</v>
      </c>
    </row>
    <row r="876" spans="1:7" x14ac:dyDescent="0.25">
      <c r="A876" s="1">
        <v>875</v>
      </c>
      <c r="B876" s="2">
        <v>1107914</v>
      </c>
      <c r="C876" s="3">
        <v>1.2999999999999999E-2</v>
      </c>
      <c r="D876" s="1">
        <v>0.5</v>
      </c>
      <c r="E876" s="4">
        <v>0.22</v>
      </c>
      <c r="F876" s="4">
        <v>0.27</v>
      </c>
      <c r="G876" s="4">
        <v>0.51</v>
      </c>
    </row>
    <row r="877" spans="1:7" x14ac:dyDescent="0.25">
      <c r="A877" s="1">
        <v>876</v>
      </c>
      <c r="B877" s="2">
        <v>1467383</v>
      </c>
      <c r="C877" s="3">
        <v>2.1999999999999999E-2</v>
      </c>
      <c r="D877" s="1">
        <v>0.5</v>
      </c>
      <c r="E877" s="4">
        <v>0.23</v>
      </c>
      <c r="F877" s="4">
        <v>0.3</v>
      </c>
      <c r="G877" s="4">
        <v>0.47</v>
      </c>
    </row>
    <row r="878" spans="1:7" x14ac:dyDescent="0.25">
      <c r="A878" s="1">
        <v>877</v>
      </c>
      <c r="B878" s="2">
        <v>1317040</v>
      </c>
      <c r="C878" s="3">
        <v>1.7999999999999999E-2</v>
      </c>
      <c r="D878" s="1">
        <v>0.5</v>
      </c>
      <c r="E878" s="4">
        <v>0.24</v>
      </c>
      <c r="F878" s="4">
        <v>0.32</v>
      </c>
      <c r="G878" s="4">
        <v>0.43999999999999995</v>
      </c>
    </row>
    <row r="879" spans="1:7" x14ac:dyDescent="0.25">
      <c r="A879" s="1">
        <v>878</v>
      </c>
      <c r="B879" s="2">
        <v>1211165</v>
      </c>
      <c r="C879" s="3">
        <v>1.0999999999999999E-2</v>
      </c>
      <c r="D879" s="1">
        <v>0.5</v>
      </c>
      <c r="E879" s="4">
        <v>0.21</v>
      </c>
      <c r="F879" s="4">
        <v>0.26</v>
      </c>
      <c r="G879" s="4">
        <v>0.53</v>
      </c>
    </row>
    <row r="880" spans="1:7" x14ac:dyDescent="0.25">
      <c r="A880" s="1">
        <v>879</v>
      </c>
      <c r="B880" s="2">
        <v>1184417</v>
      </c>
      <c r="C880" s="3">
        <v>2.9000000000000001E-2</v>
      </c>
      <c r="D880" s="1">
        <v>0.5</v>
      </c>
      <c r="E880" s="4">
        <v>0.2</v>
      </c>
      <c r="F880" s="4">
        <v>0.25</v>
      </c>
      <c r="G880" s="4">
        <v>0.55000000000000004</v>
      </c>
    </row>
    <row r="881" spans="1:7" x14ac:dyDescent="0.25">
      <c r="A881" s="1">
        <v>880</v>
      </c>
      <c r="B881" s="2">
        <v>1896714</v>
      </c>
      <c r="C881" s="3">
        <v>1.2E-2</v>
      </c>
      <c r="D881" s="1">
        <v>0.5</v>
      </c>
      <c r="E881" s="4">
        <v>0.18</v>
      </c>
      <c r="F881" s="4">
        <v>0.35</v>
      </c>
      <c r="G881" s="4">
        <v>0.47000000000000003</v>
      </c>
    </row>
    <row r="882" spans="1:7" x14ac:dyDescent="0.25">
      <c r="A882" s="1">
        <v>881</v>
      </c>
      <c r="B882" s="2">
        <v>1993200</v>
      </c>
      <c r="C882" s="3">
        <v>1.4999999999999999E-2</v>
      </c>
      <c r="D882" s="1">
        <v>0.5</v>
      </c>
      <c r="E882" s="4">
        <v>0.21</v>
      </c>
      <c r="F882" s="4">
        <v>0.26</v>
      </c>
      <c r="G882" s="4">
        <v>0.53</v>
      </c>
    </row>
    <row r="883" spans="1:7" x14ac:dyDescent="0.25">
      <c r="A883" s="1">
        <v>882</v>
      </c>
      <c r="B883" s="2">
        <v>1785661</v>
      </c>
      <c r="C883" s="3">
        <v>2.5000000000000001E-2</v>
      </c>
      <c r="D883" s="1">
        <v>0.5</v>
      </c>
      <c r="E883" s="4">
        <v>0.24</v>
      </c>
      <c r="F883" s="4">
        <v>0.2</v>
      </c>
      <c r="G883" s="4">
        <v>0.56000000000000005</v>
      </c>
    </row>
    <row r="884" spans="1:7" x14ac:dyDescent="0.25">
      <c r="A884" s="1">
        <v>883</v>
      </c>
      <c r="B884" s="2">
        <v>1244472</v>
      </c>
      <c r="C884" s="3">
        <v>0.01</v>
      </c>
      <c r="D884" s="1">
        <v>0.5</v>
      </c>
      <c r="E884" s="4">
        <v>0.16</v>
      </c>
      <c r="F884" s="4">
        <v>0.24</v>
      </c>
      <c r="G884" s="4">
        <v>0.6</v>
      </c>
    </row>
    <row r="885" spans="1:7" x14ac:dyDescent="0.25">
      <c r="A885" s="1">
        <v>884</v>
      </c>
      <c r="B885" s="2">
        <v>1109953</v>
      </c>
      <c r="C885" s="3">
        <v>1.4E-2</v>
      </c>
      <c r="D885" s="1">
        <v>0.5</v>
      </c>
      <c r="E885" s="4">
        <v>0.22</v>
      </c>
      <c r="F885" s="4">
        <v>0.25</v>
      </c>
      <c r="G885" s="4">
        <v>0.53</v>
      </c>
    </row>
    <row r="886" spans="1:7" x14ac:dyDescent="0.25">
      <c r="A886" s="1">
        <v>885</v>
      </c>
      <c r="B886" s="2">
        <v>1237855</v>
      </c>
      <c r="C886" s="3">
        <v>2.9000000000000001E-2</v>
      </c>
      <c r="D886" s="1">
        <v>0.5</v>
      </c>
      <c r="E886" s="4">
        <v>0.2</v>
      </c>
      <c r="F886" s="4">
        <v>0.15</v>
      </c>
      <c r="G886" s="4">
        <v>0.64999999999999991</v>
      </c>
    </row>
    <row r="887" spans="1:7" x14ac:dyDescent="0.25">
      <c r="A887" s="1">
        <v>886</v>
      </c>
      <c r="B887" s="2">
        <v>1082154</v>
      </c>
      <c r="C887" s="3">
        <v>1.7000000000000001E-2</v>
      </c>
      <c r="D887" s="1">
        <v>0.5</v>
      </c>
      <c r="E887" s="4">
        <v>0.2</v>
      </c>
      <c r="F887" s="4">
        <v>0.26</v>
      </c>
      <c r="G887" s="4">
        <v>0.54</v>
      </c>
    </row>
    <row r="888" spans="1:7" x14ac:dyDescent="0.25">
      <c r="A888" s="1">
        <v>887</v>
      </c>
      <c r="B888" s="2">
        <v>1855775</v>
      </c>
      <c r="C888" s="3">
        <v>2.3E-2</v>
      </c>
      <c r="D888" s="1">
        <v>0.5</v>
      </c>
      <c r="E888" s="4">
        <v>0.17</v>
      </c>
      <c r="F888" s="4">
        <v>0.27</v>
      </c>
      <c r="G888" s="4">
        <v>0.55999999999999994</v>
      </c>
    </row>
    <row r="889" spans="1:7" x14ac:dyDescent="0.25">
      <c r="A889" s="1">
        <v>888</v>
      </c>
      <c r="B889" s="2">
        <v>1234441</v>
      </c>
      <c r="C889" s="3">
        <v>2.5000000000000001E-2</v>
      </c>
      <c r="D889" s="1">
        <v>0.5</v>
      </c>
      <c r="E889" s="4">
        <v>0.16</v>
      </c>
      <c r="F889" s="4">
        <v>0.16</v>
      </c>
      <c r="G889" s="4">
        <v>0.67999999999999994</v>
      </c>
    </row>
    <row r="890" spans="1:7" x14ac:dyDescent="0.25">
      <c r="A890" s="1">
        <v>889</v>
      </c>
      <c r="B890" s="2">
        <v>1511320</v>
      </c>
      <c r="C890" s="3">
        <v>1.2E-2</v>
      </c>
      <c r="D890" s="1">
        <v>0.5</v>
      </c>
      <c r="E890" s="4">
        <v>0.15</v>
      </c>
      <c r="F890" s="4">
        <v>0.25</v>
      </c>
      <c r="G890" s="4">
        <v>0.6</v>
      </c>
    </row>
    <row r="891" spans="1:7" x14ac:dyDescent="0.25">
      <c r="A891" s="1">
        <v>890</v>
      </c>
      <c r="B891" s="2">
        <v>1950177</v>
      </c>
      <c r="C891" s="3">
        <v>1.9E-2</v>
      </c>
      <c r="D891" s="1">
        <v>0.5</v>
      </c>
      <c r="E891" s="4">
        <v>0.23</v>
      </c>
      <c r="F891" s="4">
        <v>0.23</v>
      </c>
      <c r="G891" s="4">
        <v>0.54</v>
      </c>
    </row>
    <row r="892" spans="1:7" x14ac:dyDescent="0.25">
      <c r="A892" s="1">
        <v>891</v>
      </c>
      <c r="B892" s="2">
        <v>1114960</v>
      </c>
      <c r="C892" s="3">
        <v>1.9E-2</v>
      </c>
      <c r="D892" s="1">
        <v>0.5</v>
      </c>
      <c r="E892" s="4">
        <v>0.16</v>
      </c>
      <c r="F892" s="4">
        <v>0.31</v>
      </c>
      <c r="G892" s="4">
        <v>0.52999999999999992</v>
      </c>
    </row>
    <row r="893" spans="1:7" x14ac:dyDescent="0.25">
      <c r="A893" s="1">
        <v>892</v>
      </c>
      <c r="B893" s="2">
        <v>1416142</v>
      </c>
      <c r="C893" s="3">
        <v>0.03</v>
      </c>
      <c r="D893" s="1">
        <v>0.5</v>
      </c>
      <c r="E893" s="4">
        <v>0.25</v>
      </c>
      <c r="F893" s="4">
        <v>0.31</v>
      </c>
      <c r="G893" s="4">
        <v>0.43999999999999995</v>
      </c>
    </row>
    <row r="894" spans="1:7" x14ac:dyDescent="0.25">
      <c r="A894" s="1">
        <v>893</v>
      </c>
      <c r="B894" s="2">
        <v>1047271</v>
      </c>
      <c r="C894" s="3">
        <v>0.01</v>
      </c>
      <c r="D894" s="1">
        <v>0.5</v>
      </c>
      <c r="E894" s="4">
        <v>0.18</v>
      </c>
      <c r="F894" s="4">
        <v>0.19</v>
      </c>
      <c r="G894" s="4">
        <v>0.63000000000000012</v>
      </c>
    </row>
    <row r="895" spans="1:7" x14ac:dyDescent="0.25">
      <c r="A895" s="1">
        <v>894</v>
      </c>
      <c r="B895" s="2">
        <v>1057543</v>
      </c>
      <c r="C895" s="3">
        <v>0.01</v>
      </c>
      <c r="D895" s="1">
        <v>0.5</v>
      </c>
      <c r="E895" s="4">
        <v>0.16</v>
      </c>
      <c r="F895" s="4">
        <v>0.26</v>
      </c>
      <c r="G895" s="4">
        <v>0.57999999999999996</v>
      </c>
    </row>
    <row r="896" spans="1:7" x14ac:dyDescent="0.25">
      <c r="A896" s="1">
        <v>895</v>
      </c>
      <c r="B896" s="2">
        <v>1149294</v>
      </c>
      <c r="C896" s="3">
        <v>0.01</v>
      </c>
      <c r="D896" s="1">
        <v>0.5</v>
      </c>
      <c r="E896" s="4">
        <v>0.23</v>
      </c>
      <c r="F896" s="4">
        <v>0.31</v>
      </c>
      <c r="G896" s="4">
        <v>0.45999999999999996</v>
      </c>
    </row>
    <row r="897" spans="1:7" x14ac:dyDescent="0.25">
      <c r="A897" s="1">
        <v>896</v>
      </c>
      <c r="B897" s="2">
        <v>1831605</v>
      </c>
      <c r="C897" s="3">
        <v>0.02</v>
      </c>
      <c r="D897" s="1">
        <v>0.5</v>
      </c>
      <c r="E897" s="4">
        <v>0.17</v>
      </c>
      <c r="F897" s="4">
        <v>0.3</v>
      </c>
      <c r="G897" s="4">
        <v>0.52999999999999992</v>
      </c>
    </row>
    <row r="898" spans="1:7" x14ac:dyDescent="0.25">
      <c r="A898" s="1">
        <v>897</v>
      </c>
      <c r="B898" s="2">
        <v>1826180</v>
      </c>
      <c r="C898" s="3">
        <v>2.4E-2</v>
      </c>
      <c r="D898" s="1">
        <v>0.5</v>
      </c>
      <c r="E898" s="4">
        <v>0.2</v>
      </c>
      <c r="F898" s="4">
        <v>0.16</v>
      </c>
      <c r="G898" s="4">
        <v>0.6399999999999999</v>
      </c>
    </row>
    <row r="899" spans="1:7" x14ac:dyDescent="0.25">
      <c r="A899" s="1">
        <v>898</v>
      </c>
      <c r="B899" s="2">
        <v>1780898</v>
      </c>
      <c r="C899" s="3">
        <v>2.5000000000000001E-2</v>
      </c>
      <c r="D899" s="1">
        <v>0.5</v>
      </c>
      <c r="E899" s="4">
        <v>0.21</v>
      </c>
      <c r="F899" s="4">
        <v>0.31</v>
      </c>
      <c r="G899" s="4">
        <v>0.48</v>
      </c>
    </row>
    <row r="900" spans="1:7" x14ac:dyDescent="0.25">
      <c r="A900" s="1">
        <v>899</v>
      </c>
      <c r="B900" s="2">
        <v>1509210</v>
      </c>
      <c r="C900" s="3">
        <v>1.4E-2</v>
      </c>
      <c r="D900" s="1">
        <v>0.5</v>
      </c>
      <c r="E900" s="4">
        <v>0.19</v>
      </c>
      <c r="F900" s="4">
        <v>0.16</v>
      </c>
      <c r="G900" s="4">
        <v>0.64999999999999991</v>
      </c>
    </row>
    <row r="901" spans="1:7" x14ac:dyDescent="0.25">
      <c r="A901" s="1">
        <v>900</v>
      </c>
      <c r="B901" s="2">
        <v>1361998</v>
      </c>
      <c r="C901" s="3">
        <v>2.3E-2</v>
      </c>
      <c r="D901" s="1">
        <v>0.5</v>
      </c>
      <c r="E901" s="4">
        <v>0.2</v>
      </c>
      <c r="F901" s="4">
        <v>0.15</v>
      </c>
      <c r="G901" s="4">
        <v>0.64999999999999991</v>
      </c>
    </row>
    <row r="902" spans="1:7" x14ac:dyDescent="0.25">
      <c r="A902" s="1">
        <v>901</v>
      </c>
      <c r="B902" s="2">
        <v>1335645</v>
      </c>
      <c r="C902" s="3">
        <v>2.7E-2</v>
      </c>
      <c r="D902" s="1">
        <v>0.5</v>
      </c>
      <c r="E902" s="4">
        <v>0.16</v>
      </c>
      <c r="F902" s="4">
        <v>0.23</v>
      </c>
      <c r="G902" s="4">
        <v>0.61</v>
      </c>
    </row>
    <row r="903" spans="1:7" x14ac:dyDescent="0.25">
      <c r="A903" s="1">
        <v>902</v>
      </c>
      <c r="B903" s="2">
        <v>1568873</v>
      </c>
      <c r="C903" s="3">
        <v>1.4999999999999999E-2</v>
      </c>
      <c r="D903" s="1">
        <v>0.5</v>
      </c>
      <c r="E903" s="4">
        <v>0.24</v>
      </c>
      <c r="F903" s="4">
        <v>0.33</v>
      </c>
      <c r="G903" s="4">
        <v>0.42999999999999994</v>
      </c>
    </row>
    <row r="904" spans="1:7" x14ac:dyDescent="0.25">
      <c r="A904" s="1">
        <v>903</v>
      </c>
      <c r="B904" s="2">
        <v>1390047</v>
      </c>
      <c r="C904" s="3">
        <v>2.4E-2</v>
      </c>
      <c r="D904" s="1">
        <v>0.5</v>
      </c>
      <c r="E904" s="4">
        <v>0.17</v>
      </c>
      <c r="F904" s="4">
        <v>0.32</v>
      </c>
      <c r="G904" s="4">
        <v>0.5099999999999999</v>
      </c>
    </row>
    <row r="905" spans="1:7" x14ac:dyDescent="0.25">
      <c r="A905" s="1">
        <v>904</v>
      </c>
      <c r="B905" s="2">
        <v>1858209</v>
      </c>
      <c r="C905" s="3">
        <v>1.7999999999999999E-2</v>
      </c>
      <c r="D905" s="1">
        <v>0.5</v>
      </c>
      <c r="E905" s="4">
        <v>0.17</v>
      </c>
      <c r="F905" s="4">
        <v>0.35</v>
      </c>
      <c r="G905" s="4">
        <v>0.48</v>
      </c>
    </row>
    <row r="906" spans="1:7" x14ac:dyDescent="0.25">
      <c r="A906" s="1">
        <v>905</v>
      </c>
      <c r="B906" s="2">
        <v>1371449</v>
      </c>
      <c r="C906" s="3">
        <v>2.5999999999999999E-2</v>
      </c>
      <c r="D906" s="1">
        <v>0.5</v>
      </c>
      <c r="E906" s="4">
        <v>0.15</v>
      </c>
      <c r="F906" s="4">
        <v>0.28000000000000003</v>
      </c>
      <c r="G906" s="4">
        <v>0.56999999999999995</v>
      </c>
    </row>
    <row r="907" spans="1:7" x14ac:dyDescent="0.25">
      <c r="A907" s="1">
        <v>906</v>
      </c>
      <c r="B907" s="2">
        <v>1170425</v>
      </c>
      <c r="C907" s="3">
        <v>2.9000000000000001E-2</v>
      </c>
      <c r="D907" s="1">
        <v>0.5</v>
      </c>
      <c r="E907" s="4">
        <v>0.18</v>
      </c>
      <c r="F907" s="4">
        <v>0.19</v>
      </c>
      <c r="G907" s="4">
        <v>0.63000000000000012</v>
      </c>
    </row>
    <row r="908" spans="1:7" x14ac:dyDescent="0.25">
      <c r="A908" s="1">
        <v>907</v>
      </c>
      <c r="B908" s="2">
        <v>1287476</v>
      </c>
      <c r="C908" s="3">
        <v>1.9E-2</v>
      </c>
      <c r="D908" s="1">
        <v>0.5</v>
      </c>
      <c r="E908" s="4">
        <v>0.2</v>
      </c>
      <c r="F908" s="4">
        <v>0.24</v>
      </c>
      <c r="G908" s="4">
        <v>0.56000000000000005</v>
      </c>
    </row>
    <row r="909" spans="1:7" x14ac:dyDescent="0.25">
      <c r="A909" s="1">
        <v>908</v>
      </c>
      <c r="B909" s="2">
        <v>1771295</v>
      </c>
      <c r="C909" s="3">
        <v>0.03</v>
      </c>
      <c r="D909" s="1">
        <v>0.5</v>
      </c>
      <c r="E909" s="4">
        <v>0.22</v>
      </c>
      <c r="F909" s="4">
        <v>0.2</v>
      </c>
      <c r="G909" s="4">
        <v>0.58000000000000007</v>
      </c>
    </row>
    <row r="910" spans="1:7" x14ac:dyDescent="0.25">
      <c r="A910" s="1">
        <v>909</v>
      </c>
      <c r="B910" s="2">
        <v>1444106</v>
      </c>
      <c r="C910" s="3">
        <v>2.9000000000000001E-2</v>
      </c>
      <c r="D910" s="1">
        <v>0.5</v>
      </c>
      <c r="E910" s="4">
        <v>0.23</v>
      </c>
      <c r="F910" s="4">
        <v>0.25</v>
      </c>
      <c r="G910" s="4">
        <v>0.52</v>
      </c>
    </row>
    <row r="911" spans="1:7" x14ac:dyDescent="0.25">
      <c r="A911" s="1">
        <v>910</v>
      </c>
      <c r="B911" s="2">
        <v>1269382</v>
      </c>
      <c r="C911" s="3">
        <v>1.4999999999999999E-2</v>
      </c>
      <c r="D911" s="1">
        <v>0.5</v>
      </c>
      <c r="E911" s="4">
        <v>0.23</v>
      </c>
      <c r="F911" s="4">
        <v>0.2</v>
      </c>
      <c r="G911" s="4">
        <v>0.57000000000000006</v>
      </c>
    </row>
    <row r="912" spans="1:7" x14ac:dyDescent="0.25">
      <c r="A912" s="1">
        <v>911</v>
      </c>
      <c r="B912" s="2">
        <v>1790422</v>
      </c>
      <c r="C912" s="3">
        <v>1.0999999999999999E-2</v>
      </c>
      <c r="D912" s="1">
        <v>0.5</v>
      </c>
      <c r="E912" s="4">
        <v>0.24</v>
      </c>
      <c r="F912" s="4">
        <v>0.33</v>
      </c>
      <c r="G912" s="4">
        <v>0.42999999999999994</v>
      </c>
    </row>
    <row r="913" spans="1:7" x14ac:dyDescent="0.25">
      <c r="A913" s="1">
        <v>912</v>
      </c>
      <c r="B913" s="2">
        <v>1000357</v>
      </c>
      <c r="C913" s="3">
        <v>1.9E-2</v>
      </c>
      <c r="D913" s="1">
        <v>0.5</v>
      </c>
      <c r="E913" s="4">
        <v>0.21</v>
      </c>
      <c r="F913" s="4">
        <v>0.28999999999999998</v>
      </c>
      <c r="G913" s="4">
        <v>0.5</v>
      </c>
    </row>
    <row r="914" spans="1:7" x14ac:dyDescent="0.25">
      <c r="A914" s="1">
        <v>913</v>
      </c>
      <c r="B914" s="2">
        <v>1399492</v>
      </c>
      <c r="C914" s="3">
        <v>0.02</v>
      </c>
      <c r="D914" s="1">
        <v>0.5</v>
      </c>
      <c r="E914" s="4">
        <v>0.24</v>
      </c>
      <c r="F914" s="4">
        <v>0.22</v>
      </c>
      <c r="G914" s="4">
        <v>0.54</v>
      </c>
    </row>
    <row r="915" spans="1:7" x14ac:dyDescent="0.25">
      <c r="A915" s="1">
        <v>914</v>
      </c>
      <c r="B915" s="2">
        <v>1458471</v>
      </c>
      <c r="C915" s="3">
        <v>1.7000000000000001E-2</v>
      </c>
      <c r="D915" s="1">
        <v>0.5</v>
      </c>
      <c r="E915" s="4">
        <v>0.2</v>
      </c>
      <c r="F915" s="4">
        <v>0.18</v>
      </c>
      <c r="G915" s="4">
        <v>0.62000000000000011</v>
      </c>
    </row>
    <row r="916" spans="1:7" x14ac:dyDescent="0.25">
      <c r="A916" s="1">
        <v>915</v>
      </c>
      <c r="B916" s="2">
        <v>1162623</v>
      </c>
      <c r="C916" s="3">
        <v>1.7000000000000001E-2</v>
      </c>
      <c r="D916" s="1">
        <v>0.5</v>
      </c>
      <c r="E916" s="4">
        <v>0.22</v>
      </c>
      <c r="F916" s="4">
        <v>0.26</v>
      </c>
      <c r="G916" s="4">
        <v>0.52</v>
      </c>
    </row>
    <row r="917" spans="1:7" x14ac:dyDescent="0.25">
      <c r="A917" s="1">
        <v>916</v>
      </c>
      <c r="B917" s="2">
        <v>1936478</v>
      </c>
      <c r="C917" s="3">
        <v>2.5999999999999999E-2</v>
      </c>
      <c r="D917" s="1">
        <v>0.5</v>
      </c>
      <c r="E917" s="4">
        <v>0.17</v>
      </c>
      <c r="F917" s="4">
        <v>0.18</v>
      </c>
      <c r="G917" s="4">
        <v>0.65</v>
      </c>
    </row>
    <row r="918" spans="1:7" x14ac:dyDescent="0.25">
      <c r="A918" s="1">
        <v>917</v>
      </c>
      <c r="B918" s="2">
        <v>1279122</v>
      </c>
      <c r="C918" s="3">
        <v>2.4E-2</v>
      </c>
      <c r="D918" s="1">
        <v>0.5</v>
      </c>
      <c r="E918" s="4">
        <v>0.23</v>
      </c>
      <c r="F918" s="4">
        <v>0.16</v>
      </c>
      <c r="G918" s="4">
        <v>0.61</v>
      </c>
    </row>
    <row r="919" spans="1:7" x14ac:dyDescent="0.25">
      <c r="A919" s="1">
        <v>918</v>
      </c>
      <c r="B919" s="2">
        <v>1629358</v>
      </c>
      <c r="C919" s="3">
        <v>1.9E-2</v>
      </c>
      <c r="D919" s="1">
        <v>0.5</v>
      </c>
      <c r="E919" s="4">
        <v>0.18</v>
      </c>
      <c r="F919" s="4">
        <v>0.22</v>
      </c>
      <c r="G919" s="4">
        <v>0.60000000000000009</v>
      </c>
    </row>
    <row r="920" spans="1:7" x14ac:dyDescent="0.25">
      <c r="A920" s="1">
        <v>919</v>
      </c>
      <c r="B920" s="2">
        <v>1613939</v>
      </c>
      <c r="C920" s="3">
        <v>1.7999999999999999E-2</v>
      </c>
      <c r="D920" s="1">
        <v>0.5</v>
      </c>
      <c r="E920" s="4">
        <v>0.17</v>
      </c>
      <c r="F920" s="4">
        <v>0.28999999999999998</v>
      </c>
      <c r="G920" s="4">
        <v>0.53999999999999992</v>
      </c>
    </row>
    <row r="921" spans="1:7" x14ac:dyDescent="0.25">
      <c r="A921" s="1">
        <v>920</v>
      </c>
      <c r="B921" s="2">
        <v>1975750</v>
      </c>
      <c r="C921" s="3">
        <v>2.5000000000000001E-2</v>
      </c>
      <c r="D921" s="1">
        <v>0.5</v>
      </c>
      <c r="E921" s="4">
        <v>0.25</v>
      </c>
      <c r="F921" s="4">
        <v>0.35</v>
      </c>
      <c r="G921" s="4">
        <v>0.4</v>
      </c>
    </row>
    <row r="922" spans="1:7" x14ac:dyDescent="0.25">
      <c r="A922" s="1">
        <v>921</v>
      </c>
      <c r="B922" s="2">
        <v>1209965</v>
      </c>
      <c r="C922" s="3">
        <v>0.01</v>
      </c>
      <c r="D922" s="1">
        <v>0.5</v>
      </c>
      <c r="E922" s="4">
        <v>0.22</v>
      </c>
      <c r="F922" s="4">
        <v>0.26</v>
      </c>
      <c r="G922" s="4">
        <v>0.52</v>
      </c>
    </row>
    <row r="923" spans="1:7" x14ac:dyDescent="0.25">
      <c r="A923" s="1">
        <v>922</v>
      </c>
      <c r="B923" s="2">
        <v>1796548</v>
      </c>
      <c r="C923" s="3">
        <v>0.03</v>
      </c>
      <c r="D923" s="1">
        <v>0.5</v>
      </c>
      <c r="E923" s="4">
        <v>0.19</v>
      </c>
      <c r="F923" s="4">
        <v>0.25</v>
      </c>
      <c r="G923" s="4">
        <v>0.56000000000000005</v>
      </c>
    </row>
    <row r="924" spans="1:7" x14ac:dyDescent="0.25">
      <c r="A924" s="1">
        <v>923</v>
      </c>
      <c r="B924" s="2">
        <v>1325954</v>
      </c>
      <c r="C924" s="3">
        <v>0.01</v>
      </c>
      <c r="D924" s="1">
        <v>0.5</v>
      </c>
      <c r="E924" s="4">
        <v>0.17</v>
      </c>
      <c r="F924" s="4">
        <v>0.31</v>
      </c>
      <c r="G924" s="4">
        <v>0.51999999999999991</v>
      </c>
    </row>
    <row r="925" spans="1:7" x14ac:dyDescent="0.25">
      <c r="A925" s="1">
        <v>924</v>
      </c>
      <c r="B925" s="2">
        <v>1598579</v>
      </c>
      <c r="C925" s="3">
        <v>2.7E-2</v>
      </c>
      <c r="D925" s="1">
        <v>0.5</v>
      </c>
      <c r="E925" s="4">
        <v>0.19</v>
      </c>
      <c r="F925" s="4">
        <v>0.2</v>
      </c>
      <c r="G925" s="4">
        <v>0.6100000000000001</v>
      </c>
    </row>
    <row r="926" spans="1:7" x14ac:dyDescent="0.25">
      <c r="A926" s="1">
        <v>925</v>
      </c>
      <c r="B926" s="2">
        <v>1119446</v>
      </c>
      <c r="C926" s="3">
        <v>2.1000000000000001E-2</v>
      </c>
      <c r="D926" s="1">
        <v>0.5</v>
      </c>
      <c r="E926" s="4">
        <v>0.2</v>
      </c>
      <c r="F926" s="4">
        <v>0.27</v>
      </c>
      <c r="G926" s="4">
        <v>0.53</v>
      </c>
    </row>
    <row r="927" spans="1:7" x14ac:dyDescent="0.25">
      <c r="A927" s="1">
        <v>926</v>
      </c>
      <c r="B927" s="2">
        <v>1635353</v>
      </c>
      <c r="C927" s="3">
        <v>1.9E-2</v>
      </c>
      <c r="D927" s="1">
        <v>0.5</v>
      </c>
      <c r="E927" s="4">
        <v>0.22</v>
      </c>
      <c r="F927" s="4">
        <v>0.28000000000000003</v>
      </c>
      <c r="G927" s="4">
        <v>0.5</v>
      </c>
    </row>
    <row r="928" spans="1:7" x14ac:dyDescent="0.25">
      <c r="A928" s="1">
        <v>927</v>
      </c>
      <c r="B928" s="2">
        <v>1140787</v>
      </c>
      <c r="C928" s="3">
        <v>1.0999999999999999E-2</v>
      </c>
      <c r="D928" s="1">
        <v>0.5</v>
      </c>
      <c r="E928" s="4">
        <v>0.23</v>
      </c>
      <c r="F928" s="4">
        <v>0.31</v>
      </c>
      <c r="G928" s="4">
        <v>0.45999999999999996</v>
      </c>
    </row>
    <row r="929" spans="1:7" x14ac:dyDescent="0.25">
      <c r="A929" s="1">
        <v>928</v>
      </c>
      <c r="B929" s="2">
        <v>1324962</v>
      </c>
      <c r="C929" s="3">
        <v>2.1000000000000001E-2</v>
      </c>
      <c r="D929" s="1">
        <v>0.5</v>
      </c>
      <c r="E929" s="4">
        <v>0.22</v>
      </c>
      <c r="F929" s="4">
        <v>0.18</v>
      </c>
      <c r="G929" s="4">
        <v>0.60000000000000009</v>
      </c>
    </row>
    <row r="930" spans="1:7" x14ac:dyDescent="0.25">
      <c r="A930" s="1">
        <v>929</v>
      </c>
      <c r="B930" s="2">
        <v>1867959</v>
      </c>
      <c r="C930" s="3">
        <v>2.8000000000000001E-2</v>
      </c>
      <c r="D930" s="1">
        <v>0.5</v>
      </c>
      <c r="E930" s="4">
        <v>0.24</v>
      </c>
      <c r="F930" s="4">
        <v>0.33</v>
      </c>
      <c r="G930" s="4">
        <v>0.42999999999999994</v>
      </c>
    </row>
    <row r="931" spans="1:7" x14ac:dyDescent="0.25">
      <c r="A931" s="1">
        <v>930</v>
      </c>
      <c r="B931" s="2">
        <v>1487272</v>
      </c>
      <c r="C931" s="3">
        <v>0.02</v>
      </c>
      <c r="D931" s="1">
        <v>0.5</v>
      </c>
      <c r="E931" s="4">
        <v>0.19</v>
      </c>
      <c r="F931" s="4">
        <v>0.19</v>
      </c>
      <c r="G931" s="4">
        <v>0.62000000000000011</v>
      </c>
    </row>
    <row r="932" spans="1:7" x14ac:dyDescent="0.25">
      <c r="A932" s="1">
        <v>931</v>
      </c>
      <c r="B932" s="2">
        <v>1427919</v>
      </c>
      <c r="C932" s="3">
        <v>2.3E-2</v>
      </c>
      <c r="D932" s="1">
        <v>0.5</v>
      </c>
      <c r="E932" s="4">
        <v>0.19</v>
      </c>
      <c r="F932" s="4">
        <v>0.24</v>
      </c>
      <c r="G932" s="4">
        <v>0.57000000000000006</v>
      </c>
    </row>
    <row r="933" spans="1:7" x14ac:dyDescent="0.25">
      <c r="A933" s="1">
        <v>932</v>
      </c>
      <c r="B933" s="2">
        <v>1624072</v>
      </c>
      <c r="C933" s="3">
        <v>1.0999999999999999E-2</v>
      </c>
      <c r="D933" s="1">
        <v>0.5</v>
      </c>
      <c r="E933" s="4">
        <v>0.16</v>
      </c>
      <c r="F933" s="4">
        <v>0.16</v>
      </c>
      <c r="G933" s="4">
        <v>0.67999999999999994</v>
      </c>
    </row>
    <row r="934" spans="1:7" x14ac:dyDescent="0.25">
      <c r="A934" s="1">
        <v>933</v>
      </c>
      <c r="B934" s="2">
        <v>1253246</v>
      </c>
      <c r="C934" s="3">
        <v>2.7E-2</v>
      </c>
      <c r="D934" s="1">
        <v>0.5</v>
      </c>
      <c r="E934" s="4">
        <v>0.17</v>
      </c>
      <c r="F934" s="4">
        <v>0.16</v>
      </c>
      <c r="G934" s="4">
        <v>0.66999999999999993</v>
      </c>
    </row>
    <row r="935" spans="1:7" x14ac:dyDescent="0.25">
      <c r="A935" s="1">
        <v>934</v>
      </c>
      <c r="B935" s="2">
        <v>1536868</v>
      </c>
      <c r="C935" s="3">
        <v>1.0999999999999999E-2</v>
      </c>
      <c r="D935" s="1">
        <v>0.5</v>
      </c>
      <c r="E935" s="4">
        <v>0.15</v>
      </c>
      <c r="F935" s="4">
        <v>0.33</v>
      </c>
      <c r="G935" s="4">
        <v>0.51999999999999991</v>
      </c>
    </row>
    <row r="936" spans="1:7" x14ac:dyDescent="0.25">
      <c r="A936" s="1">
        <v>935</v>
      </c>
      <c r="B936" s="2">
        <v>1661935</v>
      </c>
      <c r="C936" s="3">
        <v>2.4E-2</v>
      </c>
      <c r="D936" s="1">
        <v>0.5</v>
      </c>
      <c r="E936" s="4">
        <v>0.24</v>
      </c>
      <c r="F936" s="4">
        <v>0.27</v>
      </c>
      <c r="G936" s="4">
        <v>0.49</v>
      </c>
    </row>
    <row r="937" spans="1:7" x14ac:dyDescent="0.25">
      <c r="A937" s="1">
        <v>936</v>
      </c>
      <c r="B937" s="2">
        <v>1756686</v>
      </c>
      <c r="C937" s="3">
        <v>2.4E-2</v>
      </c>
      <c r="D937" s="1">
        <v>0.5</v>
      </c>
      <c r="E937" s="4">
        <v>0.23</v>
      </c>
      <c r="F937" s="4">
        <v>0.2</v>
      </c>
      <c r="G937" s="4">
        <v>0.57000000000000006</v>
      </c>
    </row>
    <row r="938" spans="1:7" x14ac:dyDescent="0.25">
      <c r="A938" s="1">
        <v>937</v>
      </c>
      <c r="B938" s="2">
        <v>1525257</v>
      </c>
      <c r="C938" s="3">
        <v>2.3E-2</v>
      </c>
      <c r="D938" s="1">
        <v>0.5</v>
      </c>
      <c r="E938" s="4">
        <v>0.19</v>
      </c>
      <c r="F938" s="4">
        <v>0.19</v>
      </c>
      <c r="G938" s="4">
        <v>0.62000000000000011</v>
      </c>
    </row>
    <row r="939" spans="1:7" x14ac:dyDescent="0.25">
      <c r="A939" s="1">
        <v>938</v>
      </c>
      <c r="B939" s="2">
        <v>1705264</v>
      </c>
      <c r="C939" s="3">
        <v>1.0999999999999999E-2</v>
      </c>
      <c r="D939" s="1">
        <v>0.5</v>
      </c>
      <c r="E939" s="4">
        <v>0.15</v>
      </c>
      <c r="F939" s="4">
        <v>0.31</v>
      </c>
      <c r="G939" s="4">
        <v>0.53999999999999992</v>
      </c>
    </row>
    <row r="940" spans="1:7" x14ac:dyDescent="0.25">
      <c r="A940" s="1">
        <v>939</v>
      </c>
      <c r="B940" s="2">
        <v>1772213</v>
      </c>
      <c r="C940" s="3">
        <v>1.9E-2</v>
      </c>
      <c r="D940" s="1">
        <v>0.5</v>
      </c>
      <c r="E940" s="4">
        <v>0.16</v>
      </c>
      <c r="F940" s="4">
        <v>0.16</v>
      </c>
      <c r="G940" s="4">
        <v>0.67999999999999994</v>
      </c>
    </row>
    <row r="941" spans="1:7" x14ac:dyDescent="0.25">
      <c r="A941" s="1">
        <v>940</v>
      </c>
      <c r="B941" s="2">
        <v>1034404</v>
      </c>
      <c r="C941" s="3">
        <v>2.5000000000000001E-2</v>
      </c>
      <c r="D941" s="1">
        <v>0.5</v>
      </c>
      <c r="E941" s="4">
        <v>0.24</v>
      </c>
      <c r="F941" s="4">
        <v>0.34</v>
      </c>
      <c r="G941" s="4">
        <v>0.41999999999999993</v>
      </c>
    </row>
    <row r="942" spans="1:7" x14ac:dyDescent="0.25">
      <c r="A942" s="1">
        <v>941</v>
      </c>
      <c r="B942" s="2">
        <v>1678748</v>
      </c>
      <c r="C942" s="3">
        <v>1.2999999999999999E-2</v>
      </c>
      <c r="D942" s="1">
        <v>0.5</v>
      </c>
      <c r="E942" s="4">
        <v>0.2</v>
      </c>
      <c r="F942" s="4">
        <v>0.25</v>
      </c>
      <c r="G942" s="4">
        <v>0.55000000000000004</v>
      </c>
    </row>
    <row r="943" spans="1:7" x14ac:dyDescent="0.25">
      <c r="A943" s="1">
        <v>942</v>
      </c>
      <c r="B943" s="2">
        <v>1398972</v>
      </c>
      <c r="C943" s="3">
        <v>2.1000000000000001E-2</v>
      </c>
      <c r="D943" s="1">
        <v>0.5</v>
      </c>
      <c r="E943" s="4">
        <v>0.18</v>
      </c>
      <c r="F943" s="4">
        <v>0.21</v>
      </c>
      <c r="G943" s="4">
        <v>0.6100000000000001</v>
      </c>
    </row>
    <row r="944" spans="1:7" x14ac:dyDescent="0.25">
      <c r="A944" s="1">
        <v>943</v>
      </c>
      <c r="B944" s="2">
        <v>1619817</v>
      </c>
      <c r="C944" s="3">
        <v>1.7999999999999999E-2</v>
      </c>
      <c r="D944" s="1">
        <v>0.5</v>
      </c>
      <c r="E944" s="4">
        <v>0.16</v>
      </c>
      <c r="F944" s="4">
        <v>0.35</v>
      </c>
      <c r="G944" s="4">
        <v>0.49</v>
      </c>
    </row>
    <row r="945" spans="1:7" x14ac:dyDescent="0.25">
      <c r="A945" s="1">
        <v>944</v>
      </c>
      <c r="B945" s="2">
        <v>1481023</v>
      </c>
      <c r="C945" s="3">
        <v>1.4999999999999999E-2</v>
      </c>
      <c r="D945" s="1">
        <v>0.5</v>
      </c>
      <c r="E945" s="4">
        <v>0.23</v>
      </c>
      <c r="F945" s="4">
        <v>0.23</v>
      </c>
      <c r="G945" s="4">
        <v>0.54</v>
      </c>
    </row>
    <row r="946" spans="1:7" x14ac:dyDescent="0.25">
      <c r="A946" s="1">
        <v>945</v>
      </c>
      <c r="B946" s="2">
        <v>1543745</v>
      </c>
      <c r="C946" s="3">
        <v>2.8000000000000001E-2</v>
      </c>
      <c r="D946" s="1">
        <v>0.5</v>
      </c>
      <c r="E946" s="4">
        <v>0.19</v>
      </c>
      <c r="F946" s="4">
        <v>0.2</v>
      </c>
      <c r="G946" s="4">
        <v>0.6100000000000001</v>
      </c>
    </row>
    <row r="947" spans="1:7" x14ac:dyDescent="0.25">
      <c r="A947" s="1">
        <v>946</v>
      </c>
      <c r="B947" s="2">
        <v>1258333</v>
      </c>
      <c r="C947" s="3">
        <v>1.4999999999999999E-2</v>
      </c>
      <c r="D947" s="1">
        <v>0.5</v>
      </c>
      <c r="E947" s="4">
        <v>0.21</v>
      </c>
      <c r="F947" s="4">
        <v>0.16</v>
      </c>
      <c r="G947" s="4">
        <v>0.63</v>
      </c>
    </row>
    <row r="948" spans="1:7" x14ac:dyDescent="0.25">
      <c r="A948" s="1">
        <v>947</v>
      </c>
      <c r="B948" s="2">
        <v>1408590</v>
      </c>
      <c r="C948" s="3">
        <v>2.7E-2</v>
      </c>
      <c r="D948" s="1">
        <v>0.5</v>
      </c>
      <c r="E948" s="4">
        <v>0.18</v>
      </c>
      <c r="F948" s="4">
        <v>0.31</v>
      </c>
      <c r="G948" s="4">
        <v>0.51</v>
      </c>
    </row>
    <row r="949" spans="1:7" x14ac:dyDescent="0.25">
      <c r="A949" s="1">
        <v>948</v>
      </c>
      <c r="B949" s="2">
        <v>1912696</v>
      </c>
      <c r="C949" s="3">
        <v>2.8000000000000001E-2</v>
      </c>
      <c r="D949" s="1">
        <v>0.5</v>
      </c>
      <c r="E949" s="4">
        <v>0.23</v>
      </c>
      <c r="F949" s="4">
        <v>0.34</v>
      </c>
      <c r="G949" s="4">
        <v>0.42999999999999994</v>
      </c>
    </row>
    <row r="950" spans="1:7" x14ac:dyDescent="0.25">
      <c r="A950" s="1">
        <v>949</v>
      </c>
      <c r="B950" s="2">
        <v>1837732</v>
      </c>
      <c r="C950" s="3">
        <v>2.5999999999999999E-2</v>
      </c>
      <c r="D950" s="1">
        <v>0.5</v>
      </c>
      <c r="E950" s="4">
        <v>0.16</v>
      </c>
      <c r="F950" s="4">
        <v>0.2</v>
      </c>
      <c r="G950" s="4">
        <v>0.64</v>
      </c>
    </row>
    <row r="951" spans="1:7" x14ac:dyDescent="0.25">
      <c r="A951" s="1">
        <v>950</v>
      </c>
      <c r="B951" s="2">
        <v>1414645</v>
      </c>
      <c r="C951" s="3">
        <v>2.1000000000000001E-2</v>
      </c>
      <c r="D951" s="1">
        <v>0.5</v>
      </c>
      <c r="E951" s="4">
        <v>0.15</v>
      </c>
      <c r="F951" s="4">
        <v>0.35</v>
      </c>
      <c r="G951" s="4">
        <v>0.5</v>
      </c>
    </row>
    <row r="952" spans="1:7" x14ac:dyDescent="0.25">
      <c r="A952" s="1">
        <v>951</v>
      </c>
      <c r="B952" s="2">
        <v>1267617</v>
      </c>
      <c r="C952" s="3">
        <v>1.6E-2</v>
      </c>
      <c r="D952" s="1">
        <v>0.5</v>
      </c>
      <c r="E952" s="4">
        <v>0.25</v>
      </c>
      <c r="F952" s="4">
        <v>0.27</v>
      </c>
      <c r="G952" s="4">
        <v>0.48</v>
      </c>
    </row>
    <row r="953" spans="1:7" x14ac:dyDescent="0.25">
      <c r="A953" s="1">
        <v>952</v>
      </c>
      <c r="B953" s="2">
        <v>1715094</v>
      </c>
      <c r="C953" s="3">
        <v>0.01</v>
      </c>
      <c r="D953" s="1">
        <v>0.5</v>
      </c>
      <c r="E953" s="4">
        <v>0.2</v>
      </c>
      <c r="F953" s="4">
        <v>0.25</v>
      </c>
      <c r="G953" s="4">
        <v>0.55000000000000004</v>
      </c>
    </row>
    <row r="954" spans="1:7" x14ac:dyDescent="0.25">
      <c r="A954" s="1">
        <v>953</v>
      </c>
      <c r="B954" s="2">
        <v>1654785</v>
      </c>
      <c r="C954" s="3">
        <v>2.1000000000000001E-2</v>
      </c>
      <c r="D954" s="1">
        <v>0.5</v>
      </c>
      <c r="E954" s="4">
        <v>0.15</v>
      </c>
      <c r="F954" s="4">
        <v>0.35</v>
      </c>
      <c r="G954" s="4">
        <v>0.5</v>
      </c>
    </row>
    <row r="955" spans="1:7" x14ac:dyDescent="0.25">
      <c r="A955" s="1">
        <v>954</v>
      </c>
      <c r="B955" s="2">
        <v>1834244</v>
      </c>
      <c r="C955" s="3">
        <v>0.01</v>
      </c>
      <c r="D955" s="1">
        <v>0.5</v>
      </c>
      <c r="E955" s="4">
        <v>0.22</v>
      </c>
      <c r="F955" s="4">
        <v>0.28000000000000003</v>
      </c>
      <c r="G955" s="4">
        <v>0.5</v>
      </c>
    </row>
    <row r="956" spans="1:7" x14ac:dyDescent="0.25">
      <c r="A956" s="1">
        <v>955</v>
      </c>
      <c r="B956" s="2">
        <v>1954746</v>
      </c>
      <c r="C956" s="3">
        <v>1.4E-2</v>
      </c>
      <c r="D956" s="1">
        <v>0.5</v>
      </c>
      <c r="E956" s="4">
        <v>0.24</v>
      </c>
      <c r="F956" s="4">
        <v>0.17</v>
      </c>
      <c r="G956" s="4">
        <v>0.59</v>
      </c>
    </row>
    <row r="957" spans="1:7" x14ac:dyDescent="0.25">
      <c r="A957" s="1">
        <v>956</v>
      </c>
      <c r="B957" s="2">
        <v>1486976</v>
      </c>
      <c r="C957" s="3">
        <v>2.8000000000000001E-2</v>
      </c>
      <c r="D957" s="1">
        <v>0.5</v>
      </c>
      <c r="E957" s="4">
        <v>0.22</v>
      </c>
      <c r="F957" s="4">
        <v>0.17</v>
      </c>
      <c r="G957" s="4">
        <v>0.61</v>
      </c>
    </row>
    <row r="958" spans="1:7" x14ac:dyDescent="0.25">
      <c r="A958" s="1">
        <v>957</v>
      </c>
      <c r="B958" s="2">
        <v>1781101</v>
      </c>
      <c r="C958" s="3">
        <v>0.03</v>
      </c>
      <c r="D958" s="1">
        <v>0.5</v>
      </c>
      <c r="E958" s="4">
        <v>0.23</v>
      </c>
      <c r="F958" s="4">
        <v>0.28000000000000003</v>
      </c>
      <c r="G958" s="4">
        <v>0.49</v>
      </c>
    </row>
    <row r="959" spans="1:7" x14ac:dyDescent="0.25">
      <c r="A959" s="1">
        <v>958</v>
      </c>
      <c r="B959" s="2">
        <v>1352694</v>
      </c>
      <c r="C959" s="3">
        <v>2.3E-2</v>
      </c>
      <c r="D959" s="1">
        <v>0.5</v>
      </c>
      <c r="E959" s="4">
        <v>0.25</v>
      </c>
      <c r="F959" s="4">
        <v>0.31</v>
      </c>
      <c r="G959" s="4">
        <v>0.43999999999999995</v>
      </c>
    </row>
    <row r="960" spans="1:7" x14ac:dyDescent="0.25">
      <c r="A960" s="1">
        <v>959</v>
      </c>
      <c r="B960" s="2">
        <v>1961922</v>
      </c>
      <c r="C960" s="3">
        <v>1.2999999999999999E-2</v>
      </c>
      <c r="D960" s="1">
        <v>0.5</v>
      </c>
      <c r="E960" s="4">
        <v>0.18</v>
      </c>
      <c r="F960" s="4">
        <v>0.22</v>
      </c>
      <c r="G960" s="4">
        <v>0.60000000000000009</v>
      </c>
    </row>
    <row r="961" spans="1:7" x14ac:dyDescent="0.25">
      <c r="A961" s="1">
        <v>960</v>
      </c>
      <c r="B961" s="2">
        <v>1686570</v>
      </c>
      <c r="C961" s="3">
        <v>2.5000000000000001E-2</v>
      </c>
      <c r="D961" s="1">
        <v>0.5</v>
      </c>
      <c r="E961" s="4">
        <v>0.16</v>
      </c>
      <c r="F961" s="4">
        <v>0.16</v>
      </c>
      <c r="G961" s="4">
        <v>0.67999999999999994</v>
      </c>
    </row>
    <row r="962" spans="1:7" x14ac:dyDescent="0.25">
      <c r="A962" s="1">
        <v>961</v>
      </c>
      <c r="B962" s="2">
        <v>1328941</v>
      </c>
      <c r="C962" s="3">
        <v>1.4999999999999999E-2</v>
      </c>
      <c r="D962" s="1">
        <v>0.5</v>
      </c>
      <c r="E962" s="4">
        <v>0.23</v>
      </c>
      <c r="F962" s="4">
        <v>0.15</v>
      </c>
      <c r="G962" s="4">
        <v>0.62</v>
      </c>
    </row>
    <row r="963" spans="1:7" x14ac:dyDescent="0.25">
      <c r="A963" s="1">
        <v>962</v>
      </c>
      <c r="B963" s="2">
        <v>1528669</v>
      </c>
      <c r="C963" s="3">
        <v>1.7000000000000001E-2</v>
      </c>
      <c r="D963" s="1">
        <v>0.5</v>
      </c>
      <c r="E963" s="4">
        <v>0.25</v>
      </c>
      <c r="F963" s="4">
        <v>0.35</v>
      </c>
      <c r="G963" s="4">
        <v>0.4</v>
      </c>
    </row>
    <row r="964" spans="1:7" x14ac:dyDescent="0.25">
      <c r="A964" s="1">
        <v>963</v>
      </c>
      <c r="B964" s="2">
        <v>1161658</v>
      </c>
      <c r="C964" s="3">
        <v>0.01</v>
      </c>
      <c r="D964" s="1">
        <v>0.5</v>
      </c>
      <c r="E964" s="4">
        <v>0.18</v>
      </c>
      <c r="F964" s="4">
        <v>0.26</v>
      </c>
      <c r="G964" s="4">
        <v>0.56000000000000005</v>
      </c>
    </row>
    <row r="965" spans="1:7" x14ac:dyDescent="0.25">
      <c r="A965" s="1">
        <v>964</v>
      </c>
      <c r="B965" s="2">
        <v>1785126</v>
      </c>
      <c r="C965" s="3">
        <v>1.6E-2</v>
      </c>
      <c r="D965" s="1">
        <v>0.5</v>
      </c>
      <c r="E965" s="4">
        <v>0.18</v>
      </c>
      <c r="F965" s="4">
        <v>0.33</v>
      </c>
      <c r="G965" s="4">
        <v>0.48999999999999994</v>
      </c>
    </row>
    <row r="966" spans="1:7" x14ac:dyDescent="0.25">
      <c r="A966" s="1">
        <v>965</v>
      </c>
      <c r="B966" s="2">
        <v>1952102</v>
      </c>
      <c r="C966" s="3">
        <v>1.7000000000000001E-2</v>
      </c>
      <c r="D966" s="1">
        <v>0.5</v>
      </c>
      <c r="E966" s="4">
        <v>0.19</v>
      </c>
      <c r="F966" s="4">
        <v>0.26</v>
      </c>
      <c r="G966" s="4">
        <v>0.55000000000000004</v>
      </c>
    </row>
    <row r="967" spans="1:7" x14ac:dyDescent="0.25">
      <c r="A967" s="1">
        <v>966</v>
      </c>
      <c r="B967" s="2">
        <v>1843582</v>
      </c>
      <c r="C967" s="3">
        <v>2.4E-2</v>
      </c>
      <c r="D967" s="1">
        <v>0.5</v>
      </c>
      <c r="E967" s="4">
        <v>0.17</v>
      </c>
      <c r="F967" s="4">
        <v>0.35</v>
      </c>
      <c r="G967" s="4">
        <v>0.48</v>
      </c>
    </row>
    <row r="968" spans="1:7" x14ac:dyDescent="0.25">
      <c r="A968" s="1">
        <v>967</v>
      </c>
      <c r="B968" s="2">
        <v>1196476</v>
      </c>
      <c r="C968" s="3">
        <v>2.5999999999999999E-2</v>
      </c>
      <c r="D968" s="1">
        <v>0.5</v>
      </c>
      <c r="E968" s="4">
        <v>0.21</v>
      </c>
      <c r="F968" s="4">
        <v>0.21</v>
      </c>
      <c r="G968" s="4">
        <v>0.58000000000000007</v>
      </c>
    </row>
    <row r="969" spans="1:7" x14ac:dyDescent="0.25">
      <c r="A969" s="1">
        <v>968</v>
      </c>
      <c r="B969" s="2">
        <v>1793437</v>
      </c>
      <c r="C969" s="3">
        <v>0.03</v>
      </c>
      <c r="D969" s="1">
        <v>0.5</v>
      </c>
      <c r="E969" s="4">
        <v>0.16</v>
      </c>
      <c r="F969" s="4">
        <v>0.21</v>
      </c>
      <c r="G969" s="4">
        <v>0.63</v>
      </c>
    </row>
    <row r="970" spans="1:7" x14ac:dyDescent="0.25">
      <c r="A970" s="1">
        <v>969</v>
      </c>
      <c r="B970" s="2">
        <v>1294835</v>
      </c>
      <c r="C970" s="3">
        <v>0.01</v>
      </c>
      <c r="D970" s="1">
        <v>0.5</v>
      </c>
      <c r="E970" s="4">
        <v>0.17</v>
      </c>
      <c r="F970" s="4">
        <v>0.32</v>
      </c>
      <c r="G970" s="4">
        <v>0.5099999999999999</v>
      </c>
    </row>
    <row r="971" spans="1:7" x14ac:dyDescent="0.25">
      <c r="A971" s="1">
        <v>970</v>
      </c>
      <c r="B971" s="2">
        <v>1893590</v>
      </c>
      <c r="C971" s="3">
        <v>1.4E-2</v>
      </c>
      <c r="D971" s="1">
        <v>0.5</v>
      </c>
      <c r="E971" s="4">
        <v>0.22</v>
      </c>
      <c r="F971" s="4">
        <v>0.25</v>
      </c>
      <c r="G971" s="4">
        <v>0.53</v>
      </c>
    </row>
    <row r="972" spans="1:7" x14ac:dyDescent="0.25">
      <c r="A972" s="1">
        <v>971</v>
      </c>
      <c r="B972" s="2">
        <v>1039778</v>
      </c>
      <c r="C972" s="3">
        <v>2.5999999999999999E-2</v>
      </c>
      <c r="D972" s="1">
        <v>0.5</v>
      </c>
      <c r="E972" s="4">
        <v>0.21</v>
      </c>
      <c r="F972" s="4">
        <v>0.35</v>
      </c>
      <c r="G972" s="4">
        <v>0.44000000000000006</v>
      </c>
    </row>
    <row r="973" spans="1:7" x14ac:dyDescent="0.25">
      <c r="A973" s="1">
        <v>972</v>
      </c>
      <c r="B973" s="2">
        <v>1266668</v>
      </c>
      <c r="C973" s="3">
        <v>2.5000000000000001E-2</v>
      </c>
      <c r="D973" s="1">
        <v>0.5</v>
      </c>
      <c r="E973" s="4">
        <v>0.22</v>
      </c>
      <c r="F973" s="4">
        <v>0.28999999999999998</v>
      </c>
      <c r="G973" s="4">
        <v>0.49</v>
      </c>
    </row>
    <row r="974" spans="1:7" x14ac:dyDescent="0.25">
      <c r="A974" s="1">
        <v>973</v>
      </c>
      <c r="B974" s="2">
        <v>1257903</v>
      </c>
      <c r="C974" s="3">
        <v>1.7000000000000001E-2</v>
      </c>
      <c r="D974" s="1">
        <v>0.5</v>
      </c>
      <c r="E974" s="4">
        <v>0.15</v>
      </c>
      <c r="F974" s="4">
        <v>0.16</v>
      </c>
      <c r="G974" s="4">
        <v>0.69</v>
      </c>
    </row>
    <row r="975" spans="1:7" x14ac:dyDescent="0.25">
      <c r="A975" s="1">
        <v>974</v>
      </c>
      <c r="B975" s="2">
        <v>1214443</v>
      </c>
      <c r="C975" s="3">
        <v>2.7E-2</v>
      </c>
      <c r="D975" s="1">
        <v>0.5</v>
      </c>
      <c r="E975" s="4">
        <v>0.16</v>
      </c>
      <c r="F975" s="4">
        <v>0.28000000000000003</v>
      </c>
      <c r="G975" s="4">
        <v>0.55999999999999994</v>
      </c>
    </row>
    <row r="976" spans="1:7" x14ac:dyDescent="0.25">
      <c r="A976" s="1">
        <v>975</v>
      </c>
      <c r="B976" s="2">
        <v>1137525</v>
      </c>
      <c r="C976" s="3">
        <v>1.9E-2</v>
      </c>
      <c r="D976" s="1">
        <v>0.5</v>
      </c>
      <c r="E976" s="4">
        <v>0.15</v>
      </c>
      <c r="F976" s="4">
        <v>0.22</v>
      </c>
      <c r="G976" s="4">
        <v>0.63</v>
      </c>
    </row>
    <row r="977" spans="1:7" x14ac:dyDescent="0.25">
      <c r="A977" s="1">
        <v>976</v>
      </c>
      <c r="B977" s="2">
        <v>1081724</v>
      </c>
      <c r="C977" s="3">
        <v>0.02</v>
      </c>
      <c r="D977" s="1">
        <v>0.5</v>
      </c>
      <c r="E977" s="4">
        <v>0.19</v>
      </c>
      <c r="F977" s="4">
        <v>0.18</v>
      </c>
      <c r="G977" s="4">
        <v>0.63000000000000012</v>
      </c>
    </row>
    <row r="978" spans="1:7" x14ac:dyDescent="0.25">
      <c r="A978" s="1">
        <v>977</v>
      </c>
      <c r="B978" s="2">
        <v>1851402</v>
      </c>
      <c r="C978" s="3">
        <v>1.7999999999999999E-2</v>
      </c>
      <c r="D978" s="1">
        <v>0.5</v>
      </c>
      <c r="E978" s="4">
        <v>0.22</v>
      </c>
      <c r="F978" s="4">
        <v>0.28000000000000003</v>
      </c>
      <c r="G978" s="4">
        <v>0.5</v>
      </c>
    </row>
    <row r="979" spans="1:7" x14ac:dyDescent="0.25">
      <c r="A979" s="1">
        <v>978</v>
      </c>
      <c r="B979" s="2">
        <v>1766748</v>
      </c>
      <c r="C979" s="3">
        <v>2.3E-2</v>
      </c>
      <c r="D979" s="1">
        <v>0.5</v>
      </c>
      <c r="E979" s="4">
        <v>0.21</v>
      </c>
      <c r="F979" s="4">
        <v>0.34</v>
      </c>
      <c r="G979" s="4">
        <v>0.44999999999999996</v>
      </c>
    </row>
    <row r="980" spans="1:7" x14ac:dyDescent="0.25">
      <c r="A980" s="1">
        <v>979</v>
      </c>
      <c r="B980" s="2">
        <v>1579073</v>
      </c>
      <c r="C980" s="3">
        <v>1.4E-2</v>
      </c>
      <c r="D980" s="1">
        <v>0.5</v>
      </c>
      <c r="E980" s="4">
        <v>0.25</v>
      </c>
      <c r="F980" s="4">
        <v>0.34</v>
      </c>
      <c r="G980" s="4">
        <v>0.40999999999999992</v>
      </c>
    </row>
    <row r="981" spans="1:7" x14ac:dyDescent="0.25">
      <c r="A981" s="1">
        <v>980</v>
      </c>
      <c r="B981" s="2">
        <v>1931908</v>
      </c>
      <c r="C981" s="3">
        <v>1.0999999999999999E-2</v>
      </c>
      <c r="D981" s="1">
        <v>0.5</v>
      </c>
      <c r="E981" s="4">
        <v>0.2</v>
      </c>
      <c r="F981" s="4">
        <v>0.3</v>
      </c>
      <c r="G981" s="4">
        <v>0.49999999999999994</v>
      </c>
    </row>
    <row r="982" spans="1:7" x14ac:dyDescent="0.25">
      <c r="A982" s="1">
        <v>981</v>
      </c>
      <c r="B982" s="2">
        <v>1914207</v>
      </c>
      <c r="C982" s="3">
        <v>1.2999999999999999E-2</v>
      </c>
      <c r="D982" s="1">
        <v>0.5</v>
      </c>
      <c r="E982" s="4">
        <v>0.2</v>
      </c>
      <c r="F982" s="4">
        <v>0.24</v>
      </c>
      <c r="G982" s="4">
        <v>0.56000000000000005</v>
      </c>
    </row>
    <row r="983" spans="1:7" x14ac:dyDescent="0.25">
      <c r="A983" s="1">
        <v>982</v>
      </c>
      <c r="B983" s="2">
        <v>1558787</v>
      </c>
      <c r="C983" s="3">
        <v>0.03</v>
      </c>
      <c r="D983" s="1">
        <v>0.5</v>
      </c>
      <c r="E983" s="4">
        <v>0.18</v>
      </c>
      <c r="F983" s="4">
        <v>0.16</v>
      </c>
      <c r="G983" s="4">
        <v>0.65999999999999992</v>
      </c>
    </row>
    <row r="984" spans="1:7" x14ac:dyDescent="0.25">
      <c r="A984" s="1">
        <v>983</v>
      </c>
      <c r="B984" s="2">
        <v>1049874</v>
      </c>
      <c r="C984" s="3">
        <v>2.7E-2</v>
      </c>
      <c r="D984" s="1">
        <v>0.5</v>
      </c>
      <c r="E984" s="4">
        <v>0.24</v>
      </c>
      <c r="F984" s="4">
        <v>0.15</v>
      </c>
      <c r="G984" s="4">
        <v>0.61</v>
      </c>
    </row>
    <row r="985" spans="1:7" x14ac:dyDescent="0.25">
      <c r="A985" s="1">
        <v>984</v>
      </c>
      <c r="B985" s="2">
        <v>1607364</v>
      </c>
      <c r="C985" s="3">
        <v>1.0999999999999999E-2</v>
      </c>
      <c r="D985" s="1">
        <v>0.5</v>
      </c>
      <c r="E985" s="4">
        <v>0.18</v>
      </c>
      <c r="F985" s="4">
        <v>0.3</v>
      </c>
      <c r="G985" s="4">
        <v>0.52</v>
      </c>
    </row>
    <row r="986" spans="1:7" x14ac:dyDescent="0.25">
      <c r="A986" s="1">
        <v>985</v>
      </c>
      <c r="B986" s="2">
        <v>1948581</v>
      </c>
      <c r="C986" s="3">
        <v>2.5000000000000001E-2</v>
      </c>
      <c r="D986" s="1">
        <v>0.5</v>
      </c>
      <c r="E986" s="4">
        <v>0.17</v>
      </c>
      <c r="F986" s="4">
        <v>0.25</v>
      </c>
      <c r="G986" s="4">
        <v>0.57999999999999996</v>
      </c>
    </row>
    <row r="987" spans="1:7" x14ac:dyDescent="0.25">
      <c r="A987" s="1">
        <v>986</v>
      </c>
      <c r="B987" s="2">
        <v>1051155</v>
      </c>
      <c r="C987" s="3">
        <v>0.01</v>
      </c>
      <c r="D987" s="1">
        <v>0.5</v>
      </c>
      <c r="E987" s="4">
        <v>0.2</v>
      </c>
      <c r="F987" s="4">
        <v>0.25</v>
      </c>
      <c r="G987" s="4">
        <v>0.55000000000000004</v>
      </c>
    </row>
    <row r="988" spans="1:7" x14ac:dyDescent="0.25">
      <c r="A988" s="1">
        <v>987</v>
      </c>
      <c r="B988" s="2">
        <v>1372266</v>
      </c>
      <c r="C988" s="3">
        <v>2.8000000000000001E-2</v>
      </c>
      <c r="D988" s="1">
        <v>0.5</v>
      </c>
      <c r="E988" s="4">
        <v>0.21</v>
      </c>
      <c r="F988" s="4">
        <v>0.15</v>
      </c>
      <c r="G988" s="4">
        <v>0.64</v>
      </c>
    </row>
    <row r="989" spans="1:7" x14ac:dyDescent="0.25">
      <c r="A989" s="1">
        <v>988</v>
      </c>
      <c r="B989" s="2">
        <v>1489489</v>
      </c>
      <c r="C989" s="3">
        <v>1.4999999999999999E-2</v>
      </c>
      <c r="D989" s="1">
        <v>0.5</v>
      </c>
      <c r="E989" s="4">
        <v>0.17</v>
      </c>
      <c r="F989" s="4">
        <v>0.17</v>
      </c>
      <c r="G989" s="4">
        <v>0.65999999999999992</v>
      </c>
    </row>
    <row r="990" spans="1:7" x14ac:dyDescent="0.25">
      <c r="A990" s="1">
        <v>989</v>
      </c>
      <c r="B990" s="2">
        <v>1482466</v>
      </c>
      <c r="C990" s="3">
        <v>2.1999999999999999E-2</v>
      </c>
      <c r="D990" s="1">
        <v>0.5</v>
      </c>
      <c r="E990" s="4">
        <v>0.22</v>
      </c>
      <c r="F990" s="4">
        <v>0.24</v>
      </c>
      <c r="G990" s="4">
        <v>0.54</v>
      </c>
    </row>
    <row r="991" spans="1:7" x14ac:dyDescent="0.25">
      <c r="A991" s="1">
        <v>990</v>
      </c>
      <c r="B991" s="2">
        <v>1446239</v>
      </c>
      <c r="C991" s="3">
        <v>2.1000000000000001E-2</v>
      </c>
      <c r="D991" s="1">
        <v>0.5</v>
      </c>
      <c r="E991" s="4">
        <v>0.19</v>
      </c>
      <c r="F991" s="4">
        <v>0.17</v>
      </c>
      <c r="G991" s="4">
        <v>0.6399999999999999</v>
      </c>
    </row>
    <row r="992" spans="1:7" x14ac:dyDescent="0.25">
      <c r="A992" s="1">
        <v>991</v>
      </c>
      <c r="B992" s="2">
        <v>1150360</v>
      </c>
      <c r="C992" s="3">
        <v>2.7E-2</v>
      </c>
      <c r="D992" s="1">
        <v>0.5</v>
      </c>
      <c r="E992" s="4">
        <v>0.16</v>
      </c>
      <c r="F992" s="4">
        <v>0.34</v>
      </c>
      <c r="G992" s="4">
        <v>0.49999999999999989</v>
      </c>
    </row>
    <row r="993" spans="1:7" x14ac:dyDescent="0.25">
      <c r="A993" s="1">
        <v>992</v>
      </c>
      <c r="B993" s="2">
        <v>1465219</v>
      </c>
      <c r="C993" s="3">
        <v>2.5000000000000001E-2</v>
      </c>
      <c r="D993" s="1">
        <v>0.5</v>
      </c>
      <c r="E993" s="4">
        <v>0.2</v>
      </c>
      <c r="F993" s="4">
        <v>0.2</v>
      </c>
      <c r="G993" s="4">
        <v>0.60000000000000009</v>
      </c>
    </row>
    <row r="994" spans="1:7" x14ac:dyDescent="0.25">
      <c r="A994" s="1">
        <v>993</v>
      </c>
      <c r="B994" s="2">
        <v>1098511</v>
      </c>
      <c r="C994" s="3">
        <v>2.9000000000000001E-2</v>
      </c>
      <c r="D994" s="1">
        <v>0.5</v>
      </c>
      <c r="E994" s="4">
        <v>0.19</v>
      </c>
      <c r="F994" s="4">
        <v>0.33</v>
      </c>
      <c r="G994" s="4">
        <v>0.47999999999999993</v>
      </c>
    </row>
    <row r="995" spans="1:7" x14ac:dyDescent="0.25">
      <c r="A995" s="1">
        <v>994</v>
      </c>
      <c r="B995" s="2">
        <v>1861648</v>
      </c>
      <c r="C995" s="3">
        <v>2.9000000000000001E-2</v>
      </c>
      <c r="D995" s="1">
        <v>0.5</v>
      </c>
      <c r="E995" s="4">
        <v>0.22</v>
      </c>
      <c r="F995" s="4">
        <v>0.16</v>
      </c>
      <c r="G995" s="4">
        <v>0.62</v>
      </c>
    </row>
    <row r="996" spans="1:7" x14ac:dyDescent="0.25">
      <c r="A996" s="1">
        <v>995</v>
      </c>
      <c r="B996" s="2">
        <v>1786635</v>
      </c>
      <c r="C996" s="3">
        <v>2.1999999999999999E-2</v>
      </c>
      <c r="D996" s="1">
        <v>0.5</v>
      </c>
      <c r="E996" s="4">
        <v>0.18</v>
      </c>
      <c r="F996" s="4">
        <v>0.34</v>
      </c>
      <c r="G996" s="4">
        <v>0.47999999999999993</v>
      </c>
    </row>
    <row r="997" spans="1:7" x14ac:dyDescent="0.25">
      <c r="A997" s="1">
        <v>996</v>
      </c>
      <c r="B997" s="2">
        <v>1767165</v>
      </c>
      <c r="C997" s="3">
        <v>2.7E-2</v>
      </c>
      <c r="D997" s="1">
        <v>0.5</v>
      </c>
      <c r="E997" s="4">
        <v>0.15</v>
      </c>
      <c r="F997" s="4">
        <v>0.17</v>
      </c>
      <c r="G997" s="4">
        <v>0.67999999999999994</v>
      </c>
    </row>
    <row r="998" spans="1:7" x14ac:dyDescent="0.25">
      <c r="A998" s="1">
        <v>997</v>
      </c>
      <c r="B998" s="2">
        <v>1034947</v>
      </c>
      <c r="C998" s="3">
        <v>1.9E-2</v>
      </c>
      <c r="D998" s="1">
        <v>0.5</v>
      </c>
      <c r="E998" s="4">
        <v>0.24</v>
      </c>
      <c r="F998" s="4">
        <v>0.28000000000000003</v>
      </c>
      <c r="G998" s="4">
        <v>0.48</v>
      </c>
    </row>
    <row r="999" spans="1:7" x14ac:dyDescent="0.25">
      <c r="A999" s="1">
        <v>998</v>
      </c>
      <c r="B999" s="2">
        <v>1941954</v>
      </c>
      <c r="C999" s="3">
        <v>1.4E-2</v>
      </c>
      <c r="D999" s="1">
        <v>0.5</v>
      </c>
      <c r="E999" s="4">
        <v>0.2</v>
      </c>
      <c r="F999" s="4">
        <v>0.34</v>
      </c>
      <c r="G999" s="4">
        <v>0.45999999999999991</v>
      </c>
    </row>
    <row r="1000" spans="1:7" x14ac:dyDescent="0.25">
      <c r="A1000" s="1">
        <v>999</v>
      </c>
      <c r="B1000" s="2">
        <v>1149437</v>
      </c>
      <c r="C1000" s="3">
        <v>2.9000000000000001E-2</v>
      </c>
      <c r="D1000" s="1">
        <v>0.5</v>
      </c>
      <c r="E1000" s="4">
        <v>0.18</v>
      </c>
      <c r="F1000" s="4">
        <v>0.31</v>
      </c>
      <c r="G1000" s="4">
        <v>0.51</v>
      </c>
    </row>
    <row r="1001" spans="1:7" x14ac:dyDescent="0.25">
      <c r="A1001" s="1">
        <v>1000</v>
      </c>
      <c r="B1001" s="2">
        <v>1852306</v>
      </c>
      <c r="C1001" s="3">
        <v>1.6E-2</v>
      </c>
      <c r="D1001" s="1">
        <v>0.5</v>
      </c>
      <c r="E1001" s="4">
        <v>0.23</v>
      </c>
      <c r="F1001" s="4">
        <v>0.21</v>
      </c>
      <c r="G1001" s="4">
        <v>0.56000000000000005</v>
      </c>
    </row>
    <row r="1002" spans="1:7" x14ac:dyDescent="0.25">
      <c r="A1002" s="1">
        <v>1001</v>
      </c>
      <c r="B1002" s="2">
        <v>1178638</v>
      </c>
      <c r="C1002" s="3">
        <v>1.6E-2</v>
      </c>
      <c r="D1002" s="1">
        <v>0.5</v>
      </c>
      <c r="E1002" s="4">
        <v>0.25</v>
      </c>
      <c r="F1002" s="4">
        <v>0.18</v>
      </c>
      <c r="G1002" s="4">
        <v>0.57000000000000006</v>
      </c>
    </row>
    <row r="1003" spans="1:7" x14ac:dyDescent="0.25">
      <c r="A1003" s="1">
        <v>1002</v>
      </c>
      <c r="B1003" s="2">
        <v>1608077</v>
      </c>
      <c r="C1003" s="3">
        <v>2.9000000000000001E-2</v>
      </c>
      <c r="D1003" s="1">
        <v>0.5</v>
      </c>
      <c r="E1003" s="4">
        <v>0.24</v>
      </c>
      <c r="F1003" s="4">
        <v>0.19</v>
      </c>
      <c r="G1003" s="4">
        <v>0.57000000000000006</v>
      </c>
    </row>
    <row r="1004" spans="1:7" x14ac:dyDescent="0.25">
      <c r="A1004" s="1">
        <v>1003</v>
      </c>
      <c r="B1004" s="2">
        <v>1783716</v>
      </c>
      <c r="C1004" s="3">
        <v>2.1000000000000001E-2</v>
      </c>
      <c r="D1004" s="1">
        <v>0.5</v>
      </c>
      <c r="E1004" s="4">
        <v>0.23</v>
      </c>
      <c r="F1004" s="4">
        <v>0.25</v>
      </c>
      <c r="G1004" s="4">
        <v>0.52</v>
      </c>
    </row>
    <row r="1005" spans="1:7" x14ac:dyDescent="0.25">
      <c r="A1005" s="1">
        <v>1004</v>
      </c>
      <c r="B1005" s="2">
        <v>1243422</v>
      </c>
      <c r="C1005" s="3">
        <v>2.5000000000000001E-2</v>
      </c>
      <c r="D1005" s="1">
        <v>0.5</v>
      </c>
      <c r="E1005" s="4">
        <v>0.25</v>
      </c>
      <c r="F1005" s="4">
        <v>0.15</v>
      </c>
      <c r="G1005" s="4">
        <v>0.6</v>
      </c>
    </row>
    <row r="1006" spans="1:7" x14ac:dyDescent="0.25">
      <c r="A1006" s="1">
        <v>1005</v>
      </c>
      <c r="B1006" s="2">
        <v>1955106</v>
      </c>
      <c r="C1006" s="3">
        <v>1.9E-2</v>
      </c>
      <c r="D1006" s="1">
        <v>0.5</v>
      </c>
      <c r="E1006" s="4">
        <v>0.19</v>
      </c>
      <c r="F1006" s="4">
        <v>0.25</v>
      </c>
      <c r="G1006" s="4">
        <v>0.56000000000000005</v>
      </c>
    </row>
    <row r="1007" spans="1:7" x14ac:dyDescent="0.25">
      <c r="A1007" s="1">
        <v>1006</v>
      </c>
      <c r="B1007" s="2">
        <v>1147498</v>
      </c>
      <c r="C1007" s="3">
        <v>1.2E-2</v>
      </c>
      <c r="D1007" s="1">
        <v>0.5</v>
      </c>
      <c r="E1007" s="4">
        <v>0.24</v>
      </c>
      <c r="F1007" s="4">
        <v>0.34</v>
      </c>
      <c r="G1007" s="4">
        <v>0.41999999999999993</v>
      </c>
    </row>
    <row r="1008" spans="1:7" x14ac:dyDescent="0.25">
      <c r="A1008" s="1">
        <v>1007</v>
      </c>
      <c r="B1008" s="2">
        <v>1347162</v>
      </c>
      <c r="C1008" s="3">
        <v>2.5000000000000001E-2</v>
      </c>
      <c r="D1008" s="1">
        <v>0.5</v>
      </c>
      <c r="E1008" s="4">
        <v>0.2</v>
      </c>
      <c r="F1008" s="4">
        <v>0.28000000000000003</v>
      </c>
      <c r="G1008" s="4">
        <v>0.52</v>
      </c>
    </row>
    <row r="1009" spans="1:7" x14ac:dyDescent="0.25">
      <c r="A1009" s="1">
        <v>1008</v>
      </c>
      <c r="B1009" s="2">
        <v>1454793</v>
      </c>
      <c r="C1009" s="3">
        <v>1.4999999999999999E-2</v>
      </c>
      <c r="D1009" s="1">
        <v>0.5</v>
      </c>
      <c r="E1009" s="4">
        <v>0.19</v>
      </c>
      <c r="F1009" s="4">
        <v>0.35</v>
      </c>
      <c r="G1009" s="4">
        <v>0.46</v>
      </c>
    </row>
    <row r="1010" spans="1:7" x14ac:dyDescent="0.25">
      <c r="A1010" s="1">
        <v>1009</v>
      </c>
      <c r="B1010" s="2">
        <v>1993255</v>
      </c>
      <c r="C1010" s="3">
        <v>2.9000000000000001E-2</v>
      </c>
      <c r="D1010" s="1">
        <v>0.5</v>
      </c>
      <c r="E1010" s="4">
        <v>0.21</v>
      </c>
      <c r="F1010" s="4">
        <v>0.32</v>
      </c>
      <c r="G1010" s="4">
        <v>0.47</v>
      </c>
    </row>
    <row r="1011" spans="1:7" x14ac:dyDescent="0.25">
      <c r="A1011" s="1">
        <v>1010</v>
      </c>
      <c r="B1011" s="2">
        <v>1588721</v>
      </c>
      <c r="C1011" s="3">
        <v>0.03</v>
      </c>
      <c r="D1011" s="1">
        <v>0.5</v>
      </c>
      <c r="E1011" s="4">
        <v>0.18</v>
      </c>
      <c r="F1011" s="4">
        <v>0.24</v>
      </c>
      <c r="G1011" s="4">
        <v>0.58000000000000007</v>
      </c>
    </row>
    <row r="1012" spans="1:7" x14ac:dyDescent="0.25">
      <c r="A1012" s="1">
        <v>1011</v>
      </c>
      <c r="B1012" s="2">
        <v>1519242</v>
      </c>
      <c r="C1012" s="3">
        <v>1.4999999999999999E-2</v>
      </c>
      <c r="D1012" s="1">
        <v>0.5</v>
      </c>
      <c r="E1012" s="4">
        <v>0.15</v>
      </c>
      <c r="F1012" s="4">
        <v>0.25</v>
      </c>
      <c r="G1012" s="4">
        <v>0.6</v>
      </c>
    </row>
    <row r="1013" spans="1:7" x14ac:dyDescent="0.25">
      <c r="A1013" s="1">
        <v>1012</v>
      </c>
      <c r="B1013" s="2">
        <v>1444865</v>
      </c>
      <c r="C1013" s="3">
        <v>1.7000000000000001E-2</v>
      </c>
      <c r="D1013" s="1">
        <v>0.5</v>
      </c>
      <c r="E1013" s="4">
        <v>0.17</v>
      </c>
      <c r="F1013" s="4">
        <v>0.25</v>
      </c>
      <c r="G1013" s="4">
        <v>0.57999999999999996</v>
      </c>
    </row>
    <row r="1014" spans="1:7" x14ac:dyDescent="0.25">
      <c r="A1014" s="1">
        <v>1013</v>
      </c>
      <c r="B1014" s="2">
        <v>1925461</v>
      </c>
      <c r="C1014" s="3">
        <v>1.2999999999999999E-2</v>
      </c>
      <c r="D1014" s="1">
        <v>0.5</v>
      </c>
      <c r="E1014" s="4">
        <v>0.19</v>
      </c>
      <c r="F1014" s="4">
        <v>0.31</v>
      </c>
      <c r="G1014" s="4">
        <v>0.49999999999999994</v>
      </c>
    </row>
    <row r="1015" spans="1:7" x14ac:dyDescent="0.25">
      <c r="A1015" s="1">
        <v>1014</v>
      </c>
      <c r="B1015" s="2">
        <v>1938056</v>
      </c>
      <c r="C1015" s="3">
        <v>1.2E-2</v>
      </c>
      <c r="D1015" s="1">
        <v>0.5</v>
      </c>
      <c r="E1015" s="4">
        <v>0.21</v>
      </c>
      <c r="F1015" s="4">
        <v>0.28999999999999998</v>
      </c>
      <c r="G1015" s="4">
        <v>0.5</v>
      </c>
    </row>
    <row r="1016" spans="1:7" x14ac:dyDescent="0.25">
      <c r="A1016" s="1">
        <v>1015</v>
      </c>
      <c r="B1016" s="2">
        <v>1775668</v>
      </c>
      <c r="C1016" s="3">
        <v>1.7999999999999999E-2</v>
      </c>
      <c r="D1016" s="1">
        <v>0.5</v>
      </c>
      <c r="E1016" s="4">
        <v>0.15</v>
      </c>
      <c r="F1016" s="4">
        <v>0.16</v>
      </c>
      <c r="G1016" s="4">
        <v>0.69</v>
      </c>
    </row>
    <row r="1017" spans="1:7" x14ac:dyDescent="0.25">
      <c r="A1017" s="1">
        <v>1016</v>
      </c>
      <c r="B1017" s="2">
        <v>1609894</v>
      </c>
      <c r="C1017" s="3">
        <v>1.4E-2</v>
      </c>
      <c r="D1017" s="1">
        <v>0.5</v>
      </c>
      <c r="E1017" s="4">
        <v>0.15</v>
      </c>
      <c r="F1017" s="4">
        <v>0.28000000000000003</v>
      </c>
      <c r="G1017" s="4">
        <v>0.56999999999999995</v>
      </c>
    </row>
    <row r="1018" spans="1:7" x14ac:dyDescent="0.25">
      <c r="A1018" s="1">
        <v>1017</v>
      </c>
      <c r="B1018" s="2">
        <v>1132499</v>
      </c>
      <c r="C1018" s="3">
        <v>2.8000000000000001E-2</v>
      </c>
      <c r="D1018" s="1">
        <v>0.5</v>
      </c>
      <c r="E1018" s="4">
        <v>0.19</v>
      </c>
      <c r="F1018" s="4">
        <v>0.35</v>
      </c>
      <c r="G1018" s="4">
        <v>0.46</v>
      </c>
    </row>
    <row r="1019" spans="1:7" x14ac:dyDescent="0.25">
      <c r="A1019" s="1">
        <v>1018</v>
      </c>
      <c r="B1019" s="2">
        <v>1674379</v>
      </c>
      <c r="C1019" s="3">
        <v>2.7E-2</v>
      </c>
      <c r="D1019" s="1">
        <v>0.5</v>
      </c>
      <c r="E1019" s="4">
        <v>0.19</v>
      </c>
      <c r="F1019" s="4">
        <v>0.25</v>
      </c>
      <c r="G1019" s="4">
        <v>0.56000000000000005</v>
      </c>
    </row>
    <row r="1020" spans="1:7" x14ac:dyDescent="0.25">
      <c r="A1020" s="1">
        <v>1019</v>
      </c>
      <c r="B1020" s="2">
        <v>1881488</v>
      </c>
      <c r="C1020" s="3">
        <v>2.5000000000000001E-2</v>
      </c>
      <c r="D1020" s="1">
        <v>0.5</v>
      </c>
      <c r="E1020" s="4">
        <v>0.19</v>
      </c>
      <c r="F1020" s="4">
        <v>0.3</v>
      </c>
      <c r="G1020" s="4">
        <v>0.51</v>
      </c>
    </row>
    <row r="1021" spans="1:7" x14ac:dyDescent="0.25">
      <c r="A1021" s="1">
        <v>1020</v>
      </c>
      <c r="B1021" s="2">
        <v>1505137</v>
      </c>
      <c r="C1021" s="3">
        <v>1.4999999999999999E-2</v>
      </c>
      <c r="D1021" s="1">
        <v>0.5</v>
      </c>
      <c r="E1021" s="4">
        <v>0.24</v>
      </c>
      <c r="F1021" s="4">
        <v>0.25</v>
      </c>
      <c r="G1021" s="4">
        <v>0.51</v>
      </c>
    </row>
    <row r="1022" spans="1:7" x14ac:dyDescent="0.25">
      <c r="A1022" s="1">
        <v>1021</v>
      </c>
      <c r="B1022" s="2">
        <v>1085837</v>
      </c>
      <c r="C1022" s="3">
        <v>2.9000000000000001E-2</v>
      </c>
      <c r="D1022" s="1">
        <v>0.5</v>
      </c>
      <c r="E1022" s="4">
        <v>0.15</v>
      </c>
      <c r="F1022" s="4">
        <v>0.2</v>
      </c>
      <c r="G1022" s="4">
        <v>0.65</v>
      </c>
    </row>
    <row r="1023" spans="1:7" x14ac:dyDescent="0.25">
      <c r="A1023" s="1">
        <v>1022</v>
      </c>
      <c r="B1023" s="2">
        <v>1198396</v>
      </c>
      <c r="C1023" s="3">
        <v>2.9000000000000001E-2</v>
      </c>
      <c r="D1023" s="1">
        <v>0.5</v>
      </c>
      <c r="E1023" s="4">
        <v>0.2</v>
      </c>
      <c r="F1023" s="4">
        <v>0.3</v>
      </c>
      <c r="G1023" s="4">
        <v>0.49999999999999994</v>
      </c>
    </row>
    <row r="1024" spans="1:7" x14ac:dyDescent="0.25">
      <c r="A1024" s="1">
        <v>1023</v>
      </c>
      <c r="B1024" s="2">
        <v>1233019</v>
      </c>
      <c r="C1024" s="3">
        <v>2.8000000000000001E-2</v>
      </c>
      <c r="D1024" s="1">
        <v>0.5</v>
      </c>
      <c r="E1024" s="4">
        <v>0.23</v>
      </c>
      <c r="F1024" s="4">
        <v>0.16</v>
      </c>
      <c r="G1024" s="4">
        <v>0.61</v>
      </c>
    </row>
    <row r="1025" spans="1:7" x14ac:dyDescent="0.25">
      <c r="A1025" s="1">
        <v>1024</v>
      </c>
      <c r="B1025" s="2">
        <v>1117481</v>
      </c>
      <c r="C1025" s="3">
        <v>2.5000000000000001E-2</v>
      </c>
      <c r="D1025" s="1">
        <v>0.5</v>
      </c>
      <c r="E1025" s="4">
        <v>0.18</v>
      </c>
      <c r="F1025" s="4">
        <v>0.22</v>
      </c>
      <c r="G1025" s="4">
        <v>0.60000000000000009</v>
      </c>
    </row>
    <row r="1026" spans="1:7" x14ac:dyDescent="0.25">
      <c r="A1026" s="1">
        <v>1025</v>
      </c>
      <c r="B1026" s="2">
        <v>1792703</v>
      </c>
      <c r="C1026" s="3">
        <v>0.03</v>
      </c>
      <c r="D1026" s="1">
        <v>0.5</v>
      </c>
      <c r="E1026" s="4">
        <v>0.23</v>
      </c>
      <c r="F1026" s="4">
        <v>0.32</v>
      </c>
      <c r="G1026" s="4">
        <v>0.44999999999999996</v>
      </c>
    </row>
    <row r="1027" spans="1:7" x14ac:dyDescent="0.25">
      <c r="A1027" s="1">
        <v>1026</v>
      </c>
      <c r="B1027" s="2">
        <v>1523855</v>
      </c>
      <c r="C1027" s="3">
        <v>1.7000000000000001E-2</v>
      </c>
      <c r="D1027" s="1">
        <v>0.5</v>
      </c>
      <c r="E1027" s="4">
        <v>0.23</v>
      </c>
      <c r="F1027" s="4">
        <v>0.18</v>
      </c>
      <c r="G1027" s="4">
        <v>0.59000000000000008</v>
      </c>
    </row>
    <row r="1028" spans="1:7" x14ac:dyDescent="0.25">
      <c r="A1028" s="1">
        <v>1027</v>
      </c>
      <c r="B1028" s="2">
        <v>1612167</v>
      </c>
      <c r="C1028" s="3">
        <v>2.1999999999999999E-2</v>
      </c>
      <c r="D1028" s="1">
        <v>0.5</v>
      </c>
      <c r="E1028" s="4">
        <v>0.22</v>
      </c>
      <c r="F1028" s="4">
        <v>0.21</v>
      </c>
      <c r="G1028" s="4">
        <v>0.57000000000000006</v>
      </c>
    </row>
    <row r="1029" spans="1:7" x14ac:dyDescent="0.25">
      <c r="A1029" s="1">
        <v>1028</v>
      </c>
      <c r="B1029" s="2">
        <v>1038792</v>
      </c>
      <c r="C1029" s="3">
        <v>1.9E-2</v>
      </c>
      <c r="D1029" s="1">
        <v>0.5</v>
      </c>
      <c r="E1029" s="4">
        <v>0.18</v>
      </c>
      <c r="F1029" s="4">
        <v>0.3</v>
      </c>
      <c r="G1029" s="4">
        <v>0.52</v>
      </c>
    </row>
    <row r="1030" spans="1:7" x14ac:dyDescent="0.25">
      <c r="A1030" s="1">
        <v>1029</v>
      </c>
      <c r="B1030" s="2">
        <v>1516998</v>
      </c>
      <c r="C1030" s="3">
        <v>1.7999999999999999E-2</v>
      </c>
      <c r="D1030" s="1">
        <v>0.5</v>
      </c>
      <c r="E1030" s="4">
        <v>0.17</v>
      </c>
      <c r="F1030" s="4">
        <v>0.18</v>
      </c>
      <c r="G1030" s="4">
        <v>0.65</v>
      </c>
    </row>
    <row r="1031" spans="1:7" x14ac:dyDescent="0.25">
      <c r="A1031" s="1">
        <v>1030</v>
      </c>
      <c r="B1031" s="2">
        <v>1682505</v>
      </c>
      <c r="C1031" s="3">
        <v>2.9000000000000001E-2</v>
      </c>
      <c r="D1031" s="1">
        <v>0.5</v>
      </c>
      <c r="E1031" s="4">
        <v>0.23</v>
      </c>
      <c r="F1031" s="4">
        <v>0.22</v>
      </c>
      <c r="G1031" s="4">
        <v>0.55000000000000004</v>
      </c>
    </row>
    <row r="1032" spans="1:7" x14ac:dyDescent="0.25">
      <c r="A1032" s="1">
        <v>1031</v>
      </c>
      <c r="B1032" s="2">
        <v>1895803</v>
      </c>
      <c r="C1032" s="3">
        <v>1.7999999999999999E-2</v>
      </c>
      <c r="D1032" s="1">
        <v>0.5</v>
      </c>
      <c r="E1032" s="4">
        <v>0.21</v>
      </c>
      <c r="F1032" s="4">
        <v>0.16</v>
      </c>
      <c r="G1032" s="4">
        <v>0.63</v>
      </c>
    </row>
    <row r="1033" spans="1:7" x14ac:dyDescent="0.25">
      <c r="A1033" s="1">
        <v>1032</v>
      </c>
      <c r="B1033" s="2">
        <v>1940902</v>
      </c>
      <c r="C1033" s="3">
        <v>1.2999999999999999E-2</v>
      </c>
      <c r="D1033" s="1">
        <v>0.5</v>
      </c>
      <c r="E1033" s="4">
        <v>0.16</v>
      </c>
      <c r="F1033" s="4">
        <v>0.24</v>
      </c>
      <c r="G1033" s="4">
        <v>0.6</v>
      </c>
    </row>
    <row r="1034" spans="1:7" x14ac:dyDescent="0.25">
      <c r="A1034" s="1">
        <v>1033</v>
      </c>
      <c r="B1034" s="2">
        <v>1735801</v>
      </c>
      <c r="C1034" s="3">
        <v>0.03</v>
      </c>
      <c r="D1034" s="1">
        <v>0.5</v>
      </c>
      <c r="E1034" s="4">
        <v>0.25</v>
      </c>
      <c r="F1034" s="4">
        <v>0.16</v>
      </c>
      <c r="G1034" s="4">
        <v>0.59</v>
      </c>
    </row>
    <row r="1035" spans="1:7" x14ac:dyDescent="0.25">
      <c r="A1035" s="1">
        <v>1034</v>
      </c>
      <c r="B1035" s="2">
        <v>1120597</v>
      </c>
      <c r="C1035" s="3">
        <v>1.2999999999999999E-2</v>
      </c>
      <c r="D1035" s="1">
        <v>0.5</v>
      </c>
      <c r="E1035" s="4">
        <v>0.17</v>
      </c>
      <c r="F1035" s="4">
        <v>0.33</v>
      </c>
      <c r="G1035" s="4">
        <v>0.49999999999999989</v>
      </c>
    </row>
    <row r="1036" spans="1:7" x14ac:dyDescent="0.25">
      <c r="A1036" s="1">
        <v>1035</v>
      </c>
      <c r="B1036" s="2">
        <v>1656179</v>
      </c>
      <c r="C1036" s="3">
        <v>1.9E-2</v>
      </c>
      <c r="D1036" s="1">
        <v>0.5</v>
      </c>
      <c r="E1036" s="4">
        <v>0.18</v>
      </c>
      <c r="F1036" s="4">
        <v>0.27</v>
      </c>
      <c r="G1036" s="4">
        <v>0.55000000000000004</v>
      </c>
    </row>
    <row r="1037" spans="1:7" x14ac:dyDescent="0.25">
      <c r="A1037" s="1">
        <v>1036</v>
      </c>
      <c r="B1037" s="2">
        <v>1058458</v>
      </c>
      <c r="C1037" s="3">
        <v>1.2999999999999999E-2</v>
      </c>
      <c r="D1037" s="1">
        <v>0.5</v>
      </c>
      <c r="E1037" s="4">
        <v>0.22</v>
      </c>
      <c r="F1037" s="4">
        <v>0.17</v>
      </c>
      <c r="G1037" s="4">
        <v>0.61</v>
      </c>
    </row>
    <row r="1038" spans="1:7" x14ac:dyDescent="0.25">
      <c r="A1038" s="1">
        <v>1037</v>
      </c>
      <c r="B1038" s="2">
        <v>1914519</v>
      </c>
      <c r="C1038" s="3">
        <v>1.7999999999999999E-2</v>
      </c>
      <c r="D1038" s="1">
        <v>0.5</v>
      </c>
      <c r="E1038" s="4">
        <v>0.24</v>
      </c>
      <c r="F1038" s="4">
        <v>0.31</v>
      </c>
      <c r="G1038" s="4">
        <v>0.44999999999999996</v>
      </c>
    </row>
    <row r="1039" spans="1:7" x14ac:dyDescent="0.25">
      <c r="A1039" s="1">
        <v>1038</v>
      </c>
      <c r="B1039" s="2">
        <v>1115424</v>
      </c>
      <c r="C1039" s="3">
        <v>2.8000000000000001E-2</v>
      </c>
      <c r="D1039" s="1">
        <v>0.5</v>
      </c>
      <c r="E1039" s="4">
        <v>0.24</v>
      </c>
      <c r="F1039" s="4">
        <v>0.2</v>
      </c>
      <c r="G1039" s="4">
        <v>0.56000000000000005</v>
      </c>
    </row>
    <row r="1040" spans="1:7" x14ac:dyDescent="0.25">
      <c r="A1040" s="1">
        <v>1039</v>
      </c>
      <c r="B1040" s="2">
        <v>1532797</v>
      </c>
      <c r="C1040" s="3">
        <v>2.4E-2</v>
      </c>
      <c r="D1040" s="1">
        <v>0.5</v>
      </c>
      <c r="E1040" s="4">
        <v>0.19</v>
      </c>
      <c r="F1040" s="4">
        <v>0.18</v>
      </c>
      <c r="G1040" s="4">
        <v>0.63000000000000012</v>
      </c>
    </row>
    <row r="1041" spans="1:7" x14ac:dyDescent="0.25">
      <c r="A1041" s="1">
        <v>1040</v>
      </c>
      <c r="B1041" s="2">
        <v>1721240</v>
      </c>
      <c r="C1041" s="3">
        <v>1.2E-2</v>
      </c>
      <c r="D1041" s="1">
        <v>0.5</v>
      </c>
      <c r="E1041" s="4">
        <v>0.25</v>
      </c>
      <c r="F1041" s="4">
        <v>0.35</v>
      </c>
      <c r="G1041" s="4">
        <v>0.4</v>
      </c>
    </row>
    <row r="1042" spans="1:7" x14ac:dyDescent="0.25">
      <c r="A1042" s="1">
        <v>1041</v>
      </c>
      <c r="B1042" s="2">
        <v>1989846</v>
      </c>
      <c r="C1042" s="3">
        <v>0.03</v>
      </c>
      <c r="D1042" s="1">
        <v>0.5</v>
      </c>
      <c r="E1042" s="4">
        <v>0.23</v>
      </c>
      <c r="F1042" s="4">
        <v>0.2</v>
      </c>
      <c r="G1042" s="4">
        <v>0.57000000000000006</v>
      </c>
    </row>
    <row r="1043" spans="1:7" x14ac:dyDescent="0.25">
      <c r="A1043" s="1">
        <v>1042</v>
      </c>
      <c r="B1043" s="2">
        <v>1743270</v>
      </c>
      <c r="C1043" s="3">
        <v>1.0999999999999999E-2</v>
      </c>
      <c r="D1043" s="1">
        <v>0.5</v>
      </c>
      <c r="E1043" s="4">
        <v>0.21</v>
      </c>
      <c r="F1043" s="4">
        <v>0.28999999999999998</v>
      </c>
      <c r="G1043" s="4">
        <v>0.5</v>
      </c>
    </row>
    <row r="1044" spans="1:7" x14ac:dyDescent="0.25">
      <c r="A1044" s="1">
        <v>1043</v>
      </c>
      <c r="B1044" s="2">
        <v>1872594</v>
      </c>
      <c r="C1044" s="3">
        <v>2.8000000000000001E-2</v>
      </c>
      <c r="D1044" s="1">
        <v>0.5</v>
      </c>
      <c r="E1044" s="4">
        <v>0.15</v>
      </c>
      <c r="F1044" s="4">
        <v>0.34</v>
      </c>
      <c r="G1044" s="4">
        <v>0.5099999999999999</v>
      </c>
    </row>
    <row r="1045" spans="1:7" x14ac:dyDescent="0.25">
      <c r="A1045" s="1">
        <v>1044</v>
      </c>
      <c r="B1045" s="2">
        <v>1659680</v>
      </c>
      <c r="C1045" s="3">
        <v>2.5000000000000001E-2</v>
      </c>
      <c r="D1045" s="1">
        <v>0.5</v>
      </c>
      <c r="E1045" s="4">
        <v>0.18</v>
      </c>
      <c r="F1045" s="4">
        <v>0.32</v>
      </c>
      <c r="G1045" s="4">
        <v>0.49999999999999994</v>
      </c>
    </row>
    <row r="1046" spans="1:7" x14ac:dyDescent="0.25">
      <c r="A1046" s="1">
        <v>1045</v>
      </c>
      <c r="B1046" s="2">
        <v>1369587</v>
      </c>
      <c r="C1046" s="3">
        <v>1.0999999999999999E-2</v>
      </c>
      <c r="D1046" s="1">
        <v>0.5</v>
      </c>
      <c r="E1046" s="4">
        <v>0.23</v>
      </c>
      <c r="F1046" s="4">
        <v>0.27</v>
      </c>
      <c r="G1046" s="4">
        <v>0.5</v>
      </c>
    </row>
    <row r="1047" spans="1:7" x14ac:dyDescent="0.25">
      <c r="A1047" s="1">
        <v>1046</v>
      </c>
      <c r="B1047" s="2">
        <v>1440012</v>
      </c>
      <c r="C1047" s="3">
        <v>1.0999999999999999E-2</v>
      </c>
      <c r="D1047" s="1">
        <v>0.5</v>
      </c>
      <c r="E1047" s="4">
        <v>0.2</v>
      </c>
      <c r="F1047" s="4">
        <v>0.35</v>
      </c>
      <c r="G1047" s="4">
        <v>0.45</v>
      </c>
    </row>
    <row r="1048" spans="1:7" x14ac:dyDescent="0.25">
      <c r="A1048" s="1">
        <v>1047</v>
      </c>
      <c r="B1048" s="2">
        <v>1931064</v>
      </c>
      <c r="C1048" s="3">
        <v>1.7999999999999999E-2</v>
      </c>
      <c r="D1048" s="1">
        <v>0.5</v>
      </c>
      <c r="E1048" s="4">
        <v>0.21</v>
      </c>
      <c r="F1048" s="4">
        <v>0.18</v>
      </c>
      <c r="G1048" s="4">
        <v>0.6100000000000001</v>
      </c>
    </row>
    <row r="1049" spans="1:7" x14ac:dyDescent="0.25">
      <c r="A1049" s="1">
        <v>1048</v>
      </c>
      <c r="B1049" s="2">
        <v>1278676</v>
      </c>
      <c r="C1049" s="3">
        <v>2.4E-2</v>
      </c>
      <c r="D1049" s="1">
        <v>0.5</v>
      </c>
      <c r="E1049" s="4">
        <v>0.18</v>
      </c>
      <c r="F1049" s="4">
        <v>0.24</v>
      </c>
      <c r="G1049" s="4">
        <v>0.58000000000000007</v>
      </c>
    </row>
    <row r="1050" spans="1:7" x14ac:dyDescent="0.25">
      <c r="A1050" s="1">
        <v>1049</v>
      </c>
      <c r="B1050" s="2">
        <v>1001415</v>
      </c>
      <c r="C1050" s="3">
        <v>1.6E-2</v>
      </c>
      <c r="D1050" s="1">
        <v>0.5</v>
      </c>
      <c r="E1050" s="4">
        <v>0.24</v>
      </c>
      <c r="F1050" s="4">
        <v>0.34</v>
      </c>
      <c r="G1050" s="4">
        <v>0.41999999999999993</v>
      </c>
    </row>
    <row r="1051" spans="1:7" x14ac:dyDescent="0.25">
      <c r="A1051" s="1">
        <v>1050</v>
      </c>
      <c r="B1051" s="2">
        <v>1204497</v>
      </c>
      <c r="C1051" s="3">
        <v>1.7999999999999999E-2</v>
      </c>
      <c r="D1051" s="1">
        <v>0.5</v>
      </c>
      <c r="E1051" s="4">
        <v>0.19</v>
      </c>
      <c r="F1051" s="4">
        <v>0.28000000000000003</v>
      </c>
      <c r="G1051" s="4">
        <v>0.53</v>
      </c>
    </row>
    <row r="1052" spans="1:7" x14ac:dyDescent="0.25">
      <c r="A1052" s="1">
        <v>1051</v>
      </c>
      <c r="B1052" s="2">
        <v>1407997</v>
      </c>
      <c r="C1052" s="3">
        <v>1.0999999999999999E-2</v>
      </c>
      <c r="D1052" s="1">
        <v>0.5</v>
      </c>
      <c r="E1052" s="4">
        <v>0.24</v>
      </c>
      <c r="F1052" s="4">
        <v>0.15</v>
      </c>
      <c r="G1052" s="4">
        <v>0.61</v>
      </c>
    </row>
    <row r="1053" spans="1:7" x14ac:dyDescent="0.25">
      <c r="A1053" s="1">
        <v>1052</v>
      </c>
      <c r="B1053" s="2">
        <v>1929970</v>
      </c>
      <c r="C1053" s="3">
        <v>1.0999999999999999E-2</v>
      </c>
      <c r="D1053" s="1">
        <v>0.5</v>
      </c>
      <c r="E1053" s="4">
        <v>0.18</v>
      </c>
      <c r="F1053" s="4">
        <v>0.22</v>
      </c>
      <c r="G1053" s="4">
        <v>0.60000000000000009</v>
      </c>
    </row>
    <row r="1054" spans="1:7" x14ac:dyDescent="0.25">
      <c r="A1054" s="1">
        <v>1053</v>
      </c>
      <c r="B1054" s="2">
        <v>1553643</v>
      </c>
      <c r="C1054" s="3">
        <v>1.6E-2</v>
      </c>
      <c r="D1054" s="1">
        <v>0.5</v>
      </c>
      <c r="E1054" s="4">
        <v>0.22</v>
      </c>
      <c r="F1054" s="4">
        <v>0.23</v>
      </c>
      <c r="G1054" s="4">
        <v>0.55000000000000004</v>
      </c>
    </row>
    <row r="1055" spans="1:7" x14ac:dyDescent="0.25">
      <c r="A1055" s="1">
        <v>1054</v>
      </c>
      <c r="B1055" s="2">
        <v>1981019</v>
      </c>
      <c r="C1055" s="3">
        <v>1.7000000000000001E-2</v>
      </c>
      <c r="D1055" s="1">
        <v>0.5</v>
      </c>
      <c r="E1055" s="4">
        <v>0.18</v>
      </c>
      <c r="F1055" s="4">
        <v>0.17</v>
      </c>
      <c r="G1055" s="4">
        <v>0.64999999999999991</v>
      </c>
    </row>
    <row r="1056" spans="1:7" x14ac:dyDescent="0.25">
      <c r="A1056" s="1">
        <v>1055</v>
      </c>
      <c r="B1056" s="2">
        <v>1062532</v>
      </c>
      <c r="C1056" s="3">
        <v>2.1000000000000001E-2</v>
      </c>
      <c r="D1056" s="1">
        <v>0.5</v>
      </c>
      <c r="E1056" s="4">
        <v>0.22</v>
      </c>
      <c r="F1056" s="4">
        <v>0.23</v>
      </c>
      <c r="G1056" s="4">
        <v>0.55000000000000004</v>
      </c>
    </row>
    <row r="1057" spans="1:7" x14ac:dyDescent="0.25">
      <c r="A1057" s="1">
        <v>1056</v>
      </c>
      <c r="B1057" s="2">
        <v>1931854</v>
      </c>
      <c r="C1057" s="3">
        <v>2.9000000000000001E-2</v>
      </c>
      <c r="D1057" s="1">
        <v>0.5</v>
      </c>
      <c r="E1057" s="4">
        <v>0.2</v>
      </c>
      <c r="F1057" s="4">
        <v>0.28000000000000003</v>
      </c>
      <c r="G1057" s="4">
        <v>0.52</v>
      </c>
    </row>
    <row r="1058" spans="1:7" x14ac:dyDescent="0.25">
      <c r="A1058" s="1">
        <v>1057</v>
      </c>
      <c r="B1058" s="2">
        <v>1320038</v>
      </c>
      <c r="C1058" s="3">
        <v>1.4999999999999999E-2</v>
      </c>
      <c r="D1058" s="1">
        <v>0.5</v>
      </c>
      <c r="E1058" s="4">
        <v>0.2</v>
      </c>
      <c r="F1058" s="4">
        <v>0.21</v>
      </c>
      <c r="G1058" s="4">
        <v>0.59000000000000008</v>
      </c>
    </row>
    <row r="1059" spans="1:7" x14ac:dyDescent="0.25">
      <c r="A1059" s="1">
        <v>1058</v>
      </c>
      <c r="B1059" s="2">
        <v>1566792</v>
      </c>
      <c r="C1059" s="3">
        <v>2.4E-2</v>
      </c>
      <c r="D1059" s="1">
        <v>0.5</v>
      </c>
      <c r="E1059" s="4">
        <v>0.2</v>
      </c>
      <c r="F1059" s="4">
        <v>0.21</v>
      </c>
      <c r="G1059" s="4">
        <v>0.59000000000000008</v>
      </c>
    </row>
    <row r="1060" spans="1:7" x14ac:dyDescent="0.25">
      <c r="A1060" s="1">
        <v>1059</v>
      </c>
      <c r="B1060" s="2">
        <v>1200644</v>
      </c>
      <c r="C1060" s="3">
        <v>2.7E-2</v>
      </c>
      <c r="D1060" s="1">
        <v>0.5</v>
      </c>
      <c r="E1060" s="4">
        <v>0.15</v>
      </c>
      <c r="F1060" s="4">
        <v>0.21</v>
      </c>
      <c r="G1060" s="4">
        <v>0.64</v>
      </c>
    </row>
    <row r="1061" spans="1:7" x14ac:dyDescent="0.25">
      <c r="A1061" s="1">
        <v>1060</v>
      </c>
      <c r="B1061" s="2">
        <v>1456727</v>
      </c>
      <c r="C1061" s="3">
        <v>2.1999999999999999E-2</v>
      </c>
      <c r="D1061" s="1">
        <v>0.5</v>
      </c>
      <c r="E1061" s="4">
        <v>0.24</v>
      </c>
      <c r="F1061" s="4">
        <v>0.23</v>
      </c>
      <c r="G1061" s="4">
        <v>0.53</v>
      </c>
    </row>
    <row r="1062" spans="1:7" x14ac:dyDescent="0.25">
      <c r="A1062" s="1">
        <v>1061</v>
      </c>
      <c r="B1062" s="2">
        <v>1184664</v>
      </c>
      <c r="C1062" s="3">
        <v>1.9E-2</v>
      </c>
      <c r="D1062" s="1">
        <v>0.5</v>
      </c>
      <c r="E1062" s="4">
        <v>0.24</v>
      </c>
      <c r="F1062" s="4">
        <v>0.32</v>
      </c>
      <c r="G1062" s="4">
        <v>0.43999999999999995</v>
      </c>
    </row>
    <row r="1063" spans="1:7" x14ac:dyDescent="0.25">
      <c r="A1063" s="1">
        <v>1062</v>
      </c>
      <c r="B1063" s="2">
        <v>1264563</v>
      </c>
      <c r="C1063" s="3">
        <v>2.7E-2</v>
      </c>
      <c r="D1063" s="1">
        <v>0.5</v>
      </c>
      <c r="E1063" s="4">
        <v>0.22</v>
      </c>
      <c r="F1063" s="4">
        <v>0.27</v>
      </c>
      <c r="G1063" s="4">
        <v>0.51</v>
      </c>
    </row>
    <row r="1064" spans="1:7" x14ac:dyDescent="0.25">
      <c r="A1064" s="1">
        <v>1063</v>
      </c>
      <c r="B1064" s="2">
        <v>1602495</v>
      </c>
      <c r="C1064" s="3">
        <v>2.1999999999999999E-2</v>
      </c>
      <c r="D1064" s="1">
        <v>0.5</v>
      </c>
      <c r="E1064" s="4">
        <v>0.23</v>
      </c>
      <c r="F1064" s="4">
        <v>0.15</v>
      </c>
      <c r="G1064" s="4">
        <v>0.62</v>
      </c>
    </row>
    <row r="1065" spans="1:7" x14ac:dyDescent="0.25">
      <c r="A1065" s="1">
        <v>1064</v>
      </c>
      <c r="B1065" s="2">
        <v>1240028</v>
      </c>
      <c r="C1065" s="3">
        <v>0.03</v>
      </c>
      <c r="D1065" s="1">
        <v>0.5</v>
      </c>
      <c r="E1065" s="4">
        <v>0.19</v>
      </c>
      <c r="F1065" s="4">
        <v>0.18</v>
      </c>
      <c r="G1065" s="4">
        <v>0.63000000000000012</v>
      </c>
    </row>
    <row r="1066" spans="1:7" x14ac:dyDescent="0.25">
      <c r="A1066" s="1">
        <v>1065</v>
      </c>
      <c r="B1066" s="2">
        <v>1263475</v>
      </c>
      <c r="C1066" s="3">
        <v>1.2E-2</v>
      </c>
      <c r="D1066" s="1">
        <v>0.5</v>
      </c>
      <c r="E1066" s="4">
        <v>0.25</v>
      </c>
      <c r="F1066" s="4">
        <v>0.28000000000000003</v>
      </c>
      <c r="G1066" s="4">
        <v>0.47</v>
      </c>
    </row>
    <row r="1067" spans="1:7" x14ac:dyDescent="0.25">
      <c r="A1067" s="1">
        <v>1066</v>
      </c>
      <c r="B1067" s="2">
        <v>1992524</v>
      </c>
      <c r="C1067" s="3">
        <v>2.9000000000000001E-2</v>
      </c>
      <c r="D1067" s="1">
        <v>0.5</v>
      </c>
      <c r="E1067" s="4">
        <v>0.2</v>
      </c>
      <c r="F1067" s="4">
        <v>0.15</v>
      </c>
      <c r="G1067" s="4">
        <v>0.64999999999999991</v>
      </c>
    </row>
    <row r="1068" spans="1:7" x14ac:dyDescent="0.25">
      <c r="A1068" s="1">
        <v>1067</v>
      </c>
      <c r="B1068" s="2">
        <v>1974326</v>
      </c>
      <c r="C1068" s="3">
        <v>2.1999999999999999E-2</v>
      </c>
      <c r="D1068" s="1">
        <v>0.5</v>
      </c>
      <c r="E1068" s="4">
        <v>0.16</v>
      </c>
      <c r="F1068" s="4">
        <v>0.19</v>
      </c>
      <c r="G1068" s="4">
        <v>0.65</v>
      </c>
    </row>
    <row r="1069" spans="1:7" x14ac:dyDescent="0.25">
      <c r="A1069" s="1">
        <v>1068</v>
      </c>
      <c r="B1069" s="2">
        <v>1331931</v>
      </c>
      <c r="C1069" s="3">
        <v>0.01</v>
      </c>
      <c r="D1069" s="1">
        <v>0.5</v>
      </c>
      <c r="E1069" s="4">
        <v>0.17</v>
      </c>
      <c r="F1069" s="4">
        <v>0.18</v>
      </c>
      <c r="G1069" s="4">
        <v>0.65</v>
      </c>
    </row>
    <row r="1070" spans="1:7" x14ac:dyDescent="0.25">
      <c r="A1070" s="1">
        <v>1069</v>
      </c>
      <c r="B1070" s="2">
        <v>1393074</v>
      </c>
      <c r="C1070" s="3">
        <v>2.8000000000000001E-2</v>
      </c>
      <c r="D1070" s="1">
        <v>0.5</v>
      </c>
      <c r="E1070" s="4">
        <v>0.17</v>
      </c>
      <c r="F1070" s="4">
        <v>0.24</v>
      </c>
      <c r="G1070" s="4">
        <v>0.59</v>
      </c>
    </row>
    <row r="1071" spans="1:7" x14ac:dyDescent="0.25">
      <c r="A1071" s="1">
        <v>1070</v>
      </c>
      <c r="B1071" s="2">
        <v>1872651</v>
      </c>
      <c r="C1071" s="3">
        <v>2.7E-2</v>
      </c>
      <c r="D1071" s="1">
        <v>0.5</v>
      </c>
      <c r="E1071" s="4">
        <v>0.17</v>
      </c>
      <c r="F1071" s="4">
        <v>0.26</v>
      </c>
      <c r="G1071" s="4">
        <v>0.56999999999999995</v>
      </c>
    </row>
    <row r="1072" spans="1:7" x14ac:dyDescent="0.25">
      <c r="A1072" s="1">
        <v>1071</v>
      </c>
      <c r="B1072" s="2">
        <v>1365254</v>
      </c>
      <c r="C1072" s="3">
        <v>1.9E-2</v>
      </c>
      <c r="D1072" s="1">
        <v>0.5</v>
      </c>
      <c r="E1072" s="4">
        <v>0.19</v>
      </c>
      <c r="F1072" s="4">
        <v>0.32</v>
      </c>
      <c r="G1072" s="4">
        <v>0.48999999999999994</v>
      </c>
    </row>
    <row r="1073" spans="1:7" x14ac:dyDescent="0.25">
      <c r="A1073" s="1">
        <v>1072</v>
      </c>
      <c r="B1073" s="2">
        <v>1692244</v>
      </c>
      <c r="C1073" s="3">
        <v>1.2999999999999999E-2</v>
      </c>
      <c r="D1073" s="1">
        <v>0.5</v>
      </c>
      <c r="E1073" s="4">
        <v>0.25</v>
      </c>
      <c r="F1073" s="4">
        <v>0.31</v>
      </c>
      <c r="G1073" s="4">
        <v>0.43999999999999995</v>
      </c>
    </row>
    <row r="1074" spans="1:7" x14ac:dyDescent="0.25">
      <c r="A1074" s="1">
        <v>1073</v>
      </c>
      <c r="B1074" s="2">
        <v>1768620</v>
      </c>
      <c r="C1074" s="3">
        <v>1.4E-2</v>
      </c>
      <c r="D1074" s="1">
        <v>0.5</v>
      </c>
      <c r="E1074" s="4">
        <v>0.15</v>
      </c>
      <c r="F1074" s="4">
        <v>0.28000000000000003</v>
      </c>
      <c r="G1074" s="4">
        <v>0.56999999999999995</v>
      </c>
    </row>
    <row r="1075" spans="1:7" x14ac:dyDescent="0.25">
      <c r="A1075" s="1">
        <v>1074</v>
      </c>
      <c r="B1075" s="2">
        <v>1218080</v>
      </c>
      <c r="C1075" s="3">
        <v>2.3E-2</v>
      </c>
      <c r="D1075" s="1">
        <v>0.5</v>
      </c>
      <c r="E1075" s="4">
        <v>0.19</v>
      </c>
      <c r="F1075" s="4">
        <v>0.28000000000000003</v>
      </c>
      <c r="G1075" s="4">
        <v>0.53</v>
      </c>
    </row>
    <row r="1076" spans="1:7" x14ac:dyDescent="0.25">
      <c r="A1076" s="1">
        <v>1075</v>
      </c>
      <c r="B1076" s="2">
        <v>1219796</v>
      </c>
      <c r="C1076" s="3">
        <v>2.5000000000000001E-2</v>
      </c>
      <c r="D1076" s="1">
        <v>0.5</v>
      </c>
      <c r="E1076" s="4">
        <v>0.24</v>
      </c>
      <c r="F1076" s="4">
        <v>0.18</v>
      </c>
      <c r="G1076" s="4">
        <v>0.58000000000000007</v>
      </c>
    </row>
    <row r="1077" spans="1:7" x14ac:dyDescent="0.25">
      <c r="A1077" s="1">
        <v>1076</v>
      </c>
      <c r="B1077" s="2">
        <v>1451905</v>
      </c>
      <c r="C1077" s="3">
        <v>0.01</v>
      </c>
      <c r="D1077" s="1">
        <v>0.5</v>
      </c>
      <c r="E1077" s="4">
        <v>0.24</v>
      </c>
      <c r="F1077" s="4">
        <v>0.17</v>
      </c>
      <c r="G1077" s="4">
        <v>0.59</v>
      </c>
    </row>
    <row r="1078" spans="1:7" x14ac:dyDescent="0.25">
      <c r="A1078" s="1">
        <v>1077</v>
      </c>
      <c r="B1078" s="2">
        <v>1675533</v>
      </c>
      <c r="C1078" s="3">
        <v>2.5000000000000001E-2</v>
      </c>
      <c r="D1078" s="1">
        <v>0.5</v>
      </c>
      <c r="E1078" s="4">
        <v>0.24</v>
      </c>
      <c r="F1078" s="4">
        <v>0.19</v>
      </c>
      <c r="G1078" s="4">
        <v>0.57000000000000006</v>
      </c>
    </row>
    <row r="1079" spans="1:7" x14ac:dyDescent="0.25">
      <c r="A1079" s="1">
        <v>1078</v>
      </c>
      <c r="B1079" s="2">
        <v>1630082</v>
      </c>
      <c r="C1079" s="3">
        <v>1.2E-2</v>
      </c>
      <c r="D1079" s="1">
        <v>0.5</v>
      </c>
      <c r="E1079" s="4">
        <v>0.25</v>
      </c>
      <c r="F1079" s="4">
        <v>0.26</v>
      </c>
      <c r="G1079" s="4">
        <v>0.49</v>
      </c>
    </row>
    <row r="1080" spans="1:7" x14ac:dyDescent="0.25">
      <c r="A1080" s="1">
        <v>1079</v>
      </c>
      <c r="B1080" s="2">
        <v>1318032</v>
      </c>
      <c r="C1080" s="3">
        <v>1.4E-2</v>
      </c>
      <c r="D1080" s="1">
        <v>0.5</v>
      </c>
      <c r="E1080" s="4">
        <v>0.24</v>
      </c>
      <c r="F1080" s="4">
        <v>0.23</v>
      </c>
      <c r="G1080" s="4">
        <v>0.53</v>
      </c>
    </row>
    <row r="1081" spans="1:7" x14ac:dyDescent="0.25">
      <c r="A1081" s="1">
        <v>1080</v>
      </c>
      <c r="B1081" s="2">
        <v>1202973</v>
      </c>
      <c r="C1081" s="3">
        <v>1.0999999999999999E-2</v>
      </c>
      <c r="D1081" s="1">
        <v>0.5</v>
      </c>
      <c r="E1081" s="4">
        <v>0.18</v>
      </c>
      <c r="F1081" s="4">
        <v>0.26</v>
      </c>
      <c r="G1081" s="4">
        <v>0.56000000000000005</v>
      </c>
    </row>
    <row r="1082" spans="1:7" x14ac:dyDescent="0.25">
      <c r="A1082" s="1">
        <v>1081</v>
      </c>
      <c r="B1082" s="2">
        <v>1887868</v>
      </c>
      <c r="C1082" s="3">
        <v>2.5000000000000001E-2</v>
      </c>
      <c r="D1082" s="1">
        <v>0.5</v>
      </c>
      <c r="E1082" s="4">
        <v>0.17</v>
      </c>
      <c r="F1082" s="4">
        <v>0.35</v>
      </c>
      <c r="G1082" s="4">
        <v>0.48</v>
      </c>
    </row>
    <row r="1083" spans="1:7" x14ac:dyDescent="0.25">
      <c r="A1083" s="1">
        <v>1082</v>
      </c>
      <c r="B1083" s="2">
        <v>1503581</v>
      </c>
      <c r="C1083" s="3">
        <v>1.9E-2</v>
      </c>
      <c r="D1083" s="1">
        <v>0.5</v>
      </c>
      <c r="E1083" s="4">
        <v>0.24</v>
      </c>
      <c r="F1083" s="4">
        <v>0.31</v>
      </c>
      <c r="G1083" s="4">
        <v>0.44999999999999996</v>
      </c>
    </row>
    <row r="1084" spans="1:7" x14ac:dyDescent="0.25">
      <c r="A1084" s="1">
        <v>1083</v>
      </c>
      <c r="B1084" s="2">
        <v>1798519</v>
      </c>
      <c r="C1084" s="3">
        <v>1.6E-2</v>
      </c>
      <c r="D1084" s="1">
        <v>0.5</v>
      </c>
      <c r="E1084" s="4">
        <v>0.24</v>
      </c>
      <c r="F1084" s="4">
        <v>0.19</v>
      </c>
      <c r="G1084" s="4">
        <v>0.57000000000000006</v>
      </c>
    </row>
    <row r="1085" spans="1:7" x14ac:dyDescent="0.25">
      <c r="A1085" s="1">
        <v>1084</v>
      </c>
      <c r="B1085" s="2">
        <v>1987634</v>
      </c>
      <c r="C1085" s="3">
        <v>2.7E-2</v>
      </c>
      <c r="D1085" s="1">
        <v>0.5</v>
      </c>
      <c r="E1085" s="4">
        <v>0.24</v>
      </c>
      <c r="F1085" s="4">
        <v>0.31</v>
      </c>
      <c r="G1085" s="4">
        <v>0.44999999999999996</v>
      </c>
    </row>
    <row r="1086" spans="1:7" x14ac:dyDescent="0.25">
      <c r="A1086" s="1">
        <v>1085</v>
      </c>
      <c r="B1086" s="2">
        <v>1024729</v>
      </c>
      <c r="C1086" s="3">
        <v>2.8000000000000001E-2</v>
      </c>
      <c r="D1086" s="1">
        <v>0.5</v>
      </c>
      <c r="E1086" s="4">
        <v>0.18</v>
      </c>
      <c r="F1086" s="4">
        <v>0.16</v>
      </c>
      <c r="G1086" s="4">
        <v>0.65999999999999992</v>
      </c>
    </row>
    <row r="1087" spans="1:7" x14ac:dyDescent="0.25">
      <c r="A1087" s="1">
        <v>1086</v>
      </c>
      <c r="B1087" s="2">
        <v>1632216</v>
      </c>
      <c r="C1087" s="3">
        <v>2.1000000000000001E-2</v>
      </c>
      <c r="D1087" s="1">
        <v>0.5</v>
      </c>
      <c r="E1087" s="4">
        <v>0.22</v>
      </c>
      <c r="F1087" s="4">
        <v>0.3</v>
      </c>
      <c r="G1087" s="4">
        <v>0.48</v>
      </c>
    </row>
    <row r="1088" spans="1:7" x14ac:dyDescent="0.25">
      <c r="A1088" s="1">
        <v>1087</v>
      </c>
      <c r="B1088" s="2">
        <v>1585293</v>
      </c>
      <c r="C1088" s="3">
        <v>1.6E-2</v>
      </c>
      <c r="D1088" s="1">
        <v>0.5</v>
      </c>
      <c r="E1088" s="4">
        <v>0.23</v>
      </c>
      <c r="F1088" s="4">
        <v>0.24</v>
      </c>
      <c r="G1088" s="4">
        <v>0.53</v>
      </c>
    </row>
    <row r="1089" spans="1:7" x14ac:dyDescent="0.25">
      <c r="A1089" s="1">
        <v>1088</v>
      </c>
      <c r="B1089" s="2">
        <v>1237947</v>
      </c>
      <c r="C1089" s="3">
        <v>2.8000000000000001E-2</v>
      </c>
      <c r="D1089" s="1">
        <v>0.5</v>
      </c>
      <c r="E1089" s="4">
        <v>0.23</v>
      </c>
      <c r="F1089" s="4">
        <v>0.34</v>
      </c>
      <c r="G1089" s="4">
        <v>0.42999999999999994</v>
      </c>
    </row>
    <row r="1090" spans="1:7" x14ac:dyDescent="0.25">
      <c r="A1090" s="1">
        <v>1089</v>
      </c>
      <c r="B1090" s="2">
        <v>1192635</v>
      </c>
      <c r="C1090" s="3">
        <v>0.03</v>
      </c>
      <c r="D1090" s="1">
        <v>0.5</v>
      </c>
      <c r="E1090" s="4">
        <v>0.23</v>
      </c>
      <c r="F1090" s="4">
        <v>0.2</v>
      </c>
      <c r="G1090" s="4">
        <v>0.57000000000000006</v>
      </c>
    </row>
    <row r="1091" spans="1:7" x14ac:dyDescent="0.25">
      <c r="A1091" s="1">
        <v>1090</v>
      </c>
      <c r="B1091" s="2">
        <v>1113605</v>
      </c>
      <c r="C1091" s="3">
        <v>2.8000000000000001E-2</v>
      </c>
      <c r="D1091" s="1">
        <v>0.5</v>
      </c>
      <c r="E1091" s="4">
        <v>0.15</v>
      </c>
      <c r="F1091" s="4">
        <v>0.28000000000000003</v>
      </c>
      <c r="G1091" s="4">
        <v>0.56999999999999995</v>
      </c>
    </row>
    <row r="1092" spans="1:7" x14ac:dyDescent="0.25">
      <c r="A1092" s="1">
        <v>1091</v>
      </c>
      <c r="B1092" s="2">
        <v>1454686</v>
      </c>
      <c r="C1092" s="3">
        <v>2.1000000000000001E-2</v>
      </c>
      <c r="D1092" s="1">
        <v>0.5</v>
      </c>
      <c r="E1092" s="4">
        <v>0.2</v>
      </c>
      <c r="F1092" s="4">
        <v>0.25</v>
      </c>
      <c r="G1092" s="4">
        <v>0.55000000000000004</v>
      </c>
    </row>
    <row r="1093" spans="1:7" x14ac:dyDescent="0.25">
      <c r="A1093" s="1">
        <v>1092</v>
      </c>
      <c r="B1093" s="2">
        <v>1187803</v>
      </c>
      <c r="C1093" s="3">
        <v>2.1999999999999999E-2</v>
      </c>
      <c r="D1093" s="1">
        <v>0.5</v>
      </c>
      <c r="E1093" s="4">
        <v>0.17</v>
      </c>
      <c r="F1093" s="4">
        <v>0.34</v>
      </c>
      <c r="G1093" s="4">
        <v>0.48999999999999988</v>
      </c>
    </row>
    <row r="1094" spans="1:7" x14ac:dyDescent="0.25">
      <c r="A1094" s="1">
        <v>1093</v>
      </c>
      <c r="B1094" s="2">
        <v>1903171</v>
      </c>
      <c r="C1094" s="3">
        <v>1.4999999999999999E-2</v>
      </c>
      <c r="D1094" s="1">
        <v>0.5</v>
      </c>
      <c r="E1094" s="4">
        <v>0.24</v>
      </c>
      <c r="F1094" s="4">
        <v>0.3</v>
      </c>
      <c r="G1094" s="4">
        <v>0.45999999999999996</v>
      </c>
    </row>
    <row r="1095" spans="1:7" x14ac:dyDescent="0.25">
      <c r="A1095" s="1">
        <v>1094</v>
      </c>
      <c r="B1095" s="2">
        <v>1281382</v>
      </c>
      <c r="C1095" s="3">
        <v>1.2999999999999999E-2</v>
      </c>
      <c r="D1095" s="1">
        <v>0.5</v>
      </c>
      <c r="E1095" s="4">
        <v>0.22</v>
      </c>
      <c r="F1095" s="4">
        <v>0.2</v>
      </c>
      <c r="G1095" s="4">
        <v>0.58000000000000007</v>
      </c>
    </row>
    <row r="1096" spans="1:7" x14ac:dyDescent="0.25">
      <c r="A1096" s="1">
        <v>1095</v>
      </c>
      <c r="B1096" s="2">
        <v>1554496</v>
      </c>
      <c r="C1096" s="3">
        <v>2.8000000000000001E-2</v>
      </c>
      <c r="D1096" s="1">
        <v>0.5</v>
      </c>
      <c r="E1096" s="4">
        <v>0.16</v>
      </c>
      <c r="F1096" s="4">
        <v>0.2</v>
      </c>
      <c r="G1096" s="4">
        <v>0.64</v>
      </c>
    </row>
    <row r="1097" spans="1:7" x14ac:dyDescent="0.25">
      <c r="A1097" s="1">
        <v>1096</v>
      </c>
      <c r="B1097" s="2">
        <v>1025676</v>
      </c>
      <c r="C1097" s="3">
        <v>2.5999999999999999E-2</v>
      </c>
      <c r="D1097" s="1">
        <v>0.5</v>
      </c>
      <c r="E1097" s="4">
        <v>0.16</v>
      </c>
      <c r="F1097" s="4">
        <v>0.3</v>
      </c>
      <c r="G1097" s="4">
        <v>0.53999999999999992</v>
      </c>
    </row>
    <row r="1098" spans="1:7" x14ac:dyDescent="0.25">
      <c r="A1098" s="1">
        <v>1097</v>
      </c>
      <c r="B1098" s="2">
        <v>1432935</v>
      </c>
      <c r="C1098" s="3">
        <v>2.7E-2</v>
      </c>
      <c r="D1098" s="1">
        <v>0.5</v>
      </c>
      <c r="E1098" s="4">
        <v>0.19</v>
      </c>
      <c r="F1098" s="4">
        <v>0.34</v>
      </c>
      <c r="G1098" s="4">
        <v>0.46999999999999992</v>
      </c>
    </row>
    <row r="1099" spans="1:7" x14ac:dyDescent="0.25">
      <c r="A1099" s="1">
        <v>1098</v>
      </c>
      <c r="B1099" s="2">
        <v>1589309</v>
      </c>
      <c r="C1099" s="3">
        <v>2.3E-2</v>
      </c>
      <c r="D1099" s="1">
        <v>0.5</v>
      </c>
      <c r="E1099" s="4">
        <v>0.24</v>
      </c>
      <c r="F1099" s="4">
        <v>0.32</v>
      </c>
      <c r="G1099" s="4">
        <v>0.43999999999999995</v>
      </c>
    </row>
    <row r="1100" spans="1:7" x14ac:dyDescent="0.25">
      <c r="A1100" s="1">
        <v>1099</v>
      </c>
      <c r="B1100" s="2">
        <v>1593388</v>
      </c>
      <c r="C1100" s="3">
        <v>1.0999999999999999E-2</v>
      </c>
      <c r="D1100" s="1">
        <v>0.5</v>
      </c>
      <c r="E1100" s="4">
        <v>0.22</v>
      </c>
      <c r="F1100" s="4">
        <v>0.35</v>
      </c>
      <c r="G1100" s="4">
        <v>0.43000000000000005</v>
      </c>
    </row>
    <row r="1101" spans="1:7" x14ac:dyDescent="0.25">
      <c r="A1101" s="1">
        <v>1100</v>
      </c>
      <c r="B1101" s="2">
        <v>1729576</v>
      </c>
      <c r="C1101" s="3">
        <v>1.9E-2</v>
      </c>
      <c r="D1101" s="1">
        <v>0.5</v>
      </c>
      <c r="E1101" s="4">
        <v>0.15</v>
      </c>
      <c r="F1101" s="4">
        <v>0.28000000000000003</v>
      </c>
      <c r="G1101" s="4">
        <v>0.56999999999999995</v>
      </c>
    </row>
    <row r="1102" spans="1:7" x14ac:dyDescent="0.25">
      <c r="A1102" s="1">
        <v>1101</v>
      </c>
      <c r="B1102" s="2">
        <v>1181889</v>
      </c>
      <c r="C1102" s="3">
        <v>2.4E-2</v>
      </c>
      <c r="D1102" s="1">
        <v>0.5</v>
      </c>
      <c r="E1102" s="4">
        <v>0.23</v>
      </c>
      <c r="F1102" s="4">
        <v>0.34</v>
      </c>
      <c r="G1102" s="4">
        <v>0.42999999999999994</v>
      </c>
    </row>
    <row r="1103" spans="1:7" x14ac:dyDescent="0.25">
      <c r="A1103" s="1">
        <v>1102</v>
      </c>
      <c r="B1103" s="2">
        <v>1110351</v>
      </c>
      <c r="C1103" s="3">
        <v>1.7999999999999999E-2</v>
      </c>
      <c r="D1103" s="1">
        <v>0.5</v>
      </c>
      <c r="E1103" s="4">
        <v>0.23</v>
      </c>
      <c r="F1103" s="4">
        <v>0.22</v>
      </c>
      <c r="G1103" s="4">
        <v>0.55000000000000004</v>
      </c>
    </row>
    <row r="1104" spans="1:7" x14ac:dyDescent="0.25">
      <c r="A1104" s="1">
        <v>1103</v>
      </c>
      <c r="B1104" s="2">
        <v>1722351</v>
      </c>
      <c r="C1104" s="3">
        <v>2.1000000000000001E-2</v>
      </c>
      <c r="D1104" s="1">
        <v>0.5</v>
      </c>
      <c r="E1104" s="4">
        <v>0.15</v>
      </c>
      <c r="F1104" s="4">
        <v>0.28999999999999998</v>
      </c>
      <c r="G1104" s="4">
        <v>0.55999999999999994</v>
      </c>
    </row>
    <row r="1105" spans="1:7" x14ac:dyDescent="0.25">
      <c r="A1105" s="1">
        <v>1104</v>
      </c>
      <c r="B1105" s="2">
        <v>1075553</v>
      </c>
      <c r="C1105" s="3">
        <v>2.8000000000000001E-2</v>
      </c>
      <c r="D1105" s="1">
        <v>0.5</v>
      </c>
      <c r="E1105" s="4">
        <v>0.2</v>
      </c>
      <c r="F1105" s="4">
        <v>0.27</v>
      </c>
      <c r="G1105" s="4">
        <v>0.53</v>
      </c>
    </row>
    <row r="1106" spans="1:7" x14ac:dyDescent="0.25">
      <c r="A1106" s="1">
        <v>1105</v>
      </c>
      <c r="B1106" s="2">
        <v>1595478</v>
      </c>
      <c r="C1106" s="3">
        <v>1.0999999999999999E-2</v>
      </c>
      <c r="D1106" s="1">
        <v>0.5</v>
      </c>
      <c r="E1106" s="4">
        <v>0.19</v>
      </c>
      <c r="F1106" s="4">
        <v>0.22</v>
      </c>
      <c r="G1106" s="4">
        <v>0.59000000000000008</v>
      </c>
    </row>
    <row r="1107" spans="1:7" x14ac:dyDescent="0.25">
      <c r="A1107" s="1">
        <v>1106</v>
      </c>
      <c r="B1107" s="2">
        <v>1525605</v>
      </c>
      <c r="C1107" s="3">
        <v>2.4E-2</v>
      </c>
      <c r="D1107" s="1">
        <v>0.5</v>
      </c>
      <c r="E1107" s="4">
        <v>0.25</v>
      </c>
      <c r="F1107" s="4">
        <v>0.33</v>
      </c>
      <c r="G1107" s="4">
        <v>0.41999999999999993</v>
      </c>
    </row>
    <row r="1108" spans="1:7" x14ac:dyDescent="0.25">
      <c r="A1108" s="1">
        <v>1107</v>
      </c>
      <c r="B1108" s="2">
        <v>1819784</v>
      </c>
      <c r="C1108" s="3">
        <v>1.7999999999999999E-2</v>
      </c>
      <c r="D1108" s="1">
        <v>0.5</v>
      </c>
      <c r="E1108" s="4">
        <v>0.19</v>
      </c>
      <c r="F1108" s="4">
        <v>0.21</v>
      </c>
      <c r="G1108" s="4">
        <v>0.60000000000000009</v>
      </c>
    </row>
    <row r="1109" spans="1:7" x14ac:dyDescent="0.25">
      <c r="A1109" s="1">
        <v>1108</v>
      </c>
      <c r="B1109" s="2">
        <v>1697042</v>
      </c>
      <c r="C1109" s="3">
        <v>1.7000000000000001E-2</v>
      </c>
      <c r="D1109" s="1">
        <v>0.5</v>
      </c>
      <c r="E1109" s="4">
        <v>0.23</v>
      </c>
      <c r="F1109" s="4">
        <v>0.23</v>
      </c>
      <c r="G1109" s="4">
        <v>0.54</v>
      </c>
    </row>
    <row r="1110" spans="1:7" x14ac:dyDescent="0.25">
      <c r="A1110" s="1">
        <v>1109</v>
      </c>
      <c r="B1110" s="2">
        <v>1021688</v>
      </c>
      <c r="C1110" s="3">
        <v>1.7000000000000001E-2</v>
      </c>
      <c r="D1110" s="1">
        <v>0.5</v>
      </c>
      <c r="E1110" s="4">
        <v>0.18</v>
      </c>
      <c r="F1110" s="4">
        <v>0.31</v>
      </c>
      <c r="G1110" s="4">
        <v>0.51</v>
      </c>
    </row>
    <row r="1111" spans="1:7" x14ac:dyDescent="0.25">
      <c r="A1111" s="1">
        <v>1110</v>
      </c>
      <c r="B1111" s="2">
        <v>1510917</v>
      </c>
      <c r="C1111" s="3">
        <v>0.02</v>
      </c>
      <c r="D1111" s="1">
        <v>0.5</v>
      </c>
      <c r="E1111" s="4">
        <v>0.25</v>
      </c>
      <c r="F1111" s="4">
        <v>0.22</v>
      </c>
      <c r="G1111" s="4">
        <v>0.53</v>
      </c>
    </row>
    <row r="1112" spans="1:7" x14ac:dyDescent="0.25">
      <c r="A1112" s="1">
        <v>1111</v>
      </c>
      <c r="B1112" s="2">
        <v>1332115</v>
      </c>
      <c r="C1112" s="3">
        <v>2.1999999999999999E-2</v>
      </c>
      <c r="D1112" s="1">
        <v>0.5</v>
      </c>
      <c r="E1112" s="4">
        <v>0.24</v>
      </c>
      <c r="F1112" s="4">
        <v>0.35</v>
      </c>
      <c r="G1112" s="4">
        <v>0.41000000000000003</v>
      </c>
    </row>
    <row r="1113" spans="1:7" x14ac:dyDescent="0.25">
      <c r="A1113" s="1">
        <v>1112</v>
      </c>
      <c r="B1113" s="2">
        <v>1759729</v>
      </c>
      <c r="C1113" s="3">
        <v>1.7999999999999999E-2</v>
      </c>
      <c r="D1113" s="1">
        <v>0.5</v>
      </c>
      <c r="E1113" s="4">
        <v>0.17</v>
      </c>
      <c r="F1113" s="4">
        <v>0.28000000000000003</v>
      </c>
      <c r="G1113" s="4">
        <v>0.54999999999999993</v>
      </c>
    </row>
    <row r="1114" spans="1:7" x14ac:dyDescent="0.25">
      <c r="A1114" s="1">
        <v>1113</v>
      </c>
      <c r="B1114" s="2">
        <v>1054543</v>
      </c>
      <c r="C1114" s="3">
        <v>2.8000000000000001E-2</v>
      </c>
      <c r="D1114" s="1">
        <v>0.5</v>
      </c>
      <c r="E1114" s="4">
        <v>0.2</v>
      </c>
      <c r="F1114" s="4">
        <v>0.17</v>
      </c>
      <c r="G1114" s="4">
        <v>0.62999999999999989</v>
      </c>
    </row>
    <row r="1115" spans="1:7" x14ac:dyDescent="0.25">
      <c r="A1115" s="1">
        <v>1114</v>
      </c>
      <c r="B1115" s="2">
        <v>1168958</v>
      </c>
      <c r="C1115" s="3">
        <v>1.6E-2</v>
      </c>
      <c r="D1115" s="1">
        <v>0.5</v>
      </c>
      <c r="E1115" s="4">
        <v>0.17</v>
      </c>
      <c r="F1115" s="4">
        <v>0.35</v>
      </c>
      <c r="G1115" s="4">
        <v>0.48</v>
      </c>
    </row>
    <row r="1116" spans="1:7" x14ac:dyDescent="0.25">
      <c r="A1116" s="1">
        <v>1115</v>
      </c>
      <c r="B1116" s="2">
        <v>1470160</v>
      </c>
      <c r="C1116" s="3">
        <v>1.2999999999999999E-2</v>
      </c>
      <c r="D1116" s="1">
        <v>0.5</v>
      </c>
      <c r="E1116" s="4">
        <v>0.2</v>
      </c>
      <c r="F1116" s="4">
        <v>0.34</v>
      </c>
      <c r="G1116" s="4">
        <v>0.45999999999999991</v>
      </c>
    </row>
    <row r="1117" spans="1:7" x14ac:dyDescent="0.25">
      <c r="A1117" s="1">
        <v>1116</v>
      </c>
      <c r="B1117" s="2">
        <v>1378538</v>
      </c>
      <c r="C1117" s="3">
        <v>1.0999999999999999E-2</v>
      </c>
      <c r="D1117" s="1">
        <v>0.5</v>
      </c>
      <c r="E1117" s="4">
        <v>0.22</v>
      </c>
      <c r="F1117" s="4">
        <v>0.18</v>
      </c>
      <c r="G1117" s="4">
        <v>0.60000000000000009</v>
      </c>
    </row>
    <row r="1118" spans="1:7" x14ac:dyDescent="0.25">
      <c r="A1118" s="1">
        <v>1117</v>
      </c>
      <c r="B1118" s="2">
        <v>1477188</v>
      </c>
      <c r="C1118" s="3">
        <v>1.2999999999999999E-2</v>
      </c>
      <c r="D1118" s="1">
        <v>0.5</v>
      </c>
      <c r="E1118" s="4">
        <v>0.15</v>
      </c>
      <c r="F1118" s="4">
        <v>0.16</v>
      </c>
      <c r="G1118" s="4">
        <v>0.69</v>
      </c>
    </row>
    <row r="1119" spans="1:7" x14ac:dyDescent="0.25">
      <c r="A1119" s="1">
        <v>1118</v>
      </c>
      <c r="B1119" s="2">
        <v>1576360</v>
      </c>
      <c r="C1119" s="3">
        <v>1.4999999999999999E-2</v>
      </c>
      <c r="D1119" s="1">
        <v>0.5</v>
      </c>
      <c r="E1119" s="4">
        <v>0.19</v>
      </c>
      <c r="F1119" s="4">
        <v>0.21</v>
      </c>
      <c r="G1119" s="4">
        <v>0.60000000000000009</v>
      </c>
    </row>
    <row r="1120" spans="1:7" x14ac:dyDescent="0.25">
      <c r="A1120" s="1">
        <v>1119</v>
      </c>
      <c r="B1120" s="2">
        <v>1363715</v>
      </c>
      <c r="C1120" s="3">
        <v>1.0999999999999999E-2</v>
      </c>
      <c r="D1120" s="1">
        <v>0.5</v>
      </c>
      <c r="E1120" s="4">
        <v>0.18</v>
      </c>
      <c r="F1120" s="4">
        <v>0.21</v>
      </c>
      <c r="G1120" s="4">
        <v>0.6100000000000001</v>
      </c>
    </row>
    <row r="1121" spans="1:7" x14ac:dyDescent="0.25">
      <c r="A1121" s="1">
        <v>1120</v>
      </c>
      <c r="B1121" s="2">
        <v>1492725</v>
      </c>
      <c r="C1121" s="3">
        <v>2.7E-2</v>
      </c>
      <c r="D1121" s="1">
        <v>0.5</v>
      </c>
      <c r="E1121" s="4">
        <v>0.15</v>
      </c>
      <c r="F1121" s="4">
        <v>0.27</v>
      </c>
      <c r="G1121" s="4">
        <v>0.57999999999999996</v>
      </c>
    </row>
    <row r="1122" spans="1:7" x14ac:dyDescent="0.25">
      <c r="A1122" s="1">
        <v>1121</v>
      </c>
      <c r="B1122" s="2">
        <v>1679587</v>
      </c>
      <c r="C1122" s="3">
        <v>2.7E-2</v>
      </c>
      <c r="D1122" s="1">
        <v>0.5</v>
      </c>
      <c r="E1122" s="4">
        <v>0.2</v>
      </c>
      <c r="F1122" s="4">
        <v>0.33</v>
      </c>
      <c r="G1122" s="4">
        <v>0.46999999999999992</v>
      </c>
    </row>
    <row r="1123" spans="1:7" x14ac:dyDescent="0.25">
      <c r="A1123" s="1">
        <v>1122</v>
      </c>
      <c r="B1123" s="2">
        <v>1651696</v>
      </c>
      <c r="C1123" s="3">
        <v>1.2E-2</v>
      </c>
      <c r="D1123" s="1">
        <v>0.5</v>
      </c>
      <c r="E1123" s="4">
        <v>0.19</v>
      </c>
      <c r="F1123" s="4">
        <v>0.24</v>
      </c>
      <c r="G1123" s="4">
        <v>0.57000000000000006</v>
      </c>
    </row>
    <row r="1124" spans="1:7" x14ac:dyDescent="0.25">
      <c r="A1124" s="1">
        <v>1123</v>
      </c>
      <c r="B1124" s="2">
        <v>1379313</v>
      </c>
      <c r="C1124" s="3">
        <v>2.1000000000000001E-2</v>
      </c>
      <c r="D1124" s="1">
        <v>0.5</v>
      </c>
      <c r="E1124" s="4">
        <v>0.17</v>
      </c>
      <c r="F1124" s="4">
        <v>0.26</v>
      </c>
      <c r="G1124" s="4">
        <v>0.56999999999999995</v>
      </c>
    </row>
    <row r="1125" spans="1:7" x14ac:dyDescent="0.25">
      <c r="A1125" s="1">
        <v>1124</v>
      </c>
      <c r="B1125" s="2">
        <v>1122742</v>
      </c>
      <c r="C1125" s="3">
        <v>1.9E-2</v>
      </c>
      <c r="D1125" s="1">
        <v>0.5</v>
      </c>
      <c r="E1125" s="4">
        <v>0.22</v>
      </c>
      <c r="F1125" s="4">
        <v>0.27</v>
      </c>
      <c r="G1125" s="4">
        <v>0.51</v>
      </c>
    </row>
    <row r="1126" spans="1:7" x14ac:dyDescent="0.25">
      <c r="A1126" s="1">
        <v>1125</v>
      </c>
      <c r="B1126" s="2">
        <v>1502248</v>
      </c>
      <c r="C1126" s="3">
        <v>1.4999999999999999E-2</v>
      </c>
      <c r="D1126" s="1">
        <v>0.5</v>
      </c>
      <c r="E1126" s="4">
        <v>0.2</v>
      </c>
      <c r="F1126" s="4">
        <v>0.31</v>
      </c>
      <c r="G1126" s="4">
        <v>0.48999999999999994</v>
      </c>
    </row>
    <row r="1127" spans="1:7" x14ac:dyDescent="0.25">
      <c r="A1127" s="1">
        <v>1126</v>
      </c>
      <c r="B1127" s="2">
        <v>1052831</v>
      </c>
      <c r="C1127" s="3">
        <v>2.5999999999999999E-2</v>
      </c>
      <c r="D1127" s="1">
        <v>0.5</v>
      </c>
      <c r="E1127" s="4">
        <v>0.19</v>
      </c>
      <c r="F1127" s="4">
        <v>0.34</v>
      </c>
      <c r="G1127" s="4">
        <v>0.46999999999999992</v>
      </c>
    </row>
    <row r="1128" spans="1:7" x14ac:dyDescent="0.25">
      <c r="A1128" s="1">
        <v>1127</v>
      </c>
      <c r="B1128" s="2">
        <v>1825265</v>
      </c>
      <c r="C1128" s="3">
        <v>1.7999999999999999E-2</v>
      </c>
      <c r="D1128" s="1">
        <v>0.5</v>
      </c>
      <c r="E1128" s="4">
        <v>0.17</v>
      </c>
      <c r="F1128" s="4">
        <v>0.22</v>
      </c>
      <c r="G1128" s="4">
        <v>0.61</v>
      </c>
    </row>
    <row r="1129" spans="1:7" x14ac:dyDescent="0.25">
      <c r="A1129" s="1">
        <v>1128</v>
      </c>
      <c r="B1129" s="2">
        <v>1642050</v>
      </c>
      <c r="C1129" s="3">
        <v>2.1000000000000001E-2</v>
      </c>
      <c r="D1129" s="1">
        <v>0.5</v>
      </c>
      <c r="E1129" s="4">
        <v>0.23</v>
      </c>
      <c r="F1129" s="4">
        <v>0.27</v>
      </c>
      <c r="G1129" s="4">
        <v>0.5</v>
      </c>
    </row>
    <row r="1130" spans="1:7" x14ac:dyDescent="0.25">
      <c r="A1130" s="1">
        <v>1129</v>
      </c>
      <c r="B1130" s="2">
        <v>1547203</v>
      </c>
      <c r="C1130" s="3">
        <v>1.4999999999999999E-2</v>
      </c>
      <c r="D1130" s="1">
        <v>0.5</v>
      </c>
      <c r="E1130" s="4">
        <v>0.2</v>
      </c>
      <c r="F1130" s="4">
        <v>0.32</v>
      </c>
      <c r="G1130" s="4">
        <v>0.47999999999999993</v>
      </c>
    </row>
    <row r="1131" spans="1:7" x14ac:dyDescent="0.25">
      <c r="A1131" s="1">
        <v>1130</v>
      </c>
      <c r="B1131" s="2">
        <v>1432823</v>
      </c>
      <c r="C1131" s="3">
        <v>2.5000000000000001E-2</v>
      </c>
      <c r="D1131" s="1">
        <v>0.5</v>
      </c>
      <c r="E1131" s="4">
        <v>0.21</v>
      </c>
      <c r="F1131" s="4">
        <v>0.31</v>
      </c>
      <c r="G1131" s="4">
        <v>0.48</v>
      </c>
    </row>
    <row r="1132" spans="1:7" x14ac:dyDescent="0.25">
      <c r="A1132" s="1">
        <v>1131</v>
      </c>
      <c r="B1132" s="2">
        <v>1010354</v>
      </c>
      <c r="C1132" s="3">
        <v>1.6E-2</v>
      </c>
      <c r="D1132" s="1">
        <v>0.5</v>
      </c>
      <c r="E1132" s="4">
        <v>0.16</v>
      </c>
      <c r="F1132" s="4">
        <v>0.32</v>
      </c>
      <c r="G1132" s="4">
        <v>0.51999999999999991</v>
      </c>
    </row>
    <row r="1133" spans="1:7" x14ac:dyDescent="0.25">
      <c r="A1133" s="1">
        <v>1132</v>
      </c>
      <c r="B1133" s="2">
        <v>1472162</v>
      </c>
      <c r="C1133" s="3">
        <v>2.1000000000000001E-2</v>
      </c>
      <c r="D1133" s="1">
        <v>0.5</v>
      </c>
      <c r="E1133" s="4">
        <v>0.19</v>
      </c>
      <c r="F1133" s="4">
        <v>0.34</v>
      </c>
      <c r="G1133" s="4">
        <v>0.46999999999999992</v>
      </c>
    </row>
    <row r="1134" spans="1:7" x14ac:dyDescent="0.25">
      <c r="A1134" s="1">
        <v>1133</v>
      </c>
      <c r="B1134" s="2">
        <v>1307928</v>
      </c>
      <c r="C1134" s="3">
        <v>1.7000000000000001E-2</v>
      </c>
      <c r="D1134" s="1">
        <v>0.5</v>
      </c>
      <c r="E1134" s="4">
        <v>0.24</v>
      </c>
      <c r="F1134" s="4">
        <v>0.22</v>
      </c>
      <c r="G1134" s="4">
        <v>0.54</v>
      </c>
    </row>
    <row r="1135" spans="1:7" x14ac:dyDescent="0.25">
      <c r="A1135" s="1">
        <v>1134</v>
      </c>
      <c r="B1135" s="2">
        <v>1011172</v>
      </c>
      <c r="C1135" s="3">
        <v>1.2E-2</v>
      </c>
      <c r="D1135" s="1">
        <v>0.5</v>
      </c>
      <c r="E1135" s="4">
        <v>0.21</v>
      </c>
      <c r="F1135" s="4">
        <v>0.15</v>
      </c>
      <c r="G1135" s="4">
        <v>0.64</v>
      </c>
    </row>
    <row r="1136" spans="1:7" x14ac:dyDescent="0.25">
      <c r="A1136" s="1">
        <v>1135</v>
      </c>
      <c r="B1136" s="2">
        <v>1002243</v>
      </c>
      <c r="C1136" s="3">
        <v>2.5000000000000001E-2</v>
      </c>
      <c r="D1136" s="1">
        <v>0.5</v>
      </c>
      <c r="E1136" s="4">
        <v>0.16</v>
      </c>
      <c r="F1136" s="4">
        <v>0.21</v>
      </c>
      <c r="G1136" s="4">
        <v>0.63</v>
      </c>
    </row>
    <row r="1137" spans="1:7" x14ac:dyDescent="0.25">
      <c r="A1137" s="1">
        <v>1136</v>
      </c>
      <c r="B1137" s="2">
        <v>1186315</v>
      </c>
      <c r="C1137" s="3">
        <v>2.7E-2</v>
      </c>
      <c r="D1137" s="1">
        <v>0.5</v>
      </c>
      <c r="E1137" s="4">
        <v>0.22</v>
      </c>
      <c r="F1137" s="4">
        <v>0.28000000000000003</v>
      </c>
      <c r="G1137" s="4">
        <v>0.5</v>
      </c>
    </row>
    <row r="1138" spans="1:7" x14ac:dyDescent="0.25">
      <c r="A1138" s="1">
        <v>1137</v>
      </c>
      <c r="B1138" s="2">
        <v>1273791</v>
      </c>
      <c r="C1138" s="3">
        <v>2.5999999999999999E-2</v>
      </c>
      <c r="D1138" s="1">
        <v>0.5</v>
      </c>
      <c r="E1138" s="4">
        <v>0.25</v>
      </c>
      <c r="F1138" s="4">
        <v>0.35</v>
      </c>
      <c r="G1138" s="4">
        <v>0.4</v>
      </c>
    </row>
    <row r="1139" spans="1:7" x14ac:dyDescent="0.25">
      <c r="A1139" s="1">
        <v>1138</v>
      </c>
      <c r="B1139" s="2">
        <v>1408910</v>
      </c>
      <c r="C1139" s="3">
        <v>2.1999999999999999E-2</v>
      </c>
      <c r="D1139" s="1">
        <v>0.5</v>
      </c>
      <c r="E1139" s="4">
        <v>0.22</v>
      </c>
      <c r="F1139" s="4">
        <v>0.18</v>
      </c>
      <c r="G1139" s="4">
        <v>0.60000000000000009</v>
      </c>
    </row>
    <row r="1140" spans="1:7" x14ac:dyDescent="0.25">
      <c r="A1140" s="1">
        <v>1139</v>
      </c>
      <c r="B1140" s="2">
        <v>1404839</v>
      </c>
      <c r="C1140" s="3">
        <v>1.7000000000000001E-2</v>
      </c>
      <c r="D1140" s="1">
        <v>0.5</v>
      </c>
      <c r="E1140" s="4">
        <v>0.18</v>
      </c>
      <c r="F1140" s="4">
        <v>0.21</v>
      </c>
      <c r="G1140" s="4">
        <v>0.6100000000000001</v>
      </c>
    </row>
    <row r="1141" spans="1:7" x14ac:dyDescent="0.25">
      <c r="A1141" s="1">
        <v>1140</v>
      </c>
      <c r="B1141" s="2">
        <v>1472419</v>
      </c>
      <c r="C1141" s="3">
        <v>1.7999999999999999E-2</v>
      </c>
      <c r="D1141" s="1">
        <v>0.5</v>
      </c>
      <c r="E1141" s="4">
        <v>0.18</v>
      </c>
      <c r="F1141" s="4">
        <v>0.23</v>
      </c>
      <c r="G1141" s="4">
        <v>0.59000000000000008</v>
      </c>
    </row>
    <row r="1142" spans="1:7" x14ac:dyDescent="0.25">
      <c r="A1142" s="1">
        <v>1141</v>
      </c>
      <c r="B1142" s="2">
        <v>1770084</v>
      </c>
      <c r="C1142" s="3">
        <v>2.9000000000000001E-2</v>
      </c>
      <c r="D1142" s="1">
        <v>0.5</v>
      </c>
      <c r="E1142" s="4">
        <v>0.15</v>
      </c>
      <c r="F1142" s="4">
        <v>0.21</v>
      </c>
      <c r="G1142" s="4">
        <v>0.64</v>
      </c>
    </row>
    <row r="1143" spans="1:7" x14ac:dyDescent="0.25">
      <c r="A1143" s="1">
        <v>1142</v>
      </c>
      <c r="B1143" s="2">
        <v>1741189</v>
      </c>
      <c r="C1143" s="3">
        <v>1.6E-2</v>
      </c>
      <c r="D1143" s="1">
        <v>0.5</v>
      </c>
      <c r="E1143" s="4">
        <v>0.16</v>
      </c>
      <c r="F1143" s="4">
        <v>0.2</v>
      </c>
      <c r="G1143" s="4">
        <v>0.64</v>
      </c>
    </row>
    <row r="1144" spans="1:7" x14ac:dyDescent="0.25">
      <c r="A1144" s="1">
        <v>1143</v>
      </c>
      <c r="B1144" s="2">
        <v>1884279</v>
      </c>
      <c r="C1144" s="3">
        <v>1.2E-2</v>
      </c>
      <c r="D1144" s="1">
        <v>0.5</v>
      </c>
      <c r="E1144" s="4">
        <v>0.15</v>
      </c>
      <c r="F1144" s="4">
        <v>0.33</v>
      </c>
      <c r="G1144" s="4">
        <v>0.51999999999999991</v>
      </c>
    </row>
    <row r="1145" spans="1:7" x14ac:dyDescent="0.25">
      <c r="A1145" s="1">
        <v>1144</v>
      </c>
      <c r="B1145" s="2">
        <v>1579646</v>
      </c>
      <c r="C1145" s="3">
        <v>1.6E-2</v>
      </c>
      <c r="D1145" s="1">
        <v>0.5</v>
      </c>
      <c r="E1145" s="4">
        <v>0.2</v>
      </c>
      <c r="F1145" s="4">
        <v>0.33</v>
      </c>
      <c r="G1145" s="4">
        <v>0.46999999999999992</v>
      </c>
    </row>
    <row r="1146" spans="1:7" x14ac:dyDescent="0.25">
      <c r="A1146" s="1">
        <v>1145</v>
      </c>
      <c r="B1146" s="2">
        <v>1375425</v>
      </c>
      <c r="C1146" s="3">
        <v>2.5999999999999999E-2</v>
      </c>
      <c r="D1146" s="1">
        <v>0.5</v>
      </c>
      <c r="E1146" s="4">
        <v>0.21</v>
      </c>
      <c r="F1146" s="4">
        <v>0.2</v>
      </c>
      <c r="G1146" s="4">
        <v>0.59000000000000008</v>
      </c>
    </row>
    <row r="1147" spans="1:7" x14ac:dyDescent="0.25">
      <c r="A1147" s="1">
        <v>1146</v>
      </c>
      <c r="B1147" s="2">
        <v>1994676</v>
      </c>
      <c r="C1147" s="3">
        <v>2.5999999999999999E-2</v>
      </c>
      <c r="D1147" s="1">
        <v>0.5</v>
      </c>
      <c r="E1147" s="4">
        <v>0.24</v>
      </c>
      <c r="F1147" s="4">
        <v>0.34</v>
      </c>
      <c r="G1147" s="4">
        <v>0.41999999999999993</v>
      </c>
    </row>
    <row r="1148" spans="1:7" x14ac:dyDescent="0.25">
      <c r="A1148" s="1">
        <v>1147</v>
      </c>
      <c r="B1148" s="2">
        <v>1268515</v>
      </c>
      <c r="C1148" s="3">
        <v>2.5999999999999999E-2</v>
      </c>
      <c r="D1148" s="1">
        <v>0.5</v>
      </c>
      <c r="E1148" s="4">
        <v>0.21</v>
      </c>
      <c r="F1148" s="4">
        <v>0.24</v>
      </c>
      <c r="G1148" s="4">
        <v>0.55000000000000004</v>
      </c>
    </row>
    <row r="1149" spans="1:7" x14ac:dyDescent="0.25">
      <c r="A1149" s="1">
        <v>1148</v>
      </c>
      <c r="B1149" s="2">
        <v>1173029</v>
      </c>
      <c r="C1149" s="3">
        <v>2.5000000000000001E-2</v>
      </c>
      <c r="D1149" s="1">
        <v>0.5</v>
      </c>
      <c r="E1149" s="4">
        <v>0.23</v>
      </c>
      <c r="F1149" s="4">
        <v>0.31</v>
      </c>
      <c r="G1149" s="4">
        <v>0.45999999999999996</v>
      </c>
    </row>
    <row r="1150" spans="1:7" x14ac:dyDescent="0.25">
      <c r="A1150" s="1">
        <v>1149</v>
      </c>
      <c r="B1150" s="2">
        <v>1191385</v>
      </c>
      <c r="C1150" s="3">
        <v>1.7999999999999999E-2</v>
      </c>
      <c r="D1150" s="1">
        <v>0.5</v>
      </c>
      <c r="E1150" s="4">
        <v>0.25</v>
      </c>
      <c r="F1150" s="4">
        <v>0.34</v>
      </c>
      <c r="G1150" s="4">
        <v>0.40999999999999992</v>
      </c>
    </row>
    <row r="1151" spans="1:7" x14ac:dyDescent="0.25">
      <c r="A1151" s="1">
        <v>1150</v>
      </c>
      <c r="B1151" s="2">
        <v>1341214</v>
      </c>
      <c r="C1151" s="3">
        <v>2.4E-2</v>
      </c>
      <c r="D1151" s="1">
        <v>0.5</v>
      </c>
      <c r="E1151" s="4">
        <v>0.17</v>
      </c>
      <c r="F1151" s="4">
        <v>0.23</v>
      </c>
      <c r="G1151" s="4">
        <v>0.6</v>
      </c>
    </row>
    <row r="1152" spans="1:7" x14ac:dyDescent="0.25">
      <c r="A1152" s="1">
        <v>1151</v>
      </c>
      <c r="B1152" s="2">
        <v>1187698</v>
      </c>
      <c r="C1152" s="3">
        <v>1.2999999999999999E-2</v>
      </c>
      <c r="D1152" s="1">
        <v>0.5</v>
      </c>
      <c r="E1152" s="4">
        <v>0.21</v>
      </c>
      <c r="F1152" s="4">
        <v>0.31</v>
      </c>
      <c r="G1152" s="4">
        <v>0.48</v>
      </c>
    </row>
    <row r="1153" spans="1:7" x14ac:dyDescent="0.25">
      <c r="A1153" s="1">
        <v>1152</v>
      </c>
      <c r="B1153" s="2">
        <v>1076917</v>
      </c>
      <c r="C1153" s="3">
        <v>0.02</v>
      </c>
      <c r="D1153" s="1">
        <v>0.5</v>
      </c>
      <c r="E1153" s="4">
        <v>0.2</v>
      </c>
      <c r="F1153" s="4">
        <v>0.17</v>
      </c>
      <c r="G1153" s="4">
        <v>0.62999999999999989</v>
      </c>
    </row>
    <row r="1154" spans="1:7" x14ac:dyDescent="0.25">
      <c r="A1154" s="1">
        <v>1153</v>
      </c>
      <c r="B1154" s="2">
        <v>1385806</v>
      </c>
      <c r="C1154" s="3">
        <v>2.5999999999999999E-2</v>
      </c>
      <c r="D1154" s="1">
        <v>0.5</v>
      </c>
      <c r="E1154" s="4">
        <v>0.19</v>
      </c>
      <c r="F1154" s="4">
        <v>0.28999999999999998</v>
      </c>
      <c r="G1154" s="4">
        <v>0.52</v>
      </c>
    </row>
    <row r="1155" spans="1:7" x14ac:dyDescent="0.25">
      <c r="A1155" s="1">
        <v>1154</v>
      </c>
      <c r="B1155" s="2">
        <v>1165568</v>
      </c>
      <c r="C1155" s="3">
        <v>0.03</v>
      </c>
      <c r="D1155" s="1">
        <v>0.5</v>
      </c>
      <c r="E1155" s="4">
        <v>0.23</v>
      </c>
      <c r="F1155" s="4">
        <v>0.25</v>
      </c>
      <c r="G1155" s="4">
        <v>0.52</v>
      </c>
    </row>
    <row r="1156" spans="1:7" x14ac:dyDescent="0.25">
      <c r="A1156" s="1">
        <v>1155</v>
      </c>
      <c r="B1156" s="2">
        <v>1403162</v>
      </c>
      <c r="C1156" s="3">
        <v>2.7E-2</v>
      </c>
      <c r="D1156" s="1">
        <v>0.5</v>
      </c>
      <c r="E1156" s="4">
        <v>0.23</v>
      </c>
      <c r="F1156" s="4">
        <v>0.18</v>
      </c>
      <c r="G1156" s="4">
        <v>0.59000000000000008</v>
      </c>
    </row>
    <row r="1157" spans="1:7" x14ac:dyDescent="0.25">
      <c r="A1157" s="1">
        <v>1156</v>
      </c>
      <c r="B1157" s="2">
        <v>1218598</v>
      </c>
      <c r="C1157" s="3">
        <v>2.5000000000000001E-2</v>
      </c>
      <c r="D1157" s="1">
        <v>0.5</v>
      </c>
      <c r="E1157" s="4">
        <v>0.23</v>
      </c>
      <c r="F1157" s="4">
        <v>0.16</v>
      </c>
      <c r="G1157" s="4">
        <v>0.61</v>
      </c>
    </row>
    <row r="1158" spans="1:7" x14ac:dyDescent="0.25">
      <c r="A1158" s="1">
        <v>1157</v>
      </c>
      <c r="B1158" s="2">
        <v>1279663</v>
      </c>
      <c r="C1158" s="3">
        <v>2.1000000000000001E-2</v>
      </c>
      <c r="D1158" s="1">
        <v>0.5</v>
      </c>
      <c r="E1158" s="4">
        <v>0.22</v>
      </c>
      <c r="F1158" s="4">
        <v>0.15</v>
      </c>
      <c r="G1158" s="4">
        <v>0.63</v>
      </c>
    </row>
    <row r="1159" spans="1:7" x14ac:dyDescent="0.25">
      <c r="A1159" s="1">
        <v>1158</v>
      </c>
      <c r="B1159" s="2">
        <v>1640881</v>
      </c>
      <c r="C1159" s="3">
        <v>0.03</v>
      </c>
      <c r="D1159" s="1">
        <v>0.5</v>
      </c>
      <c r="E1159" s="4">
        <v>0.24</v>
      </c>
      <c r="F1159" s="4">
        <v>0.19</v>
      </c>
      <c r="G1159" s="4">
        <v>0.57000000000000006</v>
      </c>
    </row>
    <row r="1160" spans="1:7" x14ac:dyDescent="0.25">
      <c r="A1160" s="1">
        <v>1159</v>
      </c>
      <c r="B1160" s="2">
        <v>1326622</v>
      </c>
      <c r="C1160" s="3">
        <v>0.01</v>
      </c>
      <c r="D1160" s="1">
        <v>0.5</v>
      </c>
      <c r="E1160" s="4">
        <v>0.23</v>
      </c>
      <c r="F1160" s="4">
        <v>0.34</v>
      </c>
      <c r="G1160" s="4">
        <v>0.42999999999999994</v>
      </c>
    </row>
    <row r="1161" spans="1:7" x14ac:dyDescent="0.25">
      <c r="A1161" s="1">
        <v>1160</v>
      </c>
      <c r="B1161" s="2">
        <v>1235816</v>
      </c>
      <c r="C1161" s="3">
        <v>2.1999999999999999E-2</v>
      </c>
      <c r="D1161" s="1">
        <v>0.5</v>
      </c>
      <c r="E1161" s="4">
        <v>0.21</v>
      </c>
      <c r="F1161" s="4">
        <v>0.22</v>
      </c>
      <c r="G1161" s="4">
        <v>0.57000000000000006</v>
      </c>
    </row>
    <row r="1162" spans="1:7" x14ac:dyDescent="0.25">
      <c r="A1162" s="1">
        <v>1161</v>
      </c>
      <c r="B1162" s="2">
        <v>1053859</v>
      </c>
      <c r="C1162" s="3">
        <v>2.5000000000000001E-2</v>
      </c>
      <c r="D1162" s="1">
        <v>0.5</v>
      </c>
      <c r="E1162" s="4">
        <v>0.22</v>
      </c>
      <c r="F1162" s="4">
        <v>0.22</v>
      </c>
      <c r="G1162" s="4">
        <v>0.56000000000000005</v>
      </c>
    </row>
    <row r="1163" spans="1:7" x14ac:dyDescent="0.25">
      <c r="A1163" s="1">
        <v>1162</v>
      </c>
      <c r="B1163" s="2">
        <v>1617603</v>
      </c>
      <c r="C1163" s="3">
        <v>2.5000000000000001E-2</v>
      </c>
      <c r="D1163" s="1">
        <v>0.5</v>
      </c>
      <c r="E1163" s="4">
        <v>0.21</v>
      </c>
      <c r="F1163" s="4">
        <v>0.18</v>
      </c>
      <c r="G1163" s="4">
        <v>0.6100000000000001</v>
      </c>
    </row>
    <row r="1164" spans="1:7" x14ac:dyDescent="0.25">
      <c r="A1164" s="1">
        <v>1163</v>
      </c>
      <c r="B1164" s="2">
        <v>1816139</v>
      </c>
      <c r="C1164" s="3">
        <v>0.01</v>
      </c>
      <c r="D1164" s="1">
        <v>0.5</v>
      </c>
      <c r="E1164" s="4">
        <v>0.24</v>
      </c>
      <c r="F1164" s="4">
        <v>0.31</v>
      </c>
      <c r="G1164" s="4">
        <v>0.44999999999999996</v>
      </c>
    </row>
    <row r="1165" spans="1:7" x14ac:dyDescent="0.25">
      <c r="A1165" s="1">
        <v>1164</v>
      </c>
      <c r="B1165" s="2">
        <v>1036836</v>
      </c>
      <c r="C1165" s="3">
        <v>1.0999999999999999E-2</v>
      </c>
      <c r="D1165" s="1">
        <v>0.5</v>
      </c>
      <c r="E1165" s="4">
        <v>0.24</v>
      </c>
      <c r="F1165" s="4">
        <v>0.31</v>
      </c>
      <c r="G1165" s="4">
        <v>0.44999999999999996</v>
      </c>
    </row>
    <row r="1166" spans="1:7" x14ac:dyDescent="0.25">
      <c r="A1166" s="1">
        <v>1165</v>
      </c>
      <c r="B1166" s="2">
        <v>1494921</v>
      </c>
      <c r="C1166" s="3">
        <v>1.9E-2</v>
      </c>
      <c r="D1166" s="1">
        <v>0.5</v>
      </c>
      <c r="E1166" s="4">
        <v>0.19</v>
      </c>
      <c r="F1166" s="4">
        <v>0.25</v>
      </c>
      <c r="G1166" s="4">
        <v>0.56000000000000005</v>
      </c>
    </row>
    <row r="1167" spans="1:7" x14ac:dyDescent="0.25">
      <c r="A1167" s="1">
        <v>1166</v>
      </c>
      <c r="B1167" s="2">
        <v>1141968</v>
      </c>
      <c r="C1167" s="3">
        <v>2.1000000000000001E-2</v>
      </c>
      <c r="D1167" s="1">
        <v>0.5</v>
      </c>
      <c r="E1167" s="4">
        <v>0.15</v>
      </c>
      <c r="F1167" s="4">
        <v>0.19</v>
      </c>
      <c r="G1167" s="4">
        <v>0.66</v>
      </c>
    </row>
    <row r="1168" spans="1:7" x14ac:dyDescent="0.25">
      <c r="A1168" s="1">
        <v>1167</v>
      </c>
      <c r="B1168" s="2">
        <v>1001227</v>
      </c>
      <c r="C1168" s="3">
        <v>2.5000000000000001E-2</v>
      </c>
      <c r="D1168" s="1">
        <v>0.5</v>
      </c>
      <c r="E1168" s="4">
        <v>0.18</v>
      </c>
      <c r="F1168" s="4">
        <v>0.23</v>
      </c>
      <c r="G1168" s="4">
        <v>0.59000000000000008</v>
      </c>
    </row>
    <row r="1169" spans="1:7" x14ac:dyDescent="0.25">
      <c r="A1169" s="1">
        <v>1168</v>
      </c>
      <c r="B1169" s="2">
        <v>1483973</v>
      </c>
      <c r="C1169" s="3">
        <v>1.4E-2</v>
      </c>
      <c r="D1169" s="1">
        <v>0.5</v>
      </c>
      <c r="E1169" s="4">
        <v>0.22</v>
      </c>
      <c r="F1169" s="4">
        <v>0.27</v>
      </c>
      <c r="G1169" s="4">
        <v>0.51</v>
      </c>
    </row>
    <row r="1170" spans="1:7" x14ac:dyDescent="0.25">
      <c r="A1170" s="1">
        <v>1169</v>
      </c>
      <c r="B1170" s="2">
        <v>815849</v>
      </c>
      <c r="C1170" s="3">
        <v>2.1000000000000001E-2</v>
      </c>
      <c r="D1170" s="1">
        <v>0.5</v>
      </c>
      <c r="E1170" s="4">
        <v>0.23</v>
      </c>
      <c r="F1170" s="4">
        <v>0.19</v>
      </c>
      <c r="G1170" s="4">
        <v>0.58000000000000007</v>
      </c>
    </row>
    <row r="1171" spans="1:7" x14ac:dyDescent="0.25">
      <c r="A1171" s="1">
        <v>1170</v>
      </c>
      <c r="B1171" s="2">
        <v>551705</v>
      </c>
      <c r="C1171" s="3">
        <v>1.7999999999999999E-2</v>
      </c>
      <c r="D1171" s="1">
        <v>0.5</v>
      </c>
      <c r="E1171" s="4">
        <v>0.16</v>
      </c>
      <c r="F1171" s="4">
        <v>0.28999999999999998</v>
      </c>
      <c r="G1171" s="4">
        <v>0.54999999999999993</v>
      </c>
    </row>
    <row r="1172" spans="1:7" x14ac:dyDescent="0.25">
      <c r="A1172" s="1">
        <v>1171</v>
      </c>
      <c r="B1172" s="2">
        <v>884557</v>
      </c>
      <c r="C1172" s="3">
        <v>2.5999999999999999E-2</v>
      </c>
      <c r="D1172" s="1">
        <v>0.5</v>
      </c>
      <c r="E1172" s="4">
        <v>0.25</v>
      </c>
      <c r="F1172" s="4">
        <v>0.32</v>
      </c>
      <c r="G1172" s="4">
        <v>0.42999999999999994</v>
      </c>
    </row>
    <row r="1173" spans="1:7" x14ac:dyDescent="0.25">
      <c r="A1173" s="1">
        <v>1172</v>
      </c>
      <c r="B1173" s="2">
        <v>481748</v>
      </c>
      <c r="C1173" s="3">
        <v>1.7999999999999999E-2</v>
      </c>
      <c r="D1173" s="1">
        <v>0.5</v>
      </c>
      <c r="E1173" s="4">
        <v>0.25</v>
      </c>
      <c r="F1173" s="4">
        <v>0.26</v>
      </c>
      <c r="G1173" s="4">
        <v>0.49</v>
      </c>
    </row>
    <row r="1174" spans="1:7" x14ac:dyDescent="0.25">
      <c r="A1174" s="1">
        <v>1173</v>
      </c>
      <c r="B1174" s="2">
        <v>694157</v>
      </c>
      <c r="C1174" s="3">
        <v>1.2999999999999999E-2</v>
      </c>
      <c r="D1174" s="1">
        <v>0.5</v>
      </c>
      <c r="E1174" s="4">
        <v>0.22</v>
      </c>
      <c r="F1174" s="4">
        <v>0.28999999999999998</v>
      </c>
      <c r="G1174" s="4">
        <v>0.49</v>
      </c>
    </row>
    <row r="1175" spans="1:7" x14ac:dyDescent="0.25">
      <c r="A1175" s="1">
        <v>1174</v>
      </c>
      <c r="B1175" s="2">
        <v>440367</v>
      </c>
      <c r="C1175" s="3">
        <v>1.2999999999999999E-2</v>
      </c>
      <c r="D1175" s="1">
        <v>0.5</v>
      </c>
      <c r="E1175" s="4">
        <v>0.17</v>
      </c>
      <c r="F1175" s="4">
        <v>0.32</v>
      </c>
      <c r="G1175" s="4">
        <v>0.5099999999999999</v>
      </c>
    </row>
    <row r="1176" spans="1:7" x14ac:dyDescent="0.25">
      <c r="A1176" s="1">
        <v>1175</v>
      </c>
      <c r="B1176" s="2">
        <v>485862</v>
      </c>
      <c r="C1176" s="3">
        <v>2.8000000000000001E-2</v>
      </c>
      <c r="D1176" s="1">
        <v>0.5</v>
      </c>
      <c r="E1176" s="4">
        <v>0.22</v>
      </c>
      <c r="F1176" s="4">
        <v>0.33</v>
      </c>
      <c r="G1176" s="4">
        <v>0.44999999999999996</v>
      </c>
    </row>
    <row r="1177" spans="1:7" x14ac:dyDescent="0.25">
      <c r="A1177" s="1">
        <v>1176</v>
      </c>
      <c r="B1177" s="2">
        <v>924105</v>
      </c>
      <c r="C1177" s="3">
        <v>2.9000000000000001E-2</v>
      </c>
      <c r="D1177" s="1">
        <v>0.5</v>
      </c>
      <c r="E1177" s="4">
        <v>0.18</v>
      </c>
      <c r="F1177" s="4">
        <v>0.28999999999999998</v>
      </c>
      <c r="G1177" s="4">
        <v>0.53</v>
      </c>
    </row>
    <row r="1178" spans="1:7" x14ac:dyDescent="0.25">
      <c r="A1178" s="1">
        <v>1177</v>
      </c>
      <c r="B1178" s="2">
        <v>425655</v>
      </c>
      <c r="C1178" s="3">
        <v>1.7000000000000001E-2</v>
      </c>
      <c r="D1178" s="1">
        <v>0.5</v>
      </c>
      <c r="E1178" s="4">
        <v>0.18</v>
      </c>
      <c r="F1178" s="4">
        <v>0.24</v>
      </c>
      <c r="G1178" s="4">
        <v>0.58000000000000007</v>
      </c>
    </row>
    <row r="1179" spans="1:7" x14ac:dyDescent="0.25">
      <c r="A1179" s="1">
        <v>1178</v>
      </c>
      <c r="B1179" s="2">
        <v>421424</v>
      </c>
      <c r="C1179" s="3">
        <v>2.4E-2</v>
      </c>
      <c r="D1179" s="1">
        <v>0.5</v>
      </c>
      <c r="E1179" s="4">
        <v>0.16</v>
      </c>
      <c r="F1179" s="4">
        <v>0.32</v>
      </c>
      <c r="G1179" s="4">
        <v>0.51999999999999991</v>
      </c>
    </row>
    <row r="1180" spans="1:7" x14ac:dyDescent="0.25">
      <c r="A1180" s="1">
        <v>1179</v>
      </c>
      <c r="B1180" s="2">
        <v>988693</v>
      </c>
      <c r="C1180" s="3">
        <v>1.0999999999999999E-2</v>
      </c>
      <c r="D1180" s="1">
        <v>0.5</v>
      </c>
      <c r="E1180" s="4">
        <v>0.19</v>
      </c>
      <c r="F1180" s="4">
        <v>0.31</v>
      </c>
      <c r="G1180" s="4">
        <v>0.49999999999999994</v>
      </c>
    </row>
    <row r="1181" spans="1:7" x14ac:dyDescent="0.25">
      <c r="A1181" s="1">
        <v>1180</v>
      </c>
      <c r="B1181" s="2">
        <v>975313</v>
      </c>
      <c r="C1181" s="3">
        <v>1.7999999999999999E-2</v>
      </c>
      <c r="D1181" s="1">
        <v>0.5</v>
      </c>
      <c r="E1181" s="4">
        <v>0.24</v>
      </c>
      <c r="F1181" s="4">
        <v>0.3</v>
      </c>
      <c r="G1181" s="4">
        <v>0.45999999999999996</v>
      </c>
    </row>
    <row r="1182" spans="1:7" x14ac:dyDescent="0.25">
      <c r="A1182" s="1">
        <v>1181</v>
      </c>
      <c r="B1182" s="2">
        <v>423246</v>
      </c>
      <c r="C1182" s="3">
        <v>2.8000000000000001E-2</v>
      </c>
      <c r="D1182" s="1">
        <v>0.5</v>
      </c>
      <c r="E1182" s="4">
        <v>0.15</v>
      </c>
      <c r="F1182" s="4">
        <v>0.28999999999999998</v>
      </c>
      <c r="G1182" s="4">
        <v>0.55999999999999994</v>
      </c>
    </row>
    <row r="1183" spans="1:7" x14ac:dyDescent="0.25">
      <c r="A1183" s="1">
        <v>1182</v>
      </c>
      <c r="B1183" s="2">
        <v>674622</v>
      </c>
      <c r="C1183" s="3">
        <v>0.01</v>
      </c>
      <c r="D1183" s="1">
        <v>0.5</v>
      </c>
      <c r="E1183" s="4">
        <v>0.19</v>
      </c>
      <c r="F1183" s="4">
        <v>0.3</v>
      </c>
      <c r="G1183" s="4">
        <v>0.51</v>
      </c>
    </row>
    <row r="1184" spans="1:7" x14ac:dyDescent="0.25">
      <c r="A1184" s="1">
        <v>1183</v>
      </c>
      <c r="B1184" s="2">
        <v>740685</v>
      </c>
      <c r="C1184" s="3">
        <v>2.4E-2</v>
      </c>
      <c r="D1184" s="1">
        <v>0.5</v>
      </c>
      <c r="E1184" s="4">
        <v>0.16</v>
      </c>
      <c r="F1184" s="4">
        <v>0.22</v>
      </c>
      <c r="G1184" s="4">
        <v>0.62</v>
      </c>
    </row>
    <row r="1185" spans="1:7" x14ac:dyDescent="0.25">
      <c r="A1185" s="1">
        <v>1184</v>
      </c>
      <c r="B1185" s="2">
        <v>436510</v>
      </c>
      <c r="C1185" s="3">
        <v>2.8000000000000001E-2</v>
      </c>
      <c r="D1185" s="1">
        <v>0.5</v>
      </c>
      <c r="E1185" s="4">
        <v>0.16</v>
      </c>
      <c r="F1185" s="4">
        <v>0.34</v>
      </c>
      <c r="G1185" s="4">
        <v>0.49999999999999989</v>
      </c>
    </row>
    <row r="1186" spans="1:7" x14ac:dyDescent="0.25">
      <c r="A1186" s="1">
        <v>1185</v>
      </c>
      <c r="B1186" s="2">
        <v>981562</v>
      </c>
      <c r="C1186" s="3">
        <v>2.1000000000000001E-2</v>
      </c>
      <c r="D1186" s="1">
        <v>0.5</v>
      </c>
      <c r="E1186" s="4">
        <v>0.16</v>
      </c>
      <c r="F1186" s="4">
        <v>0.2</v>
      </c>
      <c r="G1186" s="4">
        <v>0.64</v>
      </c>
    </row>
    <row r="1187" spans="1:7" x14ac:dyDescent="0.25">
      <c r="A1187" s="1">
        <v>1186</v>
      </c>
      <c r="B1187" s="2">
        <v>601209</v>
      </c>
      <c r="C1187" s="3">
        <v>1.4E-2</v>
      </c>
      <c r="D1187" s="1">
        <v>0.5</v>
      </c>
      <c r="E1187" s="4">
        <v>0.17</v>
      </c>
      <c r="F1187" s="4">
        <v>0.19</v>
      </c>
      <c r="G1187" s="4">
        <v>0.64</v>
      </c>
    </row>
    <row r="1188" spans="1:7" x14ac:dyDescent="0.25">
      <c r="A1188" s="1">
        <v>1187</v>
      </c>
      <c r="B1188" s="2">
        <v>669581</v>
      </c>
      <c r="C1188" s="3">
        <v>2.1999999999999999E-2</v>
      </c>
      <c r="D1188" s="1">
        <v>0.5</v>
      </c>
      <c r="E1188" s="4">
        <v>0.23</v>
      </c>
      <c r="F1188" s="4">
        <v>0.17</v>
      </c>
      <c r="G1188" s="4">
        <v>0.6</v>
      </c>
    </row>
    <row r="1189" spans="1:7" x14ac:dyDescent="0.25">
      <c r="A1189" s="1">
        <v>1188</v>
      </c>
      <c r="B1189" s="2">
        <v>497463</v>
      </c>
      <c r="C1189" s="3">
        <v>1.0999999999999999E-2</v>
      </c>
      <c r="D1189" s="1">
        <v>0.5</v>
      </c>
      <c r="E1189" s="4">
        <v>0.15</v>
      </c>
      <c r="F1189" s="4">
        <v>0.28999999999999998</v>
      </c>
      <c r="G1189" s="4">
        <v>0.55999999999999994</v>
      </c>
    </row>
    <row r="1190" spans="1:7" x14ac:dyDescent="0.25">
      <c r="A1190" s="1">
        <v>1189</v>
      </c>
      <c r="B1190" s="2">
        <v>558480</v>
      </c>
      <c r="C1190" s="3">
        <v>2.7E-2</v>
      </c>
      <c r="D1190" s="1">
        <v>0.5</v>
      </c>
      <c r="E1190" s="4">
        <v>0.24</v>
      </c>
      <c r="F1190" s="4">
        <v>0.17</v>
      </c>
      <c r="G1190" s="4">
        <v>0.59</v>
      </c>
    </row>
    <row r="1191" spans="1:7" x14ac:dyDescent="0.25">
      <c r="A1191" s="1">
        <v>1190</v>
      </c>
      <c r="B1191" s="2">
        <v>373017</v>
      </c>
      <c r="C1191" s="3">
        <v>2.8000000000000001E-2</v>
      </c>
      <c r="D1191" s="1">
        <v>0.5</v>
      </c>
      <c r="E1191" s="4">
        <v>0.19</v>
      </c>
      <c r="F1191" s="4">
        <v>0.15</v>
      </c>
      <c r="G1191" s="4">
        <v>0.65999999999999992</v>
      </c>
    </row>
    <row r="1192" spans="1:7" x14ac:dyDescent="0.25">
      <c r="A1192" s="1">
        <v>1191</v>
      </c>
      <c r="B1192" s="2">
        <v>921593</v>
      </c>
      <c r="C1192" s="3">
        <v>2.9000000000000001E-2</v>
      </c>
      <c r="D1192" s="1">
        <v>0.5</v>
      </c>
      <c r="E1192" s="4">
        <v>0.19</v>
      </c>
      <c r="F1192" s="4">
        <v>0.19</v>
      </c>
      <c r="G1192" s="4">
        <v>0.62000000000000011</v>
      </c>
    </row>
    <row r="1193" spans="1:7" x14ac:dyDescent="0.25">
      <c r="A1193" s="1">
        <v>1192</v>
      </c>
      <c r="B1193" s="2">
        <v>335388</v>
      </c>
      <c r="C1193" s="3">
        <v>1.7000000000000001E-2</v>
      </c>
      <c r="D1193" s="1">
        <v>0.5</v>
      </c>
      <c r="E1193" s="4">
        <v>0.19</v>
      </c>
      <c r="F1193" s="4">
        <v>0.15</v>
      </c>
      <c r="G1193" s="4">
        <v>0.65999999999999992</v>
      </c>
    </row>
    <row r="1194" spans="1:7" x14ac:dyDescent="0.25">
      <c r="A1194" s="1">
        <v>1193</v>
      </c>
      <c r="B1194" s="2">
        <v>640769</v>
      </c>
      <c r="C1194" s="3">
        <v>2.7E-2</v>
      </c>
      <c r="D1194" s="1">
        <v>0.5</v>
      </c>
      <c r="E1194" s="4">
        <v>0.17</v>
      </c>
      <c r="F1194" s="4">
        <v>0.24</v>
      </c>
      <c r="G1194" s="4">
        <v>0.59</v>
      </c>
    </row>
    <row r="1195" spans="1:7" x14ac:dyDescent="0.25">
      <c r="A1195" s="1">
        <v>1194</v>
      </c>
      <c r="B1195" s="2">
        <v>553480</v>
      </c>
      <c r="C1195" s="3">
        <v>1.9E-2</v>
      </c>
      <c r="D1195" s="1">
        <v>0.5</v>
      </c>
      <c r="E1195" s="4">
        <v>0.16</v>
      </c>
      <c r="F1195" s="4">
        <v>0.35</v>
      </c>
      <c r="G1195" s="4">
        <v>0.49</v>
      </c>
    </row>
    <row r="1196" spans="1:7" x14ac:dyDescent="0.25">
      <c r="A1196" s="1">
        <v>1195</v>
      </c>
      <c r="B1196" s="2">
        <v>592718</v>
      </c>
      <c r="C1196" s="3">
        <v>1.4999999999999999E-2</v>
      </c>
      <c r="D1196" s="1">
        <v>0.5</v>
      </c>
      <c r="E1196" s="4">
        <v>0.21</v>
      </c>
      <c r="F1196" s="4">
        <v>0.28000000000000003</v>
      </c>
      <c r="G1196" s="4">
        <v>0.51</v>
      </c>
    </row>
    <row r="1197" spans="1:7" x14ac:dyDescent="0.25">
      <c r="A1197" s="1">
        <v>1196</v>
      </c>
      <c r="B1197" s="2">
        <v>980519</v>
      </c>
      <c r="C1197" s="3">
        <v>2.5999999999999999E-2</v>
      </c>
      <c r="D1197" s="1">
        <v>0.5</v>
      </c>
      <c r="E1197" s="4">
        <v>0.16</v>
      </c>
      <c r="F1197" s="4">
        <v>0.24</v>
      </c>
      <c r="G1197" s="4">
        <v>0.6</v>
      </c>
    </row>
    <row r="1198" spans="1:7" x14ac:dyDescent="0.25">
      <c r="A1198" s="1">
        <v>1197</v>
      </c>
      <c r="B1198" s="2">
        <v>497258</v>
      </c>
      <c r="C1198" s="3">
        <v>0.03</v>
      </c>
      <c r="D1198" s="1">
        <v>0.5</v>
      </c>
      <c r="E1198" s="4">
        <v>0.21</v>
      </c>
      <c r="F1198" s="4">
        <v>0.31</v>
      </c>
      <c r="G1198" s="4">
        <v>0.48</v>
      </c>
    </row>
    <row r="1199" spans="1:7" x14ac:dyDescent="0.25">
      <c r="A1199" s="1">
        <v>1198</v>
      </c>
      <c r="B1199" s="2">
        <v>959381</v>
      </c>
      <c r="C1199" s="3">
        <v>1.7000000000000001E-2</v>
      </c>
      <c r="D1199" s="1">
        <v>0.5</v>
      </c>
      <c r="E1199" s="4">
        <v>0.16</v>
      </c>
      <c r="F1199" s="4">
        <v>0.24</v>
      </c>
      <c r="G1199" s="4">
        <v>0.6</v>
      </c>
    </row>
    <row r="1200" spans="1:7" x14ac:dyDescent="0.25">
      <c r="A1200" s="1">
        <v>1199</v>
      </c>
      <c r="B1200" s="2">
        <v>922199</v>
      </c>
      <c r="C1200" s="3">
        <v>2.5000000000000001E-2</v>
      </c>
      <c r="D1200" s="1">
        <v>0.5</v>
      </c>
      <c r="E1200" s="4">
        <v>0.18</v>
      </c>
      <c r="F1200" s="4">
        <v>0.19</v>
      </c>
      <c r="G1200" s="4">
        <v>0.63000000000000012</v>
      </c>
    </row>
    <row r="1201" spans="1:7" x14ac:dyDescent="0.25">
      <c r="A1201" s="1">
        <v>1200</v>
      </c>
      <c r="B1201" s="2">
        <v>566664</v>
      </c>
      <c r="C1201" s="3">
        <v>1.7999999999999999E-2</v>
      </c>
      <c r="D1201" s="1">
        <v>0.5</v>
      </c>
      <c r="E1201" s="4">
        <v>0.23</v>
      </c>
      <c r="F1201" s="4">
        <v>0.24</v>
      </c>
      <c r="G1201" s="4">
        <v>0.53</v>
      </c>
    </row>
    <row r="1202" spans="1:7" x14ac:dyDescent="0.25">
      <c r="A1202" s="1">
        <v>1201</v>
      </c>
      <c r="B1202" s="2">
        <v>733877</v>
      </c>
      <c r="C1202" s="3">
        <v>1.0999999999999999E-2</v>
      </c>
      <c r="D1202" s="1">
        <v>0.5</v>
      </c>
      <c r="E1202" s="4">
        <v>0.17</v>
      </c>
      <c r="F1202" s="4">
        <v>0.28999999999999998</v>
      </c>
      <c r="G1202" s="4">
        <v>0.53999999999999992</v>
      </c>
    </row>
    <row r="1203" spans="1:7" x14ac:dyDescent="0.25">
      <c r="A1203" s="1">
        <v>1202</v>
      </c>
      <c r="B1203" s="2">
        <v>886345</v>
      </c>
      <c r="C1203" s="3">
        <v>1.6E-2</v>
      </c>
      <c r="D1203" s="1">
        <v>0.5</v>
      </c>
      <c r="E1203" s="4">
        <v>0.16</v>
      </c>
      <c r="F1203" s="4">
        <v>0.19</v>
      </c>
      <c r="G1203" s="4">
        <v>0.65</v>
      </c>
    </row>
    <row r="1204" spans="1:7" x14ac:dyDescent="0.25">
      <c r="A1204" s="1">
        <v>1203</v>
      </c>
      <c r="B1204" s="2">
        <v>272530</v>
      </c>
      <c r="C1204" s="3">
        <v>1.4999999999999999E-2</v>
      </c>
      <c r="D1204" s="1">
        <v>0.5</v>
      </c>
      <c r="E1204" s="4">
        <v>0.21</v>
      </c>
      <c r="F1204" s="4">
        <v>0.35</v>
      </c>
      <c r="G1204" s="4">
        <v>0.44000000000000006</v>
      </c>
    </row>
    <row r="1205" spans="1:7" x14ac:dyDescent="0.25">
      <c r="A1205" s="1">
        <v>1204</v>
      </c>
      <c r="B1205" s="2">
        <v>634071</v>
      </c>
      <c r="C1205" s="3">
        <v>1.4E-2</v>
      </c>
      <c r="D1205" s="1">
        <v>0.5</v>
      </c>
      <c r="E1205" s="4">
        <v>0.17</v>
      </c>
      <c r="F1205" s="4">
        <v>0.16</v>
      </c>
      <c r="G1205" s="4">
        <v>0.66999999999999993</v>
      </c>
    </row>
    <row r="1206" spans="1:7" x14ac:dyDescent="0.25">
      <c r="A1206" s="1">
        <v>1205</v>
      </c>
      <c r="B1206" s="2">
        <v>510717</v>
      </c>
      <c r="C1206" s="3">
        <v>2.5000000000000001E-2</v>
      </c>
      <c r="D1206" s="1">
        <v>0.5</v>
      </c>
      <c r="E1206" s="4">
        <v>0.22</v>
      </c>
      <c r="F1206" s="4">
        <v>0.16</v>
      </c>
      <c r="G1206" s="4">
        <v>0.62</v>
      </c>
    </row>
    <row r="1207" spans="1:7" x14ac:dyDescent="0.25">
      <c r="A1207" s="1">
        <v>1206</v>
      </c>
      <c r="B1207" s="2">
        <v>824480</v>
      </c>
      <c r="C1207" s="3">
        <v>2.3E-2</v>
      </c>
      <c r="D1207" s="1">
        <v>0.5</v>
      </c>
      <c r="E1207" s="4">
        <v>0.25</v>
      </c>
      <c r="F1207" s="4">
        <v>0.34</v>
      </c>
      <c r="G1207" s="4">
        <v>0.40999999999999992</v>
      </c>
    </row>
    <row r="1208" spans="1:7" x14ac:dyDescent="0.25">
      <c r="A1208" s="1">
        <v>1207</v>
      </c>
      <c r="B1208" s="2">
        <v>444608</v>
      </c>
      <c r="C1208" s="3">
        <v>1.7000000000000001E-2</v>
      </c>
      <c r="D1208" s="1">
        <v>0.5</v>
      </c>
      <c r="E1208" s="4">
        <v>0.23</v>
      </c>
      <c r="F1208" s="4">
        <v>0.22</v>
      </c>
      <c r="G1208" s="4">
        <v>0.55000000000000004</v>
      </c>
    </row>
    <row r="1209" spans="1:7" x14ac:dyDescent="0.25">
      <c r="A1209" s="1">
        <v>1208</v>
      </c>
      <c r="B1209" s="2">
        <v>851372</v>
      </c>
      <c r="C1209" s="3">
        <v>1.4E-2</v>
      </c>
      <c r="D1209" s="1">
        <v>0.5</v>
      </c>
      <c r="E1209" s="4">
        <v>0.22</v>
      </c>
      <c r="F1209" s="4">
        <v>0.35</v>
      </c>
      <c r="G1209" s="4">
        <v>0.43000000000000005</v>
      </c>
    </row>
    <row r="1210" spans="1:7" x14ac:dyDescent="0.25">
      <c r="A1210" s="1">
        <v>1209</v>
      </c>
      <c r="B1210" s="2">
        <v>770331</v>
      </c>
      <c r="C1210" s="3">
        <v>1.4999999999999999E-2</v>
      </c>
      <c r="D1210" s="1">
        <v>0.5</v>
      </c>
      <c r="E1210" s="4">
        <v>0.16</v>
      </c>
      <c r="F1210" s="4">
        <v>0.33</v>
      </c>
      <c r="G1210" s="4">
        <v>0.5099999999999999</v>
      </c>
    </row>
    <row r="1211" spans="1:7" x14ac:dyDescent="0.25">
      <c r="A1211" s="1">
        <v>1210</v>
      </c>
      <c r="B1211" s="2">
        <v>350166</v>
      </c>
      <c r="C1211" s="3">
        <v>2.5999999999999999E-2</v>
      </c>
      <c r="D1211" s="1">
        <v>0.5</v>
      </c>
      <c r="E1211" s="4">
        <v>0.23</v>
      </c>
      <c r="F1211" s="4">
        <v>0.32</v>
      </c>
      <c r="G1211" s="4">
        <v>0.44999999999999996</v>
      </c>
    </row>
    <row r="1212" spans="1:7" x14ac:dyDescent="0.25">
      <c r="A1212" s="1">
        <v>1211</v>
      </c>
      <c r="B1212" s="2">
        <v>649409</v>
      </c>
      <c r="C1212" s="3">
        <v>2.1000000000000001E-2</v>
      </c>
      <c r="D1212" s="1">
        <v>0.5</v>
      </c>
      <c r="E1212" s="4">
        <v>0.16</v>
      </c>
      <c r="F1212" s="4">
        <v>0.24</v>
      </c>
      <c r="G1212" s="4">
        <v>0.6</v>
      </c>
    </row>
    <row r="1213" spans="1:7" x14ac:dyDescent="0.25">
      <c r="A1213" s="1">
        <v>1212</v>
      </c>
      <c r="B1213" s="2">
        <v>539698</v>
      </c>
      <c r="C1213" s="3">
        <v>0.01</v>
      </c>
      <c r="D1213" s="1">
        <v>0.5</v>
      </c>
      <c r="E1213" s="4">
        <v>0.17</v>
      </c>
      <c r="F1213" s="4">
        <v>0.23</v>
      </c>
      <c r="G1213" s="4">
        <v>0.6</v>
      </c>
    </row>
    <row r="1214" spans="1:7" x14ac:dyDescent="0.25">
      <c r="A1214" s="1">
        <v>1213</v>
      </c>
      <c r="B1214" s="2">
        <v>615992</v>
      </c>
      <c r="C1214" s="3">
        <v>2.9000000000000001E-2</v>
      </c>
      <c r="D1214" s="1">
        <v>0.5</v>
      </c>
      <c r="E1214" s="4">
        <v>0.24</v>
      </c>
      <c r="F1214" s="4">
        <v>0.16</v>
      </c>
      <c r="G1214" s="4">
        <v>0.6</v>
      </c>
    </row>
    <row r="1215" spans="1:7" x14ac:dyDescent="0.25">
      <c r="A1215" s="1">
        <v>1214</v>
      </c>
      <c r="B1215" s="2">
        <v>955482</v>
      </c>
      <c r="C1215" s="3">
        <v>2.1000000000000001E-2</v>
      </c>
      <c r="D1215" s="1">
        <v>0.5</v>
      </c>
      <c r="E1215" s="4">
        <v>0.25</v>
      </c>
      <c r="F1215" s="4">
        <v>0.21</v>
      </c>
      <c r="G1215" s="4">
        <v>0.54</v>
      </c>
    </row>
    <row r="1216" spans="1:7" x14ac:dyDescent="0.25">
      <c r="A1216" s="1">
        <v>1215</v>
      </c>
      <c r="B1216" s="2">
        <v>325336</v>
      </c>
      <c r="C1216" s="3">
        <v>2.1000000000000001E-2</v>
      </c>
      <c r="D1216" s="1">
        <v>0.5</v>
      </c>
      <c r="E1216" s="4">
        <v>0.21</v>
      </c>
      <c r="F1216" s="4">
        <v>0.28000000000000003</v>
      </c>
      <c r="G1216" s="4">
        <v>0.51</v>
      </c>
    </row>
    <row r="1217" spans="1:7" x14ac:dyDescent="0.25">
      <c r="A1217" s="1">
        <v>1216</v>
      </c>
      <c r="B1217" s="2">
        <v>768060</v>
      </c>
      <c r="C1217" s="3">
        <v>2.5999999999999999E-2</v>
      </c>
      <c r="D1217" s="1">
        <v>0.5</v>
      </c>
      <c r="E1217" s="4">
        <v>0.18</v>
      </c>
      <c r="F1217" s="4">
        <v>0.26</v>
      </c>
      <c r="G1217" s="4">
        <v>0.56000000000000005</v>
      </c>
    </row>
    <row r="1218" spans="1:7" x14ac:dyDescent="0.25">
      <c r="A1218" s="1">
        <v>1217</v>
      </c>
      <c r="B1218" s="2">
        <v>562945</v>
      </c>
      <c r="C1218" s="3">
        <v>2.1000000000000001E-2</v>
      </c>
      <c r="D1218" s="1">
        <v>0.5</v>
      </c>
      <c r="E1218" s="4">
        <v>0.18</v>
      </c>
      <c r="F1218" s="4">
        <v>0.22</v>
      </c>
      <c r="G1218" s="4">
        <v>0.60000000000000009</v>
      </c>
    </row>
    <row r="1219" spans="1:7" x14ac:dyDescent="0.25">
      <c r="A1219" s="1">
        <v>1218</v>
      </c>
      <c r="B1219" s="2">
        <v>716031</v>
      </c>
      <c r="C1219" s="3">
        <v>1.4999999999999999E-2</v>
      </c>
      <c r="D1219" s="1">
        <v>0.5</v>
      </c>
      <c r="E1219" s="4">
        <v>0.16</v>
      </c>
      <c r="F1219" s="4">
        <v>0.2</v>
      </c>
      <c r="G1219" s="4">
        <v>0.64</v>
      </c>
    </row>
    <row r="1220" spans="1:7" x14ac:dyDescent="0.25">
      <c r="A1220" s="1">
        <v>1219</v>
      </c>
      <c r="B1220" s="2">
        <v>356772</v>
      </c>
      <c r="C1220" s="3">
        <v>2.4E-2</v>
      </c>
      <c r="D1220" s="1">
        <v>0.5</v>
      </c>
      <c r="E1220" s="4">
        <v>0.21</v>
      </c>
      <c r="F1220" s="4">
        <v>0.3</v>
      </c>
      <c r="G1220" s="4">
        <v>0.49</v>
      </c>
    </row>
    <row r="1221" spans="1:7" x14ac:dyDescent="0.25">
      <c r="A1221" s="1">
        <v>1220</v>
      </c>
      <c r="B1221" s="2">
        <v>632889</v>
      </c>
      <c r="C1221" s="3">
        <v>1.2E-2</v>
      </c>
      <c r="D1221" s="1">
        <v>0.5</v>
      </c>
      <c r="E1221" s="4">
        <v>0.19</v>
      </c>
      <c r="F1221" s="4">
        <v>0.28000000000000003</v>
      </c>
      <c r="G1221" s="4">
        <v>0.53</v>
      </c>
    </row>
    <row r="1222" spans="1:7" x14ac:dyDescent="0.25">
      <c r="A1222" s="1">
        <v>1221</v>
      </c>
      <c r="B1222" s="2">
        <v>751447</v>
      </c>
      <c r="C1222" s="3">
        <v>1.4999999999999999E-2</v>
      </c>
      <c r="D1222" s="1">
        <v>0.5</v>
      </c>
      <c r="E1222" s="4">
        <v>0.21</v>
      </c>
      <c r="F1222" s="4">
        <v>0.16</v>
      </c>
      <c r="G1222" s="4">
        <v>0.63</v>
      </c>
    </row>
    <row r="1223" spans="1:7" x14ac:dyDescent="0.25">
      <c r="A1223" s="1">
        <v>1222</v>
      </c>
      <c r="B1223" s="2">
        <v>960740</v>
      </c>
      <c r="C1223" s="3">
        <v>1.0999999999999999E-2</v>
      </c>
      <c r="D1223" s="1">
        <v>0.5</v>
      </c>
      <c r="E1223" s="4">
        <v>0.24</v>
      </c>
      <c r="F1223" s="4">
        <v>0.19</v>
      </c>
      <c r="G1223" s="4">
        <v>0.57000000000000006</v>
      </c>
    </row>
    <row r="1224" spans="1:7" x14ac:dyDescent="0.25">
      <c r="A1224" s="1">
        <v>1223</v>
      </c>
      <c r="B1224" s="2">
        <v>635157</v>
      </c>
      <c r="C1224" s="3">
        <v>1.9E-2</v>
      </c>
      <c r="D1224" s="1">
        <v>0.5</v>
      </c>
      <c r="E1224" s="4">
        <v>0.17</v>
      </c>
      <c r="F1224" s="4">
        <v>0.24</v>
      </c>
      <c r="G1224" s="4">
        <v>0.59</v>
      </c>
    </row>
    <row r="1225" spans="1:7" x14ac:dyDescent="0.25">
      <c r="A1225" s="1">
        <v>1224</v>
      </c>
      <c r="B1225" s="2">
        <v>999942</v>
      </c>
      <c r="C1225" s="3">
        <v>1.9E-2</v>
      </c>
      <c r="D1225" s="1">
        <v>0.5</v>
      </c>
      <c r="E1225" s="4">
        <v>0.15</v>
      </c>
      <c r="F1225" s="4">
        <v>0.27</v>
      </c>
      <c r="G1225" s="4">
        <v>0.57999999999999996</v>
      </c>
    </row>
    <row r="1226" spans="1:7" x14ac:dyDescent="0.25">
      <c r="A1226" s="1">
        <v>1225</v>
      </c>
      <c r="B1226" s="2">
        <v>573616</v>
      </c>
      <c r="C1226" s="3">
        <v>2.1000000000000001E-2</v>
      </c>
      <c r="D1226" s="1">
        <v>0.5</v>
      </c>
      <c r="E1226" s="4">
        <v>0.23</v>
      </c>
      <c r="F1226" s="4">
        <v>0.3</v>
      </c>
      <c r="G1226" s="4">
        <v>0.47</v>
      </c>
    </row>
    <row r="1227" spans="1:7" x14ac:dyDescent="0.25">
      <c r="A1227" s="1">
        <v>1226</v>
      </c>
      <c r="B1227" s="2">
        <v>659080</v>
      </c>
      <c r="C1227" s="3">
        <v>2.5000000000000001E-2</v>
      </c>
      <c r="D1227" s="1">
        <v>0.5</v>
      </c>
      <c r="E1227" s="4">
        <v>0.21</v>
      </c>
      <c r="F1227" s="4">
        <v>0.17</v>
      </c>
      <c r="G1227" s="4">
        <v>0.62</v>
      </c>
    </row>
    <row r="1228" spans="1:7" x14ac:dyDescent="0.25">
      <c r="A1228" s="1">
        <v>1227</v>
      </c>
      <c r="B1228" s="2">
        <v>698355</v>
      </c>
      <c r="C1228" s="3">
        <v>1.2999999999999999E-2</v>
      </c>
      <c r="D1228" s="1">
        <v>0.5</v>
      </c>
      <c r="E1228" s="4">
        <v>0.16</v>
      </c>
      <c r="F1228" s="4">
        <v>0.24</v>
      </c>
      <c r="G1228" s="4">
        <v>0.6</v>
      </c>
    </row>
    <row r="1229" spans="1:7" x14ac:dyDescent="0.25">
      <c r="A1229" s="1">
        <v>1228</v>
      </c>
      <c r="B1229" s="2">
        <v>793893</v>
      </c>
      <c r="C1229" s="3">
        <v>0.02</v>
      </c>
      <c r="D1229" s="1">
        <v>0.5</v>
      </c>
      <c r="E1229" s="4">
        <v>0.18</v>
      </c>
      <c r="F1229" s="4">
        <v>0.31</v>
      </c>
      <c r="G1229" s="4">
        <v>0.51</v>
      </c>
    </row>
    <row r="1230" spans="1:7" x14ac:dyDescent="0.25">
      <c r="A1230" s="1">
        <v>1229</v>
      </c>
      <c r="B1230" s="2">
        <v>654323</v>
      </c>
      <c r="C1230" s="3">
        <v>1.9E-2</v>
      </c>
      <c r="D1230" s="1">
        <v>0.5</v>
      </c>
      <c r="E1230" s="4">
        <v>0.16</v>
      </c>
      <c r="F1230" s="4">
        <v>0.25</v>
      </c>
      <c r="G1230" s="4">
        <v>0.59</v>
      </c>
    </row>
    <row r="1231" spans="1:7" x14ac:dyDescent="0.25">
      <c r="A1231" s="1">
        <v>1230</v>
      </c>
      <c r="B1231" s="2">
        <v>883153</v>
      </c>
      <c r="C1231" s="3">
        <v>2.5000000000000001E-2</v>
      </c>
      <c r="D1231" s="1">
        <v>0.5</v>
      </c>
      <c r="E1231" s="4">
        <v>0.21</v>
      </c>
      <c r="F1231" s="4">
        <v>0.15</v>
      </c>
      <c r="G1231" s="4">
        <v>0.64</v>
      </c>
    </row>
    <row r="1232" spans="1:7" x14ac:dyDescent="0.25">
      <c r="A1232" s="1">
        <v>1231</v>
      </c>
      <c r="B1232" s="2">
        <v>235322</v>
      </c>
      <c r="C1232" s="3">
        <v>2.4E-2</v>
      </c>
      <c r="D1232" s="1">
        <v>0.5</v>
      </c>
      <c r="E1232" s="4">
        <v>0.23</v>
      </c>
      <c r="F1232" s="4">
        <v>0.17</v>
      </c>
      <c r="G1232" s="4">
        <v>0.6</v>
      </c>
    </row>
    <row r="1233" spans="1:7" x14ac:dyDescent="0.25">
      <c r="A1233" s="1">
        <v>1232</v>
      </c>
      <c r="B1233" s="2">
        <v>657843</v>
      </c>
      <c r="C1233" s="3">
        <v>2.7E-2</v>
      </c>
      <c r="D1233" s="1">
        <v>0.5</v>
      </c>
      <c r="E1233" s="4">
        <v>0.2</v>
      </c>
      <c r="F1233" s="4">
        <v>0.31</v>
      </c>
      <c r="G1233" s="4">
        <v>0.48999999999999994</v>
      </c>
    </row>
    <row r="1234" spans="1:7" x14ac:dyDescent="0.25">
      <c r="A1234" s="1">
        <v>1233</v>
      </c>
      <c r="B1234" s="2">
        <v>944014</v>
      </c>
      <c r="C1234" s="3">
        <v>1.4E-2</v>
      </c>
      <c r="D1234" s="1">
        <v>0.5</v>
      </c>
      <c r="E1234" s="4">
        <v>0.16</v>
      </c>
      <c r="F1234" s="4">
        <v>0.17</v>
      </c>
      <c r="G1234" s="4">
        <v>0.66999999999999993</v>
      </c>
    </row>
    <row r="1235" spans="1:7" x14ac:dyDescent="0.25">
      <c r="A1235" s="1">
        <v>1234</v>
      </c>
      <c r="B1235" s="2">
        <v>282113</v>
      </c>
      <c r="C1235" s="3">
        <v>1.6E-2</v>
      </c>
      <c r="D1235" s="1">
        <v>0.5</v>
      </c>
      <c r="E1235" s="4">
        <v>0.16</v>
      </c>
      <c r="F1235" s="4">
        <v>0.26</v>
      </c>
      <c r="G1235" s="4">
        <v>0.57999999999999996</v>
      </c>
    </row>
    <row r="1236" spans="1:7" x14ac:dyDescent="0.25">
      <c r="A1236" s="1">
        <v>1235</v>
      </c>
      <c r="B1236" s="2">
        <v>427049</v>
      </c>
      <c r="C1236" s="3">
        <v>2.4E-2</v>
      </c>
      <c r="D1236" s="1">
        <v>0.5</v>
      </c>
      <c r="E1236" s="4">
        <v>0.21</v>
      </c>
      <c r="F1236" s="4">
        <v>0.27</v>
      </c>
      <c r="G1236" s="4">
        <v>0.52</v>
      </c>
    </row>
    <row r="1237" spans="1:7" x14ac:dyDescent="0.25">
      <c r="A1237" s="1">
        <v>1236</v>
      </c>
      <c r="B1237" s="2">
        <v>351988</v>
      </c>
      <c r="C1237" s="3">
        <v>0.01</v>
      </c>
      <c r="D1237" s="1">
        <v>0.5</v>
      </c>
      <c r="E1237" s="4">
        <v>0.19</v>
      </c>
      <c r="F1237" s="4">
        <v>0.22</v>
      </c>
      <c r="G1237" s="4">
        <v>0.59000000000000008</v>
      </c>
    </row>
    <row r="1238" spans="1:7" x14ac:dyDescent="0.25">
      <c r="A1238" s="1">
        <v>1237</v>
      </c>
      <c r="B1238" s="2">
        <v>909232</v>
      </c>
      <c r="C1238" s="3">
        <v>2.1999999999999999E-2</v>
      </c>
      <c r="D1238" s="1">
        <v>0.5</v>
      </c>
      <c r="E1238" s="4">
        <v>0.23</v>
      </c>
      <c r="F1238" s="4">
        <v>0.24</v>
      </c>
      <c r="G1238" s="4">
        <v>0.53</v>
      </c>
    </row>
    <row r="1239" spans="1:7" x14ac:dyDescent="0.25">
      <c r="A1239" s="1">
        <v>1238</v>
      </c>
      <c r="B1239" s="2">
        <v>697682</v>
      </c>
      <c r="C1239" s="3">
        <v>2.3E-2</v>
      </c>
      <c r="D1239" s="1">
        <v>0.5</v>
      </c>
      <c r="E1239" s="4">
        <v>0.18</v>
      </c>
      <c r="F1239" s="4">
        <v>0.24</v>
      </c>
      <c r="G1239" s="4">
        <v>0.58000000000000007</v>
      </c>
    </row>
    <row r="1240" spans="1:7" x14ac:dyDescent="0.25">
      <c r="A1240" s="1">
        <v>1239</v>
      </c>
      <c r="B1240" s="2">
        <v>928422</v>
      </c>
      <c r="C1240" s="3">
        <v>0.01</v>
      </c>
      <c r="D1240" s="1">
        <v>0.5</v>
      </c>
      <c r="E1240" s="4">
        <v>0.25</v>
      </c>
      <c r="F1240" s="4">
        <v>0.34</v>
      </c>
      <c r="G1240" s="4">
        <v>0.40999999999999992</v>
      </c>
    </row>
    <row r="1241" spans="1:7" x14ac:dyDescent="0.25">
      <c r="A1241" s="1">
        <v>1240</v>
      </c>
      <c r="B1241" s="2">
        <v>975978</v>
      </c>
      <c r="C1241" s="3">
        <v>0.01</v>
      </c>
      <c r="D1241" s="1">
        <v>0.5</v>
      </c>
      <c r="E1241" s="4">
        <v>0.15</v>
      </c>
      <c r="F1241" s="4">
        <v>0.3</v>
      </c>
      <c r="G1241" s="4">
        <v>0.54999999999999993</v>
      </c>
    </row>
    <row r="1242" spans="1:7" x14ac:dyDescent="0.25">
      <c r="A1242" s="1">
        <v>1241</v>
      </c>
      <c r="B1242" s="2">
        <v>866870</v>
      </c>
      <c r="C1242" s="3">
        <v>2.3E-2</v>
      </c>
      <c r="D1242" s="1">
        <v>0.5</v>
      </c>
      <c r="E1242" s="4">
        <v>0.24</v>
      </c>
      <c r="F1242" s="4">
        <v>0.34</v>
      </c>
      <c r="G1242" s="4">
        <v>0.41999999999999993</v>
      </c>
    </row>
    <row r="1243" spans="1:7" x14ac:dyDescent="0.25">
      <c r="A1243" s="1">
        <v>1242</v>
      </c>
      <c r="B1243" s="2">
        <v>736516</v>
      </c>
      <c r="C1243" s="3">
        <v>2.8000000000000001E-2</v>
      </c>
      <c r="D1243" s="1">
        <v>0.5</v>
      </c>
      <c r="E1243" s="4">
        <v>0.19</v>
      </c>
      <c r="F1243" s="4">
        <v>0.32</v>
      </c>
      <c r="G1243" s="4">
        <v>0.48999999999999994</v>
      </c>
    </row>
    <row r="1244" spans="1:7" x14ac:dyDescent="0.25">
      <c r="A1244" s="1">
        <v>1243</v>
      </c>
      <c r="B1244" s="2">
        <v>352266</v>
      </c>
      <c r="C1244" s="3">
        <v>8.0000000000000002E-3</v>
      </c>
      <c r="D1244" s="1">
        <v>0.5</v>
      </c>
      <c r="E1244" s="4">
        <v>0.15</v>
      </c>
      <c r="F1244" s="4">
        <v>0.26</v>
      </c>
      <c r="G1244" s="4">
        <v>0.59</v>
      </c>
    </row>
    <row r="1245" spans="1:7" x14ac:dyDescent="0.25">
      <c r="A1245" s="1">
        <v>1244</v>
      </c>
      <c r="B1245" s="2">
        <v>449978</v>
      </c>
      <c r="C1245" s="3">
        <v>0.01</v>
      </c>
      <c r="D1245" s="1">
        <v>0.5</v>
      </c>
      <c r="E1245" s="4">
        <v>0.17</v>
      </c>
      <c r="F1245" s="4">
        <v>0.26</v>
      </c>
      <c r="G1245" s="4">
        <v>0.56999999999999995</v>
      </c>
    </row>
    <row r="1246" spans="1:7" x14ac:dyDescent="0.25">
      <c r="A1246" s="1">
        <v>1245</v>
      </c>
      <c r="B1246" s="2">
        <v>367845</v>
      </c>
      <c r="C1246" s="3">
        <v>1.2E-2</v>
      </c>
      <c r="D1246" s="1">
        <v>0.5</v>
      </c>
      <c r="E1246" s="4">
        <v>0.2</v>
      </c>
      <c r="F1246" s="4">
        <v>0.27</v>
      </c>
      <c r="G1246" s="4">
        <v>0.53</v>
      </c>
    </row>
    <row r="1247" spans="1:7" x14ac:dyDescent="0.25">
      <c r="A1247" s="1">
        <v>1246</v>
      </c>
      <c r="B1247" s="2">
        <v>700073</v>
      </c>
      <c r="C1247" s="3">
        <v>7.0000000000000001E-3</v>
      </c>
      <c r="D1247" s="1">
        <v>0.5</v>
      </c>
      <c r="E1247" s="4">
        <v>0.19</v>
      </c>
      <c r="F1247" s="4">
        <v>0.26</v>
      </c>
      <c r="G1247" s="4">
        <v>0.55000000000000004</v>
      </c>
    </row>
    <row r="1248" spans="1:7" x14ac:dyDescent="0.25">
      <c r="A1248" s="1">
        <v>1247</v>
      </c>
      <c r="B1248" s="2">
        <v>291358</v>
      </c>
      <c r="C1248" s="3">
        <v>6.0000000000000001E-3</v>
      </c>
      <c r="D1248" s="1">
        <v>0.5</v>
      </c>
      <c r="E1248" s="4">
        <v>0.23</v>
      </c>
      <c r="F1248" s="4">
        <v>0.21</v>
      </c>
      <c r="G1248" s="4">
        <v>0.56000000000000005</v>
      </c>
    </row>
    <row r="1249" spans="1:7" x14ac:dyDescent="0.25">
      <c r="A1249" s="1">
        <v>1248</v>
      </c>
      <c r="B1249" s="2">
        <v>894658</v>
      </c>
      <c r="C1249" s="3">
        <v>1.2999999999999999E-2</v>
      </c>
      <c r="D1249" s="1">
        <v>0.5</v>
      </c>
      <c r="E1249" s="4">
        <v>0.16</v>
      </c>
      <c r="F1249" s="4">
        <v>0.19</v>
      </c>
      <c r="G1249" s="4">
        <v>0.65</v>
      </c>
    </row>
    <row r="1250" spans="1:7" x14ac:dyDescent="0.25">
      <c r="A1250" s="1">
        <v>1249</v>
      </c>
      <c r="B1250" s="2">
        <v>757299</v>
      </c>
      <c r="C1250" s="3">
        <v>1.4999999999999999E-2</v>
      </c>
      <c r="D1250" s="1">
        <v>0.5</v>
      </c>
      <c r="E1250" s="4">
        <v>0.24</v>
      </c>
      <c r="F1250" s="4">
        <v>0.19</v>
      </c>
      <c r="G1250" s="4">
        <v>0.57000000000000006</v>
      </c>
    </row>
    <row r="1251" spans="1:7" x14ac:dyDescent="0.25">
      <c r="A1251" s="1">
        <v>1250</v>
      </c>
      <c r="B1251" s="2">
        <v>315279</v>
      </c>
      <c r="C1251" s="3">
        <v>8.0000000000000002E-3</v>
      </c>
      <c r="D1251" s="1">
        <v>0.5</v>
      </c>
      <c r="E1251" s="4">
        <v>0.15</v>
      </c>
      <c r="F1251" s="4">
        <v>0.22</v>
      </c>
      <c r="G1251" s="4">
        <v>0.63</v>
      </c>
    </row>
    <row r="1252" spans="1:7" x14ac:dyDescent="0.25">
      <c r="A1252" s="1">
        <v>1251</v>
      </c>
      <c r="B1252" s="2">
        <v>248213</v>
      </c>
      <c r="C1252" s="3">
        <v>1.0999999999999999E-2</v>
      </c>
      <c r="D1252" s="1">
        <v>0.5</v>
      </c>
      <c r="E1252" s="4">
        <v>0.2</v>
      </c>
      <c r="F1252" s="4">
        <v>0.3</v>
      </c>
      <c r="G1252" s="4">
        <v>0.49999999999999994</v>
      </c>
    </row>
    <row r="1253" spans="1:7" x14ac:dyDescent="0.25">
      <c r="A1253" s="1">
        <v>1252</v>
      </c>
      <c r="B1253" s="2">
        <v>856053</v>
      </c>
      <c r="C1253" s="3">
        <v>5.0000000000000001E-3</v>
      </c>
      <c r="D1253" s="1">
        <v>0.5</v>
      </c>
      <c r="E1253" s="4">
        <v>0.19</v>
      </c>
      <c r="F1253" s="4">
        <v>0.28999999999999998</v>
      </c>
      <c r="G1253" s="4">
        <v>0.52</v>
      </c>
    </row>
    <row r="1254" spans="1:7" x14ac:dyDescent="0.25">
      <c r="A1254" s="1">
        <v>1253</v>
      </c>
      <c r="B1254" s="2">
        <v>247738</v>
      </c>
      <c r="C1254" s="3">
        <v>1.2999999999999999E-2</v>
      </c>
      <c r="D1254" s="1">
        <v>0.5</v>
      </c>
      <c r="E1254" s="4">
        <v>0.18</v>
      </c>
      <c r="F1254" s="4">
        <v>0.15</v>
      </c>
      <c r="G1254" s="4">
        <v>0.66999999999999993</v>
      </c>
    </row>
    <row r="1255" spans="1:7" x14ac:dyDescent="0.25">
      <c r="A1255" s="1">
        <v>1254</v>
      </c>
      <c r="B1255" s="2">
        <v>232889</v>
      </c>
      <c r="C1255" s="3">
        <v>0.01</v>
      </c>
      <c r="D1255" s="1">
        <v>0.5</v>
      </c>
      <c r="E1255" s="4">
        <v>0.23</v>
      </c>
      <c r="F1255" s="4">
        <v>0.15</v>
      </c>
      <c r="G1255" s="4">
        <v>0.62</v>
      </c>
    </row>
    <row r="1256" spans="1:7" x14ac:dyDescent="0.25">
      <c r="A1256" s="1">
        <v>1255</v>
      </c>
      <c r="B1256" s="2">
        <v>495936</v>
      </c>
      <c r="C1256" s="3">
        <v>7.0000000000000001E-3</v>
      </c>
      <c r="D1256" s="1">
        <v>0.5</v>
      </c>
      <c r="E1256" s="4">
        <v>0.16</v>
      </c>
      <c r="F1256" s="4">
        <v>0.16</v>
      </c>
      <c r="G1256" s="4">
        <v>0.67999999999999994</v>
      </c>
    </row>
    <row r="1257" spans="1:7" x14ac:dyDescent="0.25">
      <c r="A1257" s="1">
        <v>1256</v>
      </c>
      <c r="B1257" s="2">
        <v>417407</v>
      </c>
      <c r="C1257" s="3">
        <v>6.0000000000000001E-3</v>
      </c>
      <c r="D1257" s="1">
        <v>0.5</v>
      </c>
      <c r="E1257" s="4">
        <v>0.23</v>
      </c>
      <c r="F1257" s="4">
        <v>0.28999999999999998</v>
      </c>
      <c r="G1257" s="4">
        <v>0.48</v>
      </c>
    </row>
    <row r="1258" spans="1:7" x14ac:dyDescent="0.25">
      <c r="A1258" s="1">
        <v>1257</v>
      </c>
      <c r="B1258" s="2">
        <v>526454</v>
      </c>
      <c r="C1258" s="3">
        <v>8.9999999999999993E-3</v>
      </c>
      <c r="D1258" s="1">
        <v>0.5</v>
      </c>
      <c r="E1258" s="4">
        <v>0.24</v>
      </c>
      <c r="F1258" s="4">
        <v>0.3</v>
      </c>
      <c r="G1258" s="4">
        <v>0.45999999999999996</v>
      </c>
    </row>
    <row r="1259" spans="1:7" x14ac:dyDescent="0.25">
      <c r="A1259" s="1">
        <v>1258</v>
      </c>
      <c r="B1259" s="2">
        <v>590832</v>
      </c>
      <c r="C1259" s="3">
        <v>6.0000000000000001E-3</v>
      </c>
      <c r="D1259" s="1">
        <v>0.5</v>
      </c>
      <c r="E1259" s="4">
        <v>0.24</v>
      </c>
      <c r="F1259" s="4">
        <v>0.28000000000000003</v>
      </c>
      <c r="G1259" s="4">
        <v>0.48</v>
      </c>
    </row>
    <row r="1260" spans="1:7" x14ac:dyDescent="0.25">
      <c r="A1260" s="1">
        <v>1259</v>
      </c>
      <c r="B1260" s="2">
        <v>826626</v>
      </c>
      <c r="C1260" s="3">
        <v>1.4999999999999999E-2</v>
      </c>
      <c r="D1260" s="1">
        <v>0.5</v>
      </c>
      <c r="E1260" s="4">
        <v>0.15</v>
      </c>
      <c r="F1260" s="4">
        <v>0.15</v>
      </c>
      <c r="G1260" s="4">
        <v>0.7</v>
      </c>
    </row>
    <row r="1261" spans="1:7" x14ac:dyDescent="0.25">
      <c r="A1261" s="1">
        <v>1260</v>
      </c>
      <c r="B1261" s="2">
        <v>968345</v>
      </c>
      <c r="C1261" s="3">
        <v>1.4999999999999999E-2</v>
      </c>
      <c r="D1261" s="1">
        <v>0.5</v>
      </c>
      <c r="E1261" s="4">
        <v>0.23</v>
      </c>
      <c r="F1261" s="4">
        <v>0.35</v>
      </c>
      <c r="G1261" s="4">
        <v>0.42000000000000004</v>
      </c>
    </row>
    <row r="1262" spans="1:7" x14ac:dyDescent="0.25">
      <c r="A1262" s="1">
        <v>1261</v>
      </c>
      <c r="B1262" s="2">
        <v>289157</v>
      </c>
      <c r="C1262" s="3">
        <v>1.2E-2</v>
      </c>
      <c r="D1262" s="1">
        <v>0.5</v>
      </c>
      <c r="E1262" s="4">
        <v>0.17</v>
      </c>
      <c r="F1262" s="4">
        <v>0.19</v>
      </c>
      <c r="G1262" s="4">
        <v>0.64</v>
      </c>
    </row>
    <row r="1263" spans="1:7" x14ac:dyDescent="0.25">
      <c r="A1263" s="1">
        <v>1262</v>
      </c>
      <c r="B1263" s="2">
        <v>666247</v>
      </c>
      <c r="C1263" s="3">
        <v>5.0000000000000001E-3</v>
      </c>
      <c r="D1263" s="1">
        <v>0.5</v>
      </c>
      <c r="E1263" s="4">
        <v>0.21</v>
      </c>
      <c r="F1263" s="4">
        <v>0.31</v>
      </c>
      <c r="G1263" s="4">
        <v>0.48</v>
      </c>
    </row>
    <row r="1264" spans="1:7" x14ac:dyDescent="0.25">
      <c r="A1264" s="1">
        <v>1263</v>
      </c>
      <c r="B1264" s="2">
        <v>827779</v>
      </c>
      <c r="C1264" s="3">
        <v>1.2E-2</v>
      </c>
      <c r="D1264" s="1">
        <v>0.5</v>
      </c>
      <c r="E1264" s="4">
        <v>0.2</v>
      </c>
      <c r="F1264" s="4">
        <v>0.16</v>
      </c>
      <c r="G1264" s="4">
        <v>0.6399999999999999</v>
      </c>
    </row>
    <row r="1265" spans="1:7" x14ac:dyDescent="0.25">
      <c r="A1265" s="1">
        <v>1264</v>
      </c>
      <c r="B1265" s="2">
        <v>675113</v>
      </c>
      <c r="C1265" s="3">
        <v>1.0999999999999999E-2</v>
      </c>
      <c r="D1265" s="1">
        <v>0.5</v>
      </c>
      <c r="E1265" s="4">
        <v>0.2</v>
      </c>
      <c r="F1265" s="4">
        <v>0.28999999999999998</v>
      </c>
      <c r="G1265" s="4">
        <v>0.51</v>
      </c>
    </row>
    <row r="1266" spans="1:7" x14ac:dyDescent="0.25">
      <c r="A1266" s="1">
        <v>1265</v>
      </c>
      <c r="B1266" s="2">
        <v>224314</v>
      </c>
      <c r="C1266" s="3">
        <v>8.0000000000000002E-3</v>
      </c>
      <c r="D1266" s="1">
        <v>0.5</v>
      </c>
      <c r="E1266" s="4">
        <v>0.2</v>
      </c>
      <c r="F1266" s="4">
        <v>0.27</v>
      </c>
      <c r="G1266" s="4">
        <v>0.53</v>
      </c>
    </row>
    <row r="1267" spans="1:7" x14ac:dyDescent="0.25">
      <c r="A1267" s="1">
        <v>1266</v>
      </c>
      <c r="B1267" s="2">
        <v>914133</v>
      </c>
      <c r="C1267" s="3">
        <v>5.0000000000000001E-3</v>
      </c>
      <c r="D1267" s="1">
        <v>0.5</v>
      </c>
      <c r="E1267" s="4">
        <v>0.2</v>
      </c>
      <c r="F1267" s="4">
        <v>0.31</v>
      </c>
      <c r="G1267" s="4">
        <v>0.48999999999999994</v>
      </c>
    </row>
    <row r="1268" spans="1:7" x14ac:dyDescent="0.25">
      <c r="A1268" s="1">
        <v>1267</v>
      </c>
      <c r="B1268" s="2">
        <v>847710</v>
      </c>
      <c r="C1268" s="3">
        <v>1.4E-2</v>
      </c>
      <c r="D1268" s="1">
        <v>0.5</v>
      </c>
      <c r="E1268" s="4">
        <v>0.16</v>
      </c>
      <c r="F1268" s="4">
        <v>0.33</v>
      </c>
      <c r="G1268" s="4">
        <v>0.5099999999999999</v>
      </c>
    </row>
    <row r="1269" spans="1:7" x14ac:dyDescent="0.25">
      <c r="A1269" s="1">
        <v>1268</v>
      </c>
      <c r="B1269" s="2">
        <v>601389</v>
      </c>
      <c r="C1269" s="3">
        <v>6.0000000000000001E-3</v>
      </c>
      <c r="D1269" s="1">
        <v>0.5</v>
      </c>
      <c r="E1269" s="4">
        <v>0.21</v>
      </c>
      <c r="F1269" s="4">
        <v>0.28999999999999998</v>
      </c>
      <c r="G1269" s="4">
        <v>0.5</v>
      </c>
    </row>
    <row r="1270" spans="1:7" x14ac:dyDescent="0.25">
      <c r="A1270" s="1">
        <v>1269</v>
      </c>
      <c r="B1270" s="2">
        <v>611298</v>
      </c>
      <c r="C1270" s="3">
        <v>8.0000000000000002E-3</v>
      </c>
      <c r="D1270" s="1">
        <v>0.5</v>
      </c>
      <c r="E1270" s="4">
        <v>0.25</v>
      </c>
      <c r="F1270" s="4">
        <v>0.22</v>
      </c>
      <c r="G1270" s="4">
        <v>0.53</v>
      </c>
    </row>
    <row r="1271" spans="1:7" x14ac:dyDescent="0.25">
      <c r="A1271" s="1">
        <v>1270</v>
      </c>
      <c r="B1271" s="2">
        <v>601177</v>
      </c>
      <c r="C1271" s="3">
        <v>6.0000000000000001E-3</v>
      </c>
      <c r="D1271" s="1">
        <v>0.5</v>
      </c>
      <c r="E1271" s="4">
        <v>0.18</v>
      </c>
      <c r="F1271" s="4">
        <v>0.35</v>
      </c>
      <c r="G1271" s="4">
        <v>0.47000000000000003</v>
      </c>
    </row>
    <row r="1272" spans="1:7" x14ac:dyDescent="0.25">
      <c r="A1272" s="1">
        <v>1271</v>
      </c>
      <c r="B1272" s="2">
        <v>237125</v>
      </c>
      <c r="C1272" s="3">
        <v>1.2999999999999999E-2</v>
      </c>
      <c r="D1272" s="1">
        <v>0.5</v>
      </c>
      <c r="E1272" s="4">
        <v>0.19</v>
      </c>
      <c r="F1272" s="4">
        <v>0.23</v>
      </c>
      <c r="G1272" s="4">
        <v>0.58000000000000007</v>
      </c>
    </row>
    <row r="1273" spans="1:7" x14ac:dyDescent="0.25">
      <c r="A1273" s="1">
        <v>1272</v>
      </c>
      <c r="B1273" s="2">
        <v>318468</v>
      </c>
      <c r="C1273" s="3">
        <v>0.01</v>
      </c>
      <c r="D1273" s="1">
        <v>0.5</v>
      </c>
      <c r="E1273" s="4">
        <v>0.25</v>
      </c>
      <c r="F1273" s="4">
        <v>0.22</v>
      </c>
      <c r="G1273" s="4">
        <v>0.53</v>
      </c>
    </row>
    <row r="1274" spans="1:7" x14ac:dyDescent="0.25">
      <c r="A1274" s="1">
        <v>1273</v>
      </c>
      <c r="B1274" s="2">
        <v>653623</v>
      </c>
      <c r="C1274" s="3">
        <v>1.0999999999999999E-2</v>
      </c>
      <c r="D1274" s="1">
        <v>0.5</v>
      </c>
      <c r="E1274" s="4">
        <v>0.16</v>
      </c>
      <c r="F1274" s="4">
        <v>0.15</v>
      </c>
      <c r="G1274" s="4">
        <v>0.69</v>
      </c>
    </row>
    <row r="1275" spans="1:7" x14ac:dyDescent="0.25">
      <c r="A1275" s="1">
        <v>1274</v>
      </c>
      <c r="B1275" s="2">
        <v>873988</v>
      </c>
      <c r="C1275" s="3">
        <v>8.0000000000000002E-3</v>
      </c>
      <c r="D1275" s="1">
        <v>0.5</v>
      </c>
      <c r="E1275" s="4">
        <v>0.25</v>
      </c>
      <c r="F1275" s="4">
        <v>0.22</v>
      </c>
      <c r="G1275" s="4">
        <v>0.53</v>
      </c>
    </row>
    <row r="1276" spans="1:7" x14ac:dyDescent="0.25">
      <c r="A1276" s="1">
        <v>1275</v>
      </c>
      <c r="B1276" s="2">
        <v>208676</v>
      </c>
      <c r="C1276" s="3">
        <v>1.0999999999999999E-2</v>
      </c>
      <c r="D1276" s="1">
        <v>0.5</v>
      </c>
      <c r="E1276" s="4">
        <v>0.2</v>
      </c>
      <c r="F1276" s="4">
        <v>0.33</v>
      </c>
      <c r="G1276" s="4">
        <v>0.46999999999999992</v>
      </c>
    </row>
    <row r="1277" spans="1:7" x14ac:dyDescent="0.25">
      <c r="A1277" s="1">
        <v>1276</v>
      </c>
      <c r="B1277" s="2">
        <v>439636</v>
      </c>
      <c r="C1277" s="3">
        <v>1.2E-2</v>
      </c>
      <c r="D1277" s="1">
        <v>0.5</v>
      </c>
      <c r="E1277" s="4">
        <v>0.17</v>
      </c>
      <c r="F1277" s="4">
        <v>0.17</v>
      </c>
      <c r="G1277" s="4">
        <v>0.65999999999999992</v>
      </c>
    </row>
    <row r="1278" spans="1:7" x14ac:dyDescent="0.25">
      <c r="A1278" s="1">
        <v>1277</v>
      </c>
      <c r="B1278" s="2">
        <v>706339</v>
      </c>
      <c r="C1278" s="3">
        <v>1.4E-2</v>
      </c>
      <c r="D1278" s="1">
        <v>0.5</v>
      </c>
      <c r="E1278" s="4">
        <v>0.22</v>
      </c>
      <c r="F1278" s="4">
        <v>0.23</v>
      </c>
      <c r="G1278" s="4">
        <v>0.55000000000000004</v>
      </c>
    </row>
    <row r="1279" spans="1:7" x14ac:dyDescent="0.25">
      <c r="A1279" s="1">
        <v>1278</v>
      </c>
      <c r="B1279" s="2">
        <v>553930</v>
      </c>
      <c r="C1279" s="3">
        <v>1.2E-2</v>
      </c>
      <c r="D1279" s="1">
        <v>0.5</v>
      </c>
      <c r="E1279" s="4">
        <v>0.25</v>
      </c>
      <c r="F1279" s="4">
        <v>0.33</v>
      </c>
      <c r="G1279" s="4">
        <v>0.41999999999999993</v>
      </c>
    </row>
    <row r="1280" spans="1:7" x14ac:dyDescent="0.25">
      <c r="A1280" s="1">
        <v>1279</v>
      </c>
      <c r="B1280" s="2">
        <v>410942</v>
      </c>
      <c r="C1280" s="3">
        <v>1.4999999999999999E-2</v>
      </c>
      <c r="D1280" s="1">
        <v>0.5</v>
      </c>
      <c r="E1280" s="4">
        <v>0.16</v>
      </c>
      <c r="F1280" s="4">
        <v>0.19</v>
      </c>
      <c r="G1280" s="4">
        <v>0.65</v>
      </c>
    </row>
    <row r="1281" spans="1:7" x14ac:dyDescent="0.25">
      <c r="A1281" s="1">
        <v>1280</v>
      </c>
      <c r="B1281" s="2">
        <v>587176</v>
      </c>
      <c r="C1281" s="3">
        <v>8.0000000000000002E-3</v>
      </c>
      <c r="D1281" s="1">
        <v>0.5</v>
      </c>
      <c r="E1281" s="4">
        <v>0.2</v>
      </c>
      <c r="F1281" s="4">
        <v>0.34</v>
      </c>
      <c r="G1281" s="4">
        <v>0.45999999999999991</v>
      </c>
    </row>
    <row r="1282" spans="1:7" x14ac:dyDescent="0.25">
      <c r="A1282" s="1">
        <v>1281</v>
      </c>
      <c r="B1282" s="2">
        <v>630383</v>
      </c>
      <c r="C1282" s="3">
        <v>1.0999999999999999E-2</v>
      </c>
      <c r="D1282" s="1">
        <v>0.5</v>
      </c>
      <c r="E1282" s="4">
        <v>0.21</v>
      </c>
      <c r="F1282" s="4">
        <v>0.31</v>
      </c>
      <c r="G1282" s="4">
        <v>0.48</v>
      </c>
    </row>
    <row r="1283" spans="1:7" x14ac:dyDescent="0.25">
      <c r="A1283" s="1">
        <v>1282</v>
      </c>
      <c r="B1283" s="2">
        <v>868944</v>
      </c>
      <c r="C1283" s="3">
        <v>0.01</v>
      </c>
      <c r="D1283" s="1">
        <v>0.5</v>
      </c>
      <c r="E1283" s="4">
        <v>0.15</v>
      </c>
      <c r="F1283" s="4">
        <v>0.24</v>
      </c>
      <c r="G1283" s="4">
        <v>0.61</v>
      </c>
    </row>
    <row r="1284" spans="1:7" x14ac:dyDescent="0.25">
      <c r="A1284" s="1">
        <v>1283</v>
      </c>
      <c r="B1284" s="2">
        <v>868833</v>
      </c>
      <c r="C1284" s="3">
        <v>8.9999999999999993E-3</v>
      </c>
      <c r="D1284" s="1">
        <v>0.5</v>
      </c>
      <c r="E1284" s="4">
        <v>0.25</v>
      </c>
      <c r="F1284" s="4">
        <v>0.24</v>
      </c>
      <c r="G1284" s="4">
        <v>0.51</v>
      </c>
    </row>
    <row r="1285" spans="1:7" x14ac:dyDescent="0.25">
      <c r="A1285" s="1">
        <v>1284</v>
      </c>
      <c r="B1285" s="2">
        <v>833032</v>
      </c>
      <c r="C1285" s="3">
        <v>1.2999999999999999E-2</v>
      </c>
      <c r="D1285" s="1">
        <v>0.5</v>
      </c>
      <c r="E1285" s="4">
        <v>0.17</v>
      </c>
      <c r="F1285" s="4">
        <v>0.27</v>
      </c>
      <c r="G1285" s="4">
        <v>0.55999999999999994</v>
      </c>
    </row>
    <row r="1286" spans="1:7" x14ac:dyDescent="0.25">
      <c r="A1286" s="1">
        <v>1285</v>
      </c>
      <c r="B1286" s="2">
        <v>614573</v>
      </c>
      <c r="C1286" s="3">
        <v>1.2999999999999999E-2</v>
      </c>
      <c r="D1286" s="1">
        <v>0.5</v>
      </c>
      <c r="E1286" s="4">
        <v>0.15</v>
      </c>
      <c r="F1286" s="4">
        <v>0.18</v>
      </c>
      <c r="G1286" s="4">
        <v>0.67</v>
      </c>
    </row>
    <row r="1287" spans="1:7" x14ac:dyDescent="0.25">
      <c r="A1287" s="1">
        <v>1286</v>
      </c>
      <c r="B1287" s="2">
        <v>453211</v>
      </c>
      <c r="C1287" s="3">
        <v>6.0000000000000001E-3</v>
      </c>
      <c r="D1287" s="1">
        <v>0.5</v>
      </c>
      <c r="E1287" s="4">
        <v>0.25</v>
      </c>
      <c r="F1287" s="4">
        <v>0.3</v>
      </c>
      <c r="G1287" s="4">
        <v>0.44999999999999996</v>
      </c>
    </row>
    <row r="1288" spans="1:7" x14ac:dyDescent="0.25">
      <c r="A1288" s="1">
        <v>1287</v>
      </c>
      <c r="B1288" s="2">
        <v>691882</v>
      </c>
      <c r="C1288" s="3">
        <v>1.2999999999999999E-2</v>
      </c>
      <c r="D1288" s="1">
        <v>0.5</v>
      </c>
      <c r="E1288" s="4">
        <v>0.21</v>
      </c>
      <c r="F1288" s="4">
        <v>0.2</v>
      </c>
      <c r="G1288" s="4">
        <v>0.59000000000000008</v>
      </c>
    </row>
    <row r="1289" spans="1:7" x14ac:dyDescent="0.25">
      <c r="A1289" s="1">
        <v>1288</v>
      </c>
      <c r="B1289" s="2">
        <v>758311</v>
      </c>
      <c r="C1289" s="3">
        <v>8.0000000000000002E-3</v>
      </c>
      <c r="D1289" s="1">
        <v>0.5</v>
      </c>
      <c r="E1289" s="4">
        <v>0.19</v>
      </c>
      <c r="F1289" s="4">
        <v>0.25</v>
      </c>
      <c r="G1289" s="4">
        <v>0.56000000000000005</v>
      </c>
    </row>
    <row r="1290" spans="1:7" x14ac:dyDescent="0.25">
      <c r="A1290" s="1">
        <v>1289</v>
      </c>
      <c r="B1290" s="2">
        <v>902030</v>
      </c>
      <c r="C1290" s="3">
        <v>6.0000000000000001E-3</v>
      </c>
      <c r="D1290" s="1">
        <v>0.5</v>
      </c>
      <c r="E1290" s="4">
        <v>0.18</v>
      </c>
      <c r="F1290" s="4">
        <v>0.28000000000000003</v>
      </c>
      <c r="G1290" s="4">
        <v>0.54</v>
      </c>
    </row>
    <row r="1291" spans="1:7" x14ac:dyDescent="0.25">
      <c r="A1291" s="1">
        <v>1290</v>
      </c>
      <c r="B1291" s="2">
        <v>660313</v>
      </c>
      <c r="C1291" s="3">
        <v>1.2E-2</v>
      </c>
      <c r="D1291" s="1">
        <v>0.5</v>
      </c>
      <c r="E1291" s="4">
        <v>0.21</v>
      </c>
      <c r="F1291" s="4">
        <v>0.19</v>
      </c>
      <c r="G1291" s="4">
        <v>0.60000000000000009</v>
      </c>
    </row>
    <row r="1292" spans="1:7" x14ac:dyDescent="0.25">
      <c r="A1292" s="1">
        <v>1291</v>
      </c>
      <c r="B1292" s="2">
        <v>783516</v>
      </c>
      <c r="C1292" s="3">
        <v>6.0000000000000001E-3</v>
      </c>
      <c r="D1292" s="1">
        <v>0.5</v>
      </c>
      <c r="E1292" s="4">
        <v>0.2</v>
      </c>
      <c r="F1292" s="4">
        <v>0.17</v>
      </c>
      <c r="G1292" s="4">
        <v>0.62999999999999989</v>
      </c>
    </row>
    <row r="1293" spans="1:7" x14ac:dyDescent="0.25">
      <c r="A1293" s="1">
        <v>1292</v>
      </c>
      <c r="B1293" s="2">
        <v>503798</v>
      </c>
      <c r="C1293" s="3">
        <v>0.01</v>
      </c>
      <c r="D1293" s="1">
        <v>0.5</v>
      </c>
      <c r="E1293" s="4">
        <v>0.17</v>
      </c>
      <c r="F1293" s="4">
        <v>0.23</v>
      </c>
      <c r="G1293" s="4">
        <v>0.6</v>
      </c>
    </row>
    <row r="1294" spans="1:7" x14ac:dyDescent="0.25">
      <c r="A1294" s="1">
        <v>1293</v>
      </c>
      <c r="B1294" s="2">
        <v>786640</v>
      </c>
      <c r="C1294" s="3">
        <v>1.4E-2</v>
      </c>
      <c r="D1294" s="1">
        <v>0.5</v>
      </c>
      <c r="E1294" s="4">
        <v>0.24</v>
      </c>
      <c r="F1294" s="4">
        <v>0.35</v>
      </c>
      <c r="G1294" s="4">
        <v>0.41000000000000003</v>
      </c>
    </row>
    <row r="1295" spans="1:7" x14ac:dyDescent="0.25">
      <c r="A1295" s="1">
        <v>1294</v>
      </c>
      <c r="B1295" s="2">
        <v>892037</v>
      </c>
      <c r="C1295" s="3">
        <v>1.4999999999999999E-2</v>
      </c>
      <c r="D1295" s="1">
        <v>0.5</v>
      </c>
      <c r="E1295" s="4">
        <v>0.24</v>
      </c>
      <c r="F1295" s="4">
        <v>0.32</v>
      </c>
      <c r="G1295" s="4">
        <v>0.43999999999999995</v>
      </c>
    </row>
    <row r="1296" spans="1:7" x14ac:dyDescent="0.25">
      <c r="A1296" s="1">
        <v>1295</v>
      </c>
      <c r="B1296" s="2">
        <v>902270</v>
      </c>
      <c r="C1296" s="3">
        <v>6.0000000000000001E-3</v>
      </c>
      <c r="D1296" s="1">
        <v>0.5</v>
      </c>
      <c r="E1296" s="4">
        <v>0.15</v>
      </c>
      <c r="F1296" s="4">
        <v>0.21</v>
      </c>
      <c r="G1296" s="4">
        <v>0.64</v>
      </c>
    </row>
    <row r="1297" spans="1:7" x14ac:dyDescent="0.25">
      <c r="A1297" s="1">
        <v>1296</v>
      </c>
      <c r="B1297" s="2">
        <v>629258</v>
      </c>
      <c r="C1297" s="3">
        <v>8.0000000000000002E-3</v>
      </c>
      <c r="D1297" s="1">
        <v>0.5</v>
      </c>
      <c r="E1297" s="4">
        <v>0.16</v>
      </c>
      <c r="F1297" s="4">
        <v>0.19</v>
      </c>
      <c r="G1297" s="4">
        <v>0.65</v>
      </c>
    </row>
    <row r="1298" spans="1:7" x14ac:dyDescent="0.25">
      <c r="A1298" s="1">
        <v>1297</v>
      </c>
      <c r="B1298" s="2">
        <v>462309</v>
      </c>
      <c r="C1298" s="3">
        <v>1.2999999999999999E-2</v>
      </c>
      <c r="D1298" s="1">
        <v>0.5</v>
      </c>
      <c r="E1298" s="4">
        <v>0.15</v>
      </c>
      <c r="F1298" s="4">
        <v>0.28999999999999998</v>
      </c>
      <c r="G1298" s="4">
        <v>0.55999999999999994</v>
      </c>
    </row>
    <row r="1299" spans="1:7" x14ac:dyDescent="0.25">
      <c r="A1299" s="1">
        <v>1298</v>
      </c>
      <c r="B1299" s="2">
        <v>348222</v>
      </c>
      <c r="C1299" s="3">
        <v>0.01</v>
      </c>
      <c r="D1299" s="1">
        <v>0.5</v>
      </c>
      <c r="E1299" s="4">
        <v>0.23</v>
      </c>
      <c r="F1299" s="4">
        <v>0.18</v>
      </c>
      <c r="G1299" s="4">
        <v>0.59000000000000008</v>
      </c>
    </row>
    <row r="1300" spans="1:7" x14ac:dyDescent="0.25">
      <c r="A1300" s="1">
        <v>1299</v>
      </c>
      <c r="B1300" s="2">
        <v>863124</v>
      </c>
      <c r="C1300" s="3">
        <v>0.01</v>
      </c>
      <c r="D1300" s="1">
        <v>0.5</v>
      </c>
      <c r="E1300" s="4">
        <v>0.22</v>
      </c>
      <c r="F1300" s="4">
        <v>0.35</v>
      </c>
      <c r="G1300" s="4">
        <v>0.43000000000000005</v>
      </c>
    </row>
    <row r="1301" spans="1:7" x14ac:dyDescent="0.25">
      <c r="A1301" s="1">
        <v>1300</v>
      </c>
      <c r="B1301" s="2">
        <v>678630</v>
      </c>
      <c r="C1301" s="3">
        <v>8.0000000000000002E-3</v>
      </c>
      <c r="D1301" s="1">
        <v>0.5</v>
      </c>
      <c r="E1301" s="4">
        <v>0.15</v>
      </c>
      <c r="F1301" s="4">
        <v>0.33</v>
      </c>
      <c r="G1301" s="4">
        <v>0.51999999999999991</v>
      </c>
    </row>
    <row r="1302" spans="1:7" x14ac:dyDescent="0.25">
      <c r="A1302" s="1">
        <v>1301</v>
      </c>
      <c r="B1302" s="2">
        <v>959892</v>
      </c>
      <c r="C1302" s="3">
        <v>1.4E-2</v>
      </c>
      <c r="D1302" s="1">
        <v>0.5</v>
      </c>
      <c r="E1302" s="4">
        <v>0.25</v>
      </c>
      <c r="F1302" s="4">
        <v>0.33</v>
      </c>
      <c r="G1302" s="4">
        <v>0.41999999999999993</v>
      </c>
    </row>
    <row r="1303" spans="1:7" x14ac:dyDescent="0.25">
      <c r="A1303" s="1">
        <v>1302</v>
      </c>
      <c r="B1303" s="2">
        <v>694479</v>
      </c>
      <c r="C1303" s="3">
        <v>1.0999999999999999E-2</v>
      </c>
      <c r="D1303" s="1">
        <v>0.5</v>
      </c>
      <c r="E1303" s="4">
        <v>0.22</v>
      </c>
      <c r="F1303" s="4">
        <v>0.3</v>
      </c>
      <c r="G1303" s="4">
        <v>0.48</v>
      </c>
    </row>
    <row r="1304" spans="1:7" x14ac:dyDescent="0.25">
      <c r="A1304" s="1">
        <v>1303</v>
      </c>
      <c r="B1304" s="2">
        <v>561877</v>
      </c>
      <c r="C1304" s="3">
        <v>5.0000000000000001E-3</v>
      </c>
      <c r="D1304" s="1">
        <v>0.5</v>
      </c>
      <c r="E1304" s="4">
        <v>0.15</v>
      </c>
      <c r="F1304" s="4">
        <v>0.32</v>
      </c>
      <c r="G1304" s="4">
        <v>0.52999999999999992</v>
      </c>
    </row>
    <row r="1305" spans="1:7" x14ac:dyDescent="0.25">
      <c r="A1305" s="1">
        <v>1304</v>
      </c>
      <c r="B1305" s="2">
        <v>641212</v>
      </c>
      <c r="C1305" s="3">
        <v>8.0000000000000002E-3</v>
      </c>
      <c r="D1305" s="1">
        <v>0.5</v>
      </c>
      <c r="E1305" s="4">
        <v>0.25</v>
      </c>
      <c r="F1305" s="4">
        <v>0.19</v>
      </c>
      <c r="G1305" s="4">
        <v>0.56000000000000005</v>
      </c>
    </row>
    <row r="1306" spans="1:7" x14ac:dyDescent="0.25">
      <c r="A1306" s="1">
        <v>1305</v>
      </c>
      <c r="B1306" s="2">
        <v>819977</v>
      </c>
      <c r="C1306" s="3">
        <v>0.01</v>
      </c>
      <c r="D1306" s="1">
        <v>0.5</v>
      </c>
      <c r="E1306" s="4">
        <v>0.24</v>
      </c>
      <c r="F1306" s="4">
        <v>0.19</v>
      </c>
      <c r="G1306" s="4">
        <v>0.57000000000000006</v>
      </c>
    </row>
    <row r="1307" spans="1:7" x14ac:dyDescent="0.25">
      <c r="A1307" s="1">
        <v>1306</v>
      </c>
      <c r="B1307" s="2">
        <v>492742</v>
      </c>
      <c r="C1307" s="3">
        <v>5.0000000000000001E-3</v>
      </c>
      <c r="D1307" s="1">
        <v>0.5</v>
      </c>
      <c r="E1307" s="4">
        <v>0.23</v>
      </c>
      <c r="F1307" s="4">
        <v>0.21</v>
      </c>
      <c r="G1307" s="4">
        <v>0.56000000000000005</v>
      </c>
    </row>
    <row r="1308" spans="1:7" x14ac:dyDescent="0.25">
      <c r="A1308" s="1">
        <v>1307</v>
      </c>
      <c r="B1308" s="2">
        <v>553915</v>
      </c>
      <c r="C1308" s="3">
        <v>8.9999999999999993E-3</v>
      </c>
      <c r="D1308" s="1">
        <v>0.5</v>
      </c>
      <c r="E1308" s="4">
        <v>0.24</v>
      </c>
      <c r="F1308" s="4">
        <v>0.33</v>
      </c>
      <c r="G1308" s="4">
        <v>0.42999999999999994</v>
      </c>
    </row>
    <row r="1309" spans="1:7" x14ac:dyDescent="0.25">
      <c r="A1309" s="1">
        <v>1308</v>
      </c>
      <c r="B1309" s="2">
        <v>787204</v>
      </c>
      <c r="C1309" s="3">
        <v>6.0000000000000001E-3</v>
      </c>
      <c r="D1309" s="1">
        <v>0.5</v>
      </c>
      <c r="E1309" s="4">
        <v>0.24</v>
      </c>
      <c r="F1309" s="4">
        <v>0.3</v>
      </c>
      <c r="G1309" s="4">
        <v>0.45999999999999996</v>
      </c>
    </row>
    <row r="1310" spans="1:7" x14ac:dyDescent="0.25">
      <c r="A1310" s="1">
        <v>1309</v>
      </c>
      <c r="B1310" s="2">
        <v>422565</v>
      </c>
      <c r="C1310" s="3">
        <v>7.0000000000000001E-3</v>
      </c>
      <c r="D1310" s="1">
        <v>0.5</v>
      </c>
      <c r="E1310" s="4">
        <v>0.21</v>
      </c>
      <c r="F1310" s="4">
        <v>0.15</v>
      </c>
      <c r="G1310" s="4">
        <v>0.64</v>
      </c>
    </row>
    <row r="1311" spans="1:7" x14ac:dyDescent="0.25">
      <c r="A1311" s="1">
        <v>1310</v>
      </c>
      <c r="B1311" s="2">
        <v>758065</v>
      </c>
      <c r="C1311" s="3">
        <v>1.2E-2</v>
      </c>
      <c r="D1311" s="1">
        <v>0.5</v>
      </c>
      <c r="E1311" s="4">
        <v>0.16</v>
      </c>
      <c r="F1311" s="4">
        <v>0.22</v>
      </c>
      <c r="G1311" s="4">
        <v>0.62</v>
      </c>
    </row>
    <row r="1312" spans="1:7" x14ac:dyDescent="0.25">
      <c r="A1312" s="1">
        <v>1311</v>
      </c>
      <c r="B1312" s="2">
        <v>621424</v>
      </c>
      <c r="C1312" s="3">
        <v>1.2999999999999999E-2</v>
      </c>
      <c r="D1312" s="1">
        <v>0.5</v>
      </c>
      <c r="E1312" s="4">
        <v>0.18</v>
      </c>
      <c r="F1312" s="4">
        <v>0.27</v>
      </c>
      <c r="G1312" s="4">
        <v>0.55000000000000004</v>
      </c>
    </row>
    <row r="1313" spans="1:7" x14ac:dyDescent="0.25">
      <c r="A1313" s="1">
        <v>1312</v>
      </c>
      <c r="B1313" s="2">
        <v>407597</v>
      </c>
      <c r="C1313" s="3">
        <v>1.4999999999999999E-2</v>
      </c>
      <c r="D1313" s="1">
        <v>0.5</v>
      </c>
      <c r="E1313" s="4">
        <v>0.21</v>
      </c>
      <c r="F1313" s="4">
        <v>0.31</v>
      </c>
      <c r="G1313" s="4">
        <v>0.48</v>
      </c>
    </row>
    <row r="1314" spans="1:7" x14ac:dyDescent="0.25">
      <c r="A1314" s="1">
        <v>1313</v>
      </c>
      <c r="B1314" s="2">
        <v>262860</v>
      </c>
      <c r="C1314" s="3">
        <v>1.2999999999999999E-2</v>
      </c>
      <c r="D1314" s="1">
        <v>0.5</v>
      </c>
      <c r="E1314" s="4">
        <v>0.24</v>
      </c>
      <c r="F1314" s="4">
        <v>0.32</v>
      </c>
      <c r="G1314" s="4">
        <v>0.43999999999999995</v>
      </c>
    </row>
    <row r="1315" spans="1:7" x14ac:dyDescent="0.25">
      <c r="A1315" s="1">
        <v>1314</v>
      </c>
      <c r="B1315" s="2">
        <v>373752</v>
      </c>
      <c r="C1315" s="3">
        <v>1.4E-2</v>
      </c>
      <c r="D1315" s="1">
        <v>0.5</v>
      </c>
      <c r="E1315" s="4">
        <v>0.25</v>
      </c>
      <c r="F1315" s="4">
        <v>0.27</v>
      </c>
      <c r="G1315" s="4">
        <v>0.48</v>
      </c>
    </row>
    <row r="1316" spans="1:7" x14ac:dyDescent="0.25">
      <c r="A1316" s="1">
        <v>1315</v>
      </c>
      <c r="B1316" s="2">
        <v>483264</v>
      </c>
      <c r="C1316" s="3">
        <v>8.9999999999999993E-3</v>
      </c>
      <c r="D1316" s="1">
        <v>0.5</v>
      </c>
      <c r="E1316" s="4">
        <v>0.23</v>
      </c>
      <c r="F1316" s="4">
        <v>0.34</v>
      </c>
      <c r="G1316" s="4">
        <v>0.42999999999999994</v>
      </c>
    </row>
    <row r="1317" spans="1:7" x14ac:dyDescent="0.25">
      <c r="A1317" s="1">
        <v>1316</v>
      </c>
      <c r="B1317" s="2">
        <v>533506</v>
      </c>
      <c r="C1317" s="3">
        <v>1.0999999999999999E-2</v>
      </c>
      <c r="D1317" s="1">
        <v>0.5</v>
      </c>
      <c r="E1317" s="4">
        <v>0.19</v>
      </c>
      <c r="F1317" s="4">
        <v>0.25</v>
      </c>
      <c r="G1317" s="4">
        <v>0.56000000000000005</v>
      </c>
    </row>
    <row r="1318" spans="1:7" x14ac:dyDescent="0.25">
      <c r="A1318" s="1">
        <v>1317</v>
      </c>
      <c r="B1318" s="2">
        <v>356221</v>
      </c>
      <c r="C1318" s="3">
        <v>1.4E-2</v>
      </c>
      <c r="D1318" s="1">
        <v>0.5</v>
      </c>
      <c r="E1318" s="4">
        <v>0.25</v>
      </c>
      <c r="F1318" s="4">
        <v>0.16</v>
      </c>
      <c r="G1318" s="4">
        <v>0.59</v>
      </c>
    </row>
    <row r="1319" spans="1:7" x14ac:dyDescent="0.25">
      <c r="A1319" s="1">
        <v>1318</v>
      </c>
      <c r="B1319" s="2">
        <v>680413</v>
      </c>
      <c r="C1319" s="3">
        <v>1.2E-2</v>
      </c>
      <c r="D1319" s="1">
        <v>0.5</v>
      </c>
      <c r="E1319" s="4">
        <v>0.2</v>
      </c>
      <c r="F1319" s="4">
        <v>0.22</v>
      </c>
      <c r="G1319" s="4">
        <v>0.58000000000000007</v>
      </c>
    </row>
    <row r="1320" spans="1:7" x14ac:dyDescent="0.25">
      <c r="A1320" s="1">
        <v>1319</v>
      </c>
      <c r="B1320" s="2">
        <v>944025</v>
      </c>
      <c r="C1320" s="3">
        <v>8.9999999999999993E-3</v>
      </c>
      <c r="D1320" s="1">
        <v>0.5</v>
      </c>
      <c r="E1320" s="4">
        <v>0.23</v>
      </c>
      <c r="F1320" s="4">
        <v>0.24</v>
      </c>
      <c r="G1320" s="4">
        <v>0.53</v>
      </c>
    </row>
    <row r="1321" spans="1:7" x14ac:dyDescent="0.25">
      <c r="A1321" s="1">
        <v>1320</v>
      </c>
      <c r="B1321" s="2">
        <v>831624</v>
      </c>
      <c r="C1321" s="3">
        <v>6.0000000000000001E-3</v>
      </c>
      <c r="D1321" s="1">
        <v>0.5</v>
      </c>
      <c r="E1321" s="4">
        <v>0.22</v>
      </c>
      <c r="F1321" s="4">
        <v>0.28999999999999998</v>
      </c>
      <c r="G1321" s="4">
        <v>0.49</v>
      </c>
    </row>
    <row r="1322" spans="1:7" x14ac:dyDescent="0.25">
      <c r="A1322" s="1">
        <v>1321</v>
      </c>
      <c r="B1322" s="2">
        <v>979473</v>
      </c>
      <c r="C1322" s="3">
        <v>1.0999999999999999E-2</v>
      </c>
      <c r="D1322" s="1">
        <v>0.5</v>
      </c>
      <c r="E1322" s="4">
        <v>0.21</v>
      </c>
      <c r="F1322" s="4">
        <v>0.16</v>
      </c>
      <c r="G1322" s="4">
        <v>0.63</v>
      </c>
    </row>
    <row r="1323" spans="1:7" x14ac:dyDescent="0.25">
      <c r="A1323" s="1">
        <v>1322</v>
      </c>
      <c r="B1323" s="2">
        <v>243968</v>
      </c>
      <c r="C1323" s="3">
        <v>1.4999999999999999E-2</v>
      </c>
      <c r="D1323" s="1">
        <v>0.5</v>
      </c>
      <c r="E1323" s="4">
        <v>0.18</v>
      </c>
      <c r="F1323" s="4">
        <v>0.28000000000000003</v>
      </c>
      <c r="G1323" s="4">
        <v>0.54</v>
      </c>
    </row>
    <row r="1324" spans="1:7" x14ac:dyDescent="0.25">
      <c r="A1324" s="1">
        <v>1323</v>
      </c>
      <c r="B1324" s="2">
        <v>333980</v>
      </c>
      <c r="C1324" s="3">
        <v>6.0000000000000001E-3</v>
      </c>
      <c r="D1324" s="1">
        <v>0.5</v>
      </c>
      <c r="E1324" s="4">
        <v>0.23</v>
      </c>
      <c r="F1324" s="4">
        <v>0.17</v>
      </c>
      <c r="G1324" s="4">
        <v>0.6</v>
      </c>
    </row>
    <row r="1325" spans="1:7" x14ac:dyDescent="0.25">
      <c r="A1325" s="1">
        <v>1324</v>
      </c>
      <c r="B1325" s="2">
        <v>917419</v>
      </c>
      <c r="C1325" s="3">
        <v>1.2E-2</v>
      </c>
      <c r="D1325" s="1">
        <v>0.5</v>
      </c>
      <c r="E1325" s="4">
        <v>0.17</v>
      </c>
      <c r="F1325" s="4">
        <v>0.26</v>
      </c>
      <c r="G1325" s="4">
        <v>0.56999999999999995</v>
      </c>
    </row>
    <row r="1326" spans="1:7" x14ac:dyDescent="0.25">
      <c r="A1326" s="1">
        <v>1325</v>
      </c>
      <c r="B1326" s="2">
        <v>857577</v>
      </c>
      <c r="C1326" s="3">
        <v>8.9999999999999993E-3</v>
      </c>
      <c r="D1326" s="1">
        <v>0.5</v>
      </c>
      <c r="E1326" s="4">
        <v>0.19</v>
      </c>
      <c r="F1326" s="4">
        <v>0.24</v>
      </c>
      <c r="G1326" s="4">
        <v>0.57000000000000006</v>
      </c>
    </row>
    <row r="1327" spans="1:7" x14ac:dyDescent="0.25">
      <c r="A1327" s="1">
        <v>1326</v>
      </c>
      <c r="B1327" s="2">
        <v>782706</v>
      </c>
      <c r="C1327" s="3">
        <v>1.4E-2</v>
      </c>
      <c r="D1327" s="1">
        <v>0.5</v>
      </c>
      <c r="E1327" s="4">
        <v>0.25</v>
      </c>
      <c r="F1327" s="4">
        <v>0.35</v>
      </c>
      <c r="G1327" s="4">
        <v>0.4</v>
      </c>
    </row>
    <row r="1328" spans="1:7" x14ac:dyDescent="0.25">
      <c r="A1328" s="1">
        <v>1327</v>
      </c>
      <c r="B1328" s="2">
        <v>745979</v>
      </c>
      <c r="C1328" s="3">
        <v>1.0999999999999999E-2</v>
      </c>
      <c r="D1328" s="1">
        <v>0.5</v>
      </c>
      <c r="E1328" s="4">
        <v>0.25</v>
      </c>
      <c r="F1328" s="4">
        <v>0.26</v>
      </c>
      <c r="G1328" s="4">
        <v>0.49</v>
      </c>
    </row>
    <row r="1329" spans="1:7" x14ac:dyDescent="0.25">
      <c r="A1329" s="1">
        <v>1328</v>
      </c>
      <c r="B1329" s="2">
        <v>407255</v>
      </c>
      <c r="C1329" s="3">
        <v>7.0000000000000001E-3</v>
      </c>
      <c r="D1329" s="1">
        <v>0.5</v>
      </c>
      <c r="E1329" s="4">
        <v>0.23</v>
      </c>
      <c r="F1329" s="4">
        <v>0.31</v>
      </c>
      <c r="G1329" s="4">
        <v>0.45999999999999996</v>
      </c>
    </row>
    <row r="1330" spans="1:7" x14ac:dyDescent="0.25">
      <c r="A1330" s="1">
        <v>1329</v>
      </c>
      <c r="B1330" s="2">
        <v>232263</v>
      </c>
      <c r="C1330" s="3">
        <v>1.4999999999999999E-2</v>
      </c>
      <c r="D1330" s="1">
        <v>0.5</v>
      </c>
      <c r="E1330" s="4">
        <v>0.24</v>
      </c>
      <c r="F1330" s="4">
        <v>0.34</v>
      </c>
      <c r="G1330" s="4">
        <v>0.41999999999999993</v>
      </c>
    </row>
    <row r="1331" spans="1:7" x14ac:dyDescent="0.25">
      <c r="A1331" s="1">
        <v>1330</v>
      </c>
      <c r="B1331" s="2">
        <v>681816</v>
      </c>
      <c r="C1331" s="3">
        <v>1.2E-2</v>
      </c>
      <c r="D1331" s="1">
        <v>0.5</v>
      </c>
      <c r="E1331" s="4">
        <v>0.17</v>
      </c>
      <c r="F1331" s="4">
        <v>0.24</v>
      </c>
      <c r="G1331" s="4">
        <v>0.59</v>
      </c>
    </row>
    <row r="1332" spans="1:7" x14ac:dyDescent="0.25">
      <c r="A1332" s="1">
        <v>1331</v>
      </c>
      <c r="B1332" s="2">
        <v>684206</v>
      </c>
      <c r="C1332" s="3">
        <v>5.0000000000000001E-3</v>
      </c>
      <c r="D1332" s="1">
        <v>0.5</v>
      </c>
      <c r="E1332" s="4">
        <v>0.16</v>
      </c>
      <c r="F1332" s="4">
        <v>0.34</v>
      </c>
      <c r="G1332" s="4">
        <v>0.49999999999999989</v>
      </c>
    </row>
    <row r="1333" spans="1:7" x14ac:dyDescent="0.25">
      <c r="A1333" s="1">
        <v>1332</v>
      </c>
      <c r="B1333" s="2">
        <v>237225</v>
      </c>
      <c r="C1333" s="3">
        <v>1.0999999999999999E-2</v>
      </c>
      <c r="D1333" s="1">
        <v>0.5</v>
      </c>
      <c r="E1333" s="4">
        <v>0.17</v>
      </c>
      <c r="F1333" s="4">
        <v>0.33</v>
      </c>
      <c r="G1333" s="4">
        <v>0.49999999999999989</v>
      </c>
    </row>
    <row r="1334" spans="1:7" x14ac:dyDescent="0.25">
      <c r="A1334" s="1">
        <v>1333</v>
      </c>
      <c r="B1334" s="2">
        <v>855632</v>
      </c>
      <c r="C1334" s="3">
        <v>6.0000000000000001E-3</v>
      </c>
      <c r="D1334" s="1">
        <v>0.5</v>
      </c>
      <c r="E1334" s="4">
        <v>0.22</v>
      </c>
      <c r="F1334" s="4">
        <v>0.27</v>
      </c>
      <c r="G1334" s="4">
        <v>0.51</v>
      </c>
    </row>
    <row r="1335" spans="1:7" x14ac:dyDescent="0.25">
      <c r="A1335" s="1">
        <v>1334</v>
      </c>
      <c r="B1335" s="2">
        <v>904362</v>
      </c>
      <c r="C1335" s="3">
        <v>0.01</v>
      </c>
      <c r="D1335" s="1">
        <v>0.5</v>
      </c>
      <c r="E1335" s="4">
        <v>0.22</v>
      </c>
      <c r="F1335" s="4">
        <v>0.34</v>
      </c>
      <c r="G1335" s="4">
        <v>0.43999999999999995</v>
      </c>
    </row>
    <row r="1336" spans="1:7" x14ac:dyDescent="0.25">
      <c r="A1336" s="1">
        <v>1335</v>
      </c>
      <c r="B1336" s="2">
        <v>940952</v>
      </c>
      <c r="C1336" s="3">
        <v>5.0000000000000001E-3</v>
      </c>
      <c r="D1336" s="1">
        <v>0.5</v>
      </c>
      <c r="E1336" s="4">
        <v>0.15</v>
      </c>
      <c r="F1336" s="4">
        <v>0.27</v>
      </c>
      <c r="G1336" s="4">
        <v>0.57999999999999996</v>
      </c>
    </row>
    <row r="1337" spans="1:7" x14ac:dyDescent="0.25">
      <c r="A1337" s="1">
        <v>1336</v>
      </c>
      <c r="B1337" s="2">
        <v>633455</v>
      </c>
      <c r="C1337" s="3">
        <v>5.0000000000000001E-3</v>
      </c>
      <c r="D1337" s="1">
        <v>0.5</v>
      </c>
      <c r="E1337" s="4">
        <v>0.15</v>
      </c>
      <c r="F1337" s="4">
        <v>0.28000000000000003</v>
      </c>
      <c r="G1337" s="4">
        <v>0.56999999999999995</v>
      </c>
    </row>
    <row r="1338" spans="1:7" x14ac:dyDescent="0.25">
      <c r="A1338" s="1">
        <v>1337</v>
      </c>
      <c r="B1338" s="2">
        <v>258360</v>
      </c>
      <c r="C1338" s="3">
        <v>1.2E-2</v>
      </c>
      <c r="D1338" s="1">
        <v>0.5</v>
      </c>
      <c r="E1338" s="4">
        <v>0.2</v>
      </c>
      <c r="F1338" s="4">
        <v>0.26</v>
      </c>
      <c r="G1338" s="4">
        <v>0.54</v>
      </c>
    </row>
    <row r="1339" spans="1:7" x14ac:dyDescent="0.25">
      <c r="A1339" s="1">
        <v>1338</v>
      </c>
      <c r="B1339" s="2">
        <v>611749</v>
      </c>
      <c r="C1339" s="3">
        <v>5.0000000000000001E-3</v>
      </c>
      <c r="D1339" s="1">
        <v>0.5</v>
      </c>
      <c r="E1339" s="4">
        <v>0.23</v>
      </c>
      <c r="F1339" s="4">
        <v>0.31</v>
      </c>
      <c r="G1339" s="4">
        <v>0.45999999999999996</v>
      </c>
    </row>
    <row r="1340" spans="1:7" x14ac:dyDescent="0.25">
      <c r="A1340" s="1">
        <v>1339</v>
      </c>
      <c r="B1340" s="2">
        <v>803765</v>
      </c>
      <c r="C1340" s="3">
        <v>0.01</v>
      </c>
      <c r="D1340" s="1">
        <v>0.5</v>
      </c>
      <c r="E1340" s="4">
        <v>0.24</v>
      </c>
      <c r="F1340" s="4">
        <v>0.16</v>
      </c>
      <c r="G1340" s="4">
        <v>0.6</v>
      </c>
    </row>
    <row r="1341" spans="1:7" x14ac:dyDescent="0.25">
      <c r="A1341" s="1">
        <v>1340</v>
      </c>
      <c r="B1341" s="2">
        <v>314129</v>
      </c>
      <c r="C1341" s="3">
        <v>8.9999999999999993E-3</v>
      </c>
      <c r="D1341" s="1">
        <v>0.5</v>
      </c>
      <c r="E1341" s="4">
        <v>0.23</v>
      </c>
      <c r="F1341" s="4">
        <v>0.16</v>
      </c>
      <c r="G1341" s="4">
        <v>0.61</v>
      </c>
    </row>
    <row r="1342" spans="1:7" x14ac:dyDescent="0.25">
      <c r="A1342" s="1">
        <v>1341</v>
      </c>
      <c r="B1342" s="2">
        <v>843593</v>
      </c>
      <c r="C1342" s="3">
        <v>8.0000000000000002E-3</v>
      </c>
      <c r="D1342" s="1">
        <v>0.5</v>
      </c>
      <c r="E1342" s="4">
        <v>0.24</v>
      </c>
      <c r="F1342" s="4">
        <v>0.31</v>
      </c>
      <c r="G1342" s="4">
        <v>0.44999999999999996</v>
      </c>
    </row>
    <row r="1343" spans="1:7" x14ac:dyDescent="0.25">
      <c r="A1343" s="1">
        <v>1342</v>
      </c>
      <c r="B1343" s="2">
        <v>357210</v>
      </c>
      <c r="C1343" s="3">
        <v>5.0000000000000001E-3</v>
      </c>
      <c r="D1343" s="1">
        <v>0.5</v>
      </c>
      <c r="E1343" s="4">
        <v>0.2</v>
      </c>
      <c r="F1343" s="4">
        <v>0.35</v>
      </c>
      <c r="G1343" s="4">
        <v>0.45</v>
      </c>
    </row>
    <row r="1344" spans="1:7" x14ac:dyDescent="0.25">
      <c r="A1344" s="1">
        <v>1343</v>
      </c>
      <c r="B1344" s="2">
        <v>286108</v>
      </c>
      <c r="C1344" s="3">
        <v>8.9999999999999993E-3</v>
      </c>
      <c r="D1344" s="1">
        <v>0.5</v>
      </c>
      <c r="E1344" s="4">
        <v>0.18</v>
      </c>
      <c r="F1344" s="4">
        <v>0.33</v>
      </c>
      <c r="G1344" s="4">
        <v>0.48999999999999994</v>
      </c>
    </row>
    <row r="1345" spans="1:7" x14ac:dyDescent="0.25">
      <c r="A1345" s="1">
        <v>1344</v>
      </c>
      <c r="B1345" s="2">
        <v>590495</v>
      </c>
      <c r="C1345" s="3">
        <v>1.2999999999999999E-2</v>
      </c>
      <c r="D1345" s="1">
        <v>0.5</v>
      </c>
      <c r="E1345" s="4">
        <v>0.23</v>
      </c>
      <c r="F1345" s="4">
        <v>0.17</v>
      </c>
      <c r="G1345" s="4">
        <v>0.6</v>
      </c>
    </row>
    <row r="1346" spans="1:7" x14ac:dyDescent="0.25">
      <c r="A1346" s="1">
        <v>1345</v>
      </c>
      <c r="B1346" s="2">
        <v>433517</v>
      </c>
      <c r="C1346" s="3">
        <v>8.0000000000000002E-3</v>
      </c>
      <c r="D1346" s="1">
        <v>0.5</v>
      </c>
      <c r="E1346" s="4">
        <v>0.18</v>
      </c>
      <c r="F1346" s="4">
        <v>0.28000000000000003</v>
      </c>
      <c r="G1346" s="4">
        <v>0.54</v>
      </c>
    </row>
    <row r="1347" spans="1:7" x14ac:dyDescent="0.25">
      <c r="A1347" s="1">
        <v>1346</v>
      </c>
      <c r="B1347" s="2">
        <v>715365</v>
      </c>
      <c r="C1347" s="3">
        <v>1.2999999999999999E-2</v>
      </c>
      <c r="D1347" s="1">
        <v>0.5</v>
      </c>
      <c r="E1347" s="4">
        <v>0.16</v>
      </c>
      <c r="F1347" s="4">
        <v>0.27</v>
      </c>
      <c r="G1347" s="4">
        <v>0.56999999999999995</v>
      </c>
    </row>
    <row r="1348" spans="1:7" x14ac:dyDescent="0.25">
      <c r="A1348" s="1">
        <v>1347</v>
      </c>
      <c r="B1348" s="2">
        <v>306360</v>
      </c>
      <c r="C1348" s="3">
        <v>7.0000000000000001E-3</v>
      </c>
      <c r="D1348" s="1">
        <v>0.5</v>
      </c>
      <c r="E1348" s="4">
        <v>0.2</v>
      </c>
      <c r="F1348" s="4">
        <v>0.34</v>
      </c>
      <c r="G1348" s="4">
        <v>0.45999999999999991</v>
      </c>
    </row>
    <row r="1349" spans="1:7" x14ac:dyDescent="0.25">
      <c r="A1349" s="1">
        <v>1348</v>
      </c>
      <c r="B1349" s="2">
        <v>352313</v>
      </c>
      <c r="C1349" s="3">
        <v>1.2999999999999999E-2</v>
      </c>
      <c r="D1349" s="1">
        <v>0.5</v>
      </c>
      <c r="E1349" s="4">
        <v>0.21</v>
      </c>
      <c r="F1349" s="4">
        <v>0.22</v>
      </c>
      <c r="G1349" s="4">
        <v>0.57000000000000006</v>
      </c>
    </row>
    <row r="1350" spans="1:7" x14ac:dyDescent="0.25">
      <c r="A1350" s="1">
        <v>1349</v>
      </c>
      <c r="B1350" s="2">
        <v>243296</v>
      </c>
      <c r="C1350" s="3">
        <v>1.2E-2</v>
      </c>
      <c r="D1350" s="1">
        <v>0.5</v>
      </c>
      <c r="E1350" s="4">
        <v>0.21</v>
      </c>
      <c r="F1350" s="4">
        <v>0.15</v>
      </c>
      <c r="G1350" s="4">
        <v>0.64</v>
      </c>
    </row>
    <row r="1351" spans="1:7" x14ac:dyDescent="0.25">
      <c r="A1351" s="1">
        <v>1350</v>
      </c>
      <c r="B1351" s="2">
        <v>961241</v>
      </c>
      <c r="C1351" s="3">
        <v>0.01</v>
      </c>
      <c r="D1351" s="1">
        <v>0.5</v>
      </c>
      <c r="E1351" s="4">
        <v>0.19</v>
      </c>
      <c r="F1351" s="4">
        <v>0.21</v>
      </c>
      <c r="G1351" s="4">
        <v>0.60000000000000009</v>
      </c>
    </row>
    <row r="1352" spans="1:7" x14ac:dyDescent="0.25">
      <c r="A1352" s="1">
        <v>1351</v>
      </c>
      <c r="B1352" s="2">
        <v>337637</v>
      </c>
      <c r="C1352" s="3">
        <v>8.9999999999999993E-3</v>
      </c>
      <c r="D1352" s="1">
        <v>0.5</v>
      </c>
      <c r="E1352" s="4">
        <v>0.18</v>
      </c>
      <c r="F1352" s="4">
        <v>0.19</v>
      </c>
      <c r="G1352" s="4">
        <v>0.63000000000000012</v>
      </c>
    </row>
    <row r="1353" spans="1:7" x14ac:dyDescent="0.25">
      <c r="A1353" s="1">
        <v>1352</v>
      </c>
      <c r="B1353" s="2">
        <v>655817</v>
      </c>
      <c r="C1353" s="3">
        <v>1.4E-2</v>
      </c>
      <c r="D1353" s="1">
        <v>0.5</v>
      </c>
      <c r="E1353" s="4">
        <v>0.19</v>
      </c>
      <c r="F1353" s="4">
        <v>0.25</v>
      </c>
      <c r="G1353" s="4">
        <v>0.56000000000000005</v>
      </c>
    </row>
    <row r="1354" spans="1:7" x14ac:dyDescent="0.25">
      <c r="A1354" s="1">
        <v>1353</v>
      </c>
      <c r="B1354" s="2">
        <v>699309</v>
      </c>
      <c r="C1354" s="3">
        <v>1.0999999999999999E-2</v>
      </c>
      <c r="D1354" s="1">
        <v>0.5</v>
      </c>
      <c r="E1354" s="4">
        <v>0.23</v>
      </c>
      <c r="F1354" s="4">
        <v>0.16</v>
      </c>
      <c r="G1354" s="4">
        <v>0.61</v>
      </c>
    </row>
    <row r="1355" spans="1:7" x14ac:dyDescent="0.25">
      <c r="A1355" s="1">
        <v>1354</v>
      </c>
      <c r="B1355" s="2">
        <v>358633</v>
      </c>
      <c r="C1355" s="3">
        <v>6.0000000000000001E-3</v>
      </c>
      <c r="D1355" s="1">
        <v>0.5</v>
      </c>
      <c r="E1355" s="4">
        <v>0.23</v>
      </c>
      <c r="F1355" s="4">
        <v>0.26</v>
      </c>
      <c r="G1355" s="4">
        <v>0.51</v>
      </c>
    </row>
    <row r="1356" spans="1:7" x14ac:dyDescent="0.25">
      <c r="A1356" s="1">
        <v>1355</v>
      </c>
      <c r="B1356" s="2">
        <v>880239</v>
      </c>
      <c r="C1356" s="3">
        <v>8.0000000000000002E-3</v>
      </c>
      <c r="D1356" s="1">
        <v>0.5</v>
      </c>
      <c r="E1356" s="4">
        <v>0.15</v>
      </c>
      <c r="F1356" s="4">
        <v>0.28999999999999998</v>
      </c>
      <c r="G1356" s="4">
        <v>0.55999999999999994</v>
      </c>
    </row>
    <row r="1357" spans="1:7" x14ac:dyDescent="0.25">
      <c r="A1357" s="1">
        <v>1356</v>
      </c>
      <c r="B1357" s="2">
        <v>782583</v>
      </c>
      <c r="C1357" s="3">
        <v>1.0999999999999999E-2</v>
      </c>
      <c r="D1357" s="1">
        <v>0.5</v>
      </c>
      <c r="E1357" s="4">
        <v>0.25</v>
      </c>
      <c r="F1357" s="4">
        <v>0.32</v>
      </c>
      <c r="G1357" s="4">
        <v>0.42999999999999994</v>
      </c>
    </row>
    <row r="1358" spans="1:7" x14ac:dyDescent="0.25">
      <c r="A1358" s="1">
        <v>1357</v>
      </c>
      <c r="B1358" s="2">
        <v>372356</v>
      </c>
      <c r="C1358" s="3">
        <v>6.0000000000000001E-3</v>
      </c>
      <c r="D1358" s="1">
        <v>0.5</v>
      </c>
      <c r="E1358" s="4">
        <v>0.22</v>
      </c>
      <c r="F1358" s="4">
        <v>0.28999999999999998</v>
      </c>
      <c r="G1358" s="4">
        <v>0.49</v>
      </c>
    </row>
    <row r="1359" spans="1:7" x14ac:dyDescent="0.25">
      <c r="A1359" s="1">
        <v>1358</v>
      </c>
      <c r="B1359" s="2">
        <v>859575</v>
      </c>
      <c r="C1359" s="3">
        <v>1.2999999999999999E-2</v>
      </c>
      <c r="D1359" s="1">
        <v>0.5</v>
      </c>
      <c r="E1359" s="4">
        <v>0.23</v>
      </c>
      <c r="F1359" s="4">
        <v>0.26</v>
      </c>
      <c r="G1359" s="4">
        <v>0.51</v>
      </c>
    </row>
    <row r="1360" spans="1:7" x14ac:dyDescent="0.25">
      <c r="A1360" s="1">
        <v>1359</v>
      </c>
      <c r="B1360" s="2">
        <v>326474</v>
      </c>
      <c r="C1360" s="3">
        <v>1.0999999999999999E-2</v>
      </c>
      <c r="D1360" s="1">
        <v>0.5</v>
      </c>
      <c r="E1360" s="4">
        <v>0.25</v>
      </c>
      <c r="F1360" s="4">
        <v>0.31</v>
      </c>
      <c r="G1360" s="4">
        <v>0.43999999999999995</v>
      </c>
    </row>
    <row r="1361" spans="1:7" x14ac:dyDescent="0.25">
      <c r="A1361" s="1">
        <v>1360</v>
      </c>
      <c r="B1361" s="2">
        <v>236043</v>
      </c>
      <c r="C1361" s="3">
        <v>5.0000000000000001E-3</v>
      </c>
      <c r="D1361" s="1">
        <v>0.5</v>
      </c>
      <c r="E1361" s="4">
        <v>0.24</v>
      </c>
      <c r="F1361" s="4">
        <v>0.19</v>
      </c>
      <c r="G1361" s="4">
        <v>0.57000000000000006</v>
      </c>
    </row>
    <row r="1362" spans="1:7" x14ac:dyDescent="0.25">
      <c r="A1362" s="1">
        <v>1361</v>
      </c>
      <c r="B1362" s="2">
        <v>638646</v>
      </c>
      <c r="C1362" s="3">
        <v>1.2999999999999999E-2</v>
      </c>
      <c r="D1362" s="1">
        <v>0.5</v>
      </c>
      <c r="E1362" s="4">
        <v>0.18</v>
      </c>
      <c r="F1362" s="4">
        <v>0.27</v>
      </c>
      <c r="G1362" s="4">
        <v>0.55000000000000004</v>
      </c>
    </row>
    <row r="1363" spans="1:7" x14ac:dyDescent="0.25">
      <c r="A1363" s="1">
        <v>1362</v>
      </c>
      <c r="B1363" s="2">
        <v>343926</v>
      </c>
      <c r="C1363" s="3">
        <v>1.2999999999999999E-2</v>
      </c>
      <c r="D1363" s="1">
        <v>0.5</v>
      </c>
      <c r="E1363" s="4">
        <v>0.22</v>
      </c>
      <c r="F1363" s="4">
        <v>0.28000000000000003</v>
      </c>
      <c r="G1363" s="4">
        <v>0.5</v>
      </c>
    </row>
    <row r="1364" spans="1:7" x14ac:dyDescent="0.25">
      <c r="A1364" s="1">
        <v>1363</v>
      </c>
      <c r="B1364" s="2">
        <v>409088</v>
      </c>
      <c r="C1364" s="3">
        <v>6.0000000000000001E-3</v>
      </c>
      <c r="D1364" s="1">
        <v>0.5</v>
      </c>
      <c r="E1364" s="4">
        <v>0.2</v>
      </c>
      <c r="F1364" s="4">
        <v>0.16</v>
      </c>
      <c r="G1364" s="4">
        <v>0.6399999999999999</v>
      </c>
    </row>
    <row r="1365" spans="1:7" x14ac:dyDescent="0.25">
      <c r="A1365" s="1">
        <v>1364</v>
      </c>
      <c r="B1365" s="2">
        <v>491377</v>
      </c>
      <c r="C1365" s="3">
        <v>5.0000000000000001E-3</v>
      </c>
      <c r="D1365" s="1">
        <v>0.5</v>
      </c>
      <c r="E1365" s="4">
        <v>0.18</v>
      </c>
      <c r="F1365" s="4">
        <v>0.22</v>
      </c>
      <c r="G1365" s="4">
        <v>0.60000000000000009</v>
      </c>
    </row>
    <row r="1366" spans="1:7" x14ac:dyDescent="0.25">
      <c r="A1366" s="1">
        <v>1365</v>
      </c>
      <c r="B1366" s="2">
        <v>766606</v>
      </c>
      <c r="C1366" s="3">
        <v>1.0999999999999999E-2</v>
      </c>
      <c r="D1366" s="1">
        <v>0.5</v>
      </c>
      <c r="E1366" s="4">
        <v>0.22</v>
      </c>
      <c r="F1366" s="4">
        <v>0.23</v>
      </c>
      <c r="G1366" s="4">
        <v>0.55000000000000004</v>
      </c>
    </row>
    <row r="1367" spans="1:7" x14ac:dyDescent="0.25">
      <c r="A1367" s="1">
        <v>1366</v>
      </c>
      <c r="B1367" s="2">
        <v>611642</v>
      </c>
      <c r="C1367" s="3">
        <v>8.9999999999999993E-3</v>
      </c>
      <c r="D1367" s="1">
        <v>0.5</v>
      </c>
      <c r="E1367" s="4">
        <v>0.2</v>
      </c>
      <c r="F1367" s="4">
        <v>0.22</v>
      </c>
      <c r="G1367" s="4">
        <v>0.58000000000000007</v>
      </c>
    </row>
    <row r="1368" spans="1:7" x14ac:dyDescent="0.25">
      <c r="A1368" s="1">
        <v>1367</v>
      </c>
      <c r="B1368" s="2">
        <v>850225</v>
      </c>
      <c r="C1368" s="3">
        <v>1.0999999999999999E-2</v>
      </c>
      <c r="D1368" s="1">
        <v>0.5</v>
      </c>
      <c r="E1368" s="4">
        <v>0.24</v>
      </c>
      <c r="F1368" s="4">
        <v>0.25</v>
      </c>
      <c r="G1368" s="4">
        <v>0.51</v>
      </c>
    </row>
    <row r="1369" spans="1:7" x14ac:dyDescent="0.25">
      <c r="A1369" s="1">
        <v>1368</v>
      </c>
      <c r="B1369" s="2">
        <v>599486</v>
      </c>
      <c r="C1369" s="3">
        <v>1.2999999999999999E-2</v>
      </c>
      <c r="D1369" s="1">
        <v>0.5</v>
      </c>
      <c r="E1369" s="4">
        <v>0.15</v>
      </c>
      <c r="F1369" s="4">
        <v>0.27</v>
      </c>
      <c r="G1369" s="4">
        <v>0.57999999999999996</v>
      </c>
    </row>
    <row r="1370" spans="1:7" x14ac:dyDescent="0.25">
      <c r="A1370" s="1">
        <v>1369</v>
      </c>
      <c r="B1370" s="2">
        <v>573082</v>
      </c>
      <c r="C1370" s="3">
        <v>8.9999999999999993E-3</v>
      </c>
      <c r="D1370" s="1">
        <v>0.5</v>
      </c>
      <c r="E1370" s="4">
        <v>0.24</v>
      </c>
      <c r="F1370" s="4">
        <v>0.15</v>
      </c>
      <c r="G1370" s="4">
        <v>0.61</v>
      </c>
    </row>
    <row r="1371" spans="1:7" x14ac:dyDescent="0.25">
      <c r="A1371" s="1">
        <v>1370</v>
      </c>
      <c r="B1371" s="2">
        <v>462815</v>
      </c>
      <c r="C1371" s="3">
        <v>8.0000000000000002E-3</v>
      </c>
      <c r="D1371" s="1">
        <v>0.5</v>
      </c>
      <c r="E1371" s="4">
        <v>0.15</v>
      </c>
      <c r="F1371" s="4">
        <v>0.31</v>
      </c>
      <c r="G1371" s="4">
        <v>0.53999999999999992</v>
      </c>
    </row>
    <row r="1372" spans="1:7" x14ac:dyDescent="0.25">
      <c r="A1372" s="1">
        <v>1371</v>
      </c>
      <c r="B1372" s="2">
        <v>955878</v>
      </c>
      <c r="C1372" s="3">
        <v>0.01</v>
      </c>
      <c r="D1372" s="1">
        <v>0.5</v>
      </c>
      <c r="E1372" s="4">
        <v>0.22</v>
      </c>
      <c r="F1372" s="4">
        <v>0.32</v>
      </c>
      <c r="G1372" s="4">
        <v>0.45999999999999996</v>
      </c>
    </row>
    <row r="1373" spans="1:7" x14ac:dyDescent="0.25">
      <c r="A1373" s="1">
        <v>1372</v>
      </c>
      <c r="B1373" s="2">
        <v>902157</v>
      </c>
      <c r="C1373" s="3">
        <v>8.0000000000000002E-3</v>
      </c>
      <c r="D1373" s="1">
        <v>0.5</v>
      </c>
      <c r="E1373" s="4">
        <v>0.16</v>
      </c>
      <c r="F1373" s="4">
        <v>0.3</v>
      </c>
      <c r="G1373" s="4">
        <v>0.53999999999999992</v>
      </c>
    </row>
    <row r="1374" spans="1:7" x14ac:dyDescent="0.25">
      <c r="A1374" s="1">
        <v>1373</v>
      </c>
      <c r="B1374" s="2">
        <v>910437</v>
      </c>
      <c r="C1374" s="3">
        <v>1.4999999999999999E-2</v>
      </c>
      <c r="D1374" s="1">
        <v>0.5</v>
      </c>
      <c r="E1374" s="4">
        <v>0.17</v>
      </c>
      <c r="F1374" s="4">
        <v>0.27</v>
      </c>
      <c r="G1374" s="4">
        <v>0.55999999999999994</v>
      </c>
    </row>
    <row r="1375" spans="1:7" x14ac:dyDescent="0.25">
      <c r="A1375" s="1">
        <v>1374</v>
      </c>
      <c r="B1375" s="2">
        <v>722729</v>
      </c>
      <c r="C1375" s="3">
        <v>1.2999999999999999E-2</v>
      </c>
      <c r="D1375" s="1">
        <v>0.5</v>
      </c>
      <c r="E1375" s="4">
        <v>0.19</v>
      </c>
      <c r="F1375" s="4">
        <v>0.17</v>
      </c>
      <c r="G1375" s="4">
        <v>0.6399999999999999</v>
      </c>
    </row>
    <row r="1376" spans="1:7" x14ac:dyDescent="0.25">
      <c r="A1376" s="1">
        <v>1375</v>
      </c>
      <c r="B1376" s="2">
        <v>325022</v>
      </c>
      <c r="C1376" s="3">
        <v>1.2E-2</v>
      </c>
      <c r="D1376" s="1">
        <v>0.5</v>
      </c>
      <c r="E1376" s="4">
        <v>0.2</v>
      </c>
      <c r="F1376" s="4">
        <v>0.26</v>
      </c>
      <c r="G1376" s="4">
        <v>0.54</v>
      </c>
    </row>
    <row r="1377" spans="1:7" x14ac:dyDescent="0.25">
      <c r="A1377" s="1">
        <v>1376</v>
      </c>
      <c r="B1377" s="2">
        <v>870306</v>
      </c>
      <c r="C1377" s="3">
        <v>5.0000000000000001E-3</v>
      </c>
      <c r="D1377" s="1">
        <v>0.5</v>
      </c>
      <c r="E1377" s="4">
        <v>0.25</v>
      </c>
      <c r="F1377" s="4">
        <v>0.26</v>
      </c>
      <c r="G1377" s="4">
        <v>0.49</v>
      </c>
    </row>
    <row r="1378" spans="1:7" x14ac:dyDescent="0.25">
      <c r="A1378" s="1">
        <v>1377</v>
      </c>
      <c r="B1378" s="2">
        <v>806329</v>
      </c>
      <c r="C1378" s="3">
        <v>8.9999999999999993E-3</v>
      </c>
      <c r="D1378" s="1">
        <v>0.5</v>
      </c>
      <c r="E1378" s="4">
        <v>0.18</v>
      </c>
      <c r="F1378" s="4">
        <v>0.21</v>
      </c>
      <c r="G1378" s="4">
        <v>0.6100000000000001</v>
      </c>
    </row>
    <row r="1379" spans="1:7" x14ac:dyDescent="0.25">
      <c r="A1379" s="1">
        <v>1378</v>
      </c>
      <c r="B1379" s="2">
        <v>907851</v>
      </c>
      <c r="C1379" s="3">
        <v>8.9999999999999993E-3</v>
      </c>
      <c r="D1379" s="1">
        <v>0.5</v>
      </c>
      <c r="E1379" s="4">
        <v>0.22</v>
      </c>
      <c r="F1379" s="4">
        <v>0.19</v>
      </c>
      <c r="G1379" s="4">
        <v>0.59000000000000008</v>
      </c>
    </row>
    <row r="1380" spans="1:7" x14ac:dyDescent="0.25">
      <c r="A1380" s="1">
        <v>1379</v>
      </c>
      <c r="B1380" s="2">
        <v>841033</v>
      </c>
      <c r="C1380" s="3">
        <v>1.4999999999999999E-2</v>
      </c>
      <c r="D1380" s="1">
        <v>0.5</v>
      </c>
      <c r="E1380" s="4">
        <v>0.18</v>
      </c>
      <c r="F1380" s="4">
        <v>0.35</v>
      </c>
      <c r="G1380" s="4">
        <v>0.47000000000000003</v>
      </c>
    </row>
    <row r="1381" spans="1:7" x14ac:dyDescent="0.25">
      <c r="A1381" s="1">
        <v>1380</v>
      </c>
      <c r="B1381" s="2">
        <v>987155</v>
      </c>
      <c r="C1381" s="3">
        <v>0.01</v>
      </c>
      <c r="D1381" s="1">
        <v>0.5</v>
      </c>
      <c r="E1381" s="4">
        <v>0.16</v>
      </c>
      <c r="F1381" s="4">
        <v>0.19</v>
      </c>
      <c r="G1381" s="4">
        <v>0.65</v>
      </c>
    </row>
    <row r="1382" spans="1:7" x14ac:dyDescent="0.25">
      <c r="A1382" s="1">
        <v>1381</v>
      </c>
      <c r="B1382" s="2">
        <v>639612</v>
      </c>
      <c r="C1382" s="3">
        <v>1.4E-2</v>
      </c>
      <c r="D1382" s="1">
        <v>0.5</v>
      </c>
      <c r="E1382" s="4">
        <v>0.17</v>
      </c>
      <c r="F1382" s="4">
        <v>0.28000000000000003</v>
      </c>
      <c r="G1382" s="4">
        <v>0.54999999999999993</v>
      </c>
    </row>
    <row r="1383" spans="1:7" x14ac:dyDescent="0.25">
      <c r="A1383" s="1">
        <v>1382</v>
      </c>
      <c r="B1383" s="2">
        <v>917733</v>
      </c>
      <c r="C1383" s="3">
        <v>1.2E-2</v>
      </c>
      <c r="D1383" s="1">
        <v>0.5</v>
      </c>
      <c r="E1383" s="4">
        <v>0.15</v>
      </c>
      <c r="F1383" s="4">
        <v>0.33</v>
      </c>
      <c r="G1383" s="4">
        <v>0.51999999999999991</v>
      </c>
    </row>
    <row r="1384" spans="1:7" x14ac:dyDescent="0.25">
      <c r="A1384" s="1">
        <v>1383</v>
      </c>
      <c r="B1384" s="2">
        <v>444316</v>
      </c>
      <c r="C1384" s="3">
        <v>5.0000000000000001E-3</v>
      </c>
      <c r="D1384" s="1">
        <v>0.5</v>
      </c>
      <c r="E1384" s="4">
        <v>0.17</v>
      </c>
      <c r="F1384" s="4">
        <v>0.25</v>
      </c>
      <c r="G1384" s="4">
        <v>0.57999999999999996</v>
      </c>
    </row>
    <row r="1385" spans="1:7" x14ac:dyDescent="0.25">
      <c r="A1385" s="1">
        <v>1384</v>
      </c>
      <c r="B1385" s="2">
        <v>893619</v>
      </c>
      <c r="C1385" s="3">
        <v>1.4E-2</v>
      </c>
      <c r="D1385" s="1">
        <v>0.5</v>
      </c>
      <c r="E1385" s="4">
        <v>0.22</v>
      </c>
      <c r="F1385" s="4">
        <v>0.25</v>
      </c>
      <c r="G1385" s="4">
        <v>0.53</v>
      </c>
    </row>
    <row r="1386" spans="1:7" x14ac:dyDescent="0.25">
      <c r="A1386" s="1">
        <v>1385</v>
      </c>
      <c r="B1386" s="2">
        <v>231283</v>
      </c>
      <c r="C1386" s="3">
        <v>1.4999999999999999E-2</v>
      </c>
      <c r="D1386" s="1">
        <v>0.5</v>
      </c>
      <c r="E1386" s="4">
        <v>0.18</v>
      </c>
      <c r="F1386" s="4">
        <v>0.28000000000000003</v>
      </c>
      <c r="G1386" s="4">
        <v>0.54</v>
      </c>
    </row>
    <row r="1387" spans="1:7" x14ac:dyDescent="0.25">
      <c r="A1387" s="1">
        <v>1386</v>
      </c>
      <c r="B1387" s="2">
        <v>863680</v>
      </c>
      <c r="C1387" s="3">
        <v>8.0000000000000002E-3</v>
      </c>
      <c r="D1387" s="1">
        <v>0.5</v>
      </c>
      <c r="E1387" s="4">
        <v>0.24</v>
      </c>
      <c r="F1387" s="4">
        <v>0.23</v>
      </c>
      <c r="G1387" s="4">
        <v>0.53</v>
      </c>
    </row>
    <row r="1388" spans="1:7" x14ac:dyDescent="0.25">
      <c r="A1388" s="1">
        <v>1387</v>
      </c>
      <c r="B1388" s="2">
        <v>287555</v>
      </c>
      <c r="C1388" s="3">
        <v>7.0000000000000001E-3</v>
      </c>
      <c r="D1388" s="1">
        <v>0.5</v>
      </c>
      <c r="E1388" s="4">
        <v>0.17</v>
      </c>
      <c r="F1388" s="4">
        <v>0.2</v>
      </c>
      <c r="G1388" s="4">
        <v>0.63</v>
      </c>
    </row>
    <row r="1389" spans="1:7" x14ac:dyDescent="0.25">
      <c r="A1389" s="1">
        <v>1388</v>
      </c>
      <c r="B1389" s="2">
        <v>980193</v>
      </c>
      <c r="C1389" s="3">
        <v>8.0000000000000002E-3</v>
      </c>
      <c r="D1389" s="1">
        <v>0.5</v>
      </c>
      <c r="E1389" s="4">
        <v>0.23</v>
      </c>
      <c r="F1389" s="4">
        <v>0.24</v>
      </c>
      <c r="G1389" s="4">
        <v>0.53</v>
      </c>
    </row>
    <row r="1390" spans="1:7" x14ac:dyDescent="0.25">
      <c r="A1390" s="1">
        <v>1389</v>
      </c>
      <c r="B1390" s="2">
        <v>806198</v>
      </c>
      <c r="C1390" s="3">
        <v>0.01</v>
      </c>
      <c r="D1390" s="1">
        <v>0.5</v>
      </c>
      <c r="E1390" s="4">
        <v>0.25</v>
      </c>
      <c r="F1390" s="4">
        <v>0.22</v>
      </c>
      <c r="G1390" s="4">
        <v>0.53</v>
      </c>
    </row>
    <row r="1391" spans="1:7" x14ac:dyDescent="0.25">
      <c r="A1391" s="1">
        <v>1390</v>
      </c>
      <c r="B1391" s="2">
        <v>437906</v>
      </c>
      <c r="C1391" s="3">
        <v>1.4E-2</v>
      </c>
      <c r="D1391" s="1">
        <v>0.5</v>
      </c>
      <c r="E1391" s="4">
        <v>0.22</v>
      </c>
      <c r="F1391" s="4">
        <v>0.2</v>
      </c>
      <c r="G1391" s="4">
        <v>0.58000000000000007</v>
      </c>
    </row>
    <row r="1392" spans="1:7" x14ac:dyDescent="0.25">
      <c r="A1392" s="1">
        <v>1391</v>
      </c>
      <c r="B1392" s="2">
        <v>776746</v>
      </c>
      <c r="C1392" s="3">
        <v>5.0000000000000001E-3</v>
      </c>
      <c r="D1392" s="1">
        <v>0.5</v>
      </c>
      <c r="E1392" s="4">
        <v>0.19</v>
      </c>
      <c r="F1392" s="4">
        <v>0.17</v>
      </c>
      <c r="G1392" s="4">
        <v>0.6399999999999999</v>
      </c>
    </row>
    <row r="1393" spans="1:7" x14ac:dyDescent="0.25">
      <c r="A1393" s="1">
        <v>1392</v>
      </c>
      <c r="B1393" s="2">
        <v>830236</v>
      </c>
      <c r="C1393" s="3">
        <v>7.0000000000000001E-3</v>
      </c>
      <c r="D1393" s="1">
        <v>0.5</v>
      </c>
      <c r="E1393" s="4">
        <v>0.22</v>
      </c>
      <c r="F1393" s="4">
        <v>0.31</v>
      </c>
      <c r="G1393" s="4">
        <v>0.47</v>
      </c>
    </row>
    <row r="1394" spans="1:7" x14ac:dyDescent="0.25">
      <c r="A1394" s="1">
        <v>1393</v>
      </c>
      <c r="B1394" s="2">
        <v>282908</v>
      </c>
      <c r="C1394" s="3">
        <v>1.0999999999999999E-2</v>
      </c>
      <c r="D1394" s="1">
        <v>0.5</v>
      </c>
      <c r="E1394" s="4">
        <v>0.23</v>
      </c>
      <c r="F1394" s="4">
        <v>0.15</v>
      </c>
      <c r="G1394" s="4">
        <v>0.62</v>
      </c>
    </row>
    <row r="1395" spans="1:7" x14ac:dyDescent="0.25">
      <c r="A1395" s="1">
        <v>1394</v>
      </c>
      <c r="B1395" s="2">
        <v>861887</v>
      </c>
      <c r="C1395" s="3">
        <v>5.0000000000000001E-3</v>
      </c>
      <c r="D1395" s="1">
        <v>0.5</v>
      </c>
      <c r="E1395" s="4">
        <v>0.17</v>
      </c>
      <c r="F1395" s="4">
        <v>0.18</v>
      </c>
      <c r="G1395" s="4">
        <v>0.65</v>
      </c>
    </row>
    <row r="1396" spans="1:7" x14ac:dyDescent="0.25">
      <c r="A1396" s="1">
        <v>1395</v>
      </c>
      <c r="B1396" s="2">
        <v>478191</v>
      </c>
      <c r="C1396" s="3">
        <v>1.2E-2</v>
      </c>
      <c r="D1396" s="1">
        <v>0.5</v>
      </c>
      <c r="E1396" s="4">
        <v>0.17</v>
      </c>
      <c r="F1396" s="4">
        <v>0.28000000000000003</v>
      </c>
      <c r="G1396" s="4">
        <v>0.54999999999999993</v>
      </c>
    </row>
    <row r="1397" spans="1:7" x14ac:dyDescent="0.25">
      <c r="A1397" s="1">
        <v>1396</v>
      </c>
      <c r="B1397" s="2">
        <v>378354</v>
      </c>
      <c r="C1397" s="3">
        <v>8.0000000000000002E-3</v>
      </c>
      <c r="D1397" s="1">
        <v>0.5</v>
      </c>
      <c r="E1397" s="4">
        <v>0.23</v>
      </c>
      <c r="F1397" s="4">
        <v>0.16</v>
      </c>
      <c r="G1397" s="4">
        <v>0.61</v>
      </c>
    </row>
    <row r="1398" spans="1:7" x14ac:dyDescent="0.25">
      <c r="A1398" s="1">
        <v>1397</v>
      </c>
      <c r="B1398" s="2">
        <v>302912</v>
      </c>
      <c r="C1398" s="3">
        <v>6.0000000000000001E-3</v>
      </c>
      <c r="D1398" s="1">
        <v>0.5</v>
      </c>
      <c r="E1398" s="4">
        <v>0.19</v>
      </c>
      <c r="F1398" s="4">
        <v>0.25</v>
      </c>
      <c r="G1398" s="4">
        <v>0.56000000000000005</v>
      </c>
    </row>
    <row r="1399" spans="1:7" x14ac:dyDescent="0.25">
      <c r="A1399" s="1">
        <v>1398</v>
      </c>
      <c r="B1399" s="2">
        <v>590497</v>
      </c>
      <c r="C1399" s="3">
        <v>8.0000000000000002E-3</v>
      </c>
      <c r="D1399" s="1">
        <v>0.5</v>
      </c>
      <c r="E1399" s="4">
        <v>0.24</v>
      </c>
      <c r="F1399" s="4">
        <v>0.32</v>
      </c>
      <c r="G1399" s="4">
        <v>0.43999999999999995</v>
      </c>
    </row>
    <row r="1400" spans="1:7" x14ac:dyDescent="0.25">
      <c r="A1400" s="1">
        <v>1399</v>
      </c>
      <c r="B1400" s="2">
        <v>934907</v>
      </c>
      <c r="C1400" s="3">
        <v>1.2999999999999999E-2</v>
      </c>
      <c r="D1400" s="1">
        <v>0.5</v>
      </c>
      <c r="E1400" s="4">
        <v>0.17</v>
      </c>
      <c r="F1400" s="4">
        <v>0.21</v>
      </c>
      <c r="G1400" s="4">
        <v>0.62</v>
      </c>
    </row>
    <row r="1401" spans="1:7" x14ac:dyDescent="0.25">
      <c r="A1401" s="1">
        <v>1400</v>
      </c>
      <c r="B1401" s="2">
        <v>922702</v>
      </c>
      <c r="C1401" s="3">
        <v>6.0000000000000001E-3</v>
      </c>
      <c r="D1401" s="1">
        <v>0.5</v>
      </c>
      <c r="E1401" s="4">
        <v>0.24</v>
      </c>
      <c r="F1401" s="4">
        <v>0.28000000000000003</v>
      </c>
      <c r="G1401" s="4">
        <v>0.48</v>
      </c>
    </row>
    <row r="1402" spans="1:7" x14ac:dyDescent="0.25">
      <c r="A1402" s="1">
        <v>1401</v>
      </c>
      <c r="B1402" s="2">
        <v>540151</v>
      </c>
      <c r="C1402" s="3">
        <v>1.4999999999999999E-2</v>
      </c>
      <c r="D1402" s="1">
        <v>0.5</v>
      </c>
      <c r="E1402" s="4">
        <v>0.18</v>
      </c>
      <c r="F1402" s="4">
        <v>0.22</v>
      </c>
      <c r="G1402" s="4">
        <v>0.60000000000000009</v>
      </c>
    </row>
    <row r="1403" spans="1:7" x14ac:dyDescent="0.25">
      <c r="A1403" s="1">
        <v>1402</v>
      </c>
      <c r="B1403" s="2">
        <v>770349</v>
      </c>
      <c r="C1403" s="3">
        <v>6.0000000000000001E-3</v>
      </c>
      <c r="D1403" s="1">
        <v>0.5</v>
      </c>
      <c r="E1403" s="4">
        <v>0.16</v>
      </c>
      <c r="F1403" s="4">
        <v>0.28999999999999998</v>
      </c>
      <c r="G1403" s="4">
        <v>0.54999999999999993</v>
      </c>
    </row>
    <row r="1404" spans="1:7" x14ac:dyDescent="0.25">
      <c r="A1404" s="1">
        <v>1403</v>
      </c>
      <c r="B1404" s="2">
        <v>451851</v>
      </c>
      <c r="C1404" s="3">
        <v>1.0999999999999999E-2</v>
      </c>
      <c r="D1404" s="1">
        <v>0.5</v>
      </c>
      <c r="E1404" s="4">
        <v>0.19</v>
      </c>
      <c r="F1404" s="4">
        <v>0.34</v>
      </c>
      <c r="G1404" s="4">
        <v>0.46999999999999992</v>
      </c>
    </row>
    <row r="1405" spans="1:7" x14ac:dyDescent="0.25">
      <c r="A1405" s="1">
        <v>1404</v>
      </c>
      <c r="B1405" s="2">
        <v>216941</v>
      </c>
      <c r="C1405" s="3">
        <v>0.01</v>
      </c>
      <c r="D1405" s="1">
        <v>0.5</v>
      </c>
      <c r="E1405" s="4">
        <v>0.18</v>
      </c>
      <c r="F1405" s="4">
        <v>0.21</v>
      </c>
      <c r="G1405" s="4">
        <v>0.6100000000000001</v>
      </c>
    </row>
    <row r="1406" spans="1:7" x14ac:dyDescent="0.25">
      <c r="A1406" s="1">
        <v>1405</v>
      </c>
      <c r="B1406" s="2">
        <v>563167</v>
      </c>
      <c r="C1406" s="3">
        <v>1.2999999999999999E-2</v>
      </c>
      <c r="D1406" s="1">
        <v>0.5</v>
      </c>
      <c r="E1406" s="4">
        <v>0.2</v>
      </c>
      <c r="F1406" s="4">
        <v>0.2</v>
      </c>
      <c r="G1406" s="4">
        <v>0.60000000000000009</v>
      </c>
    </row>
    <row r="1407" spans="1:7" x14ac:dyDescent="0.25">
      <c r="A1407" s="1">
        <v>1406</v>
      </c>
      <c r="B1407" s="2">
        <v>233182</v>
      </c>
      <c r="C1407" s="3">
        <v>1.4999999999999999E-2</v>
      </c>
      <c r="D1407" s="1">
        <v>0.5</v>
      </c>
      <c r="E1407" s="4">
        <v>0.21</v>
      </c>
      <c r="F1407" s="4">
        <v>0.22</v>
      </c>
      <c r="G1407" s="4">
        <v>0.57000000000000006</v>
      </c>
    </row>
    <row r="1408" spans="1:7" x14ac:dyDescent="0.25">
      <c r="A1408" s="1">
        <v>1407</v>
      </c>
      <c r="B1408" s="2">
        <v>480407</v>
      </c>
      <c r="C1408" s="3">
        <v>8.9999999999999993E-3</v>
      </c>
      <c r="D1408" s="1">
        <v>0.5</v>
      </c>
      <c r="E1408" s="4">
        <v>0.19</v>
      </c>
      <c r="F1408" s="4">
        <v>0.2</v>
      </c>
      <c r="G1408" s="4">
        <v>0.6100000000000001</v>
      </c>
    </row>
    <row r="1409" spans="1:7" x14ac:dyDescent="0.25">
      <c r="A1409" s="1">
        <v>1408</v>
      </c>
      <c r="B1409" s="2">
        <v>832932</v>
      </c>
      <c r="C1409" s="3">
        <v>1.4999999999999999E-2</v>
      </c>
      <c r="D1409" s="1">
        <v>0.5</v>
      </c>
      <c r="E1409" s="4">
        <v>0.23</v>
      </c>
      <c r="F1409" s="4">
        <v>0.27</v>
      </c>
      <c r="G1409" s="4">
        <v>0.5</v>
      </c>
    </row>
    <row r="1410" spans="1:7" x14ac:dyDescent="0.25">
      <c r="A1410" s="1">
        <v>1409</v>
      </c>
      <c r="B1410" s="2">
        <v>601488</v>
      </c>
      <c r="C1410" s="3">
        <v>1.4E-2</v>
      </c>
      <c r="D1410" s="1">
        <v>0.5</v>
      </c>
      <c r="E1410" s="4">
        <v>0.19</v>
      </c>
      <c r="F1410" s="4">
        <v>0.15</v>
      </c>
      <c r="G1410" s="4">
        <v>0.65999999999999992</v>
      </c>
    </row>
    <row r="1411" spans="1:7" x14ac:dyDescent="0.25">
      <c r="A1411" s="1">
        <v>1410</v>
      </c>
      <c r="B1411" s="2">
        <v>401491</v>
      </c>
      <c r="C1411" s="3">
        <v>8.9999999999999993E-3</v>
      </c>
      <c r="D1411" s="1">
        <v>0.5</v>
      </c>
      <c r="E1411" s="4">
        <v>0.15</v>
      </c>
      <c r="F1411" s="4">
        <v>0.28000000000000003</v>
      </c>
      <c r="G1411" s="4">
        <v>0.56999999999999995</v>
      </c>
    </row>
    <row r="1412" spans="1:7" x14ac:dyDescent="0.25">
      <c r="A1412" s="1">
        <v>1411</v>
      </c>
      <c r="B1412" s="2">
        <v>800175</v>
      </c>
      <c r="C1412" s="3">
        <v>6.0000000000000001E-3</v>
      </c>
      <c r="D1412" s="1">
        <v>0.5</v>
      </c>
      <c r="E1412" s="4">
        <v>0.2</v>
      </c>
      <c r="F1412" s="4">
        <v>0.23</v>
      </c>
      <c r="G1412" s="4">
        <v>0.57000000000000006</v>
      </c>
    </row>
    <row r="1413" spans="1:7" x14ac:dyDescent="0.25">
      <c r="A1413" s="1">
        <v>1412</v>
      </c>
      <c r="B1413" s="2">
        <v>333827</v>
      </c>
      <c r="C1413" s="3">
        <v>1.4E-2</v>
      </c>
      <c r="D1413" s="1">
        <v>0.5</v>
      </c>
      <c r="E1413" s="4">
        <v>0.23</v>
      </c>
      <c r="F1413" s="4">
        <v>0.22</v>
      </c>
      <c r="G1413" s="4">
        <v>0.55000000000000004</v>
      </c>
    </row>
    <row r="1414" spans="1:7" x14ac:dyDescent="0.25">
      <c r="A1414" s="1">
        <v>1413</v>
      </c>
      <c r="B1414" s="2">
        <v>901998</v>
      </c>
      <c r="C1414" s="3">
        <v>7.0000000000000001E-3</v>
      </c>
      <c r="D1414" s="1">
        <v>0.5</v>
      </c>
      <c r="E1414" s="4">
        <v>0.24</v>
      </c>
      <c r="F1414" s="4">
        <v>0.31</v>
      </c>
      <c r="G1414" s="4">
        <v>0.44999999999999996</v>
      </c>
    </row>
    <row r="1415" spans="1:7" x14ac:dyDescent="0.25">
      <c r="A1415" s="1">
        <v>1414</v>
      </c>
      <c r="B1415" s="2">
        <v>943971</v>
      </c>
      <c r="C1415" s="3">
        <v>1.2999999999999999E-2</v>
      </c>
      <c r="D1415" s="1">
        <v>0.5</v>
      </c>
      <c r="E1415" s="4">
        <v>0.23</v>
      </c>
      <c r="F1415" s="4">
        <v>0.33</v>
      </c>
      <c r="G1415" s="4">
        <v>0.43999999999999995</v>
      </c>
    </row>
    <row r="1416" spans="1:7" x14ac:dyDescent="0.25">
      <c r="A1416" s="1">
        <v>1415</v>
      </c>
      <c r="B1416" s="2">
        <v>605268</v>
      </c>
      <c r="C1416" s="3">
        <v>8.9999999999999993E-3</v>
      </c>
      <c r="D1416" s="1">
        <v>0.5</v>
      </c>
      <c r="E1416" s="4">
        <v>0.19</v>
      </c>
      <c r="F1416" s="4">
        <v>0.28999999999999998</v>
      </c>
      <c r="G1416" s="4">
        <v>0.52</v>
      </c>
    </row>
    <row r="1417" spans="1:7" x14ac:dyDescent="0.25">
      <c r="A1417" s="1">
        <v>1416</v>
      </c>
      <c r="B1417" s="2">
        <v>951531</v>
      </c>
      <c r="C1417" s="3">
        <v>1.4E-2</v>
      </c>
      <c r="D1417" s="1">
        <v>0.5</v>
      </c>
      <c r="E1417" s="4">
        <v>0.25</v>
      </c>
      <c r="F1417" s="4">
        <v>0.2</v>
      </c>
      <c r="G1417" s="4">
        <v>0.55000000000000004</v>
      </c>
    </row>
    <row r="1418" spans="1:7" x14ac:dyDescent="0.25">
      <c r="A1418" s="1">
        <v>1417</v>
      </c>
      <c r="B1418" s="2">
        <v>373610</v>
      </c>
      <c r="C1418" s="3">
        <v>7.0000000000000001E-3</v>
      </c>
      <c r="D1418" s="1">
        <v>0.5</v>
      </c>
      <c r="E1418" s="4">
        <v>0.16</v>
      </c>
      <c r="F1418" s="4">
        <v>0.26</v>
      </c>
      <c r="G1418" s="4">
        <v>0.57999999999999996</v>
      </c>
    </row>
    <row r="1419" spans="1:7" x14ac:dyDescent="0.25">
      <c r="A1419" s="1">
        <v>1418</v>
      </c>
      <c r="B1419" s="2">
        <v>712444</v>
      </c>
      <c r="C1419" s="3">
        <v>1.0999999999999999E-2</v>
      </c>
      <c r="D1419" s="1">
        <v>0.5</v>
      </c>
      <c r="E1419" s="4">
        <v>0.22</v>
      </c>
      <c r="F1419" s="4">
        <v>0.2</v>
      </c>
      <c r="G1419" s="4">
        <v>0.58000000000000007</v>
      </c>
    </row>
    <row r="1420" spans="1:7" x14ac:dyDescent="0.25">
      <c r="A1420" s="1">
        <v>1419</v>
      </c>
      <c r="B1420" s="2">
        <v>203990</v>
      </c>
      <c r="C1420" s="3">
        <v>8.0000000000000002E-3</v>
      </c>
      <c r="D1420" s="1">
        <v>0.5</v>
      </c>
      <c r="E1420" s="4">
        <v>0.19</v>
      </c>
      <c r="F1420" s="4">
        <v>0.24</v>
      </c>
      <c r="G1420" s="4">
        <v>0.57000000000000006</v>
      </c>
    </row>
    <row r="1421" spans="1:7" x14ac:dyDescent="0.25">
      <c r="A1421" s="1">
        <v>1420</v>
      </c>
      <c r="B1421" s="2">
        <v>606431</v>
      </c>
      <c r="C1421" s="3">
        <v>1.0999999999999999E-2</v>
      </c>
      <c r="D1421" s="1">
        <v>0.5</v>
      </c>
      <c r="E1421" s="4">
        <v>0.25</v>
      </c>
      <c r="F1421" s="4">
        <v>0.33</v>
      </c>
      <c r="G1421" s="4">
        <v>0.41999999999999993</v>
      </c>
    </row>
    <row r="1422" spans="1:7" x14ac:dyDescent="0.25">
      <c r="A1422" s="1">
        <v>1421</v>
      </c>
      <c r="B1422" s="2">
        <v>794728</v>
      </c>
      <c r="C1422" s="3">
        <v>1.2999999999999999E-2</v>
      </c>
      <c r="D1422" s="1">
        <v>0.5</v>
      </c>
      <c r="E1422" s="4">
        <v>0.19</v>
      </c>
      <c r="F1422" s="4">
        <v>0.2</v>
      </c>
      <c r="G1422" s="4">
        <v>0.6100000000000001</v>
      </c>
    </row>
    <row r="1423" spans="1:7" x14ac:dyDescent="0.25">
      <c r="A1423" s="1">
        <v>1422</v>
      </c>
      <c r="B1423" s="2">
        <v>486955</v>
      </c>
      <c r="C1423" s="3">
        <v>1.2E-2</v>
      </c>
      <c r="D1423" s="1">
        <v>0.5</v>
      </c>
      <c r="E1423" s="4">
        <v>0.21</v>
      </c>
      <c r="F1423" s="4">
        <v>0.26</v>
      </c>
      <c r="G1423" s="4">
        <v>0.53</v>
      </c>
    </row>
    <row r="1424" spans="1:7" x14ac:dyDescent="0.25">
      <c r="A1424" s="1">
        <v>1423</v>
      </c>
      <c r="B1424" s="2">
        <v>232958</v>
      </c>
      <c r="C1424" s="3">
        <v>8.0000000000000002E-3</v>
      </c>
      <c r="D1424" s="1">
        <v>0.5</v>
      </c>
      <c r="E1424" s="4">
        <v>0.17</v>
      </c>
      <c r="F1424" s="4">
        <v>0.33</v>
      </c>
      <c r="G1424" s="4">
        <v>0.49999999999999989</v>
      </c>
    </row>
    <row r="1425" spans="1:7" x14ac:dyDescent="0.25">
      <c r="A1425" s="1">
        <v>1424</v>
      </c>
      <c r="B1425" s="2">
        <v>894876</v>
      </c>
      <c r="C1425" s="3">
        <v>6.0000000000000001E-3</v>
      </c>
      <c r="D1425" s="1">
        <v>0.5</v>
      </c>
      <c r="E1425" s="4">
        <v>0.22</v>
      </c>
      <c r="F1425" s="4">
        <v>0.19</v>
      </c>
      <c r="G1425" s="4">
        <v>0.59000000000000008</v>
      </c>
    </row>
    <row r="1426" spans="1:7" x14ac:dyDescent="0.25">
      <c r="A1426" s="1">
        <v>1425</v>
      </c>
      <c r="B1426" s="2">
        <v>566554</v>
      </c>
      <c r="C1426" s="3">
        <v>8.0000000000000002E-3</v>
      </c>
      <c r="D1426" s="1">
        <v>0.5</v>
      </c>
      <c r="E1426" s="4">
        <v>0.21</v>
      </c>
      <c r="F1426" s="4">
        <v>0.28999999999999998</v>
      </c>
      <c r="G1426" s="4">
        <v>0.5</v>
      </c>
    </row>
    <row r="1427" spans="1:7" x14ac:dyDescent="0.25">
      <c r="A1427" s="1">
        <v>1426</v>
      </c>
      <c r="B1427" s="2">
        <v>878082</v>
      </c>
      <c r="C1427" s="3">
        <v>1.4999999999999999E-2</v>
      </c>
      <c r="D1427" s="1">
        <v>0.5</v>
      </c>
      <c r="E1427" s="4">
        <v>0.23</v>
      </c>
      <c r="F1427" s="4">
        <v>0.3</v>
      </c>
      <c r="G1427" s="4">
        <v>0.47</v>
      </c>
    </row>
    <row r="1428" spans="1:7" x14ac:dyDescent="0.25">
      <c r="A1428" s="1">
        <v>1427</v>
      </c>
      <c r="B1428" s="2">
        <v>616747</v>
      </c>
      <c r="C1428" s="3">
        <v>1.2E-2</v>
      </c>
      <c r="D1428" s="1">
        <v>0.5</v>
      </c>
      <c r="E1428" s="4">
        <v>0.21</v>
      </c>
      <c r="F1428" s="4">
        <v>0.28000000000000003</v>
      </c>
      <c r="G1428" s="4">
        <v>0.51</v>
      </c>
    </row>
    <row r="1429" spans="1:7" x14ac:dyDescent="0.25">
      <c r="A1429" s="1">
        <v>1428</v>
      </c>
      <c r="B1429" s="2">
        <v>768512</v>
      </c>
      <c r="C1429" s="3">
        <v>6.0000000000000001E-3</v>
      </c>
      <c r="D1429" s="1">
        <v>0.5</v>
      </c>
      <c r="E1429" s="4">
        <v>0.22</v>
      </c>
      <c r="F1429" s="4">
        <v>0.33</v>
      </c>
      <c r="G1429" s="4">
        <v>0.44999999999999996</v>
      </c>
    </row>
    <row r="1430" spans="1:7" x14ac:dyDescent="0.25">
      <c r="A1430" s="1">
        <v>1429</v>
      </c>
      <c r="B1430" s="2">
        <v>202386</v>
      </c>
      <c r="C1430" s="3">
        <v>1.0999999999999999E-2</v>
      </c>
      <c r="D1430" s="1">
        <v>0.5</v>
      </c>
      <c r="E1430" s="4">
        <v>0.21</v>
      </c>
      <c r="F1430" s="4">
        <v>0.15</v>
      </c>
      <c r="G1430" s="4">
        <v>0.64</v>
      </c>
    </row>
    <row r="1431" spans="1:7" x14ac:dyDescent="0.25">
      <c r="A1431" s="1">
        <v>1430</v>
      </c>
      <c r="B1431" s="2">
        <v>500575</v>
      </c>
      <c r="C1431" s="3">
        <v>0.01</v>
      </c>
      <c r="D1431" s="1">
        <v>0.5</v>
      </c>
      <c r="E1431" s="4">
        <v>0.22</v>
      </c>
      <c r="F1431" s="4">
        <v>0.23</v>
      </c>
      <c r="G1431" s="4">
        <v>0.55000000000000004</v>
      </c>
    </row>
    <row r="1432" spans="1:7" x14ac:dyDescent="0.25">
      <c r="A1432" s="1">
        <v>1431</v>
      </c>
      <c r="B1432" s="2">
        <v>236931</v>
      </c>
      <c r="C1432" s="3">
        <v>8.0000000000000002E-3</v>
      </c>
      <c r="D1432" s="1">
        <v>0.5</v>
      </c>
      <c r="E1432" s="4">
        <v>0.15</v>
      </c>
      <c r="F1432" s="4">
        <v>0.15</v>
      </c>
      <c r="G1432" s="4">
        <v>0.7</v>
      </c>
    </row>
    <row r="1433" spans="1:7" x14ac:dyDescent="0.25">
      <c r="A1433" s="1">
        <v>1432</v>
      </c>
      <c r="B1433" s="2">
        <v>298194</v>
      </c>
      <c r="C1433" s="3">
        <v>1.0999999999999999E-2</v>
      </c>
      <c r="D1433" s="1">
        <v>0.5</v>
      </c>
      <c r="E1433" s="4">
        <v>0.15</v>
      </c>
      <c r="F1433" s="4">
        <v>0.18</v>
      </c>
      <c r="G1433" s="4">
        <v>0.67</v>
      </c>
    </row>
    <row r="1434" spans="1:7" x14ac:dyDescent="0.25">
      <c r="A1434" s="1">
        <v>1433</v>
      </c>
      <c r="B1434" s="2">
        <v>276281</v>
      </c>
      <c r="C1434" s="3">
        <v>1.2E-2</v>
      </c>
      <c r="D1434" s="1">
        <v>0.5</v>
      </c>
      <c r="E1434" s="4">
        <v>0.18</v>
      </c>
      <c r="F1434" s="4">
        <v>0.17</v>
      </c>
      <c r="G1434" s="4">
        <v>0.64999999999999991</v>
      </c>
    </row>
    <row r="1435" spans="1:7" x14ac:dyDescent="0.25">
      <c r="A1435" s="1">
        <v>1434</v>
      </c>
      <c r="B1435" s="2">
        <v>543733</v>
      </c>
      <c r="C1435" s="3">
        <v>1.2E-2</v>
      </c>
      <c r="D1435" s="1">
        <v>0.5</v>
      </c>
      <c r="E1435" s="4">
        <v>0.24</v>
      </c>
      <c r="F1435" s="4">
        <v>0.24</v>
      </c>
      <c r="G1435" s="4">
        <v>0.52</v>
      </c>
    </row>
    <row r="1436" spans="1:7" x14ac:dyDescent="0.25">
      <c r="A1436" s="1">
        <v>1435</v>
      </c>
      <c r="B1436" s="2">
        <v>346806</v>
      </c>
      <c r="C1436" s="3">
        <v>8.9999999999999993E-3</v>
      </c>
      <c r="D1436" s="1">
        <v>0.5</v>
      </c>
      <c r="E1436" s="4">
        <v>0.19</v>
      </c>
      <c r="F1436" s="4">
        <v>0.24</v>
      </c>
      <c r="G1436" s="4">
        <v>0.57000000000000006</v>
      </c>
    </row>
    <row r="1437" spans="1:7" x14ac:dyDescent="0.25">
      <c r="A1437" s="1">
        <v>1436</v>
      </c>
      <c r="B1437" s="2">
        <v>276855</v>
      </c>
      <c r="C1437" s="3">
        <v>5.0000000000000001E-3</v>
      </c>
      <c r="D1437" s="1">
        <v>0.5</v>
      </c>
      <c r="E1437" s="4">
        <v>0.16</v>
      </c>
      <c r="F1437" s="4">
        <v>0.21</v>
      </c>
      <c r="G1437" s="4">
        <v>0.63</v>
      </c>
    </row>
    <row r="1438" spans="1:7" x14ac:dyDescent="0.25">
      <c r="A1438" s="1">
        <v>1437</v>
      </c>
      <c r="B1438" s="2">
        <v>614130</v>
      </c>
      <c r="C1438" s="3">
        <v>1.2E-2</v>
      </c>
      <c r="D1438" s="1">
        <v>0.5</v>
      </c>
      <c r="E1438" s="4">
        <v>0.21</v>
      </c>
      <c r="F1438" s="4">
        <v>0.16</v>
      </c>
      <c r="G1438" s="4">
        <v>0.63</v>
      </c>
    </row>
    <row r="1439" spans="1:7" x14ac:dyDescent="0.25">
      <c r="A1439" s="1">
        <v>1438</v>
      </c>
      <c r="B1439" s="2">
        <v>379187</v>
      </c>
      <c r="C1439" s="3">
        <v>1.4E-2</v>
      </c>
      <c r="D1439" s="1">
        <v>0.5</v>
      </c>
      <c r="E1439" s="4">
        <v>0.18</v>
      </c>
      <c r="F1439" s="4">
        <v>0.26</v>
      </c>
      <c r="G1439" s="4">
        <v>0.56000000000000005</v>
      </c>
    </row>
    <row r="1440" spans="1:7" x14ac:dyDescent="0.25">
      <c r="A1440" s="1">
        <v>1439</v>
      </c>
      <c r="B1440" s="2">
        <v>550954</v>
      </c>
      <c r="C1440" s="3">
        <v>8.9999999999999993E-3</v>
      </c>
      <c r="D1440" s="1">
        <v>0.5</v>
      </c>
      <c r="E1440" s="4">
        <v>0.23</v>
      </c>
      <c r="F1440" s="4">
        <v>0.25</v>
      </c>
      <c r="G1440" s="4">
        <v>0.52</v>
      </c>
    </row>
    <row r="1441" spans="1:7" x14ac:dyDescent="0.25">
      <c r="A1441" s="1">
        <v>1440</v>
      </c>
      <c r="B1441" s="2">
        <v>946632</v>
      </c>
      <c r="C1441" s="3">
        <v>5.0000000000000001E-3</v>
      </c>
      <c r="D1441" s="1">
        <v>0.5</v>
      </c>
      <c r="E1441" s="4">
        <v>0.23</v>
      </c>
      <c r="F1441" s="4">
        <v>0.2</v>
      </c>
      <c r="G1441" s="4">
        <v>0.57000000000000006</v>
      </c>
    </row>
    <row r="1442" spans="1:7" x14ac:dyDescent="0.25">
      <c r="A1442" s="1">
        <v>1441</v>
      </c>
      <c r="B1442" s="2">
        <v>869426</v>
      </c>
      <c r="C1442" s="3">
        <v>8.0000000000000002E-3</v>
      </c>
      <c r="D1442" s="1">
        <v>0.5</v>
      </c>
      <c r="E1442" s="4">
        <v>0.19</v>
      </c>
      <c r="F1442" s="4">
        <v>0.21</v>
      </c>
      <c r="G1442" s="4">
        <v>0.60000000000000009</v>
      </c>
    </row>
    <row r="1443" spans="1:7" x14ac:dyDescent="0.25">
      <c r="A1443" s="1">
        <v>1442</v>
      </c>
      <c r="B1443" s="2">
        <v>809974</v>
      </c>
      <c r="C1443" s="3">
        <v>8.0000000000000002E-3</v>
      </c>
      <c r="D1443" s="1">
        <v>0.5</v>
      </c>
      <c r="E1443" s="4">
        <v>0.23</v>
      </c>
      <c r="F1443" s="4">
        <v>0.27</v>
      </c>
      <c r="G1443" s="4">
        <v>0.5</v>
      </c>
    </row>
    <row r="1444" spans="1:7" x14ac:dyDescent="0.25">
      <c r="A1444" s="1">
        <v>1443</v>
      </c>
      <c r="B1444" s="2">
        <v>751578</v>
      </c>
      <c r="C1444" s="3">
        <v>7.0000000000000001E-3</v>
      </c>
      <c r="D1444" s="1">
        <v>0.5</v>
      </c>
      <c r="E1444" s="4">
        <v>0.2</v>
      </c>
      <c r="F1444" s="4">
        <v>0.27</v>
      </c>
      <c r="G1444" s="4">
        <v>0.53</v>
      </c>
    </row>
    <row r="1445" spans="1:7" x14ac:dyDescent="0.25">
      <c r="A1445" s="1">
        <v>1444</v>
      </c>
      <c r="B1445" s="2">
        <v>737452</v>
      </c>
      <c r="C1445" s="3">
        <v>1.4999999999999999E-2</v>
      </c>
      <c r="D1445" s="1">
        <v>0.5</v>
      </c>
      <c r="E1445" s="4">
        <v>0.15</v>
      </c>
      <c r="F1445" s="4">
        <v>0.34</v>
      </c>
      <c r="G1445" s="4">
        <v>0.5099999999999999</v>
      </c>
    </row>
    <row r="1446" spans="1:7" x14ac:dyDescent="0.25">
      <c r="A1446" s="1">
        <v>1445</v>
      </c>
      <c r="B1446" s="2">
        <v>980802</v>
      </c>
      <c r="C1446" s="3">
        <v>5.0000000000000001E-3</v>
      </c>
      <c r="D1446" s="1">
        <v>0.5</v>
      </c>
      <c r="E1446" s="4">
        <v>0.25</v>
      </c>
      <c r="F1446" s="4">
        <v>0.34</v>
      </c>
      <c r="G1446" s="4">
        <v>0.40999999999999992</v>
      </c>
    </row>
    <row r="1447" spans="1:7" x14ac:dyDescent="0.25">
      <c r="A1447" s="1">
        <v>1446</v>
      </c>
      <c r="B1447" s="2">
        <v>538189</v>
      </c>
      <c r="C1447" s="3">
        <v>1.2E-2</v>
      </c>
      <c r="D1447" s="1">
        <v>0.5</v>
      </c>
      <c r="E1447" s="4">
        <v>0.2</v>
      </c>
      <c r="F1447" s="4">
        <v>0.21</v>
      </c>
      <c r="G1447" s="4">
        <v>0.59000000000000008</v>
      </c>
    </row>
    <row r="1448" spans="1:7" x14ac:dyDescent="0.25">
      <c r="A1448" s="1">
        <v>1447</v>
      </c>
      <c r="B1448" s="2">
        <v>367211</v>
      </c>
      <c r="C1448" s="3">
        <v>8.0000000000000002E-3</v>
      </c>
      <c r="D1448" s="1">
        <v>0.5</v>
      </c>
      <c r="E1448" s="4">
        <v>0.2</v>
      </c>
      <c r="F1448" s="4">
        <v>0.15</v>
      </c>
      <c r="G1448" s="4">
        <v>0.64999999999999991</v>
      </c>
    </row>
    <row r="1449" spans="1:7" x14ac:dyDescent="0.25">
      <c r="A1449" s="1">
        <v>1448</v>
      </c>
      <c r="B1449" s="2">
        <v>312886</v>
      </c>
      <c r="C1449" s="3">
        <v>5.0000000000000001E-3</v>
      </c>
      <c r="D1449" s="1">
        <v>0.5</v>
      </c>
      <c r="E1449" s="4">
        <v>0.16</v>
      </c>
      <c r="F1449" s="4">
        <v>0.24</v>
      </c>
      <c r="G1449" s="4">
        <v>0.6</v>
      </c>
    </row>
    <row r="1450" spans="1:7" x14ac:dyDescent="0.25">
      <c r="A1450" s="1">
        <v>1449</v>
      </c>
      <c r="B1450" s="2">
        <v>480260</v>
      </c>
      <c r="C1450" s="3">
        <v>1.4999999999999999E-2</v>
      </c>
      <c r="D1450" s="1">
        <v>0.5</v>
      </c>
      <c r="E1450" s="4">
        <v>0.25</v>
      </c>
      <c r="F1450" s="4">
        <v>0.15</v>
      </c>
      <c r="G1450" s="4">
        <v>0.6</v>
      </c>
    </row>
    <row r="1451" spans="1:7" x14ac:dyDescent="0.25">
      <c r="A1451" s="1">
        <v>1450</v>
      </c>
      <c r="B1451" s="2">
        <v>223529</v>
      </c>
      <c r="C1451" s="3">
        <v>8.0000000000000002E-3</v>
      </c>
      <c r="D1451" s="1">
        <v>0.5</v>
      </c>
      <c r="E1451" s="4">
        <v>0.21</v>
      </c>
      <c r="F1451" s="4">
        <v>0.16</v>
      </c>
      <c r="G1451" s="4">
        <v>0.63</v>
      </c>
    </row>
    <row r="1452" spans="1:7" x14ac:dyDescent="0.25">
      <c r="A1452" s="1">
        <v>1451</v>
      </c>
      <c r="B1452" s="2">
        <v>660439</v>
      </c>
      <c r="C1452" s="3">
        <v>6.0000000000000001E-3</v>
      </c>
      <c r="D1452" s="1">
        <v>0.5</v>
      </c>
      <c r="E1452" s="4">
        <v>0.25</v>
      </c>
      <c r="F1452" s="4">
        <v>0.28999999999999998</v>
      </c>
      <c r="G1452" s="4">
        <v>0.45999999999999996</v>
      </c>
    </row>
    <row r="1453" spans="1:7" x14ac:dyDescent="0.25">
      <c r="A1453" s="1">
        <v>1452</v>
      </c>
      <c r="B1453" s="2">
        <v>230582</v>
      </c>
      <c r="C1453" s="3">
        <v>1.4999999999999999E-2</v>
      </c>
      <c r="D1453" s="1">
        <v>0.5</v>
      </c>
      <c r="E1453" s="4">
        <v>0.23</v>
      </c>
      <c r="F1453" s="4">
        <v>0.28999999999999998</v>
      </c>
      <c r="G1453" s="4">
        <v>0.48</v>
      </c>
    </row>
    <row r="1454" spans="1:7" x14ac:dyDescent="0.25">
      <c r="A1454" s="1">
        <v>1453</v>
      </c>
      <c r="B1454" s="2">
        <v>642791</v>
      </c>
      <c r="C1454" s="3">
        <v>5.0000000000000001E-3</v>
      </c>
      <c r="D1454" s="1">
        <v>0.5</v>
      </c>
      <c r="E1454" s="4">
        <v>0.2</v>
      </c>
      <c r="F1454" s="4">
        <v>0.28999999999999998</v>
      </c>
      <c r="G1454" s="4">
        <v>0.51</v>
      </c>
    </row>
    <row r="1455" spans="1:7" x14ac:dyDescent="0.25">
      <c r="A1455" s="1">
        <v>1454</v>
      </c>
      <c r="B1455" s="2">
        <v>609631</v>
      </c>
      <c r="C1455" s="3">
        <v>1.2999999999999999E-2</v>
      </c>
      <c r="D1455" s="1">
        <v>0.5</v>
      </c>
      <c r="E1455" s="4">
        <v>0.24</v>
      </c>
      <c r="F1455" s="4">
        <v>0.3</v>
      </c>
      <c r="G1455" s="4">
        <v>0.45999999999999996</v>
      </c>
    </row>
    <row r="1456" spans="1:7" x14ac:dyDescent="0.25">
      <c r="A1456" s="1">
        <v>1455</v>
      </c>
      <c r="B1456" s="2">
        <v>571170</v>
      </c>
      <c r="C1456" s="3">
        <v>7.0000000000000001E-3</v>
      </c>
      <c r="D1456" s="1">
        <v>0.5</v>
      </c>
      <c r="E1456" s="4">
        <v>0.25</v>
      </c>
      <c r="F1456" s="4">
        <v>0.27</v>
      </c>
      <c r="G1456" s="4">
        <v>0.48</v>
      </c>
    </row>
    <row r="1457" spans="1:7" x14ac:dyDescent="0.25">
      <c r="A1457" s="1">
        <v>1456</v>
      </c>
      <c r="B1457" s="2">
        <v>888081</v>
      </c>
      <c r="C1457" s="3">
        <v>8.0000000000000002E-3</v>
      </c>
      <c r="D1457" s="1">
        <v>0.5</v>
      </c>
      <c r="E1457" s="4">
        <v>0.19</v>
      </c>
      <c r="F1457" s="4">
        <v>0.3</v>
      </c>
      <c r="G1457" s="4">
        <v>0.51</v>
      </c>
    </row>
    <row r="1458" spans="1:7" x14ac:dyDescent="0.25">
      <c r="A1458" s="1">
        <v>1457</v>
      </c>
      <c r="B1458" s="2">
        <v>354095</v>
      </c>
      <c r="C1458" s="3">
        <v>8.9999999999999993E-3</v>
      </c>
      <c r="D1458" s="1">
        <v>0.5</v>
      </c>
      <c r="E1458" s="4">
        <v>0.19</v>
      </c>
      <c r="F1458" s="4">
        <v>0.28999999999999998</v>
      </c>
      <c r="G1458" s="4">
        <v>0.52</v>
      </c>
    </row>
    <row r="1459" spans="1:7" x14ac:dyDescent="0.25">
      <c r="A1459" s="1">
        <v>1458</v>
      </c>
      <c r="B1459" s="2">
        <v>775553</v>
      </c>
      <c r="C1459" s="3">
        <v>0.01</v>
      </c>
      <c r="D1459" s="1">
        <v>0.5</v>
      </c>
      <c r="E1459" s="4">
        <v>0.15</v>
      </c>
      <c r="F1459" s="4">
        <v>0.22</v>
      </c>
      <c r="G1459" s="4">
        <v>0.63</v>
      </c>
    </row>
    <row r="1460" spans="1:7" x14ac:dyDescent="0.25">
      <c r="A1460" s="1">
        <v>1459</v>
      </c>
      <c r="B1460" s="2">
        <v>732314</v>
      </c>
      <c r="C1460" s="3">
        <v>8.0000000000000002E-3</v>
      </c>
      <c r="D1460" s="1">
        <v>0.5</v>
      </c>
      <c r="E1460" s="4">
        <v>0.2</v>
      </c>
      <c r="F1460" s="4">
        <v>0.33</v>
      </c>
      <c r="G1460" s="4">
        <v>0.46999999999999992</v>
      </c>
    </row>
    <row r="1461" spans="1:7" x14ac:dyDescent="0.25">
      <c r="A1461" s="1">
        <v>1460</v>
      </c>
      <c r="B1461" s="2">
        <v>359345</v>
      </c>
      <c r="C1461" s="3">
        <v>1.4E-2</v>
      </c>
      <c r="D1461" s="1">
        <v>0.5</v>
      </c>
      <c r="E1461" s="4">
        <v>0.23</v>
      </c>
      <c r="F1461" s="4">
        <v>0.28000000000000003</v>
      </c>
      <c r="G1461" s="4">
        <v>0.49</v>
      </c>
    </row>
    <row r="1462" spans="1:7" x14ac:dyDescent="0.25">
      <c r="A1462" s="1">
        <v>1461</v>
      </c>
      <c r="B1462" s="2">
        <v>612610</v>
      </c>
      <c r="C1462" s="3">
        <v>1.2E-2</v>
      </c>
      <c r="D1462" s="1">
        <v>0.5</v>
      </c>
      <c r="E1462" s="4">
        <v>0.22</v>
      </c>
      <c r="F1462" s="4">
        <v>0.26</v>
      </c>
      <c r="G1462" s="4">
        <v>0.52</v>
      </c>
    </row>
    <row r="1463" spans="1:7" x14ac:dyDescent="0.25">
      <c r="A1463" s="1">
        <v>1462</v>
      </c>
      <c r="B1463" s="2">
        <v>350174</v>
      </c>
      <c r="C1463" s="3">
        <v>1.4E-2</v>
      </c>
      <c r="D1463" s="1">
        <v>0.5</v>
      </c>
      <c r="E1463" s="4">
        <v>0.18</v>
      </c>
      <c r="F1463" s="4">
        <v>0.33</v>
      </c>
      <c r="G1463" s="4">
        <v>0.48999999999999994</v>
      </c>
    </row>
    <row r="1464" spans="1:7" x14ac:dyDescent="0.25">
      <c r="A1464" s="1">
        <v>1463</v>
      </c>
      <c r="B1464" s="2">
        <v>456068</v>
      </c>
      <c r="C1464" s="3">
        <v>1.4E-2</v>
      </c>
      <c r="D1464" s="1">
        <v>0.5</v>
      </c>
      <c r="E1464" s="4">
        <v>0.21</v>
      </c>
      <c r="F1464" s="4">
        <v>0.25</v>
      </c>
      <c r="G1464" s="4">
        <v>0.54</v>
      </c>
    </row>
    <row r="1465" spans="1:7" x14ac:dyDescent="0.25">
      <c r="A1465" s="1">
        <v>1464</v>
      </c>
      <c r="B1465" s="2">
        <v>704927</v>
      </c>
      <c r="C1465" s="3">
        <v>1.0999999999999999E-2</v>
      </c>
      <c r="D1465" s="1">
        <v>0.5</v>
      </c>
      <c r="E1465" s="4">
        <v>0.15</v>
      </c>
      <c r="F1465" s="4">
        <v>0.21</v>
      </c>
      <c r="G1465" s="4">
        <v>0.64</v>
      </c>
    </row>
    <row r="1466" spans="1:7" x14ac:dyDescent="0.25">
      <c r="A1466" s="1">
        <v>1465</v>
      </c>
      <c r="B1466" s="2">
        <v>228074</v>
      </c>
      <c r="C1466" s="3">
        <v>1.2E-2</v>
      </c>
      <c r="D1466" s="1">
        <v>0.5</v>
      </c>
      <c r="E1466" s="4">
        <v>0.16</v>
      </c>
      <c r="F1466" s="4">
        <v>0.35</v>
      </c>
      <c r="G1466" s="4">
        <v>0.49</v>
      </c>
    </row>
    <row r="1467" spans="1:7" x14ac:dyDescent="0.25">
      <c r="A1467" s="1">
        <v>1466</v>
      </c>
      <c r="B1467" s="2">
        <v>349169</v>
      </c>
      <c r="C1467" s="3">
        <v>8.9999999999999993E-3</v>
      </c>
      <c r="D1467" s="1">
        <v>0.5</v>
      </c>
      <c r="E1467" s="4">
        <v>0.25</v>
      </c>
      <c r="F1467" s="4">
        <v>0.28999999999999998</v>
      </c>
      <c r="G1467" s="4">
        <v>0.45999999999999996</v>
      </c>
    </row>
    <row r="1468" spans="1:7" x14ac:dyDescent="0.25">
      <c r="A1468" s="1">
        <v>1467</v>
      </c>
      <c r="B1468" s="2">
        <v>499740</v>
      </c>
      <c r="C1468" s="3">
        <v>6.0000000000000001E-3</v>
      </c>
      <c r="D1468" s="1">
        <v>0.5</v>
      </c>
      <c r="E1468" s="4">
        <v>0.19</v>
      </c>
      <c r="F1468" s="4">
        <v>0.24</v>
      </c>
      <c r="G1468" s="4">
        <v>0.57000000000000006</v>
      </c>
    </row>
    <row r="1469" spans="1:7" x14ac:dyDescent="0.25">
      <c r="A1469" s="1">
        <v>1468</v>
      </c>
      <c r="B1469" s="2">
        <v>851780</v>
      </c>
      <c r="C1469" s="3">
        <v>1.2E-2</v>
      </c>
      <c r="D1469" s="1">
        <v>0.5</v>
      </c>
      <c r="E1469" s="4">
        <v>0.24</v>
      </c>
      <c r="F1469" s="4">
        <v>0.24</v>
      </c>
      <c r="G1469" s="4">
        <v>0.52</v>
      </c>
    </row>
    <row r="1470" spans="1:7" x14ac:dyDescent="0.25">
      <c r="A1470" s="1">
        <v>1469</v>
      </c>
      <c r="B1470" s="2">
        <v>983443</v>
      </c>
      <c r="C1470" s="3">
        <v>8.0000000000000002E-3</v>
      </c>
      <c r="D1470" s="1">
        <v>0.5</v>
      </c>
      <c r="E1470" s="4">
        <v>0.21</v>
      </c>
      <c r="F1470" s="4">
        <v>0.19</v>
      </c>
      <c r="G1470" s="4">
        <v>0.60000000000000009</v>
      </c>
    </row>
    <row r="1471" spans="1:7" x14ac:dyDescent="0.25">
      <c r="A1471" s="1">
        <v>1470</v>
      </c>
      <c r="B1471" s="2">
        <v>631577</v>
      </c>
      <c r="C1471" s="3">
        <v>1.2E-2</v>
      </c>
      <c r="D1471" s="1">
        <v>0.5</v>
      </c>
      <c r="E1471" s="4">
        <v>0.23</v>
      </c>
      <c r="F1471" s="4">
        <v>0.16</v>
      </c>
      <c r="G1471" s="4">
        <v>0.61</v>
      </c>
    </row>
    <row r="1472" spans="1:7" x14ac:dyDescent="0.25">
      <c r="A1472" s="1">
        <v>1471</v>
      </c>
      <c r="B1472" s="2">
        <v>689262</v>
      </c>
      <c r="C1472" s="3">
        <v>8.0000000000000002E-3</v>
      </c>
      <c r="D1472" s="1">
        <v>0.5</v>
      </c>
      <c r="E1472" s="4">
        <v>0.22</v>
      </c>
      <c r="F1472" s="4">
        <v>0.23</v>
      </c>
      <c r="G1472" s="4">
        <v>0.55000000000000004</v>
      </c>
    </row>
    <row r="1473" spans="1:7" x14ac:dyDescent="0.25">
      <c r="A1473" s="1">
        <v>1472</v>
      </c>
      <c r="B1473" s="2">
        <v>245869</v>
      </c>
      <c r="C1473" s="3">
        <v>1.2E-2</v>
      </c>
      <c r="D1473" s="1">
        <v>0.5</v>
      </c>
      <c r="E1473" s="4">
        <v>0.23</v>
      </c>
      <c r="F1473" s="4">
        <v>0.28999999999999998</v>
      </c>
      <c r="G1473" s="4">
        <v>0.48</v>
      </c>
    </row>
    <row r="1474" spans="1:7" x14ac:dyDescent="0.25">
      <c r="A1474" s="1">
        <v>1473</v>
      </c>
      <c r="B1474" s="2">
        <v>271072</v>
      </c>
      <c r="C1474" s="3">
        <v>1.4E-2</v>
      </c>
      <c r="D1474" s="1">
        <v>0.5</v>
      </c>
      <c r="E1474" s="4">
        <v>0.23</v>
      </c>
      <c r="F1474" s="4">
        <v>0.2</v>
      </c>
      <c r="G1474" s="4">
        <v>0.57000000000000006</v>
      </c>
    </row>
    <row r="1475" spans="1:7" x14ac:dyDescent="0.25">
      <c r="A1475" s="1">
        <v>1474</v>
      </c>
      <c r="B1475" s="2">
        <v>906325</v>
      </c>
      <c r="C1475" s="3">
        <v>8.0000000000000002E-3</v>
      </c>
      <c r="D1475" s="1">
        <v>0.5</v>
      </c>
      <c r="E1475" s="4">
        <v>0.23</v>
      </c>
      <c r="F1475" s="4">
        <v>0.22</v>
      </c>
      <c r="G1475" s="4">
        <v>0.55000000000000004</v>
      </c>
    </row>
    <row r="1476" spans="1:7" x14ac:dyDescent="0.25">
      <c r="A1476" s="1">
        <v>1475</v>
      </c>
      <c r="B1476" s="2">
        <v>599908</v>
      </c>
      <c r="C1476" s="3">
        <v>1.2E-2</v>
      </c>
      <c r="D1476" s="1">
        <v>0.5</v>
      </c>
      <c r="E1476" s="4">
        <v>0.25</v>
      </c>
      <c r="F1476" s="4">
        <v>0.28999999999999998</v>
      </c>
      <c r="G1476" s="4">
        <v>0.45999999999999996</v>
      </c>
    </row>
    <row r="1477" spans="1:7" x14ac:dyDescent="0.25">
      <c r="A1477" s="1">
        <v>1476</v>
      </c>
      <c r="B1477" s="2">
        <v>610782</v>
      </c>
      <c r="C1477" s="3">
        <v>1.2999999999999999E-2</v>
      </c>
      <c r="D1477" s="1">
        <v>0.5</v>
      </c>
      <c r="E1477" s="4">
        <v>0.22</v>
      </c>
      <c r="F1477" s="4">
        <v>0.32</v>
      </c>
      <c r="G1477" s="4">
        <v>0.45999999999999996</v>
      </c>
    </row>
    <row r="1478" spans="1:7" x14ac:dyDescent="0.25">
      <c r="A1478" s="1">
        <v>1477</v>
      </c>
      <c r="B1478" s="2">
        <v>790339</v>
      </c>
      <c r="C1478" s="3">
        <v>1.2E-2</v>
      </c>
      <c r="D1478" s="1">
        <v>0.5</v>
      </c>
      <c r="E1478" s="4">
        <v>0.18</v>
      </c>
      <c r="F1478" s="4">
        <v>0.25</v>
      </c>
      <c r="G1478" s="4">
        <v>0.57000000000000006</v>
      </c>
    </row>
    <row r="1479" spans="1:7" x14ac:dyDescent="0.25">
      <c r="A1479" s="1">
        <v>1478</v>
      </c>
      <c r="B1479" s="2">
        <v>775020</v>
      </c>
      <c r="C1479" s="3">
        <v>5.0000000000000001E-3</v>
      </c>
      <c r="D1479" s="1">
        <v>0.5</v>
      </c>
      <c r="E1479" s="4">
        <v>0.23</v>
      </c>
      <c r="F1479" s="4">
        <v>0.23</v>
      </c>
      <c r="G1479" s="4">
        <v>0.54</v>
      </c>
    </row>
    <row r="1480" spans="1:7" x14ac:dyDescent="0.25">
      <c r="A1480" s="1">
        <v>1479</v>
      </c>
      <c r="B1480" s="2">
        <v>939765</v>
      </c>
      <c r="C1480" s="3">
        <v>1.0999999999999999E-2</v>
      </c>
      <c r="D1480" s="1">
        <v>0.5</v>
      </c>
      <c r="E1480" s="4">
        <v>0.2</v>
      </c>
      <c r="F1480" s="4">
        <v>0.23</v>
      </c>
      <c r="G1480" s="4">
        <v>0.57000000000000006</v>
      </c>
    </row>
    <row r="1481" spans="1:7" x14ac:dyDescent="0.25">
      <c r="A1481" s="1">
        <v>1480</v>
      </c>
      <c r="B1481" s="2">
        <v>841426</v>
      </c>
      <c r="C1481" s="3">
        <v>8.0000000000000002E-3</v>
      </c>
      <c r="D1481" s="1">
        <v>0.5</v>
      </c>
      <c r="E1481" s="4">
        <v>0.2</v>
      </c>
      <c r="F1481" s="4">
        <v>0.15</v>
      </c>
      <c r="G1481" s="4">
        <v>0.64999999999999991</v>
      </c>
    </row>
    <row r="1482" spans="1:7" x14ac:dyDescent="0.25">
      <c r="A1482" s="1">
        <v>1481</v>
      </c>
      <c r="B1482" s="2">
        <v>997567</v>
      </c>
      <c r="C1482" s="3">
        <v>5.0000000000000001E-3</v>
      </c>
      <c r="D1482" s="1">
        <v>0.5</v>
      </c>
      <c r="E1482" s="4">
        <v>0.19</v>
      </c>
      <c r="F1482" s="4">
        <v>0.25</v>
      </c>
      <c r="G1482" s="4">
        <v>0.56000000000000005</v>
      </c>
    </row>
    <row r="1483" spans="1:7" x14ac:dyDescent="0.25">
      <c r="A1483" s="1">
        <v>1482</v>
      </c>
      <c r="B1483" s="2">
        <v>535766</v>
      </c>
      <c r="C1483" s="3">
        <v>1.2999999999999999E-2</v>
      </c>
      <c r="D1483" s="1">
        <v>0.5</v>
      </c>
      <c r="E1483" s="4">
        <v>0.15</v>
      </c>
      <c r="F1483" s="4">
        <v>0.23</v>
      </c>
      <c r="G1483" s="4">
        <v>0.62</v>
      </c>
    </row>
    <row r="1484" spans="1:7" x14ac:dyDescent="0.25">
      <c r="A1484" s="1">
        <v>1483</v>
      </c>
      <c r="B1484" s="2">
        <v>706315</v>
      </c>
      <c r="C1484" s="3">
        <v>6.0000000000000001E-3</v>
      </c>
      <c r="D1484" s="1">
        <v>0.5</v>
      </c>
      <c r="E1484" s="4">
        <v>0.22</v>
      </c>
      <c r="F1484" s="4">
        <v>0.21</v>
      </c>
      <c r="G1484" s="4">
        <v>0.57000000000000006</v>
      </c>
    </row>
    <row r="1485" spans="1:7" x14ac:dyDescent="0.25">
      <c r="A1485" s="1">
        <v>1484</v>
      </c>
      <c r="B1485" s="2">
        <v>527996</v>
      </c>
      <c r="C1485" s="3">
        <v>8.9999999999999993E-3</v>
      </c>
      <c r="D1485" s="1">
        <v>0.5</v>
      </c>
      <c r="E1485" s="4">
        <v>0.15</v>
      </c>
      <c r="F1485" s="4">
        <v>0.22</v>
      </c>
      <c r="G1485" s="4">
        <v>0.63</v>
      </c>
    </row>
    <row r="1486" spans="1:7" x14ac:dyDescent="0.25">
      <c r="A1486" s="1">
        <v>1485</v>
      </c>
      <c r="B1486" s="2">
        <v>717681</v>
      </c>
      <c r="C1486" s="3">
        <v>6.0000000000000001E-3</v>
      </c>
      <c r="D1486" s="1">
        <v>0.5</v>
      </c>
      <c r="E1486" s="4">
        <v>0.23</v>
      </c>
      <c r="F1486" s="4">
        <v>0.18</v>
      </c>
      <c r="G1486" s="4">
        <v>0.59000000000000008</v>
      </c>
    </row>
    <row r="1487" spans="1:7" x14ac:dyDescent="0.25">
      <c r="A1487" s="1">
        <v>1486</v>
      </c>
      <c r="B1487" s="2">
        <v>332724</v>
      </c>
      <c r="C1487" s="3">
        <v>1.2999999999999999E-2</v>
      </c>
      <c r="D1487" s="1">
        <v>0.5</v>
      </c>
      <c r="E1487" s="4">
        <v>0.24</v>
      </c>
      <c r="F1487" s="4">
        <v>0.28000000000000003</v>
      </c>
      <c r="G1487" s="4">
        <v>0.48</v>
      </c>
    </row>
    <row r="1488" spans="1:7" x14ac:dyDescent="0.25">
      <c r="A1488" s="1">
        <v>1487</v>
      </c>
      <c r="B1488" s="2">
        <v>458664</v>
      </c>
      <c r="C1488" s="3">
        <v>1.2E-2</v>
      </c>
      <c r="D1488" s="1">
        <v>0.5</v>
      </c>
      <c r="E1488" s="4">
        <v>0.15</v>
      </c>
      <c r="F1488" s="4">
        <v>0.17</v>
      </c>
      <c r="G1488" s="4">
        <v>0.67999999999999994</v>
      </c>
    </row>
    <row r="1489" spans="1:7" x14ac:dyDescent="0.25">
      <c r="A1489" s="1">
        <v>1488</v>
      </c>
      <c r="B1489" s="2">
        <v>597667</v>
      </c>
      <c r="C1489" s="3">
        <v>1.2E-2</v>
      </c>
      <c r="D1489" s="1">
        <v>0.5</v>
      </c>
      <c r="E1489" s="4">
        <v>0.2</v>
      </c>
      <c r="F1489" s="4">
        <v>0.18</v>
      </c>
      <c r="G1489" s="4">
        <v>0.62000000000000011</v>
      </c>
    </row>
    <row r="1490" spans="1:7" x14ac:dyDescent="0.25">
      <c r="A1490" s="1">
        <v>1489</v>
      </c>
      <c r="B1490" s="2">
        <v>524644</v>
      </c>
      <c r="C1490" s="3">
        <v>1.4E-2</v>
      </c>
      <c r="D1490" s="1">
        <v>0.5</v>
      </c>
      <c r="E1490" s="4">
        <v>0.24</v>
      </c>
      <c r="F1490" s="4">
        <v>0.17</v>
      </c>
      <c r="G1490" s="4">
        <v>0.59</v>
      </c>
    </row>
    <row r="1491" spans="1:7" x14ac:dyDescent="0.25">
      <c r="A1491" s="1">
        <v>1490</v>
      </c>
      <c r="B1491" s="2">
        <v>363209</v>
      </c>
      <c r="C1491" s="3">
        <v>5.0000000000000001E-3</v>
      </c>
      <c r="D1491" s="1">
        <v>0.5</v>
      </c>
      <c r="E1491" s="4">
        <v>0.15</v>
      </c>
      <c r="F1491" s="4">
        <v>0.23</v>
      </c>
      <c r="G1491" s="4">
        <v>0.62</v>
      </c>
    </row>
    <row r="1492" spans="1:7" x14ac:dyDescent="0.25">
      <c r="A1492" s="1">
        <v>1491</v>
      </c>
      <c r="B1492" s="2">
        <v>719971</v>
      </c>
      <c r="C1492" s="3">
        <v>6.0000000000000001E-3</v>
      </c>
      <c r="D1492" s="1">
        <v>0.5</v>
      </c>
      <c r="E1492" s="4">
        <v>0.17</v>
      </c>
      <c r="F1492" s="4">
        <v>0.3</v>
      </c>
      <c r="G1492" s="4">
        <v>0.52999999999999992</v>
      </c>
    </row>
    <row r="1493" spans="1:7" x14ac:dyDescent="0.25">
      <c r="A1493" s="1">
        <v>1492</v>
      </c>
      <c r="B1493" s="2">
        <v>420673</v>
      </c>
      <c r="C1493" s="3">
        <v>0.01</v>
      </c>
      <c r="D1493" s="1">
        <v>0.5</v>
      </c>
      <c r="E1493" s="4">
        <v>0.23</v>
      </c>
      <c r="F1493" s="4">
        <v>0.28999999999999998</v>
      </c>
      <c r="G1493" s="4">
        <v>0.48</v>
      </c>
    </row>
    <row r="1494" spans="1:7" x14ac:dyDescent="0.25">
      <c r="A1494" s="1">
        <v>1493</v>
      </c>
      <c r="B1494" s="2">
        <v>906575</v>
      </c>
      <c r="C1494" s="3">
        <v>8.9999999999999993E-3</v>
      </c>
      <c r="D1494" s="1">
        <v>0.5</v>
      </c>
      <c r="E1494" s="4">
        <v>0.19</v>
      </c>
      <c r="F1494" s="4">
        <v>0.28000000000000003</v>
      </c>
      <c r="G1494" s="4">
        <v>0.53</v>
      </c>
    </row>
    <row r="1495" spans="1:7" x14ac:dyDescent="0.25">
      <c r="A1495" s="1">
        <v>1494</v>
      </c>
      <c r="B1495" s="2">
        <v>501096</v>
      </c>
      <c r="C1495" s="3">
        <v>8.0000000000000002E-3</v>
      </c>
      <c r="D1495" s="1">
        <v>0.5</v>
      </c>
      <c r="E1495" s="4">
        <v>0.2</v>
      </c>
      <c r="F1495" s="4">
        <v>0.24</v>
      </c>
      <c r="G1495" s="4">
        <v>0.56000000000000005</v>
      </c>
    </row>
    <row r="1496" spans="1:7" x14ac:dyDescent="0.25">
      <c r="A1496" s="1">
        <v>1495</v>
      </c>
      <c r="B1496" s="2">
        <v>557095</v>
      </c>
      <c r="C1496" s="3">
        <v>8.9999999999999993E-3</v>
      </c>
      <c r="D1496" s="1">
        <v>0.5</v>
      </c>
      <c r="E1496" s="4">
        <v>0.2</v>
      </c>
      <c r="F1496" s="4">
        <v>0.15</v>
      </c>
      <c r="G1496" s="4">
        <v>0.64999999999999991</v>
      </c>
    </row>
    <row r="1497" spans="1:7" x14ac:dyDescent="0.25">
      <c r="A1497" s="1">
        <v>1496</v>
      </c>
      <c r="B1497" s="2">
        <v>272443</v>
      </c>
      <c r="C1497" s="3">
        <v>1.0999999999999999E-2</v>
      </c>
      <c r="D1497" s="1">
        <v>0.5</v>
      </c>
      <c r="E1497" s="4">
        <v>0.16</v>
      </c>
      <c r="F1497" s="4">
        <v>0.22</v>
      </c>
      <c r="G1497" s="4">
        <v>0.62</v>
      </c>
    </row>
    <row r="1498" spans="1:7" x14ac:dyDescent="0.25">
      <c r="A1498" s="1">
        <v>1497</v>
      </c>
      <c r="B1498" s="2">
        <v>907463</v>
      </c>
      <c r="C1498" s="3">
        <v>8.9999999999999993E-3</v>
      </c>
      <c r="D1498" s="1">
        <v>0.5</v>
      </c>
      <c r="E1498" s="4">
        <v>0.23</v>
      </c>
      <c r="F1498" s="4">
        <v>0.17</v>
      </c>
      <c r="G1498" s="4">
        <v>0.6</v>
      </c>
    </row>
    <row r="1499" spans="1:7" x14ac:dyDescent="0.25">
      <c r="A1499" s="1">
        <v>1498</v>
      </c>
      <c r="B1499" s="2">
        <v>334824</v>
      </c>
      <c r="C1499" s="3">
        <v>8.9999999999999993E-3</v>
      </c>
      <c r="D1499" s="1">
        <v>0.5</v>
      </c>
      <c r="E1499" s="4">
        <v>0.25</v>
      </c>
      <c r="F1499" s="4">
        <v>0.19</v>
      </c>
      <c r="G1499" s="4">
        <v>0.56000000000000005</v>
      </c>
    </row>
    <row r="1500" spans="1:7" x14ac:dyDescent="0.25">
      <c r="A1500" s="1">
        <v>1499</v>
      </c>
      <c r="B1500" s="2">
        <v>703755</v>
      </c>
      <c r="C1500" s="3">
        <v>1.0999999999999999E-2</v>
      </c>
      <c r="D1500" s="1">
        <v>0.5</v>
      </c>
      <c r="E1500" s="4">
        <v>0.17</v>
      </c>
      <c r="F1500" s="4">
        <v>0.25</v>
      </c>
      <c r="G1500" s="4">
        <v>0.57999999999999996</v>
      </c>
    </row>
    <row r="1501" spans="1:7" x14ac:dyDescent="0.25">
      <c r="A1501" s="1">
        <v>1500</v>
      </c>
      <c r="B1501" s="2">
        <v>824606</v>
      </c>
      <c r="C1501" s="3">
        <v>5.0000000000000001E-3</v>
      </c>
      <c r="D1501" s="1">
        <v>0.5</v>
      </c>
      <c r="E1501" s="4">
        <v>0.21</v>
      </c>
      <c r="F1501" s="4">
        <v>0.33</v>
      </c>
      <c r="G1501" s="4">
        <v>0.45999999999999996</v>
      </c>
    </row>
    <row r="1502" spans="1:7" x14ac:dyDescent="0.25">
      <c r="A1502" s="1">
        <v>1501</v>
      </c>
      <c r="B1502" s="2">
        <v>420701</v>
      </c>
      <c r="C1502" s="3">
        <v>1.2999999999999999E-2</v>
      </c>
      <c r="D1502" s="1">
        <v>0.5</v>
      </c>
      <c r="E1502" s="4">
        <v>0.25</v>
      </c>
      <c r="F1502" s="4">
        <v>0.16</v>
      </c>
      <c r="G1502" s="4">
        <v>0.59</v>
      </c>
    </row>
    <row r="1503" spans="1:7" x14ac:dyDescent="0.25">
      <c r="A1503" s="1">
        <v>1502</v>
      </c>
      <c r="B1503" s="2">
        <v>589315</v>
      </c>
      <c r="C1503" s="3">
        <v>1.4E-2</v>
      </c>
      <c r="D1503" s="1">
        <v>0.5</v>
      </c>
      <c r="E1503" s="4">
        <v>0.16</v>
      </c>
      <c r="F1503" s="4">
        <v>0.22</v>
      </c>
      <c r="G1503" s="4">
        <v>0.62</v>
      </c>
    </row>
    <row r="1504" spans="1:7" x14ac:dyDescent="0.25">
      <c r="A1504" s="1">
        <v>1503</v>
      </c>
      <c r="B1504" s="2">
        <v>385862</v>
      </c>
      <c r="C1504" s="3">
        <v>1.0999999999999999E-2</v>
      </c>
      <c r="D1504" s="1">
        <v>0.5</v>
      </c>
      <c r="E1504" s="4">
        <v>0.18</v>
      </c>
      <c r="F1504" s="4">
        <v>0.23</v>
      </c>
      <c r="G1504" s="4">
        <v>0.59000000000000008</v>
      </c>
    </row>
    <row r="1505" spans="1:7" x14ac:dyDescent="0.25">
      <c r="A1505" s="1">
        <v>1504</v>
      </c>
      <c r="B1505" s="2">
        <v>768552</v>
      </c>
      <c r="C1505" s="3">
        <v>1.2999999999999999E-2</v>
      </c>
      <c r="D1505" s="1">
        <v>0.5</v>
      </c>
      <c r="E1505" s="4">
        <v>0.24</v>
      </c>
      <c r="F1505" s="4">
        <v>0.24</v>
      </c>
      <c r="G1505" s="4">
        <v>0.52</v>
      </c>
    </row>
    <row r="1506" spans="1:7" x14ac:dyDescent="0.25">
      <c r="A1506" s="1">
        <v>1505</v>
      </c>
      <c r="B1506" s="2">
        <v>919322</v>
      </c>
      <c r="C1506" s="3">
        <v>1.0999999999999999E-2</v>
      </c>
      <c r="D1506" s="1">
        <v>0.5</v>
      </c>
      <c r="E1506" s="4">
        <v>0.23</v>
      </c>
      <c r="F1506" s="4">
        <v>0.18</v>
      </c>
      <c r="G1506" s="4">
        <v>0.59000000000000008</v>
      </c>
    </row>
    <row r="1507" spans="1:7" x14ac:dyDescent="0.25">
      <c r="A1507" s="1">
        <v>1506</v>
      </c>
      <c r="B1507" s="2">
        <v>520746</v>
      </c>
      <c r="C1507" s="3">
        <v>1.2999999999999999E-2</v>
      </c>
      <c r="D1507" s="1">
        <v>0.5</v>
      </c>
      <c r="E1507" s="4">
        <v>0.24</v>
      </c>
      <c r="F1507" s="4">
        <v>0.22</v>
      </c>
      <c r="G1507" s="4">
        <v>0.54</v>
      </c>
    </row>
    <row r="1508" spans="1:7" x14ac:dyDescent="0.25">
      <c r="A1508" s="1">
        <v>1507</v>
      </c>
      <c r="B1508" s="2">
        <v>280397</v>
      </c>
      <c r="C1508" s="3">
        <v>6.0000000000000001E-3</v>
      </c>
      <c r="D1508" s="1">
        <v>0.5</v>
      </c>
      <c r="E1508" s="4">
        <v>0.23</v>
      </c>
      <c r="F1508" s="4">
        <v>0.28999999999999998</v>
      </c>
      <c r="G1508" s="4">
        <v>0.48</v>
      </c>
    </row>
    <row r="1509" spans="1:7" x14ac:dyDescent="0.25">
      <c r="A1509" s="1">
        <v>1508</v>
      </c>
      <c r="B1509" s="2">
        <v>717238</v>
      </c>
      <c r="C1509" s="3">
        <v>7.0000000000000001E-3</v>
      </c>
      <c r="D1509" s="1">
        <v>0.5</v>
      </c>
      <c r="E1509" s="4">
        <v>0.21</v>
      </c>
      <c r="F1509" s="4">
        <v>0.3</v>
      </c>
      <c r="G1509" s="4">
        <v>0.49</v>
      </c>
    </row>
    <row r="1510" spans="1:7" x14ac:dyDescent="0.25">
      <c r="A1510" s="1">
        <v>1509</v>
      </c>
      <c r="B1510" s="2">
        <v>368984</v>
      </c>
      <c r="C1510" s="3">
        <v>7.0000000000000001E-3</v>
      </c>
      <c r="D1510" s="1">
        <v>0.5</v>
      </c>
      <c r="E1510" s="4">
        <v>0.24</v>
      </c>
      <c r="F1510" s="4">
        <v>0.19</v>
      </c>
      <c r="G1510" s="4">
        <v>0.57000000000000006</v>
      </c>
    </row>
    <row r="1511" spans="1:7" x14ac:dyDescent="0.25">
      <c r="A1511" s="1">
        <v>1510</v>
      </c>
      <c r="B1511" s="2">
        <v>373492</v>
      </c>
      <c r="C1511" s="3">
        <v>7.0000000000000001E-3</v>
      </c>
      <c r="D1511" s="1">
        <v>0.5</v>
      </c>
      <c r="E1511" s="4">
        <v>0.21</v>
      </c>
      <c r="F1511" s="4">
        <v>0.23</v>
      </c>
      <c r="G1511" s="4">
        <v>0.56000000000000005</v>
      </c>
    </row>
    <row r="1512" spans="1:7" x14ac:dyDescent="0.25">
      <c r="A1512" s="1">
        <v>1511</v>
      </c>
      <c r="B1512" s="2">
        <v>346397</v>
      </c>
      <c r="C1512" s="3">
        <v>8.0000000000000002E-3</v>
      </c>
      <c r="D1512" s="1">
        <v>0.5</v>
      </c>
      <c r="E1512" s="4">
        <v>0.23</v>
      </c>
      <c r="F1512" s="4">
        <v>0.18</v>
      </c>
      <c r="G1512" s="4">
        <v>0.59000000000000008</v>
      </c>
    </row>
    <row r="1513" spans="1:7" x14ac:dyDescent="0.25">
      <c r="A1513" s="1">
        <v>1512</v>
      </c>
      <c r="B1513" s="2">
        <v>847210</v>
      </c>
      <c r="C1513" s="3">
        <v>8.9999999999999993E-3</v>
      </c>
      <c r="D1513" s="1">
        <v>0.5</v>
      </c>
      <c r="E1513" s="4">
        <v>0.16</v>
      </c>
      <c r="F1513" s="4">
        <v>0.18</v>
      </c>
      <c r="G1513" s="4">
        <v>0.66</v>
      </c>
    </row>
    <row r="1514" spans="1:7" x14ac:dyDescent="0.25">
      <c r="A1514" s="1">
        <v>1513</v>
      </c>
      <c r="B1514" s="2">
        <v>631629</v>
      </c>
      <c r="C1514" s="3">
        <v>1.0999999999999999E-2</v>
      </c>
      <c r="D1514" s="1">
        <v>0.5</v>
      </c>
      <c r="E1514" s="4">
        <v>0.23</v>
      </c>
      <c r="F1514" s="4">
        <v>0.16</v>
      </c>
      <c r="G1514" s="4">
        <v>0.61</v>
      </c>
    </row>
    <row r="1515" spans="1:7" x14ac:dyDescent="0.25">
      <c r="A1515" s="1">
        <v>1514</v>
      </c>
      <c r="B1515" s="2">
        <v>973652</v>
      </c>
      <c r="C1515" s="3">
        <v>5.0000000000000001E-3</v>
      </c>
      <c r="D1515" s="1">
        <v>0.5</v>
      </c>
      <c r="E1515" s="4">
        <v>0.19</v>
      </c>
      <c r="F1515" s="4">
        <v>0.22</v>
      </c>
      <c r="G1515" s="4">
        <v>0.59000000000000008</v>
      </c>
    </row>
    <row r="1516" spans="1:7" x14ac:dyDescent="0.25">
      <c r="A1516" s="1">
        <v>1515</v>
      </c>
      <c r="B1516" s="2">
        <v>626533</v>
      </c>
      <c r="C1516" s="3">
        <v>8.0000000000000002E-3</v>
      </c>
      <c r="D1516" s="1">
        <v>0.5</v>
      </c>
      <c r="E1516" s="4">
        <v>0.21</v>
      </c>
      <c r="F1516" s="4">
        <v>0.28000000000000003</v>
      </c>
      <c r="G1516" s="4">
        <v>0.51</v>
      </c>
    </row>
    <row r="1517" spans="1:7" x14ac:dyDescent="0.25">
      <c r="A1517" s="1">
        <v>1516</v>
      </c>
      <c r="B1517" s="2">
        <v>545499</v>
      </c>
      <c r="C1517" s="3">
        <v>8.0000000000000002E-3</v>
      </c>
      <c r="D1517" s="1">
        <v>0.5</v>
      </c>
      <c r="E1517" s="4">
        <v>0.17</v>
      </c>
      <c r="F1517" s="4">
        <v>0.33</v>
      </c>
      <c r="G1517" s="4">
        <v>0.49999999999999989</v>
      </c>
    </row>
    <row r="1518" spans="1:7" x14ac:dyDescent="0.25">
      <c r="A1518" s="1">
        <v>1517</v>
      </c>
      <c r="B1518" s="2">
        <v>562552</v>
      </c>
      <c r="C1518" s="3">
        <v>0.01</v>
      </c>
      <c r="D1518" s="1">
        <v>0.5</v>
      </c>
      <c r="E1518" s="4">
        <v>0.15</v>
      </c>
      <c r="F1518" s="4">
        <v>0.2</v>
      </c>
      <c r="G1518" s="4">
        <v>0.65</v>
      </c>
    </row>
    <row r="1519" spans="1:7" x14ac:dyDescent="0.25">
      <c r="A1519" s="1">
        <v>1518</v>
      </c>
      <c r="B1519" s="2">
        <v>300758</v>
      </c>
      <c r="C1519" s="3">
        <v>5.0000000000000001E-3</v>
      </c>
      <c r="D1519" s="1">
        <v>0.5</v>
      </c>
      <c r="E1519" s="4">
        <v>0.2</v>
      </c>
      <c r="F1519" s="4">
        <v>0.23</v>
      </c>
      <c r="G1519" s="4">
        <v>0.57000000000000006</v>
      </c>
    </row>
    <row r="1520" spans="1:7" x14ac:dyDescent="0.25">
      <c r="A1520" s="1">
        <v>1519</v>
      </c>
      <c r="B1520" s="2">
        <v>886549</v>
      </c>
      <c r="C1520" s="3">
        <v>1.2E-2</v>
      </c>
      <c r="D1520" s="1">
        <v>0.5</v>
      </c>
      <c r="E1520" s="4">
        <v>0.23</v>
      </c>
      <c r="F1520" s="4">
        <v>0.26</v>
      </c>
      <c r="G1520" s="4">
        <v>0.51</v>
      </c>
    </row>
    <row r="1521" spans="1:7" x14ac:dyDescent="0.25">
      <c r="A1521" s="1">
        <v>1520</v>
      </c>
      <c r="B1521" s="2">
        <v>922589</v>
      </c>
      <c r="C1521" s="3">
        <v>1.2E-2</v>
      </c>
      <c r="D1521" s="1">
        <v>0.5</v>
      </c>
      <c r="E1521" s="4">
        <v>0.16</v>
      </c>
      <c r="F1521" s="4">
        <v>0.15</v>
      </c>
      <c r="G1521" s="4">
        <v>0.69</v>
      </c>
    </row>
    <row r="1522" spans="1:7" x14ac:dyDescent="0.25">
      <c r="A1522" s="1">
        <v>1521</v>
      </c>
      <c r="B1522" s="2">
        <v>467476</v>
      </c>
      <c r="C1522" s="3">
        <v>0.01</v>
      </c>
      <c r="D1522" s="1">
        <v>0.5</v>
      </c>
      <c r="E1522" s="4">
        <v>0.17</v>
      </c>
      <c r="F1522" s="4">
        <v>0.35</v>
      </c>
      <c r="G1522" s="4">
        <v>0.48</v>
      </c>
    </row>
    <row r="1523" spans="1:7" x14ac:dyDescent="0.25">
      <c r="A1523" s="1">
        <v>1522</v>
      </c>
      <c r="B1523" s="2">
        <v>936801</v>
      </c>
      <c r="C1523" s="3">
        <v>0.01</v>
      </c>
      <c r="D1523" s="1">
        <v>0.5</v>
      </c>
      <c r="E1523" s="4">
        <v>0.2</v>
      </c>
      <c r="F1523" s="4">
        <v>0.25</v>
      </c>
      <c r="G1523" s="4">
        <v>0.55000000000000004</v>
      </c>
    </row>
    <row r="1524" spans="1:7" x14ac:dyDescent="0.25">
      <c r="A1524" s="1">
        <v>1523</v>
      </c>
      <c r="B1524" s="2">
        <v>303951</v>
      </c>
      <c r="C1524" s="3">
        <v>1.2999999999999999E-2</v>
      </c>
      <c r="D1524" s="1">
        <v>0.5</v>
      </c>
      <c r="E1524" s="4">
        <v>0.21</v>
      </c>
      <c r="F1524" s="4">
        <v>0.28999999999999998</v>
      </c>
      <c r="G1524" s="4">
        <v>0.5</v>
      </c>
    </row>
    <row r="1525" spans="1:7" x14ac:dyDescent="0.25">
      <c r="A1525" s="1">
        <v>1524</v>
      </c>
      <c r="B1525" s="2">
        <v>576021</v>
      </c>
      <c r="C1525" s="3">
        <v>1.4E-2</v>
      </c>
      <c r="D1525" s="1">
        <v>0.5</v>
      </c>
      <c r="E1525" s="4">
        <v>0.2</v>
      </c>
      <c r="F1525" s="4">
        <v>0.27</v>
      </c>
      <c r="G1525" s="4">
        <v>0.53</v>
      </c>
    </row>
    <row r="1526" spans="1:7" x14ac:dyDescent="0.25">
      <c r="A1526" s="1">
        <v>1525</v>
      </c>
      <c r="B1526" s="2">
        <v>564796</v>
      </c>
      <c r="C1526" s="3">
        <v>7.0000000000000001E-3</v>
      </c>
      <c r="D1526" s="1">
        <v>0.5</v>
      </c>
      <c r="E1526" s="4">
        <v>0.18</v>
      </c>
      <c r="F1526" s="4">
        <v>0.16</v>
      </c>
      <c r="G1526" s="4">
        <v>0.65999999999999992</v>
      </c>
    </row>
    <row r="1527" spans="1:7" x14ac:dyDescent="0.25">
      <c r="A1527" s="1">
        <v>1526</v>
      </c>
      <c r="B1527" s="2">
        <v>715928</v>
      </c>
      <c r="C1527" s="3">
        <v>1.2999999999999999E-2</v>
      </c>
      <c r="D1527" s="1">
        <v>0.5</v>
      </c>
      <c r="E1527" s="4">
        <v>0.25</v>
      </c>
      <c r="F1527" s="4">
        <v>0.18</v>
      </c>
      <c r="G1527" s="4">
        <v>0.57000000000000006</v>
      </c>
    </row>
    <row r="1528" spans="1:7" x14ac:dyDescent="0.25">
      <c r="A1528" s="1">
        <v>1527</v>
      </c>
      <c r="B1528" s="2">
        <v>271797</v>
      </c>
      <c r="C1528" s="3">
        <v>0.01</v>
      </c>
      <c r="D1528" s="1">
        <v>0.5</v>
      </c>
      <c r="E1528" s="4">
        <v>0.16</v>
      </c>
      <c r="F1528" s="4">
        <v>0.26</v>
      </c>
      <c r="G1528" s="4">
        <v>0.57999999999999996</v>
      </c>
    </row>
    <row r="1529" spans="1:7" x14ac:dyDescent="0.25">
      <c r="A1529" s="1">
        <v>1528</v>
      </c>
      <c r="B1529" s="2">
        <v>907857</v>
      </c>
      <c r="C1529" s="3">
        <v>7.0000000000000001E-3</v>
      </c>
      <c r="D1529" s="1">
        <v>0.5</v>
      </c>
      <c r="E1529" s="4">
        <v>0.24</v>
      </c>
      <c r="F1529" s="4">
        <v>0.21</v>
      </c>
      <c r="G1529" s="4">
        <v>0.55000000000000004</v>
      </c>
    </row>
    <row r="1530" spans="1:7" x14ac:dyDescent="0.25">
      <c r="A1530" s="1">
        <v>1529</v>
      </c>
      <c r="B1530" s="2">
        <v>987136</v>
      </c>
      <c r="C1530" s="3">
        <v>1.0999999999999999E-2</v>
      </c>
      <c r="D1530" s="1">
        <v>0.5</v>
      </c>
      <c r="E1530" s="4">
        <v>0.24</v>
      </c>
      <c r="F1530" s="4">
        <v>0.24</v>
      </c>
      <c r="G1530" s="4">
        <v>0.52</v>
      </c>
    </row>
    <row r="1531" spans="1:7" x14ac:dyDescent="0.25">
      <c r="A1531" s="1">
        <v>1530</v>
      </c>
      <c r="B1531" s="2">
        <v>664080</v>
      </c>
      <c r="C1531" s="3">
        <v>8.0000000000000002E-3</v>
      </c>
      <c r="D1531" s="1">
        <v>0.5</v>
      </c>
      <c r="E1531" s="4">
        <v>0.24</v>
      </c>
      <c r="F1531" s="4">
        <v>0.22</v>
      </c>
      <c r="G1531" s="4">
        <v>0.54</v>
      </c>
    </row>
    <row r="1532" spans="1:7" x14ac:dyDescent="0.25">
      <c r="A1532" s="1">
        <v>1531</v>
      </c>
      <c r="B1532" s="2">
        <v>722816</v>
      </c>
      <c r="C1532" s="3">
        <v>0.01</v>
      </c>
      <c r="D1532" s="1">
        <v>0.5</v>
      </c>
      <c r="E1532" s="4">
        <v>0.25</v>
      </c>
      <c r="F1532" s="4">
        <v>0.22</v>
      </c>
      <c r="G1532" s="4">
        <v>0.53</v>
      </c>
    </row>
    <row r="1533" spans="1:7" x14ac:dyDescent="0.25">
      <c r="A1533" s="1">
        <v>1532</v>
      </c>
      <c r="B1533" s="2">
        <v>536164</v>
      </c>
      <c r="C1533" s="3">
        <v>5.0000000000000001E-3</v>
      </c>
      <c r="D1533" s="1">
        <v>0.5</v>
      </c>
      <c r="E1533" s="4">
        <v>0.17</v>
      </c>
      <c r="F1533" s="4">
        <v>0.28000000000000003</v>
      </c>
      <c r="G1533" s="4">
        <v>0.54999999999999993</v>
      </c>
    </row>
    <row r="1534" spans="1:7" x14ac:dyDescent="0.25">
      <c r="A1534" s="1">
        <v>1533</v>
      </c>
      <c r="B1534" s="2">
        <v>520895</v>
      </c>
      <c r="C1534" s="3">
        <v>8.9999999999999993E-3</v>
      </c>
      <c r="D1534" s="1">
        <v>0.5</v>
      </c>
      <c r="E1534" s="4">
        <v>0.15</v>
      </c>
      <c r="F1534" s="4">
        <v>0.23</v>
      </c>
      <c r="G1534" s="4">
        <v>0.62</v>
      </c>
    </row>
    <row r="1535" spans="1:7" x14ac:dyDescent="0.25">
      <c r="A1535" s="1">
        <v>1534</v>
      </c>
      <c r="B1535" s="2">
        <v>395416</v>
      </c>
      <c r="C1535" s="3">
        <v>0.01</v>
      </c>
      <c r="D1535" s="1">
        <v>0.5</v>
      </c>
      <c r="E1535" s="4">
        <v>0.23</v>
      </c>
      <c r="F1535" s="4">
        <v>0.22</v>
      </c>
      <c r="G1535" s="4">
        <v>0.55000000000000004</v>
      </c>
    </row>
    <row r="1536" spans="1:7" x14ac:dyDescent="0.25">
      <c r="A1536" s="1">
        <v>1535</v>
      </c>
      <c r="B1536" s="2">
        <v>397309</v>
      </c>
      <c r="C1536" s="3">
        <v>1.2999999999999999E-2</v>
      </c>
      <c r="D1536" s="1">
        <v>0.5</v>
      </c>
      <c r="E1536" s="4">
        <v>0.22</v>
      </c>
      <c r="F1536" s="4">
        <v>0.3</v>
      </c>
      <c r="G1536" s="4">
        <v>0.48</v>
      </c>
    </row>
    <row r="1537" spans="1:7" x14ac:dyDescent="0.25">
      <c r="A1537" s="1">
        <v>1536</v>
      </c>
      <c r="B1537" s="2">
        <v>264238</v>
      </c>
      <c r="C1537" s="3">
        <v>6.0000000000000001E-3</v>
      </c>
      <c r="D1537" s="1">
        <v>0.5</v>
      </c>
      <c r="E1537" s="4">
        <v>0.18</v>
      </c>
      <c r="F1537" s="4">
        <v>0.3</v>
      </c>
      <c r="G1537" s="4">
        <v>0.52</v>
      </c>
    </row>
    <row r="1538" spans="1:7" x14ac:dyDescent="0.25">
      <c r="A1538" s="1">
        <v>1537</v>
      </c>
      <c r="B1538" s="2">
        <v>863487</v>
      </c>
      <c r="C1538" s="3">
        <v>7.0000000000000001E-3</v>
      </c>
      <c r="D1538" s="1">
        <v>0.5</v>
      </c>
      <c r="E1538" s="4">
        <v>0.21</v>
      </c>
      <c r="F1538" s="4">
        <v>0.24</v>
      </c>
      <c r="G1538" s="4">
        <v>0.55000000000000004</v>
      </c>
    </row>
    <row r="1539" spans="1:7" x14ac:dyDescent="0.25">
      <c r="A1539" s="1">
        <v>1538</v>
      </c>
      <c r="B1539" s="2">
        <v>310754</v>
      </c>
      <c r="C1539" s="3">
        <v>8.0000000000000002E-3</v>
      </c>
      <c r="D1539" s="1">
        <v>0.5</v>
      </c>
      <c r="E1539" s="4">
        <v>0.21</v>
      </c>
      <c r="F1539" s="4">
        <v>0.3</v>
      </c>
      <c r="G1539" s="4">
        <v>0.49</v>
      </c>
    </row>
    <row r="1540" spans="1:7" x14ac:dyDescent="0.25">
      <c r="A1540" s="1">
        <v>1539</v>
      </c>
      <c r="B1540" s="2">
        <v>513893</v>
      </c>
      <c r="C1540" s="3">
        <v>1.4E-2</v>
      </c>
      <c r="D1540" s="1">
        <v>0.5</v>
      </c>
      <c r="E1540" s="4">
        <v>0.17</v>
      </c>
      <c r="F1540" s="4">
        <v>0.24</v>
      </c>
      <c r="G1540" s="4">
        <v>0.59</v>
      </c>
    </row>
    <row r="1541" spans="1:7" x14ac:dyDescent="0.25">
      <c r="A1541" s="1">
        <v>1540</v>
      </c>
      <c r="B1541" s="2">
        <v>633058</v>
      </c>
      <c r="C1541" s="3">
        <v>0.01</v>
      </c>
      <c r="D1541" s="1">
        <v>0.5</v>
      </c>
      <c r="E1541" s="4">
        <v>0.19</v>
      </c>
      <c r="F1541" s="4">
        <v>0.19</v>
      </c>
      <c r="G1541" s="4">
        <v>0.62000000000000011</v>
      </c>
    </row>
    <row r="1542" spans="1:7" x14ac:dyDescent="0.25">
      <c r="A1542" s="1">
        <v>1541</v>
      </c>
      <c r="B1542" s="2">
        <v>996655</v>
      </c>
      <c r="C1542" s="3">
        <v>1.4999999999999999E-2</v>
      </c>
      <c r="D1542" s="1">
        <v>0.5</v>
      </c>
      <c r="E1542" s="4">
        <v>0.22</v>
      </c>
      <c r="F1542" s="4">
        <v>0.27</v>
      </c>
      <c r="G1542" s="4">
        <v>0.51</v>
      </c>
    </row>
    <row r="1543" spans="1:7" x14ac:dyDescent="0.25">
      <c r="A1543" s="1">
        <v>1542</v>
      </c>
      <c r="B1543" s="2">
        <v>890841</v>
      </c>
      <c r="C1543" s="3">
        <v>8.0000000000000002E-3</v>
      </c>
      <c r="D1543" s="1">
        <v>0.5</v>
      </c>
      <c r="E1543" s="4">
        <v>0.15</v>
      </c>
      <c r="F1543" s="4">
        <v>0.22</v>
      </c>
      <c r="G1543" s="4">
        <v>0.63</v>
      </c>
    </row>
    <row r="1544" spans="1:7" x14ac:dyDescent="0.25">
      <c r="A1544" s="1">
        <v>1543</v>
      </c>
      <c r="B1544" s="2">
        <v>518350</v>
      </c>
      <c r="C1544" s="3">
        <v>8.9999999999999993E-3</v>
      </c>
      <c r="D1544" s="1">
        <v>0.5</v>
      </c>
      <c r="E1544" s="4">
        <v>0.17</v>
      </c>
      <c r="F1544" s="4">
        <v>0.34</v>
      </c>
      <c r="G1544" s="4">
        <v>0.48999999999999988</v>
      </c>
    </row>
    <row r="1545" spans="1:7" x14ac:dyDescent="0.25">
      <c r="A1545" s="1">
        <v>1544</v>
      </c>
      <c r="B1545" s="2">
        <v>480791</v>
      </c>
      <c r="C1545" s="3">
        <v>5.0000000000000001E-3</v>
      </c>
      <c r="D1545" s="1">
        <v>0.5</v>
      </c>
      <c r="E1545" s="4">
        <v>0.22</v>
      </c>
      <c r="F1545" s="4">
        <v>0.32</v>
      </c>
      <c r="G1545" s="4">
        <v>0.45999999999999996</v>
      </c>
    </row>
    <row r="1546" spans="1:7" x14ac:dyDescent="0.25">
      <c r="A1546" s="1">
        <v>1545</v>
      </c>
      <c r="B1546" s="2">
        <v>445009</v>
      </c>
      <c r="C1546" s="3">
        <v>1.4999999999999999E-2</v>
      </c>
      <c r="D1546" s="1">
        <v>0.5</v>
      </c>
      <c r="E1546" s="4">
        <v>0.24</v>
      </c>
      <c r="F1546" s="4">
        <v>0.22</v>
      </c>
      <c r="G1546" s="4">
        <v>0.54</v>
      </c>
    </row>
    <row r="1547" spans="1:7" x14ac:dyDescent="0.25">
      <c r="A1547" s="1">
        <v>1546</v>
      </c>
      <c r="B1547" s="2">
        <v>398383</v>
      </c>
      <c r="C1547" s="3">
        <v>0.01</v>
      </c>
      <c r="D1547" s="1">
        <v>0.5</v>
      </c>
      <c r="E1547" s="4">
        <v>0.15</v>
      </c>
      <c r="F1547" s="4">
        <v>0.16</v>
      </c>
      <c r="G1547" s="4">
        <v>0.69</v>
      </c>
    </row>
    <row r="1548" spans="1:7" x14ac:dyDescent="0.25">
      <c r="A1548" s="1">
        <v>1547</v>
      </c>
      <c r="B1548" s="2">
        <v>814999</v>
      </c>
      <c r="C1548" s="3">
        <v>1.0999999999999999E-2</v>
      </c>
      <c r="D1548" s="1">
        <v>0.5</v>
      </c>
      <c r="E1548" s="4">
        <v>0.16</v>
      </c>
      <c r="F1548" s="4">
        <v>0.17</v>
      </c>
      <c r="G1548" s="4">
        <v>0.66999999999999993</v>
      </c>
    </row>
    <row r="1549" spans="1:7" x14ac:dyDescent="0.25">
      <c r="A1549" s="1">
        <v>1548</v>
      </c>
      <c r="B1549" s="2">
        <v>426046</v>
      </c>
      <c r="C1549" s="3">
        <v>1.2E-2</v>
      </c>
      <c r="D1549" s="1">
        <v>0.5</v>
      </c>
      <c r="E1549" s="4">
        <v>0.21</v>
      </c>
      <c r="F1549" s="4">
        <v>0.21</v>
      </c>
      <c r="G1549" s="4">
        <v>0.58000000000000007</v>
      </c>
    </row>
    <row r="1550" spans="1:7" x14ac:dyDescent="0.25">
      <c r="A1550" s="1">
        <v>1549</v>
      </c>
      <c r="B1550" s="2">
        <v>542625</v>
      </c>
      <c r="C1550" s="3">
        <v>5.0000000000000001E-3</v>
      </c>
      <c r="D1550" s="1">
        <v>0.5</v>
      </c>
      <c r="E1550" s="4">
        <v>0.25</v>
      </c>
      <c r="F1550" s="4">
        <v>0.17</v>
      </c>
      <c r="G1550" s="4">
        <v>0.57999999999999996</v>
      </c>
    </row>
    <row r="1551" spans="1:7" x14ac:dyDescent="0.25">
      <c r="A1551" s="1">
        <v>1550</v>
      </c>
      <c r="B1551" s="2">
        <v>639492</v>
      </c>
      <c r="C1551" s="3">
        <v>6.0000000000000001E-3</v>
      </c>
      <c r="D1551" s="1">
        <v>0.5</v>
      </c>
      <c r="E1551" s="4">
        <v>0.15</v>
      </c>
      <c r="F1551" s="4">
        <v>0.31</v>
      </c>
      <c r="G1551" s="4">
        <v>0.53999999999999992</v>
      </c>
    </row>
    <row r="1552" spans="1:7" x14ac:dyDescent="0.25">
      <c r="A1552" s="1">
        <v>1551</v>
      </c>
      <c r="B1552" s="2">
        <v>428968</v>
      </c>
      <c r="C1552" s="3">
        <v>1.2E-2</v>
      </c>
      <c r="D1552" s="1">
        <v>0.5</v>
      </c>
      <c r="E1552" s="4">
        <v>0.22</v>
      </c>
      <c r="F1552" s="4">
        <v>0.21</v>
      </c>
      <c r="G1552" s="4">
        <v>0.57000000000000006</v>
      </c>
    </row>
    <row r="1553" spans="1:7" x14ac:dyDescent="0.25">
      <c r="A1553" s="1">
        <v>1552</v>
      </c>
      <c r="B1553" s="2">
        <v>934747</v>
      </c>
      <c r="C1553" s="3">
        <v>8.9999999999999993E-3</v>
      </c>
      <c r="D1553" s="1">
        <v>0.5</v>
      </c>
      <c r="E1553" s="4">
        <v>0.25</v>
      </c>
      <c r="F1553" s="4">
        <v>0.26</v>
      </c>
      <c r="G1553" s="4">
        <v>0.49</v>
      </c>
    </row>
    <row r="1554" spans="1:7" x14ac:dyDescent="0.25">
      <c r="A1554" s="1">
        <v>1553</v>
      </c>
      <c r="B1554" s="2">
        <v>648396</v>
      </c>
      <c r="C1554" s="3">
        <v>1.0999999999999999E-2</v>
      </c>
      <c r="D1554" s="1">
        <v>0.5</v>
      </c>
      <c r="E1554" s="4">
        <v>0.24</v>
      </c>
      <c r="F1554" s="4">
        <v>0.22</v>
      </c>
      <c r="G1554" s="4">
        <v>0.54</v>
      </c>
    </row>
    <row r="1555" spans="1:7" x14ac:dyDescent="0.25">
      <c r="A1555" s="1">
        <v>1554</v>
      </c>
      <c r="B1555" s="2">
        <v>416468</v>
      </c>
      <c r="C1555" s="3">
        <v>6.0000000000000001E-3</v>
      </c>
      <c r="D1555" s="1">
        <v>0.5</v>
      </c>
      <c r="E1555" s="4">
        <v>0.16</v>
      </c>
      <c r="F1555" s="4">
        <v>0.15</v>
      </c>
      <c r="G1555" s="4">
        <v>0.69</v>
      </c>
    </row>
    <row r="1556" spans="1:7" x14ac:dyDescent="0.25">
      <c r="A1556" s="1">
        <v>1555</v>
      </c>
      <c r="B1556" s="2">
        <v>764810</v>
      </c>
      <c r="C1556" s="3">
        <v>6.0000000000000001E-3</v>
      </c>
      <c r="D1556" s="1">
        <v>0.5</v>
      </c>
      <c r="E1556" s="4">
        <v>0.17</v>
      </c>
      <c r="F1556" s="4">
        <v>0.3</v>
      </c>
      <c r="G1556" s="4">
        <v>0.52999999999999992</v>
      </c>
    </row>
    <row r="1557" spans="1:7" x14ac:dyDescent="0.25">
      <c r="A1557" s="1">
        <v>1556</v>
      </c>
      <c r="B1557" s="2">
        <v>981777</v>
      </c>
      <c r="C1557" s="3">
        <v>5.0000000000000001E-3</v>
      </c>
      <c r="D1557" s="1">
        <v>0.5</v>
      </c>
      <c r="E1557" s="4">
        <v>0.21</v>
      </c>
      <c r="F1557" s="4">
        <v>0.26</v>
      </c>
      <c r="G1557" s="4">
        <v>0.53</v>
      </c>
    </row>
    <row r="1558" spans="1:7" x14ac:dyDescent="0.25">
      <c r="A1558" s="1">
        <v>1557</v>
      </c>
      <c r="B1558" s="2">
        <v>862101</v>
      </c>
      <c r="C1558" s="3">
        <v>1.4999999999999999E-2</v>
      </c>
      <c r="D1558" s="1">
        <v>0.5</v>
      </c>
      <c r="E1558" s="4">
        <v>0.21</v>
      </c>
      <c r="F1558" s="4">
        <v>0.3</v>
      </c>
      <c r="G1558" s="4">
        <v>0.49</v>
      </c>
    </row>
    <row r="1559" spans="1:7" x14ac:dyDescent="0.25">
      <c r="A1559" s="1">
        <v>1558</v>
      </c>
      <c r="B1559" s="2">
        <v>833733</v>
      </c>
      <c r="C1559" s="3">
        <v>1.4999999999999999E-2</v>
      </c>
      <c r="D1559" s="1">
        <v>0.5</v>
      </c>
      <c r="E1559" s="4">
        <v>0.22</v>
      </c>
      <c r="F1559" s="4">
        <v>0.32</v>
      </c>
      <c r="G1559" s="4">
        <v>0.45999999999999996</v>
      </c>
    </row>
    <row r="1560" spans="1:7" x14ac:dyDescent="0.25">
      <c r="A1560" s="1">
        <v>1559</v>
      </c>
      <c r="B1560" s="2">
        <v>901558</v>
      </c>
      <c r="C1560" s="3">
        <v>5.0000000000000001E-3</v>
      </c>
      <c r="D1560" s="1">
        <v>0.5</v>
      </c>
      <c r="E1560" s="4">
        <v>0.22</v>
      </c>
      <c r="F1560" s="4">
        <v>0.22</v>
      </c>
      <c r="G1560" s="4">
        <v>0.56000000000000005</v>
      </c>
    </row>
    <row r="1561" spans="1:7" x14ac:dyDescent="0.25">
      <c r="A1561" s="1">
        <v>1560</v>
      </c>
      <c r="B1561" s="2">
        <v>723033</v>
      </c>
      <c r="C1561" s="3">
        <v>1.0999999999999999E-2</v>
      </c>
      <c r="D1561" s="1">
        <v>0.5</v>
      </c>
      <c r="E1561" s="4">
        <v>0.19</v>
      </c>
      <c r="F1561" s="4">
        <v>0.16</v>
      </c>
      <c r="G1561" s="4">
        <v>0.64999999999999991</v>
      </c>
    </row>
    <row r="1562" spans="1:7" x14ac:dyDescent="0.25">
      <c r="A1562" s="1">
        <v>1561</v>
      </c>
      <c r="B1562" s="2">
        <v>434676</v>
      </c>
      <c r="C1562" s="3">
        <v>7.0000000000000001E-3</v>
      </c>
      <c r="D1562" s="1">
        <v>0.5</v>
      </c>
      <c r="E1562" s="4">
        <v>0.23</v>
      </c>
      <c r="F1562" s="4">
        <v>0.22</v>
      </c>
      <c r="G1562" s="4">
        <v>0.55000000000000004</v>
      </c>
    </row>
    <row r="1563" spans="1:7" x14ac:dyDescent="0.25">
      <c r="A1563" s="1">
        <v>1562</v>
      </c>
      <c r="B1563" s="2">
        <v>444275</v>
      </c>
      <c r="C1563" s="3">
        <v>6.0000000000000001E-3</v>
      </c>
      <c r="D1563" s="1">
        <v>0.5</v>
      </c>
      <c r="E1563" s="4">
        <v>0.25</v>
      </c>
      <c r="F1563" s="4">
        <v>0.15</v>
      </c>
      <c r="G1563" s="4">
        <v>0.6</v>
      </c>
    </row>
    <row r="1564" spans="1:7" x14ac:dyDescent="0.25">
      <c r="A1564" s="1">
        <v>1563</v>
      </c>
      <c r="B1564" s="2">
        <v>428433</v>
      </c>
      <c r="C1564" s="3">
        <v>5.0000000000000001E-3</v>
      </c>
      <c r="D1564" s="1">
        <v>0.5</v>
      </c>
      <c r="E1564" s="4">
        <v>0.25</v>
      </c>
      <c r="F1564" s="4">
        <v>0.25</v>
      </c>
      <c r="G1564" s="4">
        <v>0.5</v>
      </c>
    </row>
    <row r="1565" spans="1:7" x14ac:dyDescent="0.25">
      <c r="A1565" s="1">
        <v>1564</v>
      </c>
      <c r="B1565" s="2">
        <v>864109</v>
      </c>
      <c r="C1565" s="3">
        <v>1.4E-2</v>
      </c>
      <c r="D1565" s="1">
        <v>0.5</v>
      </c>
      <c r="E1565" s="4">
        <v>0.17</v>
      </c>
      <c r="F1565" s="4">
        <v>0.3</v>
      </c>
      <c r="G1565" s="4">
        <v>0.52999999999999992</v>
      </c>
    </row>
    <row r="1566" spans="1:7" x14ac:dyDescent="0.25">
      <c r="A1566" s="1">
        <v>1565</v>
      </c>
      <c r="B1566" s="2">
        <v>733128</v>
      </c>
      <c r="C1566" s="3">
        <v>5.0000000000000001E-3</v>
      </c>
      <c r="D1566" s="1">
        <v>0.5</v>
      </c>
      <c r="E1566" s="4">
        <v>0.16</v>
      </c>
      <c r="F1566" s="4">
        <v>0.19</v>
      </c>
      <c r="G1566" s="4">
        <v>0.65</v>
      </c>
    </row>
    <row r="1567" spans="1:7" x14ac:dyDescent="0.25">
      <c r="A1567" s="1">
        <v>1566</v>
      </c>
      <c r="B1567" s="2">
        <v>396595</v>
      </c>
      <c r="C1567" s="3">
        <v>1.4999999999999999E-2</v>
      </c>
      <c r="D1567" s="1">
        <v>0.5</v>
      </c>
      <c r="E1567" s="4">
        <v>0.17</v>
      </c>
      <c r="F1567" s="4">
        <v>0.33</v>
      </c>
      <c r="G1567" s="4">
        <v>0.49999999999999989</v>
      </c>
    </row>
    <row r="1568" spans="1:7" x14ac:dyDescent="0.25">
      <c r="A1568" s="1">
        <v>1567</v>
      </c>
      <c r="B1568" s="2">
        <v>256507</v>
      </c>
      <c r="C1568" s="3">
        <v>8.9999999999999993E-3</v>
      </c>
      <c r="D1568" s="1">
        <v>0.5</v>
      </c>
      <c r="E1568" s="4">
        <v>0.19</v>
      </c>
      <c r="F1568" s="4">
        <v>0.15</v>
      </c>
      <c r="G1568" s="4">
        <v>0.65999999999999992</v>
      </c>
    </row>
    <row r="1569" spans="1:7" x14ac:dyDescent="0.25">
      <c r="A1569" s="1">
        <v>1568</v>
      </c>
      <c r="B1569" s="2">
        <v>852332</v>
      </c>
      <c r="C1569" s="3">
        <v>1.0999999999999999E-2</v>
      </c>
      <c r="D1569" s="1">
        <v>0.5</v>
      </c>
      <c r="E1569" s="4">
        <v>0.22</v>
      </c>
      <c r="F1569" s="4">
        <v>0.33</v>
      </c>
      <c r="G1569" s="4">
        <v>0.44999999999999996</v>
      </c>
    </row>
    <row r="1570" spans="1:7" x14ac:dyDescent="0.25">
      <c r="A1570" s="1">
        <v>1569</v>
      </c>
      <c r="B1570" s="2">
        <v>263814</v>
      </c>
      <c r="C1570" s="3">
        <v>8.9999999999999993E-3</v>
      </c>
      <c r="D1570" s="1">
        <v>0.5</v>
      </c>
      <c r="E1570" s="4">
        <v>0.21</v>
      </c>
      <c r="F1570" s="4">
        <v>0.19</v>
      </c>
      <c r="G1570" s="4">
        <v>0.60000000000000009</v>
      </c>
    </row>
    <row r="1571" spans="1:7" x14ac:dyDescent="0.25">
      <c r="A1571" s="1">
        <v>1570</v>
      </c>
      <c r="B1571" s="2">
        <v>908475</v>
      </c>
      <c r="C1571" s="3">
        <v>8.0000000000000002E-3</v>
      </c>
      <c r="D1571" s="1">
        <v>0.5</v>
      </c>
      <c r="E1571" s="4">
        <v>0.2</v>
      </c>
      <c r="F1571" s="4">
        <v>0.15</v>
      </c>
      <c r="G1571" s="4">
        <v>0.64999999999999991</v>
      </c>
    </row>
    <row r="1572" spans="1:7" x14ac:dyDescent="0.25">
      <c r="A1572" s="1">
        <v>1571</v>
      </c>
      <c r="B1572" s="2">
        <v>730268</v>
      </c>
      <c r="C1572" s="3">
        <v>8.9999999999999993E-3</v>
      </c>
      <c r="D1572" s="1">
        <v>0.5</v>
      </c>
      <c r="E1572" s="4">
        <v>0.25</v>
      </c>
      <c r="F1572" s="4">
        <v>0.21</v>
      </c>
      <c r="G1572" s="4">
        <v>0.54</v>
      </c>
    </row>
    <row r="1573" spans="1:7" x14ac:dyDescent="0.25">
      <c r="A1573" s="1">
        <v>1572</v>
      </c>
      <c r="B1573" s="2">
        <v>538099</v>
      </c>
      <c r="C1573" s="3">
        <v>1.4E-2</v>
      </c>
      <c r="D1573" s="1">
        <v>0.5</v>
      </c>
      <c r="E1573" s="4">
        <v>0.18</v>
      </c>
      <c r="F1573" s="4">
        <v>0.34</v>
      </c>
      <c r="G1573" s="4">
        <v>0.47999999999999993</v>
      </c>
    </row>
    <row r="1574" spans="1:7" x14ac:dyDescent="0.25">
      <c r="A1574" s="1">
        <v>1573</v>
      </c>
      <c r="B1574" s="2">
        <v>284740</v>
      </c>
      <c r="C1574" s="3">
        <v>1.4E-2</v>
      </c>
      <c r="D1574" s="1">
        <v>0.5</v>
      </c>
      <c r="E1574" s="4">
        <v>0.17</v>
      </c>
      <c r="F1574" s="4">
        <v>0.3</v>
      </c>
      <c r="G1574" s="4">
        <v>0.52999999999999992</v>
      </c>
    </row>
    <row r="1575" spans="1:7" x14ac:dyDescent="0.25">
      <c r="A1575" s="1">
        <v>1574</v>
      </c>
      <c r="B1575" s="2">
        <v>238606</v>
      </c>
      <c r="C1575" s="3">
        <v>1.4999999999999999E-2</v>
      </c>
      <c r="D1575" s="1">
        <v>0.5</v>
      </c>
      <c r="E1575" s="4">
        <v>0.25</v>
      </c>
      <c r="F1575" s="4">
        <v>0.17</v>
      </c>
      <c r="G1575" s="4">
        <v>0.57999999999999996</v>
      </c>
    </row>
    <row r="1576" spans="1:7" x14ac:dyDescent="0.25">
      <c r="A1576" s="1">
        <v>1575</v>
      </c>
      <c r="B1576" s="2">
        <v>907178</v>
      </c>
      <c r="C1576" s="3">
        <v>5.0000000000000001E-3</v>
      </c>
      <c r="D1576" s="1">
        <v>0.5</v>
      </c>
      <c r="E1576" s="4">
        <v>0.18</v>
      </c>
      <c r="F1576" s="4">
        <v>0.17</v>
      </c>
      <c r="G1576" s="4">
        <v>0.64999999999999991</v>
      </c>
    </row>
    <row r="1577" spans="1:7" x14ac:dyDescent="0.25">
      <c r="A1577" s="1">
        <v>1576</v>
      </c>
      <c r="B1577" s="2">
        <v>692605</v>
      </c>
      <c r="C1577" s="3">
        <v>1.2999999999999999E-2</v>
      </c>
      <c r="D1577" s="1">
        <v>0.5</v>
      </c>
      <c r="E1577" s="4">
        <v>0.15</v>
      </c>
      <c r="F1577" s="4">
        <v>0.17</v>
      </c>
      <c r="G1577" s="4">
        <v>0.67999999999999994</v>
      </c>
    </row>
    <row r="1578" spans="1:7" x14ac:dyDescent="0.25">
      <c r="A1578" s="1">
        <v>1577</v>
      </c>
      <c r="B1578" s="2">
        <v>753822</v>
      </c>
      <c r="C1578" s="3">
        <v>7.0000000000000001E-3</v>
      </c>
      <c r="D1578" s="1">
        <v>0.5</v>
      </c>
      <c r="E1578" s="4">
        <v>0.15</v>
      </c>
      <c r="F1578" s="4">
        <v>0.3</v>
      </c>
      <c r="G1578" s="4">
        <v>0.54999999999999993</v>
      </c>
    </row>
    <row r="1579" spans="1:7" x14ac:dyDescent="0.25">
      <c r="A1579" s="1">
        <v>1578</v>
      </c>
      <c r="B1579" s="2">
        <v>997780</v>
      </c>
      <c r="C1579" s="3">
        <v>0.01</v>
      </c>
      <c r="D1579" s="1">
        <v>0.5</v>
      </c>
      <c r="E1579" s="4">
        <v>0.15</v>
      </c>
      <c r="F1579" s="4">
        <v>0.33</v>
      </c>
      <c r="G1579" s="4">
        <v>0.51999999999999991</v>
      </c>
    </row>
    <row r="1580" spans="1:7" x14ac:dyDescent="0.25">
      <c r="A1580" s="1">
        <v>1579</v>
      </c>
      <c r="B1580" s="2">
        <v>569987</v>
      </c>
      <c r="C1580" s="3">
        <v>5.0000000000000001E-3</v>
      </c>
      <c r="D1580" s="1">
        <v>0.5</v>
      </c>
      <c r="E1580" s="4">
        <v>0.15</v>
      </c>
      <c r="F1580" s="4">
        <v>0.2</v>
      </c>
      <c r="G1580" s="4">
        <v>0.65</v>
      </c>
    </row>
    <row r="1581" spans="1:7" x14ac:dyDescent="0.25">
      <c r="A1581" s="1">
        <v>1580</v>
      </c>
      <c r="B1581" s="2">
        <v>741754</v>
      </c>
      <c r="C1581" s="3">
        <v>6.0000000000000001E-3</v>
      </c>
      <c r="D1581" s="1">
        <v>0.5</v>
      </c>
      <c r="E1581" s="4">
        <v>0.25</v>
      </c>
      <c r="F1581" s="4">
        <v>0.32</v>
      </c>
      <c r="G1581" s="4">
        <v>0.42999999999999994</v>
      </c>
    </row>
    <row r="1582" spans="1:7" x14ac:dyDescent="0.25">
      <c r="A1582" s="1">
        <v>1581</v>
      </c>
      <c r="B1582" s="2">
        <v>685331</v>
      </c>
      <c r="C1582" s="3">
        <v>0.01</v>
      </c>
      <c r="D1582" s="1">
        <v>0.5</v>
      </c>
      <c r="E1582" s="4">
        <v>0.22</v>
      </c>
      <c r="F1582" s="4">
        <v>0.19</v>
      </c>
      <c r="G1582" s="4">
        <v>0.59000000000000008</v>
      </c>
    </row>
    <row r="1583" spans="1:7" x14ac:dyDescent="0.25">
      <c r="A1583" s="1">
        <v>1582</v>
      </c>
      <c r="B1583" s="2">
        <v>944096</v>
      </c>
      <c r="C1583" s="3">
        <v>0.01</v>
      </c>
      <c r="D1583" s="1">
        <v>0.5</v>
      </c>
      <c r="E1583" s="4">
        <v>0.17</v>
      </c>
      <c r="F1583" s="4">
        <v>0.17</v>
      </c>
      <c r="G1583" s="4">
        <v>0.65999999999999992</v>
      </c>
    </row>
    <row r="1584" spans="1:7" x14ac:dyDescent="0.25">
      <c r="A1584" s="1">
        <v>1583</v>
      </c>
      <c r="B1584" s="2">
        <v>395366</v>
      </c>
      <c r="C1584" s="3">
        <v>1.0999999999999999E-2</v>
      </c>
      <c r="D1584" s="1">
        <v>0.5</v>
      </c>
      <c r="E1584" s="4">
        <v>0.21</v>
      </c>
      <c r="F1584" s="4">
        <v>0.24</v>
      </c>
      <c r="G1584" s="4">
        <v>0.55000000000000004</v>
      </c>
    </row>
    <row r="1585" spans="1:7" x14ac:dyDescent="0.25">
      <c r="A1585" s="1">
        <v>1584</v>
      </c>
      <c r="B1585" s="2">
        <v>629899</v>
      </c>
      <c r="C1585" s="3">
        <v>1.2999999999999999E-2</v>
      </c>
      <c r="D1585" s="1">
        <v>0.5</v>
      </c>
      <c r="E1585" s="4">
        <v>0.19</v>
      </c>
      <c r="F1585" s="4">
        <v>0.16</v>
      </c>
      <c r="G1585" s="4">
        <v>0.64999999999999991</v>
      </c>
    </row>
    <row r="1586" spans="1:7" x14ac:dyDescent="0.25">
      <c r="A1586" s="1">
        <v>1585</v>
      </c>
      <c r="B1586" s="2">
        <v>770569</v>
      </c>
      <c r="C1586" s="3">
        <v>8.9999999999999993E-3</v>
      </c>
      <c r="D1586" s="1">
        <v>0.5</v>
      </c>
      <c r="E1586" s="4">
        <v>0.17</v>
      </c>
      <c r="F1586" s="4">
        <v>0.15</v>
      </c>
      <c r="G1586" s="4">
        <v>0.67999999999999994</v>
      </c>
    </row>
    <row r="1587" spans="1:7" x14ac:dyDescent="0.25">
      <c r="A1587" s="1">
        <v>1586</v>
      </c>
      <c r="B1587" s="2">
        <v>624809</v>
      </c>
      <c r="C1587" s="3">
        <v>1.2E-2</v>
      </c>
      <c r="D1587" s="1">
        <v>0.5</v>
      </c>
      <c r="E1587" s="4">
        <v>0.18</v>
      </c>
      <c r="F1587" s="4">
        <v>0.21</v>
      </c>
      <c r="G1587" s="4">
        <v>0.6100000000000001</v>
      </c>
    </row>
    <row r="1588" spans="1:7" x14ac:dyDescent="0.25">
      <c r="A1588" s="1">
        <v>1587</v>
      </c>
      <c r="B1588" s="2">
        <v>489792</v>
      </c>
      <c r="C1588" s="3">
        <v>1.4E-2</v>
      </c>
      <c r="D1588" s="1">
        <v>0.5</v>
      </c>
      <c r="E1588" s="4">
        <v>0.22</v>
      </c>
      <c r="F1588" s="4">
        <v>0.35</v>
      </c>
      <c r="G1588" s="4">
        <v>0.43000000000000005</v>
      </c>
    </row>
    <row r="1589" spans="1:7" x14ac:dyDescent="0.25">
      <c r="A1589" s="1">
        <v>1588</v>
      </c>
      <c r="B1589" s="2">
        <v>923565</v>
      </c>
      <c r="C1589" s="3">
        <v>1.2999999999999999E-2</v>
      </c>
      <c r="D1589" s="1">
        <v>0.5</v>
      </c>
      <c r="E1589" s="4">
        <v>0.15</v>
      </c>
      <c r="F1589" s="4">
        <v>0.19</v>
      </c>
      <c r="G1589" s="4">
        <v>0.66</v>
      </c>
    </row>
    <row r="1590" spans="1:7" x14ac:dyDescent="0.25">
      <c r="A1590" s="1">
        <v>1589</v>
      </c>
      <c r="B1590" s="2">
        <v>928241</v>
      </c>
      <c r="C1590" s="3">
        <v>1.4E-2</v>
      </c>
      <c r="D1590" s="1">
        <v>0.5</v>
      </c>
      <c r="E1590" s="4">
        <v>0.19</v>
      </c>
      <c r="F1590" s="4">
        <v>0.16</v>
      </c>
      <c r="G1590" s="4">
        <v>0.64999999999999991</v>
      </c>
    </row>
    <row r="1591" spans="1:7" x14ac:dyDescent="0.25">
      <c r="A1591" s="1">
        <v>1590</v>
      </c>
      <c r="B1591" s="2">
        <v>526533</v>
      </c>
      <c r="C1591" s="3">
        <v>5.0000000000000001E-3</v>
      </c>
      <c r="D1591" s="1">
        <v>0.5</v>
      </c>
      <c r="E1591" s="4">
        <v>0.2</v>
      </c>
      <c r="F1591" s="4">
        <v>0.32</v>
      </c>
      <c r="G1591" s="4">
        <v>0.47999999999999993</v>
      </c>
    </row>
    <row r="1592" spans="1:7" x14ac:dyDescent="0.25">
      <c r="A1592" s="1">
        <v>1591</v>
      </c>
      <c r="B1592" s="2">
        <v>206810</v>
      </c>
      <c r="C1592" s="3">
        <v>1.4E-2</v>
      </c>
      <c r="D1592" s="1">
        <v>0.5</v>
      </c>
      <c r="E1592" s="4">
        <v>0.22</v>
      </c>
      <c r="F1592" s="4">
        <v>0.25</v>
      </c>
      <c r="G1592" s="4">
        <v>0.53</v>
      </c>
    </row>
    <row r="1593" spans="1:7" x14ac:dyDescent="0.25">
      <c r="A1593" s="1">
        <v>1592</v>
      </c>
      <c r="B1593" s="2">
        <v>722641</v>
      </c>
      <c r="C1593" s="3">
        <v>5.0000000000000001E-3</v>
      </c>
      <c r="D1593" s="1">
        <v>0.5</v>
      </c>
      <c r="E1593" s="4">
        <v>0.18</v>
      </c>
      <c r="F1593" s="4">
        <v>0.26</v>
      </c>
      <c r="G1593" s="4">
        <v>0.56000000000000005</v>
      </c>
    </row>
    <row r="1594" spans="1:7" x14ac:dyDescent="0.25">
      <c r="A1594" s="1">
        <v>1593</v>
      </c>
      <c r="B1594" s="2">
        <v>209701</v>
      </c>
      <c r="C1594" s="3">
        <v>1.0999999999999999E-2</v>
      </c>
      <c r="D1594" s="1">
        <v>0.5</v>
      </c>
      <c r="E1594" s="4">
        <v>0.22</v>
      </c>
      <c r="F1594" s="4">
        <v>0.19</v>
      </c>
      <c r="G1594" s="4">
        <v>0.59000000000000008</v>
      </c>
    </row>
    <row r="1595" spans="1:7" x14ac:dyDescent="0.25">
      <c r="A1595" s="1">
        <v>1594</v>
      </c>
      <c r="B1595" s="2">
        <v>312525</v>
      </c>
      <c r="C1595" s="3">
        <v>1.0999999999999999E-2</v>
      </c>
      <c r="D1595" s="1">
        <v>0.5</v>
      </c>
      <c r="E1595" s="4">
        <v>0.15</v>
      </c>
      <c r="F1595" s="4">
        <v>0.2</v>
      </c>
      <c r="G1595" s="4">
        <v>0.65</v>
      </c>
    </row>
    <row r="1596" spans="1:7" x14ac:dyDescent="0.25">
      <c r="A1596" s="1">
        <v>1595</v>
      </c>
      <c r="B1596" s="2">
        <v>825726</v>
      </c>
      <c r="C1596" s="3">
        <v>6.0000000000000001E-3</v>
      </c>
      <c r="D1596" s="1">
        <v>0.5</v>
      </c>
      <c r="E1596" s="4">
        <v>0.24</v>
      </c>
      <c r="F1596" s="4">
        <v>0.21</v>
      </c>
      <c r="G1596" s="4">
        <v>0.55000000000000004</v>
      </c>
    </row>
    <row r="1597" spans="1:7" x14ac:dyDescent="0.25">
      <c r="A1597" s="1">
        <v>1596</v>
      </c>
      <c r="B1597" s="2">
        <v>972793</v>
      </c>
      <c r="C1597" s="3">
        <v>1.0999999999999999E-2</v>
      </c>
      <c r="D1597" s="1">
        <v>0.5</v>
      </c>
      <c r="E1597" s="4">
        <v>0.18</v>
      </c>
      <c r="F1597" s="4">
        <v>0.3</v>
      </c>
      <c r="G1597" s="4">
        <v>0.52</v>
      </c>
    </row>
    <row r="1598" spans="1:7" x14ac:dyDescent="0.25">
      <c r="A1598" s="1">
        <v>1597</v>
      </c>
      <c r="B1598" s="2">
        <v>803893</v>
      </c>
      <c r="C1598" s="3">
        <v>0.01</v>
      </c>
      <c r="D1598" s="1">
        <v>0.5</v>
      </c>
      <c r="E1598" s="4">
        <v>0.15</v>
      </c>
      <c r="F1598" s="4">
        <v>0.26</v>
      </c>
      <c r="G1598" s="4">
        <v>0.59</v>
      </c>
    </row>
    <row r="1599" spans="1:7" x14ac:dyDescent="0.25">
      <c r="A1599" s="1">
        <v>1598</v>
      </c>
      <c r="B1599" s="2">
        <v>762823</v>
      </c>
      <c r="C1599" s="3">
        <v>8.9999999999999993E-3</v>
      </c>
      <c r="D1599" s="1">
        <v>0.5</v>
      </c>
      <c r="E1599" s="4">
        <v>0.19</v>
      </c>
      <c r="F1599" s="4">
        <v>0.22</v>
      </c>
      <c r="G1599" s="4">
        <v>0.59000000000000008</v>
      </c>
    </row>
    <row r="1600" spans="1:7" x14ac:dyDescent="0.25">
      <c r="A1600" s="1">
        <v>1599</v>
      </c>
      <c r="B1600" s="2">
        <v>390315</v>
      </c>
      <c r="C1600" s="3">
        <v>1.2999999999999999E-2</v>
      </c>
      <c r="D1600" s="1">
        <v>0.5</v>
      </c>
      <c r="E1600" s="4">
        <v>0.23</v>
      </c>
      <c r="F1600" s="4">
        <v>0.27</v>
      </c>
      <c r="G1600" s="4">
        <v>0.5</v>
      </c>
    </row>
    <row r="1601" spans="1:7" x14ac:dyDescent="0.25">
      <c r="A1601" s="1">
        <v>1600</v>
      </c>
      <c r="B1601" s="2">
        <v>474430</v>
      </c>
      <c r="C1601" s="3">
        <v>8.0000000000000002E-3</v>
      </c>
      <c r="D1601" s="1">
        <v>0.5</v>
      </c>
      <c r="E1601" s="4">
        <v>0.19</v>
      </c>
      <c r="F1601" s="4">
        <v>0.19</v>
      </c>
      <c r="G1601" s="4">
        <v>0.62000000000000011</v>
      </c>
    </row>
    <row r="1602" spans="1:7" x14ac:dyDescent="0.25">
      <c r="A1602" s="1">
        <v>1601</v>
      </c>
      <c r="B1602" s="2">
        <v>722584</v>
      </c>
      <c r="C1602" s="3">
        <v>1.0999999999999999E-2</v>
      </c>
      <c r="D1602" s="1">
        <v>0.5</v>
      </c>
      <c r="E1602" s="4">
        <v>0.22</v>
      </c>
      <c r="F1602" s="4">
        <v>0.26</v>
      </c>
      <c r="G1602" s="4">
        <v>0.52</v>
      </c>
    </row>
    <row r="1603" spans="1:7" x14ac:dyDescent="0.25">
      <c r="A1603" s="1">
        <v>1602</v>
      </c>
      <c r="B1603" s="2">
        <v>204706</v>
      </c>
      <c r="C1603" s="3">
        <v>0.01</v>
      </c>
      <c r="D1603" s="1">
        <v>0.5</v>
      </c>
      <c r="E1603" s="4">
        <v>0.15</v>
      </c>
      <c r="F1603" s="4">
        <v>0.28000000000000003</v>
      </c>
      <c r="G1603" s="4">
        <v>0.56999999999999995</v>
      </c>
    </row>
    <row r="1604" spans="1:7" x14ac:dyDescent="0.25">
      <c r="A1604" s="1">
        <v>1603</v>
      </c>
      <c r="B1604" s="2">
        <v>252630</v>
      </c>
      <c r="C1604" s="3">
        <v>1.4E-2</v>
      </c>
      <c r="D1604" s="1">
        <v>0.5</v>
      </c>
      <c r="E1604" s="4">
        <v>0.24</v>
      </c>
      <c r="F1604" s="4">
        <v>0.17</v>
      </c>
      <c r="G1604" s="4">
        <v>0.59</v>
      </c>
    </row>
    <row r="1605" spans="1:7" x14ac:dyDescent="0.25">
      <c r="A1605" s="1">
        <v>1604</v>
      </c>
      <c r="B1605" s="2">
        <v>589489</v>
      </c>
      <c r="C1605" s="3">
        <v>1.0999999999999999E-2</v>
      </c>
      <c r="D1605" s="1">
        <v>0.5</v>
      </c>
      <c r="E1605" s="4">
        <v>0.25</v>
      </c>
      <c r="F1605" s="4">
        <v>0.28999999999999998</v>
      </c>
      <c r="G1605" s="4">
        <v>0.45999999999999996</v>
      </c>
    </row>
    <row r="1606" spans="1:7" x14ac:dyDescent="0.25">
      <c r="A1606" s="1">
        <v>1605</v>
      </c>
      <c r="B1606" s="2">
        <v>684641</v>
      </c>
      <c r="C1606" s="3">
        <v>7.0000000000000001E-3</v>
      </c>
      <c r="D1606" s="1">
        <v>0.5</v>
      </c>
      <c r="E1606" s="4">
        <v>0.17</v>
      </c>
      <c r="F1606" s="4">
        <v>0.2</v>
      </c>
      <c r="G1606" s="4">
        <v>0.63</v>
      </c>
    </row>
    <row r="1607" spans="1:7" x14ac:dyDescent="0.25">
      <c r="A1607" s="1">
        <v>1606</v>
      </c>
      <c r="B1607" s="2">
        <v>397372</v>
      </c>
      <c r="C1607" s="3">
        <v>6.0000000000000001E-3</v>
      </c>
      <c r="D1607" s="1">
        <v>0.5</v>
      </c>
      <c r="E1607" s="4">
        <v>0.25</v>
      </c>
      <c r="F1607" s="4">
        <v>0.35</v>
      </c>
      <c r="G1607" s="4">
        <v>0.4</v>
      </c>
    </row>
    <row r="1608" spans="1:7" x14ac:dyDescent="0.25">
      <c r="A1608" s="1">
        <v>1607</v>
      </c>
      <c r="B1608" s="2">
        <v>496264</v>
      </c>
      <c r="C1608" s="3">
        <v>1.4999999999999999E-2</v>
      </c>
      <c r="D1608" s="1">
        <v>0.5</v>
      </c>
      <c r="E1608" s="4">
        <v>0.21</v>
      </c>
      <c r="F1608" s="4">
        <v>0.3</v>
      </c>
      <c r="G1608" s="4">
        <v>0.49</v>
      </c>
    </row>
    <row r="1609" spans="1:7" x14ac:dyDescent="0.25">
      <c r="A1609" s="1">
        <v>1608</v>
      </c>
      <c r="B1609" s="2">
        <v>304554</v>
      </c>
      <c r="C1609" s="3">
        <v>1.4E-2</v>
      </c>
      <c r="D1609" s="1">
        <v>0.5</v>
      </c>
      <c r="E1609" s="4">
        <v>0.21</v>
      </c>
      <c r="F1609" s="4">
        <v>0.2</v>
      </c>
      <c r="G1609" s="4">
        <v>0.59000000000000008</v>
      </c>
    </row>
    <row r="1610" spans="1:7" x14ac:dyDescent="0.25">
      <c r="A1610" s="1">
        <v>1609</v>
      </c>
      <c r="B1610" s="2">
        <v>320282</v>
      </c>
      <c r="C1610" s="3">
        <v>1.2999999999999999E-2</v>
      </c>
      <c r="D1610" s="1">
        <v>0.5</v>
      </c>
      <c r="E1610" s="4">
        <v>0.2</v>
      </c>
      <c r="F1610" s="4">
        <v>0.34</v>
      </c>
      <c r="G1610" s="4">
        <v>0.45999999999999991</v>
      </c>
    </row>
    <row r="1611" spans="1:7" x14ac:dyDescent="0.25">
      <c r="A1611" s="1">
        <v>1610</v>
      </c>
      <c r="B1611" s="2">
        <v>824262</v>
      </c>
      <c r="C1611" s="3">
        <v>1.4999999999999999E-2</v>
      </c>
      <c r="D1611" s="1">
        <v>0.5</v>
      </c>
      <c r="E1611" s="4">
        <v>0.16</v>
      </c>
      <c r="F1611" s="4">
        <v>0.35</v>
      </c>
      <c r="G1611" s="4">
        <v>0.49</v>
      </c>
    </row>
    <row r="1612" spans="1:7" x14ac:dyDescent="0.25">
      <c r="A1612" s="1">
        <v>1611</v>
      </c>
      <c r="B1612" s="2">
        <v>405836</v>
      </c>
      <c r="C1612" s="3">
        <v>1.2E-2</v>
      </c>
      <c r="D1612" s="1">
        <v>0.5</v>
      </c>
      <c r="E1612" s="4">
        <v>0.17</v>
      </c>
      <c r="F1612" s="4">
        <v>0.15</v>
      </c>
      <c r="G1612" s="4">
        <v>0.67999999999999994</v>
      </c>
    </row>
    <row r="1613" spans="1:7" x14ac:dyDescent="0.25">
      <c r="A1613" s="1">
        <v>1612</v>
      </c>
      <c r="B1613" s="2">
        <v>913533</v>
      </c>
      <c r="C1613" s="3">
        <v>0.01</v>
      </c>
      <c r="D1613" s="1">
        <v>0.5</v>
      </c>
      <c r="E1613" s="4">
        <v>0.15</v>
      </c>
      <c r="F1613" s="4">
        <v>0.28999999999999998</v>
      </c>
      <c r="G1613" s="4">
        <v>0.55999999999999994</v>
      </c>
    </row>
    <row r="1614" spans="1:7" x14ac:dyDescent="0.25">
      <c r="A1614" s="1">
        <v>1613</v>
      </c>
      <c r="B1614" s="2">
        <v>796266</v>
      </c>
      <c r="C1614" s="3">
        <v>5.0000000000000001E-3</v>
      </c>
      <c r="D1614" s="1">
        <v>0.5</v>
      </c>
      <c r="E1614" s="4">
        <v>0.17</v>
      </c>
      <c r="F1614" s="4">
        <v>0.28000000000000003</v>
      </c>
      <c r="G1614" s="4">
        <v>0.54999999999999993</v>
      </c>
    </row>
    <row r="1615" spans="1:7" x14ac:dyDescent="0.25">
      <c r="A1615" s="1">
        <v>1614</v>
      </c>
      <c r="B1615" s="2">
        <v>244864</v>
      </c>
      <c r="C1615" s="3">
        <v>8.9999999999999993E-3</v>
      </c>
      <c r="D1615" s="1">
        <v>0.5</v>
      </c>
      <c r="E1615" s="4">
        <v>0.24</v>
      </c>
      <c r="F1615" s="4">
        <v>0.32</v>
      </c>
      <c r="G1615" s="4">
        <v>0.43999999999999995</v>
      </c>
    </row>
    <row r="1616" spans="1:7" x14ac:dyDescent="0.25">
      <c r="A1616" s="1">
        <v>1615</v>
      </c>
      <c r="B1616" s="2">
        <v>323363</v>
      </c>
      <c r="C1616" s="3">
        <v>8.9999999999999993E-3</v>
      </c>
      <c r="D1616" s="1">
        <v>0.5</v>
      </c>
      <c r="E1616" s="4">
        <v>0.22</v>
      </c>
      <c r="F1616" s="4">
        <v>0.31</v>
      </c>
      <c r="G1616" s="4">
        <v>0.47</v>
      </c>
    </row>
    <row r="1617" spans="1:7" x14ac:dyDescent="0.25">
      <c r="A1617" s="1">
        <v>1616</v>
      </c>
      <c r="B1617" s="2">
        <v>830682</v>
      </c>
      <c r="C1617" s="3">
        <v>1.0999999999999999E-2</v>
      </c>
      <c r="D1617" s="1">
        <v>0.5</v>
      </c>
      <c r="E1617" s="4">
        <v>0.17</v>
      </c>
      <c r="F1617" s="4">
        <v>0.34</v>
      </c>
      <c r="G1617" s="4">
        <v>0.48999999999999988</v>
      </c>
    </row>
    <row r="1618" spans="1:7" x14ac:dyDescent="0.25">
      <c r="A1618" s="1">
        <v>1617</v>
      </c>
      <c r="B1618" s="2">
        <v>740639</v>
      </c>
      <c r="C1618" s="3">
        <v>8.0000000000000002E-3</v>
      </c>
      <c r="D1618" s="1">
        <v>0.5</v>
      </c>
      <c r="E1618" s="4">
        <v>0.16</v>
      </c>
      <c r="F1618" s="4">
        <v>0.28999999999999998</v>
      </c>
      <c r="G1618" s="4">
        <v>0.54999999999999993</v>
      </c>
    </row>
    <row r="1619" spans="1:7" x14ac:dyDescent="0.25">
      <c r="A1619" s="1">
        <v>1618</v>
      </c>
      <c r="B1619" s="2">
        <v>591025</v>
      </c>
      <c r="C1619" s="3">
        <v>6.0000000000000001E-3</v>
      </c>
      <c r="D1619" s="1">
        <v>0.5</v>
      </c>
      <c r="E1619" s="4">
        <v>0.2</v>
      </c>
      <c r="F1619" s="4">
        <v>0.26</v>
      </c>
      <c r="G1619" s="4">
        <v>0.54</v>
      </c>
    </row>
    <row r="1620" spans="1:7" x14ac:dyDescent="0.25">
      <c r="A1620" s="1">
        <v>1619</v>
      </c>
      <c r="B1620" s="2">
        <v>887603</v>
      </c>
      <c r="C1620" s="3">
        <v>1.2E-2</v>
      </c>
      <c r="D1620" s="1">
        <v>0.5</v>
      </c>
      <c r="E1620" s="4">
        <v>0.17</v>
      </c>
      <c r="F1620" s="4">
        <v>0.15</v>
      </c>
      <c r="G1620" s="4">
        <v>0.67999999999999994</v>
      </c>
    </row>
    <row r="1621" spans="1:7" x14ac:dyDescent="0.25">
      <c r="A1621" s="1">
        <v>1620</v>
      </c>
      <c r="B1621" s="2">
        <v>513136</v>
      </c>
      <c r="C1621" s="3">
        <v>1.4999999999999999E-2</v>
      </c>
      <c r="D1621" s="1">
        <v>0.5</v>
      </c>
      <c r="E1621" s="4">
        <v>0.22</v>
      </c>
      <c r="F1621" s="4">
        <v>0.26</v>
      </c>
      <c r="G1621" s="4">
        <v>0.52</v>
      </c>
    </row>
    <row r="1622" spans="1:7" x14ac:dyDescent="0.25">
      <c r="A1622" s="1">
        <v>1621</v>
      </c>
      <c r="B1622" s="2">
        <v>591391</v>
      </c>
      <c r="C1622" s="3">
        <v>1.2999999999999999E-2</v>
      </c>
      <c r="D1622" s="1">
        <v>0.5</v>
      </c>
      <c r="E1622" s="4">
        <v>0.19</v>
      </c>
      <c r="F1622" s="4">
        <v>0.2</v>
      </c>
      <c r="G1622" s="4">
        <v>0.6100000000000001</v>
      </c>
    </row>
    <row r="1623" spans="1:7" x14ac:dyDescent="0.25">
      <c r="A1623" s="1">
        <v>1622</v>
      </c>
      <c r="B1623" s="2">
        <v>693830</v>
      </c>
      <c r="C1623" s="3">
        <v>1.2E-2</v>
      </c>
      <c r="D1623" s="1">
        <v>0.5</v>
      </c>
      <c r="E1623" s="4">
        <v>0.24</v>
      </c>
      <c r="F1623" s="4">
        <v>0.35</v>
      </c>
      <c r="G1623" s="4">
        <v>0.41000000000000003</v>
      </c>
    </row>
    <row r="1624" spans="1:7" x14ac:dyDescent="0.25">
      <c r="A1624" s="1">
        <v>1623</v>
      </c>
      <c r="B1624" s="2">
        <v>393625</v>
      </c>
      <c r="C1624" s="3">
        <v>7.0000000000000001E-3</v>
      </c>
      <c r="D1624" s="1">
        <v>0.5</v>
      </c>
      <c r="E1624" s="4">
        <v>0.16</v>
      </c>
      <c r="F1624" s="4">
        <v>0.22</v>
      </c>
      <c r="G1624" s="4">
        <v>0.62</v>
      </c>
    </row>
    <row r="1625" spans="1:7" x14ac:dyDescent="0.25">
      <c r="A1625" s="1">
        <v>1624</v>
      </c>
      <c r="B1625" s="2">
        <v>300610</v>
      </c>
      <c r="C1625" s="3">
        <v>1.2E-2</v>
      </c>
      <c r="D1625" s="1">
        <v>0.5</v>
      </c>
      <c r="E1625" s="4">
        <v>0.2</v>
      </c>
      <c r="F1625" s="4">
        <v>0.28999999999999998</v>
      </c>
      <c r="G1625" s="4">
        <v>0.51</v>
      </c>
    </row>
    <row r="1626" spans="1:7" x14ac:dyDescent="0.25">
      <c r="A1626" s="1">
        <v>1625</v>
      </c>
      <c r="B1626" s="2">
        <v>743618</v>
      </c>
      <c r="C1626" s="3">
        <v>1.2999999999999999E-2</v>
      </c>
      <c r="D1626" s="1">
        <v>0.5</v>
      </c>
      <c r="E1626" s="4">
        <v>0.15</v>
      </c>
      <c r="F1626" s="4">
        <v>0.16</v>
      </c>
      <c r="G1626" s="4">
        <v>0.69</v>
      </c>
    </row>
    <row r="1627" spans="1:7" x14ac:dyDescent="0.25">
      <c r="A1627" s="1">
        <v>1626</v>
      </c>
      <c r="B1627" s="2">
        <v>703337</v>
      </c>
      <c r="C1627" s="3">
        <v>6.0000000000000001E-3</v>
      </c>
      <c r="D1627" s="1">
        <v>0.5</v>
      </c>
      <c r="E1627" s="4">
        <v>0.25</v>
      </c>
      <c r="F1627" s="4">
        <v>0.2</v>
      </c>
      <c r="G1627" s="4">
        <v>0.55000000000000004</v>
      </c>
    </row>
    <row r="1628" spans="1:7" x14ac:dyDescent="0.25">
      <c r="A1628" s="1">
        <v>1627</v>
      </c>
      <c r="B1628" s="2">
        <v>715472</v>
      </c>
      <c r="C1628" s="3">
        <v>0.01</v>
      </c>
      <c r="D1628" s="1">
        <v>0.5</v>
      </c>
      <c r="E1628" s="4">
        <v>0.25</v>
      </c>
      <c r="F1628" s="4">
        <v>0.28999999999999998</v>
      </c>
      <c r="G1628" s="4">
        <v>0.45999999999999996</v>
      </c>
    </row>
    <row r="1629" spans="1:7" x14ac:dyDescent="0.25">
      <c r="A1629" s="1">
        <v>1628</v>
      </c>
      <c r="B1629" s="2">
        <v>565537</v>
      </c>
      <c r="C1629" s="3">
        <v>8.0000000000000002E-3</v>
      </c>
      <c r="D1629" s="1">
        <v>0.5</v>
      </c>
      <c r="E1629" s="4">
        <v>0.18</v>
      </c>
      <c r="F1629" s="4">
        <v>0.35</v>
      </c>
      <c r="G1629" s="4">
        <v>0.47000000000000003</v>
      </c>
    </row>
    <row r="1630" spans="1:7" x14ac:dyDescent="0.25">
      <c r="A1630" s="1">
        <v>1629</v>
      </c>
      <c r="B1630" s="2">
        <v>368668</v>
      </c>
      <c r="C1630" s="3">
        <v>8.9999999999999993E-3</v>
      </c>
      <c r="D1630" s="1">
        <v>0.5</v>
      </c>
      <c r="E1630" s="4">
        <v>0.16</v>
      </c>
      <c r="F1630" s="4">
        <v>0.23</v>
      </c>
      <c r="G1630" s="4">
        <v>0.61</v>
      </c>
    </row>
    <row r="1631" spans="1:7" x14ac:dyDescent="0.25">
      <c r="A1631" s="1">
        <v>1630</v>
      </c>
      <c r="B1631" s="2">
        <v>779431</v>
      </c>
      <c r="C1631" s="3">
        <v>6.0000000000000001E-3</v>
      </c>
      <c r="D1631" s="1">
        <v>0.5</v>
      </c>
      <c r="E1631" s="4">
        <v>0.23</v>
      </c>
      <c r="F1631" s="4">
        <v>0.27</v>
      </c>
      <c r="G1631" s="4">
        <v>0.5</v>
      </c>
    </row>
    <row r="1632" spans="1:7" x14ac:dyDescent="0.25">
      <c r="A1632" s="1">
        <v>1631</v>
      </c>
      <c r="B1632" s="2">
        <v>796974</v>
      </c>
      <c r="C1632" s="3">
        <v>1.0999999999999999E-2</v>
      </c>
      <c r="D1632" s="1">
        <v>0.5</v>
      </c>
      <c r="E1632" s="4">
        <v>0.2</v>
      </c>
      <c r="F1632" s="4">
        <v>0.27</v>
      </c>
      <c r="G1632" s="4">
        <v>0.53</v>
      </c>
    </row>
    <row r="1633" spans="1:7" x14ac:dyDescent="0.25">
      <c r="A1633" s="1">
        <v>1632</v>
      </c>
      <c r="B1633" s="2">
        <v>278867</v>
      </c>
      <c r="C1633" s="3">
        <v>1.2E-2</v>
      </c>
      <c r="D1633" s="1">
        <v>0.5</v>
      </c>
      <c r="E1633" s="4">
        <v>0.18</v>
      </c>
      <c r="F1633" s="4">
        <v>0.28000000000000003</v>
      </c>
      <c r="G1633" s="4">
        <v>0.54</v>
      </c>
    </row>
    <row r="1634" spans="1:7" x14ac:dyDescent="0.25">
      <c r="A1634" s="1">
        <v>1633</v>
      </c>
      <c r="B1634" s="2">
        <v>577656</v>
      </c>
      <c r="C1634" s="3">
        <v>1.2E-2</v>
      </c>
      <c r="D1634" s="1">
        <v>0.5</v>
      </c>
      <c r="E1634" s="4">
        <v>0.24</v>
      </c>
      <c r="F1634" s="4">
        <v>0.25</v>
      </c>
      <c r="G1634" s="4">
        <v>0.51</v>
      </c>
    </row>
    <row r="1635" spans="1:7" x14ac:dyDescent="0.25">
      <c r="A1635" s="1">
        <v>1634</v>
      </c>
      <c r="B1635" s="2">
        <v>922719</v>
      </c>
      <c r="C1635" s="3">
        <v>6.0000000000000001E-3</v>
      </c>
      <c r="D1635" s="1">
        <v>0.5</v>
      </c>
      <c r="E1635" s="4">
        <v>0.24</v>
      </c>
      <c r="F1635" s="4">
        <v>0.3</v>
      </c>
      <c r="G1635" s="4">
        <v>0.45999999999999996</v>
      </c>
    </row>
    <row r="1636" spans="1:7" x14ac:dyDescent="0.25">
      <c r="A1636" s="1">
        <v>1635</v>
      </c>
      <c r="B1636" s="2">
        <v>339991</v>
      </c>
      <c r="C1636" s="3">
        <v>1.4999999999999999E-2</v>
      </c>
      <c r="D1636" s="1">
        <v>0.5</v>
      </c>
      <c r="E1636" s="4">
        <v>0.15</v>
      </c>
      <c r="F1636" s="4">
        <v>0.22</v>
      </c>
      <c r="G1636" s="4">
        <v>0.63</v>
      </c>
    </row>
    <row r="1637" spans="1:7" x14ac:dyDescent="0.25">
      <c r="A1637" s="1">
        <v>1636</v>
      </c>
      <c r="B1637" s="2">
        <v>299995</v>
      </c>
      <c r="C1637" s="3">
        <v>1.0999999999999999E-2</v>
      </c>
      <c r="D1637" s="1">
        <v>0.5</v>
      </c>
      <c r="E1637" s="4">
        <v>0.22</v>
      </c>
      <c r="F1637" s="4">
        <v>0.23</v>
      </c>
      <c r="G1637" s="4">
        <v>0.55000000000000004</v>
      </c>
    </row>
    <row r="1638" spans="1:7" x14ac:dyDescent="0.25">
      <c r="A1638" s="1">
        <v>1637</v>
      </c>
      <c r="B1638" s="2">
        <v>368902</v>
      </c>
      <c r="C1638" s="3">
        <v>6.0000000000000001E-3</v>
      </c>
      <c r="D1638" s="1">
        <v>0.5</v>
      </c>
      <c r="E1638" s="4">
        <v>0.21</v>
      </c>
      <c r="F1638" s="4">
        <v>0.28000000000000003</v>
      </c>
      <c r="G1638" s="4">
        <v>0.51</v>
      </c>
    </row>
    <row r="1639" spans="1:7" x14ac:dyDescent="0.25">
      <c r="A1639" s="1">
        <v>1638</v>
      </c>
      <c r="B1639" s="2">
        <v>347105</v>
      </c>
      <c r="C1639" s="3">
        <v>5.0000000000000001E-3</v>
      </c>
      <c r="D1639" s="1">
        <v>0.5</v>
      </c>
      <c r="E1639" s="4">
        <v>0.2</v>
      </c>
      <c r="F1639" s="4">
        <v>0.28000000000000003</v>
      </c>
      <c r="G1639" s="4">
        <v>0.52</v>
      </c>
    </row>
    <row r="1640" spans="1:7" x14ac:dyDescent="0.25">
      <c r="A1640" s="1">
        <v>1639</v>
      </c>
      <c r="B1640" s="2">
        <v>634221</v>
      </c>
      <c r="C1640" s="3">
        <v>0.01</v>
      </c>
      <c r="D1640" s="1">
        <v>0.5</v>
      </c>
      <c r="E1640" s="4">
        <v>0.19</v>
      </c>
      <c r="F1640" s="4">
        <v>0.24</v>
      </c>
      <c r="G1640" s="4">
        <v>0.57000000000000006</v>
      </c>
    </row>
    <row r="1641" spans="1:7" x14ac:dyDescent="0.25">
      <c r="A1641" s="1">
        <v>1640</v>
      </c>
      <c r="B1641" s="2">
        <v>903795</v>
      </c>
      <c r="C1641" s="3">
        <v>1.4E-2</v>
      </c>
      <c r="D1641" s="1">
        <v>0.5</v>
      </c>
      <c r="E1641" s="4">
        <v>0.24</v>
      </c>
      <c r="F1641" s="4">
        <v>0.19</v>
      </c>
      <c r="G1641" s="4">
        <v>0.57000000000000006</v>
      </c>
    </row>
    <row r="1642" spans="1:7" x14ac:dyDescent="0.25">
      <c r="A1642" s="1">
        <v>1641</v>
      </c>
      <c r="B1642" s="2">
        <v>749632</v>
      </c>
      <c r="C1642" s="3">
        <v>1.4999999999999999E-2</v>
      </c>
      <c r="D1642" s="1">
        <v>0.5</v>
      </c>
      <c r="E1642" s="4">
        <v>0.25</v>
      </c>
      <c r="F1642" s="4">
        <v>0.24</v>
      </c>
      <c r="G1642" s="4">
        <v>0.51</v>
      </c>
    </row>
    <row r="1643" spans="1:7" x14ac:dyDescent="0.25">
      <c r="A1643" s="1">
        <v>1642</v>
      </c>
      <c r="B1643" s="2">
        <v>970257</v>
      </c>
      <c r="C1643" s="3">
        <v>7.0000000000000001E-3</v>
      </c>
      <c r="D1643" s="1">
        <v>0.5</v>
      </c>
      <c r="E1643" s="4">
        <v>0.25</v>
      </c>
      <c r="F1643" s="4">
        <v>0.25</v>
      </c>
      <c r="G1643" s="4">
        <v>0.5</v>
      </c>
    </row>
    <row r="1644" spans="1:7" x14ac:dyDescent="0.25">
      <c r="A1644" s="1">
        <v>1643</v>
      </c>
      <c r="B1644" s="2">
        <v>845411</v>
      </c>
      <c r="C1644" s="3">
        <v>6.0000000000000001E-3</v>
      </c>
      <c r="D1644" s="1">
        <v>0.5</v>
      </c>
      <c r="E1644" s="4">
        <v>0.18</v>
      </c>
      <c r="F1644" s="4">
        <v>0.22</v>
      </c>
      <c r="G1644" s="4">
        <v>0.60000000000000009</v>
      </c>
    </row>
    <row r="1645" spans="1:7" x14ac:dyDescent="0.25">
      <c r="A1645" s="1">
        <v>1644</v>
      </c>
      <c r="B1645" s="2">
        <v>651556</v>
      </c>
      <c r="C1645" s="3">
        <v>7.0000000000000001E-3</v>
      </c>
      <c r="D1645" s="1">
        <v>0.5</v>
      </c>
      <c r="E1645" s="4">
        <v>0.15</v>
      </c>
      <c r="F1645" s="4">
        <v>0.22</v>
      </c>
      <c r="G1645" s="4">
        <v>0.63</v>
      </c>
    </row>
    <row r="1646" spans="1:7" x14ac:dyDescent="0.25">
      <c r="A1646" s="1">
        <v>1645</v>
      </c>
      <c r="B1646" s="2">
        <v>970572</v>
      </c>
      <c r="C1646" s="3">
        <v>1.4E-2</v>
      </c>
      <c r="D1646" s="1">
        <v>0.5</v>
      </c>
      <c r="E1646" s="4">
        <v>0.18</v>
      </c>
      <c r="F1646" s="4">
        <v>0.2</v>
      </c>
      <c r="G1646" s="4">
        <v>0.62000000000000011</v>
      </c>
    </row>
    <row r="1647" spans="1:7" x14ac:dyDescent="0.25">
      <c r="A1647" s="1">
        <v>1646</v>
      </c>
      <c r="B1647" s="2">
        <v>944546</v>
      </c>
      <c r="C1647" s="3">
        <v>7.0000000000000001E-3</v>
      </c>
      <c r="D1647" s="1">
        <v>0.5</v>
      </c>
      <c r="E1647" s="4">
        <v>0.19</v>
      </c>
      <c r="F1647" s="4">
        <v>0.22</v>
      </c>
      <c r="G1647" s="4">
        <v>0.59000000000000008</v>
      </c>
    </row>
    <row r="1648" spans="1:7" x14ac:dyDescent="0.25">
      <c r="A1648" s="1">
        <v>1647</v>
      </c>
      <c r="B1648" s="2">
        <v>241446</v>
      </c>
      <c r="C1648" s="3">
        <v>0.01</v>
      </c>
      <c r="D1648" s="1">
        <v>0.5</v>
      </c>
      <c r="E1648" s="4">
        <v>0.17</v>
      </c>
      <c r="F1648" s="4">
        <v>0.18</v>
      </c>
      <c r="G1648" s="4">
        <v>0.65</v>
      </c>
    </row>
    <row r="1649" spans="1:7" x14ac:dyDescent="0.25">
      <c r="A1649" s="1">
        <v>1648</v>
      </c>
      <c r="B1649" s="2">
        <v>422313</v>
      </c>
      <c r="C1649" s="3">
        <v>1.0999999999999999E-2</v>
      </c>
      <c r="D1649" s="1">
        <v>0.5</v>
      </c>
      <c r="E1649" s="4">
        <v>0.22</v>
      </c>
      <c r="F1649" s="4">
        <v>0.31</v>
      </c>
      <c r="G1649" s="4">
        <v>0.47</v>
      </c>
    </row>
    <row r="1650" spans="1:7" x14ac:dyDescent="0.25">
      <c r="A1650" s="1">
        <v>1649</v>
      </c>
      <c r="B1650" s="2">
        <v>202535</v>
      </c>
      <c r="C1650" s="3">
        <v>5.0000000000000001E-3</v>
      </c>
      <c r="D1650" s="1">
        <v>0.5</v>
      </c>
      <c r="E1650" s="4">
        <v>0.19</v>
      </c>
      <c r="F1650" s="4">
        <v>0.2</v>
      </c>
      <c r="G1650" s="4">
        <v>0.6100000000000001</v>
      </c>
    </row>
    <row r="1651" spans="1:7" x14ac:dyDescent="0.25">
      <c r="A1651" s="1">
        <v>1650</v>
      </c>
      <c r="B1651" s="2">
        <v>765852</v>
      </c>
      <c r="C1651" s="3">
        <v>6.0000000000000001E-3</v>
      </c>
      <c r="D1651" s="1">
        <v>0.5</v>
      </c>
      <c r="E1651" s="4">
        <v>0.15</v>
      </c>
      <c r="F1651" s="4">
        <v>0.31</v>
      </c>
      <c r="G1651" s="4">
        <v>0.53999999999999992</v>
      </c>
    </row>
    <row r="1652" spans="1:7" x14ac:dyDescent="0.25">
      <c r="A1652" s="1">
        <v>1651</v>
      </c>
      <c r="B1652" s="2">
        <v>434923</v>
      </c>
      <c r="C1652" s="3">
        <v>8.9999999999999993E-3</v>
      </c>
      <c r="D1652" s="1">
        <v>0.5</v>
      </c>
      <c r="E1652" s="4">
        <v>0.17</v>
      </c>
      <c r="F1652" s="4">
        <v>0.25</v>
      </c>
      <c r="G1652" s="4">
        <v>0.57999999999999996</v>
      </c>
    </row>
    <row r="1653" spans="1:7" x14ac:dyDescent="0.25">
      <c r="A1653" s="1">
        <v>1652</v>
      </c>
      <c r="B1653" s="2">
        <v>642026</v>
      </c>
      <c r="C1653" s="3">
        <v>8.9999999999999993E-3</v>
      </c>
      <c r="D1653" s="1">
        <v>0.5</v>
      </c>
      <c r="E1653" s="4">
        <v>0.24</v>
      </c>
      <c r="F1653" s="4">
        <v>0.17</v>
      </c>
      <c r="G1653" s="4">
        <v>0.59</v>
      </c>
    </row>
    <row r="1654" spans="1:7" x14ac:dyDescent="0.25">
      <c r="A1654" s="1">
        <v>1653</v>
      </c>
      <c r="B1654" s="2">
        <v>768467</v>
      </c>
      <c r="C1654" s="3">
        <v>7.0000000000000001E-3</v>
      </c>
      <c r="D1654" s="1">
        <v>0.5</v>
      </c>
      <c r="E1654" s="4">
        <v>0.15</v>
      </c>
      <c r="F1654" s="4">
        <v>0.35</v>
      </c>
      <c r="G1654" s="4">
        <v>0.5</v>
      </c>
    </row>
    <row r="1655" spans="1:7" x14ac:dyDescent="0.25">
      <c r="A1655" s="1">
        <v>1654</v>
      </c>
      <c r="B1655" s="2">
        <v>789735</v>
      </c>
      <c r="C1655" s="3">
        <v>7.0000000000000001E-3</v>
      </c>
      <c r="D1655" s="1">
        <v>0.5</v>
      </c>
      <c r="E1655" s="4">
        <v>0.24</v>
      </c>
      <c r="F1655" s="4">
        <v>0.22</v>
      </c>
      <c r="G1655" s="4">
        <v>0.54</v>
      </c>
    </row>
    <row r="1656" spans="1:7" x14ac:dyDescent="0.25">
      <c r="A1656" s="1">
        <v>1655</v>
      </c>
      <c r="B1656" s="2">
        <v>679159</v>
      </c>
      <c r="C1656" s="3">
        <v>1.2999999999999999E-2</v>
      </c>
      <c r="D1656" s="1">
        <v>0.5</v>
      </c>
      <c r="E1656" s="4">
        <v>0.17</v>
      </c>
      <c r="F1656" s="4">
        <v>0.28000000000000003</v>
      </c>
      <c r="G1656" s="4">
        <v>0.54999999999999993</v>
      </c>
    </row>
    <row r="1657" spans="1:7" x14ac:dyDescent="0.25">
      <c r="A1657" s="1">
        <v>1656</v>
      </c>
      <c r="B1657" s="2">
        <v>929912</v>
      </c>
      <c r="C1657" s="3">
        <v>1.0999999999999999E-2</v>
      </c>
      <c r="D1657" s="1">
        <v>0.5</v>
      </c>
      <c r="E1657" s="4">
        <v>0.22</v>
      </c>
      <c r="F1657" s="4">
        <v>0.22</v>
      </c>
      <c r="G1657" s="4">
        <v>0.56000000000000005</v>
      </c>
    </row>
    <row r="1658" spans="1:7" x14ac:dyDescent="0.25">
      <c r="A1658" s="1">
        <v>1657</v>
      </c>
      <c r="B1658" s="2">
        <v>661890</v>
      </c>
      <c r="C1658" s="3">
        <v>1.4E-2</v>
      </c>
      <c r="D1658" s="1">
        <v>0.5</v>
      </c>
      <c r="E1658" s="4">
        <v>0.24</v>
      </c>
      <c r="F1658" s="4">
        <v>0.28000000000000003</v>
      </c>
      <c r="G1658" s="4">
        <v>0.48</v>
      </c>
    </row>
    <row r="1659" spans="1:7" x14ac:dyDescent="0.25">
      <c r="A1659" s="1">
        <v>1658</v>
      </c>
      <c r="B1659" s="2">
        <v>543548</v>
      </c>
      <c r="C1659" s="3">
        <v>1.2E-2</v>
      </c>
      <c r="D1659" s="1">
        <v>0.5</v>
      </c>
      <c r="E1659" s="4">
        <v>0.23</v>
      </c>
      <c r="F1659" s="4">
        <v>0.22</v>
      </c>
      <c r="G1659" s="4">
        <v>0.55000000000000004</v>
      </c>
    </row>
    <row r="1660" spans="1:7" x14ac:dyDescent="0.25">
      <c r="A1660" s="1">
        <v>1659</v>
      </c>
      <c r="B1660" s="2">
        <v>809060</v>
      </c>
      <c r="C1660" s="3">
        <v>1.4E-2</v>
      </c>
      <c r="D1660" s="1">
        <v>0.5</v>
      </c>
      <c r="E1660" s="4">
        <v>0.2</v>
      </c>
      <c r="F1660" s="4">
        <v>0.28999999999999998</v>
      </c>
      <c r="G1660" s="4">
        <v>0.51</v>
      </c>
    </row>
    <row r="1661" spans="1:7" x14ac:dyDescent="0.25">
      <c r="A1661" s="1">
        <v>1660</v>
      </c>
      <c r="B1661" s="2">
        <v>627264</v>
      </c>
      <c r="C1661" s="3">
        <v>0.01</v>
      </c>
      <c r="D1661" s="1">
        <v>0.5</v>
      </c>
      <c r="E1661" s="4">
        <v>0.21</v>
      </c>
      <c r="F1661" s="4">
        <v>0.33</v>
      </c>
      <c r="G1661" s="4">
        <v>0.45999999999999996</v>
      </c>
    </row>
    <row r="1662" spans="1:7" x14ac:dyDescent="0.25">
      <c r="A1662" s="1">
        <v>1661</v>
      </c>
      <c r="B1662" s="2">
        <v>337127</v>
      </c>
      <c r="C1662" s="3">
        <v>0.01</v>
      </c>
      <c r="D1662" s="1">
        <v>0.5</v>
      </c>
      <c r="E1662" s="4">
        <v>0.2</v>
      </c>
      <c r="F1662" s="4">
        <v>0.33</v>
      </c>
      <c r="G1662" s="4">
        <v>0.46999999999999992</v>
      </c>
    </row>
    <row r="1663" spans="1:7" x14ac:dyDescent="0.25">
      <c r="A1663" s="1">
        <v>1662</v>
      </c>
      <c r="B1663" s="2">
        <v>850484</v>
      </c>
      <c r="C1663" s="3">
        <v>5.0000000000000001E-3</v>
      </c>
      <c r="D1663" s="1">
        <v>0.5</v>
      </c>
      <c r="E1663" s="4">
        <v>0.19</v>
      </c>
      <c r="F1663" s="4">
        <v>0.15</v>
      </c>
      <c r="G1663" s="4">
        <v>0.65999999999999992</v>
      </c>
    </row>
    <row r="1664" spans="1:7" x14ac:dyDescent="0.25">
      <c r="A1664" s="1">
        <v>1663</v>
      </c>
      <c r="B1664" s="2">
        <v>872309</v>
      </c>
      <c r="C1664" s="3">
        <v>1.0999999999999999E-2</v>
      </c>
      <c r="D1664" s="1">
        <v>0.5</v>
      </c>
      <c r="E1664" s="4">
        <v>0.25</v>
      </c>
      <c r="F1664" s="4">
        <v>0.27</v>
      </c>
      <c r="G1664" s="4">
        <v>0.48</v>
      </c>
    </row>
    <row r="1665" spans="1:7" x14ac:dyDescent="0.25">
      <c r="A1665" s="1">
        <v>1664</v>
      </c>
      <c r="B1665" s="2">
        <v>662283</v>
      </c>
      <c r="C1665" s="3">
        <v>8.9999999999999993E-3</v>
      </c>
      <c r="D1665" s="1">
        <v>0.5</v>
      </c>
      <c r="E1665" s="4">
        <v>0.22</v>
      </c>
      <c r="F1665" s="4">
        <v>0.28000000000000003</v>
      </c>
      <c r="G1665" s="4">
        <v>0.5</v>
      </c>
    </row>
    <row r="1666" spans="1:7" x14ac:dyDescent="0.25">
      <c r="A1666" s="1">
        <v>1665</v>
      </c>
      <c r="B1666" s="2">
        <v>729372</v>
      </c>
      <c r="C1666" s="3">
        <v>1.4999999999999999E-2</v>
      </c>
      <c r="D1666" s="1">
        <v>0.5</v>
      </c>
      <c r="E1666" s="4">
        <v>0.15</v>
      </c>
      <c r="F1666" s="4">
        <v>0.23</v>
      </c>
      <c r="G1666" s="4">
        <v>0.62</v>
      </c>
    </row>
    <row r="1667" spans="1:7" x14ac:dyDescent="0.25">
      <c r="A1667" s="1">
        <v>1666</v>
      </c>
      <c r="B1667" s="2">
        <v>352575</v>
      </c>
      <c r="C1667" s="3">
        <v>7.0000000000000001E-3</v>
      </c>
      <c r="D1667" s="1">
        <v>0.5</v>
      </c>
      <c r="E1667" s="4">
        <v>0.21</v>
      </c>
      <c r="F1667" s="4">
        <v>0.18</v>
      </c>
      <c r="G1667" s="4">
        <v>0.6100000000000001</v>
      </c>
    </row>
    <row r="1668" spans="1:7" x14ac:dyDescent="0.25">
      <c r="A1668" s="1">
        <v>1667</v>
      </c>
      <c r="B1668" s="2">
        <v>473270</v>
      </c>
      <c r="C1668" s="3">
        <v>1.0999999999999999E-2</v>
      </c>
      <c r="D1668" s="1">
        <v>0.5</v>
      </c>
      <c r="E1668" s="4">
        <v>0.24</v>
      </c>
      <c r="F1668" s="4">
        <v>0.25</v>
      </c>
      <c r="G1668" s="4">
        <v>0.51</v>
      </c>
    </row>
    <row r="1669" spans="1:7" x14ac:dyDescent="0.25">
      <c r="A1669" s="1">
        <v>1668</v>
      </c>
      <c r="B1669" s="2">
        <v>378285</v>
      </c>
      <c r="C1669" s="3">
        <v>1.4E-2</v>
      </c>
      <c r="D1669" s="1">
        <v>0.5</v>
      </c>
      <c r="E1669" s="4">
        <v>0.25</v>
      </c>
      <c r="F1669" s="4">
        <v>0.33</v>
      </c>
      <c r="G1669" s="4">
        <v>0.41999999999999993</v>
      </c>
    </row>
    <row r="1670" spans="1:7" x14ac:dyDescent="0.25">
      <c r="A1670" s="1">
        <v>1669</v>
      </c>
      <c r="B1670" s="2">
        <v>241305</v>
      </c>
      <c r="C1670" s="3">
        <v>1.0999999999999999E-2</v>
      </c>
      <c r="D1670" s="1">
        <v>0.5</v>
      </c>
      <c r="E1670" s="4">
        <v>0.18</v>
      </c>
      <c r="F1670" s="4">
        <v>0.28000000000000003</v>
      </c>
      <c r="G1670" s="4">
        <v>0.54</v>
      </c>
    </row>
    <row r="1671" spans="1:7" x14ac:dyDescent="0.25">
      <c r="A1671" s="1">
        <v>1670</v>
      </c>
      <c r="B1671" s="2">
        <v>356319</v>
      </c>
      <c r="C1671" s="3">
        <v>8.0000000000000002E-3</v>
      </c>
      <c r="D1671" s="1">
        <v>0.5</v>
      </c>
      <c r="E1671" s="4">
        <v>0.24</v>
      </c>
      <c r="F1671" s="4">
        <v>0.31</v>
      </c>
      <c r="G1671" s="4">
        <v>0.44999999999999996</v>
      </c>
    </row>
    <row r="1672" spans="1:7" x14ac:dyDescent="0.25">
      <c r="A1672" s="1">
        <v>1671</v>
      </c>
      <c r="B1672" s="2">
        <v>978127</v>
      </c>
      <c r="C1672" s="3">
        <v>0.01</v>
      </c>
      <c r="D1672" s="1">
        <v>0.5</v>
      </c>
      <c r="E1672" s="4">
        <v>0.17</v>
      </c>
      <c r="F1672" s="4">
        <v>0.25</v>
      </c>
      <c r="G1672" s="4">
        <v>0.57999999999999996</v>
      </c>
    </row>
    <row r="1673" spans="1:7" x14ac:dyDescent="0.25">
      <c r="A1673" s="1">
        <v>1672</v>
      </c>
      <c r="B1673" s="2">
        <v>425630</v>
      </c>
      <c r="C1673" s="3">
        <v>6.0000000000000001E-3</v>
      </c>
      <c r="D1673" s="1">
        <v>0.5</v>
      </c>
      <c r="E1673" s="4">
        <v>0.22</v>
      </c>
      <c r="F1673" s="4">
        <v>0.27</v>
      </c>
      <c r="G1673" s="4">
        <v>0.51</v>
      </c>
    </row>
    <row r="1674" spans="1:7" x14ac:dyDescent="0.25">
      <c r="A1674" s="1">
        <v>1673</v>
      </c>
      <c r="B1674" s="2">
        <v>456768</v>
      </c>
      <c r="C1674" s="3">
        <v>5.0000000000000001E-3</v>
      </c>
      <c r="D1674" s="1">
        <v>0.5</v>
      </c>
      <c r="E1674" s="4">
        <v>0.24</v>
      </c>
      <c r="F1674" s="4">
        <v>0.35</v>
      </c>
      <c r="G1674" s="4">
        <v>0.41000000000000003</v>
      </c>
    </row>
    <row r="1675" spans="1:7" x14ac:dyDescent="0.25">
      <c r="A1675" s="1">
        <v>1674</v>
      </c>
      <c r="B1675" s="2">
        <v>914552</v>
      </c>
      <c r="C1675" s="3">
        <v>1.4999999999999999E-2</v>
      </c>
      <c r="D1675" s="1">
        <v>0.5</v>
      </c>
      <c r="E1675" s="4">
        <v>0.24</v>
      </c>
      <c r="F1675" s="4">
        <v>0.32</v>
      </c>
      <c r="G1675" s="4">
        <v>0.43999999999999995</v>
      </c>
    </row>
    <row r="1676" spans="1:7" x14ac:dyDescent="0.25">
      <c r="A1676" s="1">
        <v>1675</v>
      </c>
      <c r="B1676" s="2">
        <v>291899</v>
      </c>
      <c r="C1676" s="3">
        <v>8.0000000000000002E-3</v>
      </c>
      <c r="D1676" s="1">
        <v>0.5</v>
      </c>
      <c r="E1676" s="4">
        <v>0.23</v>
      </c>
      <c r="F1676" s="4">
        <v>0.33</v>
      </c>
      <c r="G1676" s="4">
        <v>0.43999999999999995</v>
      </c>
    </row>
    <row r="1677" spans="1:7" x14ac:dyDescent="0.25">
      <c r="A1677" s="1">
        <v>1676</v>
      </c>
      <c r="B1677" s="2">
        <v>639825</v>
      </c>
      <c r="C1677" s="3">
        <v>8.9999999999999993E-3</v>
      </c>
      <c r="D1677" s="1">
        <v>0.5</v>
      </c>
      <c r="E1677" s="4">
        <v>0.21</v>
      </c>
      <c r="F1677" s="4">
        <v>0.28000000000000003</v>
      </c>
      <c r="G1677" s="4">
        <v>0.51</v>
      </c>
    </row>
    <row r="1678" spans="1:7" x14ac:dyDescent="0.25">
      <c r="A1678" s="1">
        <v>1677</v>
      </c>
      <c r="B1678" s="2">
        <v>203085</v>
      </c>
      <c r="C1678" s="3">
        <v>7.0000000000000001E-3</v>
      </c>
      <c r="D1678" s="1">
        <v>0.5</v>
      </c>
      <c r="E1678" s="4">
        <v>0.21</v>
      </c>
      <c r="F1678" s="4">
        <v>0.15</v>
      </c>
      <c r="G1678" s="4">
        <v>0.64</v>
      </c>
    </row>
    <row r="1679" spans="1:7" x14ac:dyDescent="0.25">
      <c r="A1679" s="1">
        <v>1678</v>
      </c>
      <c r="B1679" s="2">
        <v>888325</v>
      </c>
      <c r="C1679" s="3">
        <v>8.0000000000000002E-3</v>
      </c>
      <c r="D1679" s="1">
        <v>0.5</v>
      </c>
      <c r="E1679" s="4">
        <v>0.22</v>
      </c>
      <c r="F1679" s="4">
        <v>0.16</v>
      </c>
      <c r="G1679" s="4">
        <v>0.62</v>
      </c>
    </row>
    <row r="1680" spans="1:7" x14ac:dyDescent="0.25">
      <c r="A1680" s="1">
        <v>1679</v>
      </c>
      <c r="B1680" s="2">
        <v>355717</v>
      </c>
      <c r="C1680" s="3">
        <v>0.01</v>
      </c>
      <c r="D1680" s="1">
        <v>0.5</v>
      </c>
      <c r="E1680" s="4">
        <v>0.24</v>
      </c>
      <c r="F1680" s="4">
        <v>0.25</v>
      </c>
      <c r="G1680" s="4">
        <v>0.51</v>
      </c>
    </row>
    <row r="1681" spans="1:7" x14ac:dyDescent="0.25">
      <c r="A1681" s="1">
        <v>1680</v>
      </c>
      <c r="B1681" s="2">
        <v>389820</v>
      </c>
      <c r="C1681" s="3">
        <v>1.4999999999999999E-2</v>
      </c>
      <c r="D1681" s="1">
        <v>0.5</v>
      </c>
      <c r="E1681" s="4">
        <v>0.17</v>
      </c>
      <c r="F1681" s="4">
        <v>0.27</v>
      </c>
      <c r="G1681" s="4">
        <v>0.55999999999999994</v>
      </c>
    </row>
    <row r="1682" spans="1:7" x14ac:dyDescent="0.25">
      <c r="A1682" s="1">
        <v>1681</v>
      </c>
      <c r="B1682" s="2">
        <v>652133</v>
      </c>
      <c r="C1682" s="3">
        <v>8.9999999999999993E-3</v>
      </c>
      <c r="D1682" s="1">
        <v>0.5</v>
      </c>
      <c r="E1682" s="4">
        <v>0.22</v>
      </c>
      <c r="F1682" s="4">
        <v>0.2</v>
      </c>
      <c r="G1682" s="4">
        <v>0.58000000000000007</v>
      </c>
    </row>
    <row r="1683" spans="1:7" x14ac:dyDescent="0.25">
      <c r="A1683" s="1">
        <v>1682</v>
      </c>
      <c r="B1683" s="2">
        <v>428905</v>
      </c>
      <c r="C1683" s="3">
        <v>1.4E-2</v>
      </c>
      <c r="D1683" s="1">
        <v>0.5</v>
      </c>
      <c r="E1683" s="4">
        <v>0.15</v>
      </c>
      <c r="F1683" s="4">
        <v>0.27</v>
      </c>
      <c r="G1683" s="4">
        <v>0.57999999999999996</v>
      </c>
    </row>
    <row r="1684" spans="1:7" x14ac:dyDescent="0.25">
      <c r="A1684" s="1">
        <v>1683</v>
      </c>
      <c r="B1684" s="2">
        <v>455798</v>
      </c>
      <c r="C1684" s="3">
        <v>1.2E-2</v>
      </c>
      <c r="D1684" s="1">
        <v>0.5</v>
      </c>
      <c r="E1684" s="4">
        <v>0.18</v>
      </c>
      <c r="F1684" s="4">
        <v>0.34</v>
      </c>
      <c r="G1684" s="4">
        <v>0.47999999999999993</v>
      </c>
    </row>
    <row r="1685" spans="1:7" x14ac:dyDescent="0.25">
      <c r="A1685" s="1">
        <v>1684</v>
      </c>
      <c r="B1685" s="2">
        <v>649742</v>
      </c>
      <c r="C1685" s="3">
        <v>6.0000000000000001E-3</v>
      </c>
      <c r="D1685" s="1">
        <v>0.5</v>
      </c>
      <c r="E1685" s="4">
        <v>0.2</v>
      </c>
      <c r="F1685" s="4">
        <v>0.33</v>
      </c>
      <c r="G1685" s="4">
        <v>0.46999999999999992</v>
      </c>
    </row>
    <row r="1686" spans="1:7" x14ac:dyDescent="0.25">
      <c r="A1686" s="1">
        <v>1685</v>
      </c>
      <c r="B1686" s="2">
        <v>267637</v>
      </c>
      <c r="C1686" s="3">
        <v>0.01</v>
      </c>
      <c r="D1686" s="1">
        <v>0.5</v>
      </c>
      <c r="E1686" s="4">
        <v>0.2</v>
      </c>
      <c r="F1686" s="4">
        <v>0.16</v>
      </c>
      <c r="G1686" s="4">
        <v>0.6399999999999999</v>
      </c>
    </row>
    <row r="1687" spans="1:7" x14ac:dyDescent="0.25">
      <c r="A1687" s="1">
        <v>1686</v>
      </c>
      <c r="B1687" s="2">
        <v>745035</v>
      </c>
      <c r="C1687" s="3">
        <v>8.9999999999999993E-3</v>
      </c>
      <c r="D1687" s="1">
        <v>0.5</v>
      </c>
      <c r="E1687" s="4">
        <v>0.21</v>
      </c>
      <c r="F1687" s="4">
        <v>0.26</v>
      </c>
      <c r="G1687" s="4">
        <v>0.53</v>
      </c>
    </row>
    <row r="1688" spans="1:7" x14ac:dyDescent="0.25">
      <c r="A1688" s="1">
        <v>1687</v>
      </c>
      <c r="B1688" s="2">
        <v>363956</v>
      </c>
      <c r="C1688" s="3">
        <v>8.0000000000000002E-3</v>
      </c>
      <c r="D1688" s="1">
        <v>0.5</v>
      </c>
      <c r="E1688" s="4">
        <v>0.22</v>
      </c>
      <c r="F1688" s="4">
        <v>0.17</v>
      </c>
      <c r="G1688" s="4">
        <v>0.61</v>
      </c>
    </row>
    <row r="1689" spans="1:7" x14ac:dyDescent="0.25">
      <c r="A1689" s="1">
        <v>1688</v>
      </c>
      <c r="B1689" s="2">
        <v>982806</v>
      </c>
      <c r="C1689" s="3">
        <v>8.0000000000000002E-3</v>
      </c>
      <c r="D1689" s="1">
        <v>0.5</v>
      </c>
      <c r="E1689" s="4">
        <v>0.19</v>
      </c>
      <c r="F1689" s="4">
        <v>0.28999999999999998</v>
      </c>
      <c r="G1689" s="4">
        <v>0.52</v>
      </c>
    </row>
    <row r="1690" spans="1:7" x14ac:dyDescent="0.25">
      <c r="A1690" s="1">
        <v>1689</v>
      </c>
      <c r="B1690" s="2">
        <v>566810</v>
      </c>
      <c r="C1690" s="3">
        <v>8.0000000000000002E-3</v>
      </c>
      <c r="D1690" s="1">
        <v>0.5</v>
      </c>
      <c r="E1690" s="4">
        <v>0.23</v>
      </c>
      <c r="F1690" s="4">
        <v>0.15</v>
      </c>
      <c r="G1690" s="4">
        <v>0.62</v>
      </c>
    </row>
    <row r="1691" spans="1:7" x14ac:dyDescent="0.25">
      <c r="A1691" s="1">
        <v>1690</v>
      </c>
      <c r="B1691" s="2">
        <v>279511</v>
      </c>
      <c r="C1691" s="3">
        <v>1.0999999999999999E-2</v>
      </c>
      <c r="D1691" s="1">
        <v>0.5</v>
      </c>
      <c r="E1691" s="4">
        <v>0.2</v>
      </c>
      <c r="F1691" s="4">
        <v>0.17</v>
      </c>
      <c r="G1691" s="4">
        <v>0.62999999999999989</v>
      </c>
    </row>
    <row r="1692" spans="1:7" x14ac:dyDescent="0.25">
      <c r="A1692" s="1">
        <v>1691</v>
      </c>
      <c r="B1692" s="2">
        <v>739667</v>
      </c>
      <c r="C1692" s="3">
        <v>5.0000000000000001E-3</v>
      </c>
      <c r="D1692" s="1">
        <v>0.5</v>
      </c>
      <c r="E1692" s="4">
        <v>0.17</v>
      </c>
      <c r="F1692" s="4">
        <v>0.3</v>
      </c>
      <c r="G1692" s="4">
        <v>0.52999999999999992</v>
      </c>
    </row>
    <row r="1693" spans="1:7" x14ac:dyDescent="0.25">
      <c r="A1693" s="1">
        <v>1692</v>
      </c>
      <c r="B1693" s="2">
        <v>329863</v>
      </c>
      <c r="C1693" s="3">
        <v>6.0000000000000001E-3</v>
      </c>
      <c r="D1693" s="1">
        <v>0.5</v>
      </c>
      <c r="E1693" s="4">
        <v>0.17</v>
      </c>
      <c r="F1693" s="4">
        <v>0.2</v>
      </c>
      <c r="G1693" s="4">
        <v>0.63</v>
      </c>
    </row>
    <row r="1694" spans="1:7" x14ac:dyDescent="0.25">
      <c r="A1694" s="1">
        <v>1693</v>
      </c>
      <c r="B1694" s="2">
        <v>322210</v>
      </c>
      <c r="C1694" s="3">
        <v>1.2999999999999999E-2</v>
      </c>
      <c r="D1694" s="1">
        <v>0.5</v>
      </c>
      <c r="E1694" s="4">
        <v>0.15</v>
      </c>
      <c r="F1694" s="4">
        <v>0.25</v>
      </c>
      <c r="G1694" s="4">
        <v>0.6</v>
      </c>
    </row>
    <row r="1695" spans="1:7" x14ac:dyDescent="0.25">
      <c r="A1695" s="1">
        <v>1694</v>
      </c>
      <c r="B1695" s="2">
        <v>424442</v>
      </c>
      <c r="C1695" s="3">
        <v>1.2E-2</v>
      </c>
      <c r="D1695" s="1">
        <v>0.5</v>
      </c>
      <c r="E1695" s="4">
        <v>0.16</v>
      </c>
      <c r="F1695" s="4">
        <v>0.28999999999999998</v>
      </c>
      <c r="G1695" s="4">
        <v>0.54999999999999993</v>
      </c>
    </row>
    <row r="1696" spans="1:7" x14ac:dyDescent="0.25">
      <c r="A1696" s="1">
        <v>1695</v>
      </c>
      <c r="B1696" s="2">
        <v>574808</v>
      </c>
      <c r="C1696" s="3">
        <v>0.01</v>
      </c>
      <c r="D1696" s="1">
        <v>0.5</v>
      </c>
      <c r="E1696" s="4">
        <v>0.2</v>
      </c>
      <c r="F1696" s="4">
        <v>0.23</v>
      </c>
      <c r="G1696" s="4">
        <v>0.57000000000000006</v>
      </c>
    </row>
    <row r="1697" spans="1:7" x14ac:dyDescent="0.25">
      <c r="A1697" s="1">
        <v>1696</v>
      </c>
      <c r="B1697" s="2">
        <v>756966</v>
      </c>
      <c r="C1697" s="3">
        <v>1.4999999999999999E-2</v>
      </c>
      <c r="D1697" s="1">
        <v>0.5</v>
      </c>
      <c r="E1697" s="4">
        <v>0.17</v>
      </c>
      <c r="F1697" s="4">
        <v>0.28999999999999998</v>
      </c>
      <c r="G1697" s="4">
        <v>0.53999999999999992</v>
      </c>
    </row>
    <row r="1698" spans="1:7" x14ac:dyDescent="0.25">
      <c r="A1698" s="1">
        <v>1697</v>
      </c>
      <c r="B1698" s="2">
        <v>671113</v>
      </c>
      <c r="C1698" s="3">
        <v>1.4999999999999999E-2</v>
      </c>
      <c r="D1698" s="1">
        <v>0.5</v>
      </c>
      <c r="E1698" s="4">
        <v>0.23</v>
      </c>
      <c r="F1698" s="4">
        <v>0.26</v>
      </c>
      <c r="G1698" s="4">
        <v>0.51</v>
      </c>
    </row>
    <row r="1699" spans="1:7" x14ac:dyDescent="0.25">
      <c r="A1699" s="1">
        <v>1698</v>
      </c>
      <c r="B1699" s="2">
        <v>639838</v>
      </c>
      <c r="C1699" s="3">
        <v>1.2E-2</v>
      </c>
      <c r="D1699" s="1">
        <v>0.5</v>
      </c>
      <c r="E1699" s="4">
        <v>0.18</v>
      </c>
      <c r="F1699" s="4">
        <v>0.28000000000000003</v>
      </c>
      <c r="G1699" s="4">
        <v>0.54</v>
      </c>
    </row>
    <row r="1700" spans="1:7" x14ac:dyDescent="0.25">
      <c r="A1700" s="1">
        <v>1699</v>
      </c>
      <c r="B1700" s="2">
        <v>212729</v>
      </c>
      <c r="C1700" s="3">
        <v>8.9999999999999993E-3</v>
      </c>
      <c r="D1700" s="1">
        <v>0.5</v>
      </c>
      <c r="E1700" s="4">
        <v>0.15</v>
      </c>
      <c r="F1700" s="4">
        <v>0.18</v>
      </c>
      <c r="G1700" s="4">
        <v>0.67</v>
      </c>
    </row>
    <row r="1701" spans="1:7" x14ac:dyDescent="0.25">
      <c r="A1701" s="1">
        <v>1700</v>
      </c>
      <c r="B1701" s="2">
        <v>245671</v>
      </c>
      <c r="C1701" s="3">
        <v>1.2999999999999999E-2</v>
      </c>
      <c r="D1701" s="1">
        <v>0.5</v>
      </c>
      <c r="E1701" s="4">
        <v>0.23</v>
      </c>
      <c r="F1701" s="4">
        <v>0.24</v>
      </c>
      <c r="G1701" s="4">
        <v>0.53</v>
      </c>
    </row>
    <row r="1702" spans="1:7" x14ac:dyDescent="0.25">
      <c r="A1702" s="1">
        <v>1701</v>
      </c>
      <c r="B1702" s="2">
        <v>429620</v>
      </c>
      <c r="C1702" s="3">
        <v>1.4999999999999999E-2</v>
      </c>
      <c r="D1702" s="1">
        <v>0.5</v>
      </c>
      <c r="E1702" s="4">
        <v>0.22</v>
      </c>
      <c r="F1702" s="4">
        <v>0.3</v>
      </c>
      <c r="G1702" s="4">
        <v>0.48</v>
      </c>
    </row>
    <row r="1703" spans="1:7" x14ac:dyDescent="0.25">
      <c r="A1703" s="1">
        <v>1702</v>
      </c>
      <c r="B1703" s="2">
        <v>326041</v>
      </c>
      <c r="C1703" s="3">
        <v>7.0000000000000001E-3</v>
      </c>
      <c r="D1703" s="1">
        <v>0.5</v>
      </c>
      <c r="E1703" s="4">
        <v>0.2</v>
      </c>
      <c r="F1703" s="4">
        <v>0.22</v>
      </c>
      <c r="G1703" s="4">
        <v>0.58000000000000007</v>
      </c>
    </row>
    <row r="1704" spans="1:7" x14ac:dyDescent="0.25">
      <c r="A1704" s="1">
        <v>1703</v>
      </c>
      <c r="B1704" s="2">
        <v>523834</v>
      </c>
      <c r="C1704" s="3">
        <v>5.0000000000000001E-3</v>
      </c>
      <c r="D1704" s="1">
        <v>0.5</v>
      </c>
      <c r="E1704" s="4">
        <v>0.23</v>
      </c>
      <c r="F1704" s="4">
        <v>0.19</v>
      </c>
      <c r="G1704" s="4">
        <v>0.58000000000000007</v>
      </c>
    </row>
    <row r="1705" spans="1:7" x14ac:dyDescent="0.25">
      <c r="A1705" s="1">
        <v>1704</v>
      </c>
      <c r="B1705" s="2">
        <v>588326</v>
      </c>
      <c r="C1705" s="3">
        <v>1.4999999999999999E-2</v>
      </c>
      <c r="D1705" s="1">
        <v>0.5</v>
      </c>
      <c r="E1705" s="4">
        <v>0.19</v>
      </c>
      <c r="F1705" s="4">
        <v>0.26</v>
      </c>
      <c r="G1705" s="4">
        <v>0.55000000000000004</v>
      </c>
    </row>
    <row r="1706" spans="1:7" x14ac:dyDescent="0.25">
      <c r="A1706" s="1">
        <v>1705</v>
      </c>
      <c r="B1706" s="2">
        <v>456212</v>
      </c>
      <c r="C1706" s="3">
        <v>1.4E-2</v>
      </c>
      <c r="D1706" s="1">
        <v>0.5</v>
      </c>
      <c r="E1706" s="4">
        <v>0.25</v>
      </c>
      <c r="F1706" s="4">
        <v>0.27</v>
      </c>
      <c r="G1706" s="4">
        <v>0.48</v>
      </c>
    </row>
    <row r="1707" spans="1:7" x14ac:dyDescent="0.25">
      <c r="A1707" s="1">
        <v>1706</v>
      </c>
      <c r="B1707" s="2">
        <v>355283</v>
      </c>
      <c r="C1707" s="3">
        <v>1.2999999999999999E-2</v>
      </c>
      <c r="D1707" s="1">
        <v>0.5</v>
      </c>
      <c r="E1707" s="4">
        <v>0.21</v>
      </c>
      <c r="F1707" s="4">
        <v>0.28999999999999998</v>
      </c>
      <c r="G1707" s="4">
        <v>0.5</v>
      </c>
    </row>
    <row r="1708" spans="1:7" x14ac:dyDescent="0.25">
      <c r="A1708" s="1">
        <v>1707</v>
      </c>
      <c r="B1708" s="2">
        <v>604322</v>
      </c>
      <c r="C1708" s="3">
        <v>6.0000000000000001E-3</v>
      </c>
      <c r="D1708" s="1">
        <v>0.5</v>
      </c>
      <c r="E1708" s="4">
        <v>0.16</v>
      </c>
      <c r="F1708" s="4">
        <v>0.33</v>
      </c>
      <c r="G1708" s="4">
        <v>0.5099999999999999</v>
      </c>
    </row>
    <row r="1709" spans="1:7" x14ac:dyDescent="0.25">
      <c r="A1709" s="1">
        <v>1708</v>
      </c>
      <c r="B1709" s="2">
        <v>979977</v>
      </c>
      <c r="C1709" s="3">
        <v>6.0000000000000001E-3</v>
      </c>
      <c r="D1709" s="1">
        <v>0.5</v>
      </c>
      <c r="E1709" s="4">
        <v>0.19</v>
      </c>
      <c r="F1709" s="4">
        <v>0.28999999999999998</v>
      </c>
      <c r="G1709" s="4">
        <v>0.52</v>
      </c>
    </row>
    <row r="1710" spans="1:7" x14ac:dyDescent="0.25">
      <c r="A1710" s="1">
        <v>1709</v>
      </c>
      <c r="B1710" s="2">
        <v>473612</v>
      </c>
      <c r="C1710" s="3">
        <v>0.01</v>
      </c>
      <c r="D1710" s="1">
        <v>0.5</v>
      </c>
      <c r="E1710" s="4">
        <v>0.24</v>
      </c>
      <c r="F1710" s="4">
        <v>0.24</v>
      </c>
      <c r="G1710" s="4">
        <v>0.52</v>
      </c>
    </row>
    <row r="1711" spans="1:7" x14ac:dyDescent="0.25">
      <c r="A1711" s="1">
        <v>1710</v>
      </c>
      <c r="B1711" s="2">
        <v>311639</v>
      </c>
      <c r="C1711" s="3">
        <v>1.2999999999999999E-2</v>
      </c>
      <c r="D1711" s="1">
        <v>0.5</v>
      </c>
      <c r="E1711" s="4">
        <v>0.15</v>
      </c>
      <c r="F1711" s="4">
        <v>0.28000000000000003</v>
      </c>
      <c r="G1711" s="4">
        <v>0.56999999999999995</v>
      </c>
    </row>
    <row r="1712" spans="1:7" x14ac:dyDescent="0.25">
      <c r="A1712" s="1">
        <v>1711</v>
      </c>
      <c r="B1712" s="2">
        <v>623609</v>
      </c>
      <c r="C1712" s="3">
        <v>0.01</v>
      </c>
      <c r="D1712" s="1">
        <v>0.5</v>
      </c>
      <c r="E1712" s="4">
        <v>0.25</v>
      </c>
      <c r="F1712" s="4">
        <v>0.35</v>
      </c>
      <c r="G1712" s="4">
        <v>0.4</v>
      </c>
    </row>
    <row r="1713" spans="1:7" x14ac:dyDescent="0.25">
      <c r="A1713" s="1">
        <v>1712</v>
      </c>
      <c r="B1713" s="2">
        <v>314101</v>
      </c>
      <c r="C1713" s="3">
        <v>6.0000000000000001E-3</v>
      </c>
      <c r="D1713" s="1">
        <v>0.5</v>
      </c>
      <c r="E1713" s="4">
        <v>0.19</v>
      </c>
      <c r="F1713" s="4">
        <v>0.33</v>
      </c>
      <c r="G1713" s="4">
        <v>0.47999999999999993</v>
      </c>
    </row>
    <row r="1714" spans="1:7" x14ac:dyDescent="0.25">
      <c r="A1714" s="1">
        <v>1713</v>
      </c>
      <c r="B1714" s="2">
        <v>321493</v>
      </c>
      <c r="C1714" s="3">
        <v>7.0000000000000001E-3</v>
      </c>
      <c r="D1714" s="1">
        <v>0.5</v>
      </c>
      <c r="E1714" s="4">
        <v>0.22</v>
      </c>
      <c r="F1714" s="4">
        <v>0.16</v>
      </c>
      <c r="G1714" s="4">
        <v>0.62</v>
      </c>
    </row>
    <row r="1715" spans="1:7" x14ac:dyDescent="0.25">
      <c r="A1715" s="1">
        <v>1714</v>
      </c>
      <c r="B1715" s="2">
        <v>650917</v>
      </c>
      <c r="C1715" s="3">
        <v>1.2999999999999999E-2</v>
      </c>
      <c r="D1715" s="1">
        <v>0.5</v>
      </c>
      <c r="E1715" s="4">
        <v>0.15</v>
      </c>
      <c r="F1715" s="4">
        <v>0.33</v>
      </c>
      <c r="G1715" s="4">
        <v>0.51999999999999991</v>
      </c>
    </row>
    <row r="1716" spans="1:7" x14ac:dyDescent="0.25">
      <c r="A1716" s="1">
        <v>1715</v>
      </c>
      <c r="B1716" s="2">
        <v>925720</v>
      </c>
      <c r="C1716" s="3">
        <v>1.2999999999999999E-2</v>
      </c>
      <c r="D1716" s="1">
        <v>0.5</v>
      </c>
      <c r="E1716" s="4">
        <v>0.18</v>
      </c>
      <c r="F1716" s="4">
        <v>0.24</v>
      </c>
      <c r="G1716" s="4">
        <v>0.58000000000000007</v>
      </c>
    </row>
    <row r="1717" spans="1:7" x14ac:dyDescent="0.25">
      <c r="A1717" s="1">
        <v>1716</v>
      </c>
      <c r="B1717" s="2">
        <v>686003</v>
      </c>
      <c r="C1717" s="3">
        <v>1.2E-2</v>
      </c>
      <c r="D1717" s="1">
        <v>0.5</v>
      </c>
      <c r="E1717" s="4">
        <v>0.15</v>
      </c>
      <c r="F1717" s="4">
        <v>0.24</v>
      </c>
      <c r="G1717" s="4">
        <v>0.61</v>
      </c>
    </row>
    <row r="1718" spans="1:7" x14ac:dyDescent="0.25">
      <c r="A1718" s="1">
        <v>1717</v>
      </c>
      <c r="B1718" s="2">
        <v>772031</v>
      </c>
      <c r="C1718" s="3">
        <v>1.0999999999999999E-2</v>
      </c>
      <c r="D1718" s="1">
        <v>0.5</v>
      </c>
      <c r="E1718" s="4">
        <v>0.23</v>
      </c>
      <c r="F1718" s="4">
        <v>0.18</v>
      </c>
      <c r="G1718" s="4">
        <v>0.59000000000000008</v>
      </c>
    </row>
    <row r="1719" spans="1:7" x14ac:dyDescent="0.25">
      <c r="A1719" s="1">
        <v>1718</v>
      </c>
      <c r="B1719" s="2">
        <v>280191</v>
      </c>
      <c r="C1719" s="3">
        <v>7.0000000000000001E-3</v>
      </c>
      <c r="D1719" s="1">
        <v>0.5</v>
      </c>
      <c r="E1719" s="4">
        <v>0.17</v>
      </c>
      <c r="F1719" s="4">
        <v>0.32</v>
      </c>
      <c r="G1719" s="4">
        <v>0.5099999999999999</v>
      </c>
    </row>
    <row r="1720" spans="1:7" x14ac:dyDescent="0.25">
      <c r="A1720" s="1">
        <v>1719</v>
      </c>
      <c r="B1720" s="2">
        <v>550734</v>
      </c>
      <c r="C1720" s="3">
        <v>6.0000000000000001E-3</v>
      </c>
      <c r="D1720" s="1">
        <v>0.5</v>
      </c>
      <c r="E1720" s="4">
        <v>0.23</v>
      </c>
      <c r="F1720" s="4">
        <v>0.31</v>
      </c>
      <c r="G1720" s="4">
        <v>0.45999999999999996</v>
      </c>
    </row>
    <row r="1721" spans="1:7" x14ac:dyDescent="0.25">
      <c r="A1721" s="1">
        <v>1720</v>
      </c>
      <c r="B1721" s="2">
        <v>772809</v>
      </c>
      <c r="C1721" s="3">
        <v>8.9999999999999993E-3</v>
      </c>
      <c r="D1721" s="1">
        <v>0.5</v>
      </c>
      <c r="E1721" s="4">
        <v>0.23</v>
      </c>
      <c r="F1721" s="4">
        <v>0.15</v>
      </c>
      <c r="G1721" s="4">
        <v>0.62</v>
      </c>
    </row>
    <row r="1722" spans="1:7" x14ac:dyDescent="0.25">
      <c r="A1722" s="1">
        <v>1721</v>
      </c>
      <c r="B1722" s="2">
        <v>305643</v>
      </c>
      <c r="C1722" s="3">
        <v>7.0000000000000001E-3</v>
      </c>
      <c r="D1722" s="1">
        <v>0.5</v>
      </c>
      <c r="E1722" s="4">
        <v>0.23</v>
      </c>
      <c r="F1722" s="4">
        <v>0.24</v>
      </c>
      <c r="G1722" s="4">
        <v>0.53</v>
      </c>
    </row>
    <row r="1723" spans="1:7" x14ac:dyDescent="0.25">
      <c r="A1723" s="1">
        <v>1722</v>
      </c>
      <c r="B1723" s="2">
        <v>800777</v>
      </c>
      <c r="C1723" s="3">
        <v>7.0000000000000001E-3</v>
      </c>
      <c r="D1723" s="1">
        <v>0.5</v>
      </c>
      <c r="E1723" s="4">
        <v>0.24</v>
      </c>
      <c r="F1723" s="4">
        <v>0.25</v>
      </c>
      <c r="G1723" s="4">
        <v>0.51</v>
      </c>
    </row>
    <row r="1724" spans="1:7" x14ac:dyDescent="0.25">
      <c r="A1724" s="1">
        <v>1723</v>
      </c>
      <c r="B1724" s="2">
        <v>549637</v>
      </c>
      <c r="C1724" s="3">
        <v>1.4E-2</v>
      </c>
      <c r="D1724" s="1">
        <v>0.5</v>
      </c>
      <c r="E1724" s="4">
        <v>0.21</v>
      </c>
      <c r="F1724" s="4">
        <v>0.31</v>
      </c>
      <c r="G1724" s="4">
        <v>0.48</v>
      </c>
    </row>
    <row r="1725" spans="1:7" x14ac:dyDescent="0.25">
      <c r="A1725" s="1">
        <v>1724</v>
      </c>
      <c r="B1725" s="2">
        <v>577296</v>
      </c>
      <c r="C1725" s="3">
        <v>1.4999999999999999E-2</v>
      </c>
      <c r="D1725" s="1">
        <v>0.5</v>
      </c>
      <c r="E1725" s="4">
        <v>0.19</v>
      </c>
      <c r="F1725" s="4">
        <v>0.16</v>
      </c>
      <c r="G1725" s="4">
        <v>0.64999999999999991</v>
      </c>
    </row>
    <row r="1726" spans="1:7" x14ac:dyDescent="0.25">
      <c r="A1726" s="1">
        <v>1725</v>
      </c>
      <c r="B1726" s="2">
        <v>506088</v>
      </c>
      <c r="C1726" s="3">
        <v>7.0000000000000001E-3</v>
      </c>
      <c r="D1726" s="1">
        <v>0.5</v>
      </c>
      <c r="E1726" s="4">
        <v>0.21</v>
      </c>
      <c r="F1726" s="4">
        <v>0.16</v>
      </c>
      <c r="G1726" s="4">
        <v>0.63</v>
      </c>
    </row>
    <row r="1727" spans="1:7" x14ac:dyDescent="0.25">
      <c r="A1727" s="1">
        <v>1726</v>
      </c>
      <c r="B1727" s="2">
        <v>686186</v>
      </c>
      <c r="C1727" s="3">
        <v>7.0000000000000001E-3</v>
      </c>
      <c r="D1727" s="1">
        <v>0.5</v>
      </c>
      <c r="E1727" s="4">
        <v>0.25</v>
      </c>
      <c r="F1727" s="4">
        <v>0.16</v>
      </c>
      <c r="G1727" s="4">
        <v>0.59</v>
      </c>
    </row>
    <row r="1728" spans="1:7" x14ac:dyDescent="0.25">
      <c r="A1728" s="1">
        <v>1727</v>
      </c>
      <c r="B1728" s="2">
        <v>801362</v>
      </c>
      <c r="C1728" s="3">
        <v>5.0000000000000001E-3</v>
      </c>
      <c r="D1728" s="1">
        <v>0.5</v>
      </c>
      <c r="E1728" s="4">
        <v>0.21</v>
      </c>
      <c r="F1728" s="4">
        <v>0.25</v>
      </c>
      <c r="G1728" s="4">
        <v>0.54</v>
      </c>
    </row>
    <row r="1729" spans="1:7" x14ac:dyDescent="0.25">
      <c r="A1729" s="1">
        <v>1728</v>
      </c>
      <c r="B1729" s="2">
        <v>391344</v>
      </c>
      <c r="C1729" s="3">
        <v>1.4999999999999999E-2</v>
      </c>
      <c r="D1729" s="1">
        <v>0.5</v>
      </c>
      <c r="E1729" s="4">
        <v>0.19</v>
      </c>
      <c r="F1729" s="4">
        <v>0.33</v>
      </c>
      <c r="G1729" s="4">
        <v>0.47999999999999993</v>
      </c>
    </row>
    <row r="1730" spans="1:7" x14ac:dyDescent="0.25">
      <c r="A1730" s="1">
        <v>1729</v>
      </c>
      <c r="B1730" s="2">
        <v>227695</v>
      </c>
      <c r="C1730" s="3">
        <v>8.0000000000000002E-3</v>
      </c>
      <c r="D1730" s="1">
        <v>0.5</v>
      </c>
      <c r="E1730" s="4">
        <v>0.18</v>
      </c>
      <c r="F1730" s="4">
        <v>0.33</v>
      </c>
      <c r="G1730" s="4">
        <v>0.48999999999999994</v>
      </c>
    </row>
    <row r="1731" spans="1:7" x14ac:dyDescent="0.25">
      <c r="A1731" s="1">
        <v>1730</v>
      </c>
      <c r="B1731" s="2">
        <v>344865</v>
      </c>
      <c r="C1731" s="3">
        <v>8.0000000000000002E-3</v>
      </c>
      <c r="D1731" s="1">
        <v>0.5</v>
      </c>
      <c r="E1731" s="4">
        <v>0.2</v>
      </c>
      <c r="F1731" s="4">
        <v>0.21</v>
      </c>
      <c r="G1731" s="4">
        <v>0.59000000000000008</v>
      </c>
    </row>
    <row r="1732" spans="1:7" x14ac:dyDescent="0.25">
      <c r="A1732" s="1">
        <v>1731</v>
      </c>
      <c r="B1732" s="2">
        <v>355580</v>
      </c>
      <c r="C1732" s="3">
        <v>5.0000000000000001E-3</v>
      </c>
      <c r="D1732" s="1">
        <v>0.5</v>
      </c>
      <c r="E1732" s="4">
        <v>0.21</v>
      </c>
      <c r="F1732" s="4">
        <v>0.18</v>
      </c>
      <c r="G1732" s="4">
        <v>0.6100000000000001</v>
      </c>
    </row>
    <row r="1733" spans="1:7" x14ac:dyDescent="0.25">
      <c r="A1733" s="1">
        <v>1732</v>
      </c>
      <c r="B1733" s="2">
        <v>573157</v>
      </c>
      <c r="C1733" s="3">
        <v>8.0000000000000002E-3</v>
      </c>
      <c r="D1733" s="1">
        <v>0.5</v>
      </c>
      <c r="E1733" s="4">
        <v>0.18</v>
      </c>
      <c r="F1733" s="4">
        <v>0.21</v>
      </c>
      <c r="G1733" s="4">
        <v>0.6100000000000001</v>
      </c>
    </row>
    <row r="1734" spans="1:7" x14ac:dyDescent="0.25">
      <c r="A1734" s="1">
        <v>1733</v>
      </c>
      <c r="B1734" s="2">
        <v>919310</v>
      </c>
      <c r="C1734" s="3">
        <v>8.9999999999999993E-3</v>
      </c>
      <c r="D1734" s="1">
        <v>0.5</v>
      </c>
      <c r="E1734" s="4">
        <v>0.24</v>
      </c>
      <c r="F1734" s="4">
        <v>0.33</v>
      </c>
      <c r="G1734" s="4">
        <v>0.42999999999999994</v>
      </c>
    </row>
    <row r="1735" spans="1:7" x14ac:dyDescent="0.25">
      <c r="A1735" s="1">
        <v>1734</v>
      </c>
      <c r="B1735" s="2">
        <v>858936</v>
      </c>
      <c r="C1735" s="3">
        <v>1.2E-2</v>
      </c>
      <c r="D1735" s="1">
        <v>0.5</v>
      </c>
      <c r="E1735" s="4">
        <v>0.24</v>
      </c>
      <c r="F1735" s="4">
        <v>0.18</v>
      </c>
      <c r="G1735" s="4">
        <v>0.58000000000000007</v>
      </c>
    </row>
    <row r="1736" spans="1:7" x14ac:dyDescent="0.25">
      <c r="A1736" s="1">
        <v>1735</v>
      </c>
      <c r="B1736" s="2">
        <v>365051</v>
      </c>
      <c r="C1736" s="3">
        <v>1.4999999999999999E-2</v>
      </c>
      <c r="D1736" s="1">
        <v>0.5</v>
      </c>
      <c r="E1736" s="4">
        <v>0.17</v>
      </c>
      <c r="F1736" s="4">
        <v>0.33</v>
      </c>
      <c r="G1736" s="4">
        <v>0.49999999999999989</v>
      </c>
    </row>
    <row r="1737" spans="1:7" x14ac:dyDescent="0.25">
      <c r="A1737" s="1">
        <v>1736</v>
      </c>
      <c r="B1737" s="2">
        <v>564093</v>
      </c>
      <c r="C1737" s="3">
        <v>1.4999999999999999E-2</v>
      </c>
      <c r="D1737" s="1">
        <v>0.5</v>
      </c>
      <c r="E1737" s="4">
        <v>0.22</v>
      </c>
      <c r="F1737" s="4">
        <v>0.19</v>
      </c>
      <c r="G1737" s="4">
        <v>0.59000000000000008</v>
      </c>
    </row>
    <row r="1738" spans="1:7" x14ac:dyDescent="0.25">
      <c r="A1738" s="1">
        <v>1737</v>
      </c>
      <c r="B1738" s="2">
        <v>319876</v>
      </c>
      <c r="C1738" s="3">
        <v>1.2999999999999999E-2</v>
      </c>
      <c r="D1738" s="1">
        <v>0.5</v>
      </c>
      <c r="E1738" s="4">
        <v>0.25</v>
      </c>
      <c r="F1738" s="4">
        <v>0.34</v>
      </c>
      <c r="G1738" s="4">
        <v>0.40999999999999992</v>
      </c>
    </row>
    <row r="1739" spans="1:7" x14ac:dyDescent="0.25">
      <c r="A1739" s="1">
        <v>1738</v>
      </c>
      <c r="B1739" s="2">
        <v>237031</v>
      </c>
      <c r="C1739" s="3">
        <v>1.2999999999999999E-2</v>
      </c>
      <c r="D1739" s="1">
        <v>0.5</v>
      </c>
      <c r="E1739" s="4">
        <v>0.24</v>
      </c>
      <c r="F1739" s="4">
        <v>0.28999999999999998</v>
      </c>
      <c r="G1739" s="4">
        <v>0.47</v>
      </c>
    </row>
    <row r="1740" spans="1:7" x14ac:dyDescent="0.25">
      <c r="A1740" s="1">
        <v>1739</v>
      </c>
      <c r="B1740" s="2">
        <v>594415</v>
      </c>
      <c r="C1740" s="3">
        <v>1.2E-2</v>
      </c>
      <c r="D1740" s="1">
        <v>0.5</v>
      </c>
      <c r="E1740" s="4">
        <v>0.17</v>
      </c>
      <c r="F1740" s="4">
        <v>0.3</v>
      </c>
      <c r="G1740" s="4">
        <v>0.52999999999999992</v>
      </c>
    </row>
    <row r="1741" spans="1:7" x14ac:dyDescent="0.25">
      <c r="A1741" s="1">
        <v>1740</v>
      </c>
      <c r="B1741" s="2">
        <v>377390</v>
      </c>
      <c r="C1741" s="3">
        <v>7.0000000000000001E-3</v>
      </c>
      <c r="D1741" s="1">
        <v>0.5</v>
      </c>
      <c r="E1741" s="4">
        <v>0.15</v>
      </c>
      <c r="F1741" s="4">
        <v>0.22</v>
      </c>
      <c r="G1741" s="4">
        <v>0.63</v>
      </c>
    </row>
    <row r="1742" spans="1:7" x14ac:dyDescent="0.25">
      <c r="A1742" s="1">
        <v>1741</v>
      </c>
      <c r="B1742" s="2">
        <v>565336</v>
      </c>
      <c r="C1742" s="3">
        <v>8.0000000000000002E-3</v>
      </c>
      <c r="D1742" s="1">
        <v>0.5</v>
      </c>
      <c r="E1742" s="4">
        <v>0.22</v>
      </c>
      <c r="F1742" s="4">
        <v>0.16</v>
      </c>
      <c r="G1742" s="4">
        <v>0.62</v>
      </c>
    </row>
    <row r="1743" spans="1:7" x14ac:dyDescent="0.25">
      <c r="A1743" s="1">
        <v>1742</v>
      </c>
      <c r="B1743" s="2">
        <v>562442</v>
      </c>
      <c r="C1743" s="3">
        <v>5.0000000000000001E-3</v>
      </c>
      <c r="D1743" s="1">
        <v>0.5</v>
      </c>
      <c r="E1743" s="4">
        <v>0.25</v>
      </c>
      <c r="F1743" s="4">
        <v>0.16</v>
      </c>
      <c r="G1743" s="4">
        <v>0.59</v>
      </c>
    </row>
    <row r="1744" spans="1:7" x14ac:dyDescent="0.25">
      <c r="A1744" s="1">
        <v>1743</v>
      </c>
      <c r="B1744" s="2">
        <v>677052</v>
      </c>
      <c r="C1744" s="3">
        <v>8.9999999999999993E-3</v>
      </c>
      <c r="D1744" s="1">
        <v>0.5</v>
      </c>
      <c r="E1744" s="4">
        <v>0.19</v>
      </c>
      <c r="F1744" s="4">
        <v>0.24</v>
      </c>
      <c r="G1744" s="4">
        <v>0.57000000000000006</v>
      </c>
    </row>
    <row r="1745" spans="1:7" x14ac:dyDescent="0.25">
      <c r="A1745" s="1">
        <v>1744</v>
      </c>
      <c r="B1745" s="2">
        <v>854188</v>
      </c>
      <c r="C1745" s="3">
        <v>5.0000000000000001E-3</v>
      </c>
      <c r="D1745" s="1">
        <v>0.5</v>
      </c>
      <c r="E1745" s="4">
        <v>0.23</v>
      </c>
      <c r="F1745" s="4">
        <v>0.25</v>
      </c>
      <c r="G1745" s="4">
        <v>0.52</v>
      </c>
    </row>
    <row r="1746" spans="1:7" x14ac:dyDescent="0.25">
      <c r="A1746" s="1">
        <v>1745</v>
      </c>
      <c r="B1746" s="2">
        <v>581283</v>
      </c>
      <c r="C1746" s="3">
        <v>8.0000000000000002E-3</v>
      </c>
      <c r="D1746" s="1">
        <v>0.5</v>
      </c>
      <c r="E1746" s="4">
        <v>0.25</v>
      </c>
      <c r="F1746" s="4">
        <v>0.31</v>
      </c>
      <c r="G1746" s="4">
        <v>0.43999999999999995</v>
      </c>
    </row>
    <row r="1747" spans="1:7" x14ac:dyDescent="0.25">
      <c r="A1747" s="1">
        <v>1746</v>
      </c>
      <c r="B1747" s="2">
        <v>577408</v>
      </c>
      <c r="C1747" s="3">
        <v>7.0000000000000001E-3</v>
      </c>
      <c r="D1747" s="1">
        <v>0.5</v>
      </c>
      <c r="E1747" s="4">
        <v>0.25</v>
      </c>
      <c r="F1747" s="4">
        <v>0.25</v>
      </c>
      <c r="G1747" s="4">
        <v>0.5</v>
      </c>
    </row>
    <row r="1748" spans="1:7" x14ac:dyDescent="0.25">
      <c r="A1748" s="1">
        <v>1747</v>
      </c>
      <c r="B1748" s="2">
        <v>237995</v>
      </c>
      <c r="C1748" s="3">
        <v>6.0000000000000001E-3</v>
      </c>
      <c r="D1748" s="1">
        <v>0.5</v>
      </c>
      <c r="E1748" s="4">
        <v>0.21</v>
      </c>
      <c r="F1748" s="4">
        <v>0.35</v>
      </c>
      <c r="G1748" s="4">
        <v>0.44000000000000006</v>
      </c>
    </row>
    <row r="1749" spans="1:7" x14ac:dyDescent="0.25">
      <c r="A1749" s="1">
        <v>1748</v>
      </c>
      <c r="B1749" s="2">
        <v>627658</v>
      </c>
      <c r="C1749" s="3">
        <v>1.4999999999999999E-2</v>
      </c>
      <c r="D1749" s="1">
        <v>0.5</v>
      </c>
      <c r="E1749" s="4">
        <v>0.22</v>
      </c>
      <c r="F1749" s="4">
        <v>0.3</v>
      </c>
      <c r="G1749" s="4">
        <v>0.48</v>
      </c>
    </row>
    <row r="1750" spans="1:7" x14ac:dyDescent="0.25">
      <c r="A1750" s="1">
        <v>1749</v>
      </c>
      <c r="B1750" s="2">
        <v>434098</v>
      </c>
      <c r="C1750" s="3">
        <v>0.01</v>
      </c>
      <c r="D1750" s="1">
        <v>0.5</v>
      </c>
      <c r="E1750" s="4">
        <v>0.18</v>
      </c>
      <c r="F1750" s="4">
        <v>0.16</v>
      </c>
      <c r="G1750" s="4">
        <v>0.65999999999999992</v>
      </c>
    </row>
    <row r="1751" spans="1:7" x14ac:dyDescent="0.25">
      <c r="A1751" s="1">
        <v>1750</v>
      </c>
      <c r="B1751" s="2">
        <v>221943</v>
      </c>
      <c r="C1751" s="3">
        <v>7.0000000000000001E-3</v>
      </c>
      <c r="D1751" s="1">
        <v>0.5</v>
      </c>
      <c r="E1751" s="4">
        <v>0.22</v>
      </c>
      <c r="F1751" s="4">
        <v>0.22</v>
      </c>
      <c r="G1751" s="4">
        <v>0.56000000000000005</v>
      </c>
    </row>
    <row r="1752" spans="1:7" x14ac:dyDescent="0.25">
      <c r="A1752" s="1">
        <v>1751</v>
      </c>
      <c r="B1752" s="2">
        <v>998952</v>
      </c>
      <c r="C1752" s="3">
        <v>5.0000000000000001E-3</v>
      </c>
      <c r="D1752" s="1">
        <v>0.5</v>
      </c>
      <c r="E1752" s="4">
        <v>0.22</v>
      </c>
      <c r="F1752" s="4">
        <v>0.15</v>
      </c>
      <c r="G1752" s="4">
        <v>0.63</v>
      </c>
    </row>
    <row r="1753" spans="1:7" x14ac:dyDescent="0.25">
      <c r="A1753" s="1">
        <v>1752</v>
      </c>
      <c r="B1753" s="2">
        <v>402818</v>
      </c>
      <c r="C1753" s="3">
        <v>1.4999999999999999E-2</v>
      </c>
      <c r="D1753" s="1">
        <v>0.5</v>
      </c>
      <c r="E1753" s="4">
        <v>0.16</v>
      </c>
      <c r="F1753" s="4">
        <v>0.23</v>
      </c>
      <c r="G1753" s="4">
        <v>0.61</v>
      </c>
    </row>
    <row r="1754" spans="1:7" x14ac:dyDescent="0.25">
      <c r="A1754" s="1">
        <v>1753</v>
      </c>
      <c r="B1754" s="2">
        <v>263728</v>
      </c>
      <c r="C1754" s="3">
        <v>1.4E-2</v>
      </c>
      <c r="D1754" s="1">
        <v>0.5</v>
      </c>
      <c r="E1754" s="4">
        <v>0.2</v>
      </c>
      <c r="F1754" s="4">
        <v>0.21</v>
      </c>
      <c r="G1754" s="4">
        <v>0.59000000000000008</v>
      </c>
    </row>
    <row r="1755" spans="1:7" x14ac:dyDescent="0.25">
      <c r="A1755" s="1">
        <v>1754</v>
      </c>
      <c r="B1755" s="2">
        <v>667245</v>
      </c>
      <c r="C1755" s="3">
        <v>7.0000000000000001E-3</v>
      </c>
      <c r="D1755" s="1">
        <v>0.5</v>
      </c>
      <c r="E1755" s="4">
        <v>0.25</v>
      </c>
      <c r="F1755" s="4">
        <v>0.28999999999999998</v>
      </c>
      <c r="G1755" s="4">
        <v>0.45999999999999996</v>
      </c>
    </row>
    <row r="1756" spans="1:7" x14ac:dyDescent="0.25">
      <c r="A1756" s="1">
        <v>1755</v>
      </c>
      <c r="B1756" s="2">
        <v>791656</v>
      </c>
      <c r="C1756" s="3">
        <v>1.2999999999999999E-2</v>
      </c>
      <c r="D1756" s="1">
        <v>0.5</v>
      </c>
      <c r="E1756" s="4">
        <v>0.25</v>
      </c>
      <c r="F1756" s="4">
        <v>0.22</v>
      </c>
      <c r="G1756" s="4">
        <v>0.53</v>
      </c>
    </row>
    <row r="1757" spans="1:7" x14ac:dyDescent="0.25">
      <c r="A1757" s="1">
        <v>1756</v>
      </c>
      <c r="B1757" s="2">
        <v>429691</v>
      </c>
      <c r="C1757" s="3">
        <v>5.0000000000000001E-3</v>
      </c>
      <c r="D1757" s="1">
        <v>0.5</v>
      </c>
      <c r="E1757" s="4">
        <v>0.2</v>
      </c>
      <c r="F1757" s="4">
        <v>0.34</v>
      </c>
      <c r="G1757" s="4">
        <v>0.45999999999999991</v>
      </c>
    </row>
    <row r="1758" spans="1:7" x14ac:dyDescent="0.25">
      <c r="A1758" s="1">
        <v>1757</v>
      </c>
      <c r="B1758" s="2">
        <v>826901</v>
      </c>
      <c r="C1758" s="3">
        <v>7.0000000000000001E-3</v>
      </c>
      <c r="D1758" s="1">
        <v>0.5</v>
      </c>
      <c r="E1758" s="4">
        <v>0.16</v>
      </c>
      <c r="F1758" s="4">
        <v>0.18</v>
      </c>
      <c r="G1758" s="4">
        <v>0.66</v>
      </c>
    </row>
    <row r="1759" spans="1:7" x14ac:dyDescent="0.25">
      <c r="A1759" s="1">
        <v>1758</v>
      </c>
      <c r="B1759" s="2">
        <v>354411</v>
      </c>
      <c r="C1759" s="3">
        <v>8.0000000000000002E-3</v>
      </c>
      <c r="D1759" s="1">
        <v>0.5</v>
      </c>
      <c r="E1759" s="4">
        <v>0.17</v>
      </c>
      <c r="F1759" s="4">
        <v>0.21</v>
      </c>
      <c r="G1759" s="4">
        <v>0.62</v>
      </c>
    </row>
    <row r="1760" spans="1:7" x14ac:dyDescent="0.25">
      <c r="A1760" s="1">
        <v>1759</v>
      </c>
      <c r="B1760" s="2">
        <v>984285</v>
      </c>
      <c r="C1760" s="3">
        <v>0.01</v>
      </c>
      <c r="D1760" s="1">
        <v>0.5</v>
      </c>
      <c r="E1760" s="4">
        <v>0.24</v>
      </c>
      <c r="F1760" s="4">
        <v>0.27</v>
      </c>
      <c r="G1760" s="4">
        <v>0.49</v>
      </c>
    </row>
    <row r="1761" spans="1:7" x14ac:dyDescent="0.25">
      <c r="A1761" s="1">
        <v>1760</v>
      </c>
      <c r="B1761" s="2">
        <v>259958</v>
      </c>
      <c r="C1761" s="3">
        <v>1.0999999999999999E-2</v>
      </c>
      <c r="D1761" s="1">
        <v>0.5</v>
      </c>
      <c r="E1761" s="4">
        <v>0.2</v>
      </c>
      <c r="F1761" s="4">
        <v>0.31</v>
      </c>
      <c r="G1761" s="4">
        <v>0.48999999999999994</v>
      </c>
    </row>
    <row r="1762" spans="1:7" x14ac:dyDescent="0.25">
      <c r="A1762" s="1">
        <v>1761</v>
      </c>
      <c r="B1762" s="2">
        <v>971714</v>
      </c>
      <c r="C1762" s="3">
        <v>1.4E-2</v>
      </c>
      <c r="D1762" s="1">
        <v>0.5</v>
      </c>
      <c r="E1762" s="4">
        <v>0.2</v>
      </c>
      <c r="F1762" s="4">
        <v>0.15</v>
      </c>
      <c r="G1762" s="4">
        <v>0.64999999999999991</v>
      </c>
    </row>
    <row r="1763" spans="1:7" x14ac:dyDescent="0.25">
      <c r="A1763" s="1">
        <v>1762</v>
      </c>
      <c r="B1763" s="2">
        <v>892783</v>
      </c>
      <c r="C1763" s="3">
        <v>8.9999999999999993E-3</v>
      </c>
      <c r="D1763" s="1">
        <v>0.5</v>
      </c>
      <c r="E1763" s="4">
        <v>0.19</v>
      </c>
      <c r="F1763" s="4">
        <v>0.21</v>
      </c>
      <c r="G1763" s="4">
        <v>0.60000000000000009</v>
      </c>
    </row>
    <row r="1764" spans="1:7" x14ac:dyDescent="0.25">
      <c r="A1764" s="1">
        <v>1763</v>
      </c>
      <c r="B1764" s="2">
        <v>672642</v>
      </c>
      <c r="C1764" s="3">
        <v>0.01</v>
      </c>
      <c r="D1764" s="1">
        <v>0.5</v>
      </c>
      <c r="E1764" s="4">
        <v>0.25</v>
      </c>
      <c r="F1764" s="4">
        <v>0.34</v>
      </c>
      <c r="G1764" s="4">
        <v>0.40999999999999992</v>
      </c>
    </row>
    <row r="1765" spans="1:7" x14ac:dyDescent="0.25">
      <c r="A1765" s="1">
        <v>1764</v>
      </c>
      <c r="B1765" s="2">
        <v>949352</v>
      </c>
      <c r="C1765" s="3">
        <v>0.01</v>
      </c>
      <c r="D1765" s="1">
        <v>0.5</v>
      </c>
      <c r="E1765" s="4">
        <v>0.21</v>
      </c>
      <c r="F1765" s="4">
        <v>0.24</v>
      </c>
      <c r="G1765" s="4">
        <v>0.55000000000000004</v>
      </c>
    </row>
    <row r="1766" spans="1:7" x14ac:dyDescent="0.25">
      <c r="A1766" s="1">
        <v>1765</v>
      </c>
      <c r="B1766" s="2">
        <v>432696</v>
      </c>
      <c r="C1766" s="3">
        <v>1.4999999999999999E-2</v>
      </c>
      <c r="D1766" s="1">
        <v>0.5</v>
      </c>
      <c r="E1766" s="4">
        <v>0.25</v>
      </c>
      <c r="F1766" s="4">
        <v>0.28000000000000003</v>
      </c>
      <c r="G1766" s="4">
        <v>0.47</v>
      </c>
    </row>
    <row r="1767" spans="1:7" x14ac:dyDescent="0.25">
      <c r="A1767" s="1">
        <v>1766</v>
      </c>
      <c r="B1767" s="2">
        <v>651292</v>
      </c>
      <c r="C1767" s="3">
        <v>1.4999999999999999E-2</v>
      </c>
      <c r="D1767" s="1">
        <v>0.5</v>
      </c>
      <c r="E1767" s="4">
        <v>0.23</v>
      </c>
      <c r="F1767" s="4">
        <v>0.26</v>
      </c>
      <c r="G1767" s="4">
        <v>0.51</v>
      </c>
    </row>
    <row r="1768" spans="1:7" x14ac:dyDescent="0.25">
      <c r="A1768" s="1">
        <v>1767</v>
      </c>
      <c r="B1768" s="2">
        <v>818262</v>
      </c>
      <c r="C1768" s="3">
        <v>7.0000000000000001E-3</v>
      </c>
      <c r="D1768" s="1">
        <v>0.5</v>
      </c>
      <c r="E1768" s="4">
        <v>0.2</v>
      </c>
      <c r="F1768" s="4">
        <v>0.23</v>
      </c>
      <c r="G1768" s="4">
        <v>0.57000000000000006</v>
      </c>
    </row>
    <row r="1769" spans="1:7" x14ac:dyDescent="0.25">
      <c r="A1769" s="1">
        <v>1768</v>
      </c>
      <c r="B1769" s="2">
        <v>460628</v>
      </c>
      <c r="C1769" s="3">
        <v>1.4E-2</v>
      </c>
      <c r="D1769" s="1">
        <v>0.5</v>
      </c>
      <c r="E1769" s="4">
        <v>0.16</v>
      </c>
      <c r="F1769" s="4">
        <v>0.19</v>
      </c>
      <c r="G1769" s="4">
        <v>0.65</v>
      </c>
    </row>
    <row r="1770" spans="1:7" x14ac:dyDescent="0.25">
      <c r="A1770" s="1">
        <v>1769</v>
      </c>
      <c r="B1770" s="2">
        <v>469452</v>
      </c>
      <c r="C1770" s="3">
        <v>6.0000000000000001E-3</v>
      </c>
      <c r="D1770" s="1">
        <v>0.5</v>
      </c>
      <c r="E1770" s="4">
        <v>0.2</v>
      </c>
      <c r="F1770" s="4">
        <v>0.24</v>
      </c>
      <c r="G1770" s="4">
        <v>0.56000000000000005</v>
      </c>
    </row>
    <row r="1771" spans="1:7" x14ac:dyDescent="0.25">
      <c r="A1771" s="1">
        <v>1770</v>
      </c>
      <c r="B1771" s="2">
        <v>516773</v>
      </c>
      <c r="C1771" s="3">
        <v>7.0000000000000001E-3</v>
      </c>
      <c r="D1771" s="1">
        <v>0.5</v>
      </c>
      <c r="E1771" s="4">
        <v>0.18</v>
      </c>
      <c r="F1771" s="4">
        <v>0.35</v>
      </c>
      <c r="G1771" s="4">
        <v>0.47000000000000003</v>
      </c>
    </row>
    <row r="1772" spans="1:7" x14ac:dyDescent="0.25">
      <c r="A1772" s="1">
        <v>1771</v>
      </c>
      <c r="B1772" s="2">
        <v>759135</v>
      </c>
      <c r="C1772" s="3">
        <v>5.0000000000000001E-3</v>
      </c>
      <c r="D1772" s="1">
        <v>0.5</v>
      </c>
      <c r="E1772" s="4">
        <v>0.17</v>
      </c>
      <c r="F1772" s="4">
        <v>0.17</v>
      </c>
      <c r="G1772" s="4">
        <v>0.65999999999999992</v>
      </c>
    </row>
    <row r="1773" spans="1:7" x14ac:dyDescent="0.25">
      <c r="A1773" s="1">
        <v>1772</v>
      </c>
      <c r="B1773" s="2">
        <v>429017</v>
      </c>
      <c r="C1773" s="3">
        <v>7.0000000000000001E-3</v>
      </c>
      <c r="D1773" s="1">
        <v>0.5</v>
      </c>
      <c r="E1773" s="4">
        <v>0.25</v>
      </c>
      <c r="F1773" s="4">
        <v>0.27</v>
      </c>
      <c r="G1773" s="4">
        <v>0.48</v>
      </c>
    </row>
    <row r="1774" spans="1:7" x14ac:dyDescent="0.25">
      <c r="A1774" s="1">
        <v>1773</v>
      </c>
      <c r="B1774" s="2">
        <v>717893</v>
      </c>
      <c r="C1774" s="3">
        <v>5.0000000000000001E-3</v>
      </c>
      <c r="D1774" s="1">
        <v>0.5</v>
      </c>
      <c r="E1774" s="4">
        <v>0.22</v>
      </c>
      <c r="F1774" s="4">
        <v>0.3</v>
      </c>
      <c r="G1774" s="4">
        <v>0.48</v>
      </c>
    </row>
    <row r="1775" spans="1:7" x14ac:dyDescent="0.25">
      <c r="A1775" s="1">
        <v>1774</v>
      </c>
      <c r="B1775" s="2">
        <v>583067</v>
      </c>
      <c r="C1775" s="3">
        <v>1.4E-2</v>
      </c>
      <c r="D1775" s="1">
        <v>0.5</v>
      </c>
      <c r="E1775" s="4">
        <v>0.2</v>
      </c>
      <c r="F1775" s="4">
        <v>0.31</v>
      </c>
      <c r="G1775" s="4">
        <v>0.48999999999999994</v>
      </c>
    </row>
    <row r="1776" spans="1:7" x14ac:dyDescent="0.25">
      <c r="A1776" s="1">
        <v>1775</v>
      </c>
      <c r="B1776" s="2">
        <v>676321</v>
      </c>
      <c r="C1776" s="3">
        <v>1.2999999999999999E-2</v>
      </c>
      <c r="D1776" s="1">
        <v>0.5</v>
      </c>
      <c r="E1776" s="4">
        <v>0.17</v>
      </c>
      <c r="F1776" s="4">
        <v>0.19</v>
      </c>
      <c r="G1776" s="4">
        <v>0.64</v>
      </c>
    </row>
    <row r="1777" spans="1:7" x14ac:dyDescent="0.25">
      <c r="A1777" s="1">
        <v>1776</v>
      </c>
      <c r="B1777" s="2">
        <v>521413</v>
      </c>
      <c r="C1777" s="3">
        <v>1.4999999999999999E-2</v>
      </c>
      <c r="D1777" s="1">
        <v>0.5</v>
      </c>
      <c r="E1777" s="4">
        <v>0.17</v>
      </c>
      <c r="F1777" s="4">
        <v>0.2</v>
      </c>
      <c r="G1777" s="4">
        <v>0.63</v>
      </c>
    </row>
    <row r="1778" spans="1:7" x14ac:dyDescent="0.25">
      <c r="A1778" s="1">
        <v>1777</v>
      </c>
      <c r="B1778" s="2">
        <v>433485</v>
      </c>
      <c r="C1778" s="3">
        <v>1.2E-2</v>
      </c>
      <c r="D1778" s="1">
        <v>0.5</v>
      </c>
      <c r="E1778" s="4">
        <v>0.21</v>
      </c>
      <c r="F1778" s="4">
        <v>0.33</v>
      </c>
      <c r="G1778" s="4">
        <v>0.45999999999999996</v>
      </c>
    </row>
    <row r="1779" spans="1:7" x14ac:dyDescent="0.25">
      <c r="A1779" s="1">
        <v>1778</v>
      </c>
      <c r="B1779" s="2">
        <v>825347</v>
      </c>
      <c r="C1779" s="3">
        <v>1.2999999999999999E-2</v>
      </c>
      <c r="D1779" s="1">
        <v>0.5</v>
      </c>
      <c r="E1779" s="4">
        <v>0.15</v>
      </c>
      <c r="F1779" s="4">
        <v>0.18</v>
      </c>
      <c r="G1779" s="4">
        <v>0.67</v>
      </c>
    </row>
    <row r="1780" spans="1:7" x14ac:dyDescent="0.25">
      <c r="A1780" s="1">
        <v>1779</v>
      </c>
      <c r="B1780" s="2">
        <v>583421</v>
      </c>
      <c r="C1780" s="3">
        <v>1.4E-2</v>
      </c>
      <c r="D1780" s="1">
        <v>0.5</v>
      </c>
      <c r="E1780" s="4">
        <v>0.23</v>
      </c>
      <c r="F1780" s="4">
        <v>0.2</v>
      </c>
      <c r="G1780" s="4">
        <v>0.57000000000000006</v>
      </c>
    </row>
    <row r="1781" spans="1:7" x14ac:dyDescent="0.25">
      <c r="A1781" s="1">
        <v>1780</v>
      </c>
      <c r="B1781" s="2">
        <v>566356</v>
      </c>
      <c r="C1781" s="3">
        <v>1.2999999999999999E-2</v>
      </c>
      <c r="D1781" s="1">
        <v>0.5</v>
      </c>
      <c r="E1781" s="4">
        <v>0.16</v>
      </c>
      <c r="F1781" s="4">
        <v>0.16</v>
      </c>
      <c r="G1781" s="4">
        <v>0.67999999999999994</v>
      </c>
    </row>
    <row r="1782" spans="1:7" x14ac:dyDescent="0.25">
      <c r="A1782" s="1">
        <v>1781</v>
      </c>
      <c r="B1782" s="2">
        <v>599122</v>
      </c>
      <c r="C1782" s="3">
        <v>1.0999999999999999E-2</v>
      </c>
      <c r="D1782" s="1">
        <v>0.5</v>
      </c>
      <c r="E1782" s="4">
        <v>0.17</v>
      </c>
      <c r="F1782" s="4">
        <v>0.35</v>
      </c>
      <c r="G1782" s="4">
        <v>0.48</v>
      </c>
    </row>
    <row r="1783" spans="1:7" x14ac:dyDescent="0.25">
      <c r="A1783" s="1">
        <v>1782</v>
      </c>
      <c r="B1783" s="2">
        <v>536656</v>
      </c>
      <c r="C1783" s="3">
        <v>1.4999999999999999E-2</v>
      </c>
      <c r="D1783" s="1">
        <v>0.5</v>
      </c>
      <c r="E1783" s="4">
        <v>0.16</v>
      </c>
      <c r="F1783" s="4">
        <v>0.26</v>
      </c>
      <c r="G1783" s="4">
        <v>0.57999999999999996</v>
      </c>
    </row>
    <row r="1784" spans="1:7" x14ac:dyDescent="0.25">
      <c r="A1784" s="1">
        <v>1783</v>
      </c>
      <c r="B1784" s="2">
        <v>417778</v>
      </c>
      <c r="C1784" s="3">
        <v>1.4E-2</v>
      </c>
      <c r="D1784" s="1">
        <v>0.5</v>
      </c>
      <c r="E1784" s="4">
        <v>0.18</v>
      </c>
      <c r="F1784" s="4">
        <v>0.26</v>
      </c>
      <c r="G1784" s="4">
        <v>0.56000000000000005</v>
      </c>
    </row>
    <row r="1785" spans="1:7" x14ac:dyDescent="0.25">
      <c r="A1785" s="1">
        <v>1784</v>
      </c>
      <c r="B1785" s="2">
        <v>501036</v>
      </c>
      <c r="C1785" s="3">
        <v>7.0000000000000001E-3</v>
      </c>
      <c r="D1785" s="1">
        <v>0.5</v>
      </c>
      <c r="E1785" s="4">
        <v>0.23</v>
      </c>
      <c r="F1785" s="4">
        <v>0.22</v>
      </c>
      <c r="G1785" s="4">
        <v>0.55000000000000004</v>
      </c>
    </row>
    <row r="1786" spans="1:7" x14ac:dyDescent="0.25">
      <c r="A1786" s="1">
        <v>1785</v>
      </c>
      <c r="B1786" s="2">
        <v>565222</v>
      </c>
      <c r="C1786" s="3">
        <v>1.2999999999999999E-2</v>
      </c>
      <c r="D1786" s="1">
        <v>0.5</v>
      </c>
      <c r="E1786" s="4">
        <v>0.17</v>
      </c>
      <c r="F1786" s="4">
        <v>0.25</v>
      </c>
      <c r="G1786" s="4">
        <v>0.57999999999999996</v>
      </c>
    </row>
    <row r="1787" spans="1:7" x14ac:dyDescent="0.25">
      <c r="A1787" s="1">
        <v>1786</v>
      </c>
      <c r="B1787" s="2">
        <v>890052</v>
      </c>
      <c r="C1787" s="3">
        <v>8.0000000000000002E-3</v>
      </c>
      <c r="D1787" s="1">
        <v>0.5</v>
      </c>
      <c r="E1787" s="4">
        <v>0.18</v>
      </c>
      <c r="F1787" s="4">
        <v>0.28000000000000003</v>
      </c>
      <c r="G1787" s="4">
        <v>0.54</v>
      </c>
    </row>
    <row r="1788" spans="1:7" x14ac:dyDescent="0.25">
      <c r="A1788" s="1">
        <v>1787</v>
      </c>
      <c r="B1788" s="2">
        <v>987781</v>
      </c>
      <c r="C1788" s="3">
        <v>0.01</v>
      </c>
      <c r="D1788" s="1">
        <v>0.5</v>
      </c>
      <c r="E1788" s="4">
        <v>0.24</v>
      </c>
      <c r="F1788" s="4">
        <v>0.16</v>
      </c>
      <c r="G1788" s="4">
        <v>0.6</v>
      </c>
    </row>
    <row r="1789" spans="1:7" x14ac:dyDescent="0.25">
      <c r="A1789" s="1">
        <v>1788</v>
      </c>
      <c r="B1789" s="2">
        <v>425867</v>
      </c>
      <c r="C1789" s="3">
        <v>1.2999999999999999E-2</v>
      </c>
      <c r="D1789" s="1">
        <v>0.5</v>
      </c>
      <c r="E1789" s="4">
        <v>0.19</v>
      </c>
      <c r="F1789" s="4">
        <v>0.18</v>
      </c>
      <c r="G1789" s="4">
        <v>0.63000000000000012</v>
      </c>
    </row>
    <row r="1790" spans="1:7" x14ac:dyDescent="0.25">
      <c r="A1790" s="1">
        <v>1789</v>
      </c>
      <c r="B1790" s="2">
        <v>639964</v>
      </c>
      <c r="C1790" s="3">
        <v>0.01</v>
      </c>
      <c r="D1790" s="1">
        <v>0.5</v>
      </c>
      <c r="E1790" s="4">
        <v>0.15</v>
      </c>
      <c r="F1790" s="4">
        <v>0.2</v>
      </c>
      <c r="G1790" s="4">
        <v>0.65</v>
      </c>
    </row>
    <row r="1791" spans="1:7" x14ac:dyDescent="0.25">
      <c r="A1791" s="1">
        <v>1790</v>
      </c>
      <c r="B1791" s="2">
        <v>279150</v>
      </c>
      <c r="C1791" s="3">
        <v>6.0000000000000001E-3</v>
      </c>
      <c r="D1791" s="1">
        <v>0.5</v>
      </c>
      <c r="E1791" s="4">
        <v>0.24</v>
      </c>
      <c r="F1791" s="4">
        <v>0.23</v>
      </c>
      <c r="G1791" s="4">
        <v>0.53</v>
      </c>
    </row>
    <row r="1792" spans="1:7" x14ac:dyDescent="0.25">
      <c r="A1792" s="1">
        <v>1791</v>
      </c>
      <c r="B1792" s="2">
        <v>352011</v>
      </c>
      <c r="C1792" s="3">
        <v>5.0000000000000001E-3</v>
      </c>
      <c r="D1792" s="1">
        <v>0.5</v>
      </c>
      <c r="E1792" s="4">
        <v>0.21</v>
      </c>
      <c r="F1792" s="4">
        <v>0.31</v>
      </c>
      <c r="G1792" s="4">
        <v>0.48</v>
      </c>
    </row>
    <row r="1793" spans="1:7" x14ac:dyDescent="0.25">
      <c r="A1793" s="1">
        <v>1792</v>
      </c>
      <c r="B1793" s="2">
        <v>469936</v>
      </c>
      <c r="C1793" s="3">
        <v>0.01</v>
      </c>
      <c r="D1793" s="1">
        <v>0.5</v>
      </c>
      <c r="E1793" s="4">
        <v>0.21</v>
      </c>
      <c r="F1793" s="4">
        <v>0.35</v>
      </c>
      <c r="G1793" s="4">
        <v>0.44000000000000006</v>
      </c>
    </row>
    <row r="1794" spans="1:7" x14ac:dyDescent="0.25">
      <c r="A1794" s="1">
        <v>1793</v>
      </c>
      <c r="B1794" s="2">
        <v>219064</v>
      </c>
      <c r="C1794" s="3">
        <v>0.01</v>
      </c>
      <c r="D1794" s="1">
        <v>0.5</v>
      </c>
      <c r="E1794" s="4">
        <v>0.25</v>
      </c>
      <c r="F1794" s="4">
        <v>0.27</v>
      </c>
      <c r="G1794" s="4">
        <v>0.48</v>
      </c>
    </row>
    <row r="1795" spans="1:7" x14ac:dyDescent="0.25">
      <c r="A1795" s="1">
        <v>1794</v>
      </c>
      <c r="B1795" s="2">
        <v>874344</v>
      </c>
      <c r="C1795" s="3">
        <v>1.0999999999999999E-2</v>
      </c>
      <c r="D1795" s="1">
        <v>0.5</v>
      </c>
      <c r="E1795" s="4">
        <v>0.19</v>
      </c>
      <c r="F1795" s="4">
        <v>0.17</v>
      </c>
      <c r="G1795" s="4">
        <v>0.6399999999999999</v>
      </c>
    </row>
    <row r="1796" spans="1:7" x14ac:dyDescent="0.25">
      <c r="A1796" s="1">
        <v>1795</v>
      </c>
      <c r="B1796" s="2">
        <v>212155</v>
      </c>
      <c r="C1796" s="3">
        <v>1.2E-2</v>
      </c>
      <c r="D1796" s="1">
        <v>0.5</v>
      </c>
      <c r="E1796" s="4">
        <v>0.22</v>
      </c>
      <c r="F1796" s="4">
        <v>0.35</v>
      </c>
      <c r="G1796" s="4">
        <v>0.43000000000000005</v>
      </c>
    </row>
    <row r="1797" spans="1:7" x14ac:dyDescent="0.25">
      <c r="A1797" s="1">
        <v>1796</v>
      </c>
      <c r="B1797" s="2">
        <v>382937</v>
      </c>
      <c r="C1797" s="3">
        <v>8.9999999999999993E-3</v>
      </c>
      <c r="D1797" s="1">
        <v>0.5</v>
      </c>
      <c r="E1797" s="4">
        <v>0.19</v>
      </c>
      <c r="F1797" s="4">
        <v>0.15</v>
      </c>
      <c r="G1797" s="4">
        <v>0.65999999999999992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D42E-4832-4FAE-AF43-0E6387738A44}">
  <dimension ref="A1:G10000"/>
  <sheetViews>
    <sheetView topLeftCell="A351" workbookViewId="0">
      <selection activeCell="H379" sqref="H379"/>
    </sheetView>
  </sheetViews>
  <sheetFormatPr baseColWidth="10" defaultRowHeight="15" x14ac:dyDescent="0.25"/>
  <cols>
    <col min="3" max="3" width="16.28515625" bestFit="1" customWidth="1"/>
    <col min="4" max="4" width="17.140625" bestFit="1" customWidth="1"/>
    <col min="6" max="6" width="17.140625" bestFit="1" customWidth="1"/>
  </cols>
  <sheetData>
    <row r="1" spans="1:6" x14ac:dyDescent="0.25">
      <c r="A1" s="21">
        <v>34232213.829999998</v>
      </c>
      <c r="C1" t="s">
        <v>22</v>
      </c>
      <c r="D1" s="7">
        <f>MIN(A1:A10000)</f>
        <v>0</v>
      </c>
    </row>
    <row r="2" spans="1:6" x14ac:dyDescent="0.25">
      <c r="A2" s="21">
        <v>57020545.659999996</v>
      </c>
      <c r="C2" t="s">
        <v>23</v>
      </c>
      <c r="D2" s="7">
        <f>MAX(A1:A10000)</f>
        <v>863015783.22000003</v>
      </c>
    </row>
    <row r="3" spans="1:6" x14ac:dyDescent="0.25">
      <c r="A3" s="21">
        <v>5962172.25</v>
      </c>
      <c r="C3" t="s">
        <v>7</v>
      </c>
      <c r="D3" s="6">
        <v>73989821.799999997</v>
      </c>
    </row>
    <row r="4" spans="1:6" x14ac:dyDescent="0.25">
      <c r="A4" s="21">
        <v>36615186.469999999</v>
      </c>
      <c r="F4" s="6"/>
    </row>
    <row r="5" spans="1:6" x14ac:dyDescent="0.25">
      <c r="A5" s="21">
        <v>132135060.23</v>
      </c>
      <c r="C5" s="22">
        <v>0</v>
      </c>
      <c r="D5" s="23">
        <f t="array" ref="D5:D869">FREQUENCY(A1:A10000,C5:C869)</f>
        <v>481</v>
      </c>
      <c r="E5" s="23">
        <f>D5/10000</f>
        <v>4.8099999999999997E-2</v>
      </c>
      <c r="F5" s="23">
        <f>E5</f>
        <v>4.8099999999999997E-2</v>
      </c>
    </row>
    <row r="6" spans="1:6" x14ac:dyDescent="0.25">
      <c r="A6" s="21">
        <v>243056400.28</v>
      </c>
      <c r="C6" s="22">
        <v>1000000</v>
      </c>
      <c r="D6" s="23">
        <v>0</v>
      </c>
      <c r="E6" s="23">
        <f t="shared" ref="E6:E69" si="0">D6/10000</f>
        <v>0</v>
      </c>
      <c r="F6" s="23">
        <f>E6+F5</f>
        <v>4.8099999999999997E-2</v>
      </c>
    </row>
    <row r="7" spans="1:6" x14ac:dyDescent="0.25">
      <c r="A7" s="21">
        <v>375519385.49000001</v>
      </c>
      <c r="C7" s="22">
        <v>2000000</v>
      </c>
      <c r="D7" s="23">
        <v>0</v>
      </c>
      <c r="E7" s="23">
        <f t="shared" si="0"/>
        <v>0</v>
      </c>
      <c r="F7" s="23">
        <f t="shared" ref="F7:F70" si="1">E7+F6</f>
        <v>4.8099999999999997E-2</v>
      </c>
    </row>
    <row r="8" spans="1:6" x14ac:dyDescent="0.25">
      <c r="A8" s="21">
        <v>57177242.590000004</v>
      </c>
      <c r="C8" s="22">
        <v>3000000</v>
      </c>
      <c r="D8" s="23">
        <v>79</v>
      </c>
      <c r="E8" s="23">
        <f t="shared" si="0"/>
        <v>7.9000000000000008E-3</v>
      </c>
      <c r="F8" s="23">
        <f t="shared" si="1"/>
        <v>5.5999999999999994E-2</v>
      </c>
    </row>
    <row r="9" spans="1:6" x14ac:dyDescent="0.25">
      <c r="A9" s="21">
        <v>149028145.56999999</v>
      </c>
      <c r="C9" s="22">
        <v>4000000</v>
      </c>
      <c r="D9" s="23">
        <v>164</v>
      </c>
      <c r="E9" s="23">
        <f t="shared" si="0"/>
        <v>1.6400000000000001E-2</v>
      </c>
      <c r="F9" s="23">
        <f t="shared" si="1"/>
        <v>7.2399999999999992E-2</v>
      </c>
    </row>
    <row r="10" spans="1:6" x14ac:dyDescent="0.25">
      <c r="A10" s="21">
        <v>46860358.530000001</v>
      </c>
      <c r="C10" s="22">
        <v>5000000</v>
      </c>
      <c r="D10" s="23">
        <v>111</v>
      </c>
      <c r="E10" s="23">
        <f t="shared" si="0"/>
        <v>1.11E-2</v>
      </c>
      <c r="F10" s="23">
        <f t="shared" si="1"/>
        <v>8.3499999999999991E-2</v>
      </c>
    </row>
    <row r="11" spans="1:6" x14ac:dyDescent="0.25">
      <c r="A11" s="21">
        <v>305792536.87</v>
      </c>
      <c r="C11" s="22">
        <v>6000000</v>
      </c>
      <c r="D11" s="23">
        <v>95</v>
      </c>
      <c r="E11" s="23">
        <f t="shared" si="0"/>
        <v>9.4999999999999998E-3</v>
      </c>
      <c r="F11" s="23">
        <f t="shared" si="1"/>
        <v>9.2999999999999985E-2</v>
      </c>
    </row>
    <row r="12" spans="1:6" x14ac:dyDescent="0.25">
      <c r="A12" s="21">
        <v>313689223.11000001</v>
      </c>
      <c r="C12" s="22">
        <v>7000000</v>
      </c>
      <c r="D12" s="23">
        <v>214</v>
      </c>
      <c r="E12" s="23">
        <f t="shared" si="0"/>
        <v>2.1399999999999999E-2</v>
      </c>
      <c r="F12" s="23">
        <f t="shared" si="1"/>
        <v>0.11439999999999999</v>
      </c>
    </row>
    <row r="13" spans="1:6" x14ac:dyDescent="0.25">
      <c r="A13" s="21">
        <v>151489943.03</v>
      </c>
      <c r="C13" s="22">
        <v>8000000</v>
      </c>
      <c r="D13" s="23">
        <v>129</v>
      </c>
      <c r="E13" s="23">
        <f t="shared" si="0"/>
        <v>1.29E-2</v>
      </c>
      <c r="F13" s="23">
        <f t="shared" si="1"/>
        <v>0.1273</v>
      </c>
    </row>
    <row r="14" spans="1:6" x14ac:dyDescent="0.25">
      <c r="A14" s="21">
        <v>41301835.969999999</v>
      </c>
      <c r="C14" s="22">
        <v>9000000</v>
      </c>
      <c r="D14" s="23">
        <v>75</v>
      </c>
      <c r="E14" s="23">
        <f t="shared" si="0"/>
        <v>7.4999999999999997E-3</v>
      </c>
      <c r="F14" s="23">
        <f t="shared" si="1"/>
        <v>0.1348</v>
      </c>
    </row>
    <row r="15" spans="1:6" x14ac:dyDescent="0.25">
      <c r="A15" s="21">
        <v>78265670.900000006</v>
      </c>
      <c r="C15" s="22">
        <v>10000000</v>
      </c>
      <c r="D15" s="23">
        <v>126</v>
      </c>
      <c r="E15" s="23">
        <f t="shared" si="0"/>
        <v>1.26E-2</v>
      </c>
      <c r="F15" s="23">
        <f t="shared" si="1"/>
        <v>0.1474</v>
      </c>
    </row>
    <row r="16" spans="1:6" x14ac:dyDescent="0.25">
      <c r="A16" s="21">
        <v>29376570.550000001</v>
      </c>
      <c r="C16" s="22">
        <v>11000000</v>
      </c>
      <c r="D16" s="23">
        <v>137</v>
      </c>
      <c r="E16" s="23">
        <f t="shared" si="0"/>
        <v>1.37E-2</v>
      </c>
      <c r="F16" s="23">
        <f t="shared" si="1"/>
        <v>0.16109999999999999</v>
      </c>
    </row>
    <row r="17" spans="1:6" x14ac:dyDescent="0.25">
      <c r="A17" s="21">
        <v>71407599.849999994</v>
      </c>
      <c r="C17" s="22">
        <v>12000000</v>
      </c>
      <c r="D17" s="23">
        <v>104</v>
      </c>
      <c r="E17" s="23">
        <f t="shared" si="0"/>
        <v>1.04E-2</v>
      </c>
      <c r="F17" s="23">
        <f t="shared" si="1"/>
        <v>0.17149999999999999</v>
      </c>
    </row>
    <row r="18" spans="1:6" x14ac:dyDescent="0.25">
      <c r="A18">
        <v>19437834</v>
      </c>
      <c r="C18" s="22">
        <v>13000000</v>
      </c>
      <c r="D18" s="23">
        <v>114</v>
      </c>
      <c r="E18" s="23">
        <f t="shared" si="0"/>
        <v>1.14E-2</v>
      </c>
      <c r="F18" s="23">
        <f t="shared" si="1"/>
        <v>0.18289999999999998</v>
      </c>
    </row>
    <row r="19" spans="1:6" x14ac:dyDescent="0.25">
      <c r="A19" s="21">
        <v>101836087.95999999</v>
      </c>
      <c r="C19" s="22">
        <v>14000000</v>
      </c>
      <c r="D19" s="23">
        <v>140</v>
      </c>
      <c r="E19" s="23">
        <f t="shared" si="0"/>
        <v>1.4E-2</v>
      </c>
      <c r="F19" s="23">
        <f t="shared" si="1"/>
        <v>0.19689999999999999</v>
      </c>
    </row>
    <row r="20" spans="1:6" x14ac:dyDescent="0.25">
      <c r="A20" s="21">
        <v>48737962.109999999</v>
      </c>
      <c r="C20" s="22">
        <v>15000000</v>
      </c>
      <c r="D20" s="23">
        <v>138</v>
      </c>
      <c r="E20" s="23">
        <f t="shared" si="0"/>
        <v>1.38E-2</v>
      </c>
      <c r="F20" s="23">
        <f t="shared" si="1"/>
        <v>0.2107</v>
      </c>
    </row>
    <row r="21" spans="1:6" x14ac:dyDescent="0.25">
      <c r="A21" s="21">
        <v>36466432.310000002</v>
      </c>
      <c r="C21" s="22">
        <v>16000000</v>
      </c>
      <c r="D21" s="23">
        <v>97</v>
      </c>
      <c r="E21" s="23">
        <f t="shared" si="0"/>
        <v>9.7000000000000003E-3</v>
      </c>
      <c r="F21" s="23">
        <f t="shared" si="1"/>
        <v>0.22039999999999998</v>
      </c>
    </row>
    <row r="22" spans="1:6" x14ac:dyDescent="0.25">
      <c r="A22" s="21">
        <v>32088156.629999999</v>
      </c>
      <c r="C22" s="22">
        <v>17000000</v>
      </c>
      <c r="D22" s="23">
        <v>137</v>
      </c>
      <c r="E22" s="23">
        <f t="shared" si="0"/>
        <v>1.37E-2</v>
      </c>
      <c r="F22" s="23">
        <f t="shared" si="1"/>
        <v>0.23409999999999997</v>
      </c>
    </row>
    <row r="23" spans="1:6" x14ac:dyDescent="0.25">
      <c r="A23" s="21">
        <v>96230222.060000002</v>
      </c>
      <c r="C23" s="22">
        <v>18000000</v>
      </c>
      <c r="D23" s="23">
        <v>128</v>
      </c>
      <c r="E23" s="23">
        <f t="shared" si="0"/>
        <v>1.2800000000000001E-2</v>
      </c>
      <c r="F23" s="23">
        <f t="shared" si="1"/>
        <v>0.24689999999999998</v>
      </c>
    </row>
    <row r="24" spans="1:6" x14ac:dyDescent="0.25">
      <c r="A24" s="21">
        <v>52916630.380000003</v>
      </c>
      <c r="C24" s="22">
        <v>19000000</v>
      </c>
      <c r="D24" s="23">
        <v>110</v>
      </c>
      <c r="E24" s="23">
        <f t="shared" si="0"/>
        <v>1.0999999999999999E-2</v>
      </c>
      <c r="F24" s="23">
        <f t="shared" si="1"/>
        <v>0.25789999999999996</v>
      </c>
    </row>
    <row r="25" spans="1:6" x14ac:dyDescent="0.25">
      <c r="A25" s="21">
        <v>297040905.56999999</v>
      </c>
      <c r="C25" s="22">
        <v>20000000</v>
      </c>
      <c r="D25" s="23">
        <v>123</v>
      </c>
      <c r="E25" s="23">
        <f t="shared" si="0"/>
        <v>1.23E-2</v>
      </c>
      <c r="F25" s="23">
        <f t="shared" si="1"/>
        <v>0.27019999999999994</v>
      </c>
    </row>
    <row r="26" spans="1:6" x14ac:dyDescent="0.25">
      <c r="A26" s="21">
        <v>60968954.829999998</v>
      </c>
      <c r="C26" s="22">
        <v>21000000</v>
      </c>
      <c r="D26" s="23">
        <v>97</v>
      </c>
      <c r="E26" s="23">
        <f t="shared" si="0"/>
        <v>9.7000000000000003E-3</v>
      </c>
      <c r="F26" s="23">
        <f t="shared" si="1"/>
        <v>0.27989999999999993</v>
      </c>
    </row>
    <row r="27" spans="1:6" x14ac:dyDescent="0.25">
      <c r="A27" s="21">
        <v>36926651.600000001</v>
      </c>
      <c r="C27" s="22">
        <v>22000000</v>
      </c>
      <c r="D27" s="23">
        <v>116</v>
      </c>
      <c r="E27" s="23">
        <f t="shared" si="0"/>
        <v>1.1599999999999999E-2</v>
      </c>
      <c r="F27" s="23">
        <f t="shared" si="1"/>
        <v>0.29149999999999993</v>
      </c>
    </row>
    <row r="28" spans="1:6" x14ac:dyDescent="0.25">
      <c r="A28" s="21">
        <v>47198525.299999997</v>
      </c>
      <c r="C28" s="22">
        <v>23000000</v>
      </c>
      <c r="D28" s="23">
        <v>119</v>
      </c>
      <c r="E28" s="23">
        <f t="shared" si="0"/>
        <v>1.1900000000000001E-2</v>
      </c>
      <c r="F28" s="23">
        <f t="shared" si="1"/>
        <v>0.30339999999999995</v>
      </c>
    </row>
    <row r="29" spans="1:6" x14ac:dyDescent="0.25">
      <c r="A29" s="21">
        <v>26795539.73</v>
      </c>
      <c r="C29" s="22">
        <v>24000000</v>
      </c>
      <c r="D29" s="23">
        <v>104</v>
      </c>
      <c r="E29" s="23">
        <f t="shared" si="0"/>
        <v>1.04E-2</v>
      </c>
      <c r="F29" s="23">
        <f t="shared" si="1"/>
        <v>0.31379999999999997</v>
      </c>
    </row>
    <row r="30" spans="1:6" x14ac:dyDescent="0.25">
      <c r="A30" s="21">
        <v>138086180.08000001</v>
      </c>
      <c r="C30" s="22">
        <v>25000000</v>
      </c>
      <c r="D30" s="23">
        <v>95</v>
      </c>
      <c r="E30" s="23">
        <f t="shared" si="0"/>
        <v>9.4999999999999998E-3</v>
      </c>
      <c r="F30" s="23">
        <f t="shared" si="1"/>
        <v>0.32329999999999998</v>
      </c>
    </row>
    <row r="31" spans="1:6" x14ac:dyDescent="0.25">
      <c r="A31" s="21">
        <v>17067362.25</v>
      </c>
      <c r="C31" s="22">
        <v>26000000</v>
      </c>
      <c r="D31" s="23">
        <v>122</v>
      </c>
      <c r="E31" s="23">
        <f t="shared" si="0"/>
        <v>1.2200000000000001E-2</v>
      </c>
      <c r="F31" s="23">
        <f t="shared" si="1"/>
        <v>0.33549999999999996</v>
      </c>
    </row>
    <row r="32" spans="1:6" x14ac:dyDescent="0.25">
      <c r="A32" s="21">
        <v>175265981.06</v>
      </c>
      <c r="C32" s="22">
        <v>27000000</v>
      </c>
      <c r="D32" s="23">
        <v>106</v>
      </c>
      <c r="E32" s="23">
        <f t="shared" si="0"/>
        <v>1.06E-2</v>
      </c>
      <c r="F32" s="23">
        <f t="shared" si="1"/>
        <v>0.34609999999999996</v>
      </c>
    </row>
    <row r="33" spans="1:6" x14ac:dyDescent="0.25">
      <c r="A33" s="21">
        <v>231802915.88999999</v>
      </c>
      <c r="C33" s="22">
        <v>28000000</v>
      </c>
      <c r="D33" s="23">
        <v>93</v>
      </c>
      <c r="E33" s="23">
        <f t="shared" si="0"/>
        <v>9.2999999999999992E-3</v>
      </c>
      <c r="F33" s="23">
        <f t="shared" si="1"/>
        <v>0.35539999999999994</v>
      </c>
    </row>
    <row r="34" spans="1:6" x14ac:dyDescent="0.25">
      <c r="A34" s="21">
        <v>37052001.979999997</v>
      </c>
      <c r="C34" s="22">
        <v>29000000</v>
      </c>
      <c r="D34" s="23">
        <v>102</v>
      </c>
      <c r="E34" s="23">
        <f t="shared" si="0"/>
        <v>1.0200000000000001E-2</v>
      </c>
      <c r="F34" s="23">
        <f t="shared" si="1"/>
        <v>0.36559999999999993</v>
      </c>
    </row>
    <row r="35" spans="1:6" x14ac:dyDescent="0.25">
      <c r="A35" s="21">
        <v>25341657.34</v>
      </c>
      <c r="C35" s="22">
        <v>30000000</v>
      </c>
      <c r="D35" s="23">
        <v>86</v>
      </c>
      <c r="E35" s="23">
        <f t="shared" si="0"/>
        <v>8.6E-3</v>
      </c>
      <c r="F35" s="23">
        <f t="shared" si="1"/>
        <v>0.37419999999999992</v>
      </c>
    </row>
    <row r="36" spans="1:6" x14ac:dyDescent="0.25">
      <c r="A36" s="21">
        <v>184107759.72999999</v>
      </c>
      <c r="C36" s="22">
        <v>31000000</v>
      </c>
      <c r="D36" s="23">
        <v>76</v>
      </c>
      <c r="E36" s="23">
        <f t="shared" si="0"/>
        <v>7.6E-3</v>
      </c>
      <c r="F36" s="23">
        <f t="shared" si="1"/>
        <v>0.38179999999999992</v>
      </c>
    </row>
    <row r="37" spans="1:6" x14ac:dyDescent="0.25">
      <c r="A37" s="21">
        <v>7839844.8700000001</v>
      </c>
      <c r="C37" s="22">
        <v>32000000</v>
      </c>
      <c r="D37" s="23">
        <v>101</v>
      </c>
      <c r="E37" s="23">
        <f t="shared" si="0"/>
        <v>1.01E-2</v>
      </c>
      <c r="F37" s="23">
        <f t="shared" si="1"/>
        <v>0.39189999999999992</v>
      </c>
    </row>
    <row r="38" spans="1:6" x14ac:dyDescent="0.25">
      <c r="A38" s="21">
        <v>276864677.25999999</v>
      </c>
      <c r="C38" s="22">
        <v>33000000</v>
      </c>
      <c r="D38" s="23">
        <v>81</v>
      </c>
      <c r="E38" s="23">
        <f t="shared" si="0"/>
        <v>8.0999999999999996E-3</v>
      </c>
      <c r="F38" s="23">
        <f t="shared" si="1"/>
        <v>0.39999999999999991</v>
      </c>
    </row>
    <row r="39" spans="1:6" x14ac:dyDescent="0.25">
      <c r="A39" s="21">
        <v>32937451.690000001</v>
      </c>
      <c r="C39" s="22">
        <v>34000000</v>
      </c>
      <c r="D39" s="23">
        <v>92</v>
      </c>
      <c r="E39" s="23">
        <f t="shared" si="0"/>
        <v>9.1999999999999998E-3</v>
      </c>
      <c r="F39" s="23">
        <f t="shared" si="1"/>
        <v>0.4091999999999999</v>
      </c>
    </row>
    <row r="40" spans="1:6" x14ac:dyDescent="0.25">
      <c r="A40" s="21">
        <v>37604012.829999998</v>
      </c>
      <c r="C40" s="22">
        <v>35000000</v>
      </c>
      <c r="D40" s="23">
        <v>93</v>
      </c>
      <c r="E40" s="23">
        <f t="shared" si="0"/>
        <v>9.2999999999999992E-3</v>
      </c>
      <c r="F40" s="23">
        <f t="shared" si="1"/>
        <v>0.41849999999999987</v>
      </c>
    </row>
    <row r="41" spans="1:6" x14ac:dyDescent="0.25">
      <c r="A41" s="21">
        <v>167540952.22999999</v>
      </c>
      <c r="C41" s="22">
        <v>36000000</v>
      </c>
      <c r="D41" s="23">
        <v>66</v>
      </c>
      <c r="E41" s="23">
        <f t="shared" si="0"/>
        <v>6.6E-3</v>
      </c>
      <c r="F41" s="23">
        <f t="shared" si="1"/>
        <v>0.42509999999999987</v>
      </c>
    </row>
    <row r="42" spans="1:6" x14ac:dyDescent="0.25">
      <c r="A42" s="21">
        <v>6697148.25</v>
      </c>
      <c r="C42" s="22">
        <v>37000000</v>
      </c>
      <c r="D42" s="23">
        <v>93</v>
      </c>
      <c r="E42" s="23">
        <f t="shared" si="0"/>
        <v>9.2999999999999992E-3</v>
      </c>
      <c r="F42" s="23">
        <f t="shared" si="1"/>
        <v>0.43439999999999984</v>
      </c>
    </row>
    <row r="43" spans="1:6" x14ac:dyDescent="0.25">
      <c r="A43" s="21">
        <v>105076539.33</v>
      </c>
      <c r="C43" s="22">
        <v>38000000</v>
      </c>
      <c r="D43" s="23">
        <v>82</v>
      </c>
      <c r="E43" s="23">
        <f t="shared" si="0"/>
        <v>8.2000000000000007E-3</v>
      </c>
      <c r="F43" s="23">
        <f t="shared" si="1"/>
        <v>0.44259999999999983</v>
      </c>
    </row>
    <row r="44" spans="1:6" x14ac:dyDescent="0.25">
      <c r="A44" s="21">
        <v>30242296.91</v>
      </c>
      <c r="C44" s="22">
        <v>39000000</v>
      </c>
      <c r="D44" s="23">
        <v>86</v>
      </c>
      <c r="E44" s="23">
        <f t="shared" si="0"/>
        <v>8.6E-3</v>
      </c>
      <c r="F44" s="23">
        <f t="shared" si="1"/>
        <v>0.45119999999999982</v>
      </c>
    </row>
    <row r="45" spans="1:6" x14ac:dyDescent="0.25">
      <c r="A45" s="21">
        <v>71126665.909999996</v>
      </c>
      <c r="C45" s="22">
        <v>40000000</v>
      </c>
      <c r="D45" s="23">
        <v>81</v>
      </c>
      <c r="E45" s="23">
        <f t="shared" si="0"/>
        <v>8.0999999999999996E-3</v>
      </c>
      <c r="F45" s="23">
        <f t="shared" si="1"/>
        <v>0.45929999999999982</v>
      </c>
    </row>
    <row r="46" spans="1:6" x14ac:dyDescent="0.25">
      <c r="A46" s="21">
        <v>78001143.010000005</v>
      </c>
      <c r="C46" s="22">
        <v>41000000</v>
      </c>
      <c r="D46" s="23">
        <v>77</v>
      </c>
      <c r="E46" s="23">
        <f t="shared" si="0"/>
        <v>7.7000000000000002E-3</v>
      </c>
      <c r="F46" s="23">
        <f t="shared" si="1"/>
        <v>0.4669999999999998</v>
      </c>
    </row>
    <row r="47" spans="1:6" x14ac:dyDescent="0.25">
      <c r="A47" s="21">
        <v>37478731.140000001</v>
      </c>
      <c r="C47" s="22">
        <v>42000000</v>
      </c>
      <c r="D47" s="23">
        <v>70</v>
      </c>
      <c r="E47" s="23">
        <f t="shared" si="0"/>
        <v>7.0000000000000001E-3</v>
      </c>
      <c r="F47" s="23">
        <f t="shared" si="1"/>
        <v>0.47399999999999981</v>
      </c>
    </row>
    <row r="48" spans="1:6" x14ac:dyDescent="0.25">
      <c r="A48" s="21">
        <v>47082945.590000004</v>
      </c>
      <c r="C48" s="22">
        <v>43000000</v>
      </c>
      <c r="D48" s="23">
        <v>68</v>
      </c>
      <c r="E48" s="23">
        <f t="shared" si="0"/>
        <v>6.7999999999999996E-3</v>
      </c>
      <c r="F48" s="23">
        <f t="shared" si="1"/>
        <v>0.48079999999999978</v>
      </c>
    </row>
    <row r="49" spans="1:6" x14ac:dyDescent="0.25">
      <c r="A49" s="21">
        <v>90299463.030000001</v>
      </c>
      <c r="C49" s="22">
        <v>44000000</v>
      </c>
      <c r="D49" s="23">
        <v>76</v>
      </c>
      <c r="E49" s="23">
        <f t="shared" si="0"/>
        <v>7.6E-3</v>
      </c>
      <c r="F49" s="23">
        <f t="shared" si="1"/>
        <v>0.48839999999999978</v>
      </c>
    </row>
    <row r="50" spans="1:6" x14ac:dyDescent="0.25">
      <c r="A50" s="21">
        <v>178409288.91999999</v>
      </c>
      <c r="C50" s="22">
        <v>45000000</v>
      </c>
      <c r="D50" s="23">
        <v>90</v>
      </c>
      <c r="E50" s="23">
        <f t="shared" si="0"/>
        <v>8.9999999999999993E-3</v>
      </c>
      <c r="F50" s="23">
        <f t="shared" si="1"/>
        <v>0.49739999999999979</v>
      </c>
    </row>
    <row r="51" spans="1:6" x14ac:dyDescent="0.25">
      <c r="A51" s="21">
        <v>242003221.50999999</v>
      </c>
      <c r="C51" s="22">
        <v>46000000</v>
      </c>
      <c r="D51" s="23">
        <v>69</v>
      </c>
      <c r="E51" s="23">
        <f t="shared" si="0"/>
        <v>6.8999999999999999E-3</v>
      </c>
      <c r="F51" s="23">
        <f t="shared" si="1"/>
        <v>0.50429999999999975</v>
      </c>
    </row>
    <row r="52" spans="1:6" x14ac:dyDescent="0.25">
      <c r="A52" s="21">
        <v>26263366.719999999</v>
      </c>
      <c r="C52" s="22">
        <v>47000000</v>
      </c>
      <c r="D52" s="23">
        <v>66</v>
      </c>
      <c r="E52" s="23">
        <f t="shared" si="0"/>
        <v>6.6E-3</v>
      </c>
      <c r="F52" s="23">
        <f t="shared" si="1"/>
        <v>0.5108999999999998</v>
      </c>
    </row>
    <row r="53" spans="1:6" x14ac:dyDescent="0.25">
      <c r="A53" s="21">
        <v>19961175.170000002</v>
      </c>
      <c r="C53" s="22">
        <v>48000000</v>
      </c>
      <c r="D53" s="23">
        <v>72</v>
      </c>
      <c r="E53" s="23">
        <f t="shared" si="0"/>
        <v>7.1999999999999998E-3</v>
      </c>
      <c r="F53" s="23">
        <f t="shared" si="1"/>
        <v>0.51809999999999978</v>
      </c>
    </row>
    <row r="54" spans="1:6" x14ac:dyDescent="0.25">
      <c r="A54">
        <v>0</v>
      </c>
      <c r="C54" s="22">
        <v>49000000</v>
      </c>
      <c r="D54" s="23">
        <v>60</v>
      </c>
      <c r="E54" s="23">
        <f t="shared" si="0"/>
        <v>6.0000000000000001E-3</v>
      </c>
      <c r="F54" s="23">
        <f t="shared" si="1"/>
        <v>0.52409999999999979</v>
      </c>
    </row>
    <row r="55" spans="1:6" x14ac:dyDescent="0.25">
      <c r="A55" s="21">
        <v>8788609.0199999996</v>
      </c>
      <c r="C55" s="22">
        <v>50000000</v>
      </c>
      <c r="D55" s="23">
        <v>62</v>
      </c>
      <c r="E55" s="23">
        <f t="shared" si="0"/>
        <v>6.1999999999999998E-3</v>
      </c>
      <c r="F55" s="23">
        <f t="shared" si="1"/>
        <v>0.53029999999999977</v>
      </c>
    </row>
    <row r="56" spans="1:6" x14ac:dyDescent="0.25">
      <c r="A56" s="21">
        <v>86125355.700000003</v>
      </c>
      <c r="C56" s="22">
        <v>51000000</v>
      </c>
      <c r="D56" s="23">
        <v>61</v>
      </c>
      <c r="E56" s="23">
        <f t="shared" si="0"/>
        <v>6.1000000000000004E-3</v>
      </c>
      <c r="F56" s="23">
        <f t="shared" si="1"/>
        <v>0.53639999999999977</v>
      </c>
    </row>
    <row r="57" spans="1:6" x14ac:dyDescent="0.25">
      <c r="A57" s="21">
        <v>169757859.02000001</v>
      </c>
      <c r="C57" s="22">
        <v>52000000</v>
      </c>
      <c r="D57" s="23">
        <v>62</v>
      </c>
      <c r="E57" s="23">
        <f t="shared" si="0"/>
        <v>6.1999999999999998E-3</v>
      </c>
      <c r="F57" s="23">
        <f t="shared" si="1"/>
        <v>0.54259999999999975</v>
      </c>
    </row>
    <row r="58" spans="1:6" x14ac:dyDescent="0.25">
      <c r="A58" s="21">
        <v>34019596.719999999</v>
      </c>
      <c r="C58" s="22">
        <v>53000000</v>
      </c>
      <c r="D58" s="23">
        <v>65</v>
      </c>
      <c r="E58" s="23">
        <f t="shared" si="0"/>
        <v>6.4999999999999997E-3</v>
      </c>
      <c r="F58" s="23">
        <f t="shared" si="1"/>
        <v>0.5490999999999997</v>
      </c>
    </row>
    <row r="59" spans="1:6" x14ac:dyDescent="0.25">
      <c r="A59" s="21">
        <v>40496009.829999998</v>
      </c>
      <c r="C59" s="22">
        <v>54000000</v>
      </c>
      <c r="D59" s="23">
        <v>66</v>
      </c>
      <c r="E59" s="23">
        <f t="shared" si="0"/>
        <v>6.6E-3</v>
      </c>
      <c r="F59" s="23">
        <f t="shared" si="1"/>
        <v>0.55569999999999975</v>
      </c>
    </row>
    <row r="60" spans="1:6" x14ac:dyDescent="0.25">
      <c r="A60" s="21">
        <v>47301886.090000004</v>
      </c>
      <c r="C60" s="22">
        <v>55000000</v>
      </c>
      <c r="D60" s="23">
        <v>65</v>
      </c>
      <c r="E60" s="23">
        <f t="shared" si="0"/>
        <v>6.4999999999999997E-3</v>
      </c>
      <c r="F60" s="23">
        <f t="shared" si="1"/>
        <v>0.5621999999999997</v>
      </c>
    </row>
    <row r="61" spans="1:6" x14ac:dyDescent="0.25">
      <c r="A61" s="21">
        <v>19923542.25</v>
      </c>
      <c r="C61" s="22">
        <v>56000000</v>
      </c>
      <c r="D61" s="23">
        <v>57</v>
      </c>
      <c r="E61" s="23">
        <f t="shared" si="0"/>
        <v>5.7000000000000002E-3</v>
      </c>
      <c r="F61" s="23">
        <f t="shared" si="1"/>
        <v>0.56789999999999974</v>
      </c>
    </row>
    <row r="62" spans="1:6" x14ac:dyDescent="0.25">
      <c r="A62" s="21">
        <v>186285881.53</v>
      </c>
      <c r="C62" s="22">
        <v>57000000</v>
      </c>
      <c r="D62" s="23">
        <v>54</v>
      </c>
      <c r="E62" s="23">
        <f t="shared" si="0"/>
        <v>5.4000000000000003E-3</v>
      </c>
      <c r="F62" s="23">
        <f t="shared" si="1"/>
        <v>0.5732999999999997</v>
      </c>
    </row>
    <row r="63" spans="1:6" x14ac:dyDescent="0.25">
      <c r="A63" s="21">
        <v>13218467.32</v>
      </c>
      <c r="C63" s="22">
        <v>58000000</v>
      </c>
      <c r="D63" s="23">
        <v>62</v>
      </c>
      <c r="E63" s="23">
        <f t="shared" si="0"/>
        <v>6.1999999999999998E-3</v>
      </c>
      <c r="F63" s="23">
        <f t="shared" si="1"/>
        <v>0.57949999999999968</v>
      </c>
    </row>
    <row r="64" spans="1:6" x14ac:dyDescent="0.25">
      <c r="A64" s="21">
        <v>274510456.14999998</v>
      </c>
      <c r="C64" s="22">
        <v>59000000</v>
      </c>
      <c r="D64" s="23">
        <v>65</v>
      </c>
      <c r="E64" s="23">
        <f t="shared" si="0"/>
        <v>6.4999999999999997E-3</v>
      </c>
      <c r="F64" s="23">
        <f t="shared" si="1"/>
        <v>0.58599999999999963</v>
      </c>
    </row>
    <row r="65" spans="1:6" x14ac:dyDescent="0.25">
      <c r="A65" s="21">
        <v>38796776.020000003</v>
      </c>
      <c r="C65" s="22">
        <v>60000000</v>
      </c>
      <c r="D65" s="23">
        <v>70</v>
      </c>
      <c r="E65" s="23">
        <f t="shared" si="0"/>
        <v>7.0000000000000001E-3</v>
      </c>
      <c r="F65" s="23">
        <f t="shared" si="1"/>
        <v>0.59299999999999964</v>
      </c>
    </row>
    <row r="66" spans="1:6" x14ac:dyDescent="0.25">
      <c r="A66" s="21">
        <v>16568881.710000001</v>
      </c>
      <c r="C66" s="22">
        <v>61000000</v>
      </c>
      <c r="D66" s="23">
        <v>53</v>
      </c>
      <c r="E66" s="23">
        <f t="shared" si="0"/>
        <v>5.3E-3</v>
      </c>
      <c r="F66" s="23">
        <f t="shared" si="1"/>
        <v>0.59829999999999961</v>
      </c>
    </row>
    <row r="67" spans="1:6" x14ac:dyDescent="0.25">
      <c r="A67" s="21">
        <v>355622715.24999899</v>
      </c>
      <c r="C67" s="22">
        <v>62000000</v>
      </c>
      <c r="D67" s="23">
        <v>60</v>
      </c>
      <c r="E67" s="23">
        <f t="shared" si="0"/>
        <v>6.0000000000000001E-3</v>
      </c>
      <c r="F67" s="23">
        <f t="shared" si="1"/>
        <v>0.60429999999999962</v>
      </c>
    </row>
    <row r="68" spans="1:6" x14ac:dyDescent="0.25">
      <c r="A68" s="21">
        <v>80017425.549999997</v>
      </c>
      <c r="C68" s="22">
        <v>63000000</v>
      </c>
      <c r="D68" s="23">
        <v>61</v>
      </c>
      <c r="E68" s="23">
        <f t="shared" si="0"/>
        <v>6.1000000000000004E-3</v>
      </c>
      <c r="F68" s="23">
        <f t="shared" si="1"/>
        <v>0.61039999999999961</v>
      </c>
    </row>
    <row r="69" spans="1:6" x14ac:dyDescent="0.25">
      <c r="A69" s="21">
        <v>420100197.44</v>
      </c>
      <c r="C69" s="22">
        <v>64000000</v>
      </c>
      <c r="D69" s="23">
        <v>60</v>
      </c>
      <c r="E69" s="23">
        <f t="shared" si="0"/>
        <v>6.0000000000000001E-3</v>
      </c>
      <c r="F69" s="23">
        <f t="shared" si="1"/>
        <v>0.61639999999999961</v>
      </c>
    </row>
    <row r="70" spans="1:6" x14ac:dyDescent="0.25">
      <c r="A70" s="21">
        <v>10822503.970000001</v>
      </c>
      <c r="C70" s="22">
        <v>65000000</v>
      </c>
      <c r="D70" s="23">
        <v>53</v>
      </c>
      <c r="E70" s="23">
        <f t="shared" ref="E70:E133" si="2">D70/10000</f>
        <v>5.3E-3</v>
      </c>
      <c r="F70" s="23">
        <f t="shared" si="1"/>
        <v>0.62169999999999959</v>
      </c>
    </row>
    <row r="71" spans="1:6" x14ac:dyDescent="0.25">
      <c r="A71" s="21">
        <v>4028686.55</v>
      </c>
      <c r="C71" s="22">
        <v>66000000</v>
      </c>
      <c r="D71" s="23">
        <v>41</v>
      </c>
      <c r="E71" s="23">
        <f t="shared" si="2"/>
        <v>4.1000000000000003E-3</v>
      </c>
      <c r="F71" s="23">
        <f t="shared" ref="F71:F134" si="3">E71+F70</f>
        <v>0.62579999999999958</v>
      </c>
    </row>
    <row r="72" spans="1:6" x14ac:dyDescent="0.25">
      <c r="A72" s="21">
        <v>91602263.069999903</v>
      </c>
      <c r="C72" s="22">
        <v>67000000</v>
      </c>
      <c r="D72" s="23">
        <v>47</v>
      </c>
      <c r="E72" s="23">
        <f t="shared" si="2"/>
        <v>4.7000000000000002E-3</v>
      </c>
      <c r="F72" s="23">
        <f t="shared" si="3"/>
        <v>0.63049999999999962</v>
      </c>
    </row>
    <row r="73" spans="1:6" x14ac:dyDescent="0.25">
      <c r="A73">
        <v>0</v>
      </c>
      <c r="C73" s="22">
        <v>68000000</v>
      </c>
      <c r="D73" s="23">
        <v>63</v>
      </c>
      <c r="E73" s="23">
        <f t="shared" si="2"/>
        <v>6.3E-3</v>
      </c>
      <c r="F73" s="23">
        <f t="shared" si="3"/>
        <v>0.63679999999999959</v>
      </c>
    </row>
    <row r="74" spans="1:6" x14ac:dyDescent="0.25">
      <c r="A74">
        <v>0</v>
      </c>
      <c r="C74" s="22">
        <v>69000000</v>
      </c>
      <c r="D74" s="23">
        <v>57</v>
      </c>
      <c r="E74" s="23">
        <f t="shared" si="2"/>
        <v>5.7000000000000002E-3</v>
      </c>
      <c r="F74" s="23">
        <f t="shared" si="3"/>
        <v>0.64249999999999963</v>
      </c>
    </row>
    <row r="75" spans="1:6" x14ac:dyDescent="0.25">
      <c r="A75" s="21">
        <v>409118212.75</v>
      </c>
      <c r="C75" s="22">
        <v>70000000</v>
      </c>
      <c r="D75" s="23">
        <v>49</v>
      </c>
      <c r="E75" s="23">
        <f t="shared" si="2"/>
        <v>4.8999999999999998E-3</v>
      </c>
      <c r="F75" s="23">
        <f t="shared" si="3"/>
        <v>0.64739999999999964</v>
      </c>
    </row>
    <row r="76" spans="1:6" x14ac:dyDescent="0.25">
      <c r="A76" s="21">
        <v>112392072.7</v>
      </c>
      <c r="C76" s="22">
        <v>71000000</v>
      </c>
      <c r="D76" s="23">
        <v>47</v>
      </c>
      <c r="E76" s="23">
        <f t="shared" si="2"/>
        <v>4.7000000000000002E-3</v>
      </c>
      <c r="F76" s="23">
        <f t="shared" si="3"/>
        <v>0.65209999999999968</v>
      </c>
    </row>
    <row r="77" spans="1:6" x14ac:dyDescent="0.25">
      <c r="A77" s="21">
        <v>33733665.159999996</v>
      </c>
      <c r="C77" s="22">
        <v>72000000</v>
      </c>
      <c r="D77" s="23">
        <v>43</v>
      </c>
      <c r="E77" s="23">
        <f t="shared" si="2"/>
        <v>4.3E-3</v>
      </c>
      <c r="F77" s="23">
        <f t="shared" si="3"/>
        <v>0.65639999999999965</v>
      </c>
    </row>
    <row r="78" spans="1:6" x14ac:dyDescent="0.25">
      <c r="A78" s="21">
        <v>8243112.5099999998</v>
      </c>
      <c r="C78" s="22">
        <v>73000000</v>
      </c>
      <c r="D78" s="23">
        <v>51</v>
      </c>
      <c r="E78" s="23">
        <f t="shared" si="2"/>
        <v>5.1000000000000004E-3</v>
      </c>
      <c r="F78" s="23">
        <f t="shared" si="3"/>
        <v>0.66149999999999964</v>
      </c>
    </row>
    <row r="79" spans="1:6" x14ac:dyDescent="0.25">
      <c r="A79" s="21">
        <v>60422335.890000001</v>
      </c>
      <c r="C79" s="22">
        <v>74000000</v>
      </c>
      <c r="D79" s="23">
        <v>42</v>
      </c>
      <c r="E79" s="23">
        <f t="shared" si="2"/>
        <v>4.1999999999999997E-3</v>
      </c>
      <c r="F79" s="23">
        <f t="shared" si="3"/>
        <v>0.66569999999999963</v>
      </c>
    </row>
    <row r="80" spans="1:6" x14ac:dyDescent="0.25">
      <c r="A80" s="21">
        <v>29175598.809999999</v>
      </c>
      <c r="C80" s="24">
        <v>75000000</v>
      </c>
      <c r="D80" s="25">
        <v>42</v>
      </c>
      <c r="E80" s="25">
        <f t="shared" si="2"/>
        <v>4.1999999999999997E-3</v>
      </c>
      <c r="F80" s="25">
        <f t="shared" si="3"/>
        <v>0.66989999999999961</v>
      </c>
    </row>
    <row r="81" spans="1:6" x14ac:dyDescent="0.25">
      <c r="A81" s="21">
        <v>108988375.27</v>
      </c>
      <c r="C81" s="24">
        <v>76000000</v>
      </c>
      <c r="D81" s="25">
        <v>38</v>
      </c>
      <c r="E81" s="25">
        <f t="shared" si="2"/>
        <v>3.8E-3</v>
      </c>
      <c r="F81" s="25">
        <f t="shared" si="3"/>
        <v>0.67369999999999963</v>
      </c>
    </row>
    <row r="82" spans="1:6" x14ac:dyDescent="0.25">
      <c r="A82" s="21">
        <v>30912885.579999998</v>
      </c>
      <c r="C82" s="24">
        <v>77000000</v>
      </c>
      <c r="D82" s="25">
        <v>49</v>
      </c>
      <c r="E82" s="25">
        <f t="shared" si="2"/>
        <v>4.8999999999999998E-3</v>
      </c>
      <c r="F82" s="25">
        <f t="shared" si="3"/>
        <v>0.67859999999999965</v>
      </c>
    </row>
    <row r="83" spans="1:6" x14ac:dyDescent="0.25">
      <c r="A83" s="21">
        <v>203512461.63</v>
      </c>
      <c r="C83" s="24">
        <v>78000000</v>
      </c>
      <c r="D83" s="25">
        <v>46</v>
      </c>
      <c r="E83" s="25">
        <f t="shared" si="2"/>
        <v>4.5999999999999999E-3</v>
      </c>
      <c r="F83" s="25">
        <f t="shared" si="3"/>
        <v>0.6831999999999997</v>
      </c>
    </row>
    <row r="84" spans="1:6" x14ac:dyDescent="0.25">
      <c r="A84" s="21">
        <v>21890848.140000001</v>
      </c>
      <c r="C84" s="24">
        <v>79000000</v>
      </c>
      <c r="D84" s="25">
        <v>39</v>
      </c>
      <c r="E84" s="25">
        <f t="shared" si="2"/>
        <v>3.8999999999999998E-3</v>
      </c>
      <c r="F84" s="25">
        <f t="shared" si="3"/>
        <v>0.68709999999999971</v>
      </c>
    </row>
    <row r="85" spans="1:6" x14ac:dyDescent="0.25">
      <c r="A85" s="21">
        <v>116884084.48999999</v>
      </c>
      <c r="C85" s="24">
        <v>80000000</v>
      </c>
      <c r="D85" s="25">
        <v>40</v>
      </c>
      <c r="E85" s="25">
        <f t="shared" si="2"/>
        <v>4.0000000000000001E-3</v>
      </c>
      <c r="F85" s="25">
        <f t="shared" si="3"/>
        <v>0.69109999999999971</v>
      </c>
    </row>
    <row r="86" spans="1:6" x14ac:dyDescent="0.25">
      <c r="A86" s="21">
        <v>175259526.52000001</v>
      </c>
      <c r="C86" s="24">
        <v>81000000</v>
      </c>
      <c r="D86" s="25">
        <v>56</v>
      </c>
      <c r="E86" s="25">
        <f t="shared" si="2"/>
        <v>5.5999999999999999E-3</v>
      </c>
      <c r="F86" s="25">
        <f t="shared" si="3"/>
        <v>0.69669999999999976</v>
      </c>
    </row>
    <row r="87" spans="1:6" x14ac:dyDescent="0.25">
      <c r="A87" s="21">
        <v>219655082.87</v>
      </c>
      <c r="C87" s="24">
        <v>82000000</v>
      </c>
      <c r="D87" s="25">
        <v>35</v>
      </c>
      <c r="E87" s="25">
        <f t="shared" si="2"/>
        <v>3.5000000000000001E-3</v>
      </c>
      <c r="F87" s="25">
        <f t="shared" si="3"/>
        <v>0.70019999999999971</v>
      </c>
    </row>
    <row r="88" spans="1:6" x14ac:dyDescent="0.25">
      <c r="A88" s="21">
        <v>23838349.390000001</v>
      </c>
      <c r="C88" s="24">
        <v>83000000</v>
      </c>
      <c r="D88" s="25">
        <v>38</v>
      </c>
      <c r="E88" s="25">
        <f t="shared" si="2"/>
        <v>3.8E-3</v>
      </c>
      <c r="F88" s="25">
        <f t="shared" si="3"/>
        <v>0.70399999999999974</v>
      </c>
    </row>
    <row r="89" spans="1:6" x14ac:dyDescent="0.25">
      <c r="A89" s="21">
        <v>56195275.359999999</v>
      </c>
      <c r="C89" s="24">
        <v>84000000</v>
      </c>
      <c r="D89" s="25">
        <v>41</v>
      </c>
      <c r="E89" s="25">
        <f t="shared" si="2"/>
        <v>4.1000000000000003E-3</v>
      </c>
      <c r="F89" s="25">
        <f t="shared" si="3"/>
        <v>0.70809999999999973</v>
      </c>
    </row>
    <row r="90" spans="1:6" x14ac:dyDescent="0.25">
      <c r="A90" s="21">
        <v>173461622.13999999</v>
      </c>
      <c r="C90" s="24">
        <v>85000000</v>
      </c>
      <c r="D90" s="25">
        <v>42</v>
      </c>
      <c r="E90" s="25">
        <f t="shared" si="2"/>
        <v>4.1999999999999997E-3</v>
      </c>
      <c r="F90" s="25">
        <f t="shared" si="3"/>
        <v>0.71229999999999971</v>
      </c>
    </row>
    <row r="91" spans="1:6" x14ac:dyDescent="0.25">
      <c r="A91" s="21">
        <v>356849290.70999998</v>
      </c>
      <c r="C91" s="24">
        <v>86000000</v>
      </c>
      <c r="D91" s="25">
        <v>36</v>
      </c>
      <c r="E91" s="25">
        <f t="shared" si="2"/>
        <v>3.5999999999999999E-3</v>
      </c>
      <c r="F91" s="25">
        <f t="shared" si="3"/>
        <v>0.71589999999999976</v>
      </c>
    </row>
    <row r="92" spans="1:6" x14ac:dyDescent="0.25">
      <c r="A92" s="21">
        <v>7285666.5</v>
      </c>
      <c r="C92" s="24">
        <v>87000000</v>
      </c>
      <c r="D92" s="25">
        <v>42</v>
      </c>
      <c r="E92" s="25">
        <f t="shared" si="2"/>
        <v>4.1999999999999997E-3</v>
      </c>
      <c r="F92" s="25">
        <f t="shared" si="3"/>
        <v>0.72009999999999974</v>
      </c>
    </row>
    <row r="93" spans="1:6" x14ac:dyDescent="0.25">
      <c r="A93" s="21">
        <v>21106677.989999998</v>
      </c>
      <c r="C93" s="24">
        <v>88000000</v>
      </c>
      <c r="D93" s="25">
        <v>42</v>
      </c>
      <c r="E93" s="25">
        <f t="shared" si="2"/>
        <v>4.1999999999999997E-3</v>
      </c>
      <c r="F93" s="25">
        <f t="shared" si="3"/>
        <v>0.72429999999999972</v>
      </c>
    </row>
    <row r="94" spans="1:6" x14ac:dyDescent="0.25">
      <c r="A94" s="21">
        <v>15352677.699999999</v>
      </c>
      <c r="C94" s="24">
        <v>89000000</v>
      </c>
      <c r="D94" s="25">
        <v>38</v>
      </c>
      <c r="E94" s="25">
        <f t="shared" si="2"/>
        <v>3.8E-3</v>
      </c>
      <c r="F94" s="25">
        <f t="shared" si="3"/>
        <v>0.72809999999999975</v>
      </c>
    </row>
    <row r="95" spans="1:6" x14ac:dyDescent="0.25">
      <c r="A95" s="21">
        <v>139566357.65000001</v>
      </c>
      <c r="C95" s="24">
        <v>90000000</v>
      </c>
      <c r="D95" s="25">
        <v>35</v>
      </c>
      <c r="E95" s="25">
        <f t="shared" si="2"/>
        <v>3.5000000000000001E-3</v>
      </c>
      <c r="F95" s="25">
        <f t="shared" si="3"/>
        <v>0.73159999999999969</v>
      </c>
    </row>
    <row r="96" spans="1:6" x14ac:dyDescent="0.25">
      <c r="A96" s="21">
        <v>54498584.439999998</v>
      </c>
      <c r="C96" s="24">
        <v>91000000</v>
      </c>
      <c r="D96" s="25">
        <v>30</v>
      </c>
      <c r="E96" s="25">
        <f t="shared" si="2"/>
        <v>3.0000000000000001E-3</v>
      </c>
      <c r="F96" s="25">
        <f t="shared" si="3"/>
        <v>0.7345999999999997</v>
      </c>
    </row>
    <row r="97" spans="1:6" x14ac:dyDescent="0.25">
      <c r="A97" s="21">
        <v>120108983.58</v>
      </c>
      <c r="C97" s="24">
        <v>92000000</v>
      </c>
      <c r="D97" s="25">
        <v>28</v>
      </c>
      <c r="E97" s="25">
        <f t="shared" si="2"/>
        <v>2.8E-3</v>
      </c>
      <c r="F97" s="25">
        <f t="shared" si="3"/>
        <v>0.73739999999999972</v>
      </c>
    </row>
    <row r="98" spans="1:6" x14ac:dyDescent="0.25">
      <c r="A98" s="21">
        <v>39472586.329999998</v>
      </c>
      <c r="C98" s="24">
        <v>93000000</v>
      </c>
      <c r="D98" s="25">
        <v>43</v>
      </c>
      <c r="E98" s="25">
        <f t="shared" si="2"/>
        <v>4.3E-3</v>
      </c>
      <c r="F98" s="25">
        <f t="shared" si="3"/>
        <v>0.74169999999999969</v>
      </c>
    </row>
    <row r="99" spans="1:6" x14ac:dyDescent="0.25">
      <c r="A99" s="21">
        <v>385948695.69</v>
      </c>
      <c r="C99" s="24">
        <v>94000000</v>
      </c>
      <c r="D99" s="25">
        <v>39</v>
      </c>
      <c r="E99" s="25">
        <f t="shared" si="2"/>
        <v>3.8999999999999998E-3</v>
      </c>
      <c r="F99" s="25">
        <f t="shared" si="3"/>
        <v>0.74559999999999971</v>
      </c>
    </row>
    <row r="100" spans="1:6" x14ac:dyDescent="0.25">
      <c r="A100" s="21">
        <v>59846698.68</v>
      </c>
      <c r="C100" s="24">
        <v>95000000</v>
      </c>
      <c r="D100" s="25">
        <v>37</v>
      </c>
      <c r="E100" s="25">
        <f t="shared" si="2"/>
        <v>3.7000000000000002E-3</v>
      </c>
      <c r="F100" s="25">
        <f t="shared" si="3"/>
        <v>0.74929999999999974</v>
      </c>
    </row>
    <row r="101" spans="1:6" x14ac:dyDescent="0.25">
      <c r="A101" s="21">
        <v>118993478.43000001</v>
      </c>
      <c r="C101" s="24">
        <v>96000000</v>
      </c>
      <c r="D101" s="25">
        <v>45</v>
      </c>
      <c r="E101" s="25">
        <f t="shared" si="2"/>
        <v>4.4999999999999997E-3</v>
      </c>
      <c r="F101" s="25">
        <f t="shared" si="3"/>
        <v>0.75379999999999969</v>
      </c>
    </row>
    <row r="102" spans="1:6" x14ac:dyDescent="0.25">
      <c r="A102" s="21">
        <v>52725361.890000001</v>
      </c>
      <c r="C102" s="24">
        <v>97000000</v>
      </c>
      <c r="D102" s="25">
        <v>39</v>
      </c>
      <c r="E102" s="25">
        <f t="shared" si="2"/>
        <v>3.8999999999999998E-3</v>
      </c>
      <c r="F102" s="25">
        <f t="shared" si="3"/>
        <v>0.75769999999999971</v>
      </c>
    </row>
    <row r="103" spans="1:6" x14ac:dyDescent="0.25">
      <c r="A103" s="21">
        <v>157818855.72999999</v>
      </c>
      <c r="C103" s="24">
        <v>98000000</v>
      </c>
      <c r="D103" s="25">
        <v>26</v>
      </c>
      <c r="E103" s="25">
        <f t="shared" si="2"/>
        <v>2.5999999999999999E-3</v>
      </c>
      <c r="F103" s="25">
        <f t="shared" si="3"/>
        <v>0.76029999999999975</v>
      </c>
    </row>
    <row r="104" spans="1:6" x14ac:dyDescent="0.25">
      <c r="A104" s="21">
        <v>19712084.32</v>
      </c>
      <c r="C104" s="24">
        <v>99000000</v>
      </c>
      <c r="D104" s="25">
        <v>27</v>
      </c>
      <c r="E104" s="25">
        <f t="shared" si="2"/>
        <v>2.7000000000000001E-3</v>
      </c>
      <c r="F104" s="25">
        <f t="shared" si="3"/>
        <v>0.76299999999999979</v>
      </c>
    </row>
    <row r="105" spans="1:6" x14ac:dyDescent="0.25">
      <c r="A105" s="21">
        <v>13874030.76</v>
      </c>
      <c r="C105" s="24">
        <v>100000000</v>
      </c>
      <c r="D105" s="25">
        <v>42</v>
      </c>
      <c r="E105" s="25">
        <f t="shared" si="2"/>
        <v>4.1999999999999997E-3</v>
      </c>
      <c r="F105" s="25">
        <f t="shared" si="3"/>
        <v>0.76719999999999977</v>
      </c>
    </row>
    <row r="106" spans="1:6" x14ac:dyDescent="0.25">
      <c r="A106" s="21">
        <v>124056165.75</v>
      </c>
      <c r="C106" s="24">
        <v>101000000</v>
      </c>
      <c r="D106" s="25">
        <v>28</v>
      </c>
      <c r="E106" s="25">
        <f t="shared" si="2"/>
        <v>2.8E-3</v>
      </c>
      <c r="F106" s="25">
        <f t="shared" si="3"/>
        <v>0.7699999999999998</v>
      </c>
    </row>
    <row r="107" spans="1:6" x14ac:dyDescent="0.25">
      <c r="A107" s="21">
        <v>120948653.09999999</v>
      </c>
      <c r="C107" s="24">
        <v>102000000</v>
      </c>
      <c r="D107" s="25">
        <v>30</v>
      </c>
      <c r="E107" s="25">
        <f t="shared" si="2"/>
        <v>3.0000000000000001E-3</v>
      </c>
      <c r="F107" s="25">
        <f t="shared" si="3"/>
        <v>0.7729999999999998</v>
      </c>
    </row>
    <row r="108" spans="1:6" x14ac:dyDescent="0.25">
      <c r="A108" s="21">
        <v>21007760.460000001</v>
      </c>
      <c r="C108" s="24">
        <v>103000000</v>
      </c>
      <c r="D108" s="25">
        <v>25</v>
      </c>
      <c r="E108" s="25">
        <f t="shared" si="2"/>
        <v>2.5000000000000001E-3</v>
      </c>
      <c r="F108" s="25">
        <f t="shared" si="3"/>
        <v>0.77549999999999975</v>
      </c>
    </row>
    <row r="109" spans="1:6" x14ac:dyDescent="0.25">
      <c r="A109" s="21">
        <v>156527981.71000001</v>
      </c>
      <c r="C109" s="24">
        <v>104000000</v>
      </c>
      <c r="D109" s="25">
        <v>24</v>
      </c>
      <c r="E109" s="25">
        <f t="shared" si="2"/>
        <v>2.3999999999999998E-3</v>
      </c>
      <c r="F109" s="25">
        <f t="shared" si="3"/>
        <v>0.7778999999999997</v>
      </c>
    </row>
    <row r="110" spans="1:6" x14ac:dyDescent="0.25">
      <c r="A110">
        <v>0</v>
      </c>
      <c r="C110" s="24">
        <v>105000000</v>
      </c>
      <c r="D110" s="25">
        <v>24</v>
      </c>
      <c r="E110" s="25">
        <f t="shared" si="2"/>
        <v>2.3999999999999998E-3</v>
      </c>
      <c r="F110" s="25">
        <f t="shared" si="3"/>
        <v>0.78029999999999966</v>
      </c>
    </row>
    <row r="111" spans="1:6" x14ac:dyDescent="0.25">
      <c r="A111">
        <v>0</v>
      </c>
      <c r="C111" s="24">
        <v>106000000</v>
      </c>
      <c r="D111" s="25">
        <v>27</v>
      </c>
      <c r="E111" s="25">
        <f t="shared" si="2"/>
        <v>2.7000000000000001E-3</v>
      </c>
      <c r="F111" s="25">
        <f t="shared" si="3"/>
        <v>0.7829999999999997</v>
      </c>
    </row>
    <row r="112" spans="1:6" x14ac:dyDescent="0.25">
      <c r="A112" s="21">
        <v>35468657.770000003</v>
      </c>
      <c r="C112" s="24">
        <v>107000000</v>
      </c>
      <c r="D112" s="25">
        <v>36</v>
      </c>
      <c r="E112" s="25">
        <f t="shared" si="2"/>
        <v>3.5999999999999999E-3</v>
      </c>
      <c r="F112" s="25">
        <f t="shared" si="3"/>
        <v>0.78659999999999974</v>
      </c>
    </row>
    <row r="113" spans="1:6" x14ac:dyDescent="0.25">
      <c r="A113" s="21">
        <v>45588682.289999999</v>
      </c>
      <c r="C113" s="24">
        <v>108000000</v>
      </c>
      <c r="D113" s="25">
        <v>31</v>
      </c>
      <c r="E113" s="25">
        <f t="shared" si="2"/>
        <v>3.0999999999999999E-3</v>
      </c>
      <c r="F113" s="25">
        <f t="shared" si="3"/>
        <v>0.78969999999999974</v>
      </c>
    </row>
    <row r="114" spans="1:6" x14ac:dyDescent="0.25">
      <c r="A114" s="21">
        <v>277563289.18000001</v>
      </c>
      <c r="C114" s="24">
        <v>109000000</v>
      </c>
      <c r="D114" s="25">
        <v>19</v>
      </c>
      <c r="E114" s="25">
        <f t="shared" si="2"/>
        <v>1.9E-3</v>
      </c>
      <c r="F114" s="25">
        <f t="shared" si="3"/>
        <v>0.79159999999999975</v>
      </c>
    </row>
    <row r="115" spans="1:6" x14ac:dyDescent="0.25">
      <c r="A115" s="21">
        <v>93796587.150000006</v>
      </c>
      <c r="C115" s="24">
        <v>110000000</v>
      </c>
      <c r="D115" s="25">
        <v>21</v>
      </c>
      <c r="E115" s="25">
        <f t="shared" si="2"/>
        <v>2.0999999999999999E-3</v>
      </c>
      <c r="F115" s="25">
        <f t="shared" si="3"/>
        <v>0.79369999999999974</v>
      </c>
    </row>
    <row r="116" spans="1:6" x14ac:dyDescent="0.25">
      <c r="A116" s="21">
        <v>15429460.619999999</v>
      </c>
      <c r="C116" s="24">
        <v>111000000</v>
      </c>
      <c r="D116" s="25">
        <v>27</v>
      </c>
      <c r="E116" s="25">
        <f t="shared" si="2"/>
        <v>2.7000000000000001E-3</v>
      </c>
      <c r="F116" s="25">
        <f t="shared" si="3"/>
        <v>0.79639999999999977</v>
      </c>
    </row>
    <row r="117" spans="1:6" x14ac:dyDescent="0.25">
      <c r="A117">
        <v>0</v>
      </c>
      <c r="C117" s="24">
        <v>112000000</v>
      </c>
      <c r="D117" s="25">
        <v>24</v>
      </c>
      <c r="E117" s="25">
        <f t="shared" si="2"/>
        <v>2.3999999999999998E-3</v>
      </c>
      <c r="F117" s="25">
        <f t="shared" si="3"/>
        <v>0.79879999999999973</v>
      </c>
    </row>
    <row r="118" spans="1:6" x14ac:dyDescent="0.25">
      <c r="A118" s="21">
        <v>39923801.350000001</v>
      </c>
      <c r="C118" s="24">
        <v>113000000</v>
      </c>
      <c r="D118" s="25">
        <v>21</v>
      </c>
      <c r="E118" s="25">
        <f t="shared" si="2"/>
        <v>2.0999999999999999E-3</v>
      </c>
      <c r="F118" s="25">
        <f t="shared" si="3"/>
        <v>0.80089999999999972</v>
      </c>
    </row>
    <row r="119" spans="1:6" x14ac:dyDescent="0.25">
      <c r="A119" s="21">
        <v>8892197.3000000007</v>
      </c>
      <c r="C119" s="24">
        <v>114000000</v>
      </c>
      <c r="D119" s="25">
        <v>15</v>
      </c>
      <c r="E119" s="25">
        <f t="shared" si="2"/>
        <v>1.5E-3</v>
      </c>
      <c r="F119" s="25">
        <f t="shared" si="3"/>
        <v>0.80239999999999967</v>
      </c>
    </row>
    <row r="120" spans="1:6" x14ac:dyDescent="0.25">
      <c r="A120" s="21">
        <v>171943913.44</v>
      </c>
      <c r="C120" s="24">
        <v>115000000</v>
      </c>
      <c r="D120" s="25">
        <v>24</v>
      </c>
      <c r="E120" s="25">
        <f t="shared" si="2"/>
        <v>2.3999999999999998E-3</v>
      </c>
      <c r="F120" s="25">
        <f t="shared" si="3"/>
        <v>0.80479999999999963</v>
      </c>
    </row>
    <row r="121" spans="1:6" x14ac:dyDescent="0.25">
      <c r="A121" s="21">
        <v>27067949.420000002</v>
      </c>
      <c r="C121" s="24">
        <v>116000000</v>
      </c>
      <c r="D121" s="25">
        <v>21</v>
      </c>
      <c r="E121" s="25">
        <f t="shared" si="2"/>
        <v>2.0999999999999999E-3</v>
      </c>
      <c r="F121" s="25">
        <f t="shared" si="3"/>
        <v>0.80689999999999962</v>
      </c>
    </row>
    <row r="122" spans="1:6" x14ac:dyDescent="0.25">
      <c r="A122" s="21">
        <v>100816818.92</v>
      </c>
      <c r="C122" s="24">
        <v>117000000</v>
      </c>
      <c r="D122" s="25">
        <v>20</v>
      </c>
      <c r="E122" s="25">
        <f t="shared" si="2"/>
        <v>2E-3</v>
      </c>
      <c r="F122" s="25">
        <f t="shared" si="3"/>
        <v>0.80889999999999962</v>
      </c>
    </row>
    <row r="123" spans="1:6" x14ac:dyDescent="0.25">
      <c r="A123" s="21">
        <v>93174239.379999995</v>
      </c>
      <c r="C123" s="24">
        <v>118000000</v>
      </c>
      <c r="D123" s="25">
        <v>24</v>
      </c>
      <c r="E123" s="25">
        <f t="shared" si="2"/>
        <v>2.3999999999999998E-3</v>
      </c>
      <c r="F123" s="25">
        <f t="shared" si="3"/>
        <v>0.81129999999999958</v>
      </c>
    </row>
    <row r="124" spans="1:6" x14ac:dyDescent="0.25">
      <c r="A124" s="21">
        <v>9767245.5099999998</v>
      </c>
      <c r="C124" s="24">
        <v>119000000</v>
      </c>
      <c r="D124" s="25">
        <v>20</v>
      </c>
      <c r="E124" s="25">
        <f t="shared" si="2"/>
        <v>2E-3</v>
      </c>
      <c r="F124" s="25">
        <f t="shared" si="3"/>
        <v>0.81329999999999958</v>
      </c>
    </row>
    <row r="125" spans="1:6" x14ac:dyDescent="0.25">
      <c r="A125" s="21">
        <v>20305739.859999999</v>
      </c>
      <c r="C125" s="24">
        <v>120000000</v>
      </c>
      <c r="D125" s="25">
        <v>13</v>
      </c>
      <c r="E125" s="25">
        <f t="shared" si="2"/>
        <v>1.2999999999999999E-3</v>
      </c>
      <c r="F125" s="25">
        <f t="shared" si="3"/>
        <v>0.81459999999999955</v>
      </c>
    </row>
    <row r="126" spans="1:6" x14ac:dyDescent="0.25">
      <c r="A126" s="21">
        <v>82590354.079999998</v>
      </c>
      <c r="C126" s="24">
        <v>121000000</v>
      </c>
      <c r="D126" s="25">
        <v>13</v>
      </c>
      <c r="E126" s="25">
        <f t="shared" si="2"/>
        <v>1.2999999999999999E-3</v>
      </c>
      <c r="F126" s="25">
        <f t="shared" si="3"/>
        <v>0.81589999999999951</v>
      </c>
    </row>
    <row r="127" spans="1:6" x14ac:dyDescent="0.25">
      <c r="A127" s="21">
        <v>121186754.45</v>
      </c>
      <c r="C127" s="24">
        <v>122000000</v>
      </c>
      <c r="D127" s="25">
        <v>24</v>
      </c>
      <c r="E127" s="25">
        <f t="shared" si="2"/>
        <v>2.3999999999999998E-3</v>
      </c>
      <c r="F127" s="25">
        <f t="shared" si="3"/>
        <v>0.81829999999999947</v>
      </c>
    </row>
    <row r="128" spans="1:6" x14ac:dyDescent="0.25">
      <c r="A128" s="21">
        <v>61332250.130000003</v>
      </c>
      <c r="C128" s="24">
        <v>123000000</v>
      </c>
      <c r="D128" s="25">
        <v>21</v>
      </c>
      <c r="E128" s="25">
        <f t="shared" si="2"/>
        <v>2.0999999999999999E-3</v>
      </c>
      <c r="F128" s="25">
        <f t="shared" si="3"/>
        <v>0.82039999999999946</v>
      </c>
    </row>
    <row r="129" spans="1:6" x14ac:dyDescent="0.25">
      <c r="A129" s="21">
        <v>28616043.170000002</v>
      </c>
      <c r="C129" s="24">
        <v>124000000</v>
      </c>
      <c r="D129" s="25">
        <v>14</v>
      </c>
      <c r="E129" s="25">
        <f t="shared" si="2"/>
        <v>1.4E-3</v>
      </c>
      <c r="F129" s="25">
        <f t="shared" si="3"/>
        <v>0.82179999999999942</v>
      </c>
    </row>
    <row r="130" spans="1:6" x14ac:dyDescent="0.25">
      <c r="A130" s="21">
        <v>34945204.649999999</v>
      </c>
      <c r="C130" s="24">
        <v>125000000</v>
      </c>
      <c r="D130" s="25">
        <v>33</v>
      </c>
      <c r="E130" s="25">
        <f t="shared" si="2"/>
        <v>3.3E-3</v>
      </c>
      <c r="F130" s="25">
        <f t="shared" si="3"/>
        <v>0.82509999999999939</v>
      </c>
    </row>
    <row r="131" spans="1:6" x14ac:dyDescent="0.25">
      <c r="A131" s="21">
        <v>10472171.689999999</v>
      </c>
      <c r="C131" s="24">
        <v>126000000</v>
      </c>
      <c r="D131" s="25">
        <v>17</v>
      </c>
      <c r="E131" s="25">
        <f t="shared" si="2"/>
        <v>1.6999999999999999E-3</v>
      </c>
      <c r="F131" s="25">
        <f t="shared" si="3"/>
        <v>0.82679999999999942</v>
      </c>
    </row>
    <row r="132" spans="1:6" x14ac:dyDescent="0.25">
      <c r="A132" s="21">
        <v>15793238.67</v>
      </c>
      <c r="C132" s="24">
        <v>127000000</v>
      </c>
      <c r="D132" s="25">
        <v>16</v>
      </c>
      <c r="E132" s="25">
        <f t="shared" si="2"/>
        <v>1.6000000000000001E-3</v>
      </c>
      <c r="F132" s="25">
        <f t="shared" si="3"/>
        <v>0.82839999999999947</v>
      </c>
    </row>
    <row r="133" spans="1:6" x14ac:dyDescent="0.25">
      <c r="A133" s="21">
        <v>17932847.760000002</v>
      </c>
      <c r="C133" s="24">
        <v>128000000</v>
      </c>
      <c r="D133" s="25">
        <v>16</v>
      </c>
      <c r="E133" s="25">
        <f t="shared" si="2"/>
        <v>1.6000000000000001E-3</v>
      </c>
      <c r="F133" s="25">
        <f t="shared" si="3"/>
        <v>0.82999999999999952</v>
      </c>
    </row>
    <row r="134" spans="1:6" x14ac:dyDescent="0.25">
      <c r="A134" s="21">
        <v>33808277.18</v>
      </c>
      <c r="C134" s="24">
        <v>129000000</v>
      </c>
      <c r="D134" s="25">
        <v>20</v>
      </c>
      <c r="E134" s="25">
        <f t="shared" ref="E134:E197" si="4">D134/10000</f>
        <v>2E-3</v>
      </c>
      <c r="F134" s="25">
        <f t="shared" si="3"/>
        <v>0.83199999999999952</v>
      </c>
    </row>
    <row r="135" spans="1:6" x14ac:dyDescent="0.25">
      <c r="A135" s="21">
        <v>47465781.219999999</v>
      </c>
      <c r="C135" s="24">
        <v>130000000</v>
      </c>
      <c r="D135" s="25">
        <v>17</v>
      </c>
      <c r="E135" s="25">
        <f t="shared" si="4"/>
        <v>1.6999999999999999E-3</v>
      </c>
      <c r="F135" s="25">
        <f t="shared" ref="F135:F198" si="5">E135+F134</f>
        <v>0.83369999999999955</v>
      </c>
    </row>
    <row r="136" spans="1:6" x14ac:dyDescent="0.25">
      <c r="A136">
        <v>0</v>
      </c>
      <c r="C136" s="24">
        <v>131000000</v>
      </c>
      <c r="D136" s="25">
        <v>23</v>
      </c>
      <c r="E136" s="25">
        <f t="shared" si="4"/>
        <v>2.3E-3</v>
      </c>
      <c r="F136" s="25">
        <f t="shared" si="5"/>
        <v>0.83599999999999952</v>
      </c>
    </row>
    <row r="137" spans="1:6" x14ac:dyDescent="0.25">
      <c r="A137">
        <v>0</v>
      </c>
      <c r="C137" s="24">
        <v>132000000</v>
      </c>
      <c r="D137" s="25">
        <v>13</v>
      </c>
      <c r="E137" s="25">
        <f t="shared" si="4"/>
        <v>1.2999999999999999E-3</v>
      </c>
      <c r="F137" s="25">
        <f t="shared" si="5"/>
        <v>0.83729999999999949</v>
      </c>
    </row>
    <row r="138" spans="1:6" x14ac:dyDescent="0.25">
      <c r="A138" s="21">
        <v>40563060.369999997</v>
      </c>
      <c r="C138" s="24">
        <v>133000000</v>
      </c>
      <c r="D138" s="25">
        <v>26</v>
      </c>
      <c r="E138" s="25">
        <f t="shared" si="4"/>
        <v>2.5999999999999999E-3</v>
      </c>
      <c r="F138" s="25">
        <f t="shared" si="5"/>
        <v>0.83989999999999954</v>
      </c>
    </row>
    <row r="139" spans="1:6" x14ac:dyDescent="0.25">
      <c r="A139" s="21">
        <v>32077708.449999999</v>
      </c>
      <c r="C139" s="24">
        <v>134000000</v>
      </c>
      <c r="D139" s="25">
        <v>21</v>
      </c>
      <c r="E139" s="25">
        <f t="shared" si="4"/>
        <v>2.0999999999999999E-3</v>
      </c>
      <c r="F139" s="25">
        <f t="shared" si="5"/>
        <v>0.84199999999999953</v>
      </c>
    </row>
    <row r="140" spans="1:6" x14ac:dyDescent="0.25">
      <c r="A140" s="21">
        <v>82363873.969999999</v>
      </c>
      <c r="C140" s="24">
        <v>135000000</v>
      </c>
      <c r="D140" s="25">
        <v>15</v>
      </c>
      <c r="E140" s="25">
        <f t="shared" si="4"/>
        <v>1.5E-3</v>
      </c>
      <c r="F140" s="25">
        <f t="shared" si="5"/>
        <v>0.84349999999999947</v>
      </c>
    </row>
    <row r="141" spans="1:6" x14ac:dyDescent="0.25">
      <c r="A141" s="21">
        <v>63145727.18</v>
      </c>
      <c r="C141" s="24">
        <v>136000000</v>
      </c>
      <c r="D141" s="25">
        <v>14</v>
      </c>
      <c r="E141" s="25">
        <f t="shared" si="4"/>
        <v>1.4E-3</v>
      </c>
      <c r="F141" s="25">
        <f t="shared" si="5"/>
        <v>0.84489999999999943</v>
      </c>
    </row>
    <row r="142" spans="1:6" x14ac:dyDescent="0.25">
      <c r="A142" s="21">
        <v>28278640.789999999</v>
      </c>
      <c r="C142" s="24">
        <v>137000000</v>
      </c>
      <c r="D142" s="25">
        <v>20</v>
      </c>
      <c r="E142" s="25">
        <f t="shared" si="4"/>
        <v>2E-3</v>
      </c>
      <c r="F142" s="25">
        <f t="shared" si="5"/>
        <v>0.84689999999999943</v>
      </c>
    </row>
    <row r="143" spans="1:6" x14ac:dyDescent="0.25">
      <c r="A143" s="21">
        <v>18270669.949999999</v>
      </c>
      <c r="C143" s="24">
        <v>138000000</v>
      </c>
      <c r="D143" s="25">
        <v>15</v>
      </c>
      <c r="E143" s="25">
        <f t="shared" si="4"/>
        <v>1.5E-3</v>
      </c>
      <c r="F143" s="25">
        <f t="shared" si="5"/>
        <v>0.84839999999999938</v>
      </c>
    </row>
    <row r="144" spans="1:6" x14ac:dyDescent="0.25">
      <c r="A144" s="21">
        <v>75786266.120000005</v>
      </c>
      <c r="C144" s="24">
        <v>139000000</v>
      </c>
      <c r="D144" s="25">
        <v>23</v>
      </c>
      <c r="E144" s="25">
        <f t="shared" si="4"/>
        <v>2.3E-3</v>
      </c>
      <c r="F144" s="25">
        <f t="shared" si="5"/>
        <v>0.85069999999999935</v>
      </c>
    </row>
    <row r="145" spans="1:6" x14ac:dyDescent="0.25">
      <c r="A145" s="21">
        <v>87404043.769999996</v>
      </c>
      <c r="C145" s="24">
        <v>140000000</v>
      </c>
      <c r="D145" s="25">
        <v>22</v>
      </c>
      <c r="E145" s="25">
        <f t="shared" si="4"/>
        <v>2.2000000000000001E-3</v>
      </c>
      <c r="F145" s="25">
        <f t="shared" si="5"/>
        <v>0.85289999999999933</v>
      </c>
    </row>
    <row r="146" spans="1:6" x14ac:dyDescent="0.25">
      <c r="A146" s="21">
        <v>18685652.199999999</v>
      </c>
      <c r="C146" s="24">
        <v>141000000</v>
      </c>
      <c r="D146" s="25">
        <v>13</v>
      </c>
      <c r="E146" s="25">
        <f t="shared" si="4"/>
        <v>1.2999999999999999E-3</v>
      </c>
      <c r="F146" s="25">
        <f t="shared" si="5"/>
        <v>0.85419999999999929</v>
      </c>
    </row>
    <row r="147" spans="1:6" x14ac:dyDescent="0.25">
      <c r="A147" s="21">
        <v>22465997.719999999</v>
      </c>
      <c r="C147" s="24">
        <v>142000000</v>
      </c>
      <c r="D147" s="25">
        <v>18</v>
      </c>
      <c r="E147" s="25">
        <f t="shared" si="4"/>
        <v>1.8E-3</v>
      </c>
      <c r="F147" s="25">
        <f t="shared" si="5"/>
        <v>0.85599999999999932</v>
      </c>
    </row>
    <row r="148" spans="1:6" x14ac:dyDescent="0.25">
      <c r="A148" s="21">
        <v>14162586.789999999</v>
      </c>
      <c r="C148" s="24">
        <v>143000000</v>
      </c>
      <c r="D148" s="25">
        <v>18</v>
      </c>
      <c r="E148" s="25">
        <f t="shared" si="4"/>
        <v>1.8E-3</v>
      </c>
      <c r="F148" s="25">
        <f t="shared" si="5"/>
        <v>0.85779999999999934</v>
      </c>
    </row>
    <row r="149" spans="1:6" x14ac:dyDescent="0.25">
      <c r="A149" s="21">
        <v>50519940.450000003</v>
      </c>
      <c r="C149" s="24">
        <v>144000000</v>
      </c>
      <c r="D149" s="25">
        <v>14</v>
      </c>
      <c r="E149" s="25">
        <f t="shared" si="4"/>
        <v>1.4E-3</v>
      </c>
      <c r="F149" s="25">
        <f t="shared" si="5"/>
        <v>0.8591999999999993</v>
      </c>
    </row>
    <row r="150" spans="1:6" x14ac:dyDescent="0.25">
      <c r="A150" s="21">
        <v>117689947.14</v>
      </c>
      <c r="C150" s="24">
        <v>145000000</v>
      </c>
      <c r="D150" s="25">
        <v>15</v>
      </c>
      <c r="E150" s="25">
        <f t="shared" si="4"/>
        <v>1.5E-3</v>
      </c>
      <c r="F150" s="25">
        <f t="shared" si="5"/>
        <v>0.86069999999999924</v>
      </c>
    </row>
    <row r="151" spans="1:6" x14ac:dyDescent="0.25">
      <c r="A151" s="21">
        <v>68640162.650000006</v>
      </c>
      <c r="C151" s="24">
        <v>146000000</v>
      </c>
      <c r="D151" s="25">
        <v>12</v>
      </c>
      <c r="E151" s="25">
        <f t="shared" si="4"/>
        <v>1.1999999999999999E-3</v>
      </c>
      <c r="F151" s="25">
        <f t="shared" si="5"/>
        <v>0.86189999999999922</v>
      </c>
    </row>
    <row r="152" spans="1:6" x14ac:dyDescent="0.25">
      <c r="A152" s="21">
        <v>25878076.809999999</v>
      </c>
      <c r="C152" s="24">
        <v>147000000</v>
      </c>
      <c r="D152" s="25">
        <v>16</v>
      </c>
      <c r="E152" s="25">
        <f t="shared" si="4"/>
        <v>1.6000000000000001E-3</v>
      </c>
      <c r="F152" s="25">
        <f t="shared" si="5"/>
        <v>0.86349999999999927</v>
      </c>
    </row>
    <row r="153" spans="1:6" x14ac:dyDescent="0.25">
      <c r="A153" s="21">
        <v>55511730.849999897</v>
      </c>
      <c r="C153" s="24">
        <v>148000000</v>
      </c>
      <c r="D153" s="25">
        <v>15</v>
      </c>
      <c r="E153" s="25">
        <f t="shared" si="4"/>
        <v>1.5E-3</v>
      </c>
      <c r="F153" s="25">
        <f t="shared" si="5"/>
        <v>0.86499999999999921</v>
      </c>
    </row>
    <row r="154" spans="1:6" x14ac:dyDescent="0.25">
      <c r="A154" s="21">
        <v>77581308.920000002</v>
      </c>
      <c r="C154" s="24">
        <v>149000000</v>
      </c>
      <c r="D154" s="25">
        <v>15</v>
      </c>
      <c r="E154" s="25">
        <f t="shared" si="4"/>
        <v>1.5E-3</v>
      </c>
      <c r="F154" s="25">
        <f t="shared" si="5"/>
        <v>0.86649999999999916</v>
      </c>
    </row>
    <row r="155" spans="1:6" x14ac:dyDescent="0.25">
      <c r="A155" s="21">
        <v>17726428.969999999</v>
      </c>
      <c r="C155" s="24">
        <v>150000000</v>
      </c>
      <c r="D155" s="25">
        <v>14</v>
      </c>
      <c r="E155" s="25">
        <f t="shared" si="4"/>
        <v>1.4E-3</v>
      </c>
      <c r="F155" s="25">
        <f t="shared" si="5"/>
        <v>0.86789999999999912</v>
      </c>
    </row>
    <row r="156" spans="1:6" x14ac:dyDescent="0.25">
      <c r="A156" s="21">
        <v>39139741.560000002</v>
      </c>
      <c r="C156" s="24">
        <v>151000000</v>
      </c>
      <c r="D156" s="25">
        <v>10</v>
      </c>
      <c r="E156" s="25">
        <f t="shared" si="4"/>
        <v>1E-3</v>
      </c>
      <c r="F156" s="25">
        <f t="shared" si="5"/>
        <v>0.86889999999999912</v>
      </c>
    </row>
    <row r="157" spans="1:6" x14ac:dyDescent="0.25">
      <c r="A157" s="21">
        <v>14298639.51</v>
      </c>
      <c r="C157" s="24">
        <v>152000000</v>
      </c>
      <c r="D157" s="25">
        <v>10</v>
      </c>
      <c r="E157" s="25">
        <f t="shared" si="4"/>
        <v>1E-3</v>
      </c>
      <c r="F157" s="25">
        <f t="shared" si="5"/>
        <v>0.86989999999999912</v>
      </c>
    </row>
    <row r="158" spans="1:6" x14ac:dyDescent="0.25">
      <c r="A158" s="21">
        <v>63853547.539999999</v>
      </c>
      <c r="C158" s="24">
        <v>153000000</v>
      </c>
      <c r="D158" s="25">
        <v>11</v>
      </c>
      <c r="E158" s="25">
        <f t="shared" si="4"/>
        <v>1.1000000000000001E-3</v>
      </c>
      <c r="F158" s="25">
        <f t="shared" si="5"/>
        <v>0.87099999999999911</v>
      </c>
    </row>
    <row r="159" spans="1:6" x14ac:dyDescent="0.25">
      <c r="A159" s="21">
        <v>203460642.19999999</v>
      </c>
      <c r="C159" s="24">
        <v>154000000</v>
      </c>
      <c r="D159" s="25">
        <v>12</v>
      </c>
      <c r="E159" s="25">
        <f t="shared" si="4"/>
        <v>1.1999999999999999E-3</v>
      </c>
      <c r="F159" s="25">
        <f t="shared" si="5"/>
        <v>0.87219999999999909</v>
      </c>
    </row>
    <row r="160" spans="1:6" x14ac:dyDescent="0.25">
      <c r="A160" s="21">
        <v>99516425.409999996</v>
      </c>
      <c r="C160" s="24">
        <v>155000000</v>
      </c>
      <c r="D160" s="25">
        <v>7</v>
      </c>
      <c r="E160" s="25">
        <f t="shared" si="4"/>
        <v>6.9999999999999999E-4</v>
      </c>
      <c r="F160" s="25">
        <f t="shared" si="5"/>
        <v>0.87289999999999912</v>
      </c>
    </row>
    <row r="161" spans="1:6" x14ac:dyDescent="0.25">
      <c r="A161" s="21">
        <v>91578514.039999902</v>
      </c>
      <c r="C161" s="24">
        <v>156000000</v>
      </c>
      <c r="D161" s="25">
        <v>10</v>
      </c>
      <c r="E161" s="25">
        <f t="shared" si="4"/>
        <v>1E-3</v>
      </c>
      <c r="F161" s="25">
        <f t="shared" si="5"/>
        <v>0.87389999999999912</v>
      </c>
    </row>
    <row r="162" spans="1:6" x14ac:dyDescent="0.25">
      <c r="A162" s="21">
        <v>45560551.670000002</v>
      </c>
      <c r="C162" s="24">
        <v>157000000</v>
      </c>
      <c r="D162" s="25">
        <v>9</v>
      </c>
      <c r="E162" s="25">
        <f t="shared" si="4"/>
        <v>8.9999999999999998E-4</v>
      </c>
      <c r="F162" s="25">
        <f t="shared" si="5"/>
        <v>0.87479999999999913</v>
      </c>
    </row>
    <row r="163" spans="1:6" x14ac:dyDescent="0.25">
      <c r="A163" s="21">
        <v>11354969.630000001</v>
      </c>
      <c r="C163" s="24">
        <v>158000000</v>
      </c>
      <c r="D163" s="25">
        <v>11</v>
      </c>
      <c r="E163" s="25">
        <f t="shared" si="4"/>
        <v>1.1000000000000001E-3</v>
      </c>
      <c r="F163" s="25">
        <f t="shared" si="5"/>
        <v>0.87589999999999912</v>
      </c>
    </row>
    <row r="164" spans="1:6" x14ac:dyDescent="0.25">
      <c r="A164" s="21">
        <v>169801037.50999999</v>
      </c>
      <c r="C164" s="24">
        <v>159000000</v>
      </c>
      <c r="D164" s="25">
        <v>16</v>
      </c>
      <c r="E164" s="25">
        <f t="shared" si="4"/>
        <v>1.6000000000000001E-3</v>
      </c>
      <c r="F164" s="25">
        <f t="shared" si="5"/>
        <v>0.87749999999999917</v>
      </c>
    </row>
    <row r="165" spans="1:6" x14ac:dyDescent="0.25">
      <c r="A165" s="21">
        <v>32848952.960000001</v>
      </c>
      <c r="C165" s="24">
        <v>160000000</v>
      </c>
      <c r="D165" s="25">
        <v>12</v>
      </c>
      <c r="E165" s="25">
        <f t="shared" si="4"/>
        <v>1.1999999999999999E-3</v>
      </c>
      <c r="F165" s="25">
        <f t="shared" si="5"/>
        <v>0.87869999999999915</v>
      </c>
    </row>
    <row r="166" spans="1:6" x14ac:dyDescent="0.25">
      <c r="A166" s="21">
        <v>64981213.359999999</v>
      </c>
      <c r="C166" s="24">
        <v>161000000</v>
      </c>
      <c r="D166" s="25">
        <v>13</v>
      </c>
      <c r="E166" s="25">
        <f t="shared" si="4"/>
        <v>1.2999999999999999E-3</v>
      </c>
      <c r="F166" s="25">
        <f t="shared" si="5"/>
        <v>0.87999999999999912</v>
      </c>
    </row>
    <row r="167" spans="1:6" x14ac:dyDescent="0.25">
      <c r="A167" s="21">
        <v>61068862.880000003</v>
      </c>
      <c r="C167" s="24">
        <v>162000000</v>
      </c>
      <c r="D167" s="25">
        <v>16</v>
      </c>
      <c r="E167" s="25">
        <f t="shared" si="4"/>
        <v>1.6000000000000001E-3</v>
      </c>
      <c r="F167" s="25">
        <f t="shared" si="5"/>
        <v>0.88159999999999916</v>
      </c>
    </row>
    <row r="168" spans="1:6" x14ac:dyDescent="0.25">
      <c r="A168" s="21">
        <v>138843903.81</v>
      </c>
      <c r="C168" s="24">
        <v>163000000</v>
      </c>
      <c r="D168" s="25">
        <v>15</v>
      </c>
      <c r="E168" s="25">
        <f t="shared" si="4"/>
        <v>1.5E-3</v>
      </c>
      <c r="F168" s="25">
        <f t="shared" si="5"/>
        <v>0.88309999999999911</v>
      </c>
    </row>
    <row r="169" spans="1:6" x14ac:dyDescent="0.25">
      <c r="A169" s="21">
        <v>33555244.109999999</v>
      </c>
      <c r="C169" s="24">
        <v>164000000</v>
      </c>
      <c r="D169" s="25">
        <v>8</v>
      </c>
      <c r="E169" s="25">
        <f t="shared" si="4"/>
        <v>8.0000000000000004E-4</v>
      </c>
      <c r="F169" s="25">
        <f t="shared" si="5"/>
        <v>0.88389999999999913</v>
      </c>
    </row>
    <row r="170" spans="1:6" x14ac:dyDescent="0.25">
      <c r="A170" s="21">
        <v>3834367.79</v>
      </c>
      <c r="C170" s="24">
        <v>165000000</v>
      </c>
      <c r="D170" s="25">
        <v>8</v>
      </c>
      <c r="E170" s="25">
        <f t="shared" si="4"/>
        <v>8.0000000000000004E-4</v>
      </c>
      <c r="F170" s="25">
        <f t="shared" si="5"/>
        <v>0.88469999999999915</v>
      </c>
    </row>
    <row r="171" spans="1:6" x14ac:dyDescent="0.25">
      <c r="A171" s="21">
        <v>18400598.199999999</v>
      </c>
      <c r="C171" s="24">
        <v>166000000</v>
      </c>
      <c r="D171" s="25">
        <v>17</v>
      </c>
      <c r="E171" s="25">
        <f t="shared" si="4"/>
        <v>1.6999999999999999E-3</v>
      </c>
      <c r="F171" s="25">
        <f t="shared" si="5"/>
        <v>0.88639999999999919</v>
      </c>
    </row>
    <row r="172" spans="1:6" x14ac:dyDescent="0.25">
      <c r="A172" s="21">
        <v>2970571.63</v>
      </c>
      <c r="C172" s="24">
        <v>167000000</v>
      </c>
      <c r="D172" s="25">
        <v>12</v>
      </c>
      <c r="E172" s="25">
        <f t="shared" si="4"/>
        <v>1.1999999999999999E-3</v>
      </c>
      <c r="F172" s="25">
        <f t="shared" si="5"/>
        <v>0.88759999999999917</v>
      </c>
    </row>
    <row r="173" spans="1:6" x14ac:dyDescent="0.25">
      <c r="A173" s="21">
        <v>31210640.620000001</v>
      </c>
      <c r="C173" s="24">
        <v>168000000</v>
      </c>
      <c r="D173" s="25">
        <v>11</v>
      </c>
      <c r="E173" s="25">
        <f t="shared" si="4"/>
        <v>1.1000000000000001E-3</v>
      </c>
      <c r="F173" s="25">
        <f t="shared" si="5"/>
        <v>0.88869999999999916</v>
      </c>
    </row>
    <row r="174" spans="1:6" x14ac:dyDescent="0.25">
      <c r="A174" s="21">
        <v>32483990.800000001</v>
      </c>
      <c r="C174" s="24">
        <v>169000000</v>
      </c>
      <c r="D174" s="25">
        <v>7</v>
      </c>
      <c r="E174" s="25">
        <f t="shared" si="4"/>
        <v>6.9999999999999999E-4</v>
      </c>
      <c r="F174" s="25">
        <f t="shared" si="5"/>
        <v>0.88939999999999919</v>
      </c>
    </row>
    <row r="175" spans="1:6" x14ac:dyDescent="0.25">
      <c r="A175" s="21">
        <v>155652481.84</v>
      </c>
      <c r="C175" s="24">
        <v>170000000</v>
      </c>
      <c r="D175" s="25">
        <v>10</v>
      </c>
      <c r="E175" s="25">
        <f t="shared" si="4"/>
        <v>1E-3</v>
      </c>
      <c r="F175" s="25">
        <f t="shared" si="5"/>
        <v>0.89039999999999919</v>
      </c>
    </row>
    <row r="176" spans="1:6" x14ac:dyDescent="0.25">
      <c r="A176" s="21">
        <v>14685582.75</v>
      </c>
      <c r="C176" s="24">
        <v>171000000</v>
      </c>
      <c r="D176" s="25">
        <v>13</v>
      </c>
      <c r="E176" s="25">
        <f t="shared" si="4"/>
        <v>1.2999999999999999E-3</v>
      </c>
      <c r="F176" s="25">
        <f t="shared" si="5"/>
        <v>0.89169999999999916</v>
      </c>
    </row>
    <row r="177" spans="1:6" x14ac:dyDescent="0.25">
      <c r="A177" s="21">
        <v>469612946.07999998</v>
      </c>
      <c r="C177" s="24">
        <v>172000000</v>
      </c>
      <c r="D177" s="25">
        <v>10</v>
      </c>
      <c r="E177" s="25">
        <f t="shared" si="4"/>
        <v>1E-3</v>
      </c>
      <c r="F177" s="25">
        <f t="shared" si="5"/>
        <v>0.89269999999999916</v>
      </c>
    </row>
    <row r="178" spans="1:6" x14ac:dyDescent="0.25">
      <c r="A178" s="21">
        <v>10199133.960000001</v>
      </c>
      <c r="C178" s="24">
        <v>173000000</v>
      </c>
      <c r="D178" s="25">
        <v>10</v>
      </c>
      <c r="E178" s="25">
        <f t="shared" si="4"/>
        <v>1E-3</v>
      </c>
      <c r="F178" s="25">
        <f t="shared" si="5"/>
        <v>0.89369999999999916</v>
      </c>
    </row>
    <row r="179" spans="1:6" x14ac:dyDescent="0.25">
      <c r="A179" s="21">
        <v>16490611.48</v>
      </c>
      <c r="C179" s="24">
        <v>174000000</v>
      </c>
      <c r="D179" s="25">
        <v>11</v>
      </c>
      <c r="E179" s="25">
        <f t="shared" si="4"/>
        <v>1.1000000000000001E-3</v>
      </c>
      <c r="F179" s="25">
        <f t="shared" si="5"/>
        <v>0.89479999999999915</v>
      </c>
    </row>
    <row r="180" spans="1:6" x14ac:dyDescent="0.25">
      <c r="A180" s="21">
        <v>140176666.33000001</v>
      </c>
      <c r="C180" s="24">
        <v>175000000</v>
      </c>
      <c r="D180" s="25">
        <v>11</v>
      </c>
      <c r="E180" s="25">
        <f t="shared" si="4"/>
        <v>1.1000000000000001E-3</v>
      </c>
      <c r="F180" s="25">
        <f t="shared" si="5"/>
        <v>0.89589999999999914</v>
      </c>
    </row>
    <row r="181" spans="1:6" x14ac:dyDescent="0.25">
      <c r="A181" s="21">
        <v>112693018.08</v>
      </c>
      <c r="C181" s="24">
        <v>176000000</v>
      </c>
      <c r="D181" s="25">
        <v>11</v>
      </c>
      <c r="E181" s="25">
        <f t="shared" si="4"/>
        <v>1.1000000000000001E-3</v>
      </c>
      <c r="F181" s="25">
        <f t="shared" si="5"/>
        <v>0.89699999999999913</v>
      </c>
    </row>
    <row r="182" spans="1:6" x14ac:dyDescent="0.25">
      <c r="A182">
        <v>0</v>
      </c>
      <c r="C182" s="24">
        <v>177000000</v>
      </c>
      <c r="D182" s="25">
        <v>11</v>
      </c>
      <c r="E182" s="25">
        <f t="shared" si="4"/>
        <v>1.1000000000000001E-3</v>
      </c>
      <c r="F182" s="25">
        <f t="shared" si="5"/>
        <v>0.89809999999999912</v>
      </c>
    </row>
    <row r="183" spans="1:6" x14ac:dyDescent="0.25">
      <c r="A183" s="21">
        <v>452511059.94999999</v>
      </c>
      <c r="C183" s="24">
        <v>178000000</v>
      </c>
      <c r="D183" s="25">
        <v>12</v>
      </c>
      <c r="E183" s="25">
        <f t="shared" si="4"/>
        <v>1.1999999999999999E-3</v>
      </c>
      <c r="F183" s="25">
        <f t="shared" si="5"/>
        <v>0.8992999999999991</v>
      </c>
    </row>
    <row r="184" spans="1:6" x14ac:dyDescent="0.25">
      <c r="A184" s="21">
        <v>165055818.15000001</v>
      </c>
      <c r="C184" s="24">
        <v>179000000</v>
      </c>
      <c r="D184" s="25">
        <v>9</v>
      </c>
      <c r="E184" s="25">
        <f t="shared" si="4"/>
        <v>8.9999999999999998E-4</v>
      </c>
      <c r="F184" s="25">
        <f t="shared" si="5"/>
        <v>0.90019999999999911</v>
      </c>
    </row>
    <row r="185" spans="1:6" x14ac:dyDescent="0.25">
      <c r="A185" s="21">
        <v>15445450.369999999</v>
      </c>
      <c r="C185" s="24">
        <v>180000000</v>
      </c>
      <c r="D185" s="25">
        <v>4</v>
      </c>
      <c r="E185" s="25">
        <f t="shared" si="4"/>
        <v>4.0000000000000002E-4</v>
      </c>
      <c r="F185" s="25">
        <f t="shared" si="5"/>
        <v>0.90059999999999907</v>
      </c>
    </row>
    <row r="186" spans="1:6" x14ac:dyDescent="0.25">
      <c r="A186" s="21">
        <v>24133659.940000001</v>
      </c>
      <c r="C186" s="24">
        <v>181000000</v>
      </c>
      <c r="D186" s="25">
        <v>10</v>
      </c>
      <c r="E186" s="25">
        <f t="shared" si="4"/>
        <v>1E-3</v>
      </c>
      <c r="F186" s="25">
        <f t="shared" si="5"/>
        <v>0.90159999999999907</v>
      </c>
    </row>
    <row r="187" spans="1:6" x14ac:dyDescent="0.25">
      <c r="A187" s="21">
        <v>45591434.740000002</v>
      </c>
      <c r="C187" s="24">
        <v>182000000</v>
      </c>
      <c r="D187" s="25">
        <v>6</v>
      </c>
      <c r="E187" s="25">
        <f t="shared" si="4"/>
        <v>5.9999999999999995E-4</v>
      </c>
      <c r="F187" s="25">
        <f t="shared" si="5"/>
        <v>0.90219999999999911</v>
      </c>
    </row>
    <row r="188" spans="1:6" x14ac:dyDescent="0.25">
      <c r="A188" s="21">
        <v>18055819.5</v>
      </c>
      <c r="C188" s="24">
        <v>183000000</v>
      </c>
      <c r="D188" s="25">
        <v>11</v>
      </c>
      <c r="E188" s="25">
        <f t="shared" si="4"/>
        <v>1.1000000000000001E-3</v>
      </c>
      <c r="F188" s="25">
        <f t="shared" si="5"/>
        <v>0.9032999999999991</v>
      </c>
    </row>
    <row r="189" spans="1:6" x14ac:dyDescent="0.25">
      <c r="A189" s="21">
        <v>26672162.59</v>
      </c>
      <c r="C189" s="24">
        <v>184000000</v>
      </c>
      <c r="D189" s="25">
        <v>10</v>
      </c>
      <c r="E189" s="25">
        <f t="shared" si="4"/>
        <v>1E-3</v>
      </c>
      <c r="F189" s="25">
        <f t="shared" si="5"/>
        <v>0.9042999999999991</v>
      </c>
    </row>
    <row r="190" spans="1:6" x14ac:dyDescent="0.25">
      <c r="A190" s="21">
        <v>42092114.75</v>
      </c>
      <c r="C190" s="24">
        <v>185000000</v>
      </c>
      <c r="D190" s="25">
        <v>14</v>
      </c>
      <c r="E190" s="25">
        <f t="shared" si="4"/>
        <v>1.4E-3</v>
      </c>
      <c r="F190" s="25">
        <f t="shared" si="5"/>
        <v>0.90569999999999906</v>
      </c>
    </row>
    <row r="191" spans="1:6" x14ac:dyDescent="0.25">
      <c r="A191" s="21">
        <v>48616200.310000002</v>
      </c>
      <c r="C191" s="24">
        <v>186000000</v>
      </c>
      <c r="D191" s="25">
        <v>15</v>
      </c>
      <c r="E191" s="25">
        <f t="shared" si="4"/>
        <v>1.5E-3</v>
      </c>
      <c r="F191" s="25">
        <f t="shared" si="5"/>
        <v>0.90719999999999901</v>
      </c>
    </row>
    <row r="192" spans="1:6" x14ac:dyDescent="0.25">
      <c r="A192" s="21">
        <v>44976361.020000003</v>
      </c>
      <c r="C192" s="24">
        <v>187000000</v>
      </c>
      <c r="D192" s="25">
        <v>7</v>
      </c>
      <c r="E192" s="25">
        <f t="shared" si="4"/>
        <v>6.9999999999999999E-4</v>
      </c>
      <c r="F192" s="25">
        <f t="shared" si="5"/>
        <v>0.90789999999999904</v>
      </c>
    </row>
    <row r="193" spans="1:6" x14ac:dyDescent="0.25">
      <c r="A193" s="21">
        <v>50358475.239999898</v>
      </c>
      <c r="C193" s="24">
        <v>188000000</v>
      </c>
      <c r="D193" s="25">
        <v>8</v>
      </c>
      <c r="E193" s="25">
        <f t="shared" si="4"/>
        <v>8.0000000000000004E-4</v>
      </c>
      <c r="F193" s="25">
        <f t="shared" si="5"/>
        <v>0.90869999999999906</v>
      </c>
    </row>
    <row r="194" spans="1:6" x14ac:dyDescent="0.25">
      <c r="A194" s="21">
        <v>42975367.270000003</v>
      </c>
      <c r="C194" s="24">
        <v>189000000</v>
      </c>
      <c r="D194" s="25">
        <v>12</v>
      </c>
      <c r="E194" s="25">
        <f t="shared" si="4"/>
        <v>1.1999999999999999E-3</v>
      </c>
      <c r="F194" s="25">
        <f t="shared" si="5"/>
        <v>0.90989999999999904</v>
      </c>
    </row>
    <row r="195" spans="1:6" x14ac:dyDescent="0.25">
      <c r="A195" s="21">
        <v>13107716.279999999</v>
      </c>
      <c r="C195" s="24">
        <v>190000000</v>
      </c>
      <c r="D195" s="25">
        <v>4</v>
      </c>
      <c r="E195" s="25">
        <f t="shared" si="4"/>
        <v>4.0000000000000002E-4</v>
      </c>
      <c r="F195" s="25">
        <f t="shared" si="5"/>
        <v>0.910299999999999</v>
      </c>
    </row>
    <row r="196" spans="1:6" x14ac:dyDescent="0.25">
      <c r="A196" s="21">
        <v>21398130.030000001</v>
      </c>
      <c r="C196" s="24">
        <v>191000000</v>
      </c>
      <c r="D196" s="25">
        <v>6</v>
      </c>
      <c r="E196" s="25">
        <f t="shared" si="4"/>
        <v>5.9999999999999995E-4</v>
      </c>
      <c r="F196" s="25">
        <f t="shared" si="5"/>
        <v>0.91089999999999904</v>
      </c>
    </row>
    <row r="197" spans="1:6" x14ac:dyDescent="0.25">
      <c r="A197" s="21">
        <v>106499005.19</v>
      </c>
      <c r="C197" s="24">
        <v>192000000</v>
      </c>
      <c r="D197" s="25">
        <v>15</v>
      </c>
      <c r="E197" s="25">
        <f t="shared" si="4"/>
        <v>1.5E-3</v>
      </c>
      <c r="F197" s="25">
        <f t="shared" si="5"/>
        <v>0.91239999999999899</v>
      </c>
    </row>
    <row r="198" spans="1:6" x14ac:dyDescent="0.25">
      <c r="A198" s="21">
        <v>139347959.03</v>
      </c>
      <c r="C198" s="24">
        <v>193000000</v>
      </c>
      <c r="D198" s="25">
        <v>6</v>
      </c>
      <c r="E198" s="25">
        <f t="shared" ref="E198:E261" si="6">D198/10000</f>
        <v>5.9999999999999995E-4</v>
      </c>
      <c r="F198" s="25">
        <f t="shared" si="5"/>
        <v>0.91299999999999903</v>
      </c>
    </row>
    <row r="199" spans="1:6" x14ac:dyDescent="0.25">
      <c r="A199" s="21">
        <v>6998748.75</v>
      </c>
      <c r="C199" s="24">
        <v>194000000</v>
      </c>
      <c r="D199" s="25">
        <v>11</v>
      </c>
      <c r="E199" s="25">
        <f t="shared" si="6"/>
        <v>1.1000000000000001E-3</v>
      </c>
      <c r="F199" s="25">
        <f t="shared" ref="F199:F262" si="7">E199+F198</f>
        <v>0.91409999999999902</v>
      </c>
    </row>
    <row r="200" spans="1:6" x14ac:dyDescent="0.25">
      <c r="A200" s="21">
        <v>54601055.259999901</v>
      </c>
      <c r="C200" s="24">
        <v>195000000</v>
      </c>
      <c r="D200" s="25">
        <v>11</v>
      </c>
      <c r="E200" s="25">
        <f t="shared" si="6"/>
        <v>1.1000000000000001E-3</v>
      </c>
      <c r="F200" s="25">
        <f t="shared" si="7"/>
        <v>0.91519999999999901</v>
      </c>
    </row>
    <row r="201" spans="1:6" x14ac:dyDescent="0.25">
      <c r="A201" s="21">
        <v>59502796.399999999</v>
      </c>
      <c r="C201" s="24">
        <v>196000000</v>
      </c>
      <c r="D201" s="25">
        <v>6</v>
      </c>
      <c r="E201" s="25">
        <f t="shared" si="6"/>
        <v>5.9999999999999995E-4</v>
      </c>
      <c r="F201" s="25">
        <f t="shared" si="7"/>
        <v>0.91579999999999906</v>
      </c>
    </row>
    <row r="202" spans="1:6" x14ac:dyDescent="0.25">
      <c r="A202" s="21">
        <v>332351321.52999997</v>
      </c>
      <c r="C202" s="24">
        <v>197000000</v>
      </c>
      <c r="D202" s="25">
        <v>13</v>
      </c>
      <c r="E202" s="25">
        <f t="shared" si="6"/>
        <v>1.2999999999999999E-3</v>
      </c>
      <c r="F202" s="25">
        <f t="shared" si="7"/>
        <v>0.91709999999999903</v>
      </c>
    </row>
    <row r="203" spans="1:6" x14ac:dyDescent="0.25">
      <c r="A203" s="21">
        <v>10308833.550000001</v>
      </c>
      <c r="C203" s="24">
        <v>198000000</v>
      </c>
      <c r="D203" s="25">
        <v>6</v>
      </c>
      <c r="E203" s="25">
        <f t="shared" si="6"/>
        <v>5.9999999999999995E-4</v>
      </c>
      <c r="F203" s="25">
        <f t="shared" si="7"/>
        <v>0.91769999999999907</v>
      </c>
    </row>
    <row r="204" spans="1:6" x14ac:dyDescent="0.25">
      <c r="A204">
        <v>0</v>
      </c>
      <c r="C204" s="24">
        <v>199000000</v>
      </c>
      <c r="D204" s="25">
        <v>7</v>
      </c>
      <c r="E204" s="25">
        <f t="shared" si="6"/>
        <v>6.9999999999999999E-4</v>
      </c>
      <c r="F204" s="25">
        <f t="shared" si="7"/>
        <v>0.91839999999999911</v>
      </c>
    </row>
    <row r="205" spans="1:6" x14ac:dyDescent="0.25">
      <c r="A205" s="21">
        <v>65753637.399999999</v>
      </c>
      <c r="C205" s="24">
        <v>200000000</v>
      </c>
      <c r="D205" s="25">
        <v>8</v>
      </c>
      <c r="E205" s="25">
        <f t="shared" si="6"/>
        <v>8.0000000000000004E-4</v>
      </c>
      <c r="F205" s="25">
        <f t="shared" si="7"/>
        <v>0.91919999999999913</v>
      </c>
    </row>
    <row r="206" spans="1:6" x14ac:dyDescent="0.25">
      <c r="A206" s="21">
        <v>92926776.239999995</v>
      </c>
      <c r="C206" s="24">
        <v>201000000</v>
      </c>
      <c r="D206" s="25">
        <v>13</v>
      </c>
      <c r="E206" s="25">
        <f t="shared" si="6"/>
        <v>1.2999999999999999E-3</v>
      </c>
      <c r="F206" s="25">
        <f t="shared" si="7"/>
        <v>0.9204999999999991</v>
      </c>
    </row>
    <row r="207" spans="1:6" x14ac:dyDescent="0.25">
      <c r="A207" s="21">
        <v>44741200.630000003</v>
      </c>
      <c r="C207" s="24">
        <v>202000000</v>
      </c>
      <c r="D207" s="25">
        <v>7</v>
      </c>
      <c r="E207" s="25">
        <f t="shared" si="6"/>
        <v>6.9999999999999999E-4</v>
      </c>
      <c r="F207" s="25">
        <f t="shared" si="7"/>
        <v>0.92119999999999913</v>
      </c>
    </row>
    <row r="208" spans="1:6" x14ac:dyDescent="0.25">
      <c r="A208" s="21">
        <v>140953316.25</v>
      </c>
      <c r="C208" s="24">
        <v>203000000</v>
      </c>
      <c r="D208" s="25">
        <v>7</v>
      </c>
      <c r="E208" s="25">
        <f t="shared" si="6"/>
        <v>6.9999999999999999E-4</v>
      </c>
      <c r="F208" s="25">
        <f t="shared" si="7"/>
        <v>0.92189999999999916</v>
      </c>
    </row>
    <row r="209" spans="1:6" x14ac:dyDescent="0.25">
      <c r="A209" s="21">
        <v>57543083.5</v>
      </c>
      <c r="C209" s="24">
        <v>204000000</v>
      </c>
      <c r="D209" s="25">
        <v>11</v>
      </c>
      <c r="E209" s="25">
        <f t="shared" si="6"/>
        <v>1.1000000000000001E-3</v>
      </c>
      <c r="F209" s="25">
        <f t="shared" si="7"/>
        <v>0.92299999999999915</v>
      </c>
    </row>
    <row r="210" spans="1:6" x14ac:dyDescent="0.25">
      <c r="A210">
        <v>0</v>
      </c>
      <c r="C210" s="24">
        <v>205000000</v>
      </c>
      <c r="D210" s="25">
        <v>12</v>
      </c>
      <c r="E210" s="25">
        <f t="shared" si="6"/>
        <v>1.1999999999999999E-3</v>
      </c>
      <c r="F210" s="25">
        <f t="shared" si="7"/>
        <v>0.92419999999999913</v>
      </c>
    </row>
    <row r="211" spans="1:6" x14ac:dyDescent="0.25">
      <c r="A211" s="21">
        <v>3723177.94</v>
      </c>
      <c r="C211" s="24">
        <v>206000000</v>
      </c>
      <c r="D211" s="25">
        <v>7</v>
      </c>
      <c r="E211" s="25">
        <f t="shared" si="6"/>
        <v>6.9999999999999999E-4</v>
      </c>
      <c r="F211" s="25">
        <f t="shared" si="7"/>
        <v>0.92489999999999917</v>
      </c>
    </row>
    <row r="212" spans="1:6" x14ac:dyDescent="0.25">
      <c r="A212" s="21">
        <v>38555738.590000004</v>
      </c>
      <c r="C212" s="24">
        <v>207000000</v>
      </c>
      <c r="D212" s="25">
        <v>6</v>
      </c>
      <c r="E212" s="25">
        <f t="shared" si="6"/>
        <v>5.9999999999999995E-4</v>
      </c>
      <c r="F212" s="25">
        <f t="shared" si="7"/>
        <v>0.92549999999999921</v>
      </c>
    </row>
    <row r="213" spans="1:6" x14ac:dyDescent="0.25">
      <c r="A213" s="21">
        <v>23729257.059999999</v>
      </c>
      <c r="C213" s="24">
        <v>208000000</v>
      </c>
      <c r="D213" s="25">
        <v>7</v>
      </c>
      <c r="E213" s="25">
        <f t="shared" si="6"/>
        <v>6.9999999999999999E-4</v>
      </c>
      <c r="F213" s="25">
        <f t="shared" si="7"/>
        <v>0.92619999999999925</v>
      </c>
    </row>
    <row r="214" spans="1:6" x14ac:dyDescent="0.25">
      <c r="A214" s="21">
        <v>78890623.109999999</v>
      </c>
      <c r="C214" s="24">
        <v>209000000</v>
      </c>
      <c r="D214" s="25">
        <v>5</v>
      </c>
      <c r="E214" s="25">
        <f t="shared" si="6"/>
        <v>5.0000000000000001E-4</v>
      </c>
      <c r="F214" s="25">
        <f t="shared" si="7"/>
        <v>0.92669999999999919</v>
      </c>
    </row>
    <row r="215" spans="1:6" x14ac:dyDescent="0.25">
      <c r="A215" s="21">
        <v>123421813.67</v>
      </c>
      <c r="C215" s="24">
        <v>210000000</v>
      </c>
      <c r="D215" s="25">
        <v>4</v>
      </c>
      <c r="E215" s="25">
        <f t="shared" si="6"/>
        <v>4.0000000000000002E-4</v>
      </c>
      <c r="F215" s="25">
        <f t="shared" si="7"/>
        <v>0.92709999999999915</v>
      </c>
    </row>
    <row r="216" spans="1:6" x14ac:dyDescent="0.25">
      <c r="A216" s="21">
        <v>76492281.829999998</v>
      </c>
      <c r="C216" s="24">
        <v>211000000</v>
      </c>
      <c r="D216" s="25">
        <v>5</v>
      </c>
      <c r="E216" s="25">
        <f t="shared" si="6"/>
        <v>5.0000000000000001E-4</v>
      </c>
      <c r="F216" s="25">
        <f t="shared" si="7"/>
        <v>0.92759999999999909</v>
      </c>
    </row>
    <row r="217" spans="1:6" x14ac:dyDescent="0.25">
      <c r="A217" s="21">
        <v>57748225.989999898</v>
      </c>
      <c r="C217" s="24">
        <v>212000000</v>
      </c>
      <c r="D217" s="25">
        <v>4</v>
      </c>
      <c r="E217" s="25">
        <f t="shared" si="6"/>
        <v>4.0000000000000002E-4</v>
      </c>
      <c r="F217" s="25">
        <f t="shared" si="7"/>
        <v>0.92799999999999905</v>
      </c>
    </row>
    <row r="218" spans="1:6" x14ac:dyDescent="0.25">
      <c r="A218" s="21">
        <v>56418894.520000003</v>
      </c>
      <c r="C218" s="24">
        <v>213000000</v>
      </c>
      <c r="D218" s="25">
        <v>8</v>
      </c>
      <c r="E218" s="25">
        <f t="shared" si="6"/>
        <v>8.0000000000000004E-4</v>
      </c>
      <c r="F218" s="25">
        <f t="shared" si="7"/>
        <v>0.92879999999999907</v>
      </c>
    </row>
    <row r="219" spans="1:6" x14ac:dyDescent="0.25">
      <c r="A219" s="21">
        <v>31045632.609999999</v>
      </c>
      <c r="C219" s="24">
        <v>214000000</v>
      </c>
      <c r="D219" s="25">
        <v>5</v>
      </c>
      <c r="E219" s="25">
        <f t="shared" si="6"/>
        <v>5.0000000000000001E-4</v>
      </c>
      <c r="F219" s="25">
        <f t="shared" si="7"/>
        <v>0.92929999999999902</v>
      </c>
    </row>
    <row r="220" spans="1:6" x14ac:dyDescent="0.25">
      <c r="A220" s="21">
        <v>38694719.109999999</v>
      </c>
      <c r="C220" s="24">
        <v>215000000</v>
      </c>
      <c r="D220" s="25">
        <v>6</v>
      </c>
      <c r="E220" s="25">
        <f t="shared" si="6"/>
        <v>5.9999999999999995E-4</v>
      </c>
      <c r="F220" s="25">
        <f t="shared" si="7"/>
        <v>0.92989999999999906</v>
      </c>
    </row>
    <row r="221" spans="1:6" x14ac:dyDescent="0.25">
      <c r="A221" s="21">
        <v>34742340.979999997</v>
      </c>
      <c r="C221" s="24">
        <v>216000000</v>
      </c>
      <c r="D221" s="25">
        <v>6</v>
      </c>
      <c r="E221" s="25">
        <f t="shared" si="6"/>
        <v>5.9999999999999995E-4</v>
      </c>
      <c r="F221" s="25">
        <f t="shared" si="7"/>
        <v>0.93049999999999911</v>
      </c>
    </row>
    <row r="222" spans="1:6" x14ac:dyDescent="0.25">
      <c r="A222" s="21">
        <v>26699464.809999999</v>
      </c>
      <c r="C222" s="24">
        <v>217000000</v>
      </c>
      <c r="D222" s="25">
        <v>6</v>
      </c>
      <c r="E222" s="25">
        <f t="shared" si="6"/>
        <v>5.9999999999999995E-4</v>
      </c>
      <c r="F222" s="25">
        <f t="shared" si="7"/>
        <v>0.93109999999999915</v>
      </c>
    </row>
    <row r="223" spans="1:6" x14ac:dyDescent="0.25">
      <c r="A223" s="21">
        <v>20395647.170000002</v>
      </c>
      <c r="C223" s="24">
        <v>218000000</v>
      </c>
      <c r="D223" s="25">
        <v>3</v>
      </c>
      <c r="E223" s="25">
        <f t="shared" si="6"/>
        <v>2.9999999999999997E-4</v>
      </c>
      <c r="F223" s="25">
        <f t="shared" si="7"/>
        <v>0.93139999999999912</v>
      </c>
    </row>
    <row r="224" spans="1:6" x14ac:dyDescent="0.25">
      <c r="A224" s="21">
        <v>59499618.329999998</v>
      </c>
      <c r="C224" s="24">
        <v>219000000</v>
      </c>
      <c r="D224" s="25">
        <v>6</v>
      </c>
      <c r="E224" s="25">
        <f t="shared" si="6"/>
        <v>5.9999999999999995E-4</v>
      </c>
      <c r="F224" s="25">
        <f t="shared" si="7"/>
        <v>0.93199999999999916</v>
      </c>
    </row>
    <row r="225" spans="1:6" x14ac:dyDescent="0.25">
      <c r="A225" s="21">
        <v>26553144.260000002</v>
      </c>
      <c r="C225" s="24">
        <v>220000000</v>
      </c>
      <c r="D225" s="25">
        <v>9</v>
      </c>
      <c r="E225" s="25">
        <f t="shared" si="6"/>
        <v>8.9999999999999998E-4</v>
      </c>
      <c r="F225" s="25">
        <f t="shared" si="7"/>
        <v>0.93289999999999917</v>
      </c>
    </row>
    <row r="226" spans="1:6" x14ac:dyDescent="0.25">
      <c r="A226" s="21">
        <v>14147253.83</v>
      </c>
      <c r="C226" s="24">
        <v>221000000</v>
      </c>
      <c r="D226" s="25">
        <v>6</v>
      </c>
      <c r="E226" s="25">
        <f t="shared" si="6"/>
        <v>5.9999999999999995E-4</v>
      </c>
      <c r="F226" s="25">
        <f t="shared" si="7"/>
        <v>0.93349999999999922</v>
      </c>
    </row>
    <row r="227" spans="1:6" x14ac:dyDescent="0.25">
      <c r="A227" s="21">
        <v>64985935.75</v>
      </c>
      <c r="C227" s="24">
        <v>222000000</v>
      </c>
      <c r="D227" s="25">
        <v>5</v>
      </c>
      <c r="E227" s="25">
        <f t="shared" si="6"/>
        <v>5.0000000000000001E-4</v>
      </c>
      <c r="F227" s="25">
        <f t="shared" si="7"/>
        <v>0.93399999999999916</v>
      </c>
    </row>
    <row r="228" spans="1:6" x14ac:dyDescent="0.25">
      <c r="A228">
        <v>5732766</v>
      </c>
      <c r="C228" s="24">
        <v>223000000</v>
      </c>
      <c r="D228" s="25">
        <v>4</v>
      </c>
      <c r="E228" s="25">
        <f t="shared" si="6"/>
        <v>4.0000000000000002E-4</v>
      </c>
      <c r="F228" s="25">
        <f t="shared" si="7"/>
        <v>0.93439999999999912</v>
      </c>
    </row>
    <row r="229" spans="1:6" x14ac:dyDescent="0.25">
      <c r="A229" s="21">
        <v>109060572.01000001</v>
      </c>
      <c r="C229" s="24">
        <v>224000000</v>
      </c>
      <c r="D229" s="25">
        <v>7</v>
      </c>
      <c r="E229" s="25">
        <f t="shared" si="6"/>
        <v>6.9999999999999999E-4</v>
      </c>
      <c r="F229" s="25">
        <f t="shared" si="7"/>
        <v>0.93509999999999915</v>
      </c>
    </row>
    <row r="230" spans="1:6" x14ac:dyDescent="0.25">
      <c r="A230" s="21">
        <v>13761352.609999999</v>
      </c>
      <c r="C230" s="26">
        <v>225000000</v>
      </c>
      <c r="D230" s="27">
        <v>8</v>
      </c>
      <c r="E230" s="27">
        <f t="shared" si="6"/>
        <v>8.0000000000000004E-4</v>
      </c>
      <c r="F230" s="27">
        <f t="shared" si="7"/>
        <v>0.93589999999999918</v>
      </c>
    </row>
    <row r="231" spans="1:6" x14ac:dyDescent="0.25">
      <c r="A231" s="21">
        <v>4284278.1500000004</v>
      </c>
      <c r="C231" s="26">
        <v>226000000</v>
      </c>
      <c r="D231" s="27">
        <v>12</v>
      </c>
      <c r="E231" s="27">
        <f t="shared" si="6"/>
        <v>1.1999999999999999E-3</v>
      </c>
      <c r="F231" s="27">
        <f t="shared" si="7"/>
        <v>0.93709999999999916</v>
      </c>
    </row>
    <row r="232" spans="1:6" x14ac:dyDescent="0.25">
      <c r="A232" s="21">
        <v>21559305.559999999</v>
      </c>
      <c r="C232" s="26">
        <v>227000000</v>
      </c>
      <c r="D232" s="27">
        <v>6</v>
      </c>
      <c r="E232" s="27">
        <f t="shared" si="6"/>
        <v>5.9999999999999995E-4</v>
      </c>
      <c r="F232" s="27">
        <f t="shared" si="7"/>
        <v>0.9376999999999992</v>
      </c>
    </row>
    <row r="233" spans="1:6" x14ac:dyDescent="0.25">
      <c r="A233" s="21">
        <v>329113355.76999998</v>
      </c>
      <c r="C233" s="26">
        <v>228000000</v>
      </c>
      <c r="D233" s="27">
        <v>10</v>
      </c>
      <c r="E233" s="27">
        <f t="shared" si="6"/>
        <v>1E-3</v>
      </c>
      <c r="F233" s="27">
        <f t="shared" si="7"/>
        <v>0.9386999999999992</v>
      </c>
    </row>
    <row r="234" spans="1:6" x14ac:dyDescent="0.25">
      <c r="A234" s="21">
        <v>78527073.620000005</v>
      </c>
      <c r="C234" s="26">
        <v>229000000</v>
      </c>
      <c r="D234" s="27">
        <v>4</v>
      </c>
      <c r="E234" s="27">
        <f t="shared" si="6"/>
        <v>4.0000000000000002E-4</v>
      </c>
      <c r="F234" s="27">
        <f t="shared" si="7"/>
        <v>0.93909999999999916</v>
      </c>
    </row>
    <row r="235" spans="1:6" x14ac:dyDescent="0.25">
      <c r="A235" s="21">
        <v>101821773.67</v>
      </c>
      <c r="C235" s="26">
        <v>230000000</v>
      </c>
      <c r="D235" s="27">
        <v>5</v>
      </c>
      <c r="E235" s="27">
        <f t="shared" si="6"/>
        <v>5.0000000000000001E-4</v>
      </c>
      <c r="F235" s="27">
        <f t="shared" si="7"/>
        <v>0.9395999999999991</v>
      </c>
    </row>
    <row r="236" spans="1:6" x14ac:dyDescent="0.25">
      <c r="A236" s="21">
        <v>38634989.530000001</v>
      </c>
      <c r="C236" s="26">
        <v>231000000</v>
      </c>
      <c r="D236" s="27">
        <v>10</v>
      </c>
      <c r="E236" s="27">
        <f t="shared" si="6"/>
        <v>1E-3</v>
      </c>
      <c r="F236" s="27">
        <f t="shared" si="7"/>
        <v>0.9405999999999991</v>
      </c>
    </row>
    <row r="237" spans="1:6" x14ac:dyDescent="0.25">
      <c r="A237" s="21">
        <v>12817369.810000001</v>
      </c>
      <c r="C237" s="26">
        <v>232000000</v>
      </c>
      <c r="D237" s="27">
        <v>9</v>
      </c>
      <c r="E237" s="27">
        <f t="shared" si="6"/>
        <v>8.9999999999999998E-4</v>
      </c>
      <c r="F237" s="27">
        <f t="shared" si="7"/>
        <v>0.94149999999999912</v>
      </c>
    </row>
    <row r="238" spans="1:6" x14ac:dyDescent="0.25">
      <c r="A238" s="21">
        <v>17772810.41</v>
      </c>
      <c r="C238" s="26">
        <v>233000000</v>
      </c>
      <c r="D238" s="27">
        <v>7</v>
      </c>
      <c r="E238" s="27">
        <f t="shared" si="6"/>
        <v>6.9999999999999999E-4</v>
      </c>
      <c r="F238" s="27">
        <f t="shared" si="7"/>
        <v>0.94219999999999915</v>
      </c>
    </row>
    <row r="239" spans="1:6" x14ac:dyDescent="0.25">
      <c r="A239" s="21">
        <v>125321124.58</v>
      </c>
      <c r="C239" s="26">
        <v>234000000</v>
      </c>
      <c r="D239" s="27">
        <v>8</v>
      </c>
      <c r="E239" s="27">
        <f t="shared" si="6"/>
        <v>8.0000000000000004E-4</v>
      </c>
      <c r="F239" s="27">
        <f t="shared" si="7"/>
        <v>0.94299999999999917</v>
      </c>
    </row>
    <row r="240" spans="1:6" x14ac:dyDescent="0.25">
      <c r="A240" s="21">
        <v>37635637.659999996</v>
      </c>
      <c r="C240" s="26">
        <v>235000000</v>
      </c>
      <c r="D240" s="27">
        <v>7</v>
      </c>
      <c r="E240" s="27">
        <f t="shared" si="6"/>
        <v>6.9999999999999999E-4</v>
      </c>
      <c r="F240" s="27">
        <f t="shared" si="7"/>
        <v>0.94369999999999921</v>
      </c>
    </row>
    <row r="241" spans="1:6" x14ac:dyDescent="0.25">
      <c r="A241">
        <v>0</v>
      </c>
      <c r="C241" s="26">
        <v>236000000</v>
      </c>
      <c r="D241" s="27">
        <v>4</v>
      </c>
      <c r="E241" s="27">
        <f t="shared" si="6"/>
        <v>4.0000000000000002E-4</v>
      </c>
      <c r="F241" s="27">
        <f t="shared" si="7"/>
        <v>0.94409999999999916</v>
      </c>
    </row>
    <row r="242" spans="1:6" x14ac:dyDescent="0.25">
      <c r="A242" s="21">
        <v>173736014.37</v>
      </c>
      <c r="C242" s="26">
        <v>237000000</v>
      </c>
      <c r="D242" s="27">
        <v>7</v>
      </c>
      <c r="E242" s="27">
        <f t="shared" si="6"/>
        <v>6.9999999999999999E-4</v>
      </c>
      <c r="F242" s="27">
        <f t="shared" si="7"/>
        <v>0.9447999999999992</v>
      </c>
    </row>
    <row r="243" spans="1:6" x14ac:dyDescent="0.25">
      <c r="A243" s="21">
        <v>211580683.15000001</v>
      </c>
      <c r="C243" s="26">
        <v>238000000</v>
      </c>
      <c r="D243" s="27">
        <v>4</v>
      </c>
      <c r="E243" s="27">
        <f t="shared" si="6"/>
        <v>4.0000000000000002E-4</v>
      </c>
      <c r="F243" s="27">
        <f t="shared" si="7"/>
        <v>0.94519999999999915</v>
      </c>
    </row>
    <row r="244" spans="1:6" x14ac:dyDescent="0.25">
      <c r="A244" s="21">
        <v>118881691.19</v>
      </c>
      <c r="C244" s="26">
        <v>239000000</v>
      </c>
      <c r="D244" s="27">
        <v>6</v>
      </c>
      <c r="E244" s="27">
        <f t="shared" si="6"/>
        <v>5.9999999999999995E-4</v>
      </c>
      <c r="F244" s="27">
        <f t="shared" si="7"/>
        <v>0.9457999999999992</v>
      </c>
    </row>
    <row r="245" spans="1:6" x14ac:dyDescent="0.25">
      <c r="A245" s="21">
        <v>10284736.869999999</v>
      </c>
      <c r="C245" s="26">
        <v>240000000</v>
      </c>
      <c r="D245" s="27">
        <v>4</v>
      </c>
      <c r="E245" s="27">
        <f t="shared" si="6"/>
        <v>4.0000000000000002E-4</v>
      </c>
      <c r="F245" s="27">
        <f t="shared" si="7"/>
        <v>0.94619999999999915</v>
      </c>
    </row>
    <row r="246" spans="1:6" x14ac:dyDescent="0.25">
      <c r="A246">
        <v>0</v>
      </c>
      <c r="C246" s="26">
        <v>241000000</v>
      </c>
      <c r="D246" s="27">
        <v>8</v>
      </c>
      <c r="E246" s="27">
        <f t="shared" si="6"/>
        <v>8.0000000000000004E-4</v>
      </c>
      <c r="F246" s="27">
        <f t="shared" si="7"/>
        <v>0.94699999999999918</v>
      </c>
    </row>
    <row r="247" spans="1:6" x14ac:dyDescent="0.25">
      <c r="A247" s="21">
        <v>22478417.530000001</v>
      </c>
      <c r="C247" s="26">
        <v>242000000</v>
      </c>
      <c r="D247" s="27">
        <v>5</v>
      </c>
      <c r="E247" s="27">
        <f t="shared" si="6"/>
        <v>5.0000000000000001E-4</v>
      </c>
      <c r="F247" s="27">
        <f t="shared" si="7"/>
        <v>0.94749999999999912</v>
      </c>
    </row>
    <row r="248" spans="1:6" x14ac:dyDescent="0.25">
      <c r="A248" s="21">
        <v>79068675.150000006</v>
      </c>
      <c r="C248" s="26">
        <v>243000000</v>
      </c>
      <c r="D248" s="27">
        <v>3</v>
      </c>
      <c r="E248" s="27">
        <f t="shared" si="6"/>
        <v>2.9999999999999997E-4</v>
      </c>
      <c r="F248" s="27">
        <f t="shared" si="7"/>
        <v>0.94779999999999909</v>
      </c>
    </row>
    <row r="249" spans="1:6" x14ac:dyDescent="0.25">
      <c r="A249" s="21">
        <v>22397184.370000001</v>
      </c>
      <c r="C249" s="26">
        <v>244000000</v>
      </c>
      <c r="D249" s="27">
        <v>3</v>
      </c>
      <c r="E249" s="27">
        <f t="shared" si="6"/>
        <v>2.9999999999999997E-4</v>
      </c>
      <c r="F249" s="27">
        <f t="shared" si="7"/>
        <v>0.94809999999999905</v>
      </c>
    </row>
    <row r="250" spans="1:6" x14ac:dyDescent="0.25">
      <c r="A250" s="21">
        <v>56119328.43</v>
      </c>
      <c r="C250" s="26">
        <v>245000000</v>
      </c>
      <c r="D250" s="27">
        <v>2</v>
      </c>
      <c r="E250" s="27">
        <f t="shared" si="6"/>
        <v>2.0000000000000001E-4</v>
      </c>
      <c r="F250" s="27">
        <f t="shared" si="7"/>
        <v>0.94829999999999903</v>
      </c>
    </row>
    <row r="251" spans="1:6" x14ac:dyDescent="0.25">
      <c r="A251" s="21">
        <v>19270207.809999999</v>
      </c>
      <c r="C251" s="26">
        <v>246000000</v>
      </c>
      <c r="D251" s="27">
        <v>5</v>
      </c>
      <c r="E251" s="27">
        <f t="shared" si="6"/>
        <v>5.0000000000000001E-4</v>
      </c>
      <c r="F251" s="27">
        <f t="shared" si="7"/>
        <v>0.94879999999999898</v>
      </c>
    </row>
    <row r="252" spans="1:6" x14ac:dyDescent="0.25">
      <c r="A252" s="21">
        <v>64934863.719999999</v>
      </c>
      <c r="C252" s="26">
        <v>247000000</v>
      </c>
      <c r="D252" s="27">
        <v>6</v>
      </c>
      <c r="E252" s="27">
        <f t="shared" si="6"/>
        <v>5.9999999999999995E-4</v>
      </c>
      <c r="F252" s="27">
        <f t="shared" si="7"/>
        <v>0.94939999999999902</v>
      </c>
    </row>
    <row r="253" spans="1:6" x14ac:dyDescent="0.25">
      <c r="A253" s="21">
        <v>78896661.269999996</v>
      </c>
      <c r="C253" s="26">
        <v>248000000</v>
      </c>
      <c r="D253" s="27">
        <v>9</v>
      </c>
      <c r="E253" s="27">
        <f t="shared" si="6"/>
        <v>8.9999999999999998E-4</v>
      </c>
      <c r="F253" s="27">
        <f t="shared" si="7"/>
        <v>0.95029999999999903</v>
      </c>
    </row>
    <row r="254" spans="1:6" x14ac:dyDescent="0.25">
      <c r="A254" s="21">
        <v>157834535.71000001</v>
      </c>
      <c r="C254" s="26">
        <v>249000000</v>
      </c>
      <c r="D254" s="27">
        <v>3</v>
      </c>
      <c r="E254" s="27">
        <f t="shared" si="6"/>
        <v>2.9999999999999997E-4</v>
      </c>
      <c r="F254" s="27">
        <f t="shared" si="7"/>
        <v>0.950599999999999</v>
      </c>
    </row>
    <row r="255" spans="1:6" x14ac:dyDescent="0.25">
      <c r="A255" s="21">
        <v>131735832.98999999</v>
      </c>
      <c r="C255" s="26">
        <v>250000000</v>
      </c>
      <c r="D255" s="27">
        <v>5</v>
      </c>
      <c r="E255" s="27">
        <f t="shared" si="6"/>
        <v>5.0000000000000001E-4</v>
      </c>
      <c r="F255" s="27">
        <f t="shared" si="7"/>
        <v>0.95109999999999895</v>
      </c>
    </row>
    <row r="256" spans="1:6" x14ac:dyDescent="0.25">
      <c r="A256" s="21">
        <v>235492598.44999999</v>
      </c>
      <c r="C256" s="26">
        <v>251000000</v>
      </c>
      <c r="D256" s="27">
        <v>4</v>
      </c>
      <c r="E256" s="27">
        <f t="shared" si="6"/>
        <v>4.0000000000000002E-4</v>
      </c>
      <c r="F256" s="27">
        <f t="shared" si="7"/>
        <v>0.9514999999999989</v>
      </c>
    </row>
    <row r="257" spans="1:6" x14ac:dyDescent="0.25">
      <c r="A257">
        <v>0</v>
      </c>
      <c r="C257" s="26">
        <v>252000000</v>
      </c>
      <c r="D257" s="27">
        <v>8</v>
      </c>
      <c r="E257" s="27">
        <f t="shared" si="6"/>
        <v>8.0000000000000004E-4</v>
      </c>
      <c r="F257" s="27">
        <f t="shared" si="7"/>
        <v>0.95229999999999893</v>
      </c>
    </row>
    <row r="258" spans="1:6" x14ac:dyDescent="0.25">
      <c r="A258" s="21">
        <v>204223614.03999999</v>
      </c>
      <c r="C258" s="26">
        <v>253000000</v>
      </c>
      <c r="D258" s="27">
        <v>5</v>
      </c>
      <c r="E258" s="27">
        <f t="shared" si="6"/>
        <v>5.0000000000000001E-4</v>
      </c>
      <c r="F258" s="27">
        <f t="shared" si="7"/>
        <v>0.95279999999999887</v>
      </c>
    </row>
    <row r="259" spans="1:6" x14ac:dyDescent="0.25">
      <c r="A259" s="21">
        <v>92893518.150000006</v>
      </c>
      <c r="C259" s="26">
        <v>254000000</v>
      </c>
      <c r="D259" s="27">
        <v>2</v>
      </c>
      <c r="E259" s="27">
        <f t="shared" si="6"/>
        <v>2.0000000000000001E-4</v>
      </c>
      <c r="F259" s="27">
        <f t="shared" si="7"/>
        <v>0.95299999999999885</v>
      </c>
    </row>
    <row r="260" spans="1:6" x14ac:dyDescent="0.25">
      <c r="A260" s="21">
        <v>16261162.08</v>
      </c>
      <c r="C260" s="26">
        <v>255000000</v>
      </c>
      <c r="D260" s="27">
        <v>3</v>
      </c>
      <c r="E260" s="27">
        <f t="shared" si="6"/>
        <v>2.9999999999999997E-4</v>
      </c>
      <c r="F260" s="27">
        <f t="shared" si="7"/>
        <v>0.95329999999999881</v>
      </c>
    </row>
    <row r="261" spans="1:6" x14ac:dyDescent="0.25">
      <c r="A261" s="21">
        <v>60327952.640000001</v>
      </c>
      <c r="C261" s="26">
        <v>256000000</v>
      </c>
      <c r="D261" s="27">
        <v>4</v>
      </c>
      <c r="E261" s="27">
        <f t="shared" si="6"/>
        <v>4.0000000000000002E-4</v>
      </c>
      <c r="F261" s="27">
        <f t="shared" si="7"/>
        <v>0.95369999999999877</v>
      </c>
    </row>
    <row r="262" spans="1:6" x14ac:dyDescent="0.25">
      <c r="A262" s="21">
        <v>160250428.12</v>
      </c>
      <c r="C262" s="26">
        <v>257000000</v>
      </c>
      <c r="D262" s="27">
        <v>7</v>
      </c>
      <c r="E262" s="27">
        <f t="shared" ref="E262:E325" si="8">D262/10000</f>
        <v>6.9999999999999999E-4</v>
      </c>
      <c r="F262" s="27">
        <f t="shared" si="7"/>
        <v>0.9543999999999988</v>
      </c>
    </row>
    <row r="263" spans="1:6" x14ac:dyDescent="0.25">
      <c r="A263" s="21">
        <v>14257351.5</v>
      </c>
      <c r="C263" s="26">
        <v>258000000</v>
      </c>
      <c r="D263" s="27">
        <v>4</v>
      </c>
      <c r="E263" s="27">
        <f t="shared" si="8"/>
        <v>4.0000000000000002E-4</v>
      </c>
      <c r="F263" s="27">
        <f t="shared" ref="F263:F326" si="9">E263+F262</f>
        <v>0.95479999999999876</v>
      </c>
    </row>
    <row r="264" spans="1:6" x14ac:dyDescent="0.25">
      <c r="A264" s="21">
        <v>10803439.09</v>
      </c>
      <c r="C264" s="26">
        <v>259000000</v>
      </c>
      <c r="D264" s="27">
        <v>5</v>
      </c>
      <c r="E264" s="27">
        <f t="shared" si="8"/>
        <v>5.0000000000000001E-4</v>
      </c>
      <c r="F264" s="27">
        <f t="shared" si="9"/>
        <v>0.95529999999999871</v>
      </c>
    </row>
    <row r="265" spans="1:6" x14ac:dyDescent="0.25">
      <c r="A265" s="21">
        <v>46803786.689999998</v>
      </c>
      <c r="C265" s="26">
        <v>260000000</v>
      </c>
      <c r="D265" s="27">
        <v>4</v>
      </c>
      <c r="E265" s="27">
        <f t="shared" si="8"/>
        <v>4.0000000000000002E-4</v>
      </c>
      <c r="F265" s="27">
        <f t="shared" si="9"/>
        <v>0.95569999999999866</v>
      </c>
    </row>
    <row r="266" spans="1:6" x14ac:dyDescent="0.25">
      <c r="A266" s="21">
        <v>44194808.659999996</v>
      </c>
      <c r="C266" s="26">
        <v>261000000</v>
      </c>
      <c r="D266" s="27">
        <v>5</v>
      </c>
      <c r="E266" s="27">
        <f t="shared" si="8"/>
        <v>5.0000000000000001E-4</v>
      </c>
      <c r="F266" s="27">
        <f t="shared" si="9"/>
        <v>0.95619999999999861</v>
      </c>
    </row>
    <row r="267" spans="1:6" x14ac:dyDescent="0.25">
      <c r="A267" s="21">
        <v>40646213.659999996</v>
      </c>
      <c r="C267" s="26">
        <v>262000000</v>
      </c>
      <c r="D267" s="27">
        <v>3</v>
      </c>
      <c r="E267" s="27">
        <f t="shared" si="8"/>
        <v>2.9999999999999997E-4</v>
      </c>
      <c r="F267" s="27">
        <f t="shared" si="9"/>
        <v>0.95649999999999857</v>
      </c>
    </row>
    <row r="268" spans="1:6" x14ac:dyDescent="0.25">
      <c r="A268" s="21">
        <v>32979230.710000001</v>
      </c>
      <c r="C268" s="26">
        <v>263000000</v>
      </c>
      <c r="D268" s="27">
        <v>1</v>
      </c>
      <c r="E268" s="27">
        <f t="shared" si="8"/>
        <v>1E-4</v>
      </c>
      <c r="F268" s="27">
        <f t="shared" si="9"/>
        <v>0.95659999999999856</v>
      </c>
    </row>
    <row r="269" spans="1:6" x14ac:dyDescent="0.25">
      <c r="A269" s="21">
        <v>97137167.959999993</v>
      </c>
      <c r="C269" s="26">
        <v>264000000</v>
      </c>
      <c r="D269" s="27">
        <v>4</v>
      </c>
      <c r="E269" s="27">
        <f t="shared" si="8"/>
        <v>4.0000000000000002E-4</v>
      </c>
      <c r="F269" s="27">
        <f t="shared" si="9"/>
        <v>0.95699999999999852</v>
      </c>
    </row>
    <row r="270" spans="1:6" x14ac:dyDescent="0.25">
      <c r="A270">
        <v>6844095</v>
      </c>
      <c r="C270" s="26">
        <v>265000000</v>
      </c>
      <c r="D270" s="27">
        <v>3</v>
      </c>
      <c r="E270" s="27">
        <f t="shared" si="8"/>
        <v>2.9999999999999997E-4</v>
      </c>
      <c r="F270" s="27">
        <f t="shared" si="9"/>
        <v>0.95729999999999849</v>
      </c>
    </row>
    <row r="271" spans="1:6" x14ac:dyDescent="0.25">
      <c r="A271">
        <v>0</v>
      </c>
      <c r="C271" s="26">
        <v>266000000</v>
      </c>
      <c r="D271" s="27">
        <v>6</v>
      </c>
      <c r="E271" s="27">
        <f t="shared" si="8"/>
        <v>5.9999999999999995E-4</v>
      </c>
      <c r="F271" s="27">
        <f t="shared" si="9"/>
        <v>0.95789999999999853</v>
      </c>
    </row>
    <row r="272" spans="1:6" x14ac:dyDescent="0.25">
      <c r="A272" s="21">
        <v>13628422.58</v>
      </c>
      <c r="C272" s="26">
        <v>267000000</v>
      </c>
      <c r="D272" s="27">
        <v>2</v>
      </c>
      <c r="E272" s="27">
        <f t="shared" si="8"/>
        <v>2.0000000000000001E-4</v>
      </c>
      <c r="F272" s="27">
        <f t="shared" si="9"/>
        <v>0.95809999999999851</v>
      </c>
    </row>
    <row r="273" spans="1:6" x14ac:dyDescent="0.25">
      <c r="A273" s="21">
        <v>48139470.75</v>
      </c>
      <c r="C273" s="26">
        <v>268000000</v>
      </c>
      <c r="D273" s="27">
        <v>4</v>
      </c>
      <c r="E273" s="27">
        <f t="shared" si="8"/>
        <v>4.0000000000000002E-4</v>
      </c>
      <c r="F273" s="27">
        <f t="shared" si="9"/>
        <v>0.95849999999999846</v>
      </c>
    </row>
    <row r="274" spans="1:6" x14ac:dyDescent="0.25">
      <c r="A274" s="21">
        <v>11777694.630000001</v>
      </c>
      <c r="C274" s="26">
        <v>269000000</v>
      </c>
      <c r="D274" s="27">
        <v>2</v>
      </c>
      <c r="E274" s="27">
        <f t="shared" si="8"/>
        <v>2.0000000000000001E-4</v>
      </c>
      <c r="F274" s="27">
        <f t="shared" si="9"/>
        <v>0.95869999999999844</v>
      </c>
    </row>
    <row r="275" spans="1:6" x14ac:dyDescent="0.25">
      <c r="A275" s="21">
        <v>28117329.27</v>
      </c>
      <c r="C275" s="26">
        <v>270000000</v>
      </c>
      <c r="D275" s="27">
        <v>3</v>
      </c>
      <c r="E275" s="27">
        <f t="shared" si="8"/>
        <v>2.9999999999999997E-4</v>
      </c>
      <c r="F275" s="27">
        <f t="shared" si="9"/>
        <v>0.95899999999999841</v>
      </c>
    </row>
    <row r="276" spans="1:6" x14ac:dyDescent="0.25">
      <c r="A276" s="21">
        <v>114250985.09999999</v>
      </c>
      <c r="C276" s="26">
        <v>271000000</v>
      </c>
      <c r="D276" s="27">
        <v>3</v>
      </c>
      <c r="E276" s="27">
        <f t="shared" si="8"/>
        <v>2.9999999999999997E-4</v>
      </c>
      <c r="F276" s="27">
        <f t="shared" si="9"/>
        <v>0.95929999999999838</v>
      </c>
    </row>
    <row r="277" spans="1:6" x14ac:dyDescent="0.25">
      <c r="A277" s="21">
        <v>58523490.68</v>
      </c>
      <c r="C277" s="26">
        <v>272000000</v>
      </c>
      <c r="D277" s="27">
        <v>5</v>
      </c>
      <c r="E277" s="27">
        <f t="shared" si="8"/>
        <v>5.0000000000000001E-4</v>
      </c>
      <c r="F277" s="27">
        <f t="shared" si="9"/>
        <v>0.95979999999999832</v>
      </c>
    </row>
    <row r="278" spans="1:6" x14ac:dyDescent="0.25">
      <c r="A278" s="21">
        <v>19218922.190000001</v>
      </c>
      <c r="C278" s="26">
        <v>273000000</v>
      </c>
      <c r="D278" s="27">
        <v>6</v>
      </c>
      <c r="E278" s="27">
        <f t="shared" si="8"/>
        <v>5.9999999999999995E-4</v>
      </c>
      <c r="F278" s="27">
        <f t="shared" si="9"/>
        <v>0.96039999999999837</v>
      </c>
    </row>
    <row r="279" spans="1:6" x14ac:dyDescent="0.25">
      <c r="A279" s="21">
        <v>363696595.19999999</v>
      </c>
      <c r="C279" s="26">
        <v>274000000</v>
      </c>
      <c r="D279" s="27">
        <v>4</v>
      </c>
      <c r="E279" s="27">
        <f t="shared" si="8"/>
        <v>4.0000000000000002E-4</v>
      </c>
      <c r="F279" s="27">
        <f t="shared" si="9"/>
        <v>0.96079999999999832</v>
      </c>
    </row>
    <row r="280" spans="1:6" x14ac:dyDescent="0.25">
      <c r="A280" s="21">
        <v>361867064.48000002</v>
      </c>
      <c r="C280" s="26">
        <v>275000000</v>
      </c>
      <c r="D280" s="27">
        <v>1</v>
      </c>
      <c r="E280" s="27">
        <f t="shared" si="8"/>
        <v>1E-4</v>
      </c>
      <c r="F280" s="27">
        <f t="shared" si="9"/>
        <v>0.96089999999999831</v>
      </c>
    </row>
    <row r="281" spans="1:6" x14ac:dyDescent="0.25">
      <c r="A281" s="21">
        <v>6264586.5</v>
      </c>
      <c r="C281" s="26">
        <v>276000000</v>
      </c>
      <c r="D281" s="27">
        <v>4</v>
      </c>
      <c r="E281" s="27">
        <f t="shared" si="8"/>
        <v>4.0000000000000002E-4</v>
      </c>
      <c r="F281" s="27">
        <f t="shared" si="9"/>
        <v>0.96129999999999827</v>
      </c>
    </row>
    <row r="282" spans="1:6" x14ac:dyDescent="0.25">
      <c r="A282" s="21">
        <v>115176772.13</v>
      </c>
      <c r="C282" s="26">
        <v>277000000</v>
      </c>
      <c r="D282" s="27">
        <v>4</v>
      </c>
      <c r="E282" s="27">
        <f t="shared" si="8"/>
        <v>4.0000000000000002E-4</v>
      </c>
      <c r="F282" s="27">
        <f t="shared" si="9"/>
        <v>0.96169999999999822</v>
      </c>
    </row>
    <row r="283" spans="1:6" x14ac:dyDescent="0.25">
      <c r="A283" s="21">
        <v>25805920.559999999</v>
      </c>
      <c r="C283" s="26">
        <v>278000000</v>
      </c>
      <c r="D283" s="27">
        <v>3</v>
      </c>
      <c r="E283" s="27">
        <f t="shared" si="8"/>
        <v>2.9999999999999997E-4</v>
      </c>
      <c r="F283" s="27">
        <f t="shared" si="9"/>
        <v>0.96199999999999819</v>
      </c>
    </row>
    <row r="284" spans="1:6" x14ac:dyDescent="0.25">
      <c r="A284">
        <v>0</v>
      </c>
      <c r="C284" s="26">
        <v>279000000</v>
      </c>
      <c r="D284" s="27">
        <v>3</v>
      </c>
      <c r="E284" s="27">
        <f t="shared" si="8"/>
        <v>2.9999999999999997E-4</v>
      </c>
      <c r="F284" s="27">
        <f t="shared" si="9"/>
        <v>0.96229999999999816</v>
      </c>
    </row>
    <row r="285" spans="1:6" x14ac:dyDescent="0.25">
      <c r="A285" s="21">
        <v>26556847.030000001</v>
      </c>
      <c r="C285" s="26">
        <v>280000000</v>
      </c>
      <c r="D285" s="27">
        <v>4</v>
      </c>
      <c r="E285" s="27">
        <f t="shared" si="8"/>
        <v>4.0000000000000002E-4</v>
      </c>
      <c r="F285" s="27">
        <f t="shared" si="9"/>
        <v>0.96269999999999811</v>
      </c>
    </row>
    <row r="286" spans="1:6" x14ac:dyDescent="0.25">
      <c r="A286" s="21">
        <v>25051411.32</v>
      </c>
      <c r="C286" s="26">
        <v>281000000</v>
      </c>
      <c r="D286" s="27">
        <v>4</v>
      </c>
      <c r="E286" s="27">
        <f t="shared" si="8"/>
        <v>4.0000000000000002E-4</v>
      </c>
      <c r="F286" s="27">
        <f t="shared" si="9"/>
        <v>0.96309999999999807</v>
      </c>
    </row>
    <row r="287" spans="1:6" x14ac:dyDescent="0.25">
      <c r="A287" s="21">
        <v>52586875.229999997</v>
      </c>
      <c r="C287" s="26">
        <v>282000000</v>
      </c>
      <c r="D287" s="27">
        <v>5</v>
      </c>
      <c r="E287" s="27">
        <f t="shared" si="8"/>
        <v>5.0000000000000001E-4</v>
      </c>
      <c r="F287" s="27">
        <f t="shared" si="9"/>
        <v>0.96359999999999801</v>
      </c>
    </row>
    <row r="288" spans="1:6" x14ac:dyDescent="0.25">
      <c r="A288" s="21">
        <v>18243319.149999999</v>
      </c>
      <c r="C288" s="26">
        <v>283000000</v>
      </c>
      <c r="D288" s="27">
        <v>1</v>
      </c>
      <c r="E288" s="27">
        <f t="shared" si="8"/>
        <v>1E-4</v>
      </c>
      <c r="F288" s="27">
        <f t="shared" si="9"/>
        <v>0.963699999999998</v>
      </c>
    </row>
    <row r="289" spans="1:6" x14ac:dyDescent="0.25">
      <c r="A289" s="21">
        <v>50089917.210000001</v>
      </c>
      <c r="C289" s="26">
        <v>284000000</v>
      </c>
      <c r="D289" s="27">
        <v>1</v>
      </c>
      <c r="E289" s="27">
        <f t="shared" si="8"/>
        <v>1E-4</v>
      </c>
      <c r="F289" s="27">
        <f t="shared" si="9"/>
        <v>0.96379999999999799</v>
      </c>
    </row>
    <row r="290" spans="1:6" x14ac:dyDescent="0.25">
      <c r="A290" s="21">
        <v>32667606.829999998</v>
      </c>
      <c r="C290" s="26">
        <v>285000000</v>
      </c>
      <c r="D290" s="27">
        <v>3</v>
      </c>
      <c r="E290" s="27">
        <f t="shared" si="8"/>
        <v>2.9999999999999997E-4</v>
      </c>
      <c r="F290" s="27">
        <f t="shared" si="9"/>
        <v>0.96409999999999796</v>
      </c>
    </row>
    <row r="291" spans="1:6" x14ac:dyDescent="0.25">
      <c r="A291" s="21">
        <v>80816955.719999999</v>
      </c>
      <c r="C291" s="26">
        <v>286000000</v>
      </c>
      <c r="D291" s="27">
        <v>3</v>
      </c>
      <c r="E291" s="27">
        <f t="shared" si="8"/>
        <v>2.9999999999999997E-4</v>
      </c>
      <c r="F291" s="27">
        <f t="shared" si="9"/>
        <v>0.96439999999999793</v>
      </c>
    </row>
    <row r="292" spans="1:6" x14ac:dyDescent="0.25">
      <c r="A292" s="21">
        <v>201950110.86000001</v>
      </c>
      <c r="C292" s="26">
        <v>287000000</v>
      </c>
      <c r="D292" s="27">
        <v>3</v>
      </c>
      <c r="E292" s="27">
        <f t="shared" si="8"/>
        <v>2.9999999999999997E-4</v>
      </c>
      <c r="F292" s="27">
        <f t="shared" si="9"/>
        <v>0.96469999999999789</v>
      </c>
    </row>
    <row r="293" spans="1:6" x14ac:dyDescent="0.25">
      <c r="A293" s="21">
        <v>52663552.939999998</v>
      </c>
      <c r="C293" s="26">
        <v>288000000</v>
      </c>
      <c r="D293" s="27">
        <v>4</v>
      </c>
      <c r="E293" s="27">
        <f t="shared" si="8"/>
        <v>4.0000000000000002E-4</v>
      </c>
      <c r="F293" s="27">
        <f t="shared" si="9"/>
        <v>0.96509999999999785</v>
      </c>
    </row>
    <row r="294" spans="1:6" x14ac:dyDescent="0.25">
      <c r="A294" s="21">
        <v>74468172.239999995</v>
      </c>
      <c r="C294" s="26">
        <v>289000000</v>
      </c>
      <c r="D294" s="27">
        <v>1</v>
      </c>
      <c r="E294" s="27">
        <f t="shared" si="8"/>
        <v>1E-4</v>
      </c>
      <c r="F294" s="27">
        <f t="shared" si="9"/>
        <v>0.96519999999999784</v>
      </c>
    </row>
    <row r="295" spans="1:6" x14ac:dyDescent="0.25">
      <c r="A295" s="21">
        <v>3662483.31</v>
      </c>
      <c r="C295" s="26">
        <v>290000000</v>
      </c>
      <c r="D295" s="27">
        <v>0</v>
      </c>
      <c r="E295" s="27">
        <f t="shared" si="8"/>
        <v>0</v>
      </c>
      <c r="F295" s="27">
        <f t="shared" si="9"/>
        <v>0.96519999999999784</v>
      </c>
    </row>
    <row r="296" spans="1:6" x14ac:dyDescent="0.25">
      <c r="A296" s="21">
        <v>95476133.569999903</v>
      </c>
      <c r="C296" s="26">
        <v>291000000</v>
      </c>
      <c r="D296" s="27">
        <v>3</v>
      </c>
      <c r="E296" s="27">
        <f t="shared" si="8"/>
        <v>2.9999999999999997E-4</v>
      </c>
      <c r="F296" s="27">
        <f t="shared" si="9"/>
        <v>0.9654999999999978</v>
      </c>
    </row>
    <row r="297" spans="1:6" x14ac:dyDescent="0.25">
      <c r="A297" s="21">
        <v>81538041.870000005</v>
      </c>
      <c r="C297" s="26">
        <v>292000000</v>
      </c>
      <c r="D297" s="27">
        <v>5</v>
      </c>
      <c r="E297" s="27">
        <f t="shared" si="8"/>
        <v>5.0000000000000001E-4</v>
      </c>
      <c r="F297" s="27">
        <f t="shared" si="9"/>
        <v>0.96599999999999775</v>
      </c>
    </row>
    <row r="298" spans="1:6" x14ac:dyDescent="0.25">
      <c r="A298" s="21">
        <v>95410113.329999894</v>
      </c>
      <c r="C298" s="26">
        <v>293000000</v>
      </c>
      <c r="D298" s="27">
        <v>2</v>
      </c>
      <c r="E298" s="27">
        <f t="shared" si="8"/>
        <v>2.0000000000000001E-4</v>
      </c>
      <c r="F298" s="27">
        <f t="shared" si="9"/>
        <v>0.96619999999999773</v>
      </c>
    </row>
    <row r="299" spans="1:6" x14ac:dyDescent="0.25">
      <c r="A299">
        <v>0</v>
      </c>
      <c r="C299" s="26">
        <v>294000000</v>
      </c>
      <c r="D299" s="27">
        <v>1</v>
      </c>
      <c r="E299" s="27">
        <f t="shared" si="8"/>
        <v>1E-4</v>
      </c>
      <c r="F299" s="27">
        <f t="shared" si="9"/>
        <v>0.96629999999999772</v>
      </c>
    </row>
    <row r="300" spans="1:6" x14ac:dyDescent="0.25">
      <c r="A300" s="21">
        <v>111858534.03</v>
      </c>
      <c r="C300" s="26">
        <v>295000000</v>
      </c>
      <c r="D300" s="27">
        <v>7</v>
      </c>
      <c r="E300" s="27">
        <f t="shared" si="8"/>
        <v>6.9999999999999999E-4</v>
      </c>
      <c r="F300" s="27">
        <f t="shared" si="9"/>
        <v>0.96699999999999775</v>
      </c>
    </row>
    <row r="301" spans="1:6" x14ac:dyDescent="0.25">
      <c r="A301" s="21">
        <v>50814943.149999999</v>
      </c>
      <c r="C301" s="26">
        <v>296000000</v>
      </c>
      <c r="D301" s="27">
        <v>2</v>
      </c>
      <c r="E301" s="27">
        <f t="shared" si="8"/>
        <v>2.0000000000000001E-4</v>
      </c>
      <c r="F301" s="27">
        <f t="shared" si="9"/>
        <v>0.96719999999999773</v>
      </c>
    </row>
    <row r="302" spans="1:6" x14ac:dyDescent="0.25">
      <c r="A302" s="21">
        <v>162118736.34999999</v>
      </c>
      <c r="C302" s="26">
        <v>297000000</v>
      </c>
      <c r="D302" s="27">
        <v>7</v>
      </c>
      <c r="E302" s="27">
        <f t="shared" si="8"/>
        <v>6.9999999999999999E-4</v>
      </c>
      <c r="F302" s="27">
        <f t="shared" si="9"/>
        <v>0.96789999999999776</v>
      </c>
    </row>
    <row r="303" spans="1:6" x14ac:dyDescent="0.25">
      <c r="A303" s="21">
        <v>251328205.44999999</v>
      </c>
      <c r="C303" s="26">
        <v>298000000</v>
      </c>
      <c r="D303" s="27">
        <v>4</v>
      </c>
      <c r="E303" s="27">
        <f t="shared" si="8"/>
        <v>4.0000000000000002E-4</v>
      </c>
      <c r="F303" s="27">
        <f t="shared" si="9"/>
        <v>0.96829999999999772</v>
      </c>
    </row>
    <row r="304" spans="1:6" x14ac:dyDescent="0.25">
      <c r="A304" s="21">
        <v>13995699.75</v>
      </c>
      <c r="C304" s="26">
        <v>299000000</v>
      </c>
      <c r="D304" s="27">
        <v>5</v>
      </c>
      <c r="E304" s="27">
        <f t="shared" si="8"/>
        <v>5.0000000000000001E-4</v>
      </c>
      <c r="F304" s="27">
        <f t="shared" si="9"/>
        <v>0.96879999999999766</v>
      </c>
    </row>
    <row r="305" spans="1:6" x14ac:dyDescent="0.25">
      <c r="A305" s="21">
        <v>319398060.17000002</v>
      </c>
      <c r="C305" s="26">
        <v>300000000</v>
      </c>
      <c r="D305" s="27">
        <v>5</v>
      </c>
      <c r="E305" s="27">
        <f t="shared" si="8"/>
        <v>5.0000000000000001E-4</v>
      </c>
      <c r="F305" s="27">
        <f t="shared" si="9"/>
        <v>0.96929999999999761</v>
      </c>
    </row>
    <row r="306" spans="1:6" x14ac:dyDescent="0.25">
      <c r="A306" s="21">
        <v>190825653.11000001</v>
      </c>
      <c r="C306" s="26">
        <v>301000000</v>
      </c>
      <c r="D306" s="27">
        <v>2</v>
      </c>
      <c r="E306" s="27">
        <f t="shared" si="8"/>
        <v>2.0000000000000001E-4</v>
      </c>
      <c r="F306" s="27">
        <f t="shared" si="9"/>
        <v>0.96949999999999759</v>
      </c>
    </row>
    <row r="307" spans="1:6" x14ac:dyDescent="0.25">
      <c r="A307" s="21">
        <v>51607816.659999996</v>
      </c>
      <c r="C307" s="26">
        <v>302000000</v>
      </c>
      <c r="D307" s="27">
        <v>4</v>
      </c>
      <c r="E307" s="27">
        <f t="shared" si="8"/>
        <v>4.0000000000000002E-4</v>
      </c>
      <c r="F307" s="27">
        <f t="shared" si="9"/>
        <v>0.96989999999999754</v>
      </c>
    </row>
    <row r="308" spans="1:6" x14ac:dyDescent="0.25">
      <c r="A308" s="21">
        <v>2835921.06</v>
      </c>
      <c r="C308" s="26">
        <v>303000000</v>
      </c>
      <c r="D308" s="27">
        <v>1</v>
      </c>
      <c r="E308" s="27">
        <f t="shared" si="8"/>
        <v>1E-4</v>
      </c>
      <c r="F308" s="27">
        <f t="shared" si="9"/>
        <v>0.96999999999999753</v>
      </c>
    </row>
    <row r="309" spans="1:6" x14ac:dyDescent="0.25">
      <c r="A309" s="21">
        <v>26924937.489999998</v>
      </c>
      <c r="C309" s="26">
        <v>304000000</v>
      </c>
      <c r="D309" s="27">
        <v>2</v>
      </c>
      <c r="E309" s="27">
        <f t="shared" si="8"/>
        <v>2.0000000000000001E-4</v>
      </c>
      <c r="F309" s="27">
        <f t="shared" si="9"/>
        <v>0.97019999999999751</v>
      </c>
    </row>
    <row r="310" spans="1:6" x14ac:dyDescent="0.25">
      <c r="A310" s="21">
        <v>46970369.75</v>
      </c>
      <c r="C310" s="26">
        <v>305000000</v>
      </c>
      <c r="D310" s="27">
        <v>1</v>
      </c>
      <c r="E310" s="27">
        <f t="shared" si="8"/>
        <v>1E-4</v>
      </c>
      <c r="F310" s="27">
        <f t="shared" si="9"/>
        <v>0.9702999999999975</v>
      </c>
    </row>
    <row r="311" spans="1:6" x14ac:dyDescent="0.25">
      <c r="A311" s="21">
        <v>51544934.170000002</v>
      </c>
      <c r="C311" s="26">
        <v>306000000</v>
      </c>
      <c r="D311" s="27">
        <v>5</v>
      </c>
      <c r="E311" s="27">
        <f t="shared" si="8"/>
        <v>5.0000000000000001E-4</v>
      </c>
      <c r="F311" s="27">
        <f t="shared" si="9"/>
        <v>0.97079999999999744</v>
      </c>
    </row>
    <row r="312" spans="1:6" x14ac:dyDescent="0.25">
      <c r="A312" s="21">
        <v>360252752.81</v>
      </c>
      <c r="C312" s="26">
        <v>307000000</v>
      </c>
      <c r="D312" s="27">
        <v>1</v>
      </c>
      <c r="E312" s="27">
        <f t="shared" si="8"/>
        <v>1E-4</v>
      </c>
      <c r="F312" s="27">
        <f t="shared" si="9"/>
        <v>0.97089999999999743</v>
      </c>
    </row>
    <row r="313" spans="1:6" x14ac:dyDescent="0.25">
      <c r="A313" s="21">
        <v>93274947.049999997</v>
      </c>
      <c r="C313" s="26">
        <v>308000000</v>
      </c>
      <c r="D313" s="27">
        <v>3</v>
      </c>
      <c r="E313" s="27">
        <f t="shared" si="8"/>
        <v>2.9999999999999997E-4</v>
      </c>
      <c r="F313" s="27">
        <f t="shared" si="9"/>
        <v>0.9711999999999974</v>
      </c>
    </row>
    <row r="314" spans="1:6" x14ac:dyDescent="0.25">
      <c r="A314" s="21">
        <v>32154385.09</v>
      </c>
      <c r="C314" s="26">
        <v>309000000</v>
      </c>
      <c r="D314" s="27">
        <v>2</v>
      </c>
      <c r="E314" s="27">
        <f t="shared" si="8"/>
        <v>2.0000000000000001E-4</v>
      </c>
      <c r="F314" s="27">
        <f t="shared" si="9"/>
        <v>0.97139999999999738</v>
      </c>
    </row>
    <row r="315" spans="1:6" x14ac:dyDescent="0.25">
      <c r="A315" s="21">
        <v>71939631.890000001</v>
      </c>
      <c r="C315" s="26">
        <v>310000000</v>
      </c>
      <c r="D315" s="27">
        <v>2</v>
      </c>
      <c r="E315" s="27">
        <f t="shared" si="8"/>
        <v>2.0000000000000001E-4</v>
      </c>
      <c r="F315" s="27">
        <f t="shared" si="9"/>
        <v>0.97159999999999735</v>
      </c>
    </row>
    <row r="316" spans="1:6" x14ac:dyDescent="0.25">
      <c r="A316" s="21">
        <v>97066023.299999997</v>
      </c>
      <c r="C316" s="26">
        <v>311000000</v>
      </c>
      <c r="D316" s="27">
        <v>1</v>
      </c>
      <c r="E316" s="27">
        <f t="shared" si="8"/>
        <v>1E-4</v>
      </c>
      <c r="F316" s="27">
        <f t="shared" si="9"/>
        <v>0.97169999999999734</v>
      </c>
    </row>
    <row r="317" spans="1:6" x14ac:dyDescent="0.25">
      <c r="A317" s="21">
        <v>143460207.46000001</v>
      </c>
      <c r="C317" s="26">
        <v>312000000</v>
      </c>
      <c r="D317" s="27">
        <v>2</v>
      </c>
      <c r="E317" s="27">
        <f t="shared" si="8"/>
        <v>2.0000000000000001E-4</v>
      </c>
      <c r="F317" s="27">
        <f t="shared" si="9"/>
        <v>0.97189999999999732</v>
      </c>
    </row>
    <row r="318" spans="1:6" x14ac:dyDescent="0.25">
      <c r="A318" s="21">
        <v>134663788.81</v>
      </c>
      <c r="C318" s="26">
        <v>313000000</v>
      </c>
      <c r="D318" s="27">
        <v>4</v>
      </c>
      <c r="E318" s="27">
        <f t="shared" si="8"/>
        <v>4.0000000000000002E-4</v>
      </c>
      <c r="F318" s="27">
        <f t="shared" si="9"/>
        <v>0.97229999999999728</v>
      </c>
    </row>
    <row r="319" spans="1:6" x14ac:dyDescent="0.25">
      <c r="A319" s="21">
        <v>94830885.530000001</v>
      </c>
      <c r="C319" s="26">
        <v>314000000</v>
      </c>
      <c r="D319" s="27">
        <v>3</v>
      </c>
      <c r="E319" s="27">
        <f t="shared" si="8"/>
        <v>2.9999999999999997E-4</v>
      </c>
      <c r="F319" s="27">
        <f t="shared" si="9"/>
        <v>0.97259999999999724</v>
      </c>
    </row>
    <row r="320" spans="1:6" x14ac:dyDescent="0.25">
      <c r="A320" s="21">
        <v>9992027.4399999995</v>
      </c>
      <c r="C320" s="26">
        <v>315000000</v>
      </c>
      <c r="D320" s="27">
        <v>1</v>
      </c>
      <c r="E320" s="27">
        <f t="shared" si="8"/>
        <v>1E-4</v>
      </c>
      <c r="F320" s="27">
        <f t="shared" si="9"/>
        <v>0.97269999999999723</v>
      </c>
    </row>
    <row r="321" spans="1:6" x14ac:dyDescent="0.25">
      <c r="A321" s="21">
        <v>37069093.840000004</v>
      </c>
      <c r="C321" s="26">
        <v>316000000</v>
      </c>
      <c r="D321" s="27">
        <v>2</v>
      </c>
      <c r="E321" s="27">
        <f t="shared" si="8"/>
        <v>2.0000000000000001E-4</v>
      </c>
      <c r="F321" s="27">
        <f t="shared" si="9"/>
        <v>0.97289999999999721</v>
      </c>
    </row>
    <row r="322" spans="1:6" x14ac:dyDescent="0.25">
      <c r="A322" s="21">
        <v>40733036.109999999</v>
      </c>
      <c r="C322" s="26">
        <v>317000000</v>
      </c>
      <c r="D322" s="27">
        <v>1</v>
      </c>
      <c r="E322" s="27">
        <f t="shared" si="8"/>
        <v>1E-4</v>
      </c>
      <c r="F322" s="27">
        <f t="shared" si="9"/>
        <v>0.9729999999999972</v>
      </c>
    </row>
    <row r="323" spans="1:6" x14ac:dyDescent="0.25">
      <c r="A323" s="21">
        <v>210360569.34999999</v>
      </c>
      <c r="C323" s="26">
        <v>318000000</v>
      </c>
      <c r="D323" s="27">
        <v>1</v>
      </c>
      <c r="E323" s="27">
        <f t="shared" si="8"/>
        <v>1E-4</v>
      </c>
      <c r="F323" s="27">
        <f t="shared" si="9"/>
        <v>0.97309999999999719</v>
      </c>
    </row>
    <row r="324" spans="1:6" x14ac:dyDescent="0.25">
      <c r="A324" s="21">
        <v>33281302.68</v>
      </c>
      <c r="C324" s="26">
        <v>319000000</v>
      </c>
      <c r="D324" s="27">
        <v>7</v>
      </c>
      <c r="E324" s="27">
        <f t="shared" si="8"/>
        <v>6.9999999999999999E-4</v>
      </c>
      <c r="F324" s="27">
        <f t="shared" si="9"/>
        <v>0.97379999999999722</v>
      </c>
    </row>
    <row r="325" spans="1:6" x14ac:dyDescent="0.25">
      <c r="A325" s="21">
        <v>54351319.859999999</v>
      </c>
      <c r="C325" s="26">
        <v>320000000</v>
      </c>
      <c r="D325" s="27">
        <v>5</v>
      </c>
      <c r="E325" s="27">
        <f t="shared" si="8"/>
        <v>5.0000000000000001E-4</v>
      </c>
      <c r="F325" s="27">
        <f t="shared" si="9"/>
        <v>0.97429999999999717</v>
      </c>
    </row>
    <row r="326" spans="1:6" x14ac:dyDescent="0.25">
      <c r="A326" s="21">
        <v>271524428.17000002</v>
      </c>
      <c r="C326" s="26">
        <v>321000000</v>
      </c>
      <c r="D326" s="27">
        <v>3</v>
      </c>
      <c r="E326" s="27">
        <f t="shared" ref="E326:E389" si="10">D326/10000</f>
        <v>2.9999999999999997E-4</v>
      </c>
      <c r="F326" s="27">
        <f t="shared" si="9"/>
        <v>0.97459999999999714</v>
      </c>
    </row>
    <row r="327" spans="1:6" x14ac:dyDescent="0.25">
      <c r="A327" s="21">
        <v>54278534.780000001</v>
      </c>
      <c r="C327" s="26">
        <v>322000000</v>
      </c>
      <c r="D327" s="27">
        <v>1</v>
      </c>
      <c r="E327" s="27">
        <f t="shared" si="10"/>
        <v>1E-4</v>
      </c>
      <c r="F327" s="27">
        <f t="shared" ref="F327:F390" si="11">E327+F326</f>
        <v>0.97469999999999712</v>
      </c>
    </row>
    <row r="328" spans="1:6" x14ac:dyDescent="0.25">
      <c r="A328" s="21">
        <v>49799955.989999898</v>
      </c>
      <c r="C328" s="26">
        <v>323000000</v>
      </c>
      <c r="D328" s="27">
        <v>2</v>
      </c>
      <c r="E328" s="27">
        <f t="shared" si="10"/>
        <v>2.0000000000000001E-4</v>
      </c>
      <c r="F328" s="27">
        <f t="shared" si="11"/>
        <v>0.9748999999999971</v>
      </c>
    </row>
    <row r="329" spans="1:6" x14ac:dyDescent="0.25">
      <c r="A329" s="21">
        <v>10012755.060000001</v>
      </c>
      <c r="C329" s="26">
        <v>324000000</v>
      </c>
      <c r="D329" s="27">
        <v>2</v>
      </c>
      <c r="E329" s="27">
        <f t="shared" si="10"/>
        <v>2.0000000000000001E-4</v>
      </c>
      <c r="F329" s="27">
        <f t="shared" si="11"/>
        <v>0.97509999999999708</v>
      </c>
    </row>
    <row r="330" spans="1:6" x14ac:dyDescent="0.25">
      <c r="A330" s="21">
        <v>71178220.539999902</v>
      </c>
      <c r="C330" s="26">
        <v>325000000</v>
      </c>
      <c r="D330" s="27">
        <v>1</v>
      </c>
      <c r="E330" s="27">
        <f t="shared" si="10"/>
        <v>1E-4</v>
      </c>
      <c r="F330" s="27">
        <f t="shared" si="11"/>
        <v>0.97519999999999707</v>
      </c>
    </row>
    <row r="331" spans="1:6" x14ac:dyDescent="0.25">
      <c r="A331" s="21">
        <v>4657620.91</v>
      </c>
      <c r="C331" s="26">
        <v>326000000</v>
      </c>
      <c r="D331" s="27">
        <v>4</v>
      </c>
      <c r="E331" s="27">
        <f t="shared" si="10"/>
        <v>4.0000000000000002E-4</v>
      </c>
      <c r="F331" s="27">
        <f t="shared" si="11"/>
        <v>0.97559999999999703</v>
      </c>
    </row>
    <row r="332" spans="1:6" x14ac:dyDescent="0.25">
      <c r="A332" s="21">
        <v>14810444.01</v>
      </c>
      <c r="C332" s="26">
        <v>327000000</v>
      </c>
      <c r="D332" s="27">
        <v>3</v>
      </c>
      <c r="E332" s="27">
        <f t="shared" si="10"/>
        <v>2.9999999999999997E-4</v>
      </c>
      <c r="F332" s="27">
        <f t="shared" si="11"/>
        <v>0.97589999999999699</v>
      </c>
    </row>
    <row r="333" spans="1:6" x14ac:dyDescent="0.25">
      <c r="A333" s="21">
        <v>141820398.09</v>
      </c>
      <c r="C333" s="26">
        <v>328000000</v>
      </c>
      <c r="D333" s="27">
        <v>1</v>
      </c>
      <c r="E333" s="27">
        <f t="shared" si="10"/>
        <v>1E-4</v>
      </c>
      <c r="F333" s="27">
        <f t="shared" si="11"/>
        <v>0.97599999999999698</v>
      </c>
    </row>
    <row r="334" spans="1:6" x14ac:dyDescent="0.25">
      <c r="A334" s="21">
        <v>33589465.899999999</v>
      </c>
      <c r="C334" s="26">
        <v>329000000</v>
      </c>
      <c r="D334" s="27">
        <v>4</v>
      </c>
      <c r="E334" s="27">
        <f t="shared" si="10"/>
        <v>4.0000000000000002E-4</v>
      </c>
      <c r="F334" s="27">
        <f t="shared" si="11"/>
        <v>0.97639999999999694</v>
      </c>
    </row>
    <row r="335" spans="1:6" x14ac:dyDescent="0.25">
      <c r="A335" s="21">
        <v>88916824.930000007</v>
      </c>
      <c r="C335" s="26">
        <v>330000000</v>
      </c>
      <c r="D335" s="27">
        <v>4</v>
      </c>
      <c r="E335" s="27">
        <f t="shared" si="10"/>
        <v>4.0000000000000002E-4</v>
      </c>
      <c r="F335" s="27">
        <f t="shared" si="11"/>
        <v>0.97679999999999689</v>
      </c>
    </row>
    <row r="336" spans="1:6" x14ac:dyDescent="0.25">
      <c r="A336" s="21">
        <v>98525750.670000002</v>
      </c>
      <c r="C336" s="26">
        <v>331000000</v>
      </c>
      <c r="D336" s="27">
        <v>4</v>
      </c>
      <c r="E336" s="27">
        <f t="shared" si="10"/>
        <v>4.0000000000000002E-4</v>
      </c>
      <c r="F336" s="27">
        <f t="shared" si="11"/>
        <v>0.97719999999999685</v>
      </c>
    </row>
    <row r="337" spans="1:6" x14ac:dyDescent="0.25">
      <c r="A337" s="21">
        <v>89460402.75</v>
      </c>
      <c r="C337" s="26">
        <v>332000000</v>
      </c>
      <c r="D337" s="27">
        <v>3</v>
      </c>
      <c r="E337" s="27">
        <f t="shared" si="10"/>
        <v>2.9999999999999997E-4</v>
      </c>
      <c r="F337" s="27">
        <f t="shared" si="11"/>
        <v>0.97749999999999682</v>
      </c>
    </row>
    <row r="338" spans="1:6" x14ac:dyDescent="0.25">
      <c r="A338" s="21">
        <v>138904672.91</v>
      </c>
      <c r="C338" s="26">
        <v>333000000</v>
      </c>
      <c r="D338" s="27">
        <v>1</v>
      </c>
      <c r="E338" s="27">
        <f t="shared" si="10"/>
        <v>1E-4</v>
      </c>
      <c r="F338" s="27">
        <f t="shared" si="11"/>
        <v>0.9775999999999968</v>
      </c>
    </row>
    <row r="339" spans="1:6" x14ac:dyDescent="0.25">
      <c r="A339" s="21">
        <v>91201269.230000004</v>
      </c>
      <c r="C339" s="26">
        <v>334000000</v>
      </c>
      <c r="D339" s="27">
        <v>2</v>
      </c>
      <c r="E339" s="27">
        <f t="shared" si="10"/>
        <v>2.0000000000000001E-4</v>
      </c>
      <c r="F339" s="27">
        <f t="shared" si="11"/>
        <v>0.97779999999999678</v>
      </c>
    </row>
    <row r="340" spans="1:6" x14ac:dyDescent="0.25">
      <c r="A340" s="21">
        <v>18714277.5</v>
      </c>
      <c r="C340" s="26">
        <v>335000000</v>
      </c>
      <c r="D340" s="27">
        <v>1</v>
      </c>
      <c r="E340" s="27">
        <f t="shared" si="10"/>
        <v>1E-4</v>
      </c>
      <c r="F340" s="27">
        <f t="shared" si="11"/>
        <v>0.97789999999999677</v>
      </c>
    </row>
    <row r="341" spans="1:6" x14ac:dyDescent="0.25">
      <c r="A341" s="21">
        <v>66234188.539999999</v>
      </c>
      <c r="C341" s="26">
        <v>336000000</v>
      </c>
      <c r="D341" s="27">
        <v>1</v>
      </c>
      <c r="E341" s="27">
        <f t="shared" si="10"/>
        <v>1E-4</v>
      </c>
      <c r="F341" s="27">
        <f t="shared" si="11"/>
        <v>0.97799999999999676</v>
      </c>
    </row>
    <row r="342" spans="1:6" x14ac:dyDescent="0.25">
      <c r="A342" s="21">
        <v>3661769.09</v>
      </c>
      <c r="C342" s="26">
        <v>337000000</v>
      </c>
      <c r="D342" s="27">
        <v>2</v>
      </c>
      <c r="E342" s="27">
        <f t="shared" si="10"/>
        <v>2.0000000000000001E-4</v>
      </c>
      <c r="F342" s="27">
        <f t="shared" si="11"/>
        <v>0.97819999999999674</v>
      </c>
    </row>
    <row r="343" spans="1:6" x14ac:dyDescent="0.25">
      <c r="A343" s="21">
        <v>88642255.900000006</v>
      </c>
      <c r="C343" s="26">
        <v>338000000</v>
      </c>
      <c r="D343" s="27">
        <v>3</v>
      </c>
      <c r="E343" s="27">
        <f t="shared" si="10"/>
        <v>2.9999999999999997E-4</v>
      </c>
      <c r="F343" s="27">
        <f t="shared" si="11"/>
        <v>0.97849999999999671</v>
      </c>
    </row>
    <row r="344" spans="1:6" x14ac:dyDescent="0.25">
      <c r="A344" s="21">
        <v>212335774.40000001</v>
      </c>
      <c r="C344" s="26">
        <v>339000000</v>
      </c>
      <c r="D344" s="27">
        <v>1</v>
      </c>
      <c r="E344" s="27">
        <f t="shared" si="10"/>
        <v>1E-4</v>
      </c>
      <c r="F344" s="27">
        <f t="shared" si="11"/>
        <v>0.97859999999999669</v>
      </c>
    </row>
    <row r="345" spans="1:6" x14ac:dyDescent="0.25">
      <c r="A345" s="21">
        <v>67225624.969999999</v>
      </c>
      <c r="C345" s="26">
        <v>340000000</v>
      </c>
      <c r="D345" s="27">
        <v>3</v>
      </c>
      <c r="E345" s="27">
        <f t="shared" si="10"/>
        <v>2.9999999999999997E-4</v>
      </c>
      <c r="F345" s="27">
        <f t="shared" si="11"/>
        <v>0.97889999999999666</v>
      </c>
    </row>
    <row r="346" spans="1:6" x14ac:dyDescent="0.25">
      <c r="A346" s="21">
        <v>368909273.74000001</v>
      </c>
      <c r="C346" s="26">
        <v>341000000</v>
      </c>
      <c r="D346" s="27">
        <v>3</v>
      </c>
      <c r="E346" s="27">
        <f t="shared" si="10"/>
        <v>2.9999999999999997E-4</v>
      </c>
      <c r="F346" s="27">
        <f t="shared" si="11"/>
        <v>0.97919999999999663</v>
      </c>
    </row>
    <row r="347" spans="1:6" x14ac:dyDescent="0.25">
      <c r="A347" s="21">
        <v>98361842.780000001</v>
      </c>
      <c r="C347" s="26">
        <v>342000000</v>
      </c>
      <c r="D347" s="27">
        <v>2</v>
      </c>
      <c r="E347" s="27">
        <f t="shared" si="10"/>
        <v>2.0000000000000001E-4</v>
      </c>
      <c r="F347" s="27">
        <f t="shared" si="11"/>
        <v>0.97939999999999661</v>
      </c>
    </row>
    <row r="348" spans="1:6" x14ac:dyDescent="0.25">
      <c r="A348" s="21">
        <v>133286432.94</v>
      </c>
      <c r="C348" s="26">
        <v>343000000</v>
      </c>
      <c r="D348" s="27">
        <v>3</v>
      </c>
      <c r="E348" s="27">
        <f t="shared" si="10"/>
        <v>2.9999999999999997E-4</v>
      </c>
      <c r="F348" s="27">
        <f t="shared" si="11"/>
        <v>0.97969999999999657</v>
      </c>
    </row>
    <row r="349" spans="1:6" x14ac:dyDescent="0.25">
      <c r="A349" s="21">
        <v>26469793.43</v>
      </c>
      <c r="C349" s="26">
        <v>344000000</v>
      </c>
      <c r="D349" s="27">
        <v>2</v>
      </c>
      <c r="E349" s="27">
        <f t="shared" si="10"/>
        <v>2.0000000000000001E-4</v>
      </c>
      <c r="F349" s="27">
        <f t="shared" si="11"/>
        <v>0.97989999999999655</v>
      </c>
    </row>
    <row r="350" spans="1:6" x14ac:dyDescent="0.25">
      <c r="A350" s="21">
        <v>37110255.609999999</v>
      </c>
      <c r="C350" s="26">
        <v>345000000</v>
      </c>
      <c r="D350" s="27">
        <v>0</v>
      </c>
      <c r="E350" s="27">
        <f t="shared" si="10"/>
        <v>0</v>
      </c>
      <c r="F350" s="27">
        <f t="shared" si="11"/>
        <v>0.97989999999999655</v>
      </c>
    </row>
    <row r="351" spans="1:6" x14ac:dyDescent="0.25">
      <c r="A351" s="21">
        <v>35500686.289999999</v>
      </c>
      <c r="C351" s="26">
        <v>346000000</v>
      </c>
      <c r="D351" s="27">
        <v>2</v>
      </c>
      <c r="E351" s="27">
        <f t="shared" si="10"/>
        <v>2.0000000000000001E-4</v>
      </c>
      <c r="F351" s="27">
        <f t="shared" si="11"/>
        <v>0.98009999999999653</v>
      </c>
    </row>
    <row r="352" spans="1:6" x14ac:dyDescent="0.25">
      <c r="A352" s="21">
        <v>32767692.98</v>
      </c>
      <c r="C352" s="26">
        <v>347000000</v>
      </c>
      <c r="D352" s="27">
        <v>0</v>
      </c>
      <c r="E352" s="27">
        <f t="shared" si="10"/>
        <v>0</v>
      </c>
      <c r="F352" s="27">
        <f t="shared" si="11"/>
        <v>0.98009999999999653</v>
      </c>
    </row>
    <row r="353" spans="1:6" x14ac:dyDescent="0.25">
      <c r="A353" s="21">
        <v>44495632.810000002</v>
      </c>
      <c r="C353" s="26">
        <v>348000000</v>
      </c>
      <c r="D353" s="27">
        <v>0</v>
      </c>
      <c r="E353" s="27">
        <f t="shared" si="10"/>
        <v>0</v>
      </c>
      <c r="F353" s="27">
        <f t="shared" si="11"/>
        <v>0.98009999999999653</v>
      </c>
    </row>
    <row r="354" spans="1:6" x14ac:dyDescent="0.25">
      <c r="A354" s="21">
        <v>67007982.170000002</v>
      </c>
      <c r="C354" s="26">
        <v>349000000</v>
      </c>
      <c r="D354" s="27">
        <v>3</v>
      </c>
      <c r="E354" s="27">
        <f t="shared" si="10"/>
        <v>2.9999999999999997E-4</v>
      </c>
      <c r="F354" s="27">
        <f t="shared" si="11"/>
        <v>0.9803999999999965</v>
      </c>
    </row>
    <row r="355" spans="1:6" x14ac:dyDescent="0.25">
      <c r="A355">
        <v>0</v>
      </c>
      <c r="C355" s="26">
        <v>350000000</v>
      </c>
      <c r="D355" s="27">
        <v>2</v>
      </c>
      <c r="E355" s="27">
        <f t="shared" si="10"/>
        <v>2.0000000000000001E-4</v>
      </c>
      <c r="F355" s="27">
        <f t="shared" si="11"/>
        <v>0.98059999999999647</v>
      </c>
    </row>
    <row r="356" spans="1:6" x14ac:dyDescent="0.25">
      <c r="A356" s="21">
        <v>64887175.270000003</v>
      </c>
      <c r="C356" s="26">
        <v>351000000</v>
      </c>
      <c r="D356" s="27">
        <v>1</v>
      </c>
      <c r="E356" s="27">
        <f t="shared" si="10"/>
        <v>1E-4</v>
      </c>
      <c r="F356" s="27">
        <f t="shared" si="11"/>
        <v>0.98069999999999646</v>
      </c>
    </row>
    <row r="357" spans="1:6" x14ac:dyDescent="0.25">
      <c r="A357" s="21">
        <v>294785499.38</v>
      </c>
      <c r="C357" s="26">
        <v>352000000</v>
      </c>
      <c r="D357" s="27">
        <v>1</v>
      </c>
      <c r="E357" s="27">
        <f t="shared" si="10"/>
        <v>1E-4</v>
      </c>
      <c r="F357" s="27">
        <f t="shared" si="11"/>
        <v>0.98079999999999645</v>
      </c>
    </row>
    <row r="358" spans="1:6" x14ac:dyDescent="0.25">
      <c r="A358" s="21">
        <v>18719461.969999999</v>
      </c>
      <c r="C358" s="26">
        <v>353000000</v>
      </c>
      <c r="D358" s="27">
        <v>0</v>
      </c>
      <c r="E358" s="27">
        <f t="shared" si="10"/>
        <v>0</v>
      </c>
      <c r="F358" s="27">
        <f t="shared" si="11"/>
        <v>0.98079999999999645</v>
      </c>
    </row>
    <row r="359" spans="1:6" x14ac:dyDescent="0.25">
      <c r="A359" s="21">
        <v>129832856.7</v>
      </c>
      <c r="C359" s="26">
        <v>354000000</v>
      </c>
      <c r="D359" s="27">
        <v>5</v>
      </c>
      <c r="E359" s="27">
        <f t="shared" si="10"/>
        <v>5.0000000000000001E-4</v>
      </c>
      <c r="F359" s="27">
        <f t="shared" si="11"/>
        <v>0.9812999999999964</v>
      </c>
    </row>
    <row r="360" spans="1:6" x14ac:dyDescent="0.25">
      <c r="A360" s="21">
        <v>55263483.399999999</v>
      </c>
      <c r="C360" s="26">
        <v>355000000</v>
      </c>
      <c r="D360" s="27">
        <v>3</v>
      </c>
      <c r="E360" s="27">
        <f t="shared" si="10"/>
        <v>2.9999999999999997E-4</v>
      </c>
      <c r="F360" s="27">
        <f t="shared" si="11"/>
        <v>0.98159999999999636</v>
      </c>
    </row>
    <row r="361" spans="1:6" x14ac:dyDescent="0.25">
      <c r="A361" s="21">
        <v>84774704.790000007</v>
      </c>
      <c r="C361" s="26">
        <v>356000000</v>
      </c>
      <c r="D361" s="27">
        <v>1</v>
      </c>
      <c r="E361" s="27">
        <f t="shared" si="10"/>
        <v>1E-4</v>
      </c>
      <c r="F361" s="27">
        <f t="shared" si="11"/>
        <v>0.98169999999999635</v>
      </c>
    </row>
    <row r="362" spans="1:6" x14ac:dyDescent="0.25">
      <c r="A362">
        <v>0</v>
      </c>
      <c r="C362" s="26">
        <v>357000000</v>
      </c>
      <c r="D362" s="27">
        <v>4</v>
      </c>
      <c r="E362" s="27">
        <f t="shared" si="10"/>
        <v>4.0000000000000002E-4</v>
      </c>
      <c r="F362" s="27">
        <f t="shared" si="11"/>
        <v>0.98209999999999631</v>
      </c>
    </row>
    <row r="363" spans="1:6" x14ac:dyDescent="0.25">
      <c r="A363" s="21">
        <v>36867233.399999999</v>
      </c>
      <c r="C363" s="26">
        <v>358000000</v>
      </c>
      <c r="D363" s="27">
        <v>1</v>
      </c>
      <c r="E363" s="27">
        <f t="shared" si="10"/>
        <v>1E-4</v>
      </c>
      <c r="F363" s="27">
        <f t="shared" si="11"/>
        <v>0.9821999999999963</v>
      </c>
    </row>
    <row r="364" spans="1:6" x14ac:dyDescent="0.25">
      <c r="A364" s="21">
        <v>24584116.120000001</v>
      </c>
      <c r="C364" s="26">
        <v>359000000</v>
      </c>
      <c r="D364" s="27">
        <v>1</v>
      </c>
      <c r="E364" s="27">
        <f t="shared" si="10"/>
        <v>1E-4</v>
      </c>
      <c r="F364" s="27">
        <f t="shared" si="11"/>
        <v>0.98229999999999629</v>
      </c>
    </row>
    <row r="365" spans="1:6" x14ac:dyDescent="0.25">
      <c r="A365" s="21">
        <v>64132220.450000003</v>
      </c>
      <c r="C365" s="26">
        <v>360000000</v>
      </c>
      <c r="D365" s="27">
        <v>2</v>
      </c>
      <c r="E365" s="27">
        <f t="shared" si="10"/>
        <v>2.0000000000000001E-4</v>
      </c>
      <c r="F365" s="27">
        <f t="shared" si="11"/>
        <v>0.98249999999999627</v>
      </c>
    </row>
    <row r="366" spans="1:6" x14ac:dyDescent="0.25">
      <c r="A366" s="21">
        <v>80190200.760000005</v>
      </c>
      <c r="C366" s="26">
        <v>361000000</v>
      </c>
      <c r="D366" s="27">
        <v>3</v>
      </c>
      <c r="E366" s="27">
        <f t="shared" si="10"/>
        <v>2.9999999999999997E-4</v>
      </c>
      <c r="F366" s="27">
        <f t="shared" si="11"/>
        <v>0.98279999999999623</v>
      </c>
    </row>
    <row r="367" spans="1:6" x14ac:dyDescent="0.25">
      <c r="A367" s="21">
        <v>55955623.869999997</v>
      </c>
      <c r="C367" s="26">
        <v>362000000</v>
      </c>
      <c r="D367" s="27">
        <v>3</v>
      </c>
      <c r="E367" s="27">
        <f t="shared" si="10"/>
        <v>2.9999999999999997E-4</v>
      </c>
      <c r="F367" s="27">
        <f t="shared" si="11"/>
        <v>0.9830999999999962</v>
      </c>
    </row>
    <row r="368" spans="1:6" x14ac:dyDescent="0.25">
      <c r="A368" s="21">
        <v>32323356.07</v>
      </c>
      <c r="C368" s="26">
        <v>363000000</v>
      </c>
      <c r="D368" s="27">
        <v>2</v>
      </c>
      <c r="E368" s="27">
        <f t="shared" si="10"/>
        <v>2.0000000000000001E-4</v>
      </c>
      <c r="F368" s="27">
        <f t="shared" si="11"/>
        <v>0.98329999999999618</v>
      </c>
    </row>
    <row r="369" spans="1:7" x14ac:dyDescent="0.25">
      <c r="A369" s="21">
        <v>20472286.84</v>
      </c>
      <c r="C369" s="26">
        <v>364000000</v>
      </c>
      <c r="D369" s="27">
        <v>4</v>
      </c>
      <c r="E369" s="27">
        <f t="shared" si="10"/>
        <v>4.0000000000000002E-4</v>
      </c>
      <c r="F369" s="27">
        <f t="shared" si="11"/>
        <v>0.98369999999999613</v>
      </c>
    </row>
    <row r="370" spans="1:7" x14ac:dyDescent="0.25">
      <c r="A370" s="21">
        <v>4553626.1900000004</v>
      </c>
      <c r="C370" s="26">
        <v>365000000</v>
      </c>
      <c r="D370" s="27">
        <v>1</v>
      </c>
      <c r="E370" s="27">
        <f t="shared" si="10"/>
        <v>1E-4</v>
      </c>
      <c r="F370" s="27">
        <f t="shared" si="11"/>
        <v>0.98379999999999612</v>
      </c>
    </row>
    <row r="371" spans="1:7" x14ac:dyDescent="0.25">
      <c r="A371" s="21">
        <v>83754935.590000004</v>
      </c>
      <c r="C371" s="26">
        <v>366000000</v>
      </c>
      <c r="D371" s="27">
        <v>1</v>
      </c>
      <c r="E371" s="27">
        <f t="shared" si="10"/>
        <v>1E-4</v>
      </c>
      <c r="F371" s="27">
        <f t="shared" si="11"/>
        <v>0.98389999999999611</v>
      </c>
    </row>
    <row r="372" spans="1:7" x14ac:dyDescent="0.25">
      <c r="A372" s="21">
        <v>62520376.090000004</v>
      </c>
      <c r="C372" s="26">
        <v>367000000</v>
      </c>
      <c r="D372" s="27">
        <v>0</v>
      </c>
      <c r="E372" s="27">
        <f t="shared" si="10"/>
        <v>0</v>
      </c>
      <c r="F372" s="27">
        <f t="shared" si="11"/>
        <v>0.98389999999999611</v>
      </c>
    </row>
    <row r="373" spans="1:7" x14ac:dyDescent="0.25">
      <c r="A373" s="21">
        <v>8965043.5399999898</v>
      </c>
      <c r="C373" s="26">
        <v>368000000</v>
      </c>
      <c r="D373" s="27">
        <v>0</v>
      </c>
      <c r="E373" s="27">
        <f t="shared" si="10"/>
        <v>0</v>
      </c>
      <c r="F373" s="27">
        <f t="shared" si="11"/>
        <v>0.98389999999999611</v>
      </c>
    </row>
    <row r="374" spans="1:7" x14ac:dyDescent="0.25">
      <c r="A374" s="21">
        <v>201192446.56</v>
      </c>
      <c r="C374" s="26">
        <v>369000000</v>
      </c>
      <c r="D374" s="27">
        <v>2</v>
      </c>
      <c r="E374" s="27">
        <f t="shared" si="10"/>
        <v>2.0000000000000001E-4</v>
      </c>
      <c r="F374" s="27">
        <f t="shared" si="11"/>
        <v>0.98409999999999609</v>
      </c>
    </row>
    <row r="375" spans="1:7" x14ac:dyDescent="0.25">
      <c r="A375" s="21">
        <v>403748035.17000002</v>
      </c>
      <c r="C375" s="26">
        <v>370000000</v>
      </c>
      <c r="D375" s="27">
        <v>3</v>
      </c>
      <c r="E375" s="27">
        <f t="shared" si="10"/>
        <v>2.9999999999999997E-4</v>
      </c>
      <c r="F375" s="27">
        <f t="shared" si="11"/>
        <v>0.98439999999999606</v>
      </c>
    </row>
    <row r="376" spans="1:7" x14ac:dyDescent="0.25">
      <c r="A376" s="21">
        <v>103254689.34999999</v>
      </c>
      <c r="C376" s="26">
        <v>371000000</v>
      </c>
      <c r="D376" s="27">
        <v>3</v>
      </c>
      <c r="E376" s="27">
        <f t="shared" si="10"/>
        <v>2.9999999999999997E-4</v>
      </c>
      <c r="F376" s="27">
        <f t="shared" si="11"/>
        <v>0.98469999999999602</v>
      </c>
    </row>
    <row r="377" spans="1:7" x14ac:dyDescent="0.25">
      <c r="A377" s="21">
        <v>146104701.65000001</v>
      </c>
      <c r="C377" s="26">
        <v>372000000</v>
      </c>
      <c r="D377" s="27">
        <v>0</v>
      </c>
      <c r="E377" s="27">
        <f t="shared" si="10"/>
        <v>0</v>
      </c>
      <c r="F377" s="27">
        <f t="shared" si="11"/>
        <v>0.98469999999999602</v>
      </c>
    </row>
    <row r="378" spans="1:7" x14ac:dyDescent="0.25">
      <c r="A378" s="21">
        <v>21876274.059999999</v>
      </c>
      <c r="C378" s="26">
        <v>373000000</v>
      </c>
      <c r="D378" s="27">
        <v>0</v>
      </c>
      <c r="E378" s="27">
        <f t="shared" si="10"/>
        <v>0</v>
      </c>
      <c r="F378" s="27">
        <f t="shared" si="11"/>
        <v>0.98469999999999602</v>
      </c>
    </row>
    <row r="379" spans="1:7" x14ac:dyDescent="0.25">
      <c r="A379" s="21">
        <v>191614249.52000001</v>
      </c>
      <c r="C379" s="26">
        <v>374000000</v>
      </c>
      <c r="D379" s="27">
        <v>0</v>
      </c>
      <c r="E379" s="27">
        <f t="shared" si="10"/>
        <v>0</v>
      </c>
      <c r="F379" s="27">
        <f t="shared" si="11"/>
        <v>0.98469999999999602</v>
      </c>
      <c r="G379" s="28">
        <f>1-F379</f>
        <v>1.5300000000003977E-2</v>
      </c>
    </row>
    <row r="380" spans="1:7" x14ac:dyDescent="0.25">
      <c r="A380" s="21">
        <v>14150793.560000001</v>
      </c>
      <c r="C380" s="7">
        <v>375000000</v>
      </c>
      <c r="D380">
        <v>2</v>
      </c>
      <c r="E380">
        <f t="shared" si="10"/>
        <v>2.0000000000000001E-4</v>
      </c>
      <c r="F380">
        <f t="shared" si="11"/>
        <v>0.984899999999996</v>
      </c>
    </row>
    <row r="381" spans="1:7" x14ac:dyDescent="0.25">
      <c r="A381" s="21">
        <v>27932300.870000001</v>
      </c>
      <c r="C381" s="7">
        <v>376000000</v>
      </c>
      <c r="D381">
        <v>3</v>
      </c>
      <c r="E381">
        <f t="shared" si="10"/>
        <v>2.9999999999999997E-4</v>
      </c>
      <c r="F381">
        <f t="shared" si="11"/>
        <v>0.98519999999999597</v>
      </c>
    </row>
    <row r="382" spans="1:7" x14ac:dyDescent="0.25">
      <c r="A382">
        <v>5351589</v>
      </c>
      <c r="C382" s="7">
        <v>377000000</v>
      </c>
      <c r="D382">
        <v>0</v>
      </c>
      <c r="E382">
        <f t="shared" si="10"/>
        <v>0</v>
      </c>
      <c r="F382">
        <f t="shared" si="11"/>
        <v>0.98519999999999597</v>
      </c>
    </row>
    <row r="383" spans="1:7" x14ac:dyDescent="0.25">
      <c r="A383" s="21">
        <v>23181166.379999999</v>
      </c>
      <c r="C383" s="7">
        <v>378000000</v>
      </c>
      <c r="D383">
        <v>0</v>
      </c>
      <c r="E383">
        <f t="shared" si="10"/>
        <v>0</v>
      </c>
      <c r="F383">
        <f t="shared" si="11"/>
        <v>0.98519999999999597</v>
      </c>
    </row>
    <row r="384" spans="1:7" x14ac:dyDescent="0.25">
      <c r="A384" s="21">
        <v>26995307.629999999</v>
      </c>
      <c r="C384" s="7">
        <v>379000000</v>
      </c>
      <c r="D384">
        <v>2</v>
      </c>
      <c r="E384">
        <f t="shared" si="10"/>
        <v>2.0000000000000001E-4</v>
      </c>
      <c r="F384">
        <f t="shared" si="11"/>
        <v>0.98539999999999595</v>
      </c>
    </row>
    <row r="385" spans="1:6" x14ac:dyDescent="0.25">
      <c r="A385" s="21">
        <v>39658858.789999999</v>
      </c>
      <c r="C385" s="7">
        <v>380000000</v>
      </c>
      <c r="D385">
        <v>2</v>
      </c>
      <c r="E385">
        <f t="shared" si="10"/>
        <v>2.0000000000000001E-4</v>
      </c>
      <c r="F385">
        <f t="shared" si="11"/>
        <v>0.98559999999999592</v>
      </c>
    </row>
    <row r="386" spans="1:6" x14ac:dyDescent="0.25">
      <c r="A386">
        <v>0</v>
      </c>
      <c r="C386" s="7">
        <v>381000000</v>
      </c>
      <c r="D386">
        <v>0</v>
      </c>
      <c r="E386">
        <f t="shared" si="10"/>
        <v>0</v>
      </c>
      <c r="F386">
        <f t="shared" si="11"/>
        <v>0.98559999999999592</v>
      </c>
    </row>
    <row r="387" spans="1:6" x14ac:dyDescent="0.25">
      <c r="A387" s="21">
        <v>17539944.379999999</v>
      </c>
      <c r="C387" s="7">
        <v>382000000</v>
      </c>
      <c r="D387">
        <v>2</v>
      </c>
      <c r="E387">
        <f t="shared" si="10"/>
        <v>2.0000000000000001E-4</v>
      </c>
      <c r="F387">
        <f t="shared" si="11"/>
        <v>0.9857999999999959</v>
      </c>
    </row>
    <row r="388" spans="1:6" x14ac:dyDescent="0.25">
      <c r="A388" s="21">
        <v>83181980.859999999</v>
      </c>
      <c r="C388" s="7">
        <v>383000000</v>
      </c>
      <c r="D388">
        <v>0</v>
      </c>
      <c r="E388">
        <f t="shared" si="10"/>
        <v>0</v>
      </c>
      <c r="F388">
        <f t="shared" si="11"/>
        <v>0.9857999999999959</v>
      </c>
    </row>
    <row r="389" spans="1:6" x14ac:dyDescent="0.25">
      <c r="A389" s="21">
        <v>171643354.41</v>
      </c>
      <c r="C389" s="7">
        <v>384000000</v>
      </c>
      <c r="D389">
        <v>1</v>
      </c>
      <c r="E389">
        <f t="shared" si="10"/>
        <v>1E-4</v>
      </c>
      <c r="F389">
        <f t="shared" si="11"/>
        <v>0.98589999999999589</v>
      </c>
    </row>
    <row r="390" spans="1:6" x14ac:dyDescent="0.25">
      <c r="A390" s="21">
        <v>124090040.86</v>
      </c>
      <c r="C390" s="7">
        <v>385000000</v>
      </c>
      <c r="D390">
        <v>1</v>
      </c>
      <c r="E390">
        <f t="shared" ref="E390:E453" si="12">D390/10000</f>
        <v>1E-4</v>
      </c>
      <c r="F390">
        <f t="shared" si="11"/>
        <v>0.98599999999999588</v>
      </c>
    </row>
    <row r="391" spans="1:6" x14ac:dyDescent="0.25">
      <c r="A391" s="21">
        <v>178542050.44999999</v>
      </c>
      <c r="C391" s="7">
        <v>386000000</v>
      </c>
      <c r="D391">
        <v>2</v>
      </c>
      <c r="E391">
        <f t="shared" si="12"/>
        <v>2.0000000000000001E-4</v>
      </c>
      <c r="F391">
        <f t="shared" ref="F391:F454" si="13">E391+F390</f>
        <v>0.98619999999999586</v>
      </c>
    </row>
    <row r="392" spans="1:6" x14ac:dyDescent="0.25">
      <c r="A392" s="21">
        <v>93196431.829999998</v>
      </c>
      <c r="C392" s="7">
        <v>387000000</v>
      </c>
      <c r="D392">
        <v>2</v>
      </c>
      <c r="E392">
        <f t="shared" si="12"/>
        <v>2.0000000000000001E-4</v>
      </c>
      <c r="F392">
        <f t="shared" si="13"/>
        <v>0.98639999999999584</v>
      </c>
    </row>
    <row r="393" spans="1:6" x14ac:dyDescent="0.25">
      <c r="A393" s="21">
        <v>85522134.810000002</v>
      </c>
      <c r="C393" s="7">
        <v>388000000</v>
      </c>
      <c r="D393">
        <v>3</v>
      </c>
      <c r="E393">
        <f t="shared" si="12"/>
        <v>2.9999999999999997E-4</v>
      </c>
      <c r="F393">
        <f t="shared" si="13"/>
        <v>0.9866999999999958</v>
      </c>
    </row>
    <row r="394" spans="1:6" x14ac:dyDescent="0.25">
      <c r="A394" s="21">
        <v>47981159.159999996</v>
      </c>
      <c r="C394" s="7">
        <v>389000000</v>
      </c>
      <c r="D394">
        <v>1</v>
      </c>
      <c r="E394">
        <f t="shared" si="12"/>
        <v>1E-4</v>
      </c>
      <c r="F394">
        <f t="shared" si="13"/>
        <v>0.98679999999999579</v>
      </c>
    </row>
    <row r="395" spans="1:6" x14ac:dyDescent="0.25">
      <c r="A395" s="21">
        <v>453889276.69</v>
      </c>
      <c r="C395" s="7">
        <v>390000000</v>
      </c>
      <c r="D395">
        <v>0</v>
      </c>
      <c r="E395">
        <f t="shared" si="12"/>
        <v>0</v>
      </c>
      <c r="F395">
        <f t="shared" si="13"/>
        <v>0.98679999999999579</v>
      </c>
    </row>
    <row r="396" spans="1:6" x14ac:dyDescent="0.25">
      <c r="A396" s="21">
        <v>52953703.679999903</v>
      </c>
      <c r="C396" s="7">
        <v>391000000</v>
      </c>
      <c r="D396">
        <v>1</v>
      </c>
      <c r="E396">
        <f t="shared" si="12"/>
        <v>1E-4</v>
      </c>
      <c r="F396">
        <f t="shared" si="13"/>
        <v>0.98689999999999578</v>
      </c>
    </row>
    <row r="397" spans="1:6" x14ac:dyDescent="0.25">
      <c r="A397" s="21">
        <v>138120402.13999999</v>
      </c>
      <c r="C397" s="7">
        <v>392000000</v>
      </c>
      <c r="D397">
        <v>2</v>
      </c>
      <c r="E397">
        <f t="shared" si="12"/>
        <v>2.0000000000000001E-4</v>
      </c>
      <c r="F397">
        <f t="shared" si="13"/>
        <v>0.98709999999999576</v>
      </c>
    </row>
    <row r="398" spans="1:6" x14ac:dyDescent="0.25">
      <c r="A398" s="21">
        <v>12437939.23</v>
      </c>
      <c r="C398" s="7">
        <v>393000000</v>
      </c>
      <c r="D398">
        <v>0</v>
      </c>
      <c r="E398">
        <f t="shared" si="12"/>
        <v>0</v>
      </c>
      <c r="F398">
        <f t="shared" si="13"/>
        <v>0.98709999999999576</v>
      </c>
    </row>
    <row r="399" spans="1:6" x14ac:dyDescent="0.25">
      <c r="A399" s="21">
        <v>33744543.57</v>
      </c>
      <c r="C399" s="7">
        <v>394000000</v>
      </c>
      <c r="D399">
        <v>1</v>
      </c>
      <c r="E399">
        <f t="shared" si="12"/>
        <v>1E-4</v>
      </c>
      <c r="F399">
        <f t="shared" si="13"/>
        <v>0.98719999999999575</v>
      </c>
    </row>
    <row r="400" spans="1:6" x14ac:dyDescent="0.25">
      <c r="A400" s="21">
        <v>16657563.619999999</v>
      </c>
      <c r="C400" s="7">
        <v>395000000</v>
      </c>
      <c r="D400">
        <v>1</v>
      </c>
      <c r="E400">
        <f t="shared" si="12"/>
        <v>1E-4</v>
      </c>
      <c r="F400">
        <f t="shared" si="13"/>
        <v>0.98729999999999574</v>
      </c>
    </row>
    <row r="401" spans="1:6" x14ac:dyDescent="0.25">
      <c r="A401" s="21">
        <v>21870000.41</v>
      </c>
      <c r="C401" s="7">
        <v>396000000</v>
      </c>
      <c r="D401">
        <v>2</v>
      </c>
      <c r="E401">
        <f t="shared" si="12"/>
        <v>2.0000000000000001E-4</v>
      </c>
      <c r="F401">
        <f t="shared" si="13"/>
        <v>0.98749999999999571</v>
      </c>
    </row>
    <row r="402" spans="1:6" x14ac:dyDescent="0.25">
      <c r="A402" s="21">
        <v>84954130.209999993</v>
      </c>
      <c r="C402" s="7">
        <v>397000000</v>
      </c>
      <c r="D402">
        <v>0</v>
      </c>
      <c r="E402">
        <f t="shared" si="12"/>
        <v>0</v>
      </c>
      <c r="F402">
        <f t="shared" si="13"/>
        <v>0.98749999999999571</v>
      </c>
    </row>
    <row r="403" spans="1:6" x14ac:dyDescent="0.25">
      <c r="A403" s="21">
        <v>29037673.18</v>
      </c>
      <c r="C403" s="7">
        <v>398000000</v>
      </c>
      <c r="D403">
        <v>1</v>
      </c>
      <c r="E403">
        <f t="shared" si="12"/>
        <v>1E-4</v>
      </c>
      <c r="F403">
        <f t="shared" si="13"/>
        <v>0.9875999999999957</v>
      </c>
    </row>
    <row r="404" spans="1:6" x14ac:dyDescent="0.25">
      <c r="A404">
        <v>0</v>
      </c>
      <c r="C404" s="7">
        <v>399000000</v>
      </c>
      <c r="D404">
        <v>0</v>
      </c>
      <c r="E404">
        <f t="shared" si="12"/>
        <v>0</v>
      </c>
      <c r="F404">
        <f t="shared" si="13"/>
        <v>0.9875999999999957</v>
      </c>
    </row>
    <row r="405" spans="1:6" x14ac:dyDescent="0.25">
      <c r="A405" s="21">
        <v>97563143.459999993</v>
      </c>
      <c r="C405" s="7">
        <v>400000000</v>
      </c>
      <c r="D405">
        <v>2</v>
      </c>
      <c r="E405">
        <f t="shared" si="12"/>
        <v>2.0000000000000001E-4</v>
      </c>
      <c r="F405">
        <f t="shared" si="13"/>
        <v>0.98779999999999568</v>
      </c>
    </row>
    <row r="406" spans="1:6" x14ac:dyDescent="0.25">
      <c r="A406" s="21">
        <v>23568881.280000001</v>
      </c>
      <c r="C406" s="7">
        <v>401000000</v>
      </c>
      <c r="D406">
        <v>2</v>
      </c>
      <c r="E406">
        <f t="shared" si="12"/>
        <v>2.0000000000000001E-4</v>
      </c>
      <c r="F406">
        <f t="shared" si="13"/>
        <v>0.98799999999999566</v>
      </c>
    </row>
    <row r="407" spans="1:6" x14ac:dyDescent="0.25">
      <c r="A407" s="21">
        <v>221199206.94</v>
      </c>
      <c r="C407" s="7">
        <v>402000000</v>
      </c>
      <c r="D407">
        <v>1</v>
      </c>
      <c r="E407">
        <f t="shared" si="12"/>
        <v>1E-4</v>
      </c>
      <c r="F407">
        <f t="shared" si="13"/>
        <v>0.98809999999999565</v>
      </c>
    </row>
    <row r="408" spans="1:6" x14ac:dyDescent="0.25">
      <c r="A408" s="21">
        <v>107267415.61</v>
      </c>
      <c r="C408" s="7">
        <v>403000000</v>
      </c>
      <c r="D408">
        <v>0</v>
      </c>
      <c r="E408">
        <f t="shared" si="12"/>
        <v>0</v>
      </c>
      <c r="F408">
        <f t="shared" si="13"/>
        <v>0.98809999999999565</v>
      </c>
    </row>
    <row r="409" spans="1:6" x14ac:dyDescent="0.25">
      <c r="A409" s="21">
        <v>158871812.59999999</v>
      </c>
      <c r="C409" s="7">
        <v>404000000</v>
      </c>
      <c r="D409">
        <v>3</v>
      </c>
      <c r="E409">
        <f t="shared" si="12"/>
        <v>2.9999999999999997E-4</v>
      </c>
      <c r="F409">
        <f t="shared" si="13"/>
        <v>0.98839999999999562</v>
      </c>
    </row>
    <row r="410" spans="1:6" x14ac:dyDescent="0.25">
      <c r="A410" s="21">
        <v>21226328.140000001</v>
      </c>
      <c r="C410" s="7">
        <v>405000000</v>
      </c>
      <c r="D410">
        <v>0</v>
      </c>
      <c r="E410">
        <f t="shared" si="12"/>
        <v>0</v>
      </c>
      <c r="F410">
        <f t="shared" si="13"/>
        <v>0.98839999999999562</v>
      </c>
    </row>
    <row r="411" spans="1:6" x14ac:dyDescent="0.25">
      <c r="A411" s="21">
        <v>51008117.390000001</v>
      </c>
      <c r="C411" s="7">
        <v>406000000</v>
      </c>
      <c r="D411">
        <v>0</v>
      </c>
      <c r="E411">
        <f t="shared" si="12"/>
        <v>0</v>
      </c>
      <c r="F411">
        <f t="shared" si="13"/>
        <v>0.98839999999999562</v>
      </c>
    </row>
    <row r="412" spans="1:6" x14ac:dyDescent="0.25">
      <c r="A412" s="21">
        <v>37070571.990000002</v>
      </c>
      <c r="C412" s="7">
        <v>407000000</v>
      </c>
      <c r="D412">
        <v>1</v>
      </c>
      <c r="E412">
        <f t="shared" si="12"/>
        <v>1E-4</v>
      </c>
      <c r="F412">
        <f t="shared" si="13"/>
        <v>0.9884999999999956</v>
      </c>
    </row>
    <row r="413" spans="1:6" x14ac:dyDescent="0.25">
      <c r="A413" s="21">
        <v>67476393.909999996</v>
      </c>
      <c r="C413" s="7">
        <v>408000000</v>
      </c>
      <c r="D413">
        <v>0</v>
      </c>
      <c r="E413">
        <f t="shared" si="12"/>
        <v>0</v>
      </c>
      <c r="F413">
        <f t="shared" si="13"/>
        <v>0.9884999999999956</v>
      </c>
    </row>
    <row r="414" spans="1:6" x14ac:dyDescent="0.25">
      <c r="A414" s="21">
        <v>84526483.290000007</v>
      </c>
      <c r="C414" s="7">
        <v>409000000</v>
      </c>
      <c r="D414">
        <v>0</v>
      </c>
      <c r="E414">
        <f t="shared" si="12"/>
        <v>0</v>
      </c>
      <c r="F414">
        <f t="shared" si="13"/>
        <v>0.9884999999999956</v>
      </c>
    </row>
    <row r="415" spans="1:6" x14ac:dyDescent="0.25">
      <c r="A415" s="21">
        <v>4444873.13</v>
      </c>
      <c r="C415" s="7">
        <v>410000000</v>
      </c>
      <c r="D415">
        <v>3</v>
      </c>
      <c r="E415">
        <f t="shared" si="12"/>
        <v>2.9999999999999997E-4</v>
      </c>
      <c r="F415">
        <f t="shared" si="13"/>
        <v>0.98879999999999557</v>
      </c>
    </row>
    <row r="416" spans="1:6" x14ac:dyDescent="0.25">
      <c r="A416" s="21">
        <v>252517496.16</v>
      </c>
      <c r="C416" s="7">
        <v>411000000</v>
      </c>
      <c r="D416">
        <v>2</v>
      </c>
      <c r="E416">
        <f t="shared" si="12"/>
        <v>2.0000000000000001E-4</v>
      </c>
      <c r="F416">
        <f t="shared" si="13"/>
        <v>0.98899999999999555</v>
      </c>
    </row>
    <row r="417" spans="1:6" x14ac:dyDescent="0.25">
      <c r="A417" s="21">
        <v>69475514.290000007</v>
      </c>
      <c r="C417" s="7">
        <v>412000000</v>
      </c>
      <c r="D417">
        <v>1</v>
      </c>
      <c r="E417">
        <f t="shared" si="12"/>
        <v>1E-4</v>
      </c>
      <c r="F417">
        <f t="shared" si="13"/>
        <v>0.98909999999999554</v>
      </c>
    </row>
    <row r="418" spans="1:6" x14ac:dyDescent="0.25">
      <c r="A418" s="21">
        <v>31671785.940000001</v>
      </c>
      <c r="C418" s="7">
        <v>413000000</v>
      </c>
      <c r="D418">
        <v>0</v>
      </c>
      <c r="E418">
        <f t="shared" si="12"/>
        <v>0</v>
      </c>
      <c r="F418">
        <f t="shared" si="13"/>
        <v>0.98909999999999554</v>
      </c>
    </row>
    <row r="419" spans="1:6" x14ac:dyDescent="0.25">
      <c r="A419" s="21">
        <v>57044406.18</v>
      </c>
      <c r="C419" s="7">
        <v>414000000</v>
      </c>
      <c r="D419">
        <v>1</v>
      </c>
      <c r="E419">
        <f t="shared" si="12"/>
        <v>1E-4</v>
      </c>
      <c r="F419">
        <f t="shared" si="13"/>
        <v>0.98919999999999553</v>
      </c>
    </row>
    <row r="420" spans="1:6" x14ac:dyDescent="0.25">
      <c r="A420" s="21">
        <v>160819624.78999999</v>
      </c>
      <c r="C420" s="7">
        <v>415000000</v>
      </c>
      <c r="D420">
        <v>0</v>
      </c>
      <c r="E420">
        <f t="shared" si="12"/>
        <v>0</v>
      </c>
      <c r="F420">
        <f t="shared" si="13"/>
        <v>0.98919999999999553</v>
      </c>
    </row>
    <row r="421" spans="1:6" x14ac:dyDescent="0.25">
      <c r="A421" s="21">
        <v>32730121.41</v>
      </c>
      <c r="C421" s="7">
        <v>416000000</v>
      </c>
      <c r="D421">
        <v>0</v>
      </c>
      <c r="E421">
        <f t="shared" si="12"/>
        <v>0</v>
      </c>
      <c r="F421">
        <f t="shared" si="13"/>
        <v>0.98919999999999553</v>
      </c>
    </row>
    <row r="422" spans="1:6" x14ac:dyDescent="0.25">
      <c r="A422" s="21">
        <v>86026293.280000001</v>
      </c>
      <c r="C422" s="7">
        <v>417000000</v>
      </c>
      <c r="D422">
        <v>1</v>
      </c>
      <c r="E422">
        <f t="shared" si="12"/>
        <v>1E-4</v>
      </c>
      <c r="F422">
        <f t="shared" si="13"/>
        <v>0.98929999999999552</v>
      </c>
    </row>
    <row r="423" spans="1:6" x14ac:dyDescent="0.25">
      <c r="A423" s="21">
        <v>69686960.560000002</v>
      </c>
      <c r="C423" s="7">
        <v>418000000</v>
      </c>
      <c r="D423">
        <v>1</v>
      </c>
      <c r="E423">
        <f t="shared" si="12"/>
        <v>1E-4</v>
      </c>
      <c r="F423">
        <f t="shared" si="13"/>
        <v>0.98939999999999551</v>
      </c>
    </row>
    <row r="424" spans="1:6" x14ac:dyDescent="0.25">
      <c r="A424" s="21">
        <v>68462974.040000007</v>
      </c>
      <c r="C424" s="7">
        <v>419000000</v>
      </c>
      <c r="D424">
        <v>1</v>
      </c>
      <c r="E424">
        <f t="shared" si="12"/>
        <v>1E-4</v>
      </c>
      <c r="F424">
        <f t="shared" si="13"/>
        <v>0.98949999999999549</v>
      </c>
    </row>
    <row r="425" spans="1:6" x14ac:dyDescent="0.25">
      <c r="A425" s="21">
        <v>130225192.67</v>
      </c>
      <c r="C425" s="7">
        <v>420000000</v>
      </c>
      <c r="D425">
        <v>0</v>
      </c>
      <c r="E425">
        <f t="shared" si="12"/>
        <v>0</v>
      </c>
      <c r="F425">
        <f t="shared" si="13"/>
        <v>0.98949999999999549</v>
      </c>
    </row>
    <row r="426" spans="1:6" x14ac:dyDescent="0.25">
      <c r="A426">
        <v>6204921</v>
      </c>
      <c r="C426" s="7">
        <v>421000000</v>
      </c>
      <c r="D426">
        <v>2</v>
      </c>
      <c r="E426">
        <f t="shared" si="12"/>
        <v>2.0000000000000001E-4</v>
      </c>
      <c r="F426">
        <f t="shared" si="13"/>
        <v>0.98969999999999547</v>
      </c>
    </row>
    <row r="427" spans="1:6" x14ac:dyDescent="0.25">
      <c r="A427" s="21">
        <v>23866390.690000001</v>
      </c>
      <c r="C427" s="7">
        <v>422000000</v>
      </c>
      <c r="D427">
        <v>0</v>
      </c>
      <c r="E427">
        <f t="shared" si="12"/>
        <v>0</v>
      </c>
      <c r="F427">
        <f t="shared" si="13"/>
        <v>0.98969999999999547</v>
      </c>
    </row>
    <row r="428" spans="1:6" x14ac:dyDescent="0.25">
      <c r="A428" s="21">
        <v>13128280.92</v>
      </c>
      <c r="C428" s="7">
        <v>423000000</v>
      </c>
      <c r="D428">
        <v>0</v>
      </c>
      <c r="E428">
        <f t="shared" si="12"/>
        <v>0</v>
      </c>
      <c r="F428">
        <f t="shared" si="13"/>
        <v>0.98969999999999547</v>
      </c>
    </row>
    <row r="429" spans="1:6" x14ac:dyDescent="0.25">
      <c r="A429" s="21">
        <v>283890245.14999998</v>
      </c>
      <c r="C429" s="7">
        <v>424000000</v>
      </c>
      <c r="D429">
        <v>2</v>
      </c>
      <c r="E429">
        <f t="shared" si="12"/>
        <v>2.0000000000000001E-4</v>
      </c>
      <c r="F429">
        <f t="shared" si="13"/>
        <v>0.98989999999999545</v>
      </c>
    </row>
    <row r="430" spans="1:6" x14ac:dyDescent="0.25">
      <c r="A430" s="21">
        <v>99260419.059999898</v>
      </c>
      <c r="C430" s="7">
        <v>425000000</v>
      </c>
      <c r="D430">
        <v>0</v>
      </c>
      <c r="E430">
        <f t="shared" si="12"/>
        <v>0</v>
      </c>
      <c r="F430">
        <f t="shared" si="13"/>
        <v>0.98989999999999545</v>
      </c>
    </row>
    <row r="431" spans="1:6" x14ac:dyDescent="0.25">
      <c r="A431" s="21">
        <v>94492462.4799999</v>
      </c>
      <c r="C431" s="7">
        <v>426000000</v>
      </c>
      <c r="D431">
        <v>2</v>
      </c>
      <c r="E431">
        <f t="shared" si="12"/>
        <v>2.0000000000000001E-4</v>
      </c>
      <c r="F431">
        <f t="shared" si="13"/>
        <v>0.99009999999999543</v>
      </c>
    </row>
    <row r="432" spans="1:6" x14ac:dyDescent="0.25">
      <c r="A432" s="21">
        <v>115394635.77</v>
      </c>
      <c r="C432" s="7">
        <v>427000000</v>
      </c>
      <c r="D432">
        <v>0</v>
      </c>
      <c r="E432">
        <f t="shared" si="12"/>
        <v>0</v>
      </c>
      <c r="F432">
        <f t="shared" si="13"/>
        <v>0.99009999999999543</v>
      </c>
    </row>
    <row r="433" spans="1:6" x14ac:dyDescent="0.25">
      <c r="A433" s="21">
        <v>113809281.45</v>
      </c>
      <c r="C433" s="7">
        <v>428000000</v>
      </c>
      <c r="D433">
        <v>3</v>
      </c>
      <c r="E433">
        <f t="shared" si="12"/>
        <v>2.9999999999999997E-4</v>
      </c>
      <c r="F433">
        <f t="shared" si="13"/>
        <v>0.9903999999999954</v>
      </c>
    </row>
    <row r="434" spans="1:6" x14ac:dyDescent="0.25">
      <c r="A434" s="21">
        <v>62070811.259999901</v>
      </c>
      <c r="C434" s="7">
        <v>429000000</v>
      </c>
      <c r="D434">
        <v>0</v>
      </c>
      <c r="E434">
        <f t="shared" si="12"/>
        <v>0</v>
      </c>
      <c r="F434">
        <f t="shared" si="13"/>
        <v>0.9903999999999954</v>
      </c>
    </row>
    <row r="435" spans="1:6" x14ac:dyDescent="0.25">
      <c r="A435" s="21">
        <v>160271974.06</v>
      </c>
      <c r="C435" s="7">
        <v>430000000</v>
      </c>
      <c r="D435">
        <v>0</v>
      </c>
      <c r="E435">
        <f t="shared" si="12"/>
        <v>0</v>
      </c>
      <c r="F435">
        <f t="shared" si="13"/>
        <v>0.9903999999999954</v>
      </c>
    </row>
    <row r="436" spans="1:6" x14ac:dyDescent="0.25">
      <c r="A436" s="21">
        <v>36658192.670000002</v>
      </c>
      <c r="C436" s="7">
        <v>431000000</v>
      </c>
      <c r="D436">
        <v>2</v>
      </c>
      <c r="E436">
        <f t="shared" si="12"/>
        <v>2.0000000000000001E-4</v>
      </c>
      <c r="F436">
        <f t="shared" si="13"/>
        <v>0.99059999999999537</v>
      </c>
    </row>
    <row r="437" spans="1:6" x14ac:dyDescent="0.25">
      <c r="A437" s="21">
        <v>16053978.140000001</v>
      </c>
      <c r="C437" s="7">
        <v>432000000</v>
      </c>
      <c r="D437">
        <v>3</v>
      </c>
      <c r="E437">
        <f t="shared" si="12"/>
        <v>2.9999999999999997E-4</v>
      </c>
      <c r="F437">
        <f t="shared" si="13"/>
        <v>0.99089999999999534</v>
      </c>
    </row>
    <row r="438" spans="1:6" x14ac:dyDescent="0.25">
      <c r="A438" s="21">
        <v>74280594.129999995</v>
      </c>
      <c r="C438" s="7">
        <v>433000000</v>
      </c>
      <c r="D438">
        <v>1</v>
      </c>
      <c r="E438">
        <f t="shared" si="12"/>
        <v>1E-4</v>
      </c>
      <c r="F438">
        <f t="shared" si="13"/>
        <v>0.99099999999999533</v>
      </c>
    </row>
    <row r="439" spans="1:6" x14ac:dyDescent="0.25">
      <c r="A439">
        <v>0</v>
      </c>
      <c r="C439" s="7">
        <v>434000000</v>
      </c>
      <c r="D439">
        <v>0</v>
      </c>
      <c r="E439">
        <f t="shared" si="12"/>
        <v>0</v>
      </c>
      <c r="F439">
        <f t="shared" si="13"/>
        <v>0.99099999999999533</v>
      </c>
    </row>
    <row r="440" spans="1:6" x14ac:dyDescent="0.25">
      <c r="A440" s="21">
        <v>19874793.32</v>
      </c>
      <c r="C440" s="7">
        <v>435000000</v>
      </c>
      <c r="D440">
        <v>1</v>
      </c>
      <c r="E440">
        <f t="shared" si="12"/>
        <v>1E-4</v>
      </c>
      <c r="F440">
        <f t="shared" si="13"/>
        <v>0.99109999999999532</v>
      </c>
    </row>
    <row r="441" spans="1:6" x14ac:dyDescent="0.25">
      <c r="A441" s="21">
        <v>13834347.75</v>
      </c>
      <c r="C441" s="7">
        <v>436000000</v>
      </c>
      <c r="D441">
        <v>0</v>
      </c>
      <c r="E441">
        <f t="shared" si="12"/>
        <v>0</v>
      </c>
      <c r="F441">
        <f t="shared" si="13"/>
        <v>0.99109999999999532</v>
      </c>
    </row>
    <row r="442" spans="1:6" x14ac:dyDescent="0.25">
      <c r="A442" s="21">
        <v>42340675.159999996</v>
      </c>
      <c r="C442" s="7">
        <v>437000000</v>
      </c>
      <c r="D442">
        <v>0</v>
      </c>
      <c r="E442">
        <f t="shared" si="12"/>
        <v>0</v>
      </c>
      <c r="F442">
        <f t="shared" si="13"/>
        <v>0.99109999999999532</v>
      </c>
    </row>
    <row r="443" spans="1:6" x14ac:dyDescent="0.25">
      <c r="A443" s="21">
        <v>145971854.44</v>
      </c>
      <c r="C443" s="7">
        <v>438000000</v>
      </c>
      <c r="D443">
        <v>2</v>
      </c>
      <c r="E443">
        <f t="shared" si="12"/>
        <v>2.0000000000000001E-4</v>
      </c>
      <c r="F443">
        <f t="shared" si="13"/>
        <v>0.9912999999999953</v>
      </c>
    </row>
    <row r="444" spans="1:6" x14ac:dyDescent="0.25">
      <c r="A444" s="21">
        <v>26870114.609999999</v>
      </c>
      <c r="C444" s="7">
        <v>439000000</v>
      </c>
      <c r="D444">
        <v>1</v>
      </c>
      <c r="E444">
        <f t="shared" si="12"/>
        <v>1E-4</v>
      </c>
      <c r="F444">
        <f t="shared" si="13"/>
        <v>0.99139999999999529</v>
      </c>
    </row>
    <row r="445" spans="1:6" x14ac:dyDescent="0.25">
      <c r="A445" s="21">
        <v>21244223.899999999</v>
      </c>
      <c r="C445" s="7">
        <v>440000000</v>
      </c>
      <c r="D445">
        <v>1</v>
      </c>
      <c r="E445">
        <f t="shared" si="12"/>
        <v>1E-4</v>
      </c>
      <c r="F445">
        <f t="shared" si="13"/>
        <v>0.99149999999999527</v>
      </c>
    </row>
    <row r="446" spans="1:6" x14ac:dyDescent="0.25">
      <c r="A446" s="21">
        <v>6873111.75</v>
      </c>
      <c r="C446" s="7">
        <v>441000000</v>
      </c>
      <c r="D446">
        <v>0</v>
      </c>
      <c r="E446">
        <f t="shared" si="12"/>
        <v>0</v>
      </c>
      <c r="F446">
        <f t="shared" si="13"/>
        <v>0.99149999999999527</v>
      </c>
    </row>
    <row r="447" spans="1:6" x14ac:dyDescent="0.25">
      <c r="A447" s="21">
        <v>48694007.229999997</v>
      </c>
      <c r="C447" s="7">
        <v>442000000</v>
      </c>
      <c r="D447">
        <v>3</v>
      </c>
      <c r="E447">
        <f t="shared" si="12"/>
        <v>2.9999999999999997E-4</v>
      </c>
      <c r="F447">
        <f t="shared" si="13"/>
        <v>0.99179999999999524</v>
      </c>
    </row>
    <row r="448" spans="1:6" x14ac:dyDescent="0.25">
      <c r="A448" s="21">
        <v>40235103.599999897</v>
      </c>
      <c r="C448" s="7">
        <v>443000000</v>
      </c>
      <c r="D448">
        <v>1</v>
      </c>
      <c r="E448">
        <f t="shared" si="12"/>
        <v>1E-4</v>
      </c>
      <c r="F448">
        <f t="shared" si="13"/>
        <v>0.99189999999999523</v>
      </c>
    </row>
    <row r="449" spans="1:6" x14ac:dyDescent="0.25">
      <c r="A449" s="21">
        <v>85168186.849999905</v>
      </c>
      <c r="C449" s="7">
        <v>444000000</v>
      </c>
      <c r="D449">
        <v>0</v>
      </c>
      <c r="E449">
        <f t="shared" si="12"/>
        <v>0</v>
      </c>
      <c r="F449">
        <f t="shared" si="13"/>
        <v>0.99189999999999523</v>
      </c>
    </row>
    <row r="450" spans="1:6" x14ac:dyDescent="0.25">
      <c r="A450" s="21">
        <v>48976712.079999998</v>
      </c>
      <c r="C450" s="7">
        <v>445000000</v>
      </c>
      <c r="D450">
        <v>0</v>
      </c>
      <c r="E450">
        <f t="shared" si="12"/>
        <v>0</v>
      </c>
      <c r="F450">
        <f t="shared" si="13"/>
        <v>0.99189999999999523</v>
      </c>
    </row>
    <row r="451" spans="1:6" x14ac:dyDescent="0.25">
      <c r="A451" s="21">
        <v>34648516.25</v>
      </c>
      <c r="C451" s="7">
        <v>446000000</v>
      </c>
      <c r="D451">
        <v>2</v>
      </c>
      <c r="E451">
        <f t="shared" si="12"/>
        <v>2.0000000000000001E-4</v>
      </c>
      <c r="F451">
        <f t="shared" si="13"/>
        <v>0.99209999999999521</v>
      </c>
    </row>
    <row r="452" spans="1:6" x14ac:dyDescent="0.25">
      <c r="A452" s="21">
        <v>69061305.189999998</v>
      </c>
      <c r="C452" s="7">
        <v>447000000</v>
      </c>
      <c r="D452">
        <v>0</v>
      </c>
      <c r="E452">
        <f t="shared" si="12"/>
        <v>0</v>
      </c>
      <c r="F452">
        <f t="shared" si="13"/>
        <v>0.99209999999999521</v>
      </c>
    </row>
    <row r="453" spans="1:6" x14ac:dyDescent="0.25">
      <c r="A453" s="21">
        <v>136212409.31</v>
      </c>
      <c r="C453" s="7">
        <v>448000000</v>
      </c>
      <c r="D453">
        <v>0</v>
      </c>
      <c r="E453">
        <f t="shared" si="12"/>
        <v>0</v>
      </c>
      <c r="F453">
        <f t="shared" si="13"/>
        <v>0.99209999999999521</v>
      </c>
    </row>
    <row r="454" spans="1:6" x14ac:dyDescent="0.25">
      <c r="A454" s="21">
        <v>49532328.689999998</v>
      </c>
      <c r="C454" s="7">
        <v>449000000</v>
      </c>
      <c r="D454">
        <v>1</v>
      </c>
      <c r="E454">
        <f t="shared" ref="E454:E517" si="14">D454/10000</f>
        <v>1E-4</v>
      </c>
      <c r="F454">
        <f t="shared" si="13"/>
        <v>0.9921999999999952</v>
      </c>
    </row>
    <row r="455" spans="1:6" x14ac:dyDescent="0.25">
      <c r="A455" s="21">
        <v>176813471.25</v>
      </c>
      <c r="C455" s="7">
        <v>450000000</v>
      </c>
      <c r="D455">
        <v>1</v>
      </c>
      <c r="E455">
        <f t="shared" si="14"/>
        <v>1E-4</v>
      </c>
      <c r="F455">
        <f t="shared" ref="F455:F518" si="15">E455+F454</f>
        <v>0.99229999999999519</v>
      </c>
    </row>
    <row r="456" spans="1:6" x14ac:dyDescent="0.25">
      <c r="A456" s="21">
        <v>79620513.789999902</v>
      </c>
      <c r="C456" s="7">
        <v>451000000</v>
      </c>
      <c r="D456">
        <v>1</v>
      </c>
      <c r="E456">
        <f t="shared" si="14"/>
        <v>1E-4</v>
      </c>
      <c r="F456">
        <f t="shared" si="15"/>
        <v>0.99239999999999517</v>
      </c>
    </row>
    <row r="457" spans="1:6" x14ac:dyDescent="0.25">
      <c r="A457" s="21">
        <v>8215725.5899999999</v>
      </c>
      <c r="C457" s="7">
        <v>452000000</v>
      </c>
      <c r="D457">
        <v>0</v>
      </c>
      <c r="E457">
        <f t="shared" si="14"/>
        <v>0</v>
      </c>
      <c r="F457">
        <f t="shared" si="15"/>
        <v>0.99239999999999517</v>
      </c>
    </row>
    <row r="458" spans="1:6" x14ac:dyDescent="0.25">
      <c r="A458" s="21">
        <v>115386147.87</v>
      </c>
      <c r="C458" s="7">
        <v>453000000</v>
      </c>
      <c r="D458">
        <v>1</v>
      </c>
      <c r="E458">
        <f t="shared" si="14"/>
        <v>1E-4</v>
      </c>
      <c r="F458">
        <f t="shared" si="15"/>
        <v>0.99249999999999516</v>
      </c>
    </row>
    <row r="459" spans="1:6" x14ac:dyDescent="0.25">
      <c r="A459" s="21">
        <v>23281290.300000001</v>
      </c>
      <c r="C459" s="7">
        <v>454000000</v>
      </c>
      <c r="D459">
        <v>3</v>
      </c>
      <c r="E459">
        <f t="shared" si="14"/>
        <v>2.9999999999999997E-4</v>
      </c>
      <c r="F459">
        <f t="shared" si="15"/>
        <v>0.99279999999999513</v>
      </c>
    </row>
    <row r="460" spans="1:6" x14ac:dyDescent="0.25">
      <c r="A460" s="21">
        <v>23046092.449999999</v>
      </c>
      <c r="C460" s="7">
        <v>455000000</v>
      </c>
      <c r="D460">
        <v>1</v>
      </c>
      <c r="E460">
        <f t="shared" si="14"/>
        <v>1E-4</v>
      </c>
      <c r="F460">
        <f t="shared" si="15"/>
        <v>0.99289999999999512</v>
      </c>
    </row>
    <row r="461" spans="1:6" x14ac:dyDescent="0.25">
      <c r="A461" s="21">
        <v>44062829.869999997</v>
      </c>
      <c r="C461" s="7">
        <v>456000000</v>
      </c>
      <c r="D461">
        <v>0</v>
      </c>
      <c r="E461">
        <f t="shared" si="14"/>
        <v>0</v>
      </c>
      <c r="F461">
        <f t="shared" si="15"/>
        <v>0.99289999999999512</v>
      </c>
    </row>
    <row r="462" spans="1:6" x14ac:dyDescent="0.25">
      <c r="A462" s="21">
        <v>31933537.66</v>
      </c>
      <c r="C462" s="7">
        <v>457000000</v>
      </c>
      <c r="D462">
        <v>2</v>
      </c>
      <c r="E462">
        <f t="shared" si="14"/>
        <v>2.0000000000000001E-4</v>
      </c>
      <c r="F462">
        <f t="shared" si="15"/>
        <v>0.9930999999999951</v>
      </c>
    </row>
    <row r="463" spans="1:6" x14ac:dyDescent="0.25">
      <c r="A463" s="21">
        <v>15744793.85</v>
      </c>
      <c r="C463" s="7">
        <v>458000000</v>
      </c>
      <c r="D463">
        <v>0</v>
      </c>
      <c r="E463">
        <f t="shared" si="14"/>
        <v>0</v>
      </c>
      <c r="F463">
        <f t="shared" si="15"/>
        <v>0.9930999999999951</v>
      </c>
    </row>
    <row r="464" spans="1:6" x14ac:dyDescent="0.25">
      <c r="A464" s="21">
        <v>77051484.450000003</v>
      </c>
      <c r="C464" s="7">
        <v>459000000</v>
      </c>
      <c r="D464">
        <v>0</v>
      </c>
      <c r="E464">
        <f t="shared" si="14"/>
        <v>0</v>
      </c>
      <c r="F464">
        <f t="shared" si="15"/>
        <v>0.9930999999999951</v>
      </c>
    </row>
    <row r="465" spans="1:6" x14ac:dyDescent="0.25">
      <c r="A465" s="21">
        <v>35490073.170000002</v>
      </c>
      <c r="C465" s="7">
        <v>460000000</v>
      </c>
      <c r="D465">
        <v>1</v>
      </c>
      <c r="E465">
        <f t="shared" si="14"/>
        <v>1E-4</v>
      </c>
      <c r="F465">
        <f t="shared" si="15"/>
        <v>0.99319999999999509</v>
      </c>
    </row>
    <row r="466" spans="1:6" x14ac:dyDescent="0.25">
      <c r="A466" s="21">
        <v>13266093.01</v>
      </c>
      <c r="C466" s="7">
        <v>461000000</v>
      </c>
      <c r="D466">
        <v>3</v>
      </c>
      <c r="E466">
        <f t="shared" si="14"/>
        <v>2.9999999999999997E-4</v>
      </c>
      <c r="F466">
        <f t="shared" si="15"/>
        <v>0.99349999999999505</v>
      </c>
    </row>
    <row r="467" spans="1:6" x14ac:dyDescent="0.25">
      <c r="A467" s="21">
        <v>240683252.84999999</v>
      </c>
      <c r="C467" s="7">
        <v>462000000</v>
      </c>
      <c r="D467">
        <v>0</v>
      </c>
      <c r="E467">
        <f t="shared" si="14"/>
        <v>0</v>
      </c>
      <c r="F467">
        <f t="shared" si="15"/>
        <v>0.99349999999999505</v>
      </c>
    </row>
    <row r="468" spans="1:6" x14ac:dyDescent="0.25">
      <c r="A468">
        <v>298186401</v>
      </c>
      <c r="C468" s="7">
        <v>463000000</v>
      </c>
      <c r="D468">
        <v>0</v>
      </c>
      <c r="E468">
        <f t="shared" si="14"/>
        <v>0</v>
      </c>
      <c r="F468">
        <f t="shared" si="15"/>
        <v>0.99349999999999505</v>
      </c>
    </row>
    <row r="469" spans="1:6" x14ac:dyDescent="0.25">
      <c r="A469" s="21">
        <v>128746179.91</v>
      </c>
      <c r="C469" s="7">
        <v>464000000</v>
      </c>
      <c r="D469">
        <v>1</v>
      </c>
      <c r="E469">
        <f t="shared" si="14"/>
        <v>1E-4</v>
      </c>
      <c r="F469">
        <f t="shared" si="15"/>
        <v>0.99359999999999504</v>
      </c>
    </row>
    <row r="470" spans="1:6" x14ac:dyDescent="0.25">
      <c r="A470" s="21">
        <v>60289388.640000001</v>
      </c>
      <c r="C470" s="7">
        <v>465000000</v>
      </c>
      <c r="D470">
        <v>0</v>
      </c>
      <c r="E470">
        <f t="shared" si="14"/>
        <v>0</v>
      </c>
      <c r="F470">
        <f t="shared" si="15"/>
        <v>0.99359999999999504</v>
      </c>
    </row>
    <row r="471" spans="1:6" x14ac:dyDescent="0.25">
      <c r="A471" s="21">
        <v>8571345.7699999996</v>
      </c>
      <c r="C471" s="7">
        <v>466000000</v>
      </c>
      <c r="D471">
        <v>0</v>
      </c>
      <c r="E471">
        <f t="shared" si="14"/>
        <v>0</v>
      </c>
      <c r="F471">
        <f t="shared" si="15"/>
        <v>0.99359999999999504</v>
      </c>
    </row>
    <row r="472" spans="1:6" x14ac:dyDescent="0.25">
      <c r="A472" s="21">
        <v>28826327.399999999</v>
      </c>
      <c r="C472" s="7">
        <v>467000000</v>
      </c>
      <c r="D472">
        <v>0</v>
      </c>
      <c r="E472">
        <f t="shared" si="14"/>
        <v>0</v>
      </c>
      <c r="F472">
        <f t="shared" si="15"/>
        <v>0.99359999999999504</v>
      </c>
    </row>
    <row r="473" spans="1:6" x14ac:dyDescent="0.25">
      <c r="A473" s="21">
        <v>393148445.81999999</v>
      </c>
      <c r="C473" s="7">
        <v>468000000</v>
      </c>
      <c r="D473">
        <v>0</v>
      </c>
      <c r="E473">
        <f t="shared" si="14"/>
        <v>0</v>
      </c>
      <c r="F473">
        <f t="shared" si="15"/>
        <v>0.99359999999999504</v>
      </c>
    </row>
    <row r="474" spans="1:6" x14ac:dyDescent="0.25">
      <c r="A474" s="21">
        <v>54049895.950000003</v>
      </c>
      <c r="C474" s="7">
        <v>469000000</v>
      </c>
      <c r="D474">
        <v>1</v>
      </c>
      <c r="E474">
        <f t="shared" si="14"/>
        <v>1E-4</v>
      </c>
      <c r="F474">
        <f t="shared" si="15"/>
        <v>0.99369999999999503</v>
      </c>
    </row>
    <row r="475" spans="1:6" x14ac:dyDescent="0.25">
      <c r="A475" s="21">
        <v>13152962.5</v>
      </c>
      <c r="C475" s="7">
        <v>470000000</v>
      </c>
      <c r="D475">
        <v>1</v>
      </c>
      <c r="E475">
        <f t="shared" si="14"/>
        <v>1E-4</v>
      </c>
      <c r="F475">
        <f t="shared" si="15"/>
        <v>0.99379999999999502</v>
      </c>
    </row>
    <row r="476" spans="1:6" x14ac:dyDescent="0.25">
      <c r="A476" s="21">
        <v>24977443.59</v>
      </c>
      <c r="C476" s="7">
        <v>471000000</v>
      </c>
      <c r="D476">
        <v>0</v>
      </c>
      <c r="E476">
        <f t="shared" si="14"/>
        <v>0</v>
      </c>
      <c r="F476">
        <f t="shared" si="15"/>
        <v>0.99379999999999502</v>
      </c>
    </row>
    <row r="477" spans="1:6" x14ac:dyDescent="0.25">
      <c r="A477" s="21">
        <v>92687136.239999995</v>
      </c>
      <c r="C477" s="7">
        <v>472000000</v>
      </c>
      <c r="D477">
        <v>0</v>
      </c>
      <c r="E477">
        <f t="shared" si="14"/>
        <v>0</v>
      </c>
      <c r="F477">
        <f t="shared" si="15"/>
        <v>0.99379999999999502</v>
      </c>
    </row>
    <row r="478" spans="1:6" x14ac:dyDescent="0.25">
      <c r="A478">
        <v>0</v>
      </c>
      <c r="C478" s="7">
        <v>473000000</v>
      </c>
      <c r="D478">
        <v>0</v>
      </c>
      <c r="E478">
        <f t="shared" si="14"/>
        <v>0</v>
      </c>
      <c r="F478">
        <f t="shared" si="15"/>
        <v>0.99379999999999502</v>
      </c>
    </row>
    <row r="479" spans="1:6" x14ac:dyDescent="0.25">
      <c r="A479" s="21">
        <v>12038273.48</v>
      </c>
      <c r="C479" s="7">
        <v>474000000</v>
      </c>
      <c r="D479">
        <v>2</v>
      </c>
      <c r="E479">
        <f t="shared" si="14"/>
        <v>2.0000000000000001E-4</v>
      </c>
      <c r="F479">
        <f t="shared" si="15"/>
        <v>0.993999999999995</v>
      </c>
    </row>
    <row r="480" spans="1:6" x14ac:dyDescent="0.25">
      <c r="A480" s="21">
        <v>278671369.38</v>
      </c>
      <c r="C480" s="7">
        <v>475000000</v>
      </c>
      <c r="D480">
        <v>1</v>
      </c>
      <c r="E480">
        <f t="shared" si="14"/>
        <v>1E-4</v>
      </c>
      <c r="F480">
        <f t="shared" si="15"/>
        <v>0.99409999999999499</v>
      </c>
    </row>
    <row r="481" spans="1:6" x14ac:dyDescent="0.25">
      <c r="A481" s="21">
        <v>196202563.41999999</v>
      </c>
      <c r="C481" s="7">
        <v>476000000</v>
      </c>
      <c r="D481">
        <v>2</v>
      </c>
      <c r="E481">
        <f t="shared" si="14"/>
        <v>2.0000000000000001E-4</v>
      </c>
      <c r="F481">
        <f t="shared" si="15"/>
        <v>0.99429999999999497</v>
      </c>
    </row>
    <row r="482" spans="1:6" x14ac:dyDescent="0.25">
      <c r="A482" s="21">
        <v>86663055.079999998</v>
      </c>
      <c r="C482" s="7">
        <v>477000000</v>
      </c>
      <c r="D482">
        <v>0</v>
      </c>
      <c r="E482">
        <f t="shared" si="14"/>
        <v>0</v>
      </c>
      <c r="F482">
        <f t="shared" si="15"/>
        <v>0.99429999999999497</v>
      </c>
    </row>
    <row r="483" spans="1:6" x14ac:dyDescent="0.25">
      <c r="A483" s="21">
        <v>101896946.84</v>
      </c>
      <c r="C483" s="7">
        <v>478000000</v>
      </c>
      <c r="D483">
        <v>2</v>
      </c>
      <c r="E483">
        <f t="shared" si="14"/>
        <v>2.0000000000000001E-4</v>
      </c>
      <c r="F483">
        <f t="shared" si="15"/>
        <v>0.99449999999999494</v>
      </c>
    </row>
    <row r="484" spans="1:6" x14ac:dyDescent="0.25">
      <c r="A484" s="21">
        <v>25512447.75</v>
      </c>
      <c r="C484" s="7">
        <v>479000000</v>
      </c>
      <c r="D484">
        <v>0</v>
      </c>
      <c r="E484">
        <f t="shared" si="14"/>
        <v>0</v>
      </c>
      <c r="F484">
        <f t="shared" si="15"/>
        <v>0.99449999999999494</v>
      </c>
    </row>
    <row r="485" spans="1:6" x14ac:dyDescent="0.25">
      <c r="A485" s="21">
        <v>41920641.350000001</v>
      </c>
      <c r="C485" s="7">
        <v>480000000</v>
      </c>
      <c r="D485">
        <v>0</v>
      </c>
      <c r="E485">
        <f t="shared" si="14"/>
        <v>0</v>
      </c>
      <c r="F485">
        <f t="shared" si="15"/>
        <v>0.99449999999999494</v>
      </c>
    </row>
    <row r="486" spans="1:6" x14ac:dyDescent="0.25">
      <c r="A486" s="21">
        <v>88108090.540000007</v>
      </c>
      <c r="C486" s="7">
        <v>481000000</v>
      </c>
      <c r="D486">
        <v>1</v>
      </c>
      <c r="E486">
        <f t="shared" si="14"/>
        <v>1E-4</v>
      </c>
      <c r="F486">
        <f t="shared" si="15"/>
        <v>0.99459999999999493</v>
      </c>
    </row>
    <row r="487" spans="1:6" x14ac:dyDescent="0.25">
      <c r="A487" s="21">
        <v>55476725.549999997</v>
      </c>
      <c r="C487" s="7">
        <v>482000000</v>
      </c>
      <c r="D487">
        <v>0</v>
      </c>
      <c r="E487">
        <f t="shared" si="14"/>
        <v>0</v>
      </c>
      <c r="F487">
        <f t="shared" si="15"/>
        <v>0.99459999999999493</v>
      </c>
    </row>
    <row r="488" spans="1:6" x14ac:dyDescent="0.25">
      <c r="A488" s="21">
        <v>54357428.619999997</v>
      </c>
      <c r="C488" s="7">
        <v>483000000</v>
      </c>
      <c r="D488">
        <v>0</v>
      </c>
      <c r="E488">
        <f t="shared" si="14"/>
        <v>0</v>
      </c>
      <c r="F488">
        <f t="shared" si="15"/>
        <v>0.99459999999999493</v>
      </c>
    </row>
    <row r="489" spans="1:6" x14ac:dyDescent="0.25">
      <c r="A489" s="21">
        <v>12011705.25</v>
      </c>
      <c r="C489" s="7">
        <v>484000000</v>
      </c>
      <c r="D489">
        <v>0</v>
      </c>
      <c r="E489">
        <f t="shared" si="14"/>
        <v>0</v>
      </c>
      <c r="F489">
        <f t="shared" si="15"/>
        <v>0.99459999999999493</v>
      </c>
    </row>
    <row r="490" spans="1:6" x14ac:dyDescent="0.25">
      <c r="A490" s="21">
        <v>9748769.0299999993</v>
      </c>
      <c r="C490" s="7">
        <v>485000000</v>
      </c>
      <c r="D490">
        <v>1</v>
      </c>
      <c r="E490">
        <f t="shared" si="14"/>
        <v>1E-4</v>
      </c>
      <c r="F490">
        <f t="shared" si="15"/>
        <v>0.99469999999999492</v>
      </c>
    </row>
    <row r="491" spans="1:6" x14ac:dyDescent="0.25">
      <c r="A491" s="21">
        <v>3540608.3</v>
      </c>
      <c r="C491" s="7">
        <v>486000000</v>
      </c>
      <c r="D491">
        <v>0</v>
      </c>
      <c r="E491">
        <f t="shared" si="14"/>
        <v>0</v>
      </c>
      <c r="F491">
        <f t="shared" si="15"/>
        <v>0.99469999999999492</v>
      </c>
    </row>
    <row r="492" spans="1:6" x14ac:dyDescent="0.25">
      <c r="A492" s="21">
        <v>136741439.80000001</v>
      </c>
      <c r="C492" s="7">
        <v>487000000</v>
      </c>
      <c r="D492">
        <v>1</v>
      </c>
      <c r="E492">
        <f t="shared" si="14"/>
        <v>1E-4</v>
      </c>
      <c r="F492">
        <f t="shared" si="15"/>
        <v>0.99479999999999491</v>
      </c>
    </row>
    <row r="493" spans="1:6" x14ac:dyDescent="0.25">
      <c r="A493" s="21">
        <v>84539002.7299999</v>
      </c>
      <c r="C493" s="7">
        <v>488000000</v>
      </c>
      <c r="D493">
        <v>1</v>
      </c>
      <c r="E493">
        <f t="shared" si="14"/>
        <v>1E-4</v>
      </c>
      <c r="F493">
        <f t="shared" si="15"/>
        <v>0.9948999999999949</v>
      </c>
    </row>
    <row r="494" spans="1:6" x14ac:dyDescent="0.25">
      <c r="A494" s="21">
        <v>23482616.379999999</v>
      </c>
      <c r="C494" s="7">
        <v>489000000</v>
      </c>
      <c r="D494">
        <v>0</v>
      </c>
      <c r="E494">
        <f t="shared" si="14"/>
        <v>0</v>
      </c>
      <c r="F494">
        <f t="shared" si="15"/>
        <v>0.9948999999999949</v>
      </c>
    </row>
    <row r="495" spans="1:6" x14ac:dyDescent="0.25">
      <c r="A495" s="21">
        <v>225283994.90000001</v>
      </c>
      <c r="C495" s="7">
        <v>490000000</v>
      </c>
      <c r="D495">
        <v>1</v>
      </c>
      <c r="E495">
        <f t="shared" si="14"/>
        <v>1E-4</v>
      </c>
      <c r="F495">
        <f t="shared" si="15"/>
        <v>0.99499999999999489</v>
      </c>
    </row>
    <row r="496" spans="1:6" x14ac:dyDescent="0.25">
      <c r="A496" s="21">
        <v>92491847.439999998</v>
      </c>
      <c r="C496" s="7">
        <v>491000000</v>
      </c>
      <c r="D496">
        <v>0</v>
      </c>
      <c r="E496">
        <f t="shared" si="14"/>
        <v>0</v>
      </c>
      <c r="F496">
        <f t="shared" si="15"/>
        <v>0.99499999999999489</v>
      </c>
    </row>
    <row r="497" spans="1:6" x14ac:dyDescent="0.25">
      <c r="A497" s="21">
        <v>94462806.769999996</v>
      </c>
      <c r="C497" s="7">
        <v>492000000</v>
      </c>
      <c r="D497">
        <v>0</v>
      </c>
      <c r="E497">
        <f t="shared" si="14"/>
        <v>0</v>
      </c>
      <c r="F497">
        <f t="shared" si="15"/>
        <v>0.99499999999999489</v>
      </c>
    </row>
    <row r="498" spans="1:6" x14ac:dyDescent="0.25">
      <c r="A498" s="21">
        <v>134396447.37</v>
      </c>
      <c r="C498" s="7">
        <v>493000000</v>
      </c>
      <c r="D498">
        <v>0</v>
      </c>
      <c r="E498">
        <f t="shared" si="14"/>
        <v>0</v>
      </c>
      <c r="F498">
        <f t="shared" si="15"/>
        <v>0.99499999999999489</v>
      </c>
    </row>
    <row r="499" spans="1:6" x14ac:dyDescent="0.25">
      <c r="A499" s="21">
        <v>48620228.369999997</v>
      </c>
      <c r="C499" s="7">
        <v>494000000</v>
      </c>
      <c r="D499">
        <v>0</v>
      </c>
      <c r="E499">
        <f t="shared" si="14"/>
        <v>0</v>
      </c>
      <c r="F499">
        <f t="shared" si="15"/>
        <v>0.99499999999999489</v>
      </c>
    </row>
    <row r="500" spans="1:6" x14ac:dyDescent="0.25">
      <c r="A500" s="21">
        <v>19344945.140000001</v>
      </c>
      <c r="C500" s="7">
        <v>495000000</v>
      </c>
      <c r="D500">
        <v>1</v>
      </c>
      <c r="E500">
        <f t="shared" si="14"/>
        <v>1E-4</v>
      </c>
      <c r="F500">
        <f t="shared" si="15"/>
        <v>0.99509999999999488</v>
      </c>
    </row>
    <row r="501" spans="1:6" x14ac:dyDescent="0.25">
      <c r="A501" s="21">
        <v>4010045.14</v>
      </c>
      <c r="C501" s="7">
        <v>496000000</v>
      </c>
      <c r="D501">
        <v>0</v>
      </c>
      <c r="E501">
        <f t="shared" si="14"/>
        <v>0</v>
      </c>
      <c r="F501">
        <f t="shared" si="15"/>
        <v>0.99509999999999488</v>
      </c>
    </row>
    <row r="502" spans="1:6" x14ac:dyDescent="0.25">
      <c r="A502" s="21">
        <v>49542271.599999897</v>
      </c>
      <c r="C502" s="7">
        <v>497000000</v>
      </c>
      <c r="D502">
        <v>1</v>
      </c>
      <c r="E502">
        <f t="shared" si="14"/>
        <v>1E-4</v>
      </c>
      <c r="F502">
        <f t="shared" si="15"/>
        <v>0.99519999999999487</v>
      </c>
    </row>
    <row r="503" spans="1:6" x14ac:dyDescent="0.25">
      <c r="A503" s="21">
        <v>34797073.599999897</v>
      </c>
      <c r="C503" s="7">
        <v>498000000</v>
      </c>
      <c r="D503">
        <v>1</v>
      </c>
      <c r="E503">
        <f t="shared" si="14"/>
        <v>1E-4</v>
      </c>
      <c r="F503">
        <f t="shared" si="15"/>
        <v>0.99529999999999486</v>
      </c>
    </row>
    <row r="504" spans="1:6" x14ac:dyDescent="0.25">
      <c r="A504" s="21">
        <v>39904351.259999998</v>
      </c>
      <c r="C504" s="7">
        <v>499000000</v>
      </c>
      <c r="D504">
        <v>0</v>
      </c>
      <c r="E504">
        <f t="shared" si="14"/>
        <v>0</v>
      </c>
      <c r="F504">
        <f t="shared" si="15"/>
        <v>0.99529999999999486</v>
      </c>
    </row>
    <row r="505" spans="1:6" x14ac:dyDescent="0.25">
      <c r="A505" s="21">
        <v>37516160.869999997</v>
      </c>
      <c r="C505" s="7">
        <v>500000000</v>
      </c>
      <c r="D505">
        <v>3</v>
      </c>
      <c r="E505">
        <f t="shared" si="14"/>
        <v>2.9999999999999997E-4</v>
      </c>
      <c r="F505">
        <f t="shared" si="15"/>
        <v>0.99559999999999482</v>
      </c>
    </row>
    <row r="506" spans="1:6" x14ac:dyDescent="0.25">
      <c r="A506" s="21">
        <v>24127820.079999998</v>
      </c>
      <c r="C506" s="7">
        <v>501000000</v>
      </c>
      <c r="D506">
        <v>0</v>
      </c>
      <c r="E506">
        <f t="shared" si="14"/>
        <v>0</v>
      </c>
      <c r="F506">
        <f t="shared" si="15"/>
        <v>0.99559999999999482</v>
      </c>
    </row>
    <row r="507" spans="1:6" x14ac:dyDescent="0.25">
      <c r="A507" s="21">
        <v>40861077.899999999</v>
      </c>
      <c r="C507" s="7">
        <v>502000000</v>
      </c>
      <c r="D507">
        <v>0</v>
      </c>
      <c r="E507">
        <f t="shared" si="14"/>
        <v>0</v>
      </c>
      <c r="F507">
        <f t="shared" si="15"/>
        <v>0.99559999999999482</v>
      </c>
    </row>
    <row r="508" spans="1:6" x14ac:dyDescent="0.25">
      <c r="A508" s="21">
        <v>145081650.44</v>
      </c>
      <c r="C508" s="7">
        <v>503000000</v>
      </c>
      <c r="D508">
        <v>0</v>
      </c>
      <c r="E508">
        <f t="shared" si="14"/>
        <v>0</v>
      </c>
      <c r="F508">
        <f t="shared" si="15"/>
        <v>0.99559999999999482</v>
      </c>
    </row>
    <row r="509" spans="1:6" x14ac:dyDescent="0.25">
      <c r="A509" s="21">
        <v>95387039.629999995</v>
      </c>
      <c r="C509" s="7">
        <v>504000000</v>
      </c>
      <c r="D509">
        <v>1</v>
      </c>
      <c r="E509">
        <f t="shared" si="14"/>
        <v>1E-4</v>
      </c>
      <c r="F509">
        <f t="shared" si="15"/>
        <v>0.99569999999999481</v>
      </c>
    </row>
    <row r="510" spans="1:6" x14ac:dyDescent="0.25">
      <c r="A510" s="21">
        <v>88076213.089999899</v>
      </c>
      <c r="C510" s="7">
        <v>505000000</v>
      </c>
      <c r="D510">
        <v>0</v>
      </c>
      <c r="E510">
        <f t="shared" si="14"/>
        <v>0</v>
      </c>
      <c r="F510">
        <f t="shared" si="15"/>
        <v>0.99569999999999481</v>
      </c>
    </row>
    <row r="511" spans="1:6" x14ac:dyDescent="0.25">
      <c r="A511" s="21">
        <v>162869858.83000001</v>
      </c>
      <c r="C511" s="7">
        <v>506000000</v>
      </c>
      <c r="D511">
        <v>0</v>
      </c>
      <c r="E511">
        <f t="shared" si="14"/>
        <v>0</v>
      </c>
      <c r="F511">
        <f t="shared" si="15"/>
        <v>0.99569999999999481</v>
      </c>
    </row>
    <row r="512" spans="1:6" x14ac:dyDescent="0.25">
      <c r="A512" s="21">
        <v>6268849.5</v>
      </c>
      <c r="C512" s="7">
        <v>507000000</v>
      </c>
      <c r="D512">
        <v>1</v>
      </c>
      <c r="E512">
        <f t="shared" si="14"/>
        <v>1E-4</v>
      </c>
      <c r="F512">
        <f t="shared" si="15"/>
        <v>0.9957999999999948</v>
      </c>
    </row>
    <row r="513" spans="1:6" x14ac:dyDescent="0.25">
      <c r="A513" s="21">
        <v>42771046.399999999</v>
      </c>
      <c r="C513" s="7">
        <v>508000000</v>
      </c>
      <c r="D513">
        <v>1</v>
      </c>
      <c r="E513">
        <f t="shared" si="14"/>
        <v>1E-4</v>
      </c>
      <c r="F513">
        <f t="shared" si="15"/>
        <v>0.99589999999999479</v>
      </c>
    </row>
    <row r="514" spans="1:6" x14ac:dyDescent="0.25">
      <c r="A514" s="21">
        <v>165046882.81999999</v>
      </c>
      <c r="C514" s="7">
        <v>509000000</v>
      </c>
      <c r="D514">
        <v>0</v>
      </c>
      <c r="E514">
        <f t="shared" si="14"/>
        <v>0</v>
      </c>
      <c r="F514">
        <f t="shared" si="15"/>
        <v>0.99589999999999479</v>
      </c>
    </row>
    <row r="515" spans="1:6" x14ac:dyDescent="0.25">
      <c r="A515" s="21">
        <v>89583842.459999993</v>
      </c>
      <c r="C515" s="7">
        <v>510000000</v>
      </c>
      <c r="D515">
        <v>0</v>
      </c>
      <c r="E515">
        <f t="shared" si="14"/>
        <v>0</v>
      </c>
      <c r="F515">
        <f t="shared" si="15"/>
        <v>0.99589999999999479</v>
      </c>
    </row>
    <row r="516" spans="1:6" x14ac:dyDescent="0.25">
      <c r="A516" s="21">
        <v>66370514.25</v>
      </c>
      <c r="C516" s="7">
        <v>511000000</v>
      </c>
      <c r="D516">
        <v>1</v>
      </c>
      <c r="E516">
        <f t="shared" si="14"/>
        <v>1E-4</v>
      </c>
      <c r="F516">
        <f t="shared" si="15"/>
        <v>0.99599999999999478</v>
      </c>
    </row>
    <row r="517" spans="1:6" x14ac:dyDescent="0.25">
      <c r="A517" s="21">
        <v>420274314.79000002</v>
      </c>
      <c r="C517" s="7">
        <v>512000000</v>
      </c>
      <c r="D517">
        <v>1</v>
      </c>
      <c r="E517">
        <f t="shared" si="14"/>
        <v>1E-4</v>
      </c>
      <c r="F517">
        <f t="shared" si="15"/>
        <v>0.99609999999999477</v>
      </c>
    </row>
    <row r="518" spans="1:6" x14ac:dyDescent="0.25">
      <c r="A518" s="21">
        <v>28112502.82</v>
      </c>
      <c r="C518" s="7">
        <v>513000000</v>
      </c>
      <c r="D518">
        <v>1</v>
      </c>
      <c r="E518">
        <f t="shared" ref="E518:E581" si="16">D518/10000</f>
        <v>1E-4</v>
      </c>
      <c r="F518">
        <f t="shared" si="15"/>
        <v>0.99619999999999476</v>
      </c>
    </row>
    <row r="519" spans="1:6" x14ac:dyDescent="0.25">
      <c r="A519" s="21">
        <v>29340533.489999998</v>
      </c>
      <c r="C519" s="7">
        <v>514000000</v>
      </c>
      <c r="D519">
        <v>0</v>
      </c>
      <c r="E519">
        <f t="shared" si="16"/>
        <v>0</v>
      </c>
      <c r="F519">
        <f t="shared" ref="F519:F582" si="17">E519+F518</f>
        <v>0.99619999999999476</v>
      </c>
    </row>
    <row r="520" spans="1:6" x14ac:dyDescent="0.25">
      <c r="A520" s="21">
        <v>18548269.559999999</v>
      </c>
      <c r="C520" s="7">
        <v>515000000</v>
      </c>
      <c r="D520">
        <v>0</v>
      </c>
      <c r="E520">
        <f t="shared" si="16"/>
        <v>0</v>
      </c>
      <c r="F520">
        <f t="shared" si="17"/>
        <v>0.99619999999999476</v>
      </c>
    </row>
    <row r="521" spans="1:6" x14ac:dyDescent="0.25">
      <c r="A521" s="21">
        <v>19417754.620000001</v>
      </c>
      <c r="C521" s="7">
        <v>516000000</v>
      </c>
      <c r="D521">
        <v>0</v>
      </c>
      <c r="E521">
        <f t="shared" si="16"/>
        <v>0</v>
      </c>
      <c r="F521">
        <f t="shared" si="17"/>
        <v>0.99619999999999476</v>
      </c>
    </row>
    <row r="522" spans="1:6" x14ac:dyDescent="0.25">
      <c r="A522" s="21">
        <v>26076115.170000002</v>
      </c>
      <c r="C522" s="7">
        <v>517000000</v>
      </c>
      <c r="D522">
        <v>0</v>
      </c>
      <c r="E522">
        <f t="shared" si="16"/>
        <v>0</v>
      </c>
      <c r="F522">
        <f t="shared" si="17"/>
        <v>0.99619999999999476</v>
      </c>
    </row>
    <row r="523" spans="1:6" x14ac:dyDescent="0.25">
      <c r="A523" s="21">
        <v>67369272.379999995</v>
      </c>
      <c r="C523" s="7">
        <v>518000000</v>
      </c>
      <c r="D523">
        <v>0</v>
      </c>
      <c r="E523">
        <f t="shared" si="16"/>
        <v>0</v>
      </c>
      <c r="F523">
        <f t="shared" si="17"/>
        <v>0.99619999999999476</v>
      </c>
    </row>
    <row r="524" spans="1:6" x14ac:dyDescent="0.25">
      <c r="A524" s="21">
        <v>9859586.8900000006</v>
      </c>
      <c r="C524" s="7">
        <v>519000000</v>
      </c>
      <c r="D524">
        <v>1</v>
      </c>
      <c r="E524">
        <f t="shared" si="16"/>
        <v>1E-4</v>
      </c>
      <c r="F524">
        <f t="shared" si="17"/>
        <v>0.99629999999999475</v>
      </c>
    </row>
    <row r="525" spans="1:6" x14ac:dyDescent="0.25">
      <c r="A525" s="21">
        <v>9569661.7400000002</v>
      </c>
      <c r="C525" s="7">
        <v>520000000</v>
      </c>
      <c r="D525">
        <v>1</v>
      </c>
      <c r="E525">
        <f t="shared" si="16"/>
        <v>1E-4</v>
      </c>
      <c r="F525">
        <f t="shared" si="17"/>
        <v>0.99639999999999473</v>
      </c>
    </row>
    <row r="526" spans="1:6" x14ac:dyDescent="0.25">
      <c r="A526" s="21">
        <v>44324162.770000003</v>
      </c>
      <c r="C526" s="7">
        <v>521000000</v>
      </c>
      <c r="D526">
        <v>1</v>
      </c>
      <c r="E526">
        <f t="shared" si="16"/>
        <v>1E-4</v>
      </c>
      <c r="F526">
        <f t="shared" si="17"/>
        <v>0.99649999999999472</v>
      </c>
    </row>
    <row r="527" spans="1:6" x14ac:dyDescent="0.25">
      <c r="A527" s="21">
        <v>38987429.030000001</v>
      </c>
      <c r="C527" s="7">
        <v>522000000</v>
      </c>
      <c r="D527">
        <v>0</v>
      </c>
      <c r="E527">
        <f t="shared" si="16"/>
        <v>0</v>
      </c>
      <c r="F527">
        <f t="shared" si="17"/>
        <v>0.99649999999999472</v>
      </c>
    </row>
    <row r="528" spans="1:6" x14ac:dyDescent="0.25">
      <c r="A528" s="21">
        <v>3662483.31</v>
      </c>
      <c r="C528" s="7">
        <v>523000000</v>
      </c>
      <c r="D528">
        <v>1</v>
      </c>
      <c r="E528">
        <f t="shared" si="16"/>
        <v>1E-4</v>
      </c>
      <c r="F528">
        <f t="shared" si="17"/>
        <v>0.99659999999999471</v>
      </c>
    </row>
    <row r="529" spans="1:6" x14ac:dyDescent="0.25">
      <c r="A529" s="21">
        <v>82549903.530000001</v>
      </c>
      <c r="C529" s="7">
        <v>524000000</v>
      </c>
      <c r="D529">
        <v>0</v>
      </c>
      <c r="E529">
        <f t="shared" si="16"/>
        <v>0</v>
      </c>
      <c r="F529">
        <f t="shared" si="17"/>
        <v>0.99659999999999471</v>
      </c>
    </row>
    <row r="530" spans="1:6" x14ac:dyDescent="0.25">
      <c r="A530" s="21">
        <v>127264704.97</v>
      </c>
      <c r="C530" s="7">
        <v>525000000</v>
      </c>
      <c r="D530">
        <v>0</v>
      </c>
      <c r="E530">
        <f t="shared" si="16"/>
        <v>0</v>
      </c>
      <c r="F530">
        <f t="shared" si="17"/>
        <v>0.99659999999999471</v>
      </c>
    </row>
    <row r="531" spans="1:6" x14ac:dyDescent="0.25">
      <c r="A531" s="21">
        <v>30508242.199999999</v>
      </c>
      <c r="C531" s="7">
        <v>526000000</v>
      </c>
      <c r="D531">
        <v>1</v>
      </c>
      <c r="E531">
        <f t="shared" si="16"/>
        <v>1E-4</v>
      </c>
      <c r="F531">
        <f t="shared" si="17"/>
        <v>0.9966999999999947</v>
      </c>
    </row>
    <row r="532" spans="1:6" x14ac:dyDescent="0.25">
      <c r="A532" s="21">
        <v>50689890.969999999</v>
      </c>
      <c r="C532" s="7">
        <v>527000000</v>
      </c>
      <c r="D532">
        <v>0</v>
      </c>
      <c r="E532">
        <f t="shared" si="16"/>
        <v>0</v>
      </c>
      <c r="F532">
        <f t="shared" si="17"/>
        <v>0.9966999999999947</v>
      </c>
    </row>
    <row r="533" spans="1:6" x14ac:dyDescent="0.25">
      <c r="A533" s="21">
        <v>278583749.66000003</v>
      </c>
      <c r="C533" s="7">
        <v>528000000</v>
      </c>
      <c r="D533">
        <v>0</v>
      </c>
      <c r="E533">
        <f t="shared" si="16"/>
        <v>0</v>
      </c>
      <c r="F533">
        <f t="shared" si="17"/>
        <v>0.9966999999999947</v>
      </c>
    </row>
    <row r="534" spans="1:6" x14ac:dyDescent="0.25">
      <c r="A534" s="21">
        <v>3432390.57</v>
      </c>
      <c r="C534" s="7">
        <v>529000000</v>
      </c>
      <c r="D534">
        <v>1</v>
      </c>
      <c r="E534">
        <f t="shared" si="16"/>
        <v>1E-4</v>
      </c>
      <c r="F534">
        <f t="shared" si="17"/>
        <v>0.99679999999999469</v>
      </c>
    </row>
    <row r="535" spans="1:6" x14ac:dyDescent="0.25">
      <c r="A535" s="21">
        <v>39311018.590000004</v>
      </c>
      <c r="C535" s="7">
        <v>530000000</v>
      </c>
      <c r="D535">
        <v>0</v>
      </c>
      <c r="E535">
        <f t="shared" si="16"/>
        <v>0</v>
      </c>
      <c r="F535">
        <f t="shared" si="17"/>
        <v>0.99679999999999469</v>
      </c>
    </row>
    <row r="536" spans="1:6" x14ac:dyDescent="0.25">
      <c r="A536" s="21">
        <v>68329022.930000007</v>
      </c>
      <c r="C536" s="7">
        <v>531000000</v>
      </c>
      <c r="D536">
        <v>1</v>
      </c>
      <c r="E536">
        <f t="shared" si="16"/>
        <v>1E-4</v>
      </c>
      <c r="F536">
        <f t="shared" si="17"/>
        <v>0.99689999999999468</v>
      </c>
    </row>
    <row r="537" spans="1:6" x14ac:dyDescent="0.25">
      <c r="A537" s="21">
        <v>138898786.68000001</v>
      </c>
      <c r="C537" s="7">
        <v>532000000</v>
      </c>
      <c r="D537">
        <v>2</v>
      </c>
      <c r="E537">
        <f t="shared" si="16"/>
        <v>2.0000000000000001E-4</v>
      </c>
      <c r="F537">
        <f t="shared" si="17"/>
        <v>0.99709999999999466</v>
      </c>
    </row>
    <row r="538" spans="1:6" x14ac:dyDescent="0.25">
      <c r="A538" s="21">
        <v>69010330.450000003</v>
      </c>
      <c r="C538" s="7">
        <v>533000000</v>
      </c>
      <c r="D538">
        <v>0</v>
      </c>
      <c r="E538">
        <f t="shared" si="16"/>
        <v>0</v>
      </c>
      <c r="F538">
        <f t="shared" si="17"/>
        <v>0.99709999999999466</v>
      </c>
    </row>
    <row r="539" spans="1:6" x14ac:dyDescent="0.25">
      <c r="A539" s="21">
        <v>62839078.32</v>
      </c>
      <c r="C539" s="7">
        <v>534000000</v>
      </c>
      <c r="D539">
        <v>0</v>
      </c>
      <c r="E539">
        <f t="shared" si="16"/>
        <v>0</v>
      </c>
      <c r="F539">
        <f t="shared" si="17"/>
        <v>0.99709999999999466</v>
      </c>
    </row>
    <row r="540" spans="1:6" x14ac:dyDescent="0.25">
      <c r="A540">
        <v>47063422</v>
      </c>
      <c r="C540" s="7">
        <v>535000000</v>
      </c>
      <c r="D540">
        <v>0</v>
      </c>
      <c r="E540">
        <f t="shared" si="16"/>
        <v>0</v>
      </c>
      <c r="F540">
        <f t="shared" si="17"/>
        <v>0.99709999999999466</v>
      </c>
    </row>
    <row r="541" spans="1:6" x14ac:dyDescent="0.25">
      <c r="A541" s="21">
        <v>175296838.80000001</v>
      </c>
      <c r="C541" s="7">
        <v>536000000</v>
      </c>
      <c r="D541">
        <v>1</v>
      </c>
      <c r="E541">
        <f t="shared" si="16"/>
        <v>1E-4</v>
      </c>
      <c r="F541">
        <f t="shared" si="17"/>
        <v>0.99719999999999465</v>
      </c>
    </row>
    <row r="542" spans="1:6" x14ac:dyDescent="0.25">
      <c r="A542" s="21">
        <v>10196107.77</v>
      </c>
      <c r="C542" s="7">
        <v>537000000</v>
      </c>
      <c r="D542">
        <v>0</v>
      </c>
      <c r="E542">
        <f t="shared" si="16"/>
        <v>0</v>
      </c>
      <c r="F542">
        <f t="shared" si="17"/>
        <v>0.99719999999999465</v>
      </c>
    </row>
    <row r="543" spans="1:6" x14ac:dyDescent="0.25">
      <c r="A543" s="21">
        <v>63137847.189999998</v>
      </c>
      <c r="C543" s="7">
        <v>538000000</v>
      </c>
      <c r="D543">
        <v>1</v>
      </c>
      <c r="E543">
        <f t="shared" si="16"/>
        <v>1E-4</v>
      </c>
      <c r="F543">
        <f t="shared" si="17"/>
        <v>0.99729999999999464</v>
      </c>
    </row>
    <row r="544" spans="1:6" x14ac:dyDescent="0.25">
      <c r="A544" s="21">
        <v>46271459.759999998</v>
      </c>
      <c r="C544" s="7">
        <v>539000000</v>
      </c>
      <c r="D544">
        <v>0</v>
      </c>
      <c r="E544">
        <f t="shared" si="16"/>
        <v>0</v>
      </c>
      <c r="F544">
        <f t="shared" si="17"/>
        <v>0.99729999999999464</v>
      </c>
    </row>
    <row r="545" spans="1:6" x14ac:dyDescent="0.25">
      <c r="A545" s="21">
        <v>43893647.880000003</v>
      </c>
      <c r="C545" s="7">
        <v>540000000</v>
      </c>
      <c r="D545">
        <v>0</v>
      </c>
      <c r="E545">
        <f t="shared" si="16"/>
        <v>0</v>
      </c>
      <c r="F545">
        <f t="shared" si="17"/>
        <v>0.99729999999999464</v>
      </c>
    </row>
    <row r="546" spans="1:6" x14ac:dyDescent="0.25">
      <c r="A546" s="21">
        <v>26353754.77</v>
      </c>
      <c r="C546" s="7">
        <v>541000000</v>
      </c>
      <c r="D546">
        <v>0</v>
      </c>
      <c r="E546">
        <f t="shared" si="16"/>
        <v>0</v>
      </c>
      <c r="F546">
        <f t="shared" si="17"/>
        <v>0.99729999999999464</v>
      </c>
    </row>
    <row r="547" spans="1:6" x14ac:dyDescent="0.25">
      <c r="A547" s="21">
        <v>453945394.99000001</v>
      </c>
      <c r="C547" s="7">
        <v>542000000</v>
      </c>
      <c r="D547">
        <v>1</v>
      </c>
      <c r="E547">
        <f t="shared" si="16"/>
        <v>1E-4</v>
      </c>
      <c r="F547">
        <f t="shared" si="17"/>
        <v>0.99739999999999462</v>
      </c>
    </row>
    <row r="548" spans="1:6" x14ac:dyDescent="0.25">
      <c r="A548" s="21">
        <v>4474793.99</v>
      </c>
      <c r="C548" s="7">
        <v>543000000</v>
      </c>
      <c r="D548">
        <v>0</v>
      </c>
      <c r="E548">
        <f t="shared" si="16"/>
        <v>0</v>
      </c>
      <c r="F548">
        <f t="shared" si="17"/>
        <v>0.99739999999999462</v>
      </c>
    </row>
    <row r="549" spans="1:6" x14ac:dyDescent="0.25">
      <c r="A549" s="21">
        <v>46923480.18</v>
      </c>
      <c r="C549" s="7">
        <v>544000000</v>
      </c>
      <c r="D549">
        <v>0</v>
      </c>
      <c r="E549">
        <f t="shared" si="16"/>
        <v>0</v>
      </c>
      <c r="F549">
        <f t="shared" si="17"/>
        <v>0.99739999999999462</v>
      </c>
    </row>
    <row r="550" spans="1:6" x14ac:dyDescent="0.25">
      <c r="A550" s="21">
        <v>197542846.19</v>
      </c>
      <c r="C550" s="7">
        <v>545000000</v>
      </c>
      <c r="D550">
        <v>1</v>
      </c>
      <c r="E550">
        <f t="shared" si="16"/>
        <v>1E-4</v>
      </c>
      <c r="F550">
        <f t="shared" si="17"/>
        <v>0.99749999999999461</v>
      </c>
    </row>
    <row r="551" spans="1:6" x14ac:dyDescent="0.25">
      <c r="A551" s="21">
        <v>53369657.630000003</v>
      </c>
      <c r="C551" s="7">
        <v>546000000</v>
      </c>
      <c r="D551">
        <v>0</v>
      </c>
      <c r="E551">
        <f t="shared" si="16"/>
        <v>0</v>
      </c>
      <c r="F551">
        <f t="shared" si="17"/>
        <v>0.99749999999999461</v>
      </c>
    </row>
    <row r="552" spans="1:6" x14ac:dyDescent="0.25">
      <c r="A552" s="21">
        <v>148750413.05000001</v>
      </c>
      <c r="C552" s="7">
        <v>547000000</v>
      </c>
      <c r="D552">
        <v>0</v>
      </c>
      <c r="E552">
        <f t="shared" si="16"/>
        <v>0</v>
      </c>
      <c r="F552">
        <f t="shared" si="17"/>
        <v>0.99749999999999461</v>
      </c>
    </row>
    <row r="553" spans="1:6" x14ac:dyDescent="0.25">
      <c r="A553" s="21">
        <v>59276146.950000003</v>
      </c>
      <c r="C553" s="7">
        <v>548000000</v>
      </c>
      <c r="D553">
        <v>0</v>
      </c>
      <c r="E553">
        <f t="shared" si="16"/>
        <v>0</v>
      </c>
      <c r="F553">
        <f t="shared" si="17"/>
        <v>0.99749999999999461</v>
      </c>
    </row>
    <row r="554" spans="1:6" x14ac:dyDescent="0.25">
      <c r="A554" s="21">
        <v>67170659.909999996</v>
      </c>
      <c r="C554" s="7">
        <v>549000000</v>
      </c>
      <c r="D554">
        <v>0</v>
      </c>
      <c r="E554">
        <f t="shared" si="16"/>
        <v>0</v>
      </c>
      <c r="F554">
        <f t="shared" si="17"/>
        <v>0.99749999999999461</v>
      </c>
    </row>
    <row r="555" spans="1:6" x14ac:dyDescent="0.25">
      <c r="A555" s="21">
        <v>29686604.559999999</v>
      </c>
      <c r="C555" s="7">
        <v>550000000</v>
      </c>
      <c r="D555">
        <v>0</v>
      </c>
      <c r="E555">
        <f t="shared" si="16"/>
        <v>0</v>
      </c>
      <c r="F555">
        <f t="shared" si="17"/>
        <v>0.99749999999999461</v>
      </c>
    </row>
    <row r="556" spans="1:6" x14ac:dyDescent="0.25">
      <c r="A556" s="21">
        <v>138907013.44999999</v>
      </c>
      <c r="C556" s="7">
        <v>551000000</v>
      </c>
      <c r="D556">
        <v>0</v>
      </c>
      <c r="E556">
        <f t="shared" si="16"/>
        <v>0</v>
      </c>
      <c r="F556">
        <f t="shared" si="17"/>
        <v>0.99749999999999461</v>
      </c>
    </row>
    <row r="557" spans="1:6" x14ac:dyDescent="0.25">
      <c r="A557" s="21">
        <v>115318118.69</v>
      </c>
      <c r="C557" s="7">
        <v>552000000</v>
      </c>
      <c r="D557">
        <v>1</v>
      </c>
      <c r="E557">
        <f t="shared" si="16"/>
        <v>1E-4</v>
      </c>
      <c r="F557">
        <f t="shared" si="17"/>
        <v>0.9975999999999946</v>
      </c>
    </row>
    <row r="558" spans="1:6" x14ac:dyDescent="0.25">
      <c r="A558" s="21">
        <v>40849682.579999998</v>
      </c>
      <c r="C558" s="7">
        <v>553000000</v>
      </c>
      <c r="D558">
        <v>0</v>
      </c>
      <c r="E558">
        <f t="shared" si="16"/>
        <v>0</v>
      </c>
      <c r="F558">
        <f t="shared" si="17"/>
        <v>0.9975999999999946</v>
      </c>
    </row>
    <row r="559" spans="1:6" x14ac:dyDescent="0.25">
      <c r="A559">
        <v>0</v>
      </c>
      <c r="C559" s="7">
        <v>554000000</v>
      </c>
      <c r="D559">
        <v>0</v>
      </c>
      <c r="E559">
        <f t="shared" si="16"/>
        <v>0</v>
      </c>
      <c r="F559">
        <f t="shared" si="17"/>
        <v>0.9975999999999946</v>
      </c>
    </row>
    <row r="560" spans="1:6" x14ac:dyDescent="0.25">
      <c r="A560" s="21">
        <v>6404882.4199999999</v>
      </c>
      <c r="C560" s="7">
        <v>555000000</v>
      </c>
      <c r="D560">
        <v>0</v>
      </c>
      <c r="E560">
        <f t="shared" si="16"/>
        <v>0</v>
      </c>
      <c r="F560">
        <f t="shared" si="17"/>
        <v>0.9975999999999946</v>
      </c>
    </row>
    <row r="561" spans="1:6" x14ac:dyDescent="0.25">
      <c r="A561" s="21">
        <v>99629651.1199999</v>
      </c>
      <c r="C561" s="7">
        <v>556000000</v>
      </c>
      <c r="D561">
        <v>1</v>
      </c>
      <c r="E561">
        <f t="shared" si="16"/>
        <v>1E-4</v>
      </c>
      <c r="F561">
        <f t="shared" si="17"/>
        <v>0.99769999999999459</v>
      </c>
    </row>
    <row r="562" spans="1:6" x14ac:dyDescent="0.25">
      <c r="A562" s="21">
        <v>44103311.990000002</v>
      </c>
      <c r="C562" s="7">
        <v>557000000</v>
      </c>
      <c r="D562">
        <v>0</v>
      </c>
      <c r="E562">
        <f t="shared" si="16"/>
        <v>0</v>
      </c>
      <c r="F562">
        <f t="shared" si="17"/>
        <v>0.99769999999999459</v>
      </c>
    </row>
    <row r="563" spans="1:6" x14ac:dyDescent="0.25">
      <c r="A563" s="21">
        <v>32591682.760000002</v>
      </c>
      <c r="C563" s="7">
        <v>558000000</v>
      </c>
      <c r="D563">
        <v>1</v>
      </c>
      <c r="E563">
        <f t="shared" si="16"/>
        <v>1E-4</v>
      </c>
      <c r="F563">
        <f t="shared" si="17"/>
        <v>0.99779999999999458</v>
      </c>
    </row>
    <row r="564" spans="1:6" x14ac:dyDescent="0.25">
      <c r="A564" s="21">
        <v>21345245.140000001</v>
      </c>
      <c r="C564" s="7">
        <v>559000000</v>
      </c>
      <c r="D564">
        <v>1</v>
      </c>
      <c r="E564">
        <f t="shared" si="16"/>
        <v>1E-4</v>
      </c>
      <c r="F564">
        <f t="shared" si="17"/>
        <v>0.99789999999999457</v>
      </c>
    </row>
    <row r="565" spans="1:6" x14ac:dyDescent="0.25">
      <c r="A565" s="21">
        <v>45645069.899999999</v>
      </c>
      <c r="C565" s="7">
        <v>560000000</v>
      </c>
      <c r="D565">
        <v>0</v>
      </c>
      <c r="E565">
        <f t="shared" si="16"/>
        <v>0</v>
      </c>
      <c r="F565">
        <f t="shared" si="17"/>
        <v>0.99789999999999457</v>
      </c>
    </row>
    <row r="566" spans="1:6" x14ac:dyDescent="0.25">
      <c r="A566" s="21">
        <v>74571578.689999998</v>
      </c>
      <c r="C566" s="7">
        <v>561000000</v>
      </c>
      <c r="D566">
        <v>2</v>
      </c>
      <c r="E566">
        <f t="shared" si="16"/>
        <v>2.0000000000000001E-4</v>
      </c>
      <c r="F566">
        <f t="shared" si="17"/>
        <v>0.99809999999999455</v>
      </c>
    </row>
    <row r="567" spans="1:6" x14ac:dyDescent="0.25">
      <c r="A567">
        <v>0</v>
      </c>
      <c r="C567" s="7">
        <v>562000000</v>
      </c>
      <c r="D567">
        <v>0</v>
      </c>
      <c r="E567">
        <f t="shared" si="16"/>
        <v>0</v>
      </c>
      <c r="F567">
        <f t="shared" si="17"/>
        <v>0.99809999999999455</v>
      </c>
    </row>
    <row r="568" spans="1:6" x14ac:dyDescent="0.25">
      <c r="A568" s="21">
        <v>7468548.29</v>
      </c>
      <c r="C568" s="7">
        <v>563000000</v>
      </c>
      <c r="D568">
        <v>0</v>
      </c>
      <c r="E568">
        <f t="shared" si="16"/>
        <v>0</v>
      </c>
      <c r="F568">
        <f t="shared" si="17"/>
        <v>0.99809999999999455</v>
      </c>
    </row>
    <row r="569" spans="1:6" x14ac:dyDescent="0.25">
      <c r="A569" s="21">
        <v>185408344.08000001</v>
      </c>
      <c r="C569" s="7">
        <v>564000000</v>
      </c>
      <c r="D569">
        <v>0</v>
      </c>
      <c r="E569">
        <f t="shared" si="16"/>
        <v>0</v>
      </c>
      <c r="F569">
        <f t="shared" si="17"/>
        <v>0.99809999999999455</v>
      </c>
    </row>
    <row r="570" spans="1:6" x14ac:dyDescent="0.25">
      <c r="A570" s="21">
        <v>79112645.310000002</v>
      </c>
      <c r="C570" s="7">
        <v>565000000</v>
      </c>
      <c r="D570">
        <v>0</v>
      </c>
      <c r="E570">
        <f t="shared" si="16"/>
        <v>0</v>
      </c>
      <c r="F570">
        <f t="shared" si="17"/>
        <v>0.99809999999999455</v>
      </c>
    </row>
    <row r="571" spans="1:6" x14ac:dyDescent="0.25">
      <c r="A571">
        <v>0</v>
      </c>
      <c r="C571" s="7">
        <v>566000000</v>
      </c>
      <c r="D571">
        <v>0</v>
      </c>
      <c r="E571">
        <f t="shared" si="16"/>
        <v>0</v>
      </c>
      <c r="F571">
        <f t="shared" si="17"/>
        <v>0.99809999999999455</v>
      </c>
    </row>
    <row r="572" spans="1:6" x14ac:dyDescent="0.25">
      <c r="A572" s="21">
        <v>25805575.620000001</v>
      </c>
      <c r="C572" s="7">
        <v>567000000</v>
      </c>
      <c r="D572">
        <v>0</v>
      </c>
      <c r="E572">
        <f t="shared" si="16"/>
        <v>0</v>
      </c>
      <c r="F572">
        <f t="shared" si="17"/>
        <v>0.99809999999999455</v>
      </c>
    </row>
    <row r="573" spans="1:6" x14ac:dyDescent="0.25">
      <c r="A573" s="21">
        <v>10778040.4</v>
      </c>
      <c r="C573" s="7">
        <v>568000000</v>
      </c>
      <c r="D573">
        <v>0</v>
      </c>
      <c r="E573">
        <f t="shared" si="16"/>
        <v>0</v>
      </c>
      <c r="F573">
        <f t="shared" si="17"/>
        <v>0.99809999999999455</v>
      </c>
    </row>
    <row r="574" spans="1:6" x14ac:dyDescent="0.25">
      <c r="A574" s="21">
        <v>23385119.32</v>
      </c>
      <c r="C574" s="7">
        <v>569000000</v>
      </c>
      <c r="D574">
        <v>0</v>
      </c>
      <c r="E574">
        <f t="shared" si="16"/>
        <v>0</v>
      </c>
      <c r="F574">
        <f t="shared" si="17"/>
        <v>0.99809999999999455</v>
      </c>
    </row>
    <row r="575" spans="1:6" x14ac:dyDescent="0.25">
      <c r="A575" s="21">
        <v>11207996.439999999</v>
      </c>
      <c r="C575" s="7">
        <v>570000000</v>
      </c>
      <c r="D575">
        <v>0</v>
      </c>
      <c r="E575">
        <f t="shared" si="16"/>
        <v>0</v>
      </c>
      <c r="F575">
        <f t="shared" si="17"/>
        <v>0.99809999999999455</v>
      </c>
    </row>
    <row r="576" spans="1:6" x14ac:dyDescent="0.25">
      <c r="A576" s="21">
        <v>99851574.129999995</v>
      </c>
      <c r="C576" s="7">
        <v>571000000</v>
      </c>
      <c r="D576">
        <v>0</v>
      </c>
      <c r="E576">
        <f t="shared" si="16"/>
        <v>0</v>
      </c>
      <c r="F576">
        <f t="shared" si="17"/>
        <v>0.99809999999999455</v>
      </c>
    </row>
    <row r="577" spans="1:6" x14ac:dyDescent="0.25">
      <c r="A577">
        <v>7038006</v>
      </c>
      <c r="C577" s="7">
        <v>572000000</v>
      </c>
      <c r="D577">
        <v>0</v>
      </c>
      <c r="E577">
        <f t="shared" si="16"/>
        <v>0</v>
      </c>
      <c r="F577">
        <f t="shared" si="17"/>
        <v>0.99809999999999455</v>
      </c>
    </row>
    <row r="578" spans="1:6" x14ac:dyDescent="0.25">
      <c r="A578" s="21">
        <v>119342920.20999999</v>
      </c>
      <c r="C578" s="7">
        <v>573000000</v>
      </c>
      <c r="D578">
        <v>1</v>
      </c>
      <c r="E578">
        <f t="shared" si="16"/>
        <v>1E-4</v>
      </c>
      <c r="F578">
        <f t="shared" si="17"/>
        <v>0.99819999999999454</v>
      </c>
    </row>
    <row r="579" spans="1:6" x14ac:dyDescent="0.25">
      <c r="A579" s="21">
        <v>63384448.399999999</v>
      </c>
      <c r="C579" s="7">
        <v>574000000</v>
      </c>
      <c r="D579">
        <v>0</v>
      </c>
      <c r="E579">
        <f t="shared" si="16"/>
        <v>0</v>
      </c>
      <c r="F579">
        <f t="shared" si="17"/>
        <v>0.99819999999999454</v>
      </c>
    </row>
    <row r="580" spans="1:6" x14ac:dyDescent="0.25">
      <c r="A580" s="21">
        <v>13035055.75</v>
      </c>
      <c r="C580" s="7">
        <v>575000000</v>
      </c>
      <c r="D580">
        <v>0</v>
      </c>
      <c r="E580">
        <f t="shared" si="16"/>
        <v>0</v>
      </c>
      <c r="F580">
        <f t="shared" si="17"/>
        <v>0.99819999999999454</v>
      </c>
    </row>
    <row r="581" spans="1:6" x14ac:dyDescent="0.25">
      <c r="A581" s="21">
        <v>25511248.960000001</v>
      </c>
      <c r="C581" s="7">
        <v>576000000</v>
      </c>
      <c r="D581">
        <v>0</v>
      </c>
      <c r="E581">
        <f t="shared" si="16"/>
        <v>0</v>
      </c>
      <c r="F581">
        <f t="shared" si="17"/>
        <v>0.99819999999999454</v>
      </c>
    </row>
    <row r="582" spans="1:6" x14ac:dyDescent="0.25">
      <c r="A582" s="21">
        <v>118356174.17</v>
      </c>
      <c r="C582" s="7">
        <v>577000000</v>
      </c>
      <c r="D582">
        <v>1</v>
      </c>
      <c r="E582">
        <f t="shared" ref="E582:E645" si="18">D582/10000</f>
        <v>1E-4</v>
      </c>
      <c r="F582">
        <f t="shared" si="17"/>
        <v>0.99829999999999453</v>
      </c>
    </row>
    <row r="583" spans="1:6" x14ac:dyDescent="0.25">
      <c r="A583">
        <v>31161080</v>
      </c>
      <c r="C583" s="7">
        <v>578000000</v>
      </c>
      <c r="D583">
        <v>0</v>
      </c>
      <c r="E583">
        <f t="shared" si="18"/>
        <v>0</v>
      </c>
      <c r="F583">
        <f t="shared" ref="F583:F646" si="19">E583+F582</f>
        <v>0.99829999999999453</v>
      </c>
    </row>
    <row r="584" spans="1:6" x14ac:dyDescent="0.25">
      <c r="A584" s="21">
        <v>61559665.579999998</v>
      </c>
      <c r="C584" s="7">
        <v>579000000</v>
      </c>
      <c r="D584">
        <v>0</v>
      </c>
      <c r="E584">
        <f t="shared" si="18"/>
        <v>0</v>
      </c>
      <c r="F584">
        <f t="shared" si="19"/>
        <v>0.99829999999999453</v>
      </c>
    </row>
    <row r="585" spans="1:6" x14ac:dyDescent="0.25">
      <c r="A585" s="21">
        <v>2768580.03</v>
      </c>
      <c r="C585" s="7">
        <v>580000000</v>
      </c>
      <c r="D585">
        <v>0</v>
      </c>
      <c r="E585">
        <f t="shared" si="18"/>
        <v>0</v>
      </c>
      <c r="F585">
        <f t="shared" si="19"/>
        <v>0.99829999999999453</v>
      </c>
    </row>
    <row r="586" spans="1:6" x14ac:dyDescent="0.25">
      <c r="A586" s="21">
        <v>84659600.959999993</v>
      </c>
      <c r="C586" s="7">
        <v>581000000</v>
      </c>
      <c r="D586">
        <v>0</v>
      </c>
      <c r="E586">
        <f t="shared" si="18"/>
        <v>0</v>
      </c>
      <c r="F586">
        <f t="shared" si="19"/>
        <v>0.99829999999999453</v>
      </c>
    </row>
    <row r="587" spans="1:6" x14ac:dyDescent="0.25">
      <c r="A587" s="21">
        <v>38185723.280000001</v>
      </c>
      <c r="C587" s="7">
        <v>582000000</v>
      </c>
      <c r="D587">
        <v>1</v>
      </c>
      <c r="E587">
        <f t="shared" si="18"/>
        <v>1E-4</v>
      </c>
      <c r="F587">
        <f t="shared" si="19"/>
        <v>0.99839999999999451</v>
      </c>
    </row>
    <row r="588" spans="1:6" x14ac:dyDescent="0.25">
      <c r="A588">
        <v>0</v>
      </c>
      <c r="C588" s="7">
        <v>583000000</v>
      </c>
      <c r="D588">
        <v>0</v>
      </c>
      <c r="E588">
        <f t="shared" si="18"/>
        <v>0</v>
      </c>
      <c r="F588">
        <f t="shared" si="19"/>
        <v>0.99839999999999451</v>
      </c>
    </row>
    <row r="589" spans="1:6" x14ac:dyDescent="0.25">
      <c r="A589" s="21">
        <v>37882071.850000001</v>
      </c>
      <c r="C589" s="7">
        <v>584000000</v>
      </c>
      <c r="D589">
        <v>0</v>
      </c>
      <c r="E589">
        <f t="shared" si="18"/>
        <v>0</v>
      </c>
      <c r="F589">
        <f t="shared" si="19"/>
        <v>0.99839999999999451</v>
      </c>
    </row>
    <row r="590" spans="1:6" x14ac:dyDescent="0.25">
      <c r="A590" s="21">
        <v>218094760.94999999</v>
      </c>
      <c r="C590" s="7">
        <v>585000000</v>
      </c>
      <c r="D590">
        <v>0</v>
      </c>
      <c r="E590">
        <f t="shared" si="18"/>
        <v>0</v>
      </c>
      <c r="F590">
        <f t="shared" si="19"/>
        <v>0.99839999999999451</v>
      </c>
    </row>
    <row r="591" spans="1:6" x14ac:dyDescent="0.25">
      <c r="A591" s="21">
        <v>53702567.18</v>
      </c>
      <c r="C591" s="7">
        <v>586000000</v>
      </c>
      <c r="D591">
        <v>2</v>
      </c>
      <c r="E591">
        <f t="shared" si="18"/>
        <v>2.0000000000000001E-4</v>
      </c>
      <c r="F591">
        <f t="shared" si="19"/>
        <v>0.99859999999999449</v>
      </c>
    </row>
    <row r="592" spans="1:6" x14ac:dyDescent="0.25">
      <c r="A592" s="21">
        <v>130760424.36</v>
      </c>
      <c r="C592" s="7">
        <v>587000000</v>
      </c>
      <c r="D592">
        <v>0</v>
      </c>
      <c r="E592">
        <f t="shared" si="18"/>
        <v>0</v>
      </c>
      <c r="F592">
        <f t="shared" si="19"/>
        <v>0.99859999999999449</v>
      </c>
    </row>
    <row r="593" spans="1:6" x14ac:dyDescent="0.25">
      <c r="A593" s="21">
        <v>23593436.870000001</v>
      </c>
      <c r="C593" s="7">
        <v>588000000</v>
      </c>
      <c r="D593">
        <v>1</v>
      </c>
      <c r="E593">
        <f t="shared" si="18"/>
        <v>1E-4</v>
      </c>
      <c r="F593">
        <f t="shared" si="19"/>
        <v>0.99869999999999448</v>
      </c>
    </row>
    <row r="594" spans="1:6" x14ac:dyDescent="0.25">
      <c r="A594" s="21">
        <v>12953518.5</v>
      </c>
      <c r="C594" s="7">
        <v>589000000</v>
      </c>
      <c r="D594">
        <v>0</v>
      </c>
      <c r="E594">
        <f t="shared" si="18"/>
        <v>0</v>
      </c>
      <c r="F594">
        <f t="shared" si="19"/>
        <v>0.99869999999999448</v>
      </c>
    </row>
    <row r="595" spans="1:6" x14ac:dyDescent="0.25">
      <c r="A595" s="21">
        <v>155896187.38999999</v>
      </c>
      <c r="C595" s="7">
        <v>590000000</v>
      </c>
      <c r="D595">
        <v>0</v>
      </c>
      <c r="E595">
        <f t="shared" si="18"/>
        <v>0</v>
      </c>
      <c r="F595">
        <f t="shared" si="19"/>
        <v>0.99869999999999448</v>
      </c>
    </row>
    <row r="596" spans="1:6" x14ac:dyDescent="0.25">
      <c r="A596" s="21">
        <v>27112286.559999999</v>
      </c>
      <c r="C596" s="7">
        <v>591000000</v>
      </c>
      <c r="D596">
        <v>0</v>
      </c>
      <c r="E596">
        <f t="shared" si="18"/>
        <v>0</v>
      </c>
      <c r="F596">
        <f t="shared" si="19"/>
        <v>0.99869999999999448</v>
      </c>
    </row>
    <row r="597" spans="1:6" x14ac:dyDescent="0.25">
      <c r="A597" s="21">
        <v>9000540.9100000001</v>
      </c>
      <c r="C597" s="7">
        <v>592000000</v>
      </c>
      <c r="D597">
        <v>0</v>
      </c>
      <c r="E597">
        <f t="shared" si="18"/>
        <v>0</v>
      </c>
      <c r="F597">
        <f t="shared" si="19"/>
        <v>0.99869999999999448</v>
      </c>
    </row>
    <row r="598" spans="1:6" x14ac:dyDescent="0.25">
      <c r="A598" s="21">
        <v>7262323.5</v>
      </c>
      <c r="C598" s="7">
        <v>593000000</v>
      </c>
      <c r="D598">
        <v>0</v>
      </c>
      <c r="E598">
        <f t="shared" si="18"/>
        <v>0</v>
      </c>
      <c r="F598">
        <f t="shared" si="19"/>
        <v>0.99869999999999448</v>
      </c>
    </row>
    <row r="599" spans="1:6" x14ac:dyDescent="0.25">
      <c r="A599" s="21">
        <v>47167350.100000001</v>
      </c>
      <c r="C599" s="7">
        <v>594000000</v>
      </c>
      <c r="D599">
        <v>0</v>
      </c>
      <c r="E599">
        <f t="shared" si="18"/>
        <v>0</v>
      </c>
      <c r="F599">
        <f t="shared" si="19"/>
        <v>0.99869999999999448</v>
      </c>
    </row>
    <row r="600" spans="1:6" x14ac:dyDescent="0.25">
      <c r="A600" s="21">
        <v>38327986.18</v>
      </c>
      <c r="C600" s="7">
        <v>595000000</v>
      </c>
      <c r="D600">
        <v>1</v>
      </c>
      <c r="E600">
        <f t="shared" si="18"/>
        <v>1E-4</v>
      </c>
      <c r="F600">
        <f t="shared" si="19"/>
        <v>0.99879999999999447</v>
      </c>
    </row>
    <row r="601" spans="1:6" x14ac:dyDescent="0.25">
      <c r="A601" s="21">
        <v>18652363.530000001</v>
      </c>
      <c r="C601" s="7">
        <v>596000000</v>
      </c>
      <c r="D601">
        <v>0</v>
      </c>
      <c r="E601">
        <f t="shared" si="18"/>
        <v>0</v>
      </c>
      <c r="F601">
        <f t="shared" si="19"/>
        <v>0.99879999999999447</v>
      </c>
    </row>
    <row r="602" spans="1:6" x14ac:dyDescent="0.25">
      <c r="A602" s="21">
        <v>2943509.66</v>
      </c>
      <c r="C602" s="7">
        <v>597000000</v>
      </c>
      <c r="D602">
        <v>0</v>
      </c>
      <c r="E602">
        <f t="shared" si="18"/>
        <v>0</v>
      </c>
      <c r="F602">
        <f t="shared" si="19"/>
        <v>0.99879999999999447</v>
      </c>
    </row>
    <row r="603" spans="1:6" x14ac:dyDescent="0.25">
      <c r="A603" s="21">
        <v>28637872.699999999</v>
      </c>
      <c r="C603" s="7">
        <v>598000000</v>
      </c>
      <c r="D603">
        <v>0</v>
      </c>
      <c r="E603">
        <f t="shared" si="18"/>
        <v>0</v>
      </c>
      <c r="F603">
        <f t="shared" si="19"/>
        <v>0.99879999999999447</v>
      </c>
    </row>
    <row r="604" spans="1:6" x14ac:dyDescent="0.25">
      <c r="A604" s="21">
        <v>55894096.170000002</v>
      </c>
      <c r="C604" s="7">
        <v>599000000</v>
      </c>
      <c r="D604">
        <v>0</v>
      </c>
      <c r="E604">
        <f t="shared" si="18"/>
        <v>0</v>
      </c>
      <c r="F604">
        <f t="shared" si="19"/>
        <v>0.99879999999999447</v>
      </c>
    </row>
    <row r="605" spans="1:6" x14ac:dyDescent="0.25">
      <c r="A605" s="21">
        <v>12906854.130000001</v>
      </c>
      <c r="C605" s="7">
        <v>600000000</v>
      </c>
      <c r="D605">
        <v>0</v>
      </c>
      <c r="E605">
        <f t="shared" si="18"/>
        <v>0</v>
      </c>
      <c r="F605">
        <f t="shared" si="19"/>
        <v>0.99879999999999447</v>
      </c>
    </row>
    <row r="606" spans="1:6" x14ac:dyDescent="0.25">
      <c r="A606">
        <v>0</v>
      </c>
      <c r="C606" s="7">
        <v>601000000</v>
      </c>
      <c r="D606">
        <v>0</v>
      </c>
      <c r="E606">
        <f t="shared" si="18"/>
        <v>0</v>
      </c>
      <c r="F606">
        <f t="shared" si="19"/>
        <v>0.99879999999999447</v>
      </c>
    </row>
    <row r="607" spans="1:6" x14ac:dyDescent="0.25">
      <c r="A607" s="21">
        <v>105993374.95999999</v>
      </c>
      <c r="C607" s="7">
        <v>602000000</v>
      </c>
      <c r="D607">
        <v>0</v>
      </c>
      <c r="E607">
        <f t="shared" si="18"/>
        <v>0</v>
      </c>
      <c r="F607">
        <f t="shared" si="19"/>
        <v>0.99879999999999447</v>
      </c>
    </row>
    <row r="608" spans="1:6" x14ac:dyDescent="0.25">
      <c r="A608" s="21">
        <v>14505678.939999999</v>
      </c>
      <c r="C608" s="7">
        <v>603000000</v>
      </c>
      <c r="D608">
        <v>0</v>
      </c>
      <c r="E608">
        <f t="shared" si="18"/>
        <v>0</v>
      </c>
      <c r="F608">
        <f t="shared" si="19"/>
        <v>0.99879999999999447</v>
      </c>
    </row>
    <row r="609" spans="1:6" x14ac:dyDescent="0.25">
      <c r="A609" s="21">
        <v>25092545.370000001</v>
      </c>
      <c r="C609" s="7">
        <v>604000000</v>
      </c>
      <c r="D609">
        <v>1</v>
      </c>
      <c r="E609">
        <f t="shared" si="18"/>
        <v>1E-4</v>
      </c>
      <c r="F609">
        <f t="shared" si="19"/>
        <v>0.99889999999999446</v>
      </c>
    </row>
    <row r="610" spans="1:6" x14ac:dyDescent="0.25">
      <c r="A610" s="21">
        <v>17707473.77</v>
      </c>
      <c r="C610" s="7">
        <v>605000000</v>
      </c>
      <c r="D610">
        <v>0</v>
      </c>
      <c r="E610">
        <f t="shared" si="18"/>
        <v>0</v>
      </c>
      <c r="F610">
        <f t="shared" si="19"/>
        <v>0.99889999999999446</v>
      </c>
    </row>
    <row r="611" spans="1:6" x14ac:dyDescent="0.25">
      <c r="A611" s="21">
        <v>64314283.069999903</v>
      </c>
      <c r="C611" s="7">
        <v>606000000</v>
      </c>
      <c r="D611">
        <v>0</v>
      </c>
      <c r="E611">
        <f t="shared" si="18"/>
        <v>0</v>
      </c>
      <c r="F611">
        <f t="shared" si="19"/>
        <v>0.99889999999999446</v>
      </c>
    </row>
    <row r="612" spans="1:6" x14ac:dyDescent="0.25">
      <c r="A612" s="21">
        <v>36958274.460000001</v>
      </c>
      <c r="C612" s="7">
        <v>607000000</v>
      </c>
      <c r="D612">
        <v>0</v>
      </c>
      <c r="E612">
        <f t="shared" si="18"/>
        <v>0</v>
      </c>
      <c r="F612">
        <f t="shared" si="19"/>
        <v>0.99889999999999446</v>
      </c>
    </row>
    <row r="613" spans="1:6" x14ac:dyDescent="0.25">
      <c r="A613" s="21">
        <v>153447788.09999999</v>
      </c>
      <c r="C613" s="7">
        <v>608000000</v>
      </c>
      <c r="D613">
        <v>0</v>
      </c>
      <c r="E613">
        <f t="shared" si="18"/>
        <v>0</v>
      </c>
      <c r="F613">
        <f t="shared" si="19"/>
        <v>0.99889999999999446</v>
      </c>
    </row>
    <row r="614" spans="1:6" x14ac:dyDescent="0.25">
      <c r="A614" s="21">
        <v>18692324.890000001</v>
      </c>
      <c r="C614" s="7">
        <v>609000000</v>
      </c>
      <c r="D614">
        <v>0</v>
      </c>
      <c r="E614">
        <f t="shared" si="18"/>
        <v>0</v>
      </c>
      <c r="F614">
        <f t="shared" si="19"/>
        <v>0.99889999999999446</v>
      </c>
    </row>
    <row r="615" spans="1:6" x14ac:dyDescent="0.25">
      <c r="A615" s="21">
        <v>229768398.53</v>
      </c>
      <c r="C615" s="7">
        <v>610000000</v>
      </c>
      <c r="D615">
        <v>0</v>
      </c>
      <c r="E615">
        <f t="shared" si="18"/>
        <v>0</v>
      </c>
      <c r="F615">
        <f t="shared" si="19"/>
        <v>0.99889999999999446</v>
      </c>
    </row>
    <row r="616" spans="1:6" x14ac:dyDescent="0.25">
      <c r="A616" s="21">
        <v>301215797.5</v>
      </c>
      <c r="C616" s="7">
        <v>611000000</v>
      </c>
      <c r="D616">
        <v>0</v>
      </c>
      <c r="E616">
        <f t="shared" si="18"/>
        <v>0</v>
      </c>
      <c r="F616">
        <f t="shared" si="19"/>
        <v>0.99889999999999446</v>
      </c>
    </row>
    <row r="617" spans="1:6" x14ac:dyDescent="0.25">
      <c r="A617" s="21">
        <v>109939225.03</v>
      </c>
      <c r="C617" s="7">
        <v>612000000</v>
      </c>
      <c r="D617">
        <v>0</v>
      </c>
      <c r="E617">
        <f t="shared" si="18"/>
        <v>0</v>
      </c>
      <c r="F617">
        <f t="shared" si="19"/>
        <v>0.99889999999999446</v>
      </c>
    </row>
    <row r="618" spans="1:6" x14ac:dyDescent="0.25">
      <c r="A618" s="21">
        <v>20534076.539999999</v>
      </c>
      <c r="C618" s="7">
        <v>613000000</v>
      </c>
      <c r="D618">
        <v>0</v>
      </c>
      <c r="E618">
        <f t="shared" si="18"/>
        <v>0</v>
      </c>
      <c r="F618">
        <f t="shared" si="19"/>
        <v>0.99889999999999446</v>
      </c>
    </row>
    <row r="619" spans="1:6" x14ac:dyDescent="0.25">
      <c r="A619" s="21">
        <v>23816313.129999999</v>
      </c>
      <c r="C619" s="7">
        <v>614000000</v>
      </c>
      <c r="D619">
        <v>0</v>
      </c>
      <c r="E619">
        <f t="shared" si="18"/>
        <v>0</v>
      </c>
      <c r="F619">
        <f t="shared" si="19"/>
        <v>0.99889999999999446</v>
      </c>
    </row>
    <row r="620" spans="1:6" x14ac:dyDescent="0.25">
      <c r="A620" s="21">
        <v>33783393.600000001</v>
      </c>
      <c r="C620" s="7">
        <v>615000000</v>
      </c>
      <c r="D620">
        <v>0</v>
      </c>
      <c r="E620">
        <f t="shared" si="18"/>
        <v>0</v>
      </c>
      <c r="F620">
        <f t="shared" si="19"/>
        <v>0.99889999999999446</v>
      </c>
    </row>
    <row r="621" spans="1:6" x14ac:dyDescent="0.25">
      <c r="A621" s="21">
        <v>206758715.68000001</v>
      </c>
      <c r="C621" s="7">
        <v>616000000</v>
      </c>
      <c r="D621">
        <v>0</v>
      </c>
      <c r="E621">
        <f t="shared" si="18"/>
        <v>0</v>
      </c>
      <c r="F621">
        <f t="shared" si="19"/>
        <v>0.99889999999999446</v>
      </c>
    </row>
    <row r="622" spans="1:6" x14ac:dyDescent="0.25">
      <c r="A622" s="21">
        <v>6095448.75</v>
      </c>
      <c r="C622" s="7">
        <v>617000000</v>
      </c>
      <c r="D622">
        <v>0</v>
      </c>
      <c r="E622">
        <f t="shared" si="18"/>
        <v>0</v>
      </c>
      <c r="F622">
        <f t="shared" si="19"/>
        <v>0.99889999999999446</v>
      </c>
    </row>
    <row r="623" spans="1:6" x14ac:dyDescent="0.25">
      <c r="A623" s="21">
        <v>15091078.77</v>
      </c>
      <c r="C623" s="7">
        <v>618000000</v>
      </c>
      <c r="D623">
        <v>0</v>
      </c>
      <c r="E623">
        <f t="shared" si="18"/>
        <v>0</v>
      </c>
      <c r="F623">
        <f t="shared" si="19"/>
        <v>0.99889999999999446</v>
      </c>
    </row>
    <row r="624" spans="1:6" x14ac:dyDescent="0.25">
      <c r="A624" s="21">
        <v>59998982.420000002</v>
      </c>
      <c r="C624" s="7">
        <v>619000000</v>
      </c>
      <c r="D624">
        <v>0</v>
      </c>
      <c r="E624">
        <f t="shared" si="18"/>
        <v>0</v>
      </c>
      <c r="F624">
        <f t="shared" si="19"/>
        <v>0.99889999999999446</v>
      </c>
    </row>
    <row r="625" spans="1:6" x14ac:dyDescent="0.25">
      <c r="A625" s="21">
        <v>16203562.16</v>
      </c>
      <c r="C625" s="7">
        <v>620000000</v>
      </c>
      <c r="D625">
        <v>0</v>
      </c>
      <c r="E625">
        <f t="shared" si="18"/>
        <v>0</v>
      </c>
      <c r="F625">
        <f t="shared" si="19"/>
        <v>0.99889999999999446</v>
      </c>
    </row>
    <row r="626" spans="1:6" x14ac:dyDescent="0.25">
      <c r="A626" s="21">
        <v>5602330.5</v>
      </c>
      <c r="C626" s="7">
        <v>621000000</v>
      </c>
      <c r="D626">
        <v>0</v>
      </c>
      <c r="E626">
        <f t="shared" si="18"/>
        <v>0</v>
      </c>
      <c r="F626">
        <f t="shared" si="19"/>
        <v>0.99889999999999446</v>
      </c>
    </row>
    <row r="627" spans="1:6" x14ac:dyDescent="0.25">
      <c r="A627" s="21">
        <v>43978046.420000002</v>
      </c>
      <c r="C627" s="7">
        <v>622000000</v>
      </c>
      <c r="D627">
        <v>0</v>
      </c>
      <c r="E627">
        <f t="shared" si="18"/>
        <v>0</v>
      </c>
      <c r="F627">
        <f t="shared" si="19"/>
        <v>0.99889999999999446</v>
      </c>
    </row>
    <row r="628" spans="1:6" x14ac:dyDescent="0.25">
      <c r="A628" s="21">
        <v>21062484.02</v>
      </c>
      <c r="C628" s="7">
        <v>623000000</v>
      </c>
      <c r="D628">
        <v>0</v>
      </c>
      <c r="E628">
        <f t="shared" si="18"/>
        <v>0</v>
      </c>
      <c r="F628">
        <f t="shared" si="19"/>
        <v>0.99889999999999446</v>
      </c>
    </row>
    <row r="629" spans="1:6" x14ac:dyDescent="0.25">
      <c r="A629" s="21">
        <v>339963801.57999998</v>
      </c>
      <c r="C629" s="7">
        <v>624000000</v>
      </c>
      <c r="D629">
        <v>0</v>
      </c>
      <c r="E629">
        <f t="shared" si="18"/>
        <v>0</v>
      </c>
      <c r="F629">
        <f t="shared" si="19"/>
        <v>0.99889999999999446</v>
      </c>
    </row>
    <row r="630" spans="1:6" x14ac:dyDescent="0.25">
      <c r="A630" s="21">
        <v>43396438.93</v>
      </c>
      <c r="C630" s="7">
        <v>625000000</v>
      </c>
      <c r="D630">
        <v>0</v>
      </c>
      <c r="E630">
        <f t="shared" si="18"/>
        <v>0</v>
      </c>
      <c r="F630">
        <f t="shared" si="19"/>
        <v>0.99889999999999446</v>
      </c>
    </row>
    <row r="631" spans="1:6" x14ac:dyDescent="0.25">
      <c r="A631" s="21">
        <v>43195758.310000002</v>
      </c>
      <c r="C631" s="7">
        <v>626000000</v>
      </c>
      <c r="D631">
        <v>0</v>
      </c>
      <c r="E631">
        <f t="shared" si="18"/>
        <v>0</v>
      </c>
      <c r="F631">
        <f t="shared" si="19"/>
        <v>0.99889999999999446</v>
      </c>
    </row>
    <row r="632" spans="1:6" x14ac:dyDescent="0.25">
      <c r="A632" s="21">
        <v>56627104.240000002</v>
      </c>
      <c r="C632" s="7">
        <v>627000000</v>
      </c>
      <c r="D632">
        <v>0</v>
      </c>
      <c r="E632">
        <f t="shared" si="18"/>
        <v>0</v>
      </c>
      <c r="F632">
        <f t="shared" si="19"/>
        <v>0.99889999999999446</v>
      </c>
    </row>
    <row r="633" spans="1:6" x14ac:dyDescent="0.25">
      <c r="A633" s="21">
        <v>192164601.38999999</v>
      </c>
      <c r="C633" s="7">
        <v>628000000</v>
      </c>
      <c r="D633">
        <v>0</v>
      </c>
      <c r="E633">
        <f t="shared" si="18"/>
        <v>0</v>
      </c>
      <c r="F633">
        <f t="shared" si="19"/>
        <v>0.99889999999999446</v>
      </c>
    </row>
    <row r="634" spans="1:6" x14ac:dyDescent="0.25">
      <c r="A634" s="21">
        <v>62270673.259999998</v>
      </c>
      <c r="C634" s="7">
        <v>629000000</v>
      </c>
      <c r="D634">
        <v>0</v>
      </c>
      <c r="E634">
        <f t="shared" si="18"/>
        <v>0</v>
      </c>
      <c r="F634">
        <f t="shared" si="19"/>
        <v>0.99889999999999446</v>
      </c>
    </row>
    <row r="635" spans="1:6" x14ac:dyDescent="0.25">
      <c r="A635" s="21">
        <v>59934831.840000004</v>
      </c>
      <c r="C635" s="7">
        <v>630000000</v>
      </c>
      <c r="D635">
        <v>0</v>
      </c>
      <c r="E635">
        <f t="shared" si="18"/>
        <v>0</v>
      </c>
      <c r="F635">
        <f t="shared" si="19"/>
        <v>0.99889999999999446</v>
      </c>
    </row>
    <row r="636" spans="1:6" x14ac:dyDescent="0.25">
      <c r="A636" s="21">
        <v>55171537.849999897</v>
      </c>
      <c r="C636" s="7">
        <v>631000000</v>
      </c>
      <c r="D636">
        <v>0</v>
      </c>
      <c r="E636">
        <f t="shared" si="18"/>
        <v>0</v>
      </c>
      <c r="F636">
        <f t="shared" si="19"/>
        <v>0.99889999999999446</v>
      </c>
    </row>
    <row r="637" spans="1:6" x14ac:dyDescent="0.25">
      <c r="A637" s="21">
        <v>41056671.109999999</v>
      </c>
      <c r="C637" s="7">
        <v>632000000</v>
      </c>
      <c r="D637">
        <v>0</v>
      </c>
      <c r="E637">
        <f t="shared" si="18"/>
        <v>0</v>
      </c>
      <c r="F637">
        <f t="shared" si="19"/>
        <v>0.99889999999999446</v>
      </c>
    </row>
    <row r="638" spans="1:6" x14ac:dyDescent="0.25">
      <c r="A638" s="21">
        <v>96748248.560000002</v>
      </c>
      <c r="C638" s="7">
        <v>633000000</v>
      </c>
      <c r="D638">
        <v>0</v>
      </c>
      <c r="E638">
        <f t="shared" si="18"/>
        <v>0</v>
      </c>
      <c r="F638">
        <f t="shared" si="19"/>
        <v>0.99889999999999446</v>
      </c>
    </row>
    <row r="639" spans="1:6" x14ac:dyDescent="0.25">
      <c r="A639" s="21">
        <v>26525410.5</v>
      </c>
      <c r="C639" s="7">
        <v>634000000</v>
      </c>
      <c r="D639">
        <v>0</v>
      </c>
      <c r="E639">
        <f t="shared" si="18"/>
        <v>0</v>
      </c>
      <c r="F639">
        <f t="shared" si="19"/>
        <v>0.99889999999999446</v>
      </c>
    </row>
    <row r="640" spans="1:6" x14ac:dyDescent="0.25">
      <c r="A640">
        <v>0</v>
      </c>
      <c r="C640" s="7">
        <v>635000000</v>
      </c>
      <c r="D640">
        <v>0</v>
      </c>
      <c r="E640">
        <f t="shared" si="18"/>
        <v>0</v>
      </c>
      <c r="F640">
        <f t="shared" si="19"/>
        <v>0.99889999999999446</v>
      </c>
    </row>
    <row r="641" spans="1:6" x14ac:dyDescent="0.25">
      <c r="A641" s="21">
        <v>5770859.25</v>
      </c>
      <c r="C641" s="7">
        <v>636000000</v>
      </c>
      <c r="D641">
        <v>0</v>
      </c>
      <c r="E641">
        <f t="shared" si="18"/>
        <v>0</v>
      </c>
      <c r="F641">
        <f t="shared" si="19"/>
        <v>0.99889999999999446</v>
      </c>
    </row>
    <row r="642" spans="1:6" x14ac:dyDescent="0.25">
      <c r="A642" s="21">
        <v>16376039.949999999</v>
      </c>
      <c r="C642" s="7">
        <v>637000000</v>
      </c>
      <c r="D642">
        <v>0</v>
      </c>
      <c r="E642">
        <f t="shared" si="18"/>
        <v>0</v>
      </c>
      <c r="F642">
        <f t="shared" si="19"/>
        <v>0.99889999999999446</v>
      </c>
    </row>
    <row r="643" spans="1:6" x14ac:dyDescent="0.25">
      <c r="A643" s="21">
        <v>8411492.8900000006</v>
      </c>
      <c r="C643" s="7">
        <v>638000000</v>
      </c>
      <c r="D643">
        <v>0</v>
      </c>
      <c r="E643">
        <f t="shared" si="18"/>
        <v>0</v>
      </c>
      <c r="F643">
        <f t="shared" si="19"/>
        <v>0.99889999999999446</v>
      </c>
    </row>
    <row r="644" spans="1:6" x14ac:dyDescent="0.25">
      <c r="A644" s="21">
        <v>6689100.75</v>
      </c>
      <c r="C644" s="7">
        <v>639000000</v>
      </c>
      <c r="D644">
        <v>0</v>
      </c>
      <c r="E644">
        <f t="shared" si="18"/>
        <v>0</v>
      </c>
      <c r="F644">
        <f t="shared" si="19"/>
        <v>0.99889999999999446</v>
      </c>
    </row>
    <row r="645" spans="1:6" x14ac:dyDescent="0.25">
      <c r="A645" s="21">
        <v>348284146.82999998</v>
      </c>
      <c r="C645" s="7">
        <v>640000000</v>
      </c>
      <c r="D645">
        <v>0</v>
      </c>
      <c r="E645">
        <f t="shared" si="18"/>
        <v>0</v>
      </c>
      <c r="F645">
        <f t="shared" si="19"/>
        <v>0.99889999999999446</v>
      </c>
    </row>
    <row r="646" spans="1:6" x14ac:dyDescent="0.25">
      <c r="A646" s="21">
        <v>4504505.1399999997</v>
      </c>
      <c r="C646" s="7">
        <v>641000000</v>
      </c>
      <c r="D646">
        <v>0</v>
      </c>
      <c r="E646">
        <f t="shared" ref="E646:E709" si="20">D646/10000</f>
        <v>0</v>
      </c>
      <c r="F646">
        <f t="shared" si="19"/>
        <v>0.99889999999999446</v>
      </c>
    </row>
    <row r="647" spans="1:6" x14ac:dyDescent="0.25">
      <c r="A647" s="21">
        <v>23150276.280000001</v>
      </c>
      <c r="C647" s="7">
        <v>642000000</v>
      </c>
      <c r="D647">
        <v>0</v>
      </c>
      <c r="E647">
        <f t="shared" si="20"/>
        <v>0</v>
      </c>
      <c r="F647">
        <f t="shared" ref="F647:F710" si="21">E647+F646</f>
        <v>0.99889999999999446</v>
      </c>
    </row>
    <row r="648" spans="1:6" x14ac:dyDescent="0.25">
      <c r="A648" s="21">
        <v>47946790.32</v>
      </c>
      <c r="C648" s="7">
        <v>643000000</v>
      </c>
      <c r="D648">
        <v>0</v>
      </c>
      <c r="E648">
        <f t="shared" si="20"/>
        <v>0</v>
      </c>
      <c r="F648">
        <f t="shared" si="21"/>
        <v>0.99889999999999446</v>
      </c>
    </row>
    <row r="649" spans="1:6" x14ac:dyDescent="0.25">
      <c r="A649" s="21">
        <v>18201423.350000001</v>
      </c>
      <c r="C649" s="7">
        <v>644000000</v>
      </c>
      <c r="D649">
        <v>0</v>
      </c>
      <c r="E649">
        <f t="shared" si="20"/>
        <v>0</v>
      </c>
      <c r="F649">
        <f t="shared" si="21"/>
        <v>0.99889999999999446</v>
      </c>
    </row>
    <row r="650" spans="1:6" x14ac:dyDescent="0.25">
      <c r="A650" s="21">
        <v>117645930.44</v>
      </c>
      <c r="C650" s="7">
        <v>645000000</v>
      </c>
      <c r="D650">
        <v>0</v>
      </c>
      <c r="E650">
        <f t="shared" si="20"/>
        <v>0</v>
      </c>
      <c r="F650">
        <f t="shared" si="21"/>
        <v>0.99889999999999446</v>
      </c>
    </row>
    <row r="651" spans="1:6" x14ac:dyDescent="0.25">
      <c r="A651">
        <v>0</v>
      </c>
      <c r="C651" s="7">
        <v>646000000</v>
      </c>
      <c r="D651">
        <v>0</v>
      </c>
      <c r="E651">
        <f t="shared" si="20"/>
        <v>0</v>
      </c>
      <c r="F651">
        <f t="shared" si="21"/>
        <v>0.99889999999999446</v>
      </c>
    </row>
    <row r="652" spans="1:6" x14ac:dyDescent="0.25">
      <c r="A652">
        <v>6844095</v>
      </c>
      <c r="C652" s="7">
        <v>647000000</v>
      </c>
      <c r="D652">
        <v>0</v>
      </c>
      <c r="E652">
        <f t="shared" si="20"/>
        <v>0</v>
      </c>
      <c r="F652">
        <f t="shared" si="21"/>
        <v>0.99889999999999446</v>
      </c>
    </row>
    <row r="653" spans="1:6" x14ac:dyDescent="0.25">
      <c r="A653" s="21">
        <v>170252591.08000001</v>
      </c>
      <c r="C653" s="7">
        <v>648000000</v>
      </c>
      <c r="D653">
        <v>0</v>
      </c>
      <c r="E653">
        <f t="shared" si="20"/>
        <v>0</v>
      </c>
      <c r="F653">
        <f t="shared" si="21"/>
        <v>0.99889999999999446</v>
      </c>
    </row>
    <row r="654" spans="1:6" x14ac:dyDescent="0.25">
      <c r="A654" s="21">
        <v>80368293.599999994</v>
      </c>
      <c r="C654" s="7">
        <v>649000000</v>
      </c>
      <c r="D654">
        <v>0</v>
      </c>
      <c r="E654">
        <f t="shared" si="20"/>
        <v>0</v>
      </c>
      <c r="F654">
        <f t="shared" si="21"/>
        <v>0.99889999999999446</v>
      </c>
    </row>
    <row r="655" spans="1:6" x14ac:dyDescent="0.25">
      <c r="A655">
        <v>0</v>
      </c>
      <c r="C655" s="7">
        <v>650000000</v>
      </c>
      <c r="D655">
        <v>0</v>
      </c>
      <c r="E655">
        <f t="shared" si="20"/>
        <v>0</v>
      </c>
      <c r="F655">
        <f t="shared" si="21"/>
        <v>0.99889999999999446</v>
      </c>
    </row>
    <row r="656" spans="1:6" x14ac:dyDescent="0.25">
      <c r="A656" s="21">
        <v>27233216.149999999</v>
      </c>
      <c r="C656" s="7">
        <v>651000000</v>
      </c>
      <c r="D656">
        <v>0</v>
      </c>
      <c r="E656">
        <f t="shared" si="20"/>
        <v>0</v>
      </c>
      <c r="F656">
        <f t="shared" si="21"/>
        <v>0.99889999999999446</v>
      </c>
    </row>
    <row r="657" spans="1:6" x14ac:dyDescent="0.25">
      <c r="A657" s="21">
        <v>75339635.489999905</v>
      </c>
      <c r="C657" s="7">
        <v>652000000</v>
      </c>
      <c r="D657">
        <v>0</v>
      </c>
      <c r="E657">
        <f t="shared" si="20"/>
        <v>0</v>
      </c>
      <c r="F657">
        <f t="shared" si="21"/>
        <v>0.99889999999999446</v>
      </c>
    </row>
    <row r="658" spans="1:6" x14ac:dyDescent="0.25">
      <c r="A658">
        <v>25918197</v>
      </c>
      <c r="C658" s="7">
        <v>653000000</v>
      </c>
      <c r="D658">
        <v>0</v>
      </c>
      <c r="E658">
        <f t="shared" si="20"/>
        <v>0</v>
      </c>
      <c r="F658">
        <f t="shared" si="21"/>
        <v>0.99889999999999446</v>
      </c>
    </row>
    <row r="659" spans="1:6" x14ac:dyDescent="0.25">
      <c r="A659" s="21">
        <v>101854572.51000001</v>
      </c>
      <c r="C659" s="7">
        <v>654000000</v>
      </c>
      <c r="D659">
        <v>0</v>
      </c>
      <c r="E659">
        <f t="shared" si="20"/>
        <v>0</v>
      </c>
      <c r="F659">
        <f t="shared" si="21"/>
        <v>0.99889999999999446</v>
      </c>
    </row>
    <row r="660" spans="1:6" x14ac:dyDescent="0.25">
      <c r="A660" s="21">
        <v>18765407.550000001</v>
      </c>
      <c r="C660" s="7">
        <v>655000000</v>
      </c>
      <c r="D660">
        <v>0</v>
      </c>
      <c r="E660">
        <f t="shared" si="20"/>
        <v>0</v>
      </c>
      <c r="F660">
        <f t="shared" si="21"/>
        <v>0.99889999999999446</v>
      </c>
    </row>
    <row r="661" spans="1:6" x14ac:dyDescent="0.25">
      <c r="A661" s="21">
        <v>18256893.140000001</v>
      </c>
      <c r="C661" s="7">
        <v>656000000</v>
      </c>
      <c r="D661">
        <v>0</v>
      </c>
      <c r="E661">
        <f t="shared" si="20"/>
        <v>0</v>
      </c>
      <c r="F661">
        <f t="shared" si="21"/>
        <v>0.99889999999999446</v>
      </c>
    </row>
    <row r="662" spans="1:6" x14ac:dyDescent="0.25">
      <c r="A662" s="21">
        <v>43684177.859999999</v>
      </c>
      <c r="C662" s="7">
        <v>657000000</v>
      </c>
      <c r="D662">
        <v>0</v>
      </c>
      <c r="E662">
        <f t="shared" si="20"/>
        <v>0</v>
      </c>
      <c r="F662">
        <f t="shared" si="21"/>
        <v>0.99889999999999446</v>
      </c>
    </row>
    <row r="663" spans="1:6" x14ac:dyDescent="0.25">
      <c r="A663" s="21">
        <v>112067491.26000001</v>
      </c>
      <c r="C663" s="7">
        <v>658000000</v>
      </c>
      <c r="D663">
        <v>0</v>
      </c>
      <c r="E663">
        <f t="shared" si="20"/>
        <v>0</v>
      </c>
      <c r="F663">
        <f t="shared" si="21"/>
        <v>0.99889999999999446</v>
      </c>
    </row>
    <row r="664" spans="1:6" x14ac:dyDescent="0.25">
      <c r="A664" s="21">
        <v>77297608.510000005</v>
      </c>
      <c r="C664" s="7">
        <v>659000000</v>
      </c>
      <c r="D664">
        <v>0</v>
      </c>
      <c r="E664">
        <f t="shared" si="20"/>
        <v>0</v>
      </c>
      <c r="F664">
        <f t="shared" si="21"/>
        <v>0.99889999999999446</v>
      </c>
    </row>
    <row r="665" spans="1:6" x14ac:dyDescent="0.25">
      <c r="A665" s="21">
        <v>149109647.59</v>
      </c>
      <c r="C665" s="7">
        <v>660000000</v>
      </c>
      <c r="D665">
        <v>0</v>
      </c>
      <c r="E665">
        <f t="shared" si="20"/>
        <v>0</v>
      </c>
      <c r="F665">
        <f t="shared" si="21"/>
        <v>0.99889999999999446</v>
      </c>
    </row>
    <row r="666" spans="1:6" x14ac:dyDescent="0.25">
      <c r="A666" s="21">
        <v>3890853.48</v>
      </c>
      <c r="C666" s="7">
        <v>661000000</v>
      </c>
      <c r="D666">
        <v>0</v>
      </c>
      <c r="E666">
        <f t="shared" si="20"/>
        <v>0</v>
      </c>
      <c r="F666">
        <f t="shared" si="21"/>
        <v>0.99889999999999446</v>
      </c>
    </row>
    <row r="667" spans="1:6" x14ac:dyDescent="0.25">
      <c r="A667" s="21">
        <v>57046969.509999998</v>
      </c>
      <c r="C667" s="7">
        <v>662000000</v>
      </c>
      <c r="D667">
        <v>0</v>
      </c>
      <c r="E667">
        <f t="shared" si="20"/>
        <v>0</v>
      </c>
      <c r="F667">
        <f t="shared" si="21"/>
        <v>0.99889999999999446</v>
      </c>
    </row>
    <row r="668" spans="1:6" x14ac:dyDescent="0.25">
      <c r="A668" s="21">
        <v>11816482.84</v>
      </c>
      <c r="C668" s="7">
        <v>663000000</v>
      </c>
      <c r="D668">
        <v>0</v>
      </c>
      <c r="E668">
        <f t="shared" si="20"/>
        <v>0</v>
      </c>
      <c r="F668">
        <f t="shared" si="21"/>
        <v>0.99889999999999446</v>
      </c>
    </row>
    <row r="669" spans="1:6" x14ac:dyDescent="0.25">
      <c r="A669" s="21">
        <v>11067531.01</v>
      </c>
      <c r="C669" s="7">
        <v>664000000</v>
      </c>
      <c r="D669">
        <v>1</v>
      </c>
      <c r="E669">
        <f t="shared" si="20"/>
        <v>1E-4</v>
      </c>
      <c r="F669">
        <f t="shared" si="21"/>
        <v>0.99899999999999445</v>
      </c>
    </row>
    <row r="670" spans="1:6" x14ac:dyDescent="0.25">
      <c r="A670" s="21">
        <v>13807883.939999999</v>
      </c>
      <c r="C670" s="7">
        <v>665000000</v>
      </c>
      <c r="D670">
        <v>1</v>
      </c>
      <c r="E670">
        <f t="shared" si="20"/>
        <v>1E-4</v>
      </c>
      <c r="F670">
        <f t="shared" si="21"/>
        <v>0.99909999999999444</v>
      </c>
    </row>
    <row r="671" spans="1:6" x14ac:dyDescent="0.25">
      <c r="A671" s="21">
        <v>51173583.149999999</v>
      </c>
      <c r="C671" s="7">
        <v>666000000</v>
      </c>
      <c r="D671">
        <v>0</v>
      </c>
      <c r="E671">
        <f t="shared" si="20"/>
        <v>0</v>
      </c>
      <c r="F671">
        <f t="shared" si="21"/>
        <v>0.99909999999999444</v>
      </c>
    </row>
    <row r="672" spans="1:6" x14ac:dyDescent="0.25">
      <c r="A672" s="21">
        <v>155368133.13999999</v>
      </c>
      <c r="C672" s="7">
        <v>667000000</v>
      </c>
      <c r="D672">
        <v>1</v>
      </c>
      <c r="E672">
        <f t="shared" si="20"/>
        <v>1E-4</v>
      </c>
      <c r="F672">
        <f t="shared" si="21"/>
        <v>0.99919999999999443</v>
      </c>
    </row>
    <row r="673" spans="1:6" x14ac:dyDescent="0.25">
      <c r="A673" s="21">
        <v>30579367.34</v>
      </c>
      <c r="C673" s="7">
        <v>668000000</v>
      </c>
      <c r="D673">
        <v>0</v>
      </c>
      <c r="E673">
        <f t="shared" si="20"/>
        <v>0</v>
      </c>
      <c r="F673">
        <f t="shared" si="21"/>
        <v>0.99919999999999443</v>
      </c>
    </row>
    <row r="674" spans="1:6" x14ac:dyDescent="0.25">
      <c r="A674" s="21">
        <v>305484809.75</v>
      </c>
      <c r="C674" s="7">
        <v>669000000</v>
      </c>
      <c r="D674">
        <v>0</v>
      </c>
      <c r="E674">
        <f t="shared" si="20"/>
        <v>0</v>
      </c>
      <c r="F674">
        <f t="shared" si="21"/>
        <v>0.99919999999999443</v>
      </c>
    </row>
    <row r="675" spans="1:6" x14ac:dyDescent="0.25">
      <c r="A675" s="21">
        <v>7665224.1100000003</v>
      </c>
      <c r="C675" s="7">
        <v>670000000</v>
      </c>
      <c r="D675">
        <v>0</v>
      </c>
      <c r="E675">
        <f t="shared" si="20"/>
        <v>0</v>
      </c>
      <c r="F675">
        <f t="shared" si="21"/>
        <v>0.99919999999999443</v>
      </c>
    </row>
    <row r="676" spans="1:6" x14ac:dyDescent="0.25">
      <c r="A676" s="21">
        <v>125695584.91</v>
      </c>
      <c r="C676" s="7">
        <v>671000000</v>
      </c>
      <c r="D676">
        <v>0</v>
      </c>
      <c r="E676">
        <f t="shared" si="20"/>
        <v>0</v>
      </c>
      <c r="F676">
        <f t="shared" si="21"/>
        <v>0.99919999999999443</v>
      </c>
    </row>
    <row r="677" spans="1:6" x14ac:dyDescent="0.25">
      <c r="A677" s="21">
        <v>410150738.54000002</v>
      </c>
      <c r="C677" s="7">
        <v>672000000</v>
      </c>
      <c r="D677">
        <v>0</v>
      </c>
      <c r="E677">
        <f t="shared" si="20"/>
        <v>0</v>
      </c>
      <c r="F677">
        <f t="shared" si="21"/>
        <v>0.99919999999999443</v>
      </c>
    </row>
    <row r="678" spans="1:6" x14ac:dyDescent="0.25">
      <c r="A678" s="21">
        <v>7494276.96</v>
      </c>
      <c r="C678" s="7">
        <v>673000000</v>
      </c>
      <c r="D678">
        <v>0</v>
      </c>
      <c r="E678">
        <f t="shared" si="20"/>
        <v>0</v>
      </c>
      <c r="F678">
        <f t="shared" si="21"/>
        <v>0.99919999999999443</v>
      </c>
    </row>
    <row r="679" spans="1:6" x14ac:dyDescent="0.25">
      <c r="A679" s="21">
        <v>7340362.5</v>
      </c>
      <c r="C679" s="7">
        <v>674000000</v>
      </c>
      <c r="D679">
        <v>0</v>
      </c>
      <c r="E679">
        <f t="shared" si="20"/>
        <v>0</v>
      </c>
      <c r="F679">
        <f t="shared" si="21"/>
        <v>0.99919999999999443</v>
      </c>
    </row>
    <row r="680" spans="1:6" x14ac:dyDescent="0.25">
      <c r="A680" s="21">
        <v>60976027.389999896</v>
      </c>
      <c r="C680" s="7">
        <v>675000000</v>
      </c>
      <c r="D680">
        <v>0</v>
      </c>
      <c r="E680">
        <f t="shared" si="20"/>
        <v>0</v>
      </c>
      <c r="F680">
        <f t="shared" si="21"/>
        <v>0.99919999999999443</v>
      </c>
    </row>
    <row r="681" spans="1:6" x14ac:dyDescent="0.25">
      <c r="A681" s="21">
        <v>132975103.34</v>
      </c>
      <c r="C681" s="7">
        <v>676000000</v>
      </c>
      <c r="D681">
        <v>0</v>
      </c>
      <c r="E681">
        <f t="shared" si="20"/>
        <v>0</v>
      </c>
      <c r="F681">
        <f t="shared" si="21"/>
        <v>0.99919999999999443</v>
      </c>
    </row>
    <row r="682" spans="1:6" x14ac:dyDescent="0.25">
      <c r="A682" s="21">
        <v>230849762.53</v>
      </c>
      <c r="C682" s="7">
        <v>677000000</v>
      </c>
      <c r="D682">
        <v>0</v>
      </c>
      <c r="E682">
        <f t="shared" si="20"/>
        <v>0</v>
      </c>
      <c r="F682">
        <f t="shared" si="21"/>
        <v>0.99919999999999443</v>
      </c>
    </row>
    <row r="683" spans="1:6" x14ac:dyDescent="0.25">
      <c r="A683" s="21">
        <v>69219536.180000007</v>
      </c>
      <c r="C683" s="7">
        <v>678000000</v>
      </c>
      <c r="D683">
        <v>0</v>
      </c>
      <c r="E683">
        <f t="shared" si="20"/>
        <v>0</v>
      </c>
      <c r="F683">
        <f t="shared" si="21"/>
        <v>0.99919999999999443</v>
      </c>
    </row>
    <row r="684" spans="1:6" x14ac:dyDescent="0.25">
      <c r="A684">
        <v>271964306</v>
      </c>
      <c r="C684" s="7">
        <v>679000000</v>
      </c>
      <c r="D684">
        <v>0</v>
      </c>
      <c r="E684">
        <f t="shared" si="20"/>
        <v>0</v>
      </c>
      <c r="F684">
        <f t="shared" si="21"/>
        <v>0.99919999999999443</v>
      </c>
    </row>
    <row r="685" spans="1:6" x14ac:dyDescent="0.25">
      <c r="A685" s="21">
        <v>90463306.179999903</v>
      </c>
      <c r="C685" s="7">
        <v>680000000</v>
      </c>
      <c r="D685">
        <v>0</v>
      </c>
      <c r="E685">
        <f t="shared" si="20"/>
        <v>0</v>
      </c>
      <c r="F685">
        <f t="shared" si="21"/>
        <v>0.99919999999999443</v>
      </c>
    </row>
    <row r="686" spans="1:6" x14ac:dyDescent="0.25">
      <c r="A686" s="21">
        <v>47934592.579999998</v>
      </c>
      <c r="C686" s="7">
        <v>681000000</v>
      </c>
      <c r="D686">
        <v>0</v>
      </c>
      <c r="E686">
        <f t="shared" si="20"/>
        <v>0</v>
      </c>
      <c r="F686">
        <f t="shared" si="21"/>
        <v>0.99919999999999443</v>
      </c>
    </row>
    <row r="687" spans="1:6" x14ac:dyDescent="0.25">
      <c r="A687" s="21">
        <v>29790613.93</v>
      </c>
      <c r="C687" s="7">
        <v>682000000</v>
      </c>
      <c r="D687">
        <v>0</v>
      </c>
      <c r="E687">
        <f t="shared" si="20"/>
        <v>0</v>
      </c>
      <c r="F687">
        <f t="shared" si="21"/>
        <v>0.99919999999999443</v>
      </c>
    </row>
    <row r="688" spans="1:6" x14ac:dyDescent="0.25">
      <c r="A688" s="21">
        <v>454141896.33999997</v>
      </c>
      <c r="C688" s="7">
        <v>683000000</v>
      </c>
      <c r="D688">
        <v>1</v>
      </c>
      <c r="E688">
        <f t="shared" si="20"/>
        <v>1E-4</v>
      </c>
      <c r="F688">
        <f t="shared" si="21"/>
        <v>0.99929999999999441</v>
      </c>
    </row>
    <row r="689" spans="1:6" x14ac:dyDescent="0.25">
      <c r="A689" s="21">
        <v>25429193.059999999</v>
      </c>
      <c r="C689" s="7">
        <v>684000000</v>
      </c>
      <c r="D689">
        <v>0</v>
      </c>
      <c r="E689">
        <f t="shared" si="20"/>
        <v>0</v>
      </c>
      <c r="F689">
        <f t="shared" si="21"/>
        <v>0.99929999999999441</v>
      </c>
    </row>
    <row r="690" spans="1:6" x14ac:dyDescent="0.25">
      <c r="A690" s="21">
        <v>51548567.780000001</v>
      </c>
      <c r="C690" s="7">
        <v>685000000</v>
      </c>
      <c r="D690">
        <v>1</v>
      </c>
      <c r="E690">
        <f t="shared" si="20"/>
        <v>1E-4</v>
      </c>
      <c r="F690">
        <f t="shared" si="21"/>
        <v>0.9993999999999944</v>
      </c>
    </row>
    <row r="691" spans="1:6" x14ac:dyDescent="0.25">
      <c r="A691" s="21">
        <v>6290337.8799999999</v>
      </c>
      <c r="C691" s="7">
        <v>686000000</v>
      </c>
      <c r="D691">
        <v>0</v>
      </c>
      <c r="E691">
        <f t="shared" si="20"/>
        <v>0</v>
      </c>
      <c r="F691">
        <f t="shared" si="21"/>
        <v>0.9993999999999944</v>
      </c>
    </row>
    <row r="692" spans="1:6" x14ac:dyDescent="0.25">
      <c r="A692">
        <v>48965588</v>
      </c>
      <c r="C692" s="7">
        <v>687000000</v>
      </c>
      <c r="D692">
        <v>0</v>
      </c>
      <c r="E692">
        <f t="shared" si="20"/>
        <v>0</v>
      </c>
      <c r="F692">
        <f t="shared" si="21"/>
        <v>0.9993999999999944</v>
      </c>
    </row>
    <row r="693" spans="1:6" x14ac:dyDescent="0.25">
      <c r="A693" s="21">
        <v>22130331.07</v>
      </c>
      <c r="C693" s="7">
        <v>688000000</v>
      </c>
      <c r="D693">
        <v>0</v>
      </c>
      <c r="E693">
        <f t="shared" si="20"/>
        <v>0</v>
      </c>
      <c r="F693">
        <f t="shared" si="21"/>
        <v>0.9993999999999944</v>
      </c>
    </row>
    <row r="694" spans="1:6" x14ac:dyDescent="0.25">
      <c r="A694" s="21">
        <v>395863231.63999999</v>
      </c>
      <c r="C694" s="7">
        <v>689000000</v>
      </c>
      <c r="D694">
        <v>0</v>
      </c>
      <c r="E694">
        <f t="shared" si="20"/>
        <v>0</v>
      </c>
      <c r="F694">
        <f t="shared" si="21"/>
        <v>0.9993999999999944</v>
      </c>
    </row>
    <row r="695" spans="1:6" x14ac:dyDescent="0.25">
      <c r="A695" s="21">
        <v>31237254.18</v>
      </c>
      <c r="C695" s="7">
        <v>690000000</v>
      </c>
      <c r="D695">
        <v>0</v>
      </c>
      <c r="E695">
        <f t="shared" si="20"/>
        <v>0</v>
      </c>
      <c r="F695">
        <f t="shared" si="21"/>
        <v>0.9993999999999944</v>
      </c>
    </row>
    <row r="696" spans="1:6" x14ac:dyDescent="0.25">
      <c r="A696" s="21">
        <v>101230859.7</v>
      </c>
      <c r="C696" s="7">
        <v>691000000</v>
      </c>
      <c r="D696">
        <v>0</v>
      </c>
      <c r="E696">
        <f t="shared" si="20"/>
        <v>0</v>
      </c>
      <c r="F696">
        <f t="shared" si="21"/>
        <v>0.9993999999999944</v>
      </c>
    </row>
    <row r="697" spans="1:6" x14ac:dyDescent="0.25">
      <c r="A697" s="21">
        <v>101900054.91</v>
      </c>
      <c r="C697" s="7">
        <v>692000000</v>
      </c>
      <c r="D697">
        <v>0</v>
      </c>
      <c r="E697">
        <f t="shared" si="20"/>
        <v>0</v>
      </c>
      <c r="F697">
        <f t="shared" si="21"/>
        <v>0.9993999999999944</v>
      </c>
    </row>
    <row r="698" spans="1:6" x14ac:dyDescent="0.25">
      <c r="A698" s="21">
        <v>51595413.740000002</v>
      </c>
      <c r="C698" s="7">
        <v>693000000</v>
      </c>
      <c r="D698">
        <v>0</v>
      </c>
      <c r="E698">
        <f t="shared" si="20"/>
        <v>0</v>
      </c>
      <c r="F698">
        <f t="shared" si="21"/>
        <v>0.9993999999999944</v>
      </c>
    </row>
    <row r="699" spans="1:6" x14ac:dyDescent="0.25">
      <c r="A699" s="21">
        <v>2785785.63</v>
      </c>
      <c r="C699" s="7">
        <v>694000000</v>
      </c>
      <c r="D699">
        <v>0</v>
      </c>
      <c r="E699">
        <f t="shared" si="20"/>
        <v>0</v>
      </c>
      <c r="F699">
        <f t="shared" si="21"/>
        <v>0.9993999999999944</v>
      </c>
    </row>
    <row r="700" spans="1:6" x14ac:dyDescent="0.25">
      <c r="A700" s="21">
        <v>126133758.39</v>
      </c>
      <c r="C700" s="7">
        <v>695000000</v>
      </c>
      <c r="D700">
        <v>0</v>
      </c>
      <c r="E700">
        <f t="shared" si="20"/>
        <v>0</v>
      </c>
      <c r="F700">
        <f t="shared" si="21"/>
        <v>0.9993999999999944</v>
      </c>
    </row>
    <row r="701" spans="1:6" x14ac:dyDescent="0.25">
      <c r="A701" s="21">
        <v>35054442.210000001</v>
      </c>
      <c r="C701" s="7">
        <v>696000000</v>
      </c>
      <c r="D701">
        <v>0</v>
      </c>
      <c r="E701">
        <f t="shared" si="20"/>
        <v>0</v>
      </c>
      <c r="F701">
        <f t="shared" si="21"/>
        <v>0.9993999999999944</v>
      </c>
    </row>
    <row r="702" spans="1:6" x14ac:dyDescent="0.25">
      <c r="A702" s="21">
        <v>11187436.220000001</v>
      </c>
      <c r="C702" s="7">
        <v>697000000</v>
      </c>
      <c r="D702">
        <v>0</v>
      </c>
      <c r="E702">
        <f t="shared" si="20"/>
        <v>0</v>
      </c>
      <c r="F702">
        <f t="shared" si="21"/>
        <v>0.9993999999999944</v>
      </c>
    </row>
    <row r="703" spans="1:6" x14ac:dyDescent="0.25">
      <c r="A703" s="21">
        <v>7117856.8899999997</v>
      </c>
      <c r="C703" s="7">
        <v>698000000</v>
      </c>
      <c r="D703">
        <v>0</v>
      </c>
      <c r="E703">
        <f t="shared" si="20"/>
        <v>0</v>
      </c>
      <c r="F703">
        <f t="shared" si="21"/>
        <v>0.9993999999999944</v>
      </c>
    </row>
    <row r="704" spans="1:6" x14ac:dyDescent="0.25">
      <c r="A704" s="21">
        <v>63426559.739999898</v>
      </c>
      <c r="C704" s="7">
        <v>699000000</v>
      </c>
      <c r="D704">
        <v>0</v>
      </c>
      <c r="E704">
        <f t="shared" si="20"/>
        <v>0</v>
      </c>
      <c r="F704">
        <f t="shared" si="21"/>
        <v>0.9993999999999944</v>
      </c>
    </row>
    <row r="705" spans="1:6" x14ac:dyDescent="0.25">
      <c r="A705" s="21">
        <v>8454509.5700000003</v>
      </c>
      <c r="C705" s="7">
        <v>700000000</v>
      </c>
      <c r="D705">
        <v>0</v>
      </c>
      <c r="E705">
        <f t="shared" si="20"/>
        <v>0</v>
      </c>
      <c r="F705">
        <f t="shared" si="21"/>
        <v>0.9993999999999944</v>
      </c>
    </row>
    <row r="706" spans="1:6" x14ac:dyDescent="0.25">
      <c r="A706">
        <v>0</v>
      </c>
      <c r="C706" s="7">
        <v>701000000</v>
      </c>
      <c r="D706">
        <v>0</v>
      </c>
      <c r="E706">
        <f t="shared" si="20"/>
        <v>0</v>
      </c>
      <c r="F706">
        <f t="shared" si="21"/>
        <v>0.9993999999999944</v>
      </c>
    </row>
    <row r="707" spans="1:6" x14ac:dyDescent="0.25">
      <c r="A707">
        <v>0</v>
      </c>
      <c r="C707" s="7">
        <v>702000000</v>
      </c>
      <c r="D707">
        <v>0</v>
      </c>
      <c r="E707">
        <f t="shared" si="20"/>
        <v>0</v>
      </c>
      <c r="F707">
        <f t="shared" si="21"/>
        <v>0.9993999999999944</v>
      </c>
    </row>
    <row r="708" spans="1:6" x14ac:dyDescent="0.25">
      <c r="A708" s="21">
        <v>279928019.69</v>
      </c>
      <c r="C708" s="7">
        <v>703000000</v>
      </c>
      <c r="D708">
        <v>0</v>
      </c>
      <c r="E708">
        <f t="shared" si="20"/>
        <v>0</v>
      </c>
      <c r="F708">
        <f t="shared" si="21"/>
        <v>0.9993999999999944</v>
      </c>
    </row>
    <row r="709" spans="1:6" x14ac:dyDescent="0.25">
      <c r="A709" s="21">
        <v>121262851.54000001</v>
      </c>
      <c r="C709" s="7">
        <v>704000000</v>
      </c>
      <c r="D709">
        <v>0</v>
      </c>
      <c r="E709">
        <f t="shared" si="20"/>
        <v>0</v>
      </c>
      <c r="F709">
        <f t="shared" si="21"/>
        <v>0.9993999999999944</v>
      </c>
    </row>
    <row r="710" spans="1:6" x14ac:dyDescent="0.25">
      <c r="A710" s="21">
        <v>84315368.030000001</v>
      </c>
      <c r="C710" s="7">
        <v>705000000</v>
      </c>
      <c r="D710">
        <v>0</v>
      </c>
      <c r="E710">
        <f t="shared" ref="E710:E773" si="22">D710/10000</f>
        <v>0</v>
      </c>
      <c r="F710">
        <f t="shared" si="21"/>
        <v>0.9993999999999944</v>
      </c>
    </row>
    <row r="711" spans="1:6" x14ac:dyDescent="0.25">
      <c r="A711" s="21">
        <v>24193038.260000002</v>
      </c>
      <c r="C711" s="7">
        <v>706000000</v>
      </c>
      <c r="D711">
        <v>0</v>
      </c>
      <c r="E711">
        <f t="shared" si="22"/>
        <v>0</v>
      </c>
      <c r="F711">
        <f t="shared" ref="F711:F774" si="23">E711+F710</f>
        <v>0.9993999999999944</v>
      </c>
    </row>
    <row r="712" spans="1:6" x14ac:dyDescent="0.25">
      <c r="A712" s="21">
        <v>11022667.140000001</v>
      </c>
      <c r="C712" s="7">
        <v>707000000</v>
      </c>
      <c r="D712">
        <v>0</v>
      </c>
      <c r="E712">
        <f t="shared" si="22"/>
        <v>0</v>
      </c>
      <c r="F712">
        <f t="shared" si="23"/>
        <v>0.9993999999999944</v>
      </c>
    </row>
    <row r="713" spans="1:6" x14ac:dyDescent="0.25">
      <c r="A713" s="21">
        <v>77949678.760000005</v>
      </c>
      <c r="C713" s="7">
        <v>708000000</v>
      </c>
      <c r="D713">
        <v>0</v>
      </c>
      <c r="E713">
        <f t="shared" si="22"/>
        <v>0</v>
      </c>
      <c r="F713">
        <f t="shared" si="23"/>
        <v>0.9993999999999944</v>
      </c>
    </row>
    <row r="714" spans="1:6" x14ac:dyDescent="0.25">
      <c r="A714" s="21">
        <v>76130850.650000006</v>
      </c>
      <c r="C714" s="7">
        <v>709000000</v>
      </c>
      <c r="D714">
        <v>0</v>
      </c>
      <c r="E714">
        <f t="shared" si="22"/>
        <v>0</v>
      </c>
      <c r="F714">
        <f t="shared" si="23"/>
        <v>0.9993999999999944</v>
      </c>
    </row>
    <row r="715" spans="1:6" x14ac:dyDescent="0.25">
      <c r="A715" s="21">
        <v>71180347.819999993</v>
      </c>
      <c r="C715" s="7">
        <v>710000000</v>
      </c>
      <c r="D715">
        <v>0</v>
      </c>
      <c r="E715">
        <f t="shared" si="22"/>
        <v>0</v>
      </c>
      <c r="F715">
        <f t="shared" si="23"/>
        <v>0.9993999999999944</v>
      </c>
    </row>
    <row r="716" spans="1:6" x14ac:dyDescent="0.25">
      <c r="A716" s="21">
        <v>111167480.97</v>
      </c>
      <c r="C716" s="7">
        <v>711000000</v>
      </c>
      <c r="D716">
        <v>0</v>
      </c>
      <c r="E716">
        <f t="shared" si="22"/>
        <v>0</v>
      </c>
      <c r="F716">
        <f t="shared" si="23"/>
        <v>0.9993999999999944</v>
      </c>
    </row>
    <row r="717" spans="1:6" x14ac:dyDescent="0.25">
      <c r="A717" s="21">
        <v>117975293.90000001</v>
      </c>
      <c r="C717" s="7">
        <v>712000000</v>
      </c>
      <c r="D717">
        <v>0</v>
      </c>
      <c r="E717">
        <f t="shared" si="22"/>
        <v>0</v>
      </c>
      <c r="F717">
        <f t="shared" si="23"/>
        <v>0.9993999999999944</v>
      </c>
    </row>
    <row r="718" spans="1:6" x14ac:dyDescent="0.25">
      <c r="A718">
        <v>0</v>
      </c>
      <c r="C718" s="7">
        <v>713000000</v>
      </c>
      <c r="D718">
        <v>0</v>
      </c>
      <c r="E718">
        <f t="shared" si="22"/>
        <v>0</v>
      </c>
      <c r="F718">
        <f t="shared" si="23"/>
        <v>0.9993999999999944</v>
      </c>
    </row>
    <row r="719" spans="1:6" x14ac:dyDescent="0.25">
      <c r="A719" s="21">
        <v>312714923.29000002</v>
      </c>
      <c r="C719" s="7">
        <v>714000000</v>
      </c>
      <c r="D719">
        <v>0</v>
      </c>
      <c r="E719">
        <f t="shared" si="22"/>
        <v>0</v>
      </c>
      <c r="F719">
        <f t="shared" si="23"/>
        <v>0.9993999999999944</v>
      </c>
    </row>
    <row r="720" spans="1:6" x14ac:dyDescent="0.25">
      <c r="A720" s="21">
        <v>13300595.25</v>
      </c>
      <c r="C720" s="7">
        <v>715000000</v>
      </c>
      <c r="D720">
        <v>0</v>
      </c>
      <c r="E720">
        <f t="shared" si="22"/>
        <v>0</v>
      </c>
      <c r="F720">
        <f t="shared" si="23"/>
        <v>0.9993999999999944</v>
      </c>
    </row>
    <row r="721" spans="1:6" x14ac:dyDescent="0.25">
      <c r="A721" s="21">
        <v>8769763.3300000001</v>
      </c>
      <c r="C721" s="7">
        <v>716000000</v>
      </c>
      <c r="D721">
        <v>0</v>
      </c>
      <c r="E721">
        <f t="shared" si="22"/>
        <v>0</v>
      </c>
      <c r="F721">
        <f t="shared" si="23"/>
        <v>0.9993999999999944</v>
      </c>
    </row>
    <row r="722" spans="1:6" x14ac:dyDescent="0.25">
      <c r="A722" s="21">
        <v>92675576.939999998</v>
      </c>
      <c r="C722" s="7">
        <v>717000000</v>
      </c>
      <c r="D722">
        <v>0</v>
      </c>
      <c r="E722">
        <f t="shared" si="22"/>
        <v>0</v>
      </c>
      <c r="F722">
        <f t="shared" si="23"/>
        <v>0.9993999999999944</v>
      </c>
    </row>
    <row r="723" spans="1:6" x14ac:dyDescent="0.25">
      <c r="A723" s="21">
        <v>106801097.89</v>
      </c>
      <c r="C723" s="7">
        <v>718000000</v>
      </c>
      <c r="D723">
        <v>0</v>
      </c>
      <c r="E723">
        <f t="shared" si="22"/>
        <v>0</v>
      </c>
      <c r="F723">
        <f t="shared" si="23"/>
        <v>0.9993999999999944</v>
      </c>
    </row>
    <row r="724" spans="1:6" x14ac:dyDescent="0.25">
      <c r="A724" s="21">
        <v>60092300.719999999</v>
      </c>
      <c r="C724" s="7">
        <v>719000000</v>
      </c>
      <c r="D724">
        <v>0</v>
      </c>
      <c r="E724">
        <f t="shared" si="22"/>
        <v>0</v>
      </c>
      <c r="F724">
        <f t="shared" si="23"/>
        <v>0.9993999999999944</v>
      </c>
    </row>
    <row r="725" spans="1:6" x14ac:dyDescent="0.25">
      <c r="A725" s="21">
        <v>666898873.48000002</v>
      </c>
      <c r="C725" s="7">
        <v>720000000</v>
      </c>
      <c r="D725">
        <v>0</v>
      </c>
      <c r="E725">
        <f t="shared" si="22"/>
        <v>0</v>
      </c>
      <c r="F725">
        <f t="shared" si="23"/>
        <v>0.9993999999999944</v>
      </c>
    </row>
    <row r="726" spans="1:6" x14ac:dyDescent="0.25">
      <c r="A726" s="21">
        <v>11951290.5</v>
      </c>
      <c r="C726" s="7">
        <v>721000000</v>
      </c>
      <c r="D726">
        <v>1</v>
      </c>
      <c r="E726">
        <f t="shared" si="22"/>
        <v>1E-4</v>
      </c>
      <c r="F726">
        <f t="shared" si="23"/>
        <v>0.99949999999999439</v>
      </c>
    </row>
    <row r="727" spans="1:6" x14ac:dyDescent="0.25">
      <c r="A727" s="21">
        <v>136606779.22999999</v>
      </c>
      <c r="C727" s="7">
        <v>722000000</v>
      </c>
      <c r="D727">
        <v>1</v>
      </c>
      <c r="E727">
        <f t="shared" si="22"/>
        <v>1E-4</v>
      </c>
      <c r="F727">
        <f t="shared" si="23"/>
        <v>0.99959999999999438</v>
      </c>
    </row>
    <row r="728" spans="1:6" x14ac:dyDescent="0.25">
      <c r="A728" s="21">
        <v>49823086.359999999</v>
      </c>
      <c r="C728" s="7">
        <v>723000000</v>
      </c>
      <c r="D728">
        <v>0</v>
      </c>
      <c r="E728">
        <f t="shared" si="22"/>
        <v>0</v>
      </c>
      <c r="F728">
        <f t="shared" si="23"/>
        <v>0.99959999999999438</v>
      </c>
    </row>
    <row r="729" spans="1:6" x14ac:dyDescent="0.25">
      <c r="A729" s="21">
        <v>15156239.800000001</v>
      </c>
      <c r="C729" s="7">
        <v>724000000</v>
      </c>
      <c r="D729">
        <v>0</v>
      </c>
      <c r="E729">
        <f t="shared" si="22"/>
        <v>0</v>
      </c>
      <c r="F729">
        <f t="shared" si="23"/>
        <v>0.99959999999999438</v>
      </c>
    </row>
    <row r="730" spans="1:6" x14ac:dyDescent="0.25">
      <c r="A730" s="21">
        <v>60688640.25</v>
      </c>
      <c r="C730" s="7">
        <v>725000000</v>
      </c>
      <c r="D730">
        <v>0</v>
      </c>
      <c r="E730">
        <f t="shared" si="22"/>
        <v>0</v>
      </c>
      <c r="F730">
        <f t="shared" si="23"/>
        <v>0.99959999999999438</v>
      </c>
    </row>
    <row r="731" spans="1:6" x14ac:dyDescent="0.25">
      <c r="A731" s="21">
        <v>11326260.640000001</v>
      </c>
      <c r="C731" s="7">
        <v>726000000</v>
      </c>
      <c r="D731">
        <v>0</v>
      </c>
      <c r="E731">
        <f t="shared" si="22"/>
        <v>0</v>
      </c>
      <c r="F731">
        <f t="shared" si="23"/>
        <v>0.99959999999999438</v>
      </c>
    </row>
    <row r="732" spans="1:6" x14ac:dyDescent="0.25">
      <c r="A732" s="21">
        <v>130862698.81</v>
      </c>
      <c r="C732" s="7">
        <v>727000000</v>
      </c>
      <c r="D732">
        <v>0</v>
      </c>
      <c r="E732">
        <f t="shared" si="22"/>
        <v>0</v>
      </c>
      <c r="F732">
        <f t="shared" si="23"/>
        <v>0.99959999999999438</v>
      </c>
    </row>
    <row r="733" spans="1:6" x14ac:dyDescent="0.25">
      <c r="A733" s="21">
        <v>166411613.91</v>
      </c>
      <c r="C733" s="7">
        <v>728000000</v>
      </c>
      <c r="D733">
        <v>0</v>
      </c>
      <c r="E733">
        <f t="shared" si="22"/>
        <v>0</v>
      </c>
      <c r="F733">
        <f t="shared" si="23"/>
        <v>0.99959999999999438</v>
      </c>
    </row>
    <row r="734" spans="1:6" x14ac:dyDescent="0.25">
      <c r="A734" s="21">
        <v>132807135.48999999</v>
      </c>
      <c r="C734" s="7">
        <v>729000000</v>
      </c>
      <c r="D734">
        <v>0</v>
      </c>
      <c r="E734">
        <f t="shared" si="22"/>
        <v>0</v>
      </c>
      <c r="F734">
        <f t="shared" si="23"/>
        <v>0.99959999999999438</v>
      </c>
    </row>
    <row r="735" spans="1:6" x14ac:dyDescent="0.25">
      <c r="A735" s="21">
        <v>73420231.010000005</v>
      </c>
      <c r="C735" s="7">
        <v>730000000</v>
      </c>
      <c r="D735">
        <v>0</v>
      </c>
      <c r="E735">
        <f t="shared" si="22"/>
        <v>0</v>
      </c>
      <c r="F735">
        <f t="shared" si="23"/>
        <v>0.99959999999999438</v>
      </c>
    </row>
    <row r="736" spans="1:6" x14ac:dyDescent="0.25">
      <c r="A736" s="21">
        <v>204970094.75</v>
      </c>
      <c r="C736" s="7">
        <v>731000000</v>
      </c>
      <c r="D736">
        <v>0</v>
      </c>
      <c r="E736">
        <f t="shared" si="22"/>
        <v>0</v>
      </c>
      <c r="F736">
        <f t="shared" si="23"/>
        <v>0.99959999999999438</v>
      </c>
    </row>
    <row r="737" spans="1:6" x14ac:dyDescent="0.25">
      <c r="A737" s="21">
        <v>92814228.859999999</v>
      </c>
      <c r="C737" s="7">
        <v>732000000</v>
      </c>
      <c r="D737">
        <v>0</v>
      </c>
      <c r="E737">
        <f t="shared" si="22"/>
        <v>0</v>
      </c>
      <c r="F737">
        <f t="shared" si="23"/>
        <v>0.99959999999999438</v>
      </c>
    </row>
    <row r="738" spans="1:6" x14ac:dyDescent="0.25">
      <c r="A738" s="21">
        <v>17003097.68</v>
      </c>
      <c r="C738" s="7">
        <v>733000000</v>
      </c>
      <c r="D738">
        <v>0</v>
      </c>
      <c r="E738">
        <f t="shared" si="22"/>
        <v>0</v>
      </c>
      <c r="F738">
        <f t="shared" si="23"/>
        <v>0.99959999999999438</v>
      </c>
    </row>
    <row r="739" spans="1:6" x14ac:dyDescent="0.25">
      <c r="A739" s="21">
        <v>17472654.059999999</v>
      </c>
      <c r="C739" s="7">
        <v>734000000</v>
      </c>
      <c r="D739">
        <v>1</v>
      </c>
      <c r="E739">
        <f t="shared" si="22"/>
        <v>1E-4</v>
      </c>
      <c r="F739">
        <f t="shared" si="23"/>
        <v>0.99969999999999437</v>
      </c>
    </row>
    <row r="740" spans="1:6" x14ac:dyDescent="0.25">
      <c r="A740" s="21">
        <v>248204528.72999999</v>
      </c>
      <c r="C740" s="7">
        <v>735000000</v>
      </c>
      <c r="D740">
        <v>0</v>
      </c>
      <c r="E740">
        <f t="shared" si="22"/>
        <v>0</v>
      </c>
      <c r="F740">
        <f t="shared" si="23"/>
        <v>0.99969999999999437</v>
      </c>
    </row>
    <row r="741" spans="1:6" x14ac:dyDescent="0.25">
      <c r="A741" s="21">
        <v>31334128.890000001</v>
      </c>
      <c r="C741" s="7">
        <v>736000000</v>
      </c>
      <c r="D741">
        <v>0</v>
      </c>
      <c r="E741">
        <f t="shared" si="22"/>
        <v>0</v>
      </c>
      <c r="F741">
        <f t="shared" si="23"/>
        <v>0.99969999999999437</v>
      </c>
    </row>
    <row r="742" spans="1:6" x14ac:dyDescent="0.25">
      <c r="A742" s="21">
        <v>21284997.940000001</v>
      </c>
      <c r="C742" s="7">
        <v>737000000</v>
      </c>
      <c r="D742">
        <v>0</v>
      </c>
      <c r="E742">
        <f t="shared" si="22"/>
        <v>0</v>
      </c>
      <c r="F742">
        <f t="shared" si="23"/>
        <v>0.99969999999999437</v>
      </c>
    </row>
    <row r="743" spans="1:6" x14ac:dyDescent="0.25">
      <c r="A743" s="21">
        <v>39751978.289999999</v>
      </c>
      <c r="C743" s="7">
        <v>738000000</v>
      </c>
      <c r="D743">
        <v>0</v>
      </c>
      <c r="E743">
        <f t="shared" si="22"/>
        <v>0</v>
      </c>
      <c r="F743">
        <f t="shared" si="23"/>
        <v>0.99969999999999437</v>
      </c>
    </row>
    <row r="744" spans="1:6" x14ac:dyDescent="0.25">
      <c r="A744" s="21">
        <v>41500950.630000003</v>
      </c>
      <c r="C744" s="7">
        <v>739000000</v>
      </c>
      <c r="D744">
        <v>0</v>
      </c>
      <c r="E744">
        <f t="shared" si="22"/>
        <v>0</v>
      </c>
      <c r="F744">
        <f t="shared" si="23"/>
        <v>0.99969999999999437</v>
      </c>
    </row>
    <row r="745" spans="1:6" x14ac:dyDescent="0.25">
      <c r="A745" s="21">
        <v>14319432.960000001</v>
      </c>
      <c r="C745" s="7">
        <v>740000000</v>
      </c>
      <c r="D745">
        <v>0</v>
      </c>
      <c r="E745">
        <f t="shared" si="22"/>
        <v>0</v>
      </c>
      <c r="F745">
        <f t="shared" si="23"/>
        <v>0.99969999999999437</v>
      </c>
    </row>
    <row r="746" spans="1:6" x14ac:dyDescent="0.25">
      <c r="A746" s="21">
        <v>88943697.459999993</v>
      </c>
      <c r="C746" s="7">
        <v>741000000</v>
      </c>
      <c r="D746">
        <v>0</v>
      </c>
      <c r="E746">
        <f t="shared" si="22"/>
        <v>0</v>
      </c>
      <c r="F746">
        <f t="shared" si="23"/>
        <v>0.99969999999999437</v>
      </c>
    </row>
    <row r="747" spans="1:6" x14ac:dyDescent="0.25">
      <c r="A747" s="21">
        <v>44319302.159999996</v>
      </c>
      <c r="C747" s="7">
        <v>742000000</v>
      </c>
      <c r="D747">
        <v>0</v>
      </c>
      <c r="E747">
        <f t="shared" si="22"/>
        <v>0</v>
      </c>
      <c r="F747">
        <f t="shared" si="23"/>
        <v>0.99969999999999437</v>
      </c>
    </row>
    <row r="748" spans="1:6" x14ac:dyDescent="0.25">
      <c r="A748" s="21">
        <v>132544621.86</v>
      </c>
      <c r="C748" s="7">
        <v>743000000</v>
      </c>
      <c r="D748">
        <v>0</v>
      </c>
      <c r="E748">
        <f t="shared" si="22"/>
        <v>0</v>
      </c>
      <c r="F748">
        <f t="shared" si="23"/>
        <v>0.99969999999999437</v>
      </c>
    </row>
    <row r="749" spans="1:6" x14ac:dyDescent="0.25">
      <c r="A749" s="21">
        <v>6829168.6299999999</v>
      </c>
      <c r="C749" s="7">
        <v>744000000</v>
      </c>
      <c r="D749">
        <v>0</v>
      </c>
      <c r="E749">
        <f t="shared" si="22"/>
        <v>0</v>
      </c>
      <c r="F749">
        <f t="shared" si="23"/>
        <v>0.99969999999999437</v>
      </c>
    </row>
    <row r="750" spans="1:6" x14ac:dyDescent="0.25">
      <c r="A750" s="21">
        <v>68287903.579999998</v>
      </c>
      <c r="C750" s="7">
        <v>745000000</v>
      </c>
      <c r="D750">
        <v>0</v>
      </c>
      <c r="E750">
        <f t="shared" si="22"/>
        <v>0</v>
      </c>
      <c r="F750">
        <f t="shared" si="23"/>
        <v>0.99969999999999437</v>
      </c>
    </row>
    <row r="751" spans="1:6" x14ac:dyDescent="0.25">
      <c r="A751" s="21">
        <v>22067483.890000001</v>
      </c>
      <c r="C751" s="7">
        <v>746000000</v>
      </c>
      <c r="D751">
        <v>0</v>
      </c>
      <c r="E751">
        <f t="shared" si="22"/>
        <v>0</v>
      </c>
      <c r="F751">
        <f t="shared" si="23"/>
        <v>0.99969999999999437</v>
      </c>
    </row>
    <row r="752" spans="1:6" x14ac:dyDescent="0.25">
      <c r="A752" s="21">
        <v>48554007.75</v>
      </c>
      <c r="C752" s="7">
        <v>747000000</v>
      </c>
      <c r="D752">
        <v>0</v>
      </c>
      <c r="E752">
        <f t="shared" si="22"/>
        <v>0</v>
      </c>
      <c r="F752">
        <f t="shared" si="23"/>
        <v>0.99969999999999437</v>
      </c>
    </row>
    <row r="753" spans="1:6" x14ac:dyDescent="0.25">
      <c r="A753" s="21">
        <v>22596075.82</v>
      </c>
      <c r="C753" s="7">
        <v>748000000</v>
      </c>
      <c r="D753">
        <v>0</v>
      </c>
      <c r="E753">
        <f t="shared" si="22"/>
        <v>0</v>
      </c>
      <c r="F753">
        <f t="shared" si="23"/>
        <v>0.99969999999999437</v>
      </c>
    </row>
    <row r="754" spans="1:6" x14ac:dyDescent="0.25">
      <c r="A754" s="21">
        <v>79558605.069999903</v>
      </c>
      <c r="C754" s="7">
        <v>749000000</v>
      </c>
      <c r="D754">
        <v>0</v>
      </c>
      <c r="E754">
        <f t="shared" si="22"/>
        <v>0</v>
      </c>
      <c r="F754">
        <f t="shared" si="23"/>
        <v>0.99969999999999437</v>
      </c>
    </row>
    <row r="755" spans="1:6" x14ac:dyDescent="0.25">
      <c r="A755">
        <v>5778309</v>
      </c>
      <c r="C755" s="7">
        <v>750000000</v>
      </c>
      <c r="D755">
        <v>1</v>
      </c>
      <c r="E755">
        <f t="shared" si="22"/>
        <v>1E-4</v>
      </c>
      <c r="F755">
        <f t="shared" si="23"/>
        <v>0.99979999999999436</v>
      </c>
    </row>
    <row r="756" spans="1:6" x14ac:dyDescent="0.25">
      <c r="A756" s="21">
        <v>16354686.789999999</v>
      </c>
      <c r="C756" s="7">
        <v>751000000</v>
      </c>
      <c r="D756">
        <v>0</v>
      </c>
      <c r="E756">
        <f t="shared" si="22"/>
        <v>0</v>
      </c>
      <c r="F756">
        <f t="shared" si="23"/>
        <v>0.99979999999999436</v>
      </c>
    </row>
    <row r="757" spans="1:6" x14ac:dyDescent="0.25">
      <c r="A757" s="21">
        <v>176380184.38999999</v>
      </c>
      <c r="C757" s="7">
        <v>752000000</v>
      </c>
      <c r="D757">
        <v>0</v>
      </c>
      <c r="E757">
        <f t="shared" si="22"/>
        <v>0</v>
      </c>
      <c r="F757">
        <f t="shared" si="23"/>
        <v>0.99979999999999436</v>
      </c>
    </row>
    <row r="758" spans="1:6" x14ac:dyDescent="0.25">
      <c r="A758" s="21">
        <v>749487324.23000002</v>
      </c>
      <c r="C758" s="7">
        <v>753000000</v>
      </c>
      <c r="D758">
        <v>0</v>
      </c>
      <c r="E758">
        <f t="shared" si="22"/>
        <v>0</v>
      </c>
      <c r="F758">
        <f t="shared" si="23"/>
        <v>0.99979999999999436</v>
      </c>
    </row>
    <row r="759" spans="1:6" x14ac:dyDescent="0.25">
      <c r="A759" s="21">
        <v>6180147.6699999999</v>
      </c>
      <c r="C759" s="7">
        <v>754000000</v>
      </c>
      <c r="D759">
        <v>0</v>
      </c>
      <c r="E759">
        <f t="shared" si="22"/>
        <v>0</v>
      </c>
      <c r="F759">
        <f t="shared" si="23"/>
        <v>0.99979999999999436</v>
      </c>
    </row>
    <row r="760" spans="1:6" x14ac:dyDescent="0.25">
      <c r="A760" s="21">
        <v>318921314.19</v>
      </c>
      <c r="C760" s="7">
        <v>755000000</v>
      </c>
      <c r="D760">
        <v>0</v>
      </c>
      <c r="E760">
        <f t="shared" si="22"/>
        <v>0</v>
      </c>
      <c r="F760">
        <f t="shared" si="23"/>
        <v>0.99979999999999436</v>
      </c>
    </row>
    <row r="761" spans="1:6" x14ac:dyDescent="0.25">
      <c r="A761" s="21">
        <v>21562958.399999999</v>
      </c>
      <c r="C761" s="7">
        <v>756000000</v>
      </c>
      <c r="D761">
        <v>0</v>
      </c>
      <c r="E761">
        <f t="shared" si="22"/>
        <v>0</v>
      </c>
      <c r="F761">
        <f t="shared" si="23"/>
        <v>0.99979999999999436</v>
      </c>
    </row>
    <row r="762" spans="1:6" x14ac:dyDescent="0.25">
      <c r="A762" s="21">
        <v>7295150.2800000003</v>
      </c>
      <c r="C762" s="7">
        <v>757000000</v>
      </c>
      <c r="D762">
        <v>0</v>
      </c>
      <c r="E762">
        <f t="shared" si="22"/>
        <v>0</v>
      </c>
      <c r="F762">
        <f t="shared" si="23"/>
        <v>0.99979999999999436</v>
      </c>
    </row>
    <row r="763" spans="1:6" x14ac:dyDescent="0.25">
      <c r="A763" s="21">
        <v>63784863.899999999</v>
      </c>
      <c r="C763" s="7">
        <v>758000000</v>
      </c>
      <c r="D763">
        <v>0</v>
      </c>
      <c r="E763">
        <f t="shared" si="22"/>
        <v>0</v>
      </c>
      <c r="F763">
        <f t="shared" si="23"/>
        <v>0.99979999999999436</v>
      </c>
    </row>
    <row r="764" spans="1:6" x14ac:dyDescent="0.25">
      <c r="A764" s="21">
        <v>7262323.5</v>
      </c>
      <c r="C764" s="7">
        <v>759000000</v>
      </c>
      <c r="D764">
        <v>0</v>
      </c>
      <c r="E764">
        <f t="shared" si="22"/>
        <v>0</v>
      </c>
      <c r="F764">
        <f t="shared" si="23"/>
        <v>0.99979999999999436</v>
      </c>
    </row>
    <row r="765" spans="1:6" x14ac:dyDescent="0.25">
      <c r="A765" s="21">
        <v>101899517.95999999</v>
      </c>
      <c r="C765" s="7">
        <v>760000000</v>
      </c>
      <c r="D765">
        <v>0</v>
      </c>
      <c r="E765">
        <f t="shared" si="22"/>
        <v>0</v>
      </c>
      <c r="F765">
        <f t="shared" si="23"/>
        <v>0.99979999999999436</v>
      </c>
    </row>
    <row r="766" spans="1:6" x14ac:dyDescent="0.25">
      <c r="A766" s="21">
        <v>6501160.5</v>
      </c>
      <c r="C766" s="7">
        <v>761000000</v>
      </c>
      <c r="D766">
        <v>0</v>
      </c>
      <c r="E766">
        <f t="shared" si="22"/>
        <v>0</v>
      </c>
      <c r="F766">
        <f t="shared" si="23"/>
        <v>0.99979999999999436</v>
      </c>
    </row>
    <row r="767" spans="1:6" x14ac:dyDescent="0.25">
      <c r="A767" s="21">
        <v>26248764.48</v>
      </c>
      <c r="C767" s="7">
        <v>762000000</v>
      </c>
      <c r="D767">
        <v>0</v>
      </c>
      <c r="E767">
        <f t="shared" si="22"/>
        <v>0</v>
      </c>
      <c r="F767">
        <f t="shared" si="23"/>
        <v>0.99979999999999436</v>
      </c>
    </row>
    <row r="768" spans="1:6" x14ac:dyDescent="0.25">
      <c r="A768" s="21">
        <v>18587406.66</v>
      </c>
      <c r="C768" s="7">
        <v>763000000</v>
      </c>
      <c r="D768">
        <v>0</v>
      </c>
      <c r="E768">
        <f t="shared" si="22"/>
        <v>0</v>
      </c>
      <c r="F768">
        <f t="shared" si="23"/>
        <v>0.99979999999999436</v>
      </c>
    </row>
    <row r="769" spans="1:6" x14ac:dyDescent="0.25">
      <c r="A769" s="21">
        <v>100809664.09999999</v>
      </c>
      <c r="C769" s="7">
        <v>764000000</v>
      </c>
      <c r="D769">
        <v>0</v>
      </c>
      <c r="E769">
        <f t="shared" si="22"/>
        <v>0</v>
      </c>
      <c r="F769">
        <f t="shared" si="23"/>
        <v>0.99979999999999436</v>
      </c>
    </row>
    <row r="770" spans="1:6" x14ac:dyDescent="0.25">
      <c r="A770" s="21">
        <v>16730142.15</v>
      </c>
      <c r="C770" s="7">
        <v>765000000</v>
      </c>
      <c r="D770">
        <v>0</v>
      </c>
      <c r="E770">
        <f t="shared" si="22"/>
        <v>0</v>
      </c>
      <c r="F770">
        <f t="shared" si="23"/>
        <v>0.99979999999999436</v>
      </c>
    </row>
    <row r="771" spans="1:6" x14ac:dyDescent="0.25">
      <c r="A771" s="21">
        <v>54063056.700000003</v>
      </c>
      <c r="C771" s="7">
        <v>766000000</v>
      </c>
      <c r="D771">
        <v>0</v>
      </c>
      <c r="E771">
        <f t="shared" si="22"/>
        <v>0</v>
      </c>
      <c r="F771">
        <f t="shared" si="23"/>
        <v>0.99979999999999436</v>
      </c>
    </row>
    <row r="772" spans="1:6" x14ac:dyDescent="0.25">
      <c r="A772" s="21">
        <v>67812736.790000007</v>
      </c>
      <c r="C772" s="7">
        <v>767000000</v>
      </c>
      <c r="D772">
        <v>0</v>
      </c>
      <c r="E772">
        <f t="shared" si="22"/>
        <v>0</v>
      </c>
      <c r="F772">
        <f t="shared" si="23"/>
        <v>0.99979999999999436</v>
      </c>
    </row>
    <row r="773" spans="1:6" x14ac:dyDescent="0.25">
      <c r="A773" s="21">
        <v>2793226.65</v>
      </c>
      <c r="C773" s="7">
        <v>768000000</v>
      </c>
      <c r="D773">
        <v>0</v>
      </c>
      <c r="E773">
        <f t="shared" si="22"/>
        <v>0</v>
      </c>
      <c r="F773">
        <f t="shared" si="23"/>
        <v>0.99979999999999436</v>
      </c>
    </row>
    <row r="774" spans="1:6" x14ac:dyDescent="0.25">
      <c r="A774" s="21">
        <v>296068428.37</v>
      </c>
      <c r="C774" s="7">
        <v>769000000</v>
      </c>
      <c r="D774">
        <v>0</v>
      </c>
      <c r="E774">
        <f t="shared" ref="E774:E837" si="24">D774/10000</f>
        <v>0</v>
      </c>
      <c r="F774">
        <f t="shared" si="23"/>
        <v>0.99979999999999436</v>
      </c>
    </row>
    <row r="775" spans="1:6" x14ac:dyDescent="0.25">
      <c r="A775" s="21">
        <v>140581550.47</v>
      </c>
      <c r="C775" s="7">
        <v>770000000</v>
      </c>
      <c r="D775">
        <v>0</v>
      </c>
      <c r="E775">
        <f t="shared" si="24"/>
        <v>0</v>
      </c>
      <c r="F775">
        <f t="shared" ref="F775:F838" si="25">E775+F774</f>
        <v>0.99979999999999436</v>
      </c>
    </row>
    <row r="776" spans="1:6" x14ac:dyDescent="0.25">
      <c r="A776" s="21">
        <v>14479329.16</v>
      </c>
      <c r="C776" s="7">
        <v>771000000</v>
      </c>
      <c r="D776">
        <v>0</v>
      </c>
      <c r="E776">
        <f t="shared" si="24"/>
        <v>0</v>
      </c>
      <c r="F776">
        <f t="shared" si="25"/>
        <v>0.99979999999999436</v>
      </c>
    </row>
    <row r="777" spans="1:6" x14ac:dyDescent="0.25">
      <c r="A777" s="21">
        <v>5414202.75</v>
      </c>
      <c r="C777" s="7">
        <v>772000000</v>
      </c>
      <c r="D777">
        <v>0</v>
      </c>
      <c r="E777">
        <f t="shared" si="24"/>
        <v>0</v>
      </c>
      <c r="F777">
        <f t="shared" si="25"/>
        <v>0.99979999999999436</v>
      </c>
    </row>
    <row r="778" spans="1:6" x14ac:dyDescent="0.25">
      <c r="A778" s="21">
        <v>6991652.3399999999</v>
      </c>
      <c r="C778" s="7">
        <v>773000000</v>
      </c>
      <c r="D778">
        <v>0</v>
      </c>
      <c r="E778">
        <f t="shared" si="24"/>
        <v>0</v>
      </c>
      <c r="F778">
        <f t="shared" si="25"/>
        <v>0.99979999999999436</v>
      </c>
    </row>
    <row r="779" spans="1:6" x14ac:dyDescent="0.25">
      <c r="A779" s="21">
        <v>55559611.489999898</v>
      </c>
      <c r="C779" s="7">
        <v>774000000</v>
      </c>
      <c r="D779">
        <v>0</v>
      </c>
      <c r="E779">
        <f t="shared" si="24"/>
        <v>0</v>
      </c>
      <c r="F779">
        <f t="shared" si="25"/>
        <v>0.99979999999999436</v>
      </c>
    </row>
    <row r="780" spans="1:6" x14ac:dyDescent="0.25">
      <c r="A780" s="21">
        <v>10126094.58</v>
      </c>
      <c r="C780" s="7">
        <v>775000000</v>
      </c>
      <c r="D780">
        <v>0</v>
      </c>
      <c r="E780">
        <f t="shared" si="24"/>
        <v>0</v>
      </c>
      <c r="F780">
        <f t="shared" si="25"/>
        <v>0.99979999999999436</v>
      </c>
    </row>
    <row r="781" spans="1:6" x14ac:dyDescent="0.25">
      <c r="A781" s="21">
        <v>52992798.799999997</v>
      </c>
      <c r="C781" s="7">
        <v>776000000</v>
      </c>
      <c r="D781">
        <v>0</v>
      </c>
      <c r="E781">
        <f t="shared" si="24"/>
        <v>0</v>
      </c>
      <c r="F781">
        <f t="shared" si="25"/>
        <v>0.99979999999999436</v>
      </c>
    </row>
    <row r="782" spans="1:6" x14ac:dyDescent="0.25">
      <c r="A782" s="21">
        <v>117873294.51000001</v>
      </c>
      <c r="C782" s="7">
        <v>777000000</v>
      </c>
      <c r="D782">
        <v>0</v>
      </c>
      <c r="E782">
        <f t="shared" si="24"/>
        <v>0</v>
      </c>
      <c r="F782">
        <f t="shared" si="25"/>
        <v>0.99979999999999436</v>
      </c>
    </row>
    <row r="783" spans="1:6" x14ac:dyDescent="0.25">
      <c r="A783" s="21">
        <v>26941918.079999998</v>
      </c>
      <c r="C783" s="7">
        <v>778000000</v>
      </c>
      <c r="D783">
        <v>0</v>
      </c>
      <c r="E783">
        <f t="shared" si="24"/>
        <v>0</v>
      </c>
      <c r="F783">
        <f t="shared" si="25"/>
        <v>0.99979999999999436</v>
      </c>
    </row>
    <row r="784" spans="1:6" x14ac:dyDescent="0.25">
      <c r="A784" s="21">
        <v>206986489.36000001</v>
      </c>
      <c r="C784" s="7">
        <v>779000000</v>
      </c>
      <c r="D784">
        <v>0</v>
      </c>
      <c r="E784">
        <f t="shared" si="24"/>
        <v>0</v>
      </c>
      <c r="F784">
        <f t="shared" si="25"/>
        <v>0.99979999999999436</v>
      </c>
    </row>
    <row r="785" spans="1:6" x14ac:dyDescent="0.25">
      <c r="A785" s="21">
        <v>8518440.7599999998</v>
      </c>
      <c r="C785" s="7">
        <v>780000000</v>
      </c>
      <c r="D785">
        <v>0</v>
      </c>
      <c r="E785">
        <f t="shared" si="24"/>
        <v>0</v>
      </c>
      <c r="F785">
        <f t="shared" si="25"/>
        <v>0.99979999999999436</v>
      </c>
    </row>
    <row r="786" spans="1:6" x14ac:dyDescent="0.25">
      <c r="A786" s="21">
        <v>23152843.789999999</v>
      </c>
      <c r="C786" s="7">
        <v>781000000</v>
      </c>
      <c r="D786">
        <v>0</v>
      </c>
      <c r="E786">
        <f t="shared" si="24"/>
        <v>0</v>
      </c>
      <c r="F786">
        <f t="shared" si="25"/>
        <v>0.99979999999999436</v>
      </c>
    </row>
    <row r="787" spans="1:6" x14ac:dyDescent="0.25">
      <c r="A787" s="21">
        <v>5711211.75</v>
      </c>
      <c r="C787" s="7">
        <v>782000000</v>
      </c>
      <c r="D787">
        <v>0</v>
      </c>
      <c r="E787">
        <f t="shared" si="24"/>
        <v>0</v>
      </c>
      <c r="F787">
        <f t="shared" si="25"/>
        <v>0.99979999999999436</v>
      </c>
    </row>
    <row r="788" spans="1:6" x14ac:dyDescent="0.25">
      <c r="A788" s="21">
        <v>74020010.810000002</v>
      </c>
      <c r="C788" s="7">
        <v>783000000</v>
      </c>
      <c r="D788">
        <v>0</v>
      </c>
      <c r="E788">
        <f t="shared" si="24"/>
        <v>0</v>
      </c>
      <c r="F788">
        <f t="shared" si="25"/>
        <v>0.99979999999999436</v>
      </c>
    </row>
    <row r="789" spans="1:6" x14ac:dyDescent="0.25">
      <c r="A789" s="21">
        <v>54093954.739999898</v>
      </c>
      <c r="C789" s="7">
        <v>784000000</v>
      </c>
      <c r="D789">
        <v>0</v>
      </c>
      <c r="E789">
        <f t="shared" si="24"/>
        <v>0</v>
      </c>
      <c r="F789">
        <f t="shared" si="25"/>
        <v>0.99979999999999436</v>
      </c>
    </row>
    <row r="790" spans="1:6" x14ac:dyDescent="0.25">
      <c r="A790" s="21">
        <v>25142433.210000001</v>
      </c>
      <c r="C790" s="7">
        <v>785000000</v>
      </c>
      <c r="D790">
        <v>0</v>
      </c>
      <c r="E790">
        <f t="shared" si="24"/>
        <v>0</v>
      </c>
      <c r="F790">
        <f t="shared" si="25"/>
        <v>0.99979999999999436</v>
      </c>
    </row>
    <row r="791" spans="1:6" x14ac:dyDescent="0.25">
      <c r="A791" s="21">
        <v>29127670.170000002</v>
      </c>
      <c r="C791" s="7">
        <v>786000000</v>
      </c>
      <c r="D791">
        <v>0</v>
      </c>
      <c r="E791">
        <f t="shared" si="24"/>
        <v>0</v>
      </c>
      <c r="F791">
        <f t="shared" si="25"/>
        <v>0.99979999999999436</v>
      </c>
    </row>
    <row r="792" spans="1:6" x14ac:dyDescent="0.25">
      <c r="A792" s="21">
        <v>62364364.600000001</v>
      </c>
      <c r="C792" s="7">
        <v>787000000</v>
      </c>
      <c r="D792">
        <v>0</v>
      </c>
      <c r="E792">
        <f t="shared" si="24"/>
        <v>0</v>
      </c>
      <c r="F792">
        <f t="shared" si="25"/>
        <v>0.99979999999999436</v>
      </c>
    </row>
    <row r="793" spans="1:6" x14ac:dyDescent="0.25">
      <c r="A793" s="21">
        <v>720592195.32999897</v>
      </c>
      <c r="C793" s="7">
        <v>788000000</v>
      </c>
      <c r="D793">
        <v>0</v>
      </c>
      <c r="E793">
        <f t="shared" si="24"/>
        <v>0</v>
      </c>
      <c r="F793">
        <f t="shared" si="25"/>
        <v>0.99979999999999436</v>
      </c>
    </row>
    <row r="794" spans="1:6" x14ac:dyDescent="0.25">
      <c r="A794" s="21">
        <v>34542102.920000002</v>
      </c>
      <c r="C794" s="7">
        <v>789000000</v>
      </c>
      <c r="D794">
        <v>0</v>
      </c>
      <c r="E794">
        <f t="shared" si="24"/>
        <v>0</v>
      </c>
      <c r="F794">
        <f t="shared" si="25"/>
        <v>0.99979999999999436</v>
      </c>
    </row>
    <row r="795" spans="1:6" x14ac:dyDescent="0.25">
      <c r="A795" s="21">
        <v>40534076.229999997</v>
      </c>
      <c r="C795" s="7">
        <v>790000000</v>
      </c>
      <c r="D795">
        <v>0</v>
      </c>
      <c r="E795">
        <f t="shared" si="24"/>
        <v>0</v>
      </c>
      <c r="F795">
        <f t="shared" si="25"/>
        <v>0.99979999999999436</v>
      </c>
    </row>
    <row r="796" spans="1:6" x14ac:dyDescent="0.25">
      <c r="A796" s="21">
        <v>48266746.200000003</v>
      </c>
      <c r="C796" s="7">
        <v>791000000</v>
      </c>
      <c r="D796">
        <v>0</v>
      </c>
      <c r="E796">
        <f t="shared" si="24"/>
        <v>0</v>
      </c>
      <c r="F796">
        <f t="shared" si="25"/>
        <v>0.99979999999999436</v>
      </c>
    </row>
    <row r="797" spans="1:6" x14ac:dyDescent="0.25">
      <c r="A797" s="21">
        <v>64266101.649999999</v>
      </c>
      <c r="C797" s="7">
        <v>792000000</v>
      </c>
      <c r="D797">
        <v>0</v>
      </c>
      <c r="E797">
        <f t="shared" si="24"/>
        <v>0</v>
      </c>
      <c r="F797">
        <f t="shared" si="25"/>
        <v>0.99979999999999436</v>
      </c>
    </row>
    <row r="798" spans="1:6" x14ac:dyDescent="0.25">
      <c r="A798" s="21">
        <v>45446335.700000003</v>
      </c>
      <c r="C798" s="7">
        <v>793000000</v>
      </c>
      <c r="D798">
        <v>0</v>
      </c>
      <c r="E798">
        <f t="shared" si="24"/>
        <v>0</v>
      </c>
      <c r="F798">
        <f t="shared" si="25"/>
        <v>0.99979999999999436</v>
      </c>
    </row>
    <row r="799" spans="1:6" x14ac:dyDescent="0.25">
      <c r="A799" s="21">
        <v>103428010.16</v>
      </c>
      <c r="C799" s="7">
        <v>794000000</v>
      </c>
      <c r="D799">
        <v>0</v>
      </c>
      <c r="E799">
        <f t="shared" si="24"/>
        <v>0</v>
      </c>
      <c r="F799">
        <f t="shared" si="25"/>
        <v>0.99979999999999436</v>
      </c>
    </row>
    <row r="800" spans="1:6" x14ac:dyDescent="0.25">
      <c r="A800" s="21">
        <v>106699027.66</v>
      </c>
      <c r="C800" s="7">
        <v>795000000</v>
      </c>
      <c r="D800">
        <v>0</v>
      </c>
      <c r="E800">
        <f t="shared" si="24"/>
        <v>0</v>
      </c>
      <c r="F800">
        <f t="shared" si="25"/>
        <v>0.99979999999999436</v>
      </c>
    </row>
    <row r="801" spans="1:6" x14ac:dyDescent="0.25">
      <c r="A801" s="21">
        <v>160148483.78999999</v>
      </c>
      <c r="C801" s="7">
        <v>796000000</v>
      </c>
      <c r="D801">
        <v>0</v>
      </c>
      <c r="E801">
        <f t="shared" si="24"/>
        <v>0</v>
      </c>
      <c r="F801">
        <f t="shared" si="25"/>
        <v>0.99979999999999436</v>
      </c>
    </row>
    <row r="802" spans="1:6" x14ac:dyDescent="0.25">
      <c r="A802" s="21">
        <v>23737714.170000002</v>
      </c>
      <c r="C802" s="7">
        <v>797000000</v>
      </c>
      <c r="D802">
        <v>1</v>
      </c>
      <c r="E802">
        <f t="shared" si="24"/>
        <v>1E-4</v>
      </c>
      <c r="F802">
        <f t="shared" si="25"/>
        <v>0.99989999999999435</v>
      </c>
    </row>
    <row r="803" spans="1:6" x14ac:dyDescent="0.25">
      <c r="A803" s="21">
        <v>336724609.99999899</v>
      </c>
      <c r="C803" s="7">
        <v>798000000</v>
      </c>
      <c r="D803">
        <v>0</v>
      </c>
      <c r="E803">
        <f t="shared" si="24"/>
        <v>0</v>
      </c>
      <c r="F803">
        <f t="shared" si="25"/>
        <v>0.99989999999999435</v>
      </c>
    </row>
    <row r="804" spans="1:6" x14ac:dyDescent="0.25">
      <c r="A804" s="21">
        <v>21711407.859999999</v>
      </c>
      <c r="C804" s="7">
        <v>799000000</v>
      </c>
      <c r="D804">
        <v>0</v>
      </c>
      <c r="E804">
        <f t="shared" si="24"/>
        <v>0</v>
      </c>
      <c r="F804">
        <f t="shared" si="25"/>
        <v>0.99989999999999435</v>
      </c>
    </row>
    <row r="805" spans="1:6" x14ac:dyDescent="0.25">
      <c r="A805">
        <v>0</v>
      </c>
      <c r="C805" s="7">
        <v>800000000</v>
      </c>
      <c r="D805">
        <v>0</v>
      </c>
      <c r="E805">
        <f t="shared" si="24"/>
        <v>0</v>
      </c>
      <c r="F805">
        <f t="shared" si="25"/>
        <v>0.99989999999999435</v>
      </c>
    </row>
    <row r="806" spans="1:6" x14ac:dyDescent="0.25">
      <c r="A806" s="21">
        <v>188661814.02000001</v>
      </c>
      <c r="C806" s="7">
        <v>801000000</v>
      </c>
      <c r="D806">
        <v>0</v>
      </c>
      <c r="E806">
        <f t="shared" si="24"/>
        <v>0</v>
      </c>
      <c r="F806">
        <f t="shared" si="25"/>
        <v>0.99989999999999435</v>
      </c>
    </row>
    <row r="807" spans="1:6" x14ac:dyDescent="0.25">
      <c r="A807" s="21">
        <v>60343245.939999998</v>
      </c>
      <c r="C807" s="7">
        <v>802000000</v>
      </c>
      <c r="D807">
        <v>0</v>
      </c>
      <c r="E807">
        <f t="shared" si="24"/>
        <v>0</v>
      </c>
      <c r="F807">
        <f t="shared" si="25"/>
        <v>0.99989999999999435</v>
      </c>
    </row>
    <row r="808" spans="1:6" x14ac:dyDescent="0.25">
      <c r="A808" s="21">
        <v>19509441.899999999</v>
      </c>
      <c r="C808" s="7">
        <v>803000000</v>
      </c>
      <c r="D808">
        <v>0</v>
      </c>
      <c r="E808">
        <f t="shared" si="24"/>
        <v>0</v>
      </c>
      <c r="F808">
        <f t="shared" si="25"/>
        <v>0.99989999999999435</v>
      </c>
    </row>
    <row r="809" spans="1:6" x14ac:dyDescent="0.25">
      <c r="A809" s="21">
        <v>4268531.1399999997</v>
      </c>
      <c r="C809" s="7">
        <v>804000000</v>
      </c>
      <c r="D809">
        <v>0</v>
      </c>
      <c r="E809">
        <f t="shared" si="24"/>
        <v>0</v>
      </c>
      <c r="F809">
        <f t="shared" si="25"/>
        <v>0.99989999999999435</v>
      </c>
    </row>
    <row r="810" spans="1:6" x14ac:dyDescent="0.25">
      <c r="A810" s="21">
        <v>15820009.18</v>
      </c>
      <c r="C810" s="7">
        <v>805000000</v>
      </c>
      <c r="D810">
        <v>0</v>
      </c>
      <c r="E810">
        <f t="shared" si="24"/>
        <v>0</v>
      </c>
      <c r="F810">
        <f t="shared" si="25"/>
        <v>0.99989999999999435</v>
      </c>
    </row>
    <row r="811" spans="1:6" x14ac:dyDescent="0.25">
      <c r="A811">
        <v>0</v>
      </c>
      <c r="C811" s="7">
        <v>806000000</v>
      </c>
      <c r="D811">
        <v>0</v>
      </c>
      <c r="E811">
        <f t="shared" si="24"/>
        <v>0</v>
      </c>
      <c r="F811">
        <f t="shared" si="25"/>
        <v>0.99989999999999435</v>
      </c>
    </row>
    <row r="812" spans="1:6" x14ac:dyDescent="0.25">
      <c r="A812">
        <v>18587319</v>
      </c>
      <c r="C812" s="7">
        <v>807000000</v>
      </c>
      <c r="D812">
        <v>0</v>
      </c>
      <c r="E812">
        <f t="shared" si="24"/>
        <v>0</v>
      </c>
      <c r="F812">
        <f t="shared" si="25"/>
        <v>0.99989999999999435</v>
      </c>
    </row>
    <row r="813" spans="1:6" x14ac:dyDescent="0.25">
      <c r="A813" s="21">
        <v>280534220.63</v>
      </c>
      <c r="C813" s="7">
        <v>808000000</v>
      </c>
      <c r="D813">
        <v>0</v>
      </c>
      <c r="E813">
        <f t="shared" si="24"/>
        <v>0</v>
      </c>
      <c r="F813">
        <f t="shared" si="25"/>
        <v>0.99989999999999435</v>
      </c>
    </row>
    <row r="814" spans="1:6" x14ac:dyDescent="0.25">
      <c r="A814" s="21">
        <v>39660797.490000002</v>
      </c>
      <c r="C814" s="7">
        <v>809000000</v>
      </c>
      <c r="D814">
        <v>0</v>
      </c>
      <c r="E814">
        <f t="shared" si="24"/>
        <v>0</v>
      </c>
      <c r="F814">
        <f t="shared" si="25"/>
        <v>0.99989999999999435</v>
      </c>
    </row>
    <row r="815" spans="1:6" x14ac:dyDescent="0.25">
      <c r="A815" s="21">
        <v>149111715.34</v>
      </c>
      <c r="C815" s="7">
        <v>810000000</v>
      </c>
      <c r="D815">
        <v>0</v>
      </c>
      <c r="E815">
        <f t="shared" si="24"/>
        <v>0</v>
      </c>
      <c r="F815">
        <f t="shared" si="25"/>
        <v>0.99989999999999435</v>
      </c>
    </row>
    <row r="816" spans="1:6" x14ac:dyDescent="0.25">
      <c r="A816" s="21">
        <v>17413849.52</v>
      </c>
      <c r="C816" s="7">
        <v>811000000</v>
      </c>
      <c r="D816">
        <v>0</v>
      </c>
      <c r="E816">
        <f t="shared" si="24"/>
        <v>0</v>
      </c>
      <c r="F816">
        <f t="shared" si="25"/>
        <v>0.99989999999999435</v>
      </c>
    </row>
    <row r="817" spans="1:6" x14ac:dyDescent="0.25">
      <c r="A817" s="21">
        <v>456997847.02999997</v>
      </c>
      <c r="C817" s="7">
        <v>812000000</v>
      </c>
      <c r="D817">
        <v>0</v>
      </c>
      <c r="E817">
        <f t="shared" si="24"/>
        <v>0</v>
      </c>
      <c r="F817">
        <f t="shared" si="25"/>
        <v>0.99989999999999435</v>
      </c>
    </row>
    <row r="818" spans="1:6" x14ac:dyDescent="0.25">
      <c r="A818" s="21">
        <v>3272267.94</v>
      </c>
      <c r="C818" s="7">
        <v>813000000</v>
      </c>
      <c r="D818">
        <v>0</v>
      </c>
      <c r="E818">
        <f t="shared" si="24"/>
        <v>0</v>
      </c>
      <c r="F818">
        <f t="shared" si="25"/>
        <v>0.99989999999999435</v>
      </c>
    </row>
    <row r="819" spans="1:6" x14ac:dyDescent="0.25">
      <c r="A819" s="21">
        <v>10016520.77</v>
      </c>
      <c r="C819" s="7">
        <v>814000000</v>
      </c>
      <c r="D819">
        <v>0</v>
      </c>
      <c r="E819">
        <f t="shared" si="24"/>
        <v>0</v>
      </c>
      <c r="F819">
        <f t="shared" si="25"/>
        <v>0.99989999999999435</v>
      </c>
    </row>
    <row r="820" spans="1:6" x14ac:dyDescent="0.25">
      <c r="A820" s="21">
        <v>97017877.879999995</v>
      </c>
      <c r="C820" s="7">
        <v>815000000</v>
      </c>
      <c r="D820">
        <v>0</v>
      </c>
      <c r="E820">
        <f t="shared" si="24"/>
        <v>0</v>
      </c>
      <c r="F820">
        <f t="shared" si="25"/>
        <v>0.99989999999999435</v>
      </c>
    </row>
    <row r="821" spans="1:6" x14ac:dyDescent="0.25">
      <c r="A821" s="21">
        <v>118961561.77</v>
      </c>
      <c r="C821" s="7">
        <v>816000000</v>
      </c>
      <c r="D821">
        <v>0</v>
      </c>
      <c r="E821">
        <f t="shared" si="24"/>
        <v>0</v>
      </c>
      <c r="F821">
        <f t="shared" si="25"/>
        <v>0.99989999999999435</v>
      </c>
    </row>
    <row r="822" spans="1:6" x14ac:dyDescent="0.25">
      <c r="A822" s="21">
        <v>48105114.840000004</v>
      </c>
      <c r="C822" s="7">
        <v>817000000</v>
      </c>
      <c r="D822">
        <v>0</v>
      </c>
      <c r="E822">
        <f t="shared" si="24"/>
        <v>0</v>
      </c>
      <c r="F822">
        <f t="shared" si="25"/>
        <v>0.99989999999999435</v>
      </c>
    </row>
    <row r="823" spans="1:6" x14ac:dyDescent="0.25">
      <c r="A823" s="21">
        <v>35582634.700000003</v>
      </c>
      <c r="C823" s="7">
        <v>818000000</v>
      </c>
      <c r="D823">
        <v>0</v>
      </c>
      <c r="E823">
        <f t="shared" si="24"/>
        <v>0</v>
      </c>
      <c r="F823">
        <f t="shared" si="25"/>
        <v>0.99989999999999435</v>
      </c>
    </row>
    <row r="824" spans="1:6" x14ac:dyDescent="0.25">
      <c r="A824" s="21">
        <v>56992615.109999999</v>
      </c>
      <c r="C824" s="7">
        <v>819000000</v>
      </c>
      <c r="D824">
        <v>0</v>
      </c>
      <c r="E824">
        <f t="shared" si="24"/>
        <v>0</v>
      </c>
      <c r="F824">
        <f t="shared" si="25"/>
        <v>0.99989999999999435</v>
      </c>
    </row>
    <row r="825" spans="1:6" x14ac:dyDescent="0.25">
      <c r="A825" s="21">
        <v>31039794.690000001</v>
      </c>
      <c r="C825" s="7">
        <v>820000000</v>
      </c>
      <c r="D825">
        <v>0</v>
      </c>
      <c r="E825">
        <f t="shared" si="24"/>
        <v>0</v>
      </c>
      <c r="F825">
        <f t="shared" si="25"/>
        <v>0.99989999999999435</v>
      </c>
    </row>
    <row r="826" spans="1:6" x14ac:dyDescent="0.25">
      <c r="A826" s="21">
        <v>50767729.899999999</v>
      </c>
      <c r="C826" s="7">
        <v>821000000</v>
      </c>
      <c r="D826">
        <v>0</v>
      </c>
      <c r="E826">
        <f t="shared" si="24"/>
        <v>0</v>
      </c>
      <c r="F826">
        <f t="shared" si="25"/>
        <v>0.99989999999999435</v>
      </c>
    </row>
    <row r="827" spans="1:6" x14ac:dyDescent="0.25">
      <c r="A827" s="21">
        <v>114568288.73999999</v>
      </c>
      <c r="C827" s="7">
        <v>822000000</v>
      </c>
      <c r="D827">
        <v>0</v>
      </c>
      <c r="E827">
        <f t="shared" si="24"/>
        <v>0</v>
      </c>
      <c r="F827">
        <f t="shared" si="25"/>
        <v>0.99989999999999435</v>
      </c>
    </row>
    <row r="828" spans="1:6" x14ac:dyDescent="0.25">
      <c r="A828" s="21">
        <v>54679597.420000002</v>
      </c>
      <c r="C828" s="7">
        <v>823000000</v>
      </c>
      <c r="D828">
        <v>0</v>
      </c>
      <c r="E828">
        <f t="shared" si="24"/>
        <v>0</v>
      </c>
      <c r="F828">
        <f t="shared" si="25"/>
        <v>0.99989999999999435</v>
      </c>
    </row>
    <row r="829" spans="1:6" x14ac:dyDescent="0.25">
      <c r="A829" s="21">
        <v>88495985.359999999</v>
      </c>
      <c r="C829" s="7">
        <v>824000000</v>
      </c>
      <c r="D829">
        <v>0</v>
      </c>
      <c r="E829">
        <f t="shared" si="24"/>
        <v>0</v>
      </c>
      <c r="F829">
        <f t="shared" si="25"/>
        <v>0.99989999999999435</v>
      </c>
    </row>
    <row r="830" spans="1:6" x14ac:dyDescent="0.25">
      <c r="A830" s="21">
        <v>38709381.939999998</v>
      </c>
      <c r="C830" s="7">
        <v>825000000</v>
      </c>
      <c r="D830">
        <v>0</v>
      </c>
      <c r="E830">
        <f t="shared" si="24"/>
        <v>0</v>
      </c>
      <c r="F830">
        <f t="shared" si="25"/>
        <v>0.99989999999999435</v>
      </c>
    </row>
    <row r="831" spans="1:6" x14ac:dyDescent="0.25">
      <c r="A831" s="21">
        <v>28649874.510000002</v>
      </c>
      <c r="C831" s="7">
        <v>826000000</v>
      </c>
      <c r="D831">
        <v>0</v>
      </c>
      <c r="E831">
        <f t="shared" si="24"/>
        <v>0</v>
      </c>
      <c r="F831">
        <f t="shared" si="25"/>
        <v>0.99989999999999435</v>
      </c>
    </row>
    <row r="832" spans="1:6" x14ac:dyDescent="0.25">
      <c r="A832" s="21">
        <v>122300584.65000001</v>
      </c>
      <c r="C832" s="7">
        <v>827000000</v>
      </c>
      <c r="D832">
        <v>0</v>
      </c>
      <c r="E832">
        <f t="shared" si="24"/>
        <v>0</v>
      </c>
      <c r="F832">
        <f t="shared" si="25"/>
        <v>0.99989999999999435</v>
      </c>
    </row>
    <row r="833" spans="1:6" x14ac:dyDescent="0.25">
      <c r="A833" s="21">
        <v>162978947.96000001</v>
      </c>
      <c r="C833" s="7">
        <v>828000000</v>
      </c>
      <c r="D833">
        <v>0</v>
      </c>
      <c r="E833">
        <f t="shared" si="24"/>
        <v>0</v>
      </c>
      <c r="F833">
        <f t="shared" si="25"/>
        <v>0.99989999999999435</v>
      </c>
    </row>
    <row r="834" spans="1:6" x14ac:dyDescent="0.25">
      <c r="A834" s="21">
        <v>76996944.730000004</v>
      </c>
      <c r="C834" s="7">
        <v>829000000</v>
      </c>
      <c r="D834">
        <v>0</v>
      </c>
      <c r="E834">
        <f t="shared" si="24"/>
        <v>0</v>
      </c>
      <c r="F834">
        <f t="shared" si="25"/>
        <v>0.99989999999999435</v>
      </c>
    </row>
    <row r="835" spans="1:6" x14ac:dyDescent="0.25">
      <c r="A835" s="21">
        <v>319586419.36000001</v>
      </c>
      <c r="C835" s="7">
        <v>830000000</v>
      </c>
      <c r="D835">
        <v>0</v>
      </c>
      <c r="E835">
        <f t="shared" si="24"/>
        <v>0</v>
      </c>
      <c r="F835">
        <f t="shared" si="25"/>
        <v>0.99989999999999435</v>
      </c>
    </row>
    <row r="836" spans="1:6" x14ac:dyDescent="0.25">
      <c r="A836" s="21">
        <v>17906387.899999999</v>
      </c>
      <c r="C836" s="7">
        <v>831000000</v>
      </c>
      <c r="D836">
        <v>0</v>
      </c>
      <c r="E836">
        <f t="shared" si="24"/>
        <v>0</v>
      </c>
      <c r="F836">
        <f t="shared" si="25"/>
        <v>0.99989999999999435</v>
      </c>
    </row>
    <row r="837" spans="1:6" x14ac:dyDescent="0.25">
      <c r="A837" s="21">
        <v>93470951.819999993</v>
      </c>
      <c r="C837" s="7">
        <v>832000000</v>
      </c>
      <c r="D837">
        <v>0</v>
      </c>
      <c r="E837">
        <f t="shared" si="24"/>
        <v>0</v>
      </c>
      <c r="F837">
        <f t="shared" si="25"/>
        <v>0.99989999999999435</v>
      </c>
    </row>
    <row r="838" spans="1:6" x14ac:dyDescent="0.25">
      <c r="A838" s="21">
        <v>78806521.340000004</v>
      </c>
      <c r="C838" s="7">
        <v>833000000</v>
      </c>
      <c r="D838">
        <v>0</v>
      </c>
      <c r="E838">
        <f t="shared" ref="E838:E869" si="26">D838/10000</f>
        <v>0</v>
      </c>
      <c r="F838">
        <f t="shared" si="25"/>
        <v>0.99989999999999435</v>
      </c>
    </row>
    <row r="839" spans="1:6" x14ac:dyDescent="0.25">
      <c r="A839" s="21">
        <v>72027558.060000002</v>
      </c>
      <c r="C839" s="7">
        <v>834000000</v>
      </c>
      <c r="D839">
        <v>0</v>
      </c>
      <c r="E839">
        <f t="shared" si="26"/>
        <v>0</v>
      </c>
      <c r="F839">
        <f t="shared" ref="F839:F869" si="27">E839+F838</f>
        <v>0.99989999999999435</v>
      </c>
    </row>
    <row r="840" spans="1:6" x14ac:dyDescent="0.25">
      <c r="A840" s="21">
        <v>31438023.84</v>
      </c>
      <c r="C840" s="7">
        <v>835000000</v>
      </c>
      <c r="D840">
        <v>0</v>
      </c>
      <c r="E840">
        <f t="shared" si="26"/>
        <v>0</v>
      </c>
      <c r="F840">
        <f t="shared" si="27"/>
        <v>0.99989999999999435</v>
      </c>
    </row>
    <row r="841" spans="1:6" x14ac:dyDescent="0.25">
      <c r="A841" s="21">
        <v>23670559.809999999</v>
      </c>
      <c r="C841" s="7">
        <v>836000000</v>
      </c>
      <c r="D841">
        <v>0</v>
      </c>
      <c r="E841">
        <f t="shared" si="26"/>
        <v>0</v>
      </c>
      <c r="F841">
        <f t="shared" si="27"/>
        <v>0.99989999999999435</v>
      </c>
    </row>
    <row r="842" spans="1:6" x14ac:dyDescent="0.25">
      <c r="A842" s="21">
        <v>26382662.890000001</v>
      </c>
      <c r="C842" s="7">
        <v>837000000</v>
      </c>
      <c r="D842">
        <v>0</v>
      </c>
      <c r="E842">
        <f t="shared" si="26"/>
        <v>0</v>
      </c>
      <c r="F842">
        <f t="shared" si="27"/>
        <v>0.99989999999999435</v>
      </c>
    </row>
    <row r="843" spans="1:6" x14ac:dyDescent="0.25">
      <c r="A843" s="21">
        <v>34740968.149999999</v>
      </c>
      <c r="C843" s="7">
        <v>838000000</v>
      </c>
      <c r="D843">
        <v>0</v>
      </c>
      <c r="E843">
        <f t="shared" si="26"/>
        <v>0</v>
      </c>
      <c r="F843">
        <f t="shared" si="27"/>
        <v>0.99989999999999435</v>
      </c>
    </row>
    <row r="844" spans="1:6" x14ac:dyDescent="0.25">
      <c r="A844" s="21">
        <v>229083140.28</v>
      </c>
      <c r="C844" s="7">
        <v>839000000</v>
      </c>
      <c r="D844">
        <v>0</v>
      </c>
      <c r="E844">
        <f t="shared" si="26"/>
        <v>0</v>
      </c>
      <c r="F844">
        <f t="shared" si="27"/>
        <v>0.99989999999999435</v>
      </c>
    </row>
    <row r="845" spans="1:6" x14ac:dyDescent="0.25">
      <c r="A845" s="21">
        <v>10600222.35</v>
      </c>
      <c r="C845" s="7">
        <v>840000000</v>
      </c>
      <c r="D845">
        <v>0</v>
      </c>
      <c r="E845">
        <f t="shared" si="26"/>
        <v>0</v>
      </c>
      <c r="F845">
        <f t="shared" si="27"/>
        <v>0.99989999999999435</v>
      </c>
    </row>
    <row r="846" spans="1:6" x14ac:dyDescent="0.25">
      <c r="A846" s="21">
        <v>82544323.099999905</v>
      </c>
      <c r="C846" s="7">
        <v>841000000</v>
      </c>
      <c r="D846">
        <v>0</v>
      </c>
      <c r="E846">
        <f t="shared" si="26"/>
        <v>0</v>
      </c>
      <c r="F846">
        <f t="shared" si="27"/>
        <v>0.99989999999999435</v>
      </c>
    </row>
    <row r="847" spans="1:6" x14ac:dyDescent="0.25">
      <c r="A847" s="21">
        <v>15443260.439999999</v>
      </c>
      <c r="C847" s="7">
        <v>842000000</v>
      </c>
      <c r="D847">
        <v>0</v>
      </c>
      <c r="E847">
        <f t="shared" si="26"/>
        <v>0</v>
      </c>
      <c r="F847">
        <f t="shared" si="27"/>
        <v>0.99989999999999435</v>
      </c>
    </row>
    <row r="848" spans="1:6" x14ac:dyDescent="0.25">
      <c r="A848" s="21">
        <v>20101937.149999999</v>
      </c>
      <c r="C848" s="7">
        <v>843000000</v>
      </c>
      <c r="D848">
        <v>0</v>
      </c>
      <c r="E848">
        <f t="shared" si="26"/>
        <v>0</v>
      </c>
      <c r="F848">
        <f t="shared" si="27"/>
        <v>0.99989999999999435</v>
      </c>
    </row>
    <row r="849" spans="1:6" x14ac:dyDescent="0.25">
      <c r="A849" s="21">
        <v>499760220.14999998</v>
      </c>
      <c r="C849" s="7">
        <v>844000000</v>
      </c>
      <c r="D849">
        <v>0</v>
      </c>
      <c r="E849">
        <f t="shared" si="26"/>
        <v>0</v>
      </c>
      <c r="F849">
        <f t="shared" si="27"/>
        <v>0.99989999999999435</v>
      </c>
    </row>
    <row r="850" spans="1:6" x14ac:dyDescent="0.25">
      <c r="A850" s="21">
        <v>25771596.75</v>
      </c>
      <c r="C850" s="7">
        <v>845000000</v>
      </c>
      <c r="D850">
        <v>0</v>
      </c>
      <c r="E850">
        <f t="shared" si="26"/>
        <v>0</v>
      </c>
      <c r="F850">
        <f t="shared" si="27"/>
        <v>0.99989999999999435</v>
      </c>
    </row>
    <row r="851" spans="1:6" x14ac:dyDescent="0.25">
      <c r="A851" s="21">
        <v>42184266.560000002</v>
      </c>
      <c r="C851" s="7">
        <v>846000000</v>
      </c>
      <c r="D851">
        <v>0</v>
      </c>
      <c r="E851">
        <f t="shared" si="26"/>
        <v>0</v>
      </c>
      <c r="F851">
        <f t="shared" si="27"/>
        <v>0.99989999999999435</v>
      </c>
    </row>
    <row r="852" spans="1:6" x14ac:dyDescent="0.25">
      <c r="A852" s="21">
        <v>9809211.5999999996</v>
      </c>
      <c r="C852" s="7">
        <v>847000000</v>
      </c>
      <c r="D852">
        <v>0</v>
      </c>
      <c r="E852">
        <f t="shared" si="26"/>
        <v>0</v>
      </c>
      <c r="F852">
        <f t="shared" si="27"/>
        <v>0.99989999999999435</v>
      </c>
    </row>
    <row r="853" spans="1:6" x14ac:dyDescent="0.25">
      <c r="A853" s="21">
        <v>353875802.23000002</v>
      </c>
      <c r="C853" s="7">
        <v>848000000</v>
      </c>
      <c r="D853">
        <v>0</v>
      </c>
      <c r="E853">
        <f t="shared" si="26"/>
        <v>0</v>
      </c>
      <c r="F853">
        <f t="shared" si="27"/>
        <v>0.99989999999999435</v>
      </c>
    </row>
    <row r="854" spans="1:6" x14ac:dyDescent="0.25">
      <c r="A854" s="21">
        <v>108869059.55</v>
      </c>
      <c r="C854" s="7">
        <v>849000000</v>
      </c>
      <c r="D854">
        <v>0</v>
      </c>
      <c r="E854">
        <f t="shared" si="26"/>
        <v>0</v>
      </c>
      <c r="F854">
        <f t="shared" si="27"/>
        <v>0.99989999999999435</v>
      </c>
    </row>
    <row r="855" spans="1:6" x14ac:dyDescent="0.25">
      <c r="A855" s="21">
        <v>48912058.030000001</v>
      </c>
      <c r="C855" s="7">
        <v>850000000</v>
      </c>
      <c r="D855">
        <v>0</v>
      </c>
      <c r="E855">
        <f t="shared" si="26"/>
        <v>0</v>
      </c>
      <c r="F855">
        <f t="shared" si="27"/>
        <v>0.99989999999999435</v>
      </c>
    </row>
    <row r="856" spans="1:6" x14ac:dyDescent="0.25">
      <c r="A856" s="21">
        <v>3467254.02</v>
      </c>
      <c r="C856" s="7">
        <v>851000000</v>
      </c>
      <c r="D856">
        <v>0</v>
      </c>
      <c r="E856">
        <f t="shared" si="26"/>
        <v>0</v>
      </c>
      <c r="F856">
        <f t="shared" si="27"/>
        <v>0.99989999999999435</v>
      </c>
    </row>
    <row r="857" spans="1:6" x14ac:dyDescent="0.25">
      <c r="A857" s="21">
        <v>30424968.68</v>
      </c>
      <c r="C857" s="7">
        <v>852000000</v>
      </c>
      <c r="D857">
        <v>0</v>
      </c>
      <c r="E857">
        <f t="shared" si="26"/>
        <v>0</v>
      </c>
      <c r="F857">
        <f t="shared" si="27"/>
        <v>0.99989999999999435</v>
      </c>
    </row>
    <row r="858" spans="1:6" x14ac:dyDescent="0.25">
      <c r="A858" s="21">
        <v>148003451.78999999</v>
      </c>
      <c r="C858" s="7">
        <v>853000000</v>
      </c>
      <c r="D858">
        <v>0</v>
      </c>
      <c r="E858">
        <f t="shared" si="26"/>
        <v>0</v>
      </c>
      <c r="F858">
        <f t="shared" si="27"/>
        <v>0.99989999999999435</v>
      </c>
    </row>
    <row r="859" spans="1:6" x14ac:dyDescent="0.25">
      <c r="A859" s="21">
        <v>12034609.5</v>
      </c>
      <c r="C859" s="7">
        <v>854000000</v>
      </c>
      <c r="D859">
        <v>0</v>
      </c>
      <c r="E859">
        <f t="shared" si="26"/>
        <v>0</v>
      </c>
      <c r="F859">
        <f t="shared" si="27"/>
        <v>0.99989999999999435</v>
      </c>
    </row>
    <row r="860" spans="1:6" x14ac:dyDescent="0.25">
      <c r="A860" s="21">
        <v>10038903.460000001</v>
      </c>
      <c r="C860" s="7">
        <v>855000000</v>
      </c>
      <c r="D860">
        <v>0</v>
      </c>
      <c r="E860">
        <f t="shared" si="26"/>
        <v>0</v>
      </c>
      <c r="F860">
        <f t="shared" si="27"/>
        <v>0.99989999999999435</v>
      </c>
    </row>
    <row r="861" spans="1:6" x14ac:dyDescent="0.25">
      <c r="A861" s="21">
        <v>56212562.880000003</v>
      </c>
      <c r="C861" s="7">
        <v>856000000</v>
      </c>
      <c r="D861">
        <v>0</v>
      </c>
      <c r="E861">
        <f t="shared" si="26"/>
        <v>0</v>
      </c>
      <c r="F861">
        <f t="shared" si="27"/>
        <v>0.99989999999999435</v>
      </c>
    </row>
    <row r="862" spans="1:6" x14ac:dyDescent="0.25">
      <c r="A862" s="21">
        <v>37268549.210000001</v>
      </c>
      <c r="C862" s="7">
        <v>857000000</v>
      </c>
      <c r="D862">
        <v>0</v>
      </c>
      <c r="E862">
        <f t="shared" si="26"/>
        <v>0</v>
      </c>
      <c r="F862">
        <f t="shared" si="27"/>
        <v>0.99989999999999435</v>
      </c>
    </row>
    <row r="863" spans="1:6" x14ac:dyDescent="0.25">
      <c r="A863" s="21">
        <v>188324030.84999999</v>
      </c>
      <c r="C863" s="7">
        <v>858000000</v>
      </c>
      <c r="D863">
        <v>0</v>
      </c>
      <c r="E863">
        <f t="shared" si="26"/>
        <v>0</v>
      </c>
      <c r="F863">
        <f t="shared" si="27"/>
        <v>0.99989999999999435</v>
      </c>
    </row>
    <row r="864" spans="1:6" x14ac:dyDescent="0.25">
      <c r="A864" s="21">
        <v>33906244.960000001</v>
      </c>
      <c r="C864" s="7">
        <v>859000000</v>
      </c>
      <c r="D864">
        <v>0</v>
      </c>
      <c r="E864">
        <f t="shared" si="26"/>
        <v>0</v>
      </c>
      <c r="F864">
        <f t="shared" si="27"/>
        <v>0.99989999999999435</v>
      </c>
    </row>
    <row r="865" spans="1:6" x14ac:dyDescent="0.25">
      <c r="A865" s="21">
        <v>197988867.53999999</v>
      </c>
      <c r="C865" s="7">
        <v>860000000</v>
      </c>
      <c r="D865">
        <v>0</v>
      </c>
      <c r="E865">
        <f t="shared" si="26"/>
        <v>0</v>
      </c>
      <c r="F865">
        <f t="shared" si="27"/>
        <v>0.99989999999999435</v>
      </c>
    </row>
    <row r="866" spans="1:6" x14ac:dyDescent="0.25">
      <c r="A866" s="21">
        <v>17845693.43</v>
      </c>
      <c r="C866" s="7">
        <v>861000000</v>
      </c>
      <c r="D866">
        <v>0</v>
      </c>
      <c r="E866">
        <f t="shared" si="26"/>
        <v>0</v>
      </c>
      <c r="F866">
        <f t="shared" si="27"/>
        <v>0.99989999999999435</v>
      </c>
    </row>
    <row r="867" spans="1:6" x14ac:dyDescent="0.25">
      <c r="A867" s="21">
        <v>18767095.300000001</v>
      </c>
      <c r="C867" s="7">
        <v>862000000</v>
      </c>
      <c r="D867">
        <v>0</v>
      </c>
      <c r="E867">
        <f t="shared" si="26"/>
        <v>0</v>
      </c>
      <c r="F867">
        <f t="shared" si="27"/>
        <v>0.99989999999999435</v>
      </c>
    </row>
    <row r="868" spans="1:6" x14ac:dyDescent="0.25">
      <c r="A868" s="21">
        <v>4184897.72</v>
      </c>
      <c r="C868" s="7">
        <v>863000000</v>
      </c>
      <c r="D868">
        <v>0</v>
      </c>
      <c r="E868">
        <f t="shared" si="26"/>
        <v>0</v>
      </c>
      <c r="F868">
        <f t="shared" si="27"/>
        <v>0.99989999999999435</v>
      </c>
    </row>
    <row r="869" spans="1:6" x14ac:dyDescent="0.25">
      <c r="A869" s="21">
        <v>18874174.809999999</v>
      </c>
      <c r="C869" s="7">
        <v>864000000</v>
      </c>
      <c r="D869">
        <v>1</v>
      </c>
      <c r="E869">
        <f t="shared" si="26"/>
        <v>1E-4</v>
      </c>
      <c r="F869">
        <f t="shared" si="27"/>
        <v>0.99999999999999434</v>
      </c>
    </row>
    <row r="870" spans="1:6" x14ac:dyDescent="0.25">
      <c r="A870" s="21">
        <v>6938859.6900000004</v>
      </c>
    </row>
    <row r="871" spans="1:6" x14ac:dyDescent="0.25">
      <c r="A871" s="21">
        <v>25916811.239999998</v>
      </c>
    </row>
    <row r="872" spans="1:6" x14ac:dyDescent="0.25">
      <c r="A872" s="21">
        <v>60217932.709999897</v>
      </c>
    </row>
    <row r="873" spans="1:6" x14ac:dyDescent="0.25">
      <c r="A873" s="21">
        <v>55462683.799999997</v>
      </c>
    </row>
    <row r="874" spans="1:6" x14ac:dyDescent="0.25">
      <c r="A874">
        <v>0</v>
      </c>
    </row>
    <row r="875" spans="1:6" x14ac:dyDescent="0.25">
      <c r="A875" s="21">
        <v>9788839.2300000004</v>
      </c>
    </row>
    <row r="876" spans="1:6" x14ac:dyDescent="0.25">
      <c r="A876" s="21">
        <v>80197019.75</v>
      </c>
    </row>
    <row r="877" spans="1:6" x14ac:dyDescent="0.25">
      <c r="A877" s="21">
        <v>19558894.210000001</v>
      </c>
    </row>
    <row r="878" spans="1:6" x14ac:dyDescent="0.25">
      <c r="A878" s="21">
        <v>44707475.049999997</v>
      </c>
    </row>
    <row r="879" spans="1:6" x14ac:dyDescent="0.25">
      <c r="A879" s="21">
        <v>77441781.569999993</v>
      </c>
    </row>
    <row r="880" spans="1:6" x14ac:dyDescent="0.25">
      <c r="A880" s="21">
        <v>24035854.199999999</v>
      </c>
    </row>
    <row r="881" spans="1:1" x14ac:dyDescent="0.25">
      <c r="A881" s="21">
        <v>77198110.709999904</v>
      </c>
    </row>
    <row r="882" spans="1:1" x14ac:dyDescent="0.25">
      <c r="A882" s="21">
        <v>107219166.27</v>
      </c>
    </row>
    <row r="883" spans="1:1" x14ac:dyDescent="0.25">
      <c r="A883" s="21">
        <v>17729925.27</v>
      </c>
    </row>
    <row r="884" spans="1:1" x14ac:dyDescent="0.25">
      <c r="A884" s="21">
        <v>65860985.549999997</v>
      </c>
    </row>
    <row r="885" spans="1:1" x14ac:dyDescent="0.25">
      <c r="A885" s="21">
        <v>342736502.56</v>
      </c>
    </row>
    <row r="886" spans="1:1" x14ac:dyDescent="0.25">
      <c r="A886" s="21">
        <v>213820697.88999999</v>
      </c>
    </row>
    <row r="887" spans="1:1" x14ac:dyDescent="0.25">
      <c r="A887" s="21">
        <v>90309475.849999905</v>
      </c>
    </row>
    <row r="888" spans="1:1" x14ac:dyDescent="0.25">
      <c r="A888" s="21">
        <v>213129071.83000001</v>
      </c>
    </row>
    <row r="889" spans="1:1" x14ac:dyDescent="0.25">
      <c r="A889" s="21">
        <v>89831298.259999901</v>
      </c>
    </row>
    <row r="890" spans="1:1" x14ac:dyDescent="0.25">
      <c r="A890" s="21">
        <v>67452020.549999997</v>
      </c>
    </row>
    <row r="891" spans="1:1" x14ac:dyDescent="0.25">
      <c r="A891" s="21">
        <v>92968346.810000002</v>
      </c>
    </row>
    <row r="892" spans="1:1" x14ac:dyDescent="0.25">
      <c r="A892" s="21">
        <v>81281292.400000006</v>
      </c>
    </row>
    <row r="893" spans="1:1" x14ac:dyDescent="0.25">
      <c r="A893" s="21">
        <v>348932652.83999997</v>
      </c>
    </row>
    <row r="894" spans="1:1" x14ac:dyDescent="0.25">
      <c r="A894" s="21">
        <v>139587445.68000001</v>
      </c>
    </row>
    <row r="895" spans="1:1" x14ac:dyDescent="0.25">
      <c r="A895" s="21">
        <v>58511993.189999998</v>
      </c>
    </row>
    <row r="896" spans="1:1" x14ac:dyDescent="0.25">
      <c r="A896" s="21">
        <v>53756169.399999999</v>
      </c>
    </row>
    <row r="897" spans="1:1" x14ac:dyDescent="0.25">
      <c r="A897" s="21">
        <v>44191830.909999996</v>
      </c>
    </row>
    <row r="898" spans="1:1" x14ac:dyDescent="0.25">
      <c r="A898" s="21">
        <v>581364453.32999897</v>
      </c>
    </row>
    <row r="899" spans="1:1" x14ac:dyDescent="0.25">
      <c r="A899">
        <v>147921150</v>
      </c>
    </row>
    <row r="900" spans="1:1" x14ac:dyDescent="0.25">
      <c r="A900" s="21">
        <v>19426539.829999998</v>
      </c>
    </row>
    <row r="901" spans="1:1" x14ac:dyDescent="0.25">
      <c r="A901" s="21">
        <v>26312974.350000001</v>
      </c>
    </row>
    <row r="902" spans="1:1" x14ac:dyDescent="0.25">
      <c r="A902" s="21">
        <v>51611673.210000001</v>
      </c>
    </row>
    <row r="903" spans="1:1" x14ac:dyDescent="0.25">
      <c r="A903" s="21">
        <v>149328551.34999999</v>
      </c>
    </row>
    <row r="904" spans="1:1" x14ac:dyDescent="0.25">
      <c r="A904" s="21">
        <v>13120738.970000001</v>
      </c>
    </row>
    <row r="905" spans="1:1" x14ac:dyDescent="0.25">
      <c r="A905" s="21">
        <v>62387038.93</v>
      </c>
    </row>
    <row r="906" spans="1:1" x14ac:dyDescent="0.25">
      <c r="A906" s="21">
        <v>84115507.780000001</v>
      </c>
    </row>
    <row r="907" spans="1:1" x14ac:dyDescent="0.25">
      <c r="A907" s="21">
        <v>30564911.789999999</v>
      </c>
    </row>
    <row r="908" spans="1:1" x14ac:dyDescent="0.25">
      <c r="A908" s="21">
        <v>28368457.489999998</v>
      </c>
    </row>
    <row r="909" spans="1:1" x14ac:dyDescent="0.25">
      <c r="A909" s="21">
        <v>39480170.920000002</v>
      </c>
    </row>
    <row r="910" spans="1:1" x14ac:dyDescent="0.25">
      <c r="A910">
        <v>0</v>
      </c>
    </row>
    <row r="911" spans="1:1" x14ac:dyDescent="0.25">
      <c r="A911" s="21">
        <v>16420618.689999999</v>
      </c>
    </row>
    <row r="912" spans="1:1" x14ac:dyDescent="0.25">
      <c r="A912" s="21">
        <v>31163011.809999999</v>
      </c>
    </row>
    <row r="913" spans="1:1" x14ac:dyDescent="0.25">
      <c r="A913" s="21">
        <v>83232552.399999902</v>
      </c>
    </row>
    <row r="914" spans="1:1" x14ac:dyDescent="0.25">
      <c r="A914" s="21">
        <v>45663538.729999997</v>
      </c>
    </row>
    <row r="915" spans="1:1" x14ac:dyDescent="0.25">
      <c r="A915" s="21">
        <v>113549503.45999999</v>
      </c>
    </row>
    <row r="916" spans="1:1" x14ac:dyDescent="0.25">
      <c r="A916" s="21">
        <v>90349335.200000003</v>
      </c>
    </row>
    <row r="917" spans="1:1" x14ac:dyDescent="0.25">
      <c r="A917" s="21">
        <v>113797414.16</v>
      </c>
    </row>
    <row r="918" spans="1:1" x14ac:dyDescent="0.25">
      <c r="A918" s="21">
        <v>52729875.039999999</v>
      </c>
    </row>
    <row r="919" spans="1:1" x14ac:dyDescent="0.25">
      <c r="A919" s="21">
        <v>122062940.38</v>
      </c>
    </row>
    <row r="920" spans="1:1" x14ac:dyDescent="0.25">
      <c r="A920" s="21">
        <v>38099155.770000003</v>
      </c>
    </row>
    <row r="921" spans="1:1" x14ac:dyDescent="0.25">
      <c r="A921" s="21">
        <v>22605993.850000001</v>
      </c>
    </row>
    <row r="922" spans="1:1" x14ac:dyDescent="0.25">
      <c r="A922">
        <v>77967743</v>
      </c>
    </row>
    <row r="923" spans="1:1" x14ac:dyDescent="0.25">
      <c r="A923" s="21">
        <v>69723511.560000002</v>
      </c>
    </row>
    <row r="924" spans="1:1" x14ac:dyDescent="0.25">
      <c r="A924" s="21">
        <v>59352875.049999997</v>
      </c>
    </row>
    <row r="925" spans="1:1" x14ac:dyDescent="0.25">
      <c r="A925" s="21">
        <v>20802081.050000001</v>
      </c>
    </row>
    <row r="926" spans="1:1" x14ac:dyDescent="0.25">
      <c r="A926" s="21">
        <v>193497121.88</v>
      </c>
    </row>
    <row r="927" spans="1:1" x14ac:dyDescent="0.25">
      <c r="A927" s="21">
        <v>2989253.24</v>
      </c>
    </row>
    <row r="928" spans="1:1" x14ac:dyDescent="0.25">
      <c r="A928" s="21">
        <v>232803777.44999999</v>
      </c>
    </row>
    <row r="929" spans="1:1" x14ac:dyDescent="0.25">
      <c r="A929" s="21">
        <v>101649972.54000001</v>
      </c>
    </row>
    <row r="930" spans="1:1" x14ac:dyDescent="0.25">
      <c r="A930" s="21">
        <v>173354381.28999999</v>
      </c>
    </row>
    <row r="931" spans="1:1" x14ac:dyDescent="0.25">
      <c r="A931" s="21">
        <v>497311063.80000001</v>
      </c>
    </row>
    <row r="932" spans="1:1" x14ac:dyDescent="0.25">
      <c r="A932" s="21">
        <v>197974321.72999999</v>
      </c>
    </row>
    <row r="933" spans="1:1" x14ac:dyDescent="0.25">
      <c r="A933" s="21">
        <v>32718938.609999999</v>
      </c>
    </row>
    <row r="934" spans="1:1" x14ac:dyDescent="0.25">
      <c r="A934" s="21">
        <v>78040596.739999995</v>
      </c>
    </row>
    <row r="935" spans="1:1" x14ac:dyDescent="0.25">
      <c r="A935" s="21">
        <v>92311555.900000006</v>
      </c>
    </row>
    <row r="936" spans="1:1" x14ac:dyDescent="0.25">
      <c r="A936" s="21">
        <v>50896554.100000001</v>
      </c>
    </row>
    <row r="937" spans="1:1" x14ac:dyDescent="0.25">
      <c r="A937" s="21">
        <v>5254581.75</v>
      </c>
    </row>
    <row r="938" spans="1:1" x14ac:dyDescent="0.25">
      <c r="A938" s="21">
        <v>21833828.559999999</v>
      </c>
    </row>
    <row r="939" spans="1:1" x14ac:dyDescent="0.25">
      <c r="A939" s="21">
        <v>63266049.560000002</v>
      </c>
    </row>
    <row r="940" spans="1:1" x14ac:dyDescent="0.25">
      <c r="A940" s="21">
        <v>34634521.539999999</v>
      </c>
    </row>
    <row r="941" spans="1:1" x14ac:dyDescent="0.25">
      <c r="A941" s="21">
        <v>92657549.859999999</v>
      </c>
    </row>
    <row r="942" spans="1:1" x14ac:dyDescent="0.25">
      <c r="A942" s="21">
        <v>131834697.56999999</v>
      </c>
    </row>
    <row r="943" spans="1:1" x14ac:dyDescent="0.25">
      <c r="A943" s="21">
        <v>169017636.41</v>
      </c>
    </row>
    <row r="944" spans="1:1" x14ac:dyDescent="0.25">
      <c r="A944" s="21">
        <v>257236105.47</v>
      </c>
    </row>
    <row r="945" spans="1:1" x14ac:dyDescent="0.25">
      <c r="A945" s="21">
        <v>2747989.59</v>
      </c>
    </row>
    <row r="946" spans="1:1" x14ac:dyDescent="0.25">
      <c r="A946" s="21">
        <v>2897647.49</v>
      </c>
    </row>
    <row r="947" spans="1:1" x14ac:dyDescent="0.25">
      <c r="A947" s="21">
        <v>21970665.879999999</v>
      </c>
    </row>
    <row r="948" spans="1:1" x14ac:dyDescent="0.25">
      <c r="A948" s="21">
        <v>142126005.59999999</v>
      </c>
    </row>
    <row r="949" spans="1:1" x14ac:dyDescent="0.25">
      <c r="A949" s="21">
        <v>93038538.7299999</v>
      </c>
    </row>
    <row r="950" spans="1:1" x14ac:dyDescent="0.25">
      <c r="A950" s="21">
        <v>378413691.13</v>
      </c>
    </row>
    <row r="951" spans="1:1" x14ac:dyDescent="0.25">
      <c r="A951" s="21">
        <v>153834342.06</v>
      </c>
    </row>
    <row r="952" spans="1:1" x14ac:dyDescent="0.25">
      <c r="A952" s="21">
        <v>124633009.59999999</v>
      </c>
    </row>
    <row r="953" spans="1:1" x14ac:dyDescent="0.25">
      <c r="A953" s="21">
        <v>13250960.25</v>
      </c>
    </row>
    <row r="954" spans="1:1" x14ac:dyDescent="0.25">
      <c r="A954" s="21">
        <v>61912660.670000002</v>
      </c>
    </row>
    <row r="955" spans="1:1" x14ac:dyDescent="0.25">
      <c r="A955" s="21">
        <v>60561767.899999999</v>
      </c>
    </row>
    <row r="956" spans="1:1" x14ac:dyDescent="0.25">
      <c r="A956" s="21">
        <v>34107957.640000001</v>
      </c>
    </row>
    <row r="957" spans="1:1" x14ac:dyDescent="0.25">
      <c r="A957" s="21">
        <v>30247384.920000002</v>
      </c>
    </row>
    <row r="958" spans="1:1" x14ac:dyDescent="0.25">
      <c r="A958" s="21">
        <v>130979012.97</v>
      </c>
    </row>
    <row r="959" spans="1:1" x14ac:dyDescent="0.25">
      <c r="A959" s="21">
        <v>54536776.719999999</v>
      </c>
    </row>
    <row r="960" spans="1:1" x14ac:dyDescent="0.25">
      <c r="A960" s="21">
        <v>66868369.909999996</v>
      </c>
    </row>
    <row r="961" spans="1:1" x14ac:dyDescent="0.25">
      <c r="A961" s="21">
        <v>14792959.93</v>
      </c>
    </row>
    <row r="962" spans="1:1" x14ac:dyDescent="0.25">
      <c r="A962" s="21">
        <v>102342416.22</v>
      </c>
    </row>
    <row r="963" spans="1:1" x14ac:dyDescent="0.25">
      <c r="A963" s="21">
        <v>53739113.57</v>
      </c>
    </row>
    <row r="964" spans="1:1" x14ac:dyDescent="0.25">
      <c r="A964" s="21">
        <v>14454674.25</v>
      </c>
    </row>
    <row r="965" spans="1:1" x14ac:dyDescent="0.25">
      <c r="A965">
        <v>0</v>
      </c>
    </row>
    <row r="966" spans="1:1" x14ac:dyDescent="0.25">
      <c r="A966" s="21">
        <v>4553626.1900000004</v>
      </c>
    </row>
    <row r="967" spans="1:1" x14ac:dyDescent="0.25">
      <c r="A967" s="21">
        <v>43693363.030000001</v>
      </c>
    </row>
    <row r="968" spans="1:1" x14ac:dyDescent="0.25">
      <c r="A968">
        <v>0</v>
      </c>
    </row>
    <row r="969" spans="1:1" x14ac:dyDescent="0.25">
      <c r="A969" s="21">
        <v>340770689.31999999</v>
      </c>
    </row>
    <row r="970" spans="1:1" x14ac:dyDescent="0.25">
      <c r="A970" s="21">
        <v>11772520.42</v>
      </c>
    </row>
    <row r="971" spans="1:1" x14ac:dyDescent="0.25">
      <c r="A971" s="21">
        <v>76370655.599999905</v>
      </c>
    </row>
    <row r="972" spans="1:1" x14ac:dyDescent="0.25">
      <c r="A972" s="21">
        <v>337868157.55000001</v>
      </c>
    </row>
    <row r="973" spans="1:1" x14ac:dyDescent="0.25">
      <c r="A973" s="21">
        <v>31052705.02</v>
      </c>
    </row>
    <row r="974" spans="1:1" x14ac:dyDescent="0.25">
      <c r="A974" s="21">
        <v>50541086.539999999</v>
      </c>
    </row>
    <row r="975" spans="1:1" x14ac:dyDescent="0.25">
      <c r="A975" s="21">
        <v>81171917.980000004</v>
      </c>
    </row>
    <row r="976" spans="1:1" x14ac:dyDescent="0.25">
      <c r="A976" s="21">
        <v>19799865.43</v>
      </c>
    </row>
    <row r="977" spans="1:1" x14ac:dyDescent="0.25">
      <c r="A977" s="21">
        <v>41178312.880000003</v>
      </c>
    </row>
    <row r="978" spans="1:1" x14ac:dyDescent="0.25">
      <c r="A978">
        <v>0</v>
      </c>
    </row>
    <row r="979" spans="1:1" x14ac:dyDescent="0.25">
      <c r="A979" s="21">
        <v>13663985.25</v>
      </c>
    </row>
    <row r="980" spans="1:1" x14ac:dyDescent="0.25">
      <c r="A980" s="21">
        <v>26568787.579999998</v>
      </c>
    </row>
    <row r="981" spans="1:1" x14ac:dyDescent="0.25">
      <c r="A981" s="21">
        <v>32702028.670000002</v>
      </c>
    </row>
    <row r="982" spans="1:1" x14ac:dyDescent="0.25">
      <c r="A982" s="21">
        <v>103219519.98999999</v>
      </c>
    </row>
    <row r="983" spans="1:1" x14ac:dyDescent="0.25">
      <c r="A983" s="21">
        <v>84913371.680000007</v>
      </c>
    </row>
    <row r="984" spans="1:1" x14ac:dyDescent="0.25">
      <c r="A984" s="21">
        <v>161208108.84999999</v>
      </c>
    </row>
    <row r="985" spans="1:1" x14ac:dyDescent="0.25">
      <c r="A985">
        <v>5571081</v>
      </c>
    </row>
    <row r="986" spans="1:1" x14ac:dyDescent="0.25">
      <c r="A986" s="21">
        <v>18382959.640000001</v>
      </c>
    </row>
    <row r="987" spans="1:1" x14ac:dyDescent="0.25">
      <c r="A987" s="21">
        <v>98512756.209999904</v>
      </c>
    </row>
    <row r="988" spans="1:1" x14ac:dyDescent="0.25">
      <c r="A988" s="21">
        <v>294299454.08999997</v>
      </c>
    </row>
    <row r="989" spans="1:1" x14ac:dyDescent="0.25">
      <c r="A989" s="21">
        <v>8076104.96</v>
      </c>
    </row>
    <row r="990" spans="1:1" x14ac:dyDescent="0.25">
      <c r="A990" s="21">
        <v>56280394.229999997</v>
      </c>
    </row>
    <row r="991" spans="1:1" x14ac:dyDescent="0.25">
      <c r="A991" s="21">
        <v>130373625.06</v>
      </c>
    </row>
    <row r="992" spans="1:1" x14ac:dyDescent="0.25">
      <c r="A992" s="21">
        <v>79786365.120000005</v>
      </c>
    </row>
    <row r="993" spans="1:1" x14ac:dyDescent="0.25">
      <c r="A993" s="21">
        <v>167150959.68000001</v>
      </c>
    </row>
    <row r="994" spans="1:1" x14ac:dyDescent="0.25">
      <c r="A994" s="21">
        <v>17171621.530000001</v>
      </c>
    </row>
    <row r="995" spans="1:1" x14ac:dyDescent="0.25">
      <c r="A995">
        <v>0</v>
      </c>
    </row>
    <row r="996" spans="1:1" x14ac:dyDescent="0.25">
      <c r="A996" s="21">
        <v>3806064.98</v>
      </c>
    </row>
    <row r="997" spans="1:1" x14ac:dyDescent="0.25">
      <c r="A997" s="21">
        <v>21342842.289999999</v>
      </c>
    </row>
    <row r="998" spans="1:1" x14ac:dyDescent="0.25">
      <c r="A998" s="21">
        <v>80122562.459999993</v>
      </c>
    </row>
    <row r="999" spans="1:1" x14ac:dyDescent="0.25">
      <c r="A999" s="21">
        <v>59545653.619999997</v>
      </c>
    </row>
    <row r="1000" spans="1:1" x14ac:dyDescent="0.25">
      <c r="A1000" s="21">
        <v>5990513.25</v>
      </c>
    </row>
    <row r="1001" spans="1:1" x14ac:dyDescent="0.25">
      <c r="A1001" s="21">
        <v>354438244.98000002</v>
      </c>
    </row>
    <row r="1002" spans="1:1" x14ac:dyDescent="0.25">
      <c r="A1002" s="21">
        <v>12745509.18</v>
      </c>
    </row>
    <row r="1003" spans="1:1" x14ac:dyDescent="0.25">
      <c r="A1003" s="21">
        <v>30284101.039999999</v>
      </c>
    </row>
    <row r="1004" spans="1:1" x14ac:dyDescent="0.25">
      <c r="A1004" s="21">
        <v>58038259.219999999</v>
      </c>
    </row>
    <row r="1005" spans="1:1" x14ac:dyDescent="0.25">
      <c r="A1005" s="21">
        <v>13049727.560000001</v>
      </c>
    </row>
    <row r="1006" spans="1:1" x14ac:dyDescent="0.25">
      <c r="A1006" s="21">
        <v>52666509.259999998</v>
      </c>
    </row>
    <row r="1007" spans="1:1" x14ac:dyDescent="0.25">
      <c r="A1007" s="21">
        <v>88106631.959999993</v>
      </c>
    </row>
    <row r="1008" spans="1:1" x14ac:dyDescent="0.25">
      <c r="A1008" s="21">
        <v>75973246.969999999</v>
      </c>
    </row>
    <row r="1009" spans="1:1" x14ac:dyDescent="0.25">
      <c r="A1009" s="21">
        <v>40671245.159999996</v>
      </c>
    </row>
    <row r="1010" spans="1:1" x14ac:dyDescent="0.25">
      <c r="A1010" s="21">
        <v>21265466.93</v>
      </c>
    </row>
    <row r="1011" spans="1:1" x14ac:dyDescent="0.25">
      <c r="A1011" s="21">
        <v>15491754.039999999</v>
      </c>
    </row>
    <row r="1012" spans="1:1" x14ac:dyDescent="0.25">
      <c r="A1012" s="21">
        <v>48614220.880000003</v>
      </c>
    </row>
    <row r="1013" spans="1:1" x14ac:dyDescent="0.25">
      <c r="A1013" s="21">
        <v>173126823.19</v>
      </c>
    </row>
    <row r="1014" spans="1:1" x14ac:dyDescent="0.25">
      <c r="A1014" s="21">
        <v>7946761.46</v>
      </c>
    </row>
    <row r="1015" spans="1:1" x14ac:dyDescent="0.25">
      <c r="A1015" s="21">
        <v>63687848.049999997</v>
      </c>
    </row>
    <row r="1016" spans="1:1" x14ac:dyDescent="0.25">
      <c r="A1016" s="21">
        <v>62859827.809999898</v>
      </c>
    </row>
    <row r="1017" spans="1:1" x14ac:dyDescent="0.25">
      <c r="A1017" s="21">
        <v>91042432.689999998</v>
      </c>
    </row>
    <row r="1018" spans="1:1" x14ac:dyDescent="0.25">
      <c r="A1018" s="21">
        <v>69930297.530000001</v>
      </c>
    </row>
    <row r="1019" spans="1:1" x14ac:dyDescent="0.25">
      <c r="A1019" s="21">
        <v>19459407.359999999</v>
      </c>
    </row>
    <row r="1020" spans="1:1" x14ac:dyDescent="0.25">
      <c r="A1020" s="21">
        <v>17139039.379999999</v>
      </c>
    </row>
    <row r="1021" spans="1:1" x14ac:dyDescent="0.25">
      <c r="A1021">
        <v>0</v>
      </c>
    </row>
    <row r="1022" spans="1:1" x14ac:dyDescent="0.25">
      <c r="A1022">
        <v>0</v>
      </c>
    </row>
    <row r="1023" spans="1:1" x14ac:dyDescent="0.25">
      <c r="A1023" s="21">
        <v>36444080.759999998</v>
      </c>
    </row>
    <row r="1024" spans="1:1" x14ac:dyDescent="0.25">
      <c r="A1024" s="21">
        <v>57679440.350000001</v>
      </c>
    </row>
    <row r="1025" spans="1:1" x14ac:dyDescent="0.25">
      <c r="A1025" s="21">
        <v>105830847.19</v>
      </c>
    </row>
    <row r="1026" spans="1:1" x14ac:dyDescent="0.25">
      <c r="A1026" s="21">
        <v>57931653.310000002</v>
      </c>
    </row>
    <row r="1027" spans="1:1" x14ac:dyDescent="0.25">
      <c r="A1027" s="21">
        <v>40188638.5</v>
      </c>
    </row>
    <row r="1028" spans="1:1" x14ac:dyDescent="0.25">
      <c r="A1028" s="21">
        <v>34473002.390000001</v>
      </c>
    </row>
    <row r="1029" spans="1:1" x14ac:dyDescent="0.25">
      <c r="A1029" s="21">
        <v>107383255.48</v>
      </c>
    </row>
    <row r="1030" spans="1:1" x14ac:dyDescent="0.25">
      <c r="A1030" s="21">
        <v>139129540.33000001</v>
      </c>
    </row>
    <row r="1031" spans="1:1" x14ac:dyDescent="0.25">
      <c r="A1031" s="21">
        <v>127588888.97</v>
      </c>
    </row>
    <row r="1032" spans="1:1" x14ac:dyDescent="0.25">
      <c r="A1032">
        <v>0</v>
      </c>
    </row>
    <row r="1033" spans="1:1" x14ac:dyDescent="0.25">
      <c r="A1033" s="21">
        <v>28506773.370000001</v>
      </c>
    </row>
    <row r="1034" spans="1:1" x14ac:dyDescent="0.25">
      <c r="A1034" s="21">
        <v>43184431.460000001</v>
      </c>
    </row>
    <row r="1035" spans="1:1" x14ac:dyDescent="0.25">
      <c r="A1035" s="21">
        <v>144828871.18000001</v>
      </c>
    </row>
    <row r="1036" spans="1:1" x14ac:dyDescent="0.25">
      <c r="A1036" s="21">
        <v>71775895.609999999</v>
      </c>
    </row>
    <row r="1037" spans="1:1" x14ac:dyDescent="0.25">
      <c r="A1037" s="21">
        <v>45605057.409999996</v>
      </c>
    </row>
    <row r="1038" spans="1:1" x14ac:dyDescent="0.25">
      <c r="A1038" s="21">
        <v>53089745.5</v>
      </c>
    </row>
    <row r="1039" spans="1:1" x14ac:dyDescent="0.25">
      <c r="A1039">
        <v>0</v>
      </c>
    </row>
    <row r="1040" spans="1:1" x14ac:dyDescent="0.25">
      <c r="A1040" s="21">
        <v>33271783.57</v>
      </c>
    </row>
    <row r="1041" spans="1:1" x14ac:dyDescent="0.25">
      <c r="A1041" s="21">
        <v>23564954.719999999</v>
      </c>
    </row>
    <row r="1042" spans="1:1" x14ac:dyDescent="0.25">
      <c r="A1042" s="21">
        <v>227847833.12</v>
      </c>
    </row>
    <row r="1043" spans="1:1" x14ac:dyDescent="0.25">
      <c r="A1043">
        <v>13489146</v>
      </c>
    </row>
    <row r="1044" spans="1:1" x14ac:dyDescent="0.25">
      <c r="A1044">
        <v>0</v>
      </c>
    </row>
    <row r="1045" spans="1:1" x14ac:dyDescent="0.25">
      <c r="A1045" s="21">
        <v>215142767.31</v>
      </c>
    </row>
    <row r="1046" spans="1:1" x14ac:dyDescent="0.25">
      <c r="A1046" s="21">
        <v>67301049.079999998</v>
      </c>
    </row>
    <row r="1047" spans="1:1" x14ac:dyDescent="0.25">
      <c r="A1047" s="21">
        <v>25982161.27</v>
      </c>
    </row>
    <row r="1048" spans="1:1" x14ac:dyDescent="0.25">
      <c r="A1048" s="21">
        <v>437177058.66000003</v>
      </c>
    </row>
    <row r="1049" spans="1:1" x14ac:dyDescent="0.25">
      <c r="A1049" s="21">
        <v>89143731.379999995</v>
      </c>
    </row>
    <row r="1050" spans="1:1" x14ac:dyDescent="0.25">
      <c r="A1050" s="21">
        <v>95748486.989999995</v>
      </c>
    </row>
    <row r="1051" spans="1:1" x14ac:dyDescent="0.25">
      <c r="A1051" s="21">
        <v>120551463.2</v>
      </c>
    </row>
    <row r="1052" spans="1:1" x14ac:dyDescent="0.25">
      <c r="A1052" s="21">
        <v>16905082.59</v>
      </c>
    </row>
    <row r="1053" spans="1:1" x14ac:dyDescent="0.25">
      <c r="A1053" s="21">
        <v>6842072.1600000001</v>
      </c>
    </row>
    <row r="1054" spans="1:1" x14ac:dyDescent="0.25">
      <c r="A1054">
        <v>0</v>
      </c>
    </row>
    <row r="1055" spans="1:1" x14ac:dyDescent="0.25">
      <c r="A1055" s="21">
        <v>23390635.780000001</v>
      </c>
    </row>
    <row r="1056" spans="1:1" x14ac:dyDescent="0.25">
      <c r="A1056" s="21">
        <v>58731558.210000001</v>
      </c>
    </row>
    <row r="1057" spans="1:1" x14ac:dyDescent="0.25">
      <c r="A1057" s="21">
        <v>245577397.03</v>
      </c>
    </row>
    <row r="1058" spans="1:1" x14ac:dyDescent="0.25">
      <c r="A1058" s="21">
        <v>79358984.780000001</v>
      </c>
    </row>
    <row r="1059" spans="1:1" x14ac:dyDescent="0.25">
      <c r="A1059">
        <v>15578103</v>
      </c>
    </row>
    <row r="1060" spans="1:1" x14ac:dyDescent="0.25">
      <c r="A1060" s="21">
        <v>100103968.02</v>
      </c>
    </row>
    <row r="1061" spans="1:1" x14ac:dyDescent="0.25">
      <c r="A1061" s="21">
        <v>21293928.850000001</v>
      </c>
    </row>
    <row r="1062" spans="1:1" x14ac:dyDescent="0.25">
      <c r="A1062" s="21">
        <v>58863984.159999996</v>
      </c>
    </row>
    <row r="1063" spans="1:1" x14ac:dyDescent="0.25">
      <c r="A1063" s="21">
        <v>44765191.020000003</v>
      </c>
    </row>
    <row r="1064" spans="1:1" x14ac:dyDescent="0.25">
      <c r="A1064" s="21">
        <v>23394486.07</v>
      </c>
    </row>
    <row r="1065" spans="1:1" x14ac:dyDescent="0.25">
      <c r="A1065" s="21">
        <v>72948139.590000004</v>
      </c>
    </row>
    <row r="1066" spans="1:1" x14ac:dyDescent="0.25">
      <c r="A1066" s="21">
        <v>132408905.45</v>
      </c>
    </row>
    <row r="1067" spans="1:1" x14ac:dyDescent="0.25">
      <c r="A1067" s="21">
        <v>230014583.90000001</v>
      </c>
    </row>
    <row r="1068" spans="1:1" x14ac:dyDescent="0.25">
      <c r="A1068" s="21">
        <v>8041324.5899999999</v>
      </c>
    </row>
    <row r="1069" spans="1:1" x14ac:dyDescent="0.25">
      <c r="A1069" s="21">
        <v>59318311.740000002</v>
      </c>
    </row>
    <row r="1070" spans="1:1" x14ac:dyDescent="0.25">
      <c r="A1070">
        <v>6217722</v>
      </c>
    </row>
    <row r="1071" spans="1:1" x14ac:dyDescent="0.25">
      <c r="A1071" s="21">
        <v>8951387.8399999999</v>
      </c>
    </row>
    <row r="1072" spans="1:1" x14ac:dyDescent="0.25">
      <c r="A1072" s="21">
        <v>67766377.040000007</v>
      </c>
    </row>
    <row r="1073" spans="1:1" x14ac:dyDescent="0.25">
      <c r="A1073" s="21">
        <v>116286610.40000001</v>
      </c>
    </row>
    <row r="1074" spans="1:1" x14ac:dyDescent="0.25">
      <c r="A1074" s="21">
        <v>152109230.33000001</v>
      </c>
    </row>
    <row r="1075" spans="1:1" x14ac:dyDescent="0.25">
      <c r="A1075" s="21">
        <v>158433202.78</v>
      </c>
    </row>
    <row r="1076" spans="1:1" x14ac:dyDescent="0.25">
      <c r="A1076" s="21">
        <v>16160081.539999999</v>
      </c>
    </row>
    <row r="1077" spans="1:1" x14ac:dyDescent="0.25">
      <c r="A1077" s="21">
        <v>16182295.48</v>
      </c>
    </row>
    <row r="1078" spans="1:1" x14ac:dyDescent="0.25">
      <c r="A1078" s="21">
        <v>10353330.210000001</v>
      </c>
    </row>
    <row r="1079" spans="1:1" x14ac:dyDescent="0.25">
      <c r="A1079" s="21">
        <v>55828043.950000003</v>
      </c>
    </row>
    <row r="1080" spans="1:1" x14ac:dyDescent="0.25">
      <c r="A1080" s="21">
        <v>55749418.170000002</v>
      </c>
    </row>
    <row r="1081" spans="1:1" x14ac:dyDescent="0.25">
      <c r="A1081" s="21">
        <v>95255099.2299999</v>
      </c>
    </row>
    <row r="1082" spans="1:1" x14ac:dyDescent="0.25">
      <c r="A1082">
        <v>0</v>
      </c>
    </row>
    <row r="1083" spans="1:1" x14ac:dyDescent="0.25">
      <c r="A1083">
        <v>5571081</v>
      </c>
    </row>
    <row r="1084" spans="1:1" x14ac:dyDescent="0.25">
      <c r="A1084" s="21">
        <v>67088784.159999996</v>
      </c>
    </row>
    <row r="1085" spans="1:1" x14ac:dyDescent="0.25">
      <c r="A1085" s="21">
        <v>40718291.810000002</v>
      </c>
    </row>
    <row r="1086" spans="1:1" x14ac:dyDescent="0.25">
      <c r="A1086" s="21">
        <v>12848757.77</v>
      </c>
    </row>
    <row r="1087" spans="1:1" x14ac:dyDescent="0.25">
      <c r="A1087" s="21">
        <v>85081518.879999995</v>
      </c>
    </row>
    <row r="1088" spans="1:1" x14ac:dyDescent="0.25">
      <c r="A1088" s="21">
        <v>56837193.130000003</v>
      </c>
    </row>
    <row r="1089" spans="1:1" x14ac:dyDescent="0.25">
      <c r="A1089" s="21">
        <v>15294041.18</v>
      </c>
    </row>
    <row r="1090" spans="1:1" x14ac:dyDescent="0.25">
      <c r="A1090" s="21">
        <v>105893094.58</v>
      </c>
    </row>
    <row r="1091" spans="1:1" x14ac:dyDescent="0.25">
      <c r="A1091" s="21">
        <v>93145712.939999998</v>
      </c>
    </row>
    <row r="1092" spans="1:1" x14ac:dyDescent="0.25">
      <c r="A1092">
        <v>0</v>
      </c>
    </row>
    <row r="1093" spans="1:1" x14ac:dyDescent="0.25">
      <c r="A1093" s="21">
        <v>47387814.810000002</v>
      </c>
    </row>
    <row r="1094" spans="1:1" x14ac:dyDescent="0.25">
      <c r="A1094" s="21">
        <v>21249187.050000001</v>
      </c>
    </row>
    <row r="1095" spans="1:1" x14ac:dyDescent="0.25">
      <c r="A1095" s="21">
        <v>55180287.979999997</v>
      </c>
    </row>
    <row r="1096" spans="1:1" x14ac:dyDescent="0.25">
      <c r="A1096" s="21">
        <v>30124477.620000001</v>
      </c>
    </row>
    <row r="1097" spans="1:1" x14ac:dyDescent="0.25">
      <c r="A1097">
        <v>0</v>
      </c>
    </row>
    <row r="1098" spans="1:1" x14ac:dyDescent="0.25">
      <c r="A1098" s="21">
        <v>13877203.210000001</v>
      </c>
    </row>
    <row r="1099" spans="1:1" x14ac:dyDescent="0.25">
      <c r="A1099" s="21">
        <v>33817222.649999999</v>
      </c>
    </row>
    <row r="1100" spans="1:1" x14ac:dyDescent="0.25">
      <c r="A1100" s="21">
        <v>39431767.460000001</v>
      </c>
    </row>
    <row r="1101" spans="1:1" x14ac:dyDescent="0.25">
      <c r="A1101" s="21">
        <v>87078013.870000005</v>
      </c>
    </row>
    <row r="1102" spans="1:1" x14ac:dyDescent="0.25">
      <c r="A1102" s="21">
        <v>162059631.72999999</v>
      </c>
    </row>
    <row r="1103" spans="1:1" x14ac:dyDescent="0.25">
      <c r="A1103" s="21">
        <v>27632964.579999998</v>
      </c>
    </row>
    <row r="1104" spans="1:1" x14ac:dyDescent="0.25">
      <c r="A1104" s="21">
        <v>15301840.390000001</v>
      </c>
    </row>
    <row r="1105" spans="1:1" x14ac:dyDescent="0.25">
      <c r="A1105" s="21">
        <v>28053620.649999999</v>
      </c>
    </row>
    <row r="1106" spans="1:1" x14ac:dyDescent="0.25">
      <c r="A1106" s="21">
        <v>101792609.06999999</v>
      </c>
    </row>
    <row r="1107" spans="1:1" x14ac:dyDescent="0.25">
      <c r="A1107" s="21">
        <v>35056731.909999996</v>
      </c>
    </row>
    <row r="1108" spans="1:1" x14ac:dyDescent="0.25">
      <c r="A1108" s="21">
        <v>85666459.090000004</v>
      </c>
    </row>
    <row r="1109" spans="1:1" x14ac:dyDescent="0.25">
      <c r="A1109" s="21">
        <v>85403697.920000002</v>
      </c>
    </row>
    <row r="1110" spans="1:1" x14ac:dyDescent="0.25">
      <c r="A1110" s="21">
        <v>38326205.579999998</v>
      </c>
    </row>
    <row r="1111" spans="1:1" x14ac:dyDescent="0.25">
      <c r="A1111" s="21">
        <v>31914324.32</v>
      </c>
    </row>
    <row r="1112" spans="1:1" x14ac:dyDescent="0.25">
      <c r="A1112" s="21">
        <v>20426962.609999999</v>
      </c>
    </row>
    <row r="1113" spans="1:1" x14ac:dyDescent="0.25">
      <c r="A1113" s="21">
        <v>38376101.520000003</v>
      </c>
    </row>
    <row r="1114" spans="1:1" x14ac:dyDescent="0.25">
      <c r="A1114" s="21">
        <v>185791072.52000001</v>
      </c>
    </row>
    <row r="1115" spans="1:1" x14ac:dyDescent="0.25">
      <c r="A1115" s="21">
        <v>37399648.850000001</v>
      </c>
    </row>
    <row r="1116" spans="1:1" x14ac:dyDescent="0.25">
      <c r="A1116" s="21">
        <v>40448790.560000002</v>
      </c>
    </row>
    <row r="1117" spans="1:1" x14ac:dyDescent="0.25">
      <c r="A1117" s="21">
        <v>11997313.390000001</v>
      </c>
    </row>
    <row r="1118" spans="1:1" x14ac:dyDescent="0.25">
      <c r="A1118" s="21">
        <v>2919471.4</v>
      </c>
    </row>
    <row r="1119" spans="1:1" x14ac:dyDescent="0.25">
      <c r="A1119" s="21">
        <v>3415053.65</v>
      </c>
    </row>
    <row r="1120" spans="1:1" x14ac:dyDescent="0.25">
      <c r="A1120" s="21">
        <v>19671137.690000001</v>
      </c>
    </row>
    <row r="1121" spans="1:1" x14ac:dyDescent="0.25">
      <c r="A1121" s="21">
        <v>41713089.009999998</v>
      </c>
    </row>
    <row r="1122" spans="1:1" x14ac:dyDescent="0.25">
      <c r="A1122" s="21">
        <v>26652409.98</v>
      </c>
    </row>
    <row r="1123" spans="1:1" x14ac:dyDescent="0.25">
      <c r="A1123" s="21">
        <v>178831744.44999999</v>
      </c>
    </row>
    <row r="1124" spans="1:1" x14ac:dyDescent="0.25">
      <c r="A1124" s="21">
        <v>116417101.40000001</v>
      </c>
    </row>
    <row r="1125" spans="1:1" x14ac:dyDescent="0.25">
      <c r="A1125" s="21">
        <v>27540167.07</v>
      </c>
    </row>
    <row r="1126" spans="1:1" x14ac:dyDescent="0.25">
      <c r="A1126" s="21">
        <v>68975199.170000002</v>
      </c>
    </row>
    <row r="1127" spans="1:1" x14ac:dyDescent="0.25">
      <c r="A1127">
        <v>0</v>
      </c>
    </row>
    <row r="1128" spans="1:1" x14ac:dyDescent="0.25">
      <c r="A1128" s="21">
        <v>430079786.81999999</v>
      </c>
    </row>
    <row r="1129" spans="1:1" x14ac:dyDescent="0.25">
      <c r="A1129" s="21">
        <v>63115571.93</v>
      </c>
    </row>
    <row r="1130" spans="1:1" x14ac:dyDescent="0.25">
      <c r="A1130" s="21">
        <v>44571716.119999997</v>
      </c>
    </row>
    <row r="1131" spans="1:1" x14ac:dyDescent="0.25">
      <c r="A1131" s="21">
        <v>38491062.630000003</v>
      </c>
    </row>
    <row r="1132" spans="1:1" x14ac:dyDescent="0.25">
      <c r="A1132" s="21">
        <v>11409989.48</v>
      </c>
    </row>
    <row r="1133" spans="1:1" x14ac:dyDescent="0.25">
      <c r="A1133" s="21">
        <v>129162796.67</v>
      </c>
    </row>
    <row r="1134" spans="1:1" x14ac:dyDescent="0.25">
      <c r="A1134" s="21">
        <v>6499178.25</v>
      </c>
    </row>
    <row r="1135" spans="1:1" x14ac:dyDescent="0.25">
      <c r="A1135" s="21">
        <v>14412370.550000001</v>
      </c>
    </row>
    <row r="1136" spans="1:1" x14ac:dyDescent="0.25">
      <c r="A1136" s="21">
        <v>44476244.450000003</v>
      </c>
    </row>
    <row r="1137" spans="1:1" x14ac:dyDescent="0.25">
      <c r="A1137" s="21">
        <v>66567804.609999999</v>
      </c>
    </row>
    <row r="1138" spans="1:1" x14ac:dyDescent="0.25">
      <c r="A1138" s="21">
        <v>244520520.06</v>
      </c>
    </row>
    <row r="1139" spans="1:1" x14ac:dyDescent="0.25">
      <c r="A1139" s="21">
        <v>114102350.2</v>
      </c>
    </row>
    <row r="1140" spans="1:1" x14ac:dyDescent="0.25">
      <c r="A1140" s="21">
        <v>61449411.649999999</v>
      </c>
    </row>
    <row r="1141" spans="1:1" x14ac:dyDescent="0.25">
      <c r="A1141" s="21">
        <v>98720490.009999901</v>
      </c>
    </row>
    <row r="1142" spans="1:1" x14ac:dyDescent="0.25">
      <c r="A1142" s="21">
        <v>51544352.159999996</v>
      </c>
    </row>
    <row r="1143" spans="1:1" x14ac:dyDescent="0.25">
      <c r="A1143" s="21">
        <v>129193965.26000001</v>
      </c>
    </row>
    <row r="1144" spans="1:1" x14ac:dyDescent="0.25">
      <c r="A1144" s="21">
        <v>27609636.289999999</v>
      </c>
    </row>
    <row r="1145" spans="1:1" x14ac:dyDescent="0.25">
      <c r="A1145" s="21">
        <v>51453208.420000002</v>
      </c>
    </row>
    <row r="1146" spans="1:1" x14ac:dyDescent="0.25">
      <c r="A1146">
        <v>0</v>
      </c>
    </row>
    <row r="1147" spans="1:1" x14ac:dyDescent="0.25">
      <c r="A1147" s="21">
        <v>14605896.82</v>
      </c>
    </row>
    <row r="1148" spans="1:1" x14ac:dyDescent="0.25">
      <c r="A1148" s="21">
        <v>70447651.900000006</v>
      </c>
    </row>
    <row r="1149" spans="1:1" x14ac:dyDescent="0.25">
      <c r="A1149" s="21">
        <v>34210186.049999997</v>
      </c>
    </row>
    <row r="1150" spans="1:1" x14ac:dyDescent="0.25">
      <c r="A1150" s="21">
        <v>97992529.989999905</v>
      </c>
    </row>
    <row r="1151" spans="1:1" x14ac:dyDescent="0.25">
      <c r="A1151" s="21">
        <v>8460123.7200000007</v>
      </c>
    </row>
    <row r="1152" spans="1:1" x14ac:dyDescent="0.25">
      <c r="A1152" s="21">
        <v>184503886.06</v>
      </c>
    </row>
    <row r="1153" spans="1:1" x14ac:dyDescent="0.25">
      <c r="A1153" s="21">
        <v>39805806.82</v>
      </c>
    </row>
    <row r="1154" spans="1:1" x14ac:dyDescent="0.25">
      <c r="A1154" s="21">
        <v>29101481.719999999</v>
      </c>
    </row>
    <row r="1155" spans="1:1" x14ac:dyDescent="0.25">
      <c r="A1155" s="21">
        <v>111636379.34999999</v>
      </c>
    </row>
    <row r="1156" spans="1:1" x14ac:dyDescent="0.25">
      <c r="A1156" s="21">
        <v>225429854.93000001</v>
      </c>
    </row>
    <row r="1157" spans="1:1" x14ac:dyDescent="0.25">
      <c r="A1157" s="21">
        <v>21873615.510000002</v>
      </c>
    </row>
    <row r="1158" spans="1:1" x14ac:dyDescent="0.25">
      <c r="A1158" s="21">
        <v>4268531.1399999997</v>
      </c>
    </row>
    <row r="1159" spans="1:1" x14ac:dyDescent="0.25">
      <c r="A1159" s="21">
        <v>41727031.369999997</v>
      </c>
    </row>
    <row r="1160" spans="1:1" x14ac:dyDescent="0.25">
      <c r="A1160" s="21">
        <v>77685622.379999995</v>
      </c>
    </row>
    <row r="1161" spans="1:1" x14ac:dyDescent="0.25">
      <c r="A1161" s="21">
        <v>141977700.94</v>
      </c>
    </row>
    <row r="1162" spans="1:1" x14ac:dyDescent="0.25">
      <c r="A1162" s="21">
        <v>106363928.98999999</v>
      </c>
    </row>
    <row r="1163" spans="1:1" x14ac:dyDescent="0.25">
      <c r="A1163" s="21">
        <v>12447828.75</v>
      </c>
    </row>
    <row r="1164" spans="1:1" x14ac:dyDescent="0.25">
      <c r="A1164" s="21">
        <v>12704968.5</v>
      </c>
    </row>
    <row r="1165" spans="1:1" x14ac:dyDescent="0.25">
      <c r="A1165" s="21">
        <v>28550994.870000001</v>
      </c>
    </row>
    <row r="1166" spans="1:1" x14ac:dyDescent="0.25">
      <c r="A1166" s="21">
        <v>113202390.33</v>
      </c>
    </row>
    <row r="1167" spans="1:1" x14ac:dyDescent="0.25">
      <c r="A1167" s="21">
        <v>70471625.719999999</v>
      </c>
    </row>
    <row r="1168" spans="1:1" x14ac:dyDescent="0.25">
      <c r="A1168" s="21">
        <v>67450956.659999996</v>
      </c>
    </row>
    <row r="1169" spans="1:1" x14ac:dyDescent="0.25">
      <c r="A1169" s="21">
        <v>200068550.34999999</v>
      </c>
    </row>
    <row r="1170" spans="1:1" x14ac:dyDescent="0.25">
      <c r="A1170" s="21">
        <v>70584440.560000002</v>
      </c>
    </row>
    <row r="1171" spans="1:1" x14ac:dyDescent="0.25">
      <c r="A1171" s="21">
        <v>72584684.079999998</v>
      </c>
    </row>
    <row r="1172" spans="1:1" x14ac:dyDescent="0.25">
      <c r="A1172">
        <v>118159194</v>
      </c>
    </row>
    <row r="1173" spans="1:1" x14ac:dyDescent="0.25">
      <c r="A1173" s="21">
        <v>50707760.709999897</v>
      </c>
    </row>
    <row r="1174" spans="1:1" x14ac:dyDescent="0.25">
      <c r="A1174" s="21">
        <v>43243578.210000001</v>
      </c>
    </row>
    <row r="1175" spans="1:1" x14ac:dyDescent="0.25">
      <c r="A1175" s="21">
        <v>6585204.75</v>
      </c>
    </row>
    <row r="1176" spans="1:1" x14ac:dyDescent="0.25">
      <c r="A1176" s="21">
        <v>53783876.329999998</v>
      </c>
    </row>
    <row r="1177" spans="1:1" x14ac:dyDescent="0.25">
      <c r="A1177" s="21">
        <v>23293812.48</v>
      </c>
    </row>
    <row r="1178" spans="1:1" x14ac:dyDescent="0.25">
      <c r="A1178" s="21">
        <v>19098878.260000002</v>
      </c>
    </row>
    <row r="1179" spans="1:1" x14ac:dyDescent="0.25">
      <c r="A1179" s="21">
        <v>185201114.09</v>
      </c>
    </row>
    <row r="1180" spans="1:1" x14ac:dyDescent="0.25">
      <c r="A1180" s="21">
        <v>9972312.3800000008</v>
      </c>
    </row>
    <row r="1181" spans="1:1" x14ac:dyDescent="0.25">
      <c r="A1181" s="21">
        <v>251915368.21000001</v>
      </c>
    </row>
    <row r="1182" spans="1:1" x14ac:dyDescent="0.25">
      <c r="A1182" s="21">
        <v>13351221.5</v>
      </c>
    </row>
    <row r="1183" spans="1:1" x14ac:dyDescent="0.25">
      <c r="A1183" s="21">
        <v>55056186.539999999</v>
      </c>
    </row>
    <row r="1184" spans="1:1" x14ac:dyDescent="0.25">
      <c r="A1184" s="21">
        <v>81202568.159999996</v>
      </c>
    </row>
    <row r="1185" spans="1:1" x14ac:dyDescent="0.25">
      <c r="A1185" s="21">
        <v>68117238.260000005</v>
      </c>
    </row>
    <row r="1186" spans="1:1" x14ac:dyDescent="0.25">
      <c r="A1186" s="21">
        <v>57424773.200000003</v>
      </c>
    </row>
    <row r="1187" spans="1:1" x14ac:dyDescent="0.25">
      <c r="A1187" s="21">
        <v>70762905.010000005</v>
      </c>
    </row>
    <row r="1188" spans="1:1" x14ac:dyDescent="0.25">
      <c r="A1188" s="21">
        <v>11106157.85</v>
      </c>
    </row>
    <row r="1189" spans="1:1" x14ac:dyDescent="0.25">
      <c r="A1189" s="21">
        <v>303993221.69999999</v>
      </c>
    </row>
    <row r="1190" spans="1:1" x14ac:dyDescent="0.25">
      <c r="A1190" s="21">
        <v>24053631.079999998</v>
      </c>
    </row>
    <row r="1191" spans="1:1" x14ac:dyDescent="0.25">
      <c r="A1191" s="21">
        <v>36097511.189999998</v>
      </c>
    </row>
    <row r="1192" spans="1:1" x14ac:dyDescent="0.25">
      <c r="A1192" s="21">
        <v>3920176.03</v>
      </c>
    </row>
    <row r="1193" spans="1:1" x14ac:dyDescent="0.25">
      <c r="A1193" s="21">
        <v>142249172.72999999</v>
      </c>
    </row>
    <row r="1194" spans="1:1" x14ac:dyDescent="0.25">
      <c r="A1194" s="21">
        <v>92283098.629999995</v>
      </c>
    </row>
    <row r="1195" spans="1:1" x14ac:dyDescent="0.25">
      <c r="A1195" s="21">
        <v>166126302.83000001</v>
      </c>
    </row>
    <row r="1196" spans="1:1" x14ac:dyDescent="0.25">
      <c r="A1196" s="21">
        <v>3794506.81</v>
      </c>
    </row>
    <row r="1197" spans="1:1" x14ac:dyDescent="0.25">
      <c r="A1197" s="21">
        <v>3790866.7</v>
      </c>
    </row>
    <row r="1198" spans="1:1" x14ac:dyDescent="0.25">
      <c r="A1198">
        <v>82194487</v>
      </c>
    </row>
    <row r="1199" spans="1:1" x14ac:dyDescent="0.25">
      <c r="A1199" s="21">
        <v>196404449.25999999</v>
      </c>
    </row>
    <row r="1200" spans="1:1" x14ac:dyDescent="0.25">
      <c r="A1200" s="21">
        <v>61187002.920000002</v>
      </c>
    </row>
    <row r="1201" spans="1:1" x14ac:dyDescent="0.25">
      <c r="A1201" s="21">
        <v>193056089.28999999</v>
      </c>
    </row>
    <row r="1202" spans="1:1" x14ac:dyDescent="0.25">
      <c r="A1202" s="21">
        <v>34029938.340000004</v>
      </c>
    </row>
    <row r="1203" spans="1:1" x14ac:dyDescent="0.25">
      <c r="A1203">
        <v>6338193</v>
      </c>
    </row>
    <row r="1204" spans="1:1" x14ac:dyDescent="0.25">
      <c r="A1204" s="21">
        <v>50166159.359999999</v>
      </c>
    </row>
    <row r="1205" spans="1:1" x14ac:dyDescent="0.25">
      <c r="A1205" s="21">
        <v>5812784.25</v>
      </c>
    </row>
    <row r="1206" spans="1:1" x14ac:dyDescent="0.25">
      <c r="A1206">
        <v>7206783</v>
      </c>
    </row>
    <row r="1207" spans="1:1" x14ac:dyDescent="0.25">
      <c r="A1207" s="21">
        <v>14422976.77</v>
      </c>
    </row>
    <row r="1208" spans="1:1" x14ac:dyDescent="0.25">
      <c r="A1208" s="21">
        <v>47022044.280000001</v>
      </c>
    </row>
    <row r="1209" spans="1:1" x14ac:dyDescent="0.25">
      <c r="A1209">
        <v>0</v>
      </c>
    </row>
    <row r="1210" spans="1:1" x14ac:dyDescent="0.25">
      <c r="A1210" s="21">
        <v>72512725.659999996</v>
      </c>
    </row>
    <row r="1211" spans="1:1" x14ac:dyDescent="0.25">
      <c r="A1211" s="21">
        <v>89950893.549999997</v>
      </c>
    </row>
    <row r="1212" spans="1:1" x14ac:dyDescent="0.25">
      <c r="A1212" s="21">
        <v>24884513.800000001</v>
      </c>
    </row>
    <row r="1213" spans="1:1" x14ac:dyDescent="0.25">
      <c r="A1213" s="21">
        <v>114670535.16</v>
      </c>
    </row>
    <row r="1214" spans="1:1" x14ac:dyDescent="0.25">
      <c r="A1214" s="21">
        <v>44194049.43</v>
      </c>
    </row>
    <row r="1215" spans="1:1" x14ac:dyDescent="0.25">
      <c r="A1215" s="21">
        <v>111439625.39</v>
      </c>
    </row>
    <row r="1216" spans="1:1" x14ac:dyDescent="0.25">
      <c r="A1216" s="21">
        <v>24206639.16</v>
      </c>
    </row>
    <row r="1217" spans="1:1" x14ac:dyDescent="0.25">
      <c r="A1217" s="21">
        <v>26823342.719999999</v>
      </c>
    </row>
    <row r="1218" spans="1:1" x14ac:dyDescent="0.25">
      <c r="A1218" s="21">
        <v>99872627.859999999</v>
      </c>
    </row>
    <row r="1219" spans="1:1" x14ac:dyDescent="0.25">
      <c r="A1219" s="21">
        <v>172463447.66</v>
      </c>
    </row>
    <row r="1220" spans="1:1" x14ac:dyDescent="0.25">
      <c r="A1220" s="21">
        <v>58715926.329999998</v>
      </c>
    </row>
    <row r="1221" spans="1:1" x14ac:dyDescent="0.25">
      <c r="A1221" s="21">
        <v>19045211.879999999</v>
      </c>
    </row>
    <row r="1222" spans="1:1" x14ac:dyDescent="0.25">
      <c r="A1222" s="21">
        <v>71857095.599999905</v>
      </c>
    </row>
    <row r="1223" spans="1:1" x14ac:dyDescent="0.25">
      <c r="A1223" s="21">
        <v>54256510.700000003</v>
      </c>
    </row>
    <row r="1224" spans="1:1" x14ac:dyDescent="0.25">
      <c r="A1224" s="21">
        <v>24126081.18</v>
      </c>
    </row>
    <row r="1225" spans="1:1" x14ac:dyDescent="0.25">
      <c r="A1225" s="21">
        <v>75928979.840000004</v>
      </c>
    </row>
    <row r="1226" spans="1:1" x14ac:dyDescent="0.25">
      <c r="A1226" s="21">
        <v>84400940.599999905</v>
      </c>
    </row>
    <row r="1227" spans="1:1" x14ac:dyDescent="0.25">
      <c r="A1227" s="21">
        <v>23848289.010000002</v>
      </c>
    </row>
    <row r="1228" spans="1:1" x14ac:dyDescent="0.25">
      <c r="A1228" s="21">
        <v>42655850.039999999</v>
      </c>
    </row>
    <row r="1229" spans="1:1" x14ac:dyDescent="0.25">
      <c r="A1229" s="21">
        <v>23630187.859999999</v>
      </c>
    </row>
    <row r="1230" spans="1:1" x14ac:dyDescent="0.25">
      <c r="A1230" s="21">
        <v>26306575.399999999</v>
      </c>
    </row>
    <row r="1231" spans="1:1" x14ac:dyDescent="0.25">
      <c r="A1231" s="21">
        <v>12883516.1</v>
      </c>
    </row>
    <row r="1232" spans="1:1" x14ac:dyDescent="0.25">
      <c r="A1232" s="21">
        <v>62537834.380000003</v>
      </c>
    </row>
    <row r="1233" spans="1:1" x14ac:dyDescent="0.25">
      <c r="A1233" s="21">
        <v>102713140.48999999</v>
      </c>
    </row>
    <row r="1234" spans="1:1" x14ac:dyDescent="0.25">
      <c r="A1234" s="21">
        <v>19359004.120000001</v>
      </c>
    </row>
    <row r="1235" spans="1:1" x14ac:dyDescent="0.25">
      <c r="A1235" s="21">
        <v>12547870.5</v>
      </c>
    </row>
    <row r="1236" spans="1:1" x14ac:dyDescent="0.25">
      <c r="A1236" s="21">
        <v>34033386.079999998</v>
      </c>
    </row>
    <row r="1237" spans="1:1" x14ac:dyDescent="0.25">
      <c r="A1237" s="21">
        <v>200571446.97999999</v>
      </c>
    </row>
    <row r="1238" spans="1:1" x14ac:dyDescent="0.25">
      <c r="A1238" s="21">
        <v>46646159.259999998</v>
      </c>
    </row>
    <row r="1239" spans="1:1" x14ac:dyDescent="0.25">
      <c r="A1239" s="21">
        <v>83129985.579999998</v>
      </c>
    </row>
    <row r="1240" spans="1:1" x14ac:dyDescent="0.25">
      <c r="A1240" s="21">
        <v>9593320.7400000002</v>
      </c>
    </row>
    <row r="1241" spans="1:1" x14ac:dyDescent="0.25">
      <c r="A1241" s="21">
        <v>21249478.649999999</v>
      </c>
    </row>
    <row r="1242" spans="1:1" x14ac:dyDescent="0.25">
      <c r="A1242" s="21">
        <v>313134418.38</v>
      </c>
    </row>
    <row r="1243" spans="1:1" x14ac:dyDescent="0.25">
      <c r="A1243" s="21">
        <v>315202263.12</v>
      </c>
    </row>
    <row r="1244" spans="1:1" x14ac:dyDescent="0.25">
      <c r="A1244" s="21">
        <v>107408600.79000001</v>
      </c>
    </row>
    <row r="1245" spans="1:1" x14ac:dyDescent="0.25">
      <c r="A1245" s="21">
        <v>20746613.5</v>
      </c>
    </row>
    <row r="1246" spans="1:1" x14ac:dyDescent="0.25">
      <c r="A1246" s="21">
        <v>85890327.5</v>
      </c>
    </row>
    <row r="1247" spans="1:1" x14ac:dyDescent="0.25">
      <c r="A1247" s="21">
        <v>73189535.719999999</v>
      </c>
    </row>
    <row r="1248" spans="1:1" x14ac:dyDescent="0.25">
      <c r="A1248" s="21">
        <v>132231756.66</v>
      </c>
    </row>
    <row r="1249" spans="1:1" x14ac:dyDescent="0.25">
      <c r="A1249" s="21">
        <v>3467254.02</v>
      </c>
    </row>
    <row r="1250" spans="1:1" x14ac:dyDescent="0.25">
      <c r="A1250" s="21">
        <v>44897167.969999999</v>
      </c>
    </row>
    <row r="1251" spans="1:1" x14ac:dyDescent="0.25">
      <c r="A1251" s="21">
        <v>43080236.810000002</v>
      </c>
    </row>
    <row r="1252" spans="1:1" x14ac:dyDescent="0.25">
      <c r="A1252" s="21">
        <v>33844098.030000001</v>
      </c>
    </row>
    <row r="1253" spans="1:1" x14ac:dyDescent="0.25">
      <c r="A1253" s="21">
        <v>25687494.030000001</v>
      </c>
    </row>
    <row r="1254" spans="1:1" x14ac:dyDescent="0.25">
      <c r="A1254" s="21">
        <v>48426782.659999996</v>
      </c>
    </row>
    <row r="1255" spans="1:1" x14ac:dyDescent="0.25">
      <c r="A1255" s="21">
        <v>45882300.159999996</v>
      </c>
    </row>
    <row r="1256" spans="1:1" x14ac:dyDescent="0.25">
      <c r="A1256" s="21">
        <v>11949465.59</v>
      </c>
    </row>
    <row r="1257" spans="1:1" x14ac:dyDescent="0.25">
      <c r="A1257" s="21">
        <v>39367177.93</v>
      </c>
    </row>
    <row r="1258" spans="1:1" x14ac:dyDescent="0.25">
      <c r="A1258" s="21">
        <v>28544445.629999999</v>
      </c>
    </row>
    <row r="1259" spans="1:1" x14ac:dyDescent="0.25">
      <c r="A1259">
        <v>0</v>
      </c>
    </row>
    <row r="1260" spans="1:1" x14ac:dyDescent="0.25">
      <c r="A1260" s="21">
        <v>11873652.75</v>
      </c>
    </row>
    <row r="1261" spans="1:1" x14ac:dyDescent="0.25">
      <c r="A1261" s="21">
        <v>30139861.32</v>
      </c>
    </row>
    <row r="1262" spans="1:1" x14ac:dyDescent="0.25">
      <c r="A1262" s="21">
        <v>5737908.1399999997</v>
      </c>
    </row>
    <row r="1263" spans="1:1" x14ac:dyDescent="0.25">
      <c r="A1263" s="21">
        <v>22395865.940000001</v>
      </c>
    </row>
    <row r="1264" spans="1:1" x14ac:dyDescent="0.25">
      <c r="A1264" s="21">
        <v>42215169.780000001</v>
      </c>
    </row>
    <row r="1265" spans="1:1" x14ac:dyDescent="0.25">
      <c r="A1265" s="21">
        <v>73555409.549999997</v>
      </c>
    </row>
    <row r="1266" spans="1:1" x14ac:dyDescent="0.25">
      <c r="A1266" s="21">
        <v>49151792.049999997</v>
      </c>
    </row>
    <row r="1267" spans="1:1" x14ac:dyDescent="0.25">
      <c r="A1267" s="21">
        <v>23081106.920000002</v>
      </c>
    </row>
    <row r="1268" spans="1:1" x14ac:dyDescent="0.25">
      <c r="A1268" s="21">
        <v>240821184.44999999</v>
      </c>
    </row>
    <row r="1269" spans="1:1" x14ac:dyDescent="0.25">
      <c r="A1269" s="21">
        <v>33341941.010000002</v>
      </c>
    </row>
    <row r="1270" spans="1:1" x14ac:dyDescent="0.25">
      <c r="A1270" s="21">
        <v>43424390.649999999</v>
      </c>
    </row>
    <row r="1271" spans="1:1" x14ac:dyDescent="0.25">
      <c r="A1271" s="21">
        <v>41124161.170000002</v>
      </c>
    </row>
    <row r="1272" spans="1:1" x14ac:dyDescent="0.25">
      <c r="A1272" s="21">
        <v>9698800.1099999901</v>
      </c>
    </row>
    <row r="1273" spans="1:1" x14ac:dyDescent="0.25">
      <c r="A1273" s="21">
        <v>35443099.020000003</v>
      </c>
    </row>
    <row r="1274" spans="1:1" x14ac:dyDescent="0.25">
      <c r="A1274" s="21">
        <v>2850462.07</v>
      </c>
    </row>
    <row r="1275" spans="1:1" x14ac:dyDescent="0.25">
      <c r="A1275" s="21">
        <v>30182634.149999999</v>
      </c>
    </row>
    <row r="1276" spans="1:1" x14ac:dyDescent="0.25">
      <c r="A1276" s="21">
        <v>42575854.43</v>
      </c>
    </row>
    <row r="1277" spans="1:1" x14ac:dyDescent="0.25">
      <c r="A1277" s="21">
        <v>252201475.80000001</v>
      </c>
    </row>
    <row r="1278" spans="1:1" x14ac:dyDescent="0.25">
      <c r="A1278">
        <v>0</v>
      </c>
    </row>
    <row r="1279" spans="1:1" x14ac:dyDescent="0.25">
      <c r="A1279" s="21">
        <v>3127042.76</v>
      </c>
    </row>
    <row r="1280" spans="1:1" x14ac:dyDescent="0.25">
      <c r="A1280" s="21">
        <v>56436079.32</v>
      </c>
    </row>
    <row r="1281" spans="1:1" x14ac:dyDescent="0.25">
      <c r="A1281" s="21">
        <v>18781984.690000001</v>
      </c>
    </row>
    <row r="1282" spans="1:1" x14ac:dyDescent="0.25">
      <c r="A1282" s="21">
        <v>20069960.25</v>
      </c>
    </row>
    <row r="1283" spans="1:1" x14ac:dyDescent="0.25">
      <c r="A1283" s="21">
        <v>80536121.060000002</v>
      </c>
    </row>
    <row r="1284" spans="1:1" x14ac:dyDescent="0.25">
      <c r="A1284">
        <v>6596118</v>
      </c>
    </row>
    <row r="1285" spans="1:1" x14ac:dyDescent="0.25">
      <c r="A1285" s="21">
        <v>83272279.450000003</v>
      </c>
    </row>
    <row r="1286" spans="1:1" x14ac:dyDescent="0.25">
      <c r="A1286" s="21">
        <v>48529983.939999998</v>
      </c>
    </row>
    <row r="1287" spans="1:1" x14ac:dyDescent="0.25">
      <c r="A1287" s="21">
        <v>94740324.129999995</v>
      </c>
    </row>
    <row r="1288" spans="1:1" x14ac:dyDescent="0.25">
      <c r="A1288" s="21">
        <v>37269491.229999997</v>
      </c>
    </row>
    <row r="1289" spans="1:1" x14ac:dyDescent="0.25">
      <c r="A1289" s="21">
        <v>190446999.05000001</v>
      </c>
    </row>
    <row r="1290" spans="1:1" x14ac:dyDescent="0.25">
      <c r="A1290" s="21">
        <v>186468986.46000001</v>
      </c>
    </row>
    <row r="1291" spans="1:1" x14ac:dyDescent="0.25">
      <c r="A1291" s="21">
        <v>10057488.970000001</v>
      </c>
    </row>
    <row r="1292" spans="1:1" x14ac:dyDescent="0.25">
      <c r="A1292">
        <v>0</v>
      </c>
    </row>
    <row r="1293" spans="1:1" x14ac:dyDescent="0.25">
      <c r="A1293" s="21">
        <v>8692981.3300000001</v>
      </c>
    </row>
    <row r="1294" spans="1:1" x14ac:dyDescent="0.25">
      <c r="A1294" s="21">
        <v>39384780.369999997</v>
      </c>
    </row>
    <row r="1295" spans="1:1" x14ac:dyDescent="0.25">
      <c r="A1295" s="21">
        <v>48538772.009999998</v>
      </c>
    </row>
    <row r="1296" spans="1:1" x14ac:dyDescent="0.25">
      <c r="A1296" s="21">
        <v>17467967.48</v>
      </c>
    </row>
    <row r="1297" spans="1:1" x14ac:dyDescent="0.25">
      <c r="A1297" s="21">
        <v>47352918.109999999</v>
      </c>
    </row>
    <row r="1298" spans="1:1" x14ac:dyDescent="0.25">
      <c r="A1298" s="21">
        <v>48412486.380000003</v>
      </c>
    </row>
    <row r="1299" spans="1:1" x14ac:dyDescent="0.25">
      <c r="A1299" s="21">
        <v>23974482.989999998</v>
      </c>
    </row>
    <row r="1300" spans="1:1" x14ac:dyDescent="0.25">
      <c r="A1300" s="21">
        <v>299492306.63999999</v>
      </c>
    </row>
    <row r="1301" spans="1:1" x14ac:dyDescent="0.25">
      <c r="A1301">
        <v>13141974</v>
      </c>
    </row>
    <row r="1302" spans="1:1" x14ac:dyDescent="0.25">
      <c r="A1302" s="21">
        <v>23930849.329999998</v>
      </c>
    </row>
    <row r="1303" spans="1:1" x14ac:dyDescent="0.25">
      <c r="A1303" s="21">
        <v>21593798.039999999</v>
      </c>
    </row>
    <row r="1304" spans="1:1" x14ac:dyDescent="0.25">
      <c r="A1304" s="21">
        <v>49595472.609999999</v>
      </c>
    </row>
    <row r="1305" spans="1:1" x14ac:dyDescent="0.25">
      <c r="A1305" s="21">
        <v>46517715.719999999</v>
      </c>
    </row>
    <row r="1306" spans="1:1" x14ac:dyDescent="0.25">
      <c r="A1306" s="21">
        <v>36795397.390000001</v>
      </c>
    </row>
    <row r="1307" spans="1:1" x14ac:dyDescent="0.25">
      <c r="A1307" s="21">
        <v>7258262.7599999998</v>
      </c>
    </row>
    <row r="1308" spans="1:1" x14ac:dyDescent="0.25">
      <c r="A1308" s="21">
        <v>2850462.07</v>
      </c>
    </row>
    <row r="1309" spans="1:1" x14ac:dyDescent="0.25">
      <c r="A1309" s="21">
        <v>59214181.219999999</v>
      </c>
    </row>
    <row r="1310" spans="1:1" x14ac:dyDescent="0.25">
      <c r="A1310" s="21">
        <v>167784288.47999999</v>
      </c>
    </row>
    <row r="1311" spans="1:1" x14ac:dyDescent="0.25">
      <c r="A1311" s="21">
        <v>4369652.2300000004</v>
      </c>
    </row>
    <row r="1312" spans="1:1" x14ac:dyDescent="0.25">
      <c r="A1312">
        <v>12934575</v>
      </c>
    </row>
    <row r="1313" spans="1:1" x14ac:dyDescent="0.25">
      <c r="A1313" s="21">
        <v>59421057.560000002</v>
      </c>
    </row>
    <row r="1314" spans="1:1" x14ac:dyDescent="0.25">
      <c r="A1314" s="21">
        <v>2897647.49</v>
      </c>
    </row>
    <row r="1315" spans="1:1" x14ac:dyDescent="0.25">
      <c r="A1315" s="21">
        <v>49457894.43</v>
      </c>
    </row>
    <row r="1316" spans="1:1" x14ac:dyDescent="0.25">
      <c r="A1316" s="21">
        <v>100301948.65000001</v>
      </c>
    </row>
    <row r="1317" spans="1:1" x14ac:dyDescent="0.25">
      <c r="A1317" s="21">
        <v>21131388.98</v>
      </c>
    </row>
    <row r="1318" spans="1:1" x14ac:dyDescent="0.25">
      <c r="A1318">
        <v>5557455</v>
      </c>
    </row>
    <row r="1319" spans="1:1" x14ac:dyDescent="0.25">
      <c r="A1319" s="21">
        <v>77785846.530000001</v>
      </c>
    </row>
    <row r="1320" spans="1:1" x14ac:dyDescent="0.25">
      <c r="A1320" s="21">
        <v>10444712.41</v>
      </c>
    </row>
    <row r="1321" spans="1:1" x14ac:dyDescent="0.25">
      <c r="A1321" s="21">
        <v>7730386.9699999997</v>
      </c>
    </row>
    <row r="1322" spans="1:1" x14ac:dyDescent="0.25">
      <c r="A1322" s="21">
        <v>21229764.050000001</v>
      </c>
    </row>
    <row r="1323" spans="1:1" x14ac:dyDescent="0.25">
      <c r="A1323" s="21">
        <v>62711921.509999998</v>
      </c>
    </row>
    <row r="1324" spans="1:1" x14ac:dyDescent="0.25">
      <c r="A1324" s="21">
        <v>23737314.16</v>
      </c>
    </row>
    <row r="1325" spans="1:1" x14ac:dyDescent="0.25">
      <c r="A1325" s="21">
        <v>24345203.469999999</v>
      </c>
    </row>
    <row r="1326" spans="1:1" x14ac:dyDescent="0.25">
      <c r="A1326" s="21">
        <v>88362309.129999995</v>
      </c>
    </row>
    <row r="1327" spans="1:1" x14ac:dyDescent="0.25">
      <c r="A1327" s="21">
        <v>17284558.199999999</v>
      </c>
    </row>
    <row r="1328" spans="1:1" x14ac:dyDescent="0.25">
      <c r="A1328" s="21">
        <v>176737173.83000001</v>
      </c>
    </row>
    <row r="1329" spans="1:1" x14ac:dyDescent="0.25">
      <c r="A1329" s="21">
        <v>6974623.5</v>
      </c>
    </row>
    <row r="1330" spans="1:1" x14ac:dyDescent="0.25">
      <c r="A1330" s="21">
        <v>47158562.840000004</v>
      </c>
    </row>
    <row r="1331" spans="1:1" x14ac:dyDescent="0.25">
      <c r="A1331" s="21">
        <v>499846934.06</v>
      </c>
    </row>
    <row r="1332" spans="1:1" x14ac:dyDescent="0.25">
      <c r="A1332" s="21">
        <v>64430261.170000002</v>
      </c>
    </row>
    <row r="1333" spans="1:1" x14ac:dyDescent="0.25">
      <c r="A1333" s="21">
        <v>81101423.799999997</v>
      </c>
    </row>
    <row r="1334" spans="1:1" x14ac:dyDescent="0.25">
      <c r="A1334" s="21">
        <v>77569921.829999998</v>
      </c>
    </row>
    <row r="1335" spans="1:1" x14ac:dyDescent="0.25">
      <c r="A1335" s="21">
        <v>27883388.350000001</v>
      </c>
    </row>
    <row r="1336" spans="1:1" x14ac:dyDescent="0.25">
      <c r="A1336" s="21">
        <v>133633037.65000001</v>
      </c>
    </row>
    <row r="1337" spans="1:1" x14ac:dyDescent="0.25">
      <c r="A1337" s="21">
        <v>14375543.869999999</v>
      </c>
    </row>
    <row r="1338" spans="1:1" x14ac:dyDescent="0.25">
      <c r="A1338" s="21">
        <v>50120431.549999997</v>
      </c>
    </row>
    <row r="1339" spans="1:1" x14ac:dyDescent="0.25">
      <c r="A1339" s="21">
        <v>36653343.380000003</v>
      </c>
    </row>
    <row r="1340" spans="1:1" x14ac:dyDescent="0.25">
      <c r="A1340" s="21">
        <v>77740552.969999999</v>
      </c>
    </row>
    <row r="1341" spans="1:1" x14ac:dyDescent="0.25">
      <c r="A1341">
        <v>0</v>
      </c>
    </row>
    <row r="1342" spans="1:1" x14ac:dyDescent="0.25">
      <c r="A1342" s="21">
        <v>140610676.97999999</v>
      </c>
    </row>
    <row r="1343" spans="1:1" x14ac:dyDescent="0.25">
      <c r="A1343" s="21">
        <v>2823161.58</v>
      </c>
    </row>
    <row r="1344" spans="1:1" x14ac:dyDescent="0.25">
      <c r="A1344" s="21">
        <v>83292854.799999997</v>
      </c>
    </row>
    <row r="1345" spans="1:1" x14ac:dyDescent="0.25">
      <c r="A1345" s="21">
        <v>124680662.59999999</v>
      </c>
    </row>
    <row r="1346" spans="1:1" x14ac:dyDescent="0.25">
      <c r="A1346" s="21">
        <v>57243885.810000002</v>
      </c>
    </row>
    <row r="1347" spans="1:1" x14ac:dyDescent="0.25">
      <c r="A1347" s="21">
        <v>71326330.430000007</v>
      </c>
    </row>
    <row r="1348" spans="1:1" x14ac:dyDescent="0.25">
      <c r="A1348" s="21">
        <v>40686024.5</v>
      </c>
    </row>
    <row r="1349" spans="1:1" x14ac:dyDescent="0.25">
      <c r="A1349" s="21">
        <v>145829844.25999999</v>
      </c>
    </row>
    <row r="1350" spans="1:1" x14ac:dyDescent="0.25">
      <c r="A1350">
        <v>0</v>
      </c>
    </row>
    <row r="1351" spans="1:1" x14ac:dyDescent="0.25">
      <c r="A1351" s="21">
        <v>83841420.25</v>
      </c>
    </row>
    <row r="1352" spans="1:1" x14ac:dyDescent="0.25">
      <c r="A1352" s="21">
        <v>43605624.649999999</v>
      </c>
    </row>
    <row r="1353" spans="1:1" x14ac:dyDescent="0.25">
      <c r="A1353" s="21">
        <v>86426583.609999999</v>
      </c>
    </row>
    <row r="1354" spans="1:1" x14ac:dyDescent="0.25">
      <c r="A1354" s="21">
        <v>32312224.989999998</v>
      </c>
    </row>
    <row r="1355" spans="1:1" x14ac:dyDescent="0.25">
      <c r="A1355" s="21">
        <v>125537131.29000001</v>
      </c>
    </row>
    <row r="1356" spans="1:1" x14ac:dyDescent="0.25">
      <c r="A1356" s="21">
        <v>299980708.41000003</v>
      </c>
    </row>
    <row r="1357" spans="1:1" x14ac:dyDescent="0.25">
      <c r="A1357" s="21">
        <v>26124541.34</v>
      </c>
    </row>
    <row r="1358" spans="1:1" x14ac:dyDescent="0.25">
      <c r="A1358" s="21">
        <v>58609695.719999999</v>
      </c>
    </row>
    <row r="1359" spans="1:1" x14ac:dyDescent="0.25">
      <c r="A1359">
        <v>0</v>
      </c>
    </row>
    <row r="1360" spans="1:1" x14ac:dyDescent="0.25">
      <c r="A1360" s="21">
        <v>194136829.93000001</v>
      </c>
    </row>
    <row r="1361" spans="1:1" x14ac:dyDescent="0.25">
      <c r="A1361" s="21">
        <v>35688480.770000003</v>
      </c>
    </row>
    <row r="1362" spans="1:1" x14ac:dyDescent="0.25">
      <c r="A1362" s="21">
        <v>7343935.6600000001</v>
      </c>
    </row>
    <row r="1363" spans="1:1" x14ac:dyDescent="0.25">
      <c r="A1363" s="21">
        <v>14415431.25</v>
      </c>
    </row>
    <row r="1364" spans="1:1" x14ac:dyDescent="0.25">
      <c r="A1364" s="21">
        <v>68935107.469999999</v>
      </c>
    </row>
    <row r="1365" spans="1:1" x14ac:dyDescent="0.25">
      <c r="A1365" s="21">
        <v>96903636.459999993</v>
      </c>
    </row>
    <row r="1366" spans="1:1" x14ac:dyDescent="0.25">
      <c r="A1366" s="21">
        <v>19561648.84</v>
      </c>
    </row>
    <row r="1367" spans="1:1" x14ac:dyDescent="0.25">
      <c r="A1367" s="21">
        <v>35181752.270000003</v>
      </c>
    </row>
    <row r="1368" spans="1:1" x14ac:dyDescent="0.25">
      <c r="A1368" s="21">
        <v>19638721.57</v>
      </c>
    </row>
    <row r="1369" spans="1:1" x14ac:dyDescent="0.25">
      <c r="A1369" s="21">
        <v>10204103.1</v>
      </c>
    </row>
    <row r="1370" spans="1:1" x14ac:dyDescent="0.25">
      <c r="A1370" s="21">
        <v>14120938.359999999</v>
      </c>
    </row>
    <row r="1371" spans="1:1" x14ac:dyDescent="0.25">
      <c r="A1371" s="21">
        <v>35331927.649999999</v>
      </c>
    </row>
    <row r="1372" spans="1:1" x14ac:dyDescent="0.25">
      <c r="A1372" s="21">
        <v>56527687.409999996</v>
      </c>
    </row>
    <row r="1373" spans="1:1" x14ac:dyDescent="0.25">
      <c r="A1373" s="21">
        <v>162663348.66</v>
      </c>
    </row>
    <row r="1374" spans="1:1" x14ac:dyDescent="0.25">
      <c r="A1374" s="21">
        <v>25571277.899999999</v>
      </c>
    </row>
    <row r="1375" spans="1:1" x14ac:dyDescent="0.25">
      <c r="A1375" s="21">
        <v>62621091.020000003</v>
      </c>
    </row>
    <row r="1376" spans="1:1" x14ac:dyDescent="0.25">
      <c r="A1376" s="21">
        <v>26399309.25</v>
      </c>
    </row>
    <row r="1377" spans="1:1" x14ac:dyDescent="0.25">
      <c r="A1377" s="21">
        <v>70674601.060000002</v>
      </c>
    </row>
    <row r="1378" spans="1:1" x14ac:dyDescent="0.25">
      <c r="A1378" s="21">
        <v>31316204.629999999</v>
      </c>
    </row>
    <row r="1379" spans="1:1" x14ac:dyDescent="0.25">
      <c r="A1379" s="21">
        <v>55526728.289999999</v>
      </c>
    </row>
    <row r="1380" spans="1:1" x14ac:dyDescent="0.25">
      <c r="A1380" s="21">
        <v>68763245.489999905</v>
      </c>
    </row>
    <row r="1381" spans="1:1" x14ac:dyDescent="0.25">
      <c r="A1381" s="21">
        <v>185074453.66</v>
      </c>
    </row>
    <row r="1382" spans="1:1" x14ac:dyDescent="0.25">
      <c r="A1382" s="21">
        <v>460271704.35000002</v>
      </c>
    </row>
    <row r="1383" spans="1:1" x14ac:dyDescent="0.25">
      <c r="A1383" s="21">
        <v>73399402.189999998</v>
      </c>
    </row>
    <row r="1384" spans="1:1" x14ac:dyDescent="0.25">
      <c r="A1384" s="21">
        <v>95063572.790000007</v>
      </c>
    </row>
    <row r="1385" spans="1:1" x14ac:dyDescent="0.25">
      <c r="A1385" s="21">
        <v>26196022.27</v>
      </c>
    </row>
    <row r="1386" spans="1:1" x14ac:dyDescent="0.25">
      <c r="A1386" s="21">
        <v>32127915.440000001</v>
      </c>
    </row>
    <row r="1387" spans="1:1" x14ac:dyDescent="0.25">
      <c r="A1387" s="21">
        <v>18184870.32</v>
      </c>
    </row>
    <row r="1388" spans="1:1" x14ac:dyDescent="0.25">
      <c r="A1388" s="21">
        <v>125374868.65000001</v>
      </c>
    </row>
    <row r="1389" spans="1:1" x14ac:dyDescent="0.25">
      <c r="A1389" s="21">
        <v>192726984.94</v>
      </c>
    </row>
    <row r="1390" spans="1:1" x14ac:dyDescent="0.25">
      <c r="A1390" s="21">
        <v>52964152.82</v>
      </c>
    </row>
    <row r="1391" spans="1:1" x14ac:dyDescent="0.25">
      <c r="A1391">
        <v>0</v>
      </c>
    </row>
    <row r="1392" spans="1:1" x14ac:dyDescent="0.25">
      <c r="A1392" s="21">
        <v>10070124.300000001</v>
      </c>
    </row>
    <row r="1393" spans="1:1" x14ac:dyDescent="0.25">
      <c r="A1393" s="21">
        <v>281980042.04000002</v>
      </c>
    </row>
    <row r="1394" spans="1:1" x14ac:dyDescent="0.25">
      <c r="A1394" s="21">
        <v>14975313.880000001</v>
      </c>
    </row>
    <row r="1395" spans="1:1" x14ac:dyDescent="0.25">
      <c r="A1395" s="21">
        <v>38235076.600000001</v>
      </c>
    </row>
    <row r="1396" spans="1:1" x14ac:dyDescent="0.25">
      <c r="A1396">
        <v>0</v>
      </c>
    </row>
    <row r="1397" spans="1:1" x14ac:dyDescent="0.25">
      <c r="A1397" s="21">
        <v>169974352.56999999</v>
      </c>
    </row>
    <row r="1398" spans="1:1" x14ac:dyDescent="0.25">
      <c r="A1398" s="21">
        <v>31985764.329999998</v>
      </c>
    </row>
    <row r="1399" spans="1:1" x14ac:dyDescent="0.25">
      <c r="A1399">
        <v>0</v>
      </c>
    </row>
    <row r="1400" spans="1:1" x14ac:dyDescent="0.25">
      <c r="A1400" s="21">
        <v>35297962.210000001</v>
      </c>
    </row>
    <row r="1401" spans="1:1" x14ac:dyDescent="0.25">
      <c r="A1401" s="21">
        <v>40375155.099999897</v>
      </c>
    </row>
    <row r="1402" spans="1:1" x14ac:dyDescent="0.25">
      <c r="A1402" s="21">
        <v>77214239.920000002</v>
      </c>
    </row>
    <row r="1403" spans="1:1" x14ac:dyDescent="0.25">
      <c r="A1403" s="21">
        <v>72792321.909999996</v>
      </c>
    </row>
    <row r="1404" spans="1:1" x14ac:dyDescent="0.25">
      <c r="A1404" s="21">
        <v>42866275.82</v>
      </c>
    </row>
    <row r="1405" spans="1:1" x14ac:dyDescent="0.25">
      <c r="A1405" s="21">
        <v>5450746.5</v>
      </c>
    </row>
    <row r="1406" spans="1:1" x14ac:dyDescent="0.25">
      <c r="A1406" s="21">
        <v>75038365.640000001</v>
      </c>
    </row>
    <row r="1407" spans="1:1" x14ac:dyDescent="0.25">
      <c r="A1407" s="21">
        <v>9671123.1199999992</v>
      </c>
    </row>
    <row r="1408" spans="1:1" x14ac:dyDescent="0.25">
      <c r="A1408" s="21">
        <v>22646071.890000001</v>
      </c>
    </row>
    <row r="1409" spans="1:1" x14ac:dyDescent="0.25">
      <c r="A1409" s="21">
        <v>32506402.75</v>
      </c>
    </row>
    <row r="1410" spans="1:1" x14ac:dyDescent="0.25">
      <c r="A1410" s="21">
        <v>96418764.939999998</v>
      </c>
    </row>
    <row r="1411" spans="1:1" x14ac:dyDescent="0.25">
      <c r="A1411" s="21">
        <v>39753568.770000003</v>
      </c>
    </row>
    <row r="1412" spans="1:1" x14ac:dyDescent="0.25">
      <c r="A1412" s="21">
        <v>95211016.959999904</v>
      </c>
    </row>
    <row r="1413" spans="1:1" x14ac:dyDescent="0.25">
      <c r="A1413" s="21">
        <v>99586970.879999995</v>
      </c>
    </row>
    <row r="1414" spans="1:1" x14ac:dyDescent="0.25">
      <c r="A1414" s="21">
        <v>37074564.670000002</v>
      </c>
    </row>
    <row r="1415" spans="1:1" x14ac:dyDescent="0.25">
      <c r="A1415" s="21">
        <v>107369434.52</v>
      </c>
    </row>
    <row r="1416" spans="1:1" x14ac:dyDescent="0.25">
      <c r="A1416" s="21">
        <v>82211113.689999998</v>
      </c>
    </row>
    <row r="1417" spans="1:1" x14ac:dyDescent="0.25">
      <c r="A1417" s="21">
        <v>11648392.869999999</v>
      </c>
    </row>
    <row r="1418" spans="1:1" x14ac:dyDescent="0.25">
      <c r="A1418" s="21">
        <v>12720794.25</v>
      </c>
    </row>
    <row r="1419" spans="1:1" x14ac:dyDescent="0.25">
      <c r="A1419" s="21">
        <v>143955737.22999999</v>
      </c>
    </row>
    <row r="1420" spans="1:1" x14ac:dyDescent="0.25">
      <c r="A1420" s="21">
        <v>23738968.760000002</v>
      </c>
    </row>
    <row r="1421" spans="1:1" x14ac:dyDescent="0.25">
      <c r="A1421" s="21">
        <v>10171288.76</v>
      </c>
    </row>
    <row r="1422" spans="1:1" x14ac:dyDescent="0.25">
      <c r="A1422" s="21">
        <v>21099860.199999999</v>
      </c>
    </row>
    <row r="1423" spans="1:1" x14ac:dyDescent="0.25">
      <c r="A1423" s="21">
        <v>64101098.420000002</v>
      </c>
    </row>
    <row r="1424" spans="1:1" x14ac:dyDescent="0.25">
      <c r="A1424" s="21">
        <v>68447214.709999904</v>
      </c>
    </row>
    <row r="1425" spans="1:1" x14ac:dyDescent="0.25">
      <c r="A1425" s="21">
        <v>16643885.039999999</v>
      </c>
    </row>
    <row r="1426" spans="1:1" x14ac:dyDescent="0.25">
      <c r="A1426" s="21">
        <v>133669712.94</v>
      </c>
    </row>
    <row r="1427" spans="1:1" x14ac:dyDescent="0.25">
      <c r="A1427" s="21">
        <v>117663221.09</v>
      </c>
    </row>
    <row r="1428" spans="1:1" x14ac:dyDescent="0.25">
      <c r="A1428" s="21">
        <v>71713408.939999998</v>
      </c>
    </row>
    <row r="1429" spans="1:1" x14ac:dyDescent="0.25">
      <c r="A1429" s="21">
        <v>254368761.41999999</v>
      </c>
    </row>
    <row r="1430" spans="1:1" x14ac:dyDescent="0.25">
      <c r="A1430" s="21">
        <v>47065208.310000002</v>
      </c>
    </row>
    <row r="1431" spans="1:1" x14ac:dyDescent="0.25">
      <c r="A1431" s="21">
        <v>25766304.039999999</v>
      </c>
    </row>
    <row r="1432" spans="1:1" x14ac:dyDescent="0.25">
      <c r="A1432" s="21">
        <v>10130769.17</v>
      </c>
    </row>
    <row r="1433" spans="1:1" x14ac:dyDescent="0.25">
      <c r="A1433" s="21">
        <v>72516493.640000001</v>
      </c>
    </row>
    <row r="1434" spans="1:1" x14ac:dyDescent="0.25">
      <c r="A1434" s="21">
        <v>519791538.50999999</v>
      </c>
    </row>
    <row r="1435" spans="1:1" x14ac:dyDescent="0.25">
      <c r="A1435" s="21">
        <v>14717746.1</v>
      </c>
    </row>
    <row r="1436" spans="1:1" x14ac:dyDescent="0.25">
      <c r="A1436" s="21">
        <v>30653269.379999999</v>
      </c>
    </row>
    <row r="1437" spans="1:1" x14ac:dyDescent="0.25">
      <c r="A1437" s="21">
        <v>111911875.12</v>
      </c>
    </row>
    <row r="1438" spans="1:1" x14ac:dyDescent="0.25">
      <c r="A1438" s="21">
        <v>49250040.329999998</v>
      </c>
    </row>
    <row r="1439" spans="1:1" x14ac:dyDescent="0.25">
      <c r="A1439" s="21">
        <v>58571357.210000001</v>
      </c>
    </row>
    <row r="1440" spans="1:1" x14ac:dyDescent="0.25">
      <c r="A1440" s="21">
        <v>41111693.619999997</v>
      </c>
    </row>
    <row r="1441" spans="1:1" x14ac:dyDescent="0.25">
      <c r="A1441" s="21">
        <v>9302894.6099999901</v>
      </c>
    </row>
    <row r="1442" spans="1:1" x14ac:dyDescent="0.25">
      <c r="A1442" s="21">
        <v>54216425.999999903</v>
      </c>
    </row>
    <row r="1443" spans="1:1" x14ac:dyDescent="0.25">
      <c r="A1443" s="21">
        <v>35132873.049999997</v>
      </c>
    </row>
    <row r="1444" spans="1:1" x14ac:dyDescent="0.25">
      <c r="A1444" s="21">
        <v>22505485.420000002</v>
      </c>
    </row>
    <row r="1445" spans="1:1" x14ac:dyDescent="0.25">
      <c r="A1445" s="21">
        <v>100060164.63</v>
      </c>
    </row>
    <row r="1446" spans="1:1" x14ac:dyDescent="0.25">
      <c r="A1446" s="21">
        <v>104988667.63</v>
      </c>
    </row>
    <row r="1447" spans="1:1" x14ac:dyDescent="0.25">
      <c r="A1447" s="21">
        <v>4623034.84</v>
      </c>
    </row>
    <row r="1448" spans="1:1" x14ac:dyDescent="0.25">
      <c r="A1448" s="21">
        <v>4554629.8499999996</v>
      </c>
    </row>
    <row r="1449" spans="1:1" x14ac:dyDescent="0.25">
      <c r="A1449" s="21">
        <v>161745916.44</v>
      </c>
    </row>
    <row r="1450" spans="1:1" x14ac:dyDescent="0.25">
      <c r="A1450" s="21">
        <v>19620928.289999999</v>
      </c>
    </row>
    <row r="1451" spans="1:1" x14ac:dyDescent="0.25">
      <c r="A1451">
        <v>0</v>
      </c>
    </row>
    <row r="1452" spans="1:1" x14ac:dyDescent="0.25">
      <c r="A1452" s="21">
        <v>67426224.349999994</v>
      </c>
    </row>
    <row r="1453" spans="1:1" x14ac:dyDescent="0.25">
      <c r="A1453">
        <v>14177625</v>
      </c>
    </row>
    <row r="1454" spans="1:1" x14ac:dyDescent="0.25">
      <c r="A1454">
        <v>0</v>
      </c>
    </row>
    <row r="1455" spans="1:1" x14ac:dyDescent="0.25">
      <c r="A1455" s="21">
        <v>207415386.78</v>
      </c>
    </row>
    <row r="1456" spans="1:1" x14ac:dyDescent="0.25">
      <c r="A1456" s="21">
        <v>39686684.960000001</v>
      </c>
    </row>
    <row r="1457" spans="1:1" x14ac:dyDescent="0.25">
      <c r="A1457" s="21">
        <v>17555121.140000001</v>
      </c>
    </row>
    <row r="1458" spans="1:1" x14ac:dyDescent="0.25">
      <c r="A1458" s="21">
        <v>71389889.159999996</v>
      </c>
    </row>
    <row r="1459" spans="1:1" x14ac:dyDescent="0.25">
      <c r="A1459" s="21">
        <v>71198585.969999999</v>
      </c>
    </row>
    <row r="1460" spans="1:1" x14ac:dyDescent="0.25">
      <c r="A1460" s="21">
        <v>22331731.120000001</v>
      </c>
    </row>
    <row r="1461" spans="1:1" x14ac:dyDescent="0.25">
      <c r="A1461" s="21">
        <v>79394868.9799999</v>
      </c>
    </row>
    <row r="1462" spans="1:1" x14ac:dyDescent="0.25">
      <c r="A1462" s="21">
        <v>42910393.280000001</v>
      </c>
    </row>
    <row r="1463" spans="1:1" x14ac:dyDescent="0.25">
      <c r="A1463" s="21">
        <v>20962731.670000002</v>
      </c>
    </row>
    <row r="1464" spans="1:1" x14ac:dyDescent="0.25">
      <c r="A1464" s="21">
        <v>254992483.59</v>
      </c>
    </row>
    <row r="1465" spans="1:1" x14ac:dyDescent="0.25">
      <c r="A1465" s="21">
        <v>89415083.260000005</v>
      </c>
    </row>
    <row r="1466" spans="1:1" x14ac:dyDescent="0.25">
      <c r="A1466">
        <v>0</v>
      </c>
    </row>
    <row r="1467" spans="1:1" x14ac:dyDescent="0.25">
      <c r="A1467" s="21">
        <v>381441618.44999999</v>
      </c>
    </row>
    <row r="1468" spans="1:1" x14ac:dyDescent="0.25">
      <c r="A1468" s="21">
        <v>93702398.879999995</v>
      </c>
    </row>
    <row r="1469" spans="1:1" x14ac:dyDescent="0.25">
      <c r="A1469" s="21">
        <v>45419609.689999998</v>
      </c>
    </row>
    <row r="1470" spans="1:1" x14ac:dyDescent="0.25">
      <c r="A1470" s="21">
        <v>68050101.629999995</v>
      </c>
    </row>
    <row r="1471" spans="1:1" x14ac:dyDescent="0.25">
      <c r="A1471" s="21">
        <v>230865204.03999999</v>
      </c>
    </row>
    <row r="1472" spans="1:1" x14ac:dyDescent="0.25">
      <c r="A1472">
        <v>37536399</v>
      </c>
    </row>
    <row r="1473" spans="1:1" x14ac:dyDescent="0.25">
      <c r="A1473" s="21">
        <v>22758147.300000001</v>
      </c>
    </row>
    <row r="1474" spans="1:1" x14ac:dyDescent="0.25">
      <c r="A1474" s="21">
        <v>3250239.68</v>
      </c>
    </row>
    <row r="1475" spans="1:1" x14ac:dyDescent="0.25">
      <c r="A1475" s="21">
        <v>3094721.29</v>
      </c>
    </row>
    <row r="1476" spans="1:1" x14ac:dyDescent="0.25">
      <c r="A1476" s="21">
        <v>307628611.50999999</v>
      </c>
    </row>
    <row r="1477" spans="1:1" x14ac:dyDescent="0.25">
      <c r="A1477" s="21">
        <v>75954691.75</v>
      </c>
    </row>
    <row r="1478" spans="1:1" x14ac:dyDescent="0.25">
      <c r="A1478" s="21">
        <v>329663464.22000003</v>
      </c>
    </row>
    <row r="1479" spans="1:1" x14ac:dyDescent="0.25">
      <c r="A1479" s="21">
        <v>104486088.3</v>
      </c>
    </row>
    <row r="1480" spans="1:1" x14ac:dyDescent="0.25">
      <c r="A1480" s="21">
        <v>99456209.969999999</v>
      </c>
    </row>
    <row r="1481" spans="1:1" x14ac:dyDescent="0.25">
      <c r="A1481" s="21">
        <v>136102250.38999999</v>
      </c>
    </row>
    <row r="1482" spans="1:1" x14ac:dyDescent="0.25">
      <c r="A1482" s="21">
        <v>9754524.8399999999</v>
      </c>
    </row>
    <row r="1483" spans="1:1" x14ac:dyDescent="0.25">
      <c r="A1483" s="21">
        <v>59329241.25</v>
      </c>
    </row>
    <row r="1484" spans="1:1" x14ac:dyDescent="0.25">
      <c r="A1484" s="21">
        <v>80251173.189999998</v>
      </c>
    </row>
    <row r="1485" spans="1:1" x14ac:dyDescent="0.25">
      <c r="A1485" s="21">
        <v>350648346.07999998</v>
      </c>
    </row>
    <row r="1486" spans="1:1" x14ac:dyDescent="0.25">
      <c r="A1486" s="21">
        <v>9907494.5700000003</v>
      </c>
    </row>
    <row r="1487" spans="1:1" x14ac:dyDescent="0.25">
      <c r="A1487" s="21">
        <v>119513149.04000001</v>
      </c>
    </row>
    <row r="1488" spans="1:1" x14ac:dyDescent="0.25">
      <c r="A1488" s="21">
        <v>55295193.149999999</v>
      </c>
    </row>
    <row r="1489" spans="1:1" x14ac:dyDescent="0.25">
      <c r="A1489" s="21">
        <v>25677285.32</v>
      </c>
    </row>
    <row r="1490" spans="1:1" x14ac:dyDescent="0.25">
      <c r="A1490" s="21">
        <v>16318025.109999999</v>
      </c>
    </row>
    <row r="1491" spans="1:1" x14ac:dyDescent="0.25">
      <c r="A1491" s="21">
        <v>21031966.739999998</v>
      </c>
    </row>
    <row r="1492" spans="1:1" x14ac:dyDescent="0.25">
      <c r="A1492" s="21">
        <v>224233922.19999999</v>
      </c>
    </row>
    <row r="1493" spans="1:1" x14ac:dyDescent="0.25">
      <c r="A1493" s="21">
        <v>64666957.82</v>
      </c>
    </row>
    <row r="1494" spans="1:1" x14ac:dyDescent="0.25">
      <c r="A1494" s="21">
        <v>36609847.780000001</v>
      </c>
    </row>
    <row r="1495" spans="1:1" x14ac:dyDescent="0.25">
      <c r="A1495" s="21">
        <v>161675014.59999999</v>
      </c>
    </row>
    <row r="1496" spans="1:1" x14ac:dyDescent="0.25">
      <c r="A1496" s="21">
        <v>79503450.829999998</v>
      </c>
    </row>
    <row r="1497" spans="1:1" x14ac:dyDescent="0.25">
      <c r="A1497" s="21">
        <v>86344844.400000006</v>
      </c>
    </row>
    <row r="1498" spans="1:1" x14ac:dyDescent="0.25">
      <c r="A1498" s="21">
        <v>5976583.5</v>
      </c>
    </row>
    <row r="1499" spans="1:1" x14ac:dyDescent="0.25">
      <c r="A1499" s="21">
        <v>330529658.70999998</v>
      </c>
    </row>
    <row r="1500" spans="1:1" x14ac:dyDescent="0.25">
      <c r="A1500" s="21">
        <v>38376648.670000002</v>
      </c>
    </row>
    <row r="1501" spans="1:1" x14ac:dyDescent="0.25">
      <c r="A1501" s="21">
        <v>29552423.23</v>
      </c>
    </row>
    <row r="1502" spans="1:1" x14ac:dyDescent="0.25">
      <c r="A1502" s="21">
        <v>32525465.879999999</v>
      </c>
    </row>
    <row r="1503" spans="1:1" x14ac:dyDescent="0.25">
      <c r="A1503" s="21">
        <v>101179825.41</v>
      </c>
    </row>
    <row r="1504" spans="1:1" x14ac:dyDescent="0.25">
      <c r="A1504" s="21">
        <v>181414562.22</v>
      </c>
    </row>
    <row r="1505" spans="1:1" x14ac:dyDescent="0.25">
      <c r="A1505" s="21">
        <v>56807755.409999996</v>
      </c>
    </row>
    <row r="1506" spans="1:1" x14ac:dyDescent="0.25">
      <c r="A1506" s="21">
        <v>93905992.810000002</v>
      </c>
    </row>
    <row r="1507" spans="1:1" x14ac:dyDescent="0.25">
      <c r="A1507" s="21">
        <v>14885729.710000001</v>
      </c>
    </row>
    <row r="1508" spans="1:1" x14ac:dyDescent="0.25">
      <c r="A1508" s="21">
        <v>92410981.75</v>
      </c>
    </row>
    <row r="1509" spans="1:1" x14ac:dyDescent="0.25">
      <c r="A1509" s="21">
        <v>91398756.629999995</v>
      </c>
    </row>
    <row r="1510" spans="1:1" x14ac:dyDescent="0.25">
      <c r="A1510" s="21">
        <v>11575967.189999999</v>
      </c>
    </row>
    <row r="1511" spans="1:1" x14ac:dyDescent="0.25">
      <c r="A1511" s="21">
        <v>6960839.25</v>
      </c>
    </row>
    <row r="1512" spans="1:1" x14ac:dyDescent="0.25">
      <c r="A1512" s="21">
        <v>83721895.159999996</v>
      </c>
    </row>
    <row r="1513" spans="1:1" x14ac:dyDescent="0.25">
      <c r="A1513" s="21">
        <v>57318364.119999997</v>
      </c>
    </row>
    <row r="1514" spans="1:1" x14ac:dyDescent="0.25">
      <c r="A1514" s="21">
        <v>74884077.090000004</v>
      </c>
    </row>
    <row r="1515" spans="1:1" x14ac:dyDescent="0.25">
      <c r="A1515" s="21">
        <v>71452669.689999998</v>
      </c>
    </row>
    <row r="1516" spans="1:1" x14ac:dyDescent="0.25">
      <c r="A1516" s="21">
        <v>48748246.460000001</v>
      </c>
    </row>
    <row r="1517" spans="1:1" x14ac:dyDescent="0.25">
      <c r="A1517" s="21">
        <v>121803515.15000001</v>
      </c>
    </row>
    <row r="1518" spans="1:1" x14ac:dyDescent="0.25">
      <c r="A1518" s="21">
        <v>6873111.75</v>
      </c>
    </row>
    <row r="1519" spans="1:1" x14ac:dyDescent="0.25">
      <c r="A1519" s="21">
        <v>99210848.079999998</v>
      </c>
    </row>
    <row r="1520" spans="1:1" x14ac:dyDescent="0.25">
      <c r="A1520" s="21">
        <v>2862897.27</v>
      </c>
    </row>
    <row r="1521" spans="1:1" x14ac:dyDescent="0.25">
      <c r="A1521">
        <v>0</v>
      </c>
    </row>
    <row r="1522" spans="1:1" x14ac:dyDescent="0.25">
      <c r="A1522" s="21">
        <v>106866508.23999999</v>
      </c>
    </row>
    <row r="1523" spans="1:1" x14ac:dyDescent="0.25">
      <c r="A1523" s="21">
        <v>22731011.190000001</v>
      </c>
    </row>
    <row r="1524" spans="1:1" x14ac:dyDescent="0.25">
      <c r="A1524" s="21">
        <v>142656574.80000001</v>
      </c>
    </row>
    <row r="1525" spans="1:1" x14ac:dyDescent="0.25">
      <c r="A1525" s="21">
        <v>127028049.75</v>
      </c>
    </row>
    <row r="1526" spans="1:1" x14ac:dyDescent="0.25">
      <c r="A1526" s="21">
        <v>219008681.06</v>
      </c>
    </row>
    <row r="1527" spans="1:1" x14ac:dyDescent="0.25">
      <c r="A1527" s="21">
        <v>3540608.3</v>
      </c>
    </row>
    <row r="1528" spans="1:1" x14ac:dyDescent="0.25">
      <c r="A1528" s="21">
        <v>44321957.609999999</v>
      </c>
    </row>
    <row r="1529" spans="1:1" x14ac:dyDescent="0.25">
      <c r="A1529" s="21">
        <v>26442770.940000001</v>
      </c>
    </row>
    <row r="1530" spans="1:1" x14ac:dyDescent="0.25">
      <c r="A1530" s="21">
        <v>11219511.130000001</v>
      </c>
    </row>
    <row r="1531" spans="1:1" x14ac:dyDescent="0.25">
      <c r="A1531" s="21">
        <v>175585615.00999999</v>
      </c>
    </row>
    <row r="1532" spans="1:1" x14ac:dyDescent="0.25">
      <c r="A1532" s="21">
        <v>31813988.710000001</v>
      </c>
    </row>
    <row r="1533" spans="1:1" x14ac:dyDescent="0.25">
      <c r="A1533" s="21">
        <v>144874331.78999999</v>
      </c>
    </row>
    <row r="1534" spans="1:1" x14ac:dyDescent="0.25">
      <c r="A1534" s="21">
        <v>106430926.59999999</v>
      </c>
    </row>
    <row r="1535" spans="1:1" x14ac:dyDescent="0.25">
      <c r="A1535" s="21">
        <v>53558034.32</v>
      </c>
    </row>
    <row r="1536" spans="1:1" x14ac:dyDescent="0.25">
      <c r="A1536" s="21">
        <v>20377945.149999999</v>
      </c>
    </row>
    <row r="1537" spans="1:1" x14ac:dyDescent="0.25">
      <c r="A1537" s="21">
        <v>26550815.530000001</v>
      </c>
    </row>
    <row r="1538" spans="1:1" x14ac:dyDescent="0.25">
      <c r="A1538">
        <v>0</v>
      </c>
    </row>
    <row r="1539" spans="1:1" x14ac:dyDescent="0.25">
      <c r="A1539" s="21">
        <v>74860504.400000006</v>
      </c>
    </row>
    <row r="1540" spans="1:1" x14ac:dyDescent="0.25">
      <c r="A1540" s="21">
        <v>28850582.379999999</v>
      </c>
    </row>
    <row r="1541" spans="1:1" x14ac:dyDescent="0.25">
      <c r="A1541" s="21">
        <v>13856632.300000001</v>
      </c>
    </row>
    <row r="1542" spans="1:1" x14ac:dyDescent="0.25">
      <c r="A1542" s="21">
        <v>14595248.720000001</v>
      </c>
    </row>
    <row r="1543" spans="1:1" x14ac:dyDescent="0.25">
      <c r="A1543" s="21">
        <v>23831082.100000001</v>
      </c>
    </row>
    <row r="1544" spans="1:1" x14ac:dyDescent="0.25">
      <c r="A1544" s="21">
        <v>36647840.259999998</v>
      </c>
    </row>
    <row r="1545" spans="1:1" x14ac:dyDescent="0.25">
      <c r="A1545" s="21">
        <v>116265119.03</v>
      </c>
    </row>
    <row r="1546" spans="1:1" x14ac:dyDescent="0.25">
      <c r="A1546" s="21">
        <v>4338024.88</v>
      </c>
    </row>
    <row r="1547" spans="1:1" x14ac:dyDescent="0.25">
      <c r="A1547" s="21">
        <v>97250221.420000002</v>
      </c>
    </row>
    <row r="1548" spans="1:1" x14ac:dyDescent="0.25">
      <c r="A1548" s="21">
        <v>16922934.399999999</v>
      </c>
    </row>
    <row r="1549" spans="1:1" x14ac:dyDescent="0.25">
      <c r="A1549" s="21">
        <v>59771823.170000002</v>
      </c>
    </row>
    <row r="1550" spans="1:1" x14ac:dyDescent="0.25">
      <c r="A1550" s="21">
        <v>68286247.389999896</v>
      </c>
    </row>
    <row r="1551" spans="1:1" x14ac:dyDescent="0.25">
      <c r="A1551" s="21">
        <v>12823569.75</v>
      </c>
    </row>
    <row r="1552" spans="1:1" x14ac:dyDescent="0.25">
      <c r="A1552" s="21">
        <v>18211775.100000001</v>
      </c>
    </row>
    <row r="1553" spans="1:1" x14ac:dyDescent="0.25">
      <c r="A1553" s="21">
        <v>31087851.289999999</v>
      </c>
    </row>
    <row r="1554" spans="1:1" x14ac:dyDescent="0.25">
      <c r="A1554" s="21">
        <v>24993979.09</v>
      </c>
    </row>
    <row r="1555" spans="1:1" x14ac:dyDescent="0.25">
      <c r="A1555" s="21">
        <v>76527521.040000007</v>
      </c>
    </row>
    <row r="1556" spans="1:1" x14ac:dyDescent="0.25">
      <c r="A1556" s="21">
        <v>87318528.409999996</v>
      </c>
    </row>
    <row r="1557" spans="1:1" x14ac:dyDescent="0.25">
      <c r="A1557" s="21">
        <v>42323107.68</v>
      </c>
    </row>
    <row r="1558" spans="1:1" x14ac:dyDescent="0.25">
      <c r="A1558" s="21">
        <v>31767124.329999998</v>
      </c>
    </row>
    <row r="1559" spans="1:1" x14ac:dyDescent="0.25">
      <c r="A1559" s="21">
        <v>46666703.090000004</v>
      </c>
    </row>
    <row r="1560" spans="1:1" x14ac:dyDescent="0.25">
      <c r="A1560" s="21">
        <v>8331669.7599999998</v>
      </c>
    </row>
    <row r="1561" spans="1:1" x14ac:dyDescent="0.25">
      <c r="A1561" s="21">
        <v>7284205.8300000001</v>
      </c>
    </row>
    <row r="1562" spans="1:1" x14ac:dyDescent="0.25">
      <c r="A1562" s="21">
        <v>66106552.079999998</v>
      </c>
    </row>
    <row r="1563" spans="1:1" x14ac:dyDescent="0.25">
      <c r="A1563" s="21">
        <v>15710177.41</v>
      </c>
    </row>
    <row r="1564" spans="1:1" x14ac:dyDescent="0.25">
      <c r="A1564" s="21">
        <v>92673267.730000004</v>
      </c>
    </row>
    <row r="1565" spans="1:1" x14ac:dyDescent="0.25">
      <c r="A1565" s="21">
        <v>14624556.199999999</v>
      </c>
    </row>
    <row r="1566" spans="1:1" x14ac:dyDescent="0.25">
      <c r="A1566" s="21">
        <v>82127686.389999896</v>
      </c>
    </row>
    <row r="1567" spans="1:1" x14ac:dyDescent="0.25">
      <c r="A1567" s="21">
        <v>16889248.109999999</v>
      </c>
    </row>
    <row r="1568" spans="1:1" x14ac:dyDescent="0.25">
      <c r="A1568" s="21">
        <v>27301354.289999999</v>
      </c>
    </row>
    <row r="1569" spans="1:1" x14ac:dyDescent="0.25">
      <c r="A1569" s="21">
        <v>63208909.420000002</v>
      </c>
    </row>
    <row r="1570" spans="1:1" x14ac:dyDescent="0.25">
      <c r="A1570" s="21">
        <v>24791100.75</v>
      </c>
    </row>
    <row r="1571" spans="1:1" x14ac:dyDescent="0.25">
      <c r="A1571" s="21">
        <v>29160043.899999999</v>
      </c>
    </row>
    <row r="1572" spans="1:1" x14ac:dyDescent="0.25">
      <c r="A1572" s="21">
        <v>48992438.590000004</v>
      </c>
    </row>
    <row r="1573" spans="1:1" x14ac:dyDescent="0.25">
      <c r="A1573" s="21">
        <v>17716460.539999999</v>
      </c>
    </row>
    <row r="1574" spans="1:1" x14ac:dyDescent="0.25">
      <c r="A1574" s="21">
        <v>68079389.329999998</v>
      </c>
    </row>
    <row r="1575" spans="1:1" x14ac:dyDescent="0.25">
      <c r="A1575">
        <v>0</v>
      </c>
    </row>
    <row r="1576" spans="1:1" x14ac:dyDescent="0.25">
      <c r="A1576" s="21">
        <v>40761563.020000003</v>
      </c>
    </row>
    <row r="1577" spans="1:1" x14ac:dyDescent="0.25">
      <c r="A1577" s="21">
        <v>17105803.66</v>
      </c>
    </row>
    <row r="1578" spans="1:1" x14ac:dyDescent="0.25">
      <c r="A1578" s="21">
        <v>480323429.55000001</v>
      </c>
    </row>
    <row r="1579" spans="1:1" x14ac:dyDescent="0.25">
      <c r="A1579" s="21">
        <v>72398032.370000005</v>
      </c>
    </row>
    <row r="1580" spans="1:1" x14ac:dyDescent="0.25">
      <c r="A1580" s="21">
        <v>68034925.849999905</v>
      </c>
    </row>
    <row r="1581" spans="1:1" x14ac:dyDescent="0.25">
      <c r="A1581">
        <v>12682254</v>
      </c>
    </row>
    <row r="1582" spans="1:1" x14ac:dyDescent="0.25">
      <c r="A1582" s="21">
        <v>34811039.719999999</v>
      </c>
    </row>
    <row r="1583" spans="1:1" x14ac:dyDescent="0.25">
      <c r="A1583" s="21">
        <v>17025714.93</v>
      </c>
    </row>
    <row r="1584" spans="1:1" x14ac:dyDescent="0.25">
      <c r="A1584" s="21">
        <v>133516481.86</v>
      </c>
    </row>
    <row r="1585" spans="1:1" x14ac:dyDescent="0.25">
      <c r="A1585" s="21">
        <v>34452201.020000003</v>
      </c>
    </row>
    <row r="1586" spans="1:1" x14ac:dyDescent="0.25">
      <c r="A1586" s="21">
        <v>30567437.940000001</v>
      </c>
    </row>
    <row r="1587" spans="1:1" x14ac:dyDescent="0.25">
      <c r="A1587" s="21">
        <v>19337024.260000002</v>
      </c>
    </row>
    <row r="1588" spans="1:1" x14ac:dyDescent="0.25">
      <c r="A1588" s="21">
        <v>5812784.25</v>
      </c>
    </row>
    <row r="1589" spans="1:1" x14ac:dyDescent="0.25">
      <c r="A1589" s="21">
        <v>117520210.17</v>
      </c>
    </row>
    <row r="1590" spans="1:1" x14ac:dyDescent="0.25">
      <c r="A1590" s="21">
        <v>328996333.38</v>
      </c>
    </row>
    <row r="1591" spans="1:1" x14ac:dyDescent="0.25">
      <c r="A1591">
        <v>0</v>
      </c>
    </row>
    <row r="1592" spans="1:1" x14ac:dyDescent="0.25">
      <c r="A1592" s="21">
        <v>178507221.52000001</v>
      </c>
    </row>
    <row r="1593" spans="1:1" x14ac:dyDescent="0.25">
      <c r="A1593" s="21">
        <v>23884962.539999999</v>
      </c>
    </row>
    <row r="1594" spans="1:1" x14ac:dyDescent="0.25">
      <c r="A1594" s="21">
        <v>318677594.39999998</v>
      </c>
    </row>
    <row r="1595" spans="1:1" x14ac:dyDescent="0.25">
      <c r="A1595" s="21">
        <v>132692072.13</v>
      </c>
    </row>
    <row r="1596" spans="1:1" x14ac:dyDescent="0.25">
      <c r="A1596">
        <v>6844095</v>
      </c>
    </row>
    <row r="1597" spans="1:1" x14ac:dyDescent="0.25">
      <c r="A1597" s="21">
        <v>6581817.3600000003</v>
      </c>
    </row>
    <row r="1598" spans="1:1" x14ac:dyDescent="0.25">
      <c r="A1598" s="21">
        <v>152962142.75</v>
      </c>
    </row>
    <row r="1599" spans="1:1" x14ac:dyDescent="0.25">
      <c r="A1599">
        <v>0</v>
      </c>
    </row>
    <row r="1600" spans="1:1" x14ac:dyDescent="0.25">
      <c r="A1600" s="21">
        <v>46062294.240000002</v>
      </c>
    </row>
    <row r="1601" spans="1:1" x14ac:dyDescent="0.25">
      <c r="A1601" s="21">
        <v>13033486.300000001</v>
      </c>
    </row>
    <row r="1602" spans="1:1" x14ac:dyDescent="0.25">
      <c r="A1602" s="21">
        <v>62957695.469999999</v>
      </c>
    </row>
    <row r="1603" spans="1:1" x14ac:dyDescent="0.25">
      <c r="A1603" s="21">
        <v>122212440.23999999</v>
      </c>
    </row>
    <row r="1604" spans="1:1" x14ac:dyDescent="0.25">
      <c r="A1604" s="21">
        <v>155806275.36000001</v>
      </c>
    </row>
    <row r="1605" spans="1:1" x14ac:dyDescent="0.25">
      <c r="A1605" s="21">
        <v>14018998.470000001</v>
      </c>
    </row>
    <row r="1606" spans="1:1" x14ac:dyDescent="0.25">
      <c r="A1606" s="21">
        <v>37892220.460000001</v>
      </c>
    </row>
    <row r="1607" spans="1:1" x14ac:dyDescent="0.25">
      <c r="A1607" s="21">
        <v>25639039.600000001</v>
      </c>
    </row>
    <row r="1608" spans="1:1" x14ac:dyDescent="0.25">
      <c r="A1608" s="21">
        <v>10802738.699999999</v>
      </c>
    </row>
    <row r="1609" spans="1:1" x14ac:dyDescent="0.25">
      <c r="A1609" s="21">
        <v>10027387.5</v>
      </c>
    </row>
    <row r="1610" spans="1:1" x14ac:dyDescent="0.25">
      <c r="A1610" s="21">
        <v>14750557.609999999</v>
      </c>
    </row>
    <row r="1611" spans="1:1" x14ac:dyDescent="0.25">
      <c r="A1611" s="21">
        <v>16979840.23</v>
      </c>
    </row>
    <row r="1612" spans="1:1" x14ac:dyDescent="0.25">
      <c r="A1612">
        <v>0</v>
      </c>
    </row>
    <row r="1613" spans="1:1" x14ac:dyDescent="0.25">
      <c r="A1613" s="21">
        <v>28783344.27</v>
      </c>
    </row>
    <row r="1614" spans="1:1" x14ac:dyDescent="0.25">
      <c r="A1614" s="21">
        <v>168730688.91999999</v>
      </c>
    </row>
    <row r="1615" spans="1:1" x14ac:dyDescent="0.25">
      <c r="A1615" s="21">
        <v>32825111.949999999</v>
      </c>
    </row>
    <row r="1616" spans="1:1" x14ac:dyDescent="0.25">
      <c r="A1616" s="21">
        <v>69790399.329999998</v>
      </c>
    </row>
    <row r="1617" spans="1:1" x14ac:dyDescent="0.25">
      <c r="A1617" s="21">
        <v>7397158.5</v>
      </c>
    </row>
    <row r="1618" spans="1:1" x14ac:dyDescent="0.25">
      <c r="A1618" s="21">
        <v>85100739.480000004</v>
      </c>
    </row>
    <row r="1619" spans="1:1" x14ac:dyDescent="0.25">
      <c r="A1619" s="21">
        <v>34060506.740000002</v>
      </c>
    </row>
    <row r="1620" spans="1:1" x14ac:dyDescent="0.25">
      <c r="A1620" s="21">
        <v>11567929.199999999</v>
      </c>
    </row>
    <row r="1621" spans="1:1" x14ac:dyDescent="0.25">
      <c r="A1621" s="21">
        <v>23102683.170000002</v>
      </c>
    </row>
    <row r="1622" spans="1:1" x14ac:dyDescent="0.25">
      <c r="A1622" s="21">
        <v>15243129.289999999</v>
      </c>
    </row>
    <row r="1623" spans="1:1" x14ac:dyDescent="0.25">
      <c r="A1623" s="21">
        <v>231801579.83000001</v>
      </c>
    </row>
    <row r="1624" spans="1:1" x14ac:dyDescent="0.25">
      <c r="A1624" s="21">
        <v>33293190.850000001</v>
      </c>
    </row>
    <row r="1625" spans="1:1" x14ac:dyDescent="0.25">
      <c r="A1625" s="21">
        <v>171417161.27000001</v>
      </c>
    </row>
    <row r="1626" spans="1:1" x14ac:dyDescent="0.25">
      <c r="A1626" s="21">
        <v>52532498.049999997</v>
      </c>
    </row>
    <row r="1627" spans="1:1" x14ac:dyDescent="0.25">
      <c r="A1627" s="21">
        <v>39834535.460000001</v>
      </c>
    </row>
    <row r="1628" spans="1:1" x14ac:dyDescent="0.25">
      <c r="A1628" s="21">
        <v>124130135.29000001</v>
      </c>
    </row>
    <row r="1629" spans="1:1" x14ac:dyDescent="0.25">
      <c r="A1629" s="21">
        <v>41076035.200000003</v>
      </c>
    </row>
    <row r="1630" spans="1:1" x14ac:dyDescent="0.25">
      <c r="A1630" s="21">
        <v>273768183.37</v>
      </c>
    </row>
    <row r="1631" spans="1:1" x14ac:dyDescent="0.25">
      <c r="A1631" s="21">
        <v>91999133.930000007</v>
      </c>
    </row>
    <row r="1632" spans="1:1" x14ac:dyDescent="0.25">
      <c r="A1632" s="21">
        <v>6974623.5</v>
      </c>
    </row>
    <row r="1633" spans="1:1" x14ac:dyDescent="0.25">
      <c r="A1633" s="21">
        <v>7449526.3200000003</v>
      </c>
    </row>
    <row r="1634" spans="1:1" x14ac:dyDescent="0.25">
      <c r="A1634" s="21">
        <v>43803043.939999998</v>
      </c>
    </row>
    <row r="1635" spans="1:1" x14ac:dyDescent="0.25">
      <c r="A1635" s="21">
        <v>30049150.309999999</v>
      </c>
    </row>
    <row r="1636" spans="1:1" x14ac:dyDescent="0.25">
      <c r="A1636" s="21">
        <v>11392210.73</v>
      </c>
    </row>
    <row r="1637" spans="1:1" x14ac:dyDescent="0.25">
      <c r="A1637" s="21">
        <v>76320582.269999996</v>
      </c>
    </row>
    <row r="1638" spans="1:1" x14ac:dyDescent="0.25">
      <c r="A1638">
        <v>0</v>
      </c>
    </row>
    <row r="1639" spans="1:1" x14ac:dyDescent="0.25">
      <c r="A1639" s="21">
        <v>31930653.219999999</v>
      </c>
    </row>
    <row r="1640" spans="1:1" x14ac:dyDescent="0.25">
      <c r="A1640" s="21">
        <v>5344110.75</v>
      </c>
    </row>
    <row r="1641" spans="1:1" x14ac:dyDescent="0.25">
      <c r="A1641" s="21">
        <v>252172669.37</v>
      </c>
    </row>
    <row r="1642" spans="1:1" x14ac:dyDescent="0.25">
      <c r="A1642" s="21">
        <v>163788129.09999999</v>
      </c>
    </row>
    <row r="1643" spans="1:1" x14ac:dyDescent="0.25">
      <c r="A1643" s="21">
        <v>218715088.75</v>
      </c>
    </row>
    <row r="1644" spans="1:1" x14ac:dyDescent="0.25">
      <c r="A1644" s="21">
        <v>47882896.579999998</v>
      </c>
    </row>
    <row r="1645" spans="1:1" x14ac:dyDescent="0.25">
      <c r="A1645" s="21">
        <v>92220375.780000001</v>
      </c>
    </row>
    <row r="1646" spans="1:1" x14ac:dyDescent="0.25">
      <c r="A1646" s="21">
        <v>37711928.619999997</v>
      </c>
    </row>
    <row r="1647" spans="1:1" x14ac:dyDescent="0.25">
      <c r="A1647" s="21">
        <v>51103228.049999997</v>
      </c>
    </row>
    <row r="1648" spans="1:1" x14ac:dyDescent="0.25">
      <c r="A1648" s="21">
        <v>29780137.5</v>
      </c>
    </row>
    <row r="1649" spans="1:1" x14ac:dyDescent="0.25">
      <c r="A1649" s="21">
        <v>53867122.759999998</v>
      </c>
    </row>
    <row r="1650" spans="1:1" x14ac:dyDescent="0.25">
      <c r="A1650" s="21">
        <v>125356890.34999999</v>
      </c>
    </row>
    <row r="1651" spans="1:1" x14ac:dyDescent="0.25">
      <c r="A1651" s="21">
        <v>21222539.25</v>
      </c>
    </row>
    <row r="1652" spans="1:1" x14ac:dyDescent="0.25">
      <c r="A1652" s="21">
        <v>5414202.75</v>
      </c>
    </row>
    <row r="1653" spans="1:1" x14ac:dyDescent="0.25">
      <c r="A1653" s="21">
        <v>6253782.75</v>
      </c>
    </row>
    <row r="1654" spans="1:1" x14ac:dyDescent="0.25">
      <c r="A1654" s="21">
        <v>67905234.170000002</v>
      </c>
    </row>
    <row r="1655" spans="1:1" x14ac:dyDescent="0.25">
      <c r="A1655" s="21">
        <v>88101370.230000004</v>
      </c>
    </row>
    <row r="1656" spans="1:1" x14ac:dyDescent="0.25">
      <c r="A1656" s="21">
        <v>173297926.16999999</v>
      </c>
    </row>
    <row r="1657" spans="1:1" x14ac:dyDescent="0.25">
      <c r="A1657">
        <v>0</v>
      </c>
    </row>
    <row r="1658" spans="1:1" x14ac:dyDescent="0.25">
      <c r="A1658" s="21">
        <v>187103567.84999999</v>
      </c>
    </row>
    <row r="1659" spans="1:1" x14ac:dyDescent="0.25">
      <c r="A1659" s="21">
        <v>76189940.219999999</v>
      </c>
    </row>
    <row r="1660" spans="1:1" x14ac:dyDescent="0.25">
      <c r="A1660" s="21">
        <v>211148827.47</v>
      </c>
    </row>
    <row r="1661" spans="1:1" x14ac:dyDescent="0.25">
      <c r="A1661" s="21">
        <v>33637159.739999898</v>
      </c>
    </row>
    <row r="1662" spans="1:1" x14ac:dyDescent="0.25">
      <c r="A1662" s="21">
        <v>13762197.85</v>
      </c>
    </row>
    <row r="1663" spans="1:1" x14ac:dyDescent="0.25">
      <c r="A1663" s="21">
        <v>239313735.06</v>
      </c>
    </row>
    <row r="1664" spans="1:1" x14ac:dyDescent="0.25">
      <c r="A1664" s="21">
        <v>102016200.29000001</v>
      </c>
    </row>
    <row r="1665" spans="1:1" x14ac:dyDescent="0.25">
      <c r="A1665" s="21">
        <v>24249050.190000001</v>
      </c>
    </row>
    <row r="1666" spans="1:1" x14ac:dyDescent="0.25">
      <c r="A1666" s="21">
        <v>22312240.59</v>
      </c>
    </row>
    <row r="1667" spans="1:1" x14ac:dyDescent="0.25">
      <c r="A1667" s="21">
        <v>107159265.62</v>
      </c>
    </row>
    <row r="1668" spans="1:1" x14ac:dyDescent="0.25">
      <c r="A1668" s="21">
        <v>25244597.59</v>
      </c>
    </row>
    <row r="1669" spans="1:1" x14ac:dyDescent="0.25">
      <c r="A1669" s="21">
        <v>95539073.010000005</v>
      </c>
    </row>
    <row r="1670" spans="1:1" x14ac:dyDescent="0.25">
      <c r="A1670" s="21">
        <v>67879019.030000001</v>
      </c>
    </row>
    <row r="1671" spans="1:1" x14ac:dyDescent="0.25">
      <c r="A1671" s="21">
        <v>17461097.719999999</v>
      </c>
    </row>
    <row r="1672" spans="1:1" x14ac:dyDescent="0.25">
      <c r="A1672" s="21">
        <v>11931592.859999999</v>
      </c>
    </row>
    <row r="1673" spans="1:1" x14ac:dyDescent="0.25">
      <c r="A1673" s="21">
        <v>94285291.870000005</v>
      </c>
    </row>
    <row r="1674" spans="1:1" x14ac:dyDescent="0.25">
      <c r="A1674" s="21">
        <v>59004025.619999997</v>
      </c>
    </row>
    <row r="1675" spans="1:1" x14ac:dyDescent="0.25">
      <c r="A1675" s="21">
        <v>58155926.670000002</v>
      </c>
    </row>
    <row r="1676" spans="1:1" x14ac:dyDescent="0.25">
      <c r="A1676" s="21">
        <v>104529266.69</v>
      </c>
    </row>
    <row r="1677" spans="1:1" x14ac:dyDescent="0.25">
      <c r="A1677" s="21">
        <v>82172876.510000005</v>
      </c>
    </row>
    <row r="1678" spans="1:1" x14ac:dyDescent="0.25">
      <c r="A1678" s="21">
        <v>34501905.409999996</v>
      </c>
    </row>
    <row r="1679" spans="1:1" x14ac:dyDescent="0.25">
      <c r="A1679" s="21">
        <v>2926825.32</v>
      </c>
    </row>
    <row r="1680" spans="1:1" x14ac:dyDescent="0.25">
      <c r="A1680" s="21">
        <v>322674443.63999999</v>
      </c>
    </row>
    <row r="1681" spans="1:1" x14ac:dyDescent="0.25">
      <c r="A1681" s="21">
        <v>37201668.219999999</v>
      </c>
    </row>
    <row r="1682" spans="1:1" x14ac:dyDescent="0.25">
      <c r="A1682" s="21">
        <v>161481397.63999999</v>
      </c>
    </row>
    <row r="1683" spans="1:1" x14ac:dyDescent="0.25">
      <c r="A1683" s="21">
        <v>108052073.52</v>
      </c>
    </row>
    <row r="1684" spans="1:1" x14ac:dyDescent="0.25">
      <c r="A1684" s="21">
        <v>251436716.13999999</v>
      </c>
    </row>
    <row r="1685" spans="1:1" x14ac:dyDescent="0.25">
      <c r="A1685" s="21">
        <v>13416729.82</v>
      </c>
    </row>
    <row r="1686" spans="1:1" x14ac:dyDescent="0.25">
      <c r="A1686" s="21">
        <v>21164354.359999999</v>
      </c>
    </row>
    <row r="1687" spans="1:1" x14ac:dyDescent="0.25">
      <c r="A1687" s="21">
        <v>34593068.159999996</v>
      </c>
    </row>
    <row r="1688" spans="1:1" x14ac:dyDescent="0.25">
      <c r="A1688" s="21">
        <v>70959168.159999996</v>
      </c>
    </row>
    <row r="1689" spans="1:1" x14ac:dyDescent="0.25">
      <c r="A1689" s="21">
        <v>160733843.27000001</v>
      </c>
    </row>
    <row r="1690" spans="1:1" x14ac:dyDescent="0.25">
      <c r="A1690" s="21">
        <v>12953934.57</v>
      </c>
    </row>
    <row r="1691" spans="1:1" x14ac:dyDescent="0.25">
      <c r="A1691" s="21">
        <v>139495375.72999999</v>
      </c>
    </row>
    <row r="1692" spans="1:1" x14ac:dyDescent="0.25">
      <c r="A1692" s="21">
        <v>17157525.91</v>
      </c>
    </row>
    <row r="1693" spans="1:1" x14ac:dyDescent="0.25">
      <c r="A1693" s="21">
        <v>3360734.74</v>
      </c>
    </row>
    <row r="1694" spans="1:1" x14ac:dyDescent="0.25">
      <c r="A1694" s="21">
        <v>8536773.9299999997</v>
      </c>
    </row>
    <row r="1695" spans="1:1" x14ac:dyDescent="0.25">
      <c r="A1695" s="21">
        <v>15469370.199999999</v>
      </c>
    </row>
    <row r="1696" spans="1:1" x14ac:dyDescent="0.25">
      <c r="A1696" s="21">
        <v>240280478.88</v>
      </c>
    </row>
    <row r="1697" spans="1:1" x14ac:dyDescent="0.25">
      <c r="A1697" s="21">
        <v>3794506.81</v>
      </c>
    </row>
    <row r="1698" spans="1:1" x14ac:dyDescent="0.25">
      <c r="A1698" s="21">
        <v>234220885.63</v>
      </c>
    </row>
    <row r="1699" spans="1:1" x14ac:dyDescent="0.25">
      <c r="A1699" s="21">
        <v>79113581.099999994</v>
      </c>
    </row>
    <row r="1700" spans="1:1" x14ac:dyDescent="0.25">
      <c r="A1700" s="21">
        <v>37532182.229999997</v>
      </c>
    </row>
    <row r="1701" spans="1:1" x14ac:dyDescent="0.25">
      <c r="A1701" s="21">
        <v>122678983.84</v>
      </c>
    </row>
    <row r="1702" spans="1:1" x14ac:dyDescent="0.25">
      <c r="A1702" s="21">
        <v>62830407.840000004</v>
      </c>
    </row>
    <row r="1703" spans="1:1" x14ac:dyDescent="0.25">
      <c r="A1703" s="21">
        <v>359812558.27999997</v>
      </c>
    </row>
    <row r="1704" spans="1:1" x14ac:dyDescent="0.25">
      <c r="A1704" s="21">
        <v>10106835.640000001</v>
      </c>
    </row>
    <row r="1705" spans="1:1" x14ac:dyDescent="0.25">
      <c r="A1705" s="21">
        <v>34603951.840000004</v>
      </c>
    </row>
    <row r="1706" spans="1:1" x14ac:dyDescent="0.25">
      <c r="A1706" s="21">
        <v>114743716.61</v>
      </c>
    </row>
    <row r="1707" spans="1:1" x14ac:dyDescent="0.25">
      <c r="A1707" s="21">
        <v>196512170.47</v>
      </c>
    </row>
    <row r="1708" spans="1:1" x14ac:dyDescent="0.25">
      <c r="A1708" s="21">
        <v>19940796.699999999</v>
      </c>
    </row>
    <row r="1709" spans="1:1" x14ac:dyDescent="0.25">
      <c r="A1709" s="21">
        <v>53267652.509999998</v>
      </c>
    </row>
    <row r="1710" spans="1:1" x14ac:dyDescent="0.25">
      <c r="A1710" s="21">
        <v>14284674.050000001</v>
      </c>
    </row>
    <row r="1711" spans="1:1" x14ac:dyDescent="0.25">
      <c r="A1711" s="21">
        <v>7285666.5</v>
      </c>
    </row>
    <row r="1712" spans="1:1" x14ac:dyDescent="0.25">
      <c r="A1712" s="21">
        <v>12628321.470000001</v>
      </c>
    </row>
    <row r="1713" spans="1:1" x14ac:dyDescent="0.25">
      <c r="A1713" s="21">
        <v>45075529.729999997</v>
      </c>
    </row>
    <row r="1714" spans="1:1" x14ac:dyDescent="0.25">
      <c r="A1714" s="21">
        <v>115902898.03</v>
      </c>
    </row>
    <row r="1715" spans="1:1" x14ac:dyDescent="0.25">
      <c r="A1715">
        <v>6217722</v>
      </c>
    </row>
    <row r="1716" spans="1:1" x14ac:dyDescent="0.25">
      <c r="A1716" s="21">
        <v>25146653.949999999</v>
      </c>
    </row>
    <row r="1717" spans="1:1" x14ac:dyDescent="0.25">
      <c r="A1717" s="21">
        <v>36109028.159999996</v>
      </c>
    </row>
    <row r="1718" spans="1:1" x14ac:dyDescent="0.25">
      <c r="A1718" s="21">
        <v>20156738.07</v>
      </c>
    </row>
    <row r="1719" spans="1:1" x14ac:dyDescent="0.25">
      <c r="A1719" s="21">
        <v>6809110.5</v>
      </c>
    </row>
    <row r="1720" spans="1:1" x14ac:dyDescent="0.25">
      <c r="A1720" s="21">
        <v>56471865.640000001</v>
      </c>
    </row>
    <row r="1721" spans="1:1" x14ac:dyDescent="0.25">
      <c r="A1721" s="21">
        <v>87373648.060000002</v>
      </c>
    </row>
    <row r="1722" spans="1:1" x14ac:dyDescent="0.25">
      <c r="A1722" s="21">
        <v>6431630.25</v>
      </c>
    </row>
    <row r="1723" spans="1:1" x14ac:dyDescent="0.25">
      <c r="A1723" s="21">
        <v>142829078.94</v>
      </c>
    </row>
    <row r="1724" spans="1:1" x14ac:dyDescent="0.25">
      <c r="A1724" s="21">
        <v>64297445.039999999</v>
      </c>
    </row>
    <row r="1725" spans="1:1" x14ac:dyDescent="0.25">
      <c r="A1725">
        <v>82077604</v>
      </c>
    </row>
    <row r="1726" spans="1:1" x14ac:dyDescent="0.25">
      <c r="A1726" s="21">
        <v>54876012.289999999</v>
      </c>
    </row>
    <row r="1727" spans="1:1" x14ac:dyDescent="0.25">
      <c r="A1727" s="21">
        <v>32662864.940000001</v>
      </c>
    </row>
    <row r="1728" spans="1:1" x14ac:dyDescent="0.25">
      <c r="A1728" s="21">
        <v>39682731.380000003</v>
      </c>
    </row>
    <row r="1729" spans="1:1" x14ac:dyDescent="0.25">
      <c r="A1729" s="21">
        <v>93223081.75</v>
      </c>
    </row>
    <row r="1730" spans="1:1" x14ac:dyDescent="0.25">
      <c r="A1730" s="21">
        <v>51843035.700000003</v>
      </c>
    </row>
    <row r="1731" spans="1:1" x14ac:dyDescent="0.25">
      <c r="A1731" s="21">
        <v>40938586.57</v>
      </c>
    </row>
    <row r="1732" spans="1:1" x14ac:dyDescent="0.25">
      <c r="A1732" s="21">
        <v>94114421.249999896</v>
      </c>
    </row>
    <row r="1733" spans="1:1" x14ac:dyDescent="0.25">
      <c r="A1733" s="21">
        <v>281736647.56999999</v>
      </c>
    </row>
    <row r="1734" spans="1:1" x14ac:dyDescent="0.25">
      <c r="A1734" s="21">
        <v>246912824.99000001</v>
      </c>
    </row>
    <row r="1735" spans="1:1" x14ac:dyDescent="0.25">
      <c r="A1735" s="21">
        <v>7439885.6900000004</v>
      </c>
    </row>
    <row r="1736" spans="1:1" x14ac:dyDescent="0.25">
      <c r="A1736" s="21">
        <v>58374039.719999999</v>
      </c>
    </row>
    <row r="1737" spans="1:1" x14ac:dyDescent="0.25">
      <c r="A1737" s="21">
        <v>153569469.72999999</v>
      </c>
    </row>
    <row r="1738" spans="1:1" x14ac:dyDescent="0.25">
      <c r="A1738" s="21">
        <v>174564844.06</v>
      </c>
    </row>
    <row r="1739" spans="1:1" x14ac:dyDescent="0.25">
      <c r="A1739" s="21">
        <v>24141138.84</v>
      </c>
    </row>
    <row r="1740" spans="1:1" x14ac:dyDescent="0.25">
      <c r="A1740" s="21">
        <v>137948091.28</v>
      </c>
    </row>
    <row r="1741" spans="1:1" x14ac:dyDescent="0.25">
      <c r="A1741" s="21">
        <v>68629267.25</v>
      </c>
    </row>
    <row r="1742" spans="1:1" x14ac:dyDescent="0.25">
      <c r="A1742" s="21">
        <v>95993867.150000006</v>
      </c>
    </row>
    <row r="1743" spans="1:1" x14ac:dyDescent="0.25">
      <c r="A1743" s="21">
        <v>10173780.6</v>
      </c>
    </row>
    <row r="1744" spans="1:1" x14ac:dyDescent="0.25">
      <c r="A1744" s="21">
        <v>24720533.84</v>
      </c>
    </row>
    <row r="1745" spans="1:1" x14ac:dyDescent="0.25">
      <c r="A1745" s="21">
        <v>43670046.350000001</v>
      </c>
    </row>
    <row r="1746" spans="1:1" x14ac:dyDescent="0.25">
      <c r="A1746" s="21">
        <v>7123546.5300000003</v>
      </c>
    </row>
    <row r="1747" spans="1:1" x14ac:dyDescent="0.25">
      <c r="A1747" s="21">
        <v>24217785.68</v>
      </c>
    </row>
    <row r="1748" spans="1:1" x14ac:dyDescent="0.25">
      <c r="A1748" s="21">
        <v>109892696.22</v>
      </c>
    </row>
    <row r="1749" spans="1:1" x14ac:dyDescent="0.25">
      <c r="A1749" s="21">
        <v>35988970.899999999</v>
      </c>
    </row>
    <row r="1750" spans="1:1" x14ac:dyDescent="0.25">
      <c r="A1750" s="21">
        <v>24519107.859999999</v>
      </c>
    </row>
    <row r="1751" spans="1:1" x14ac:dyDescent="0.25">
      <c r="A1751" s="21">
        <v>172458246.56</v>
      </c>
    </row>
    <row r="1752" spans="1:1" x14ac:dyDescent="0.25">
      <c r="A1752" s="21">
        <v>89123780.370000005</v>
      </c>
    </row>
    <row r="1753" spans="1:1" x14ac:dyDescent="0.25">
      <c r="A1753" s="21">
        <v>69665050.379999995</v>
      </c>
    </row>
    <row r="1754" spans="1:1" x14ac:dyDescent="0.25">
      <c r="A1754" s="21">
        <v>33315923.550000001</v>
      </c>
    </row>
    <row r="1755" spans="1:1" x14ac:dyDescent="0.25">
      <c r="A1755" s="21">
        <v>25147193.039999999</v>
      </c>
    </row>
    <row r="1756" spans="1:1" x14ac:dyDescent="0.25">
      <c r="A1756" s="21">
        <v>123724718.12</v>
      </c>
    </row>
    <row r="1757" spans="1:1" x14ac:dyDescent="0.25">
      <c r="A1757" s="21">
        <v>18204635.460000001</v>
      </c>
    </row>
    <row r="1758" spans="1:1" x14ac:dyDescent="0.25">
      <c r="A1758" s="21">
        <v>43399242.609999999</v>
      </c>
    </row>
    <row r="1759" spans="1:1" x14ac:dyDescent="0.25">
      <c r="A1759" s="21">
        <v>12024861.75</v>
      </c>
    </row>
    <row r="1760" spans="1:1" x14ac:dyDescent="0.25">
      <c r="A1760">
        <v>0</v>
      </c>
    </row>
    <row r="1761" spans="1:1" x14ac:dyDescent="0.25">
      <c r="A1761" s="21">
        <v>537326617.95000005</v>
      </c>
    </row>
    <row r="1762" spans="1:1" x14ac:dyDescent="0.25">
      <c r="A1762" s="21">
        <v>168406690.74000001</v>
      </c>
    </row>
    <row r="1763" spans="1:1" x14ac:dyDescent="0.25">
      <c r="A1763" s="21">
        <v>6658265.25</v>
      </c>
    </row>
    <row r="1764" spans="1:1" x14ac:dyDescent="0.25">
      <c r="A1764" s="21">
        <v>116172468.48999999</v>
      </c>
    </row>
    <row r="1765" spans="1:1" x14ac:dyDescent="0.25">
      <c r="A1765" s="21">
        <v>102210686.3</v>
      </c>
    </row>
    <row r="1766" spans="1:1" x14ac:dyDescent="0.25">
      <c r="A1766">
        <v>0</v>
      </c>
    </row>
    <row r="1767" spans="1:1" x14ac:dyDescent="0.25">
      <c r="A1767" s="21">
        <v>249397865.94</v>
      </c>
    </row>
    <row r="1768" spans="1:1" x14ac:dyDescent="0.25">
      <c r="A1768" s="21">
        <v>183937431.41999999</v>
      </c>
    </row>
    <row r="1769" spans="1:1" x14ac:dyDescent="0.25">
      <c r="A1769" s="21">
        <v>177196286.81999999</v>
      </c>
    </row>
    <row r="1770" spans="1:1" x14ac:dyDescent="0.25">
      <c r="A1770" s="21">
        <v>6974623.5</v>
      </c>
    </row>
    <row r="1771" spans="1:1" x14ac:dyDescent="0.25">
      <c r="A1771" s="21">
        <v>67610059.040000007</v>
      </c>
    </row>
    <row r="1772" spans="1:1" x14ac:dyDescent="0.25">
      <c r="A1772" s="21">
        <v>103222020.88</v>
      </c>
    </row>
    <row r="1773" spans="1:1" x14ac:dyDescent="0.25">
      <c r="A1773" s="21">
        <v>12501909.75</v>
      </c>
    </row>
    <row r="1774" spans="1:1" x14ac:dyDescent="0.25">
      <c r="A1774" s="21">
        <v>53057848.530000001</v>
      </c>
    </row>
    <row r="1775" spans="1:1" x14ac:dyDescent="0.25">
      <c r="A1775" s="21">
        <v>14493756.91</v>
      </c>
    </row>
    <row r="1776" spans="1:1" x14ac:dyDescent="0.25">
      <c r="A1776" s="21">
        <v>20446583.93</v>
      </c>
    </row>
    <row r="1777" spans="1:1" x14ac:dyDescent="0.25">
      <c r="A1777" s="21">
        <v>185164214.38999999</v>
      </c>
    </row>
    <row r="1778" spans="1:1" x14ac:dyDescent="0.25">
      <c r="A1778" s="21">
        <v>80413249.790000007</v>
      </c>
    </row>
    <row r="1779" spans="1:1" x14ac:dyDescent="0.25">
      <c r="A1779" s="21">
        <v>33817764.289999999</v>
      </c>
    </row>
    <row r="1780" spans="1:1" x14ac:dyDescent="0.25">
      <c r="A1780" s="21">
        <v>101900049.39</v>
      </c>
    </row>
    <row r="1781" spans="1:1" x14ac:dyDescent="0.25">
      <c r="A1781" s="21">
        <v>146818549.56999999</v>
      </c>
    </row>
    <row r="1782" spans="1:1" x14ac:dyDescent="0.25">
      <c r="A1782" s="21">
        <v>24264578.07</v>
      </c>
    </row>
    <row r="1783" spans="1:1" x14ac:dyDescent="0.25">
      <c r="A1783" s="21">
        <v>113738220.09999999</v>
      </c>
    </row>
    <row r="1784" spans="1:1" x14ac:dyDescent="0.25">
      <c r="A1784" s="21">
        <v>249604436.16</v>
      </c>
    </row>
    <row r="1785" spans="1:1" x14ac:dyDescent="0.25">
      <c r="A1785" s="21">
        <v>50685110.450000003</v>
      </c>
    </row>
    <row r="1786" spans="1:1" x14ac:dyDescent="0.25">
      <c r="A1786" s="21">
        <v>96613907.489999995</v>
      </c>
    </row>
    <row r="1787" spans="1:1" x14ac:dyDescent="0.25">
      <c r="A1787" s="21">
        <v>32542647.829999998</v>
      </c>
    </row>
    <row r="1788" spans="1:1" x14ac:dyDescent="0.25">
      <c r="A1788">
        <v>0</v>
      </c>
    </row>
    <row r="1789" spans="1:1" x14ac:dyDescent="0.25">
      <c r="A1789" s="21">
        <v>14650915.57</v>
      </c>
    </row>
    <row r="1790" spans="1:1" x14ac:dyDescent="0.25">
      <c r="A1790" s="21">
        <v>36542810.149999999</v>
      </c>
    </row>
    <row r="1791" spans="1:1" x14ac:dyDescent="0.25">
      <c r="A1791" s="21">
        <v>110643758.33</v>
      </c>
    </row>
    <row r="1792" spans="1:1" x14ac:dyDescent="0.25">
      <c r="A1792">
        <v>82352965</v>
      </c>
    </row>
    <row r="1793" spans="1:1" x14ac:dyDescent="0.25">
      <c r="A1793" s="21">
        <v>19217031.43</v>
      </c>
    </row>
    <row r="1794" spans="1:1" x14ac:dyDescent="0.25">
      <c r="A1794" s="21">
        <v>170666740.11000001</v>
      </c>
    </row>
    <row r="1795" spans="1:1" x14ac:dyDescent="0.25">
      <c r="A1795" s="21">
        <v>72461374.870000005</v>
      </c>
    </row>
    <row r="1796" spans="1:1" x14ac:dyDescent="0.25">
      <c r="A1796" s="21">
        <v>18340179.899999999</v>
      </c>
    </row>
    <row r="1797" spans="1:1" x14ac:dyDescent="0.25">
      <c r="A1797" s="21">
        <v>16128413.220000001</v>
      </c>
    </row>
    <row r="1798" spans="1:1" x14ac:dyDescent="0.25">
      <c r="A1798" s="21">
        <v>43077692.729999997</v>
      </c>
    </row>
    <row r="1799" spans="1:1" x14ac:dyDescent="0.25">
      <c r="A1799" s="21">
        <v>159507475.06999999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 s="21">
        <v>27263665.969999999</v>
      </c>
    </row>
    <row r="1803" spans="1:1" x14ac:dyDescent="0.25">
      <c r="A1803" s="21">
        <v>33278812.199999999</v>
      </c>
    </row>
    <row r="1804" spans="1:1" x14ac:dyDescent="0.25">
      <c r="A1804" s="21">
        <v>134445123.59</v>
      </c>
    </row>
    <row r="1805" spans="1:1" x14ac:dyDescent="0.25">
      <c r="A1805" s="21">
        <v>34685024.880000003</v>
      </c>
    </row>
    <row r="1806" spans="1:1" x14ac:dyDescent="0.25">
      <c r="A1806" s="21">
        <v>18667930.219999999</v>
      </c>
    </row>
    <row r="1807" spans="1:1" x14ac:dyDescent="0.25">
      <c r="A1807" s="21">
        <v>90866262.840000004</v>
      </c>
    </row>
    <row r="1808" spans="1:1" x14ac:dyDescent="0.25">
      <c r="A1808" s="21">
        <v>16281500.050000001</v>
      </c>
    </row>
    <row r="1809" spans="1:1" x14ac:dyDescent="0.25">
      <c r="A1809" s="21">
        <v>105838426.47</v>
      </c>
    </row>
    <row r="1810" spans="1:1" x14ac:dyDescent="0.25">
      <c r="A1810" s="21">
        <v>74938198.489999995</v>
      </c>
    </row>
    <row r="1811" spans="1:1" x14ac:dyDescent="0.25">
      <c r="A1811" s="21">
        <v>70906046.150000006</v>
      </c>
    </row>
    <row r="1812" spans="1:1" x14ac:dyDescent="0.25">
      <c r="A1812" s="21">
        <v>231586352.22999999</v>
      </c>
    </row>
    <row r="1813" spans="1:1" x14ac:dyDescent="0.25">
      <c r="A1813" s="21">
        <v>87436521.700000003</v>
      </c>
    </row>
    <row r="1814" spans="1:1" x14ac:dyDescent="0.25">
      <c r="A1814" s="21">
        <v>12115078.51</v>
      </c>
    </row>
    <row r="1815" spans="1:1" x14ac:dyDescent="0.25">
      <c r="A1815" s="21">
        <v>96480199.049999997</v>
      </c>
    </row>
    <row r="1816" spans="1:1" x14ac:dyDescent="0.25">
      <c r="A1816" s="21">
        <v>180029069.25</v>
      </c>
    </row>
    <row r="1817" spans="1:1" x14ac:dyDescent="0.25">
      <c r="A1817">
        <v>0</v>
      </c>
    </row>
    <row r="1818" spans="1:1" x14ac:dyDescent="0.25">
      <c r="A1818" s="21">
        <v>56961694.329999998</v>
      </c>
    </row>
    <row r="1819" spans="1:1" x14ac:dyDescent="0.25">
      <c r="A1819" s="21">
        <v>17339283.98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 s="21">
        <v>18109102.469999999</v>
      </c>
    </row>
    <row r="1823" spans="1:1" x14ac:dyDescent="0.25">
      <c r="A1823" s="21">
        <v>241549780.40000001</v>
      </c>
    </row>
    <row r="1824" spans="1:1" x14ac:dyDescent="0.25">
      <c r="A1824" s="21">
        <v>101757421.88</v>
      </c>
    </row>
    <row r="1825" spans="1:1" x14ac:dyDescent="0.25">
      <c r="A1825">
        <v>79766873</v>
      </c>
    </row>
    <row r="1826" spans="1:1" x14ac:dyDescent="0.25">
      <c r="A1826" s="21">
        <v>6601743.1600000001</v>
      </c>
    </row>
    <row r="1827" spans="1:1" x14ac:dyDescent="0.25">
      <c r="A1827" s="21">
        <v>42856380.549999997</v>
      </c>
    </row>
    <row r="1828" spans="1:1" x14ac:dyDescent="0.25">
      <c r="A1828" s="21">
        <v>14341021.449999999</v>
      </c>
    </row>
    <row r="1829" spans="1:1" x14ac:dyDescent="0.25">
      <c r="A1829" s="21">
        <v>93913877.420000002</v>
      </c>
    </row>
    <row r="1830" spans="1:1" x14ac:dyDescent="0.25">
      <c r="A1830" s="21">
        <v>46700588.710000001</v>
      </c>
    </row>
    <row r="1831" spans="1:1" x14ac:dyDescent="0.25">
      <c r="A1831" s="21">
        <v>87375573.140000001</v>
      </c>
    </row>
    <row r="1832" spans="1:1" x14ac:dyDescent="0.25">
      <c r="A1832" s="21">
        <v>46136032.719999999</v>
      </c>
    </row>
    <row r="1833" spans="1:1" x14ac:dyDescent="0.25">
      <c r="A1833" s="21">
        <v>171956376.86000001</v>
      </c>
    </row>
    <row r="1834" spans="1:1" x14ac:dyDescent="0.25">
      <c r="A1834" s="21">
        <v>110830705.02</v>
      </c>
    </row>
    <row r="1835" spans="1:1" x14ac:dyDescent="0.25">
      <c r="A1835" s="21">
        <v>132321749.77</v>
      </c>
    </row>
    <row r="1836" spans="1:1" x14ac:dyDescent="0.25">
      <c r="A1836" s="21">
        <v>50040217.07</v>
      </c>
    </row>
    <row r="1837" spans="1:1" x14ac:dyDescent="0.25">
      <c r="A1837" s="21">
        <v>5408832.75</v>
      </c>
    </row>
    <row r="1838" spans="1:1" x14ac:dyDescent="0.25">
      <c r="A1838" s="21">
        <v>56976753.319999903</v>
      </c>
    </row>
    <row r="1839" spans="1:1" x14ac:dyDescent="0.25">
      <c r="A1839" s="21">
        <v>86092254.790000007</v>
      </c>
    </row>
    <row r="1840" spans="1:1" x14ac:dyDescent="0.25">
      <c r="A1840" s="21">
        <v>49264340.969999999</v>
      </c>
    </row>
    <row r="1841" spans="1:1" x14ac:dyDescent="0.25">
      <c r="A1841" s="21">
        <v>3990859.02</v>
      </c>
    </row>
    <row r="1842" spans="1:1" x14ac:dyDescent="0.25">
      <c r="A1842" s="21">
        <v>46295347.689999998</v>
      </c>
    </row>
    <row r="1843" spans="1:1" x14ac:dyDescent="0.25">
      <c r="A1843" s="21">
        <v>45928244.600000001</v>
      </c>
    </row>
    <row r="1844" spans="1:1" x14ac:dyDescent="0.25">
      <c r="A1844" s="21">
        <v>45704304.700000003</v>
      </c>
    </row>
    <row r="1845" spans="1:1" x14ac:dyDescent="0.25">
      <c r="A1845" s="21">
        <v>27216867.949999999</v>
      </c>
    </row>
    <row r="1846" spans="1:1" x14ac:dyDescent="0.25">
      <c r="A1846" s="21">
        <v>167903091.37</v>
      </c>
    </row>
    <row r="1847" spans="1:1" x14ac:dyDescent="0.25">
      <c r="A1847" s="21">
        <v>25702676.219999999</v>
      </c>
    </row>
    <row r="1848" spans="1:1" x14ac:dyDescent="0.25">
      <c r="A1848" s="21">
        <v>234993900.13999999</v>
      </c>
    </row>
    <row r="1849" spans="1:1" x14ac:dyDescent="0.25">
      <c r="A1849" s="21">
        <v>17921573.16</v>
      </c>
    </row>
    <row r="1850" spans="1:1" x14ac:dyDescent="0.25">
      <c r="A1850" s="21">
        <v>28018201.43</v>
      </c>
    </row>
    <row r="1851" spans="1:1" x14ac:dyDescent="0.25">
      <c r="A1851" s="21">
        <v>40619601.369999997</v>
      </c>
    </row>
    <row r="1852" spans="1:1" x14ac:dyDescent="0.25">
      <c r="A1852">
        <v>0</v>
      </c>
    </row>
    <row r="1853" spans="1:1" x14ac:dyDescent="0.25">
      <c r="A1853" s="21">
        <v>41554477.950000003</v>
      </c>
    </row>
    <row r="1854" spans="1:1" x14ac:dyDescent="0.25">
      <c r="A1854" s="21">
        <v>14926643.91</v>
      </c>
    </row>
    <row r="1855" spans="1:1" x14ac:dyDescent="0.25">
      <c r="A1855" s="21">
        <v>363549504.92999899</v>
      </c>
    </row>
    <row r="1856" spans="1:1" x14ac:dyDescent="0.25">
      <c r="A1856" s="21">
        <v>34122604.009999998</v>
      </c>
    </row>
    <row r="1857" spans="1:1" x14ac:dyDescent="0.25">
      <c r="A1857" s="21">
        <v>72938808.200000003</v>
      </c>
    </row>
    <row r="1858" spans="1:1" x14ac:dyDescent="0.25">
      <c r="A1858" s="21">
        <v>121754984.45999999</v>
      </c>
    </row>
    <row r="1859" spans="1:1" x14ac:dyDescent="0.25">
      <c r="A1859" s="21">
        <v>27223447.780000001</v>
      </c>
    </row>
    <row r="1860" spans="1:1" x14ac:dyDescent="0.25">
      <c r="A1860" s="21">
        <v>59575922.240000002</v>
      </c>
    </row>
    <row r="1861" spans="1:1" x14ac:dyDescent="0.25">
      <c r="A1861" s="21">
        <v>31658990.52</v>
      </c>
    </row>
    <row r="1862" spans="1:1" x14ac:dyDescent="0.25">
      <c r="A1862" s="21">
        <v>118333916.15000001</v>
      </c>
    </row>
    <row r="1863" spans="1:1" x14ac:dyDescent="0.25">
      <c r="A1863" s="21">
        <v>22544325.440000001</v>
      </c>
    </row>
    <row r="1864" spans="1:1" x14ac:dyDescent="0.25">
      <c r="A1864" s="21">
        <v>21041132.68</v>
      </c>
    </row>
    <row r="1865" spans="1:1" x14ac:dyDescent="0.25">
      <c r="A1865" s="21">
        <v>38205102.159999996</v>
      </c>
    </row>
    <row r="1866" spans="1:1" x14ac:dyDescent="0.25">
      <c r="A1866" s="21">
        <v>14564719.49</v>
      </c>
    </row>
    <row r="1867" spans="1:1" x14ac:dyDescent="0.25">
      <c r="A1867" s="21">
        <v>126108380.06</v>
      </c>
    </row>
    <row r="1868" spans="1:1" x14ac:dyDescent="0.25">
      <c r="A1868" s="21">
        <v>124540198.23</v>
      </c>
    </row>
    <row r="1869" spans="1:1" x14ac:dyDescent="0.25">
      <c r="A1869" s="21">
        <v>91721893.959999993</v>
      </c>
    </row>
    <row r="1870" spans="1:1" x14ac:dyDescent="0.25">
      <c r="A1870" s="21">
        <v>56067446.5</v>
      </c>
    </row>
    <row r="1871" spans="1:1" x14ac:dyDescent="0.25">
      <c r="A1871" s="21">
        <v>59226763.210000001</v>
      </c>
    </row>
    <row r="1872" spans="1:1" x14ac:dyDescent="0.25">
      <c r="A1872" s="21">
        <v>29078382.059999999</v>
      </c>
    </row>
    <row r="1873" spans="1:1" x14ac:dyDescent="0.25">
      <c r="A1873" s="21">
        <v>36059685.670000002</v>
      </c>
    </row>
    <row r="1874" spans="1:1" x14ac:dyDescent="0.25">
      <c r="A1874" s="21">
        <v>45049386.229999997</v>
      </c>
    </row>
    <row r="1875" spans="1:1" x14ac:dyDescent="0.25">
      <c r="A1875" s="21">
        <v>28014352.489999998</v>
      </c>
    </row>
    <row r="1876" spans="1:1" x14ac:dyDescent="0.25">
      <c r="A1876" s="21">
        <v>9174639.0399999898</v>
      </c>
    </row>
    <row r="1877" spans="1:1" x14ac:dyDescent="0.25">
      <c r="A1877" s="21">
        <v>3310802.32</v>
      </c>
    </row>
    <row r="1878" spans="1:1" x14ac:dyDescent="0.25">
      <c r="A1878" s="21">
        <v>114534987.73999999</v>
      </c>
    </row>
    <row r="1879" spans="1:1" x14ac:dyDescent="0.25">
      <c r="A1879" s="21">
        <v>246719748.69</v>
      </c>
    </row>
    <row r="1880" spans="1:1" x14ac:dyDescent="0.25">
      <c r="A1880" s="21">
        <v>63951857.780000001</v>
      </c>
    </row>
    <row r="1881" spans="1:1" x14ac:dyDescent="0.25">
      <c r="A1881">
        <v>134770847</v>
      </c>
    </row>
    <row r="1882" spans="1:1" x14ac:dyDescent="0.25">
      <c r="A1882" s="21">
        <v>17276254.5</v>
      </c>
    </row>
    <row r="1883" spans="1:1" x14ac:dyDescent="0.25">
      <c r="A1883" s="21">
        <v>75538435.019999996</v>
      </c>
    </row>
    <row r="1884" spans="1:1" x14ac:dyDescent="0.25">
      <c r="A1884" s="21">
        <v>69926405.069999903</v>
      </c>
    </row>
    <row r="1885" spans="1:1" x14ac:dyDescent="0.25">
      <c r="A1885" s="21">
        <v>72925968.840000004</v>
      </c>
    </row>
    <row r="1886" spans="1:1" x14ac:dyDescent="0.25">
      <c r="A1886" s="21">
        <v>60809035.429999903</v>
      </c>
    </row>
    <row r="1887" spans="1:1" x14ac:dyDescent="0.25">
      <c r="A1887" s="21">
        <v>26144556.440000001</v>
      </c>
    </row>
    <row r="1888" spans="1:1" x14ac:dyDescent="0.25">
      <c r="A1888" s="21">
        <v>24059769.57</v>
      </c>
    </row>
    <row r="1889" spans="1:1" x14ac:dyDescent="0.25">
      <c r="A1889" s="21">
        <v>139369136.19</v>
      </c>
    </row>
    <row r="1890" spans="1:1" x14ac:dyDescent="0.25">
      <c r="A1890" s="21">
        <v>7397158.5</v>
      </c>
    </row>
    <row r="1891" spans="1:1" x14ac:dyDescent="0.25">
      <c r="A1891" s="21">
        <v>228582238.88999999</v>
      </c>
    </row>
    <row r="1892" spans="1:1" x14ac:dyDescent="0.25">
      <c r="A1892" s="21">
        <v>9486878.2599999998</v>
      </c>
    </row>
    <row r="1893" spans="1:1" x14ac:dyDescent="0.25">
      <c r="A1893" s="21">
        <v>76484242.349999994</v>
      </c>
    </row>
    <row r="1894" spans="1:1" x14ac:dyDescent="0.25">
      <c r="A1894" s="21">
        <v>121285873.19</v>
      </c>
    </row>
    <row r="1895" spans="1:1" x14ac:dyDescent="0.25">
      <c r="A1895" s="21">
        <v>153619303.68000001</v>
      </c>
    </row>
    <row r="1896" spans="1:1" x14ac:dyDescent="0.25">
      <c r="A1896" s="21">
        <v>55698080.619999997</v>
      </c>
    </row>
    <row r="1897" spans="1:1" x14ac:dyDescent="0.25">
      <c r="A1897" s="21">
        <v>22169486.93</v>
      </c>
    </row>
    <row r="1898" spans="1:1" x14ac:dyDescent="0.25">
      <c r="A1898" s="21">
        <v>57507132.369999997</v>
      </c>
    </row>
    <row r="1899" spans="1:1" x14ac:dyDescent="0.25">
      <c r="A1899" s="21">
        <v>23084760.699999999</v>
      </c>
    </row>
    <row r="1900" spans="1:1" x14ac:dyDescent="0.25">
      <c r="A1900" s="21">
        <v>63097192.560000002</v>
      </c>
    </row>
    <row r="1901" spans="1:1" x14ac:dyDescent="0.25">
      <c r="A1901" s="21">
        <v>11620173.810000001</v>
      </c>
    </row>
    <row r="1902" spans="1:1" x14ac:dyDescent="0.25">
      <c r="A1902" s="21">
        <v>551236184.27999997</v>
      </c>
    </row>
    <row r="1903" spans="1:1" x14ac:dyDescent="0.25">
      <c r="A1903" s="21">
        <v>22273050.620000001</v>
      </c>
    </row>
    <row r="1904" spans="1:1" x14ac:dyDescent="0.25">
      <c r="A1904" s="21">
        <v>7492808.25</v>
      </c>
    </row>
    <row r="1905" spans="1:1" x14ac:dyDescent="0.25">
      <c r="A1905" s="21">
        <v>61947147.689999998</v>
      </c>
    </row>
    <row r="1906" spans="1:1" x14ac:dyDescent="0.25">
      <c r="A1906" s="21">
        <v>26335230.59</v>
      </c>
    </row>
    <row r="1907" spans="1:1" x14ac:dyDescent="0.25">
      <c r="A1907" s="21">
        <v>20174487.699999999</v>
      </c>
    </row>
    <row r="1908" spans="1:1" x14ac:dyDescent="0.25">
      <c r="A1908" s="21">
        <v>3077229.6</v>
      </c>
    </row>
    <row r="1909" spans="1:1" x14ac:dyDescent="0.25">
      <c r="A1909" s="21">
        <v>134429655.16999999</v>
      </c>
    </row>
    <row r="1910" spans="1:1" x14ac:dyDescent="0.25">
      <c r="A1910" s="21">
        <v>63171817.810000002</v>
      </c>
    </row>
    <row r="1911" spans="1:1" x14ac:dyDescent="0.25">
      <c r="A1911" s="21">
        <v>238728790.22999999</v>
      </c>
    </row>
    <row r="1912" spans="1:1" x14ac:dyDescent="0.25">
      <c r="A1912" s="21">
        <v>88005566.5</v>
      </c>
    </row>
    <row r="1913" spans="1:1" x14ac:dyDescent="0.25">
      <c r="A1913" s="21">
        <v>35848174.030000001</v>
      </c>
    </row>
    <row r="1914" spans="1:1" x14ac:dyDescent="0.25">
      <c r="A1914" s="21">
        <v>41751866.969999999</v>
      </c>
    </row>
    <row r="1915" spans="1:1" x14ac:dyDescent="0.25">
      <c r="A1915" s="21">
        <v>12661311.75</v>
      </c>
    </row>
    <row r="1916" spans="1:1" x14ac:dyDescent="0.25">
      <c r="A1916" s="21">
        <v>8977423.1099999901</v>
      </c>
    </row>
    <row r="1917" spans="1:1" x14ac:dyDescent="0.25">
      <c r="A1917" s="21">
        <v>15586234.699999999</v>
      </c>
    </row>
    <row r="1918" spans="1:1" x14ac:dyDescent="0.25">
      <c r="A1918" s="21">
        <v>20248407.489999998</v>
      </c>
    </row>
    <row r="1919" spans="1:1" x14ac:dyDescent="0.25">
      <c r="A1919" s="21">
        <v>16405261.970000001</v>
      </c>
    </row>
    <row r="1920" spans="1:1" x14ac:dyDescent="0.25">
      <c r="A1920" s="21">
        <v>271307045.13999999</v>
      </c>
    </row>
    <row r="1921" spans="1:1" x14ac:dyDescent="0.25">
      <c r="A1921">
        <v>0</v>
      </c>
    </row>
    <row r="1922" spans="1:1" x14ac:dyDescent="0.25">
      <c r="A1922" s="21">
        <v>63738221.670000002</v>
      </c>
    </row>
    <row r="1923" spans="1:1" x14ac:dyDescent="0.25">
      <c r="A1923" s="21">
        <v>247197436.83000001</v>
      </c>
    </row>
    <row r="1924" spans="1:1" x14ac:dyDescent="0.25">
      <c r="A1924" s="21">
        <v>91270655.340000004</v>
      </c>
    </row>
    <row r="1925" spans="1:1" x14ac:dyDescent="0.25">
      <c r="A1925" s="21">
        <v>74502662.159999996</v>
      </c>
    </row>
    <row r="1926" spans="1:1" x14ac:dyDescent="0.25">
      <c r="A1926" s="21">
        <v>54365950.32</v>
      </c>
    </row>
    <row r="1927" spans="1:1" x14ac:dyDescent="0.25">
      <c r="A1927">
        <v>12527079</v>
      </c>
    </row>
    <row r="1928" spans="1:1" x14ac:dyDescent="0.25">
      <c r="A1928">
        <v>0</v>
      </c>
    </row>
    <row r="1929" spans="1:1" x14ac:dyDescent="0.25">
      <c r="A1929" s="21">
        <v>259760270.84999999</v>
      </c>
    </row>
    <row r="1930" spans="1:1" x14ac:dyDescent="0.25">
      <c r="A1930" s="21">
        <v>35620822.030000001</v>
      </c>
    </row>
    <row r="1931" spans="1:1" x14ac:dyDescent="0.25">
      <c r="A1931">
        <v>0</v>
      </c>
    </row>
    <row r="1932" spans="1:1" x14ac:dyDescent="0.25">
      <c r="A1932" s="21">
        <v>59095619.140000001</v>
      </c>
    </row>
    <row r="1933" spans="1:1" x14ac:dyDescent="0.25">
      <c r="A1933" s="21">
        <v>113109501.91</v>
      </c>
    </row>
    <row r="1934" spans="1:1" x14ac:dyDescent="0.25">
      <c r="A1934" s="21">
        <v>23173352.690000001</v>
      </c>
    </row>
    <row r="1935" spans="1:1" x14ac:dyDescent="0.25">
      <c r="A1935" s="21">
        <v>142031570.02000001</v>
      </c>
    </row>
    <row r="1936" spans="1:1" x14ac:dyDescent="0.25">
      <c r="A1936" s="21">
        <v>58577153.240000002</v>
      </c>
    </row>
    <row r="1937" spans="1:1" x14ac:dyDescent="0.25">
      <c r="A1937" s="21">
        <v>22909254.07</v>
      </c>
    </row>
    <row r="1938" spans="1:1" x14ac:dyDescent="0.25">
      <c r="A1938" s="21">
        <v>184744613.21000001</v>
      </c>
    </row>
    <row r="1939" spans="1:1" x14ac:dyDescent="0.25">
      <c r="A1939" s="21">
        <v>19684621.100000001</v>
      </c>
    </row>
    <row r="1940" spans="1:1" x14ac:dyDescent="0.25">
      <c r="A1940" s="21">
        <v>9450480.5099999998</v>
      </c>
    </row>
    <row r="1941" spans="1:1" x14ac:dyDescent="0.25">
      <c r="A1941" s="21">
        <v>24020906.420000002</v>
      </c>
    </row>
    <row r="1942" spans="1:1" x14ac:dyDescent="0.25">
      <c r="A1942" s="21">
        <v>14363025.42</v>
      </c>
    </row>
    <row r="1943" spans="1:1" x14ac:dyDescent="0.25">
      <c r="A1943" s="21">
        <v>90834593.129999995</v>
      </c>
    </row>
    <row r="1944" spans="1:1" x14ac:dyDescent="0.25">
      <c r="A1944" s="21">
        <v>150727306.75999999</v>
      </c>
    </row>
    <row r="1945" spans="1:1" x14ac:dyDescent="0.25">
      <c r="A1945" s="21">
        <v>13137852.140000001</v>
      </c>
    </row>
    <row r="1946" spans="1:1" x14ac:dyDescent="0.25">
      <c r="A1946" s="21">
        <v>49179918.469999999</v>
      </c>
    </row>
    <row r="1947" spans="1:1" x14ac:dyDescent="0.25">
      <c r="A1947" s="21">
        <v>106739581.55</v>
      </c>
    </row>
    <row r="1948" spans="1:1" x14ac:dyDescent="0.25">
      <c r="A1948">
        <v>5966655</v>
      </c>
    </row>
    <row r="1949" spans="1:1" x14ac:dyDescent="0.25">
      <c r="A1949" s="21">
        <v>40761141.479999997</v>
      </c>
    </row>
    <row r="1950" spans="1:1" x14ac:dyDescent="0.25">
      <c r="A1950" s="21">
        <v>33485670.789999999</v>
      </c>
    </row>
    <row r="1951" spans="1:1" x14ac:dyDescent="0.25">
      <c r="A1951">
        <v>0</v>
      </c>
    </row>
    <row r="1952" spans="1:1" x14ac:dyDescent="0.25">
      <c r="A1952" s="21">
        <v>22829273.809999999</v>
      </c>
    </row>
    <row r="1953" spans="1:1" x14ac:dyDescent="0.25">
      <c r="A1953" s="21">
        <v>138978630.83000001</v>
      </c>
    </row>
    <row r="1954" spans="1:1" x14ac:dyDescent="0.25">
      <c r="A1954" s="21">
        <v>219337609.80000001</v>
      </c>
    </row>
    <row r="1955" spans="1:1" x14ac:dyDescent="0.25">
      <c r="A1955" s="21">
        <v>10780255.02</v>
      </c>
    </row>
    <row r="1956" spans="1:1" x14ac:dyDescent="0.25">
      <c r="A1956" s="21">
        <v>284799968.08999997</v>
      </c>
    </row>
    <row r="1957" spans="1:1" x14ac:dyDescent="0.25">
      <c r="A1957" s="21">
        <v>29033852.140000001</v>
      </c>
    </row>
    <row r="1958" spans="1:1" x14ac:dyDescent="0.25">
      <c r="A1958" s="21">
        <v>19928816.34</v>
      </c>
    </row>
    <row r="1959" spans="1:1" x14ac:dyDescent="0.25">
      <c r="A1959" s="21">
        <v>252160672.53999999</v>
      </c>
    </row>
    <row r="1960" spans="1:1" x14ac:dyDescent="0.25">
      <c r="A1960" s="21">
        <v>7610538.04</v>
      </c>
    </row>
    <row r="1961" spans="1:1" x14ac:dyDescent="0.25">
      <c r="A1961" s="21">
        <v>38497415.07</v>
      </c>
    </row>
    <row r="1962" spans="1:1" x14ac:dyDescent="0.25">
      <c r="A1962" s="21">
        <v>8766474.3000000007</v>
      </c>
    </row>
    <row r="1963" spans="1:1" x14ac:dyDescent="0.25">
      <c r="A1963" s="21">
        <v>49798009.229999997</v>
      </c>
    </row>
    <row r="1964" spans="1:1" x14ac:dyDescent="0.25">
      <c r="A1964" s="21">
        <v>130623742.77</v>
      </c>
    </row>
    <row r="1965" spans="1:1" x14ac:dyDescent="0.25">
      <c r="A1965" s="21">
        <v>51376967.850000001</v>
      </c>
    </row>
    <row r="1966" spans="1:1" x14ac:dyDescent="0.25">
      <c r="A1966">
        <v>0</v>
      </c>
    </row>
    <row r="1967" spans="1:1" x14ac:dyDescent="0.25">
      <c r="A1967" s="21">
        <v>78958450.420000002</v>
      </c>
    </row>
    <row r="1968" spans="1:1" x14ac:dyDescent="0.25">
      <c r="A1968" s="21">
        <v>79878556.540000007</v>
      </c>
    </row>
    <row r="1969" spans="1:1" x14ac:dyDescent="0.25">
      <c r="A1969" s="21">
        <v>4128480.37</v>
      </c>
    </row>
    <row r="1970" spans="1:1" x14ac:dyDescent="0.25">
      <c r="A1970" s="21">
        <v>13865046.199999999</v>
      </c>
    </row>
    <row r="1971" spans="1:1" x14ac:dyDescent="0.25">
      <c r="A1971" s="21">
        <v>44028325.869999997</v>
      </c>
    </row>
    <row r="1972" spans="1:1" x14ac:dyDescent="0.25">
      <c r="A1972" s="21">
        <v>409643520.489999</v>
      </c>
    </row>
    <row r="1973" spans="1:1" x14ac:dyDescent="0.25">
      <c r="A1973" s="21">
        <v>66084269.369999997</v>
      </c>
    </row>
    <row r="1974" spans="1:1" x14ac:dyDescent="0.25">
      <c r="A1974" s="21">
        <v>88308566.75</v>
      </c>
    </row>
    <row r="1975" spans="1:1" x14ac:dyDescent="0.25">
      <c r="A1975" s="21">
        <v>5962172.25</v>
      </c>
    </row>
    <row r="1976" spans="1:1" x14ac:dyDescent="0.25">
      <c r="A1976" s="21">
        <v>85128487.420000002</v>
      </c>
    </row>
    <row r="1977" spans="1:1" x14ac:dyDescent="0.25">
      <c r="A1977" s="21">
        <v>62684108.030000001</v>
      </c>
    </row>
    <row r="1978" spans="1:1" x14ac:dyDescent="0.25">
      <c r="A1978">
        <v>0</v>
      </c>
    </row>
    <row r="1979" spans="1:1" x14ac:dyDescent="0.25">
      <c r="A1979" s="21">
        <v>133236699.87</v>
      </c>
    </row>
    <row r="1980" spans="1:1" x14ac:dyDescent="0.25">
      <c r="A1980" s="21">
        <v>21708328.5</v>
      </c>
    </row>
    <row r="1981" spans="1:1" x14ac:dyDescent="0.25">
      <c r="A1981" s="21">
        <v>70635302.519999996</v>
      </c>
    </row>
    <row r="1982" spans="1:1" x14ac:dyDescent="0.25">
      <c r="A1982" s="21">
        <v>240698776.16999999</v>
      </c>
    </row>
    <row r="1983" spans="1:1" x14ac:dyDescent="0.25">
      <c r="A1983" s="21">
        <v>2775336.31</v>
      </c>
    </row>
    <row r="1984" spans="1:1" x14ac:dyDescent="0.25">
      <c r="A1984" s="21">
        <v>144685940.58000001</v>
      </c>
    </row>
    <row r="1985" spans="1:1" x14ac:dyDescent="0.25">
      <c r="A1985" s="21">
        <v>38812114.979999997</v>
      </c>
    </row>
    <row r="1986" spans="1:1" x14ac:dyDescent="0.25">
      <c r="A1986" s="21">
        <v>15279498.33</v>
      </c>
    </row>
    <row r="1987" spans="1:1" x14ac:dyDescent="0.25">
      <c r="A1987" s="21">
        <v>152349143.18000001</v>
      </c>
    </row>
    <row r="1988" spans="1:1" x14ac:dyDescent="0.25">
      <c r="A1988" s="21">
        <v>116491938.56999999</v>
      </c>
    </row>
    <row r="1989" spans="1:1" x14ac:dyDescent="0.25">
      <c r="A1989" s="21">
        <v>60796177.450000003</v>
      </c>
    </row>
    <row r="1990" spans="1:1" x14ac:dyDescent="0.25">
      <c r="A1990" s="21">
        <v>78369824.840000004</v>
      </c>
    </row>
    <row r="1991" spans="1:1" x14ac:dyDescent="0.25">
      <c r="A1991" s="21">
        <v>47973042.759999998</v>
      </c>
    </row>
    <row r="1992" spans="1:1" x14ac:dyDescent="0.25">
      <c r="A1992" s="21">
        <v>127789263.13</v>
      </c>
    </row>
    <row r="1993" spans="1:1" x14ac:dyDescent="0.25">
      <c r="A1993" s="21">
        <v>40723687.039999999</v>
      </c>
    </row>
    <row r="1994" spans="1:1" x14ac:dyDescent="0.25">
      <c r="A1994" s="21">
        <v>145635697.03999999</v>
      </c>
    </row>
    <row r="1995" spans="1:1" x14ac:dyDescent="0.25">
      <c r="A1995" s="21">
        <v>10191771.859999999</v>
      </c>
    </row>
    <row r="1996" spans="1:1" x14ac:dyDescent="0.25">
      <c r="A1996">
        <v>0</v>
      </c>
    </row>
    <row r="1997" spans="1:1" x14ac:dyDescent="0.25">
      <c r="A1997" s="21">
        <v>228399049.41999999</v>
      </c>
    </row>
    <row r="1998" spans="1:1" x14ac:dyDescent="0.25">
      <c r="A1998" s="21">
        <v>148795094.16</v>
      </c>
    </row>
    <row r="1999" spans="1:1" x14ac:dyDescent="0.25">
      <c r="A1999" s="21">
        <v>42697994.049999997</v>
      </c>
    </row>
    <row r="2000" spans="1:1" x14ac:dyDescent="0.25">
      <c r="A2000" s="21">
        <v>20118215.050000001</v>
      </c>
    </row>
    <row r="2001" spans="1:1" x14ac:dyDescent="0.25">
      <c r="A2001" s="21">
        <v>17036110.600000001</v>
      </c>
    </row>
    <row r="2002" spans="1:1" x14ac:dyDescent="0.25">
      <c r="A2002">
        <v>6844095</v>
      </c>
    </row>
    <row r="2003" spans="1:1" x14ac:dyDescent="0.25">
      <c r="A2003" s="21">
        <v>70078998.5</v>
      </c>
    </row>
    <row r="2004" spans="1:1" x14ac:dyDescent="0.25">
      <c r="A2004" s="21">
        <v>14765182.5</v>
      </c>
    </row>
    <row r="2005" spans="1:1" x14ac:dyDescent="0.25">
      <c r="A2005" s="21">
        <v>272903532.77999997</v>
      </c>
    </row>
    <row r="2006" spans="1:1" x14ac:dyDescent="0.25">
      <c r="A2006" s="21">
        <v>41950402.219999999</v>
      </c>
    </row>
    <row r="2007" spans="1:1" x14ac:dyDescent="0.25">
      <c r="A2007">
        <v>0</v>
      </c>
    </row>
    <row r="2008" spans="1:1" x14ac:dyDescent="0.25">
      <c r="A2008">
        <v>0</v>
      </c>
    </row>
    <row r="2009" spans="1:1" x14ac:dyDescent="0.25">
      <c r="A2009" s="21">
        <v>25799395.07</v>
      </c>
    </row>
    <row r="2010" spans="1:1" x14ac:dyDescent="0.25">
      <c r="A2010" s="21">
        <v>296428903.35000002</v>
      </c>
    </row>
    <row r="2011" spans="1:1" x14ac:dyDescent="0.25">
      <c r="A2011" s="21">
        <v>32930868.75</v>
      </c>
    </row>
    <row r="2012" spans="1:1" x14ac:dyDescent="0.25">
      <c r="A2012" s="21">
        <v>15965546.58</v>
      </c>
    </row>
    <row r="2013" spans="1:1" x14ac:dyDescent="0.25">
      <c r="A2013" s="21">
        <v>19420517.219999999</v>
      </c>
    </row>
    <row r="2014" spans="1:1" x14ac:dyDescent="0.25">
      <c r="A2014" s="21">
        <v>72392376.480000004</v>
      </c>
    </row>
    <row r="2015" spans="1:1" x14ac:dyDescent="0.25">
      <c r="A2015" s="21">
        <v>15612522.800000001</v>
      </c>
    </row>
    <row r="2016" spans="1:1" x14ac:dyDescent="0.25">
      <c r="A2016" s="21">
        <v>73346301.609999999</v>
      </c>
    </row>
    <row r="2017" spans="1:1" x14ac:dyDescent="0.25">
      <c r="A2017" s="21">
        <v>33475566.440000001</v>
      </c>
    </row>
    <row r="2018" spans="1:1" x14ac:dyDescent="0.25">
      <c r="A2018" s="21">
        <v>233798071.47999999</v>
      </c>
    </row>
    <row r="2019" spans="1:1" x14ac:dyDescent="0.25">
      <c r="A2019" s="21">
        <v>161383926.22999999</v>
      </c>
    </row>
    <row r="2020" spans="1:1" x14ac:dyDescent="0.25">
      <c r="A2020" s="21">
        <v>134222256.13999999</v>
      </c>
    </row>
    <row r="2021" spans="1:1" x14ac:dyDescent="0.25">
      <c r="A2021" s="21">
        <v>60260420.549999997</v>
      </c>
    </row>
    <row r="2022" spans="1:1" x14ac:dyDescent="0.25">
      <c r="A2022">
        <v>13318257</v>
      </c>
    </row>
    <row r="2023" spans="1:1" x14ac:dyDescent="0.25">
      <c r="A2023" s="21">
        <v>223183730.12</v>
      </c>
    </row>
    <row r="2024" spans="1:1" x14ac:dyDescent="0.25">
      <c r="A2024" s="21">
        <v>104379965.84999999</v>
      </c>
    </row>
    <row r="2025" spans="1:1" x14ac:dyDescent="0.25">
      <c r="A2025" s="21">
        <v>52383391.270000003</v>
      </c>
    </row>
    <row r="2026" spans="1:1" x14ac:dyDescent="0.25">
      <c r="A2026" s="21">
        <v>68753846.709999993</v>
      </c>
    </row>
    <row r="2027" spans="1:1" x14ac:dyDescent="0.25">
      <c r="A2027" s="21">
        <v>12933671.109999999</v>
      </c>
    </row>
    <row r="2028" spans="1:1" x14ac:dyDescent="0.25">
      <c r="A2028" s="21">
        <v>3645378.88</v>
      </c>
    </row>
    <row r="2029" spans="1:1" x14ac:dyDescent="0.25">
      <c r="A2029" s="21">
        <v>16164628.800000001</v>
      </c>
    </row>
    <row r="2030" spans="1:1" x14ac:dyDescent="0.25">
      <c r="A2030">
        <v>0</v>
      </c>
    </row>
    <row r="2031" spans="1:1" x14ac:dyDescent="0.25">
      <c r="A2031" s="21">
        <v>4585794.2300000004</v>
      </c>
    </row>
    <row r="2032" spans="1:1" x14ac:dyDescent="0.25">
      <c r="A2032" s="21">
        <v>161742585.74000001</v>
      </c>
    </row>
    <row r="2033" spans="1:1" x14ac:dyDescent="0.25">
      <c r="A2033">
        <v>0</v>
      </c>
    </row>
    <row r="2034" spans="1:1" x14ac:dyDescent="0.25">
      <c r="A2034" s="21">
        <v>92295692.420000002</v>
      </c>
    </row>
    <row r="2035" spans="1:1" x14ac:dyDescent="0.25">
      <c r="A2035" s="21">
        <v>47690238.899999999</v>
      </c>
    </row>
    <row r="2036" spans="1:1" x14ac:dyDescent="0.25">
      <c r="A2036" s="21">
        <v>90791409.700000003</v>
      </c>
    </row>
    <row r="2037" spans="1:1" x14ac:dyDescent="0.25">
      <c r="A2037" s="21">
        <v>40008622.890000001</v>
      </c>
    </row>
    <row r="2038" spans="1:1" x14ac:dyDescent="0.25">
      <c r="A2038" s="21">
        <v>196652524.83000001</v>
      </c>
    </row>
    <row r="2039" spans="1:1" x14ac:dyDescent="0.25">
      <c r="A2039" s="21">
        <v>13016548.5</v>
      </c>
    </row>
    <row r="2040" spans="1:1" x14ac:dyDescent="0.25">
      <c r="A2040" s="21">
        <v>165333528.71000001</v>
      </c>
    </row>
    <row r="2041" spans="1:1" x14ac:dyDescent="0.25">
      <c r="A2041" s="21">
        <v>33949406.850000001</v>
      </c>
    </row>
    <row r="2042" spans="1:1" x14ac:dyDescent="0.25">
      <c r="A2042" s="21">
        <v>241873435.72</v>
      </c>
    </row>
    <row r="2043" spans="1:1" x14ac:dyDescent="0.25">
      <c r="A2043" s="21">
        <v>265490445.59</v>
      </c>
    </row>
    <row r="2044" spans="1:1" x14ac:dyDescent="0.25">
      <c r="A2044">
        <v>0</v>
      </c>
    </row>
    <row r="2045" spans="1:1" x14ac:dyDescent="0.25">
      <c r="A2045" s="21">
        <v>8938129.7599999998</v>
      </c>
    </row>
    <row r="2046" spans="1:1" x14ac:dyDescent="0.25">
      <c r="A2046" s="21">
        <v>65189150.740000002</v>
      </c>
    </row>
    <row r="2047" spans="1:1" x14ac:dyDescent="0.25">
      <c r="A2047" s="21">
        <v>9811005.25</v>
      </c>
    </row>
    <row r="2048" spans="1:1" x14ac:dyDescent="0.25">
      <c r="A2048" s="21">
        <v>72731452.019999996</v>
      </c>
    </row>
    <row r="2049" spans="1:1" x14ac:dyDescent="0.25">
      <c r="A2049" s="21">
        <v>87938892.760000005</v>
      </c>
    </row>
    <row r="2050" spans="1:1" x14ac:dyDescent="0.25">
      <c r="A2050" s="21">
        <v>21569244.289999999</v>
      </c>
    </row>
    <row r="2051" spans="1:1" x14ac:dyDescent="0.25">
      <c r="A2051" s="21">
        <v>36903109.409999996</v>
      </c>
    </row>
    <row r="2052" spans="1:1" x14ac:dyDescent="0.25">
      <c r="A2052" s="21">
        <v>25126920.75</v>
      </c>
    </row>
    <row r="2053" spans="1:1" x14ac:dyDescent="0.25">
      <c r="A2053" s="21">
        <v>124007681.55</v>
      </c>
    </row>
    <row r="2054" spans="1:1" x14ac:dyDescent="0.25">
      <c r="A2054" s="21">
        <v>141163699.69999999</v>
      </c>
    </row>
    <row r="2055" spans="1:1" x14ac:dyDescent="0.25">
      <c r="A2055" s="21">
        <v>40183326.670000002</v>
      </c>
    </row>
    <row r="2056" spans="1:1" x14ac:dyDescent="0.25">
      <c r="A2056" s="21">
        <v>6225603.1500000004</v>
      </c>
    </row>
    <row r="2057" spans="1:1" x14ac:dyDescent="0.25">
      <c r="A2057" s="21">
        <v>13430017.140000001</v>
      </c>
    </row>
    <row r="2058" spans="1:1" x14ac:dyDescent="0.25">
      <c r="A2058" s="21">
        <v>56953066.960000001</v>
      </c>
    </row>
    <row r="2059" spans="1:1" x14ac:dyDescent="0.25">
      <c r="A2059" s="21">
        <v>11189672.550000001</v>
      </c>
    </row>
    <row r="2060" spans="1:1" x14ac:dyDescent="0.25">
      <c r="A2060" s="21">
        <v>39378616.890000001</v>
      </c>
    </row>
    <row r="2061" spans="1:1" x14ac:dyDescent="0.25">
      <c r="A2061" s="21">
        <v>33916411.390000001</v>
      </c>
    </row>
    <row r="2062" spans="1:1" x14ac:dyDescent="0.25">
      <c r="A2062" s="21">
        <v>32176185.75</v>
      </c>
    </row>
    <row r="2063" spans="1:1" x14ac:dyDescent="0.25">
      <c r="A2063" s="21">
        <v>59310003.289999999</v>
      </c>
    </row>
    <row r="2064" spans="1:1" x14ac:dyDescent="0.25">
      <c r="A2064" s="21">
        <v>68665583.370000005</v>
      </c>
    </row>
    <row r="2065" spans="1:1" x14ac:dyDescent="0.25">
      <c r="A2065" s="21">
        <v>26797345.109999999</v>
      </c>
    </row>
    <row r="2066" spans="1:1" x14ac:dyDescent="0.25">
      <c r="A2066" s="21">
        <v>31573574.460000001</v>
      </c>
    </row>
    <row r="2067" spans="1:1" x14ac:dyDescent="0.25">
      <c r="A2067" s="21">
        <v>61240230.18</v>
      </c>
    </row>
    <row r="2068" spans="1:1" x14ac:dyDescent="0.25">
      <c r="A2068" s="21">
        <v>87634888.040000007</v>
      </c>
    </row>
    <row r="2069" spans="1:1" x14ac:dyDescent="0.25">
      <c r="A2069" s="21">
        <v>38522681.170000002</v>
      </c>
    </row>
    <row r="2070" spans="1:1" x14ac:dyDescent="0.25">
      <c r="A2070" s="21">
        <v>42670769.409999996</v>
      </c>
    </row>
    <row r="2071" spans="1:1" x14ac:dyDescent="0.25">
      <c r="A2071" s="21">
        <v>95827143.140000001</v>
      </c>
    </row>
    <row r="2072" spans="1:1" x14ac:dyDescent="0.25">
      <c r="A2072" s="21">
        <v>30914883</v>
      </c>
    </row>
    <row r="2073" spans="1:1" x14ac:dyDescent="0.25">
      <c r="A2073" s="21">
        <v>6640339.8499999996</v>
      </c>
    </row>
    <row r="2074" spans="1:1" x14ac:dyDescent="0.25">
      <c r="A2074" s="21">
        <v>53675276.909999996</v>
      </c>
    </row>
    <row r="2075" spans="1:1" x14ac:dyDescent="0.25">
      <c r="A2075" s="21">
        <v>34759148.409999996</v>
      </c>
    </row>
    <row r="2076" spans="1:1" x14ac:dyDescent="0.25">
      <c r="A2076" s="21">
        <v>157447079.08000001</v>
      </c>
    </row>
    <row r="2077" spans="1:1" x14ac:dyDescent="0.25">
      <c r="A2077" s="21">
        <v>246866247.34999999</v>
      </c>
    </row>
    <row r="2078" spans="1:1" x14ac:dyDescent="0.25">
      <c r="A2078" s="21">
        <v>107637815.18000001</v>
      </c>
    </row>
    <row r="2079" spans="1:1" x14ac:dyDescent="0.25">
      <c r="A2079" s="21">
        <v>71785239.640000001</v>
      </c>
    </row>
    <row r="2080" spans="1:1" x14ac:dyDescent="0.25">
      <c r="A2080" s="21">
        <v>49374171.130000003</v>
      </c>
    </row>
    <row r="2081" spans="1:1" x14ac:dyDescent="0.25">
      <c r="A2081" s="21">
        <v>53693821.670000002</v>
      </c>
    </row>
    <row r="2082" spans="1:1" x14ac:dyDescent="0.25">
      <c r="A2082" s="21">
        <v>95031409.430000007</v>
      </c>
    </row>
    <row r="2083" spans="1:1" x14ac:dyDescent="0.25">
      <c r="A2083" s="21">
        <v>177980075.96000001</v>
      </c>
    </row>
    <row r="2084" spans="1:1" x14ac:dyDescent="0.25">
      <c r="A2084" s="21">
        <v>168797262.09</v>
      </c>
    </row>
    <row r="2085" spans="1:1" x14ac:dyDescent="0.25">
      <c r="A2085" s="21">
        <v>34675831.939999998</v>
      </c>
    </row>
    <row r="2086" spans="1:1" x14ac:dyDescent="0.25">
      <c r="A2086" s="21">
        <v>328935366.87</v>
      </c>
    </row>
    <row r="2087" spans="1:1" x14ac:dyDescent="0.25">
      <c r="A2087" s="21">
        <v>110107860.29000001</v>
      </c>
    </row>
    <row r="2088" spans="1:1" x14ac:dyDescent="0.25">
      <c r="A2088" s="21">
        <v>224343570.94999999</v>
      </c>
    </row>
    <row r="2089" spans="1:1" x14ac:dyDescent="0.25">
      <c r="A2089" s="21">
        <v>23113705.829999998</v>
      </c>
    </row>
    <row r="2090" spans="1:1" x14ac:dyDescent="0.25">
      <c r="A2090" s="21">
        <v>3927349.05</v>
      </c>
    </row>
    <row r="2091" spans="1:1" x14ac:dyDescent="0.25">
      <c r="A2091" s="21">
        <v>3127240.41</v>
      </c>
    </row>
    <row r="2092" spans="1:1" x14ac:dyDescent="0.25">
      <c r="A2092" s="21">
        <v>122241919.55</v>
      </c>
    </row>
    <row r="2093" spans="1:1" x14ac:dyDescent="0.25">
      <c r="A2093">
        <v>0</v>
      </c>
    </row>
    <row r="2094" spans="1:1" x14ac:dyDescent="0.25">
      <c r="A2094" s="21">
        <v>66247564.640000001</v>
      </c>
    </row>
    <row r="2095" spans="1:1" x14ac:dyDescent="0.25">
      <c r="A2095" s="21">
        <v>6905678.6100000003</v>
      </c>
    </row>
    <row r="2096" spans="1:1" x14ac:dyDescent="0.25">
      <c r="A2096" s="21">
        <v>4485320.3600000003</v>
      </c>
    </row>
    <row r="2097" spans="1:1" x14ac:dyDescent="0.25">
      <c r="A2097" s="21">
        <v>305513489.47000003</v>
      </c>
    </row>
    <row r="2098" spans="1:1" x14ac:dyDescent="0.25">
      <c r="A2098">
        <v>0</v>
      </c>
    </row>
    <row r="2099" spans="1:1" x14ac:dyDescent="0.25">
      <c r="A2099" s="21">
        <v>159364474.55000001</v>
      </c>
    </row>
    <row r="2100" spans="1:1" x14ac:dyDescent="0.25">
      <c r="A2100">
        <v>0</v>
      </c>
    </row>
    <row r="2101" spans="1:1" x14ac:dyDescent="0.25">
      <c r="A2101" s="21">
        <v>15073454.310000001</v>
      </c>
    </row>
    <row r="2102" spans="1:1" x14ac:dyDescent="0.25">
      <c r="A2102" s="21">
        <v>75618739.700000003</v>
      </c>
    </row>
    <row r="2103" spans="1:1" x14ac:dyDescent="0.25">
      <c r="A2103" s="21">
        <v>51095070.049999997</v>
      </c>
    </row>
    <row r="2104" spans="1:1" x14ac:dyDescent="0.25">
      <c r="A2104" s="21">
        <v>45409291.18</v>
      </c>
    </row>
    <row r="2105" spans="1:1" x14ac:dyDescent="0.25">
      <c r="A2105" s="21">
        <v>47635069.520000003</v>
      </c>
    </row>
    <row r="2106" spans="1:1" x14ac:dyDescent="0.25">
      <c r="A2106" s="21">
        <v>144691790.38999999</v>
      </c>
    </row>
    <row r="2107" spans="1:1" x14ac:dyDescent="0.25">
      <c r="A2107" s="21">
        <v>84340480.030000001</v>
      </c>
    </row>
    <row r="2108" spans="1:1" x14ac:dyDescent="0.25">
      <c r="A2108" s="21">
        <v>11295934.51</v>
      </c>
    </row>
    <row r="2109" spans="1:1" x14ac:dyDescent="0.25">
      <c r="A2109" s="21">
        <v>9876108.8699999992</v>
      </c>
    </row>
    <row r="2110" spans="1:1" x14ac:dyDescent="0.25">
      <c r="A2110" s="21">
        <v>89902029.4799999</v>
      </c>
    </row>
    <row r="2111" spans="1:1" x14ac:dyDescent="0.25">
      <c r="A2111" s="21">
        <v>38177351.739999898</v>
      </c>
    </row>
    <row r="2112" spans="1:1" x14ac:dyDescent="0.25">
      <c r="A2112" s="21">
        <v>53501537.489999898</v>
      </c>
    </row>
    <row r="2113" spans="1:1" x14ac:dyDescent="0.25">
      <c r="A2113" s="21">
        <v>26659332.170000002</v>
      </c>
    </row>
    <row r="2114" spans="1:1" x14ac:dyDescent="0.25">
      <c r="A2114" s="21">
        <v>2894896.47</v>
      </c>
    </row>
    <row r="2115" spans="1:1" x14ac:dyDescent="0.25">
      <c r="A2115" s="21">
        <v>43060790.509999998</v>
      </c>
    </row>
    <row r="2116" spans="1:1" x14ac:dyDescent="0.25">
      <c r="A2116" s="21">
        <v>15131254.15</v>
      </c>
    </row>
    <row r="2117" spans="1:1" x14ac:dyDescent="0.25">
      <c r="A2117" s="21">
        <v>87216032.459999993</v>
      </c>
    </row>
    <row r="2118" spans="1:1" x14ac:dyDescent="0.25">
      <c r="A2118">
        <v>6113679</v>
      </c>
    </row>
    <row r="2119" spans="1:1" x14ac:dyDescent="0.25">
      <c r="A2119" s="21">
        <v>46757878.75</v>
      </c>
    </row>
    <row r="2120" spans="1:1" x14ac:dyDescent="0.25">
      <c r="A2120" s="21">
        <v>82471199.730000004</v>
      </c>
    </row>
    <row r="2121" spans="1:1" x14ac:dyDescent="0.25">
      <c r="A2121" s="21">
        <v>111352500.64</v>
      </c>
    </row>
    <row r="2122" spans="1:1" x14ac:dyDescent="0.25">
      <c r="A2122" s="21">
        <v>36367013.270000003</v>
      </c>
    </row>
    <row r="2123" spans="1:1" x14ac:dyDescent="0.25">
      <c r="A2123" s="21">
        <v>226588301.71000001</v>
      </c>
    </row>
    <row r="2124" spans="1:1" x14ac:dyDescent="0.25">
      <c r="A2124" s="21">
        <v>33440479.780000001</v>
      </c>
    </row>
    <row r="2125" spans="1:1" x14ac:dyDescent="0.25">
      <c r="A2125">
        <v>0</v>
      </c>
    </row>
    <row r="2126" spans="1:1" x14ac:dyDescent="0.25">
      <c r="A2126" s="21">
        <v>230941481.77000001</v>
      </c>
    </row>
    <row r="2127" spans="1:1" x14ac:dyDescent="0.25">
      <c r="A2127" s="21">
        <v>494575659.63999999</v>
      </c>
    </row>
    <row r="2128" spans="1:1" x14ac:dyDescent="0.25">
      <c r="A2128" s="21">
        <v>132570256.31999999</v>
      </c>
    </row>
    <row r="2129" spans="1:1" x14ac:dyDescent="0.25">
      <c r="A2129" s="21">
        <v>19074070.539999999</v>
      </c>
    </row>
    <row r="2130" spans="1:1" x14ac:dyDescent="0.25">
      <c r="A2130" s="21">
        <v>61703169.789999999</v>
      </c>
    </row>
    <row r="2131" spans="1:1" x14ac:dyDescent="0.25">
      <c r="A2131">
        <v>0</v>
      </c>
    </row>
    <row r="2132" spans="1:1" x14ac:dyDescent="0.25">
      <c r="A2132" s="21">
        <v>49692791.979999997</v>
      </c>
    </row>
    <row r="2133" spans="1:1" x14ac:dyDescent="0.25">
      <c r="A2133" s="21">
        <v>80355149.840000004</v>
      </c>
    </row>
    <row r="2134" spans="1:1" x14ac:dyDescent="0.25">
      <c r="A2134" s="21">
        <v>6693334.8399999999</v>
      </c>
    </row>
    <row r="2135" spans="1:1" x14ac:dyDescent="0.25">
      <c r="A2135" s="21">
        <v>76795909.509999901</v>
      </c>
    </row>
    <row r="2136" spans="1:1" x14ac:dyDescent="0.25">
      <c r="A2136" s="21">
        <v>73876416.879999995</v>
      </c>
    </row>
    <row r="2137" spans="1:1" x14ac:dyDescent="0.25">
      <c r="A2137" s="21">
        <v>31359319.219999999</v>
      </c>
    </row>
    <row r="2138" spans="1:1" x14ac:dyDescent="0.25">
      <c r="A2138" s="21">
        <v>118591804.48</v>
      </c>
    </row>
    <row r="2139" spans="1:1" x14ac:dyDescent="0.25">
      <c r="A2139" s="21">
        <v>44903475.259999998</v>
      </c>
    </row>
    <row r="2140" spans="1:1" x14ac:dyDescent="0.25">
      <c r="A2140" s="21">
        <v>258004880.27000001</v>
      </c>
    </row>
    <row r="2141" spans="1:1" x14ac:dyDescent="0.25">
      <c r="A2141" s="21">
        <v>70168611.549999997</v>
      </c>
    </row>
    <row r="2142" spans="1:1" x14ac:dyDescent="0.25">
      <c r="A2142" s="21">
        <v>45295124.210000001</v>
      </c>
    </row>
    <row r="2143" spans="1:1" x14ac:dyDescent="0.25">
      <c r="A2143" s="21">
        <v>153153327.72999999</v>
      </c>
    </row>
    <row r="2144" spans="1:1" x14ac:dyDescent="0.25">
      <c r="A2144" s="21">
        <v>126829506.59</v>
      </c>
    </row>
    <row r="2145" spans="1:1" x14ac:dyDescent="0.25">
      <c r="A2145" s="21">
        <v>45965338.789999999</v>
      </c>
    </row>
    <row r="2146" spans="1:1" x14ac:dyDescent="0.25">
      <c r="A2146" s="21">
        <v>23890069.969999999</v>
      </c>
    </row>
    <row r="2147" spans="1:1" x14ac:dyDescent="0.25">
      <c r="A2147" s="21">
        <v>87271795.890000001</v>
      </c>
    </row>
    <row r="2148" spans="1:1" x14ac:dyDescent="0.25">
      <c r="A2148" s="21">
        <v>19041365.850000001</v>
      </c>
    </row>
    <row r="2149" spans="1:1" x14ac:dyDescent="0.25">
      <c r="A2149" s="21">
        <v>162998805.16999999</v>
      </c>
    </row>
    <row r="2150" spans="1:1" x14ac:dyDescent="0.25">
      <c r="A2150">
        <v>0</v>
      </c>
    </row>
    <row r="2151" spans="1:1" x14ac:dyDescent="0.25">
      <c r="A2151" s="21">
        <v>53935790.939999998</v>
      </c>
    </row>
    <row r="2152" spans="1:1" x14ac:dyDescent="0.25">
      <c r="A2152" s="21">
        <v>287124478.55000001</v>
      </c>
    </row>
    <row r="2153" spans="1:1" x14ac:dyDescent="0.25">
      <c r="A2153" s="21">
        <v>42330316.43</v>
      </c>
    </row>
    <row r="2154" spans="1:1" x14ac:dyDescent="0.25">
      <c r="A2154" s="21">
        <v>80786204.109999999</v>
      </c>
    </row>
    <row r="2155" spans="1:1" x14ac:dyDescent="0.25">
      <c r="A2155" s="21">
        <v>19123633.039999999</v>
      </c>
    </row>
    <row r="2156" spans="1:1" x14ac:dyDescent="0.25">
      <c r="A2156" s="21">
        <v>73996328.920000002</v>
      </c>
    </row>
    <row r="2157" spans="1:1" x14ac:dyDescent="0.25">
      <c r="A2157" s="21">
        <v>53358829.829999998</v>
      </c>
    </row>
    <row r="2158" spans="1:1" x14ac:dyDescent="0.25">
      <c r="A2158">
        <v>0</v>
      </c>
    </row>
    <row r="2159" spans="1:1" x14ac:dyDescent="0.25">
      <c r="A2159" s="21">
        <v>16542473.4</v>
      </c>
    </row>
    <row r="2160" spans="1:1" x14ac:dyDescent="0.25">
      <c r="A2160" s="21">
        <v>22150666.030000001</v>
      </c>
    </row>
    <row r="2161" spans="1:1" x14ac:dyDescent="0.25">
      <c r="A2161" s="21">
        <v>28929360.379999999</v>
      </c>
    </row>
    <row r="2162" spans="1:1" x14ac:dyDescent="0.25">
      <c r="A2162" s="21">
        <v>78794871.769999996</v>
      </c>
    </row>
    <row r="2163" spans="1:1" x14ac:dyDescent="0.25">
      <c r="A2163" s="21">
        <v>247933848.08000001</v>
      </c>
    </row>
    <row r="2164" spans="1:1" x14ac:dyDescent="0.25">
      <c r="A2164" s="21">
        <v>13573925.25</v>
      </c>
    </row>
    <row r="2165" spans="1:1" x14ac:dyDescent="0.25">
      <c r="A2165" s="21">
        <v>177110332.59</v>
      </c>
    </row>
    <row r="2166" spans="1:1" x14ac:dyDescent="0.25">
      <c r="A2166" s="21">
        <v>14012629.5</v>
      </c>
    </row>
    <row r="2167" spans="1:1" x14ac:dyDescent="0.25">
      <c r="A2167" s="21">
        <v>25136695.140000001</v>
      </c>
    </row>
    <row r="2168" spans="1:1" x14ac:dyDescent="0.25">
      <c r="A2168">
        <v>0</v>
      </c>
    </row>
    <row r="2169" spans="1:1" x14ac:dyDescent="0.25">
      <c r="A2169" s="21">
        <v>138927580.09</v>
      </c>
    </row>
    <row r="2170" spans="1:1" x14ac:dyDescent="0.25">
      <c r="A2170" s="21">
        <v>237644318.90000001</v>
      </c>
    </row>
    <row r="2171" spans="1:1" x14ac:dyDescent="0.25">
      <c r="A2171" s="21">
        <v>17266709.690000001</v>
      </c>
    </row>
    <row r="2172" spans="1:1" x14ac:dyDescent="0.25">
      <c r="A2172" s="21">
        <v>63478343.189999998</v>
      </c>
    </row>
    <row r="2173" spans="1:1" x14ac:dyDescent="0.25">
      <c r="A2173" s="21">
        <v>16285484.93</v>
      </c>
    </row>
    <row r="2174" spans="1:1" x14ac:dyDescent="0.25">
      <c r="A2174" s="21">
        <v>32027433.379999999</v>
      </c>
    </row>
    <row r="2175" spans="1:1" x14ac:dyDescent="0.25">
      <c r="A2175" s="21">
        <v>227321033.97999999</v>
      </c>
    </row>
    <row r="2176" spans="1:1" x14ac:dyDescent="0.25">
      <c r="A2176" s="21">
        <v>8766335.5299999993</v>
      </c>
    </row>
    <row r="2177" spans="1:1" x14ac:dyDescent="0.25">
      <c r="A2177" s="21">
        <v>34492958.600000001</v>
      </c>
    </row>
    <row r="2178" spans="1:1" x14ac:dyDescent="0.25">
      <c r="A2178">
        <v>0</v>
      </c>
    </row>
    <row r="2179" spans="1:1" x14ac:dyDescent="0.25">
      <c r="A2179" s="21">
        <v>15311148.550000001</v>
      </c>
    </row>
    <row r="2180" spans="1:1" x14ac:dyDescent="0.25">
      <c r="A2180" s="21">
        <v>3514341.62</v>
      </c>
    </row>
    <row r="2181" spans="1:1" x14ac:dyDescent="0.25">
      <c r="A2181" s="21">
        <v>183441567.63999999</v>
      </c>
    </row>
    <row r="2182" spans="1:1" x14ac:dyDescent="0.25">
      <c r="A2182" s="21">
        <v>116640848.47</v>
      </c>
    </row>
    <row r="2183" spans="1:1" x14ac:dyDescent="0.25">
      <c r="A2183" s="21">
        <v>114602654.17</v>
      </c>
    </row>
    <row r="2184" spans="1:1" x14ac:dyDescent="0.25">
      <c r="A2184" s="21">
        <v>79276130.489999995</v>
      </c>
    </row>
    <row r="2185" spans="1:1" x14ac:dyDescent="0.25">
      <c r="A2185" s="21">
        <v>5875822.5</v>
      </c>
    </row>
    <row r="2186" spans="1:1" x14ac:dyDescent="0.25">
      <c r="A2186" s="21">
        <v>30928177.18</v>
      </c>
    </row>
    <row r="2187" spans="1:1" x14ac:dyDescent="0.25">
      <c r="A2187" s="21">
        <v>108794141.64</v>
      </c>
    </row>
    <row r="2188" spans="1:1" x14ac:dyDescent="0.25">
      <c r="A2188" s="21">
        <v>22695724.75</v>
      </c>
    </row>
    <row r="2189" spans="1:1" x14ac:dyDescent="0.25">
      <c r="A2189" s="21">
        <v>58370192.850000001</v>
      </c>
    </row>
    <row r="2190" spans="1:1" x14ac:dyDescent="0.25">
      <c r="A2190" s="21">
        <v>233871436.97</v>
      </c>
    </row>
    <row r="2191" spans="1:1" x14ac:dyDescent="0.25">
      <c r="A2191" s="21">
        <v>10536494.25</v>
      </c>
    </row>
    <row r="2192" spans="1:1" x14ac:dyDescent="0.25">
      <c r="A2192" s="21">
        <v>152606066.56</v>
      </c>
    </row>
    <row r="2193" spans="1:1" x14ac:dyDescent="0.25">
      <c r="A2193" s="21">
        <v>49067202.119999997</v>
      </c>
    </row>
    <row r="2194" spans="1:1" x14ac:dyDescent="0.25">
      <c r="A2194" s="21">
        <v>21081796.260000002</v>
      </c>
    </row>
    <row r="2195" spans="1:1" x14ac:dyDescent="0.25">
      <c r="A2195" s="21">
        <v>23776417.850000001</v>
      </c>
    </row>
    <row r="2196" spans="1:1" x14ac:dyDescent="0.25">
      <c r="A2196" s="21">
        <v>314082580.41000003</v>
      </c>
    </row>
    <row r="2197" spans="1:1" x14ac:dyDescent="0.25">
      <c r="A2197" s="21">
        <v>10300014.939999999</v>
      </c>
    </row>
    <row r="2198" spans="1:1" x14ac:dyDescent="0.25">
      <c r="A2198" s="21">
        <v>51353594.810000002</v>
      </c>
    </row>
    <row r="2199" spans="1:1" x14ac:dyDescent="0.25">
      <c r="A2199" s="21">
        <v>85188330.200000003</v>
      </c>
    </row>
    <row r="2200" spans="1:1" x14ac:dyDescent="0.25">
      <c r="A2200">
        <v>0</v>
      </c>
    </row>
    <row r="2201" spans="1:1" x14ac:dyDescent="0.25">
      <c r="A2201" s="21">
        <v>51099829.299999997</v>
      </c>
    </row>
    <row r="2202" spans="1:1" x14ac:dyDescent="0.25">
      <c r="A2202" s="21">
        <v>2894896.47</v>
      </c>
    </row>
    <row r="2203" spans="1:1" x14ac:dyDescent="0.25">
      <c r="A2203" s="21">
        <v>58305899.189999998</v>
      </c>
    </row>
    <row r="2204" spans="1:1" x14ac:dyDescent="0.25">
      <c r="A2204" s="21">
        <v>194940947.13999999</v>
      </c>
    </row>
    <row r="2205" spans="1:1" x14ac:dyDescent="0.25">
      <c r="A2205" s="21">
        <v>184773170.25999999</v>
      </c>
    </row>
    <row r="2206" spans="1:1" x14ac:dyDescent="0.25">
      <c r="A2206" s="21">
        <v>26884628.309999999</v>
      </c>
    </row>
    <row r="2207" spans="1:1" x14ac:dyDescent="0.25">
      <c r="A2207" s="21">
        <v>37570447.479999997</v>
      </c>
    </row>
    <row r="2208" spans="1:1" x14ac:dyDescent="0.25">
      <c r="A2208" s="21">
        <v>55960190.539999999</v>
      </c>
    </row>
    <row r="2209" spans="1:1" x14ac:dyDescent="0.25">
      <c r="A2209" s="21">
        <v>216982192.62</v>
      </c>
    </row>
    <row r="2210" spans="1:1" x14ac:dyDescent="0.25">
      <c r="A2210" s="21">
        <v>95152903.430000007</v>
      </c>
    </row>
    <row r="2211" spans="1:1" x14ac:dyDescent="0.25">
      <c r="A2211" s="21">
        <v>16643015.539999999</v>
      </c>
    </row>
    <row r="2212" spans="1:1" x14ac:dyDescent="0.25">
      <c r="A2212" s="21">
        <v>86301585.780000001</v>
      </c>
    </row>
    <row r="2213" spans="1:1" x14ac:dyDescent="0.25">
      <c r="A2213" s="21">
        <v>14214205.970000001</v>
      </c>
    </row>
    <row r="2214" spans="1:1" x14ac:dyDescent="0.25">
      <c r="A2214" s="21">
        <v>6264586.5</v>
      </c>
    </row>
    <row r="2215" spans="1:1" x14ac:dyDescent="0.25">
      <c r="A2215" s="21">
        <v>5706451.5</v>
      </c>
    </row>
    <row r="2216" spans="1:1" x14ac:dyDescent="0.25">
      <c r="A2216" s="21">
        <v>156916852.47999999</v>
      </c>
    </row>
    <row r="2217" spans="1:1" x14ac:dyDescent="0.25">
      <c r="A2217" s="21">
        <v>41668558.57</v>
      </c>
    </row>
    <row r="2218" spans="1:1" x14ac:dyDescent="0.25">
      <c r="A2218" s="21">
        <v>72243704.400000006</v>
      </c>
    </row>
    <row r="2219" spans="1:1" x14ac:dyDescent="0.25">
      <c r="A2219" s="21">
        <v>21368981.25</v>
      </c>
    </row>
    <row r="2220" spans="1:1" x14ac:dyDescent="0.25">
      <c r="A2220">
        <v>0</v>
      </c>
    </row>
    <row r="2221" spans="1:1" x14ac:dyDescent="0.25">
      <c r="A2221" s="21">
        <v>138619202.06999999</v>
      </c>
    </row>
    <row r="2222" spans="1:1" x14ac:dyDescent="0.25">
      <c r="A2222" s="21">
        <v>96998154.239999995</v>
      </c>
    </row>
    <row r="2223" spans="1:1" x14ac:dyDescent="0.25">
      <c r="A2223" s="21">
        <v>39360448.259999998</v>
      </c>
    </row>
    <row r="2224" spans="1:1" x14ac:dyDescent="0.25">
      <c r="A2224" s="21">
        <v>105793774.67</v>
      </c>
    </row>
    <row r="2225" spans="1:1" x14ac:dyDescent="0.25">
      <c r="A2225" s="21">
        <v>157552964.56</v>
      </c>
    </row>
    <row r="2226" spans="1:1" x14ac:dyDescent="0.25">
      <c r="A2226" s="21">
        <v>76882801.640000001</v>
      </c>
    </row>
    <row r="2227" spans="1:1" x14ac:dyDescent="0.25">
      <c r="A2227" s="21">
        <v>325406463.72000003</v>
      </c>
    </row>
    <row r="2228" spans="1:1" x14ac:dyDescent="0.25">
      <c r="A2228" s="21">
        <v>52817140.409999996</v>
      </c>
    </row>
    <row r="2229" spans="1:1" x14ac:dyDescent="0.25">
      <c r="A2229" s="21">
        <v>162852928.87</v>
      </c>
    </row>
    <row r="2230" spans="1:1" x14ac:dyDescent="0.25">
      <c r="A2230" s="21">
        <v>33567521.450000003</v>
      </c>
    </row>
    <row r="2231" spans="1:1" x14ac:dyDescent="0.25">
      <c r="A2231" s="21">
        <v>170206506.08000001</v>
      </c>
    </row>
    <row r="2232" spans="1:1" x14ac:dyDescent="0.25">
      <c r="A2232" s="21">
        <v>39216604.899999999</v>
      </c>
    </row>
    <row r="2233" spans="1:1" x14ac:dyDescent="0.25">
      <c r="A2233" s="21">
        <v>27965640.469999999</v>
      </c>
    </row>
    <row r="2234" spans="1:1" x14ac:dyDescent="0.25">
      <c r="A2234" s="21">
        <v>37941185.200000003</v>
      </c>
    </row>
    <row r="2235" spans="1:1" x14ac:dyDescent="0.25">
      <c r="A2235">
        <v>0</v>
      </c>
    </row>
    <row r="2236" spans="1:1" x14ac:dyDescent="0.25">
      <c r="A2236" s="21">
        <v>96272108.219999999</v>
      </c>
    </row>
    <row r="2237" spans="1:1" x14ac:dyDescent="0.25">
      <c r="A2237" s="21">
        <v>26493373.170000002</v>
      </c>
    </row>
    <row r="2238" spans="1:1" x14ac:dyDescent="0.25">
      <c r="A2238" s="21">
        <v>63665548.159999996</v>
      </c>
    </row>
    <row r="2239" spans="1:1" x14ac:dyDescent="0.25">
      <c r="A2239" s="21">
        <v>172915767.33000001</v>
      </c>
    </row>
    <row r="2240" spans="1:1" x14ac:dyDescent="0.25">
      <c r="A2240" s="21">
        <v>25620093.989999998</v>
      </c>
    </row>
    <row r="2241" spans="1:1" x14ac:dyDescent="0.25">
      <c r="A2241" s="21">
        <v>101720832.42</v>
      </c>
    </row>
    <row r="2242" spans="1:1" x14ac:dyDescent="0.25">
      <c r="A2242" s="21">
        <v>17076134.559999999</v>
      </c>
    </row>
    <row r="2243" spans="1:1" x14ac:dyDescent="0.25">
      <c r="A2243" s="21">
        <v>50640186.590000004</v>
      </c>
    </row>
    <row r="2244" spans="1:1" x14ac:dyDescent="0.25">
      <c r="A2244">
        <v>0</v>
      </c>
    </row>
    <row r="2245" spans="1:1" x14ac:dyDescent="0.25">
      <c r="A2245" s="21">
        <v>146597800.33000001</v>
      </c>
    </row>
    <row r="2246" spans="1:1" x14ac:dyDescent="0.25">
      <c r="A2246" s="21">
        <v>37864120.140000001</v>
      </c>
    </row>
    <row r="2247" spans="1:1" x14ac:dyDescent="0.25">
      <c r="A2247" s="21">
        <v>10250415.039999999</v>
      </c>
    </row>
    <row r="2248" spans="1:1" x14ac:dyDescent="0.25">
      <c r="A2248" s="21">
        <v>44308203.32</v>
      </c>
    </row>
    <row r="2249" spans="1:1" x14ac:dyDescent="0.25">
      <c r="A2249" s="21">
        <v>63247074.289999999</v>
      </c>
    </row>
    <row r="2250" spans="1:1" x14ac:dyDescent="0.25">
      <c r="A2250" s="21">
        <v>49049906.509999998</v>
      </c>
    </row>
    <row r="2251" spans="1:1" x14ac:dyDescent="0.25">
      <c r="A2251" s="21">
        <v>125614300.2</v>
      </c>
    </row>
    <row r="2252" spans="1:1" x14ac:dyDescent="0.25">
      <c r="A2252" s="21">
        <v>59955438.149999999</v>
      </c>
    </row>
    <row r="2253" spans="1:1" x14ac:dyDescent="0.25">
      <c r="A2253" s="21">
        <v>158896659.30000001</v>
      </c>
    </row>
    <row r="2254" spans="1:1" x14ac:dyDescent="0.25">
      <c r="A2254" s="21">
        <v>78602863.799999997</v>
      </c>
    </row>
    <row r="2255" spans="1:1" x14ac:dyDescent="0.25">
      <c r="A2255">
        <v>0</v>
      </c>
    </row>
    <row r="2256" spans="1:1" x14ac:dyDescent="0.25">
      <c r="A2256" s="21">
        <v>26656509.359999999</v>
      </c>
    </row>
    <row r="2257" spans="1:1" x14ac:dyDescent="0.25">
      <c r="A2257" s="21">
        <v>46021746.130000003</v>
      </c>
    </row>
    <row r="2258" spans="1:1" x14ac:dyDescent="0.25">
      <c r="A2258" s="21">
        <v>16685408.76</v>
      </c>
    </row>
    <row r="2259" spans="1:1" x14ac:dyDescent="0.25">
      <c r="A2259" s="21">
        <v>22463363.960000001</v>
      </c>
    </row>
    <row r="2260" spans="1:1" x14ac:dyDescent="0.25">
      <c r="A2260">
        <v>0</v>
      </c>
    </row>
    <row r="2261" spans="1:1" x14ac:dyDescent="0.25">
      <c r="A2261" s="21">
        <v>5990513.25</v>
      </c>
    </row>
    <row r="2262" spans="1:1" x14ac:dyDescent="0.25">
      <c r="A2262" s="21">
        <v>6672014.25</v>
      </c>
    </row>
    <row r="2263" spans="1:1" x14ac:dyDescent="0.25">
      <c r="A2263" s="21">
        <v>33515537.350000001</v>
      </c>
    </row>
    <row r="2264" spans="1:1" x14ac:dyDescent="0.25">
      <c r="A2264" s="21">
        <v>39703837.210000001</v>
      </c>
    </row>
    <row r="2265" spans="1:1" x14ac:dyDescent="0.25">
      <c r="A2265" s="21">
        <v>138474431.05000001</v>
      </c>
    </row>
    <row r="2266" spans="1:1" x14ac:dyDescent="0.25">
      <c r="A2266" s="21">
        <v>121544014.88</v>
      </c>
    </row>
    <row r="2267" spans="1:1" x14ac:dyDescent="0.25">
      <c r="A2267" s="21">
        <v>139517513.78</v>
      </c>
    </row>
    <row r="2268" spans="1:1" x14ac:dyDescent="0.25">
      <c r="A2268">
        <v>0</v>
      </c>
    </row>
    <row r="2269" spans="1:1" x14ac:dyDescent="0.25">
      <c r="A2269" s="21">
        <v>287247251.56999999</v>
      </c>
    </row>
    <row r="2270" spans="1:1" x14ac:dyDescent="0.25">
      <c r="A2270" s="21">
        <v>18780727.5</v>
      </c>
    </row>
    <row r="2271" spans="1:1" x14ac:dyDescent="0.25">
      <c r="A2271" s="21">
        <v>15316521.76</v>
      </c>
    </row>
    <row r="2272" spans="1:1" x14ac:dyDescent="0.25">
      <c r="A2272">
        <v>0</v>
      </c>
    </row>
    <row r="2273" spans="1:1" x14ac:dyDescent="0.25">
      <c r="A2273" s="21">
        <v>112924057.44</v>
      </c>
    </row>
    <row r="2274" spans="1:1" x14ac:dyDescent="0.25">
      <c r="A2274" s="21">
        <v>96980372.030000001</v>
      </c>
    </row>
    <row r="2275" spans="1:1" x14ac:dyDescent="0.25">
      <c r="A2275" s="21">
        <v>221476041.24000001</v>
      </c>
    </row>
    <row r="2276" spans="1:1" x14ac:dyDescent="0.25">
      <c r="A2276" s="21">
        <v>53596193.670000002</v>
      </c>
    </row>
    <row r="2277" spans="1:1" x14ac:dyDescent="0.25">
      <c r="A2277" s="21">
        <v>53444385.170000002</v>
      </c>
    </row>
    <row r="2278" spans="1:1" x14ac:dyDescent="0.25">
      <c r="A2278" s="21">
        <v>387897952.75</v>
      </c>
    </row>
    <row r="2279" spans="1:1" x14ac:dyDescent="0.25">
      <c r="A2279" s="21">
        <v>67321851.170000002</v>
      </c>
    </row>
    <row r="2280" spans="1:1" x14ac:dyDescent="0.25">
      <c r="A2280" s="21">
        <v>369631679.41000003</v>
      </c>
    </row>
    <row r="2281" spans="1:1" x14ac:dyDescent="0.25">
      <c r="A2281" s="21">
        <v>96311204.789999902</v>
      </c>
    </row>
    <row r="2282" spans="1:1" x14ac:dyDescent="0.25">
      <c r="A2282" s="21">
        <v>30982501.870000001</v>
      </c>
    </row>
    <row r="2283" spans="1:1" x14ac:dyDescent="0.25">
      <c r="A2283" s="21">
        <v>2700085.26</v>
      </c>
    </row>
    <row r="2284" spans="1:1" x14ac:dyDescent="0.25">
      <c r="A2284" s="21">
        <v>39087742.670000002</v>
      </c>
    </row>
    <row r="2285" spans="1:1" x14ac:dyDescent="0.25">
      <c r="A2285" s="21">
        <v>43648726.649999999</v>
      </c>
    </row>
    <row r="2286" spans="1:1" x14ac:dyDescent="0.25">
      <c r="A2286" s="21">
        <v>50651776.340000004</v>
      </c>
    </row>
    <row r="2287" spans="1:1" x14ac:dyDescent="0.25">
      <c r="A2287" s="21">
        <v>17882177.050000001</v>
      </c>
    </row>
    <row r="2288" spans="1:1" x14ac:dyDescent="0.25">
      <c r="A2288" s="21">
        <v>140210860.61000001</v>
      </c>
    </row>
    <row r="2289" spans="1:1" x14ac:dyDescent="0.25">
      <c r="A2289" s="21">
        <v>64058953.130000003</v>
      </c>
    </row>
    <row r="2290" spans="1:1" x14ac:dyDescent="0.25">
      <c r="A2290" s="21">
        <v>62698444.579999998</v>
      </c>
    </row>
    <row r="2291" spans="1:1" x14ac:dyDescent="0.25">
      <c r="A2291" s="21">
        <v>3790866.7</v>
      </c>
    </row>
    <row r="2292" spans="1:1" x14ac:dyDescent="0.25">
      <c r="A2292" s="21">
        <v>33259712.25</v>
      </c>
    </row>
    <row r="2293" spans="1:1" x14ac:dyDescent="0.25">
      <c r="A2293" s="21">
        <v>39248454.859999999</v>
      </c>
    </row>
    <row r="2294" spans="1:1" x14ac:dyDescent="0.25">
      <c r="A2294" s="21">
        <v>6734884.5</v>
      </c>
    </row>
    <row r="2295" spans="1:1" x14ac:dyDescent="0.25">
      <c r="A2295" s="21">
        <v>49623930.079999998</v>
      </c>
    </row>
    <row r="2296" spans="1:1" x14ac:dyDescent="0.25">
      <c r="A2296">
        <v>0</v>
      </c>
    </row>
    <row r="2297" spans="1:1" x14ac:dyDescent="0.25">
      <c r="A2297" s="21">
        <v>38315675.670000002</v>
      </c>
    </row>
    <row r="2298" spans="1:1" x14ac:dyDescent="0.25">
      <c r="A2298" s="21">
        <v>25518601.030000001</v>
      </c>
    </row>
    <row r="2299" spans="1:1" x14ac:dyDescent="0.25">
      <c r="A2299" s="21">
        <v>10563565.539999999</v>
      </c>
    </row>
    <row r="2300" spans="1:1" x14ac:dyDescent="0.25">
      <c r="A2300" s="21">
        <v>97207681.719999999</v>
      </c>
    </row>
    <row r="2301" spans="1:1" x14ac:dyDescent="0.25">
      <c r="A2301">
        <v>0</v>
      </c>
    </row>
    <row r="2302" spans="1:1" x14ac:dyDescent="0.25">
      <c r="A2302" s="21">
        <v>109429997.22</v>
      </c>
    </row>
    <row r="2303" spans="1:1" x14ac:dyDescent="0.25">
      <c r="A2303" s="21">
        <v>48353308.700000003</v>
      </c>
    </row>
    <row r="2304" spans="1:1" x14ac:dyDescent="0.25">
      <c r="A2304" s="21">
        <v>46209727.989999898</v>
      </c>
    </row>
    <row r="2305" spans="1:1" x14ac:dyDescent="0.25">
      <c r="A2305" s="21">
        <v>75369231.260000005</v>
      </c>
    </row>
    <row r="2306" spans="1:1" x14ac:dyDescent="0.25">
      <c r="A2306" s="21">
        <v>45338148.630000003</v>
      </c>
    </row>
    <row r="2307" spans="1:1" x14ac:dyDescent="0.25">
      <c r="A2307" s="21">
        <v>59227194.57</v>
      </c>
    </row>
    <row r="2308" spans="1:1" x14ac:dyDescent="0.25">
      <c r="A2308" s="21">
        <v>57563936.520000003</v>
      </c>
    </row>
    <row r="2309" spans="1:1" x14ac:dyDescent="0.25">
      <c r="A2309" s="21">
        <v>131445748.87</v>
      </c>
    </row>
    <row r="2310" spans="1:1" x14ac:dyDescent="0.25">
      <c r="A2310" s="21">
        <v>6753582.5800000001</v>
      </c>
    </row>
    <row r="2311" spans="1:1" x14ac:dyDescent="0.25">
      <c r="A2311" s="21">
        <v>57350385.189999998</v>
      </c>
    </row>
    <row r="2312" spans="1:1" x14ac:dyDescent="0.25">
      <c r="A2312" s="21">
        <v>69284413.959999993</v>
      </c>
    </row>
    <row r="2313" spans="1:1" x14ac:dyDescent="0.25">
      <c r="A2313" s="21">
        <v>75377879.629999995</v>
      </c>
    </row>
    <row r="2314" spans="1:1" x14ac:dyDescent="0.25">
      <c r="A2314" s="21">
        <v>11807489.060000001</v>
      </c>
    </row>
    <row r="2315" spans="1:1" x14ac:dyDescent="0.25">
      <c r="A2315" s="21">
        <v>13920232.59</v>
      </c>
    </row>
    <row r="2316" spans="1:1" x14ac:dyDescent="0.25">
      <c r="A2316" s="21">
        <v>20339187.649999999</v>
      </c>
    </row>
    <row r="2317" spans="1:1" x14ac:dyDescent="0.25">
      <c r="A2317" s="21">
        <v>32219424.370000001</v>
      </c>
    </row>
    <row r="2318" spans="1:1" x14ac:dyDescent="0.25">
      <c r="A2318" s="21">
        <v>76893113.469999999</v>
      </c>
    </row>
    <row r="2319" spans="1:1" x14ac:dyDescent="0.25">
      <c r="A2319" s="21">
        <v>6502682.9900000002</v>
      </c>
    </row>
    <row r="2320" spans="1:1" x14ac:dyDescent="0.25">
      <c r="A2320" s="21">
        <v>10719930.390000001</v>
      </c>
    </row>
    <row r="2321" spans="1:1" x14ac:dyDescent="0.25">
      <c r="A2321" s="21">
        <v>74437395.709999993</v>
      </c>
    </row>
    <row r="2322" spans="1:1" x14ac:dyDescent="0.25">
      <c r="A2322" s="21">
        <v>64725821.039999999</v>
      </c>
    </row>
    <row r="2323" spans="1:1" x14ac:dyDescent="0.25">
      <c r="A2323" s="21">
        <v>13536363.75</v>
      </c>
    </row>
    <row r="2324" spans="1:1" x14ac:dyDescent="0.25">
      <c r="A2324" s="21">
        <v>14762577.210000001</v>
      </c>
    </row>
    <row r="2325" spans="1:1" x14ac:dyDescent="0.25">
      <c r="A2325" s="21">
        <v>64575686.189999998</v>
      </c>
    </row>
    <row r="2326" spans="1:1" x14ac:dyDescent="0.25">
      <c r="A2326" s="21">
        <v>74138896.420000002</v>
      </c>
    </row>
    <row r="2327" spans="1:1" x14ac:dyDescent="0.25">
      <c r="A2327" s="21">
        <v>92512459.400000006</v>
      </c>
    </row>
    <row r="2328" spans="1:1" x14ac:dyDescent="0.25">
      <c r="A2328" s="21">
        <v>78055232.709999904</v>
      </c>
    </row>
    <row r="2329" spans="1:1" x14ac:dyDescent="0.25">
      <c r="A2329" s="21">
        <v>106610116.58</v>
      </c>
    </row>
    <row r="2330" spans="1:1" x14ac:dyDescent="0.25">
      <c r="A2330" s="21">
        <v>74863374.530000001</v>
      </c>
    </row>
    <row r="2331" spans="1:1" x14ac:dyDescent="0.25">
      <c r="A2331" s="21">
        <v>3834367.79</v>
      </c>
    </row>
    <row r="2332" spans="1:1" x14ac:dyDescent="0.25">
      <c r="A2332" s="21">
        <v>12425643.43</v>
      </c>
    </row>
    <row r="2333" spans="1:1" x14ac:dyDescent="0.25">
      <c r="A2333" s="21">
        <v>6413787.3899999997</v>
      </c>
    </row>
    <row r="2334" spans="1:1" x14ac:dyDescent="0.25">
      <c r="A2334" s="21">
        <v>6374714.25</v>
      </c>
    </row>
    <row r="2335" spans="1:1" x14ac:dyDescent="0.25">
      <c r="A2335" s="21">
        <v>17573082.100000001</v>
      </c>
    </row>
    <row r="2336" spans="1:1" x14ac:dyDescent="0.25">
      <c r="A2336" s="21">
        <v>69072891.790000007</v>
      </c>
    </row>
    <row r="2337" spans="1:1" x14ac:dyDescent="0.25">
      <c r="A2337" s="21">
        <v>113392597.18000001</v>
      </c>
    </row>
    <row r="2338" spans="1:1" x14ac:dyDescent="0.25">
      <c r="A2338" s="21">
        <v>3959639.7</v>
      </c>
    </row>
    <row r="2339" spans="1:1" x14ac:dyDescent="0.25">
      <c r="A2339" s="21">
        <v>65250664.479999997</v>
      </c>
    </row>
    <row r="2340" spans="1:1" x14ac:dyDescent="0.25">
      <c r="A2340" s="21">
        <v>67853362.400000006</v>
      </c>
    </row>
    <row r="2341" spans="1:1" x14ac:dyDescent="0.25">
      <c r="A2341" s="21">
        <v>7397158.5</v>
      </c>
    </row>
    <row r="2342" spans="1:1" x14ac:dyDescent="0.25">
      <c r="A2342" s="21">
        <v>21121937.059999999</v>
      </c>
    </row>
    <row r="2343" spans="1:1" x14ac:dyDescent="0.25">
      <c r="A2343" s="21">
        <v>51900907.130000003</v>
      </c>
    </row>
    <row r="2344" spans="1:1" x14ac:dyDescent="0.25">
      <c r="A2344" s="21">
        <v>36017999.450000003</v>
      </c>
    </row>
    <row r="2345" spans="1:1" x14ac:dyDescent="0.25">
      <c r="A2345" s="21">
        <v>9732787.4900000002</v>
      </c>
    </row>
    <row r="2346" spans="1:1" x14ac:dyDescent="0.25">
      <c r="A2346" s="21">
        <v>43503860.560000002</v>
      </c>
    </row>
    <row r="2347" spans="1:1" x14ac:dyDescent="0.25">
      <c r="A2347" s="21">
        <v>233934947.69999999</v>
      </c>
    </row>
    <row r="2348" spans="1:1" x14ac:dyDescent="0.25">
      <c r="A2348" s="21">
        <v>14410415.49</v>
      </c>
    </row>
    <row r="2349" spans="1:1" x14ac:dyDescent="0.25">
      <c r="A2349" s="21">
        <v>127322437.37</v>
      </c>
    </row>
    <row r="2350" spans="1:1" x14ac:dyDescent="0.25">
      <c r="A2350" s="21">
        <v>75710868.810000002</v>
      </c>
    </row>
    <row r="2351" spans="1:1" x14ac:dyDescent="0.25">
      <c r="A2351" s="21">
        <v>52989818.899999999</v>
      </c>
    </row>
    <row r="2352" spans="1:1" x14ac:dyDescent="0.25">
      <c r="A2352" s="21">
        <v>105429410.76000001</v>
      </c>
    </row>
    <row r="2353" spans="1:1" x14ac:dyDescent="0.25">
      <c r="A2353" s="21">
        <v>8067520.9199999999</v>
      </c>
    </row>
    <row r="2354" spans="1:1" x14ac:dyDescent="0.25">
      <c r="A2354" s="21">
        <v>168442786.49000001</v>
      </c>
    </row>
    <row r="2355" spans="1:1" x14ac:dyDescent="0.25">
      <c r="A2355" s="21">
        <v>112352647.62</v>
      </c>
    </row>
    <row r="2356" spans="1:1" x14ac:dyDescent="0.25">
      <c r="A2356" s="21">
        <v>53534717.109999999</v>
      </c>
    </row>
    <row r="2357" spans="1:1" x14ac:dyDescent="0.25">
      <c r="A2357" s="21">
        <v>27588009.620000001</v>
      </c>
    </row>
    <row r="2358" spans="1:1" x14ac:dyDescent="0.25">
      <c r="A2358" s="21">
        <v>110253488.73999999</v>
      </c>
    </row>
    <row r="2359" spans="1:1" x14ac:dyDescent="0.25">
      <c r="A2359" s="21">
        <v>10801038.539999999</v>
      </c>
    </row>
    <row r="2360" spans="1:1" x14ac:dyDescent="0.25">
      <c r="A2360" s="21">
        <v>44144200.549999997</v>
      </c>
    </row>
    <row r="2361" spans="1:1" x14ac:dyDescent="0.25">
      <c r="A2361" s="21">
        <v>11981491.5</v>
      </c>
    </row>
    <row r="2362" spans="1:1" x14ac:dyDescent="0.25">
      <c r="A2362" s="21">
        <v>18179549.010000002</v>
      </c>
    </row>
    <row r="2363" spans="1:1" x14ac:dyDescent="0.25">
      <c r="A2363" s="21">
        <v>192514404.94</v>
      </c>
    </row>
    <row r="2364" spans="1:1" x14ac:dyDescent="0.25">
      <c r="A2364" s="21">
        <v>110841289.16</v>
      </c>
    </row>
    <row r="2365" spans="1:1" x14ac:dyDescent="0.25">
      <c r="A2365" s="21">
        <v>69750797.560000002</v>
      </c>
    </row>
    <row r="2366" spans="1:1" x14ac:dyDescent="0.25">
      <c r="A2366" s="21">
        <v>10259044.390000001</v>
      </c>
    </row>
    <row r="2367" spans="1:1" x14ac:dyDescent="0.25">
      <c r="A2367" s="21">
        <v>45925387.960000001</v>
      </c>
    </row>
    <row r="2368" spans="1:1" x14ac:dyDescent="0.25">
      <c r="A2368" s="21">
        <v>51458169.530000001</v>
      </c>
    </row>
    <row r="2369" spans="1:1" x14ac:dyDescent="0.25">
      <c r="A2369" s="21">
        <v>3794506.81</v>
      </c>
    </row>
    <row r="2370" spans="1:1" x14ac:dyDescent="0.25">
      <c r="A2370" s="21">
        <v>4554629.8499999996</v>
      </c>
    </row>
    <row r="2371" spans="1:1" x14ac:dyDescent="0.25">
      <c r="A2371" s="21">
        <v>434568337.75</v>
      </c>
    </row>
    <row r="2372" spans="1:1" x14ac:dyDescent="0.25">
      <c r="A2372" s="21">
        <v>36315159.090000004</v>
      </c>
    </row>
    <row r="2373" spans="1:1" x14ac:dyDescent="0.25">
      <c r="A2373" s="21">
        <v>180988146.94999999</v>
      </c>
    </row>
    <row r="2374" spans="1:1" x14ac:dyDescent="0.25">
      <c r="A2374" s="21">
        <v>9056715.9900000002</v>
      </c>
    </row>
    <row r="2375" spans="1:1" x14ac:dyDescent="0.25">
      <c r="A2375" s="21">
        <v>30616370.670000002</v>
      </c>
    </row>
    <row r="2376" spans="1:1" x14ac:dyDescent="0.25">
      <c r="A2376" s="21">
        <v>56632194.909999996</v>
      </c>
    </row>
    <row r="2377" spans="1:1" x14ac:dyDescent="0.25">
      <c r="A2377" s="21">
        <v>26303863.23</v>
      </c>
    </row>
    <row r="2378" spans="1:1" x14ac:dyDescent="0.25">
      <c r="A2378">
        <v>0</v>
      </c>
    </row>
    <row r="2379" spans="1:1" x14ac:dyDescent="0.25">
      <c r="A2379" s="21">
        <v>19490703.670000002</v>
      </c>
    </row>
    <row r="2380" spans="1:1" x14ac:dyDescent="0.25">
      <c r="A2380" s="21">
        <v>44096937.299999997</v>
      </c>
    </row>
    <row r="2381" spans="1:1" x14ac:dyDescent="0.25">
      <c r="A2381">
        <v>0</v>
      </c>
    </row>
    <row r="2382" spans="1:1" x14ac:dyDescent="0.25">
      <c r="A2382" s="21">
        <v>50426726.509999998</v>
      </c>
    </row>
    <row r="2383" spans="1:1" x14ac:dyDescent="0.25">
      <c r="A2383" s="21">
        <v>114183604.63</v>
      </c>
    </row>
    <row r="2384" spans="1:1" x14ac:dyDescent="0.25">
      <c r="A2384" s="21">
        <v>56910038.049999997</v>
      </c>
    </row>
    <row r="2385" spans="1:1" x14ac:dyDescent="0.25">
      <c r="A2385" s="21">
        <v>151830820.40000001</v>
      </c>
    </row>
    <row r="2386" spans="1:1" x14ac:dyDescent="0.25">
      <c r="A2386" s="21">
        <v>13084151.25</v>
      </c>
    </row>
    <row r="2387" spans="1:1" x14ac:dyDescent="0.25">
      <c r="A2387" s="21">
        <v>115755351.8</v>
      </c>
    </row>
    <row r="2388" spans="1:1" x14ac:dyDescent="0.25">
      <c r="A2388" s="21">
        <v>200122719.84</v>
      </c>
    </row>
    <row r="2389" spans="1:1" x14ac:dyDescent="0.25">
      <c r="A2389">
        <v>165018984</v>
      </c>
    </row>
    <row r="2390" spans="1:1" x14ac:dyDescent="0.25">
      <c r="A2390" s="21">
        <v>29742974.699999999</v>
      </c>
    </row>
    <row r="2391" spans="1:1" x14ac:dyDescent="0.25">
      <c r="A2391" s="21">
        <v>87533938.549999997</v>
      </c>
    </row>
    <row r="2392" spans="1:1" x14ac:dyDescent="0.25">
      <c r="A2392" s="21">
        <v>30869078.719999999</v>
      </c>
    </row>
    <row r="2393" spans="1:1" x14ac:dyDescent="0.25">
      <c r="A2393" s="21">
        <v>29754645.780000001</v>
      </c>
    </row>
    <row r="2394" spans="1:1" x14ac:dyDescent="0.25">
      <c r="A2394" s="21">
        <v>102641399.48</v>
      </c>
    </row>
    <row r="2395" spans="1:1" x14ac:dyDescent="0.25">
      <c r="A2395" s="21">
        <v>2862897.27</v>
      </c>
    </row>
    <row r="2396" spans="1:1" x14ac:dyDescent="0.25">
      <c r="A2396" s="21">
        <v>28363719.98</v>
      </c>
    </row>
    <row r="2397" spans="1:1" x14ac:dyDescent="0.25">
      <c r="A2397" s="21">
        <v>10472581.060000001</v>
      </c>
    </row>
    <row r="2398" spans="1:1" x14ac:dyDescent="0.25">
      <c r="A2398" s="21">
        <v>50200085.939999998</v>
      </c>
    </row>
    <row r="2399" spans="1:1" x14ac:dyDescent="0.25">
      <c r="A2399" s="21">
        <v>36322090.579999998</v>
      </c>
    </row>
    <row r="2400" spans="1:1" x14ac:dyDescent="0.25">
      <c r="A2400" s="21">
        <v>300429049.99000001</v>
      </c>
    </row>
    <row r="2401" spans="1:1" x14ac:dyDescent="0.25">
      <c r="A2401" s="21">
        <v>29490753.289999999</v>
      </c>
    </row>
    <row r="2402" spans="1:1" x14ac:dyDescent="0.25">
      <c r="A2402" s="21">
        <v>301214954.98000002</v>
      </c>
    </row>
    <row r="2403" spans="1:1" x14ac:dyDescent="0.25">
      <c r="A2403" s="21">
        <v>18769799.57</v>
      </c>
    </row>
    <row r="2404" spans="1:1" x14ac:dyDescent="0.25">
      <c r="A2404" s="21">
        <v>4623034.84</v>
      </c>
    </row>
    <row r="2405" spans="1:1" x14ac:dyDescent="0.25">
      <c r="A2405" s="21">
        <v>77283166.219999999</v>
      </c>
    </row>
    <row r="2406" spans="1:1" x14ac:dyDescent="0.25">
      <c r="A2406" s="21">
        <v>53346796.68</v>
      </c>
    </row>
    <row r="2407" spans="1:1" x14ac:dyDescent="0.25">
      <c r="A2407">
        <v>86041946</v>
      </c>
    </row>
    <row r="2408" spans="1:1" x14ac:dyDescent="0.25">
      <c r="A2408" s="21">
        <v>41094186.079999998</v>
      </c>
    </row>
    <row r="2409" spans="1:1" x14ac:dyDescent="0.25">
      <c r="A2409" s="21">
        <v>28125117.27</v>
      </c>
    </row>
    <row r="2410" spans="1:1" x14ac:dyDescent="0.25">
      <c r="A2410" s="21">
        <v>86390858.459999993</v>
      </c>
    </row>
    <row r="2411" spans="1:1" x14ac:dyDescent="0.25">
      <c r="A2411" s="21">
        <v>95667598.840000004</v>
      </c>
    </row>
    <row r="2412" spans="1:1" x14ac:dyDescent="0.25">
      <c r="A2412" s="21">
        <v>160373881.78</v>
      </c>
    </row>
    <row r="2413" spans="1:1" x14ac:dyDescent="0.25">
      <c r="A2413" s="21">
        <v>67675261.090000004</v>
      </c>
    </row>
    <row r="2414" spans="1:1" x14ac:dyDescent="0.25">
      <c r="A2414" s="21">
        <v>153588244.77000001</v>
      </c>
    </row>
    <row r="2415" spans="1:1" x14ac:dyDescent="0.25">
      <c r="A2415" s="21">
        <v>143800738.43000001</v>
      </c>
    </row>
    <row r="2416" spans="1:1" x14ac:dyDescent="0.25">
      <c r="A2416" s="21">
        <v>122447991.95999999</v>
      </c>
    </row>
    <row r="2417" spans="1:1" x14ac:dyDescent="0.25">
      <c r="A2417" s="21">
        <v>3281318.97</v>
      </c>
    </row>
    <row r="2418" spans="1:1" x14ac:dyDescent="0.25">
      <c r="A2418" s="21">
        <v>2812211.1</v>
      </c>
    </row>
    <row r="2419" spans="1:1" x14ac:dyDescent="0.25">
      <c r="A2419" s="21">
        <v>17325333.300000001</v>
      </c>
    </row>
    <row r="2420" spans="1:1" x14ac:dyDescent="0.25">
      <c r="A2420" s="21">
        <v>27737615.739999998</v>
      </c>
    </row>
    <row r="2421" spans="1:1" x14ac:dyDescent="0.25">
      <c r="A2421" s="21">
        <v>85395633.129999995</v>
      </c>
    </row>
    <row r="2422" spans="1:1" x14ac:dyDescent="0.25">
      <c r="A2422" s="21">
        <v>38047570.280000001</v>
      </c>
    </row>
    <row r="2423" spans="1:1" x14ac:dyDescent="0.25">
      <c r="A2423" s="21">
        <v>34936188.350000001</v>
      </c>
    </row>
    <row r="2424" spans="1:1" x14ac:dyDescent="0.25">
      <c r="A2424" s="21">
        <v>18046446.109999999</v>
      </c>
    </row>
    <row r="2425" spans="1:1" x14ac:dyDescent="0.25">
      <c r="A2425" s="21">
        <v>62937389.280000001</v>
      </c>
    </row>
    <row r="2426" spans="1:1" x14ac:dyDescent="0.25">
      <c r="A2426" s="21">
        <v>12793533.890000001</v>
      </c>
    </row>
    <row r="2427" spans="1:1" x14ac:dyDescent="0.25">
      <c r="A2427" s="21">
        <v>11284673.32</v>
      </c>
    </row>
    <row r="2428" spans="1:1" x14ac:dyDescent="0.25">
      <c r="A2428" s="21">
        <v>94139289.620000005</v>
      </c>
    </row>
    <row r="2429" spans="1:1" x14ac:dyDescent="0.25">
      <c r="A2429" s="21">
        <v>46435392.960000001</v>
      </c>
    </row>
    <row r="2430" spans="1:1" x14ac:dyDescent="0.25">
      <c r="A2430" s="21">
        <v>10751208.960000001</v>
      </c>
    </row>
    <row r="2431" spans="1:1" x14ac:dyDescent="0.25">
      <c r="A2431" s="21">
        <v>13717453.07</v>
      </c>
    </row>
    <row r="2432" spans="1:1" x14ac:dyDescent="0.25">
      <c r="A2432" s="21">
        <v>196431810.63999999</v>
      </c>
    </row>
    <row r="2433" spans="1:1" x14ac:dyDescent="0.25">
      <c r="A2433" s="21">
        <v>62454484.310000002</v>
      </c>
    </row>
    <row r="2434" spans="1:1" x14ac:dyDescent="0.25">
      <c r="A2434" s="21">
        <v>81218701.060000002</v>
      </c>
    </row>
    <row r="2435" spans="1:1" x14ac:dyDescent="0.25">
      <c r="A2435" s="21">
        <v>67333597.75</v>
      </c>
    </row>
    <row r="2436" spans="1:1" x14ac:dyDescent="0.25">
      <c r="A2436" s="21">
        <v>2775336.31</v>
      </c>
    </row>
    <row r="2437" spans="1:1" x14ac:dyDescent="0.25">
      <c r="A2437" s="21">
        <v>153975503.02000001</v>
      </c>
    </row>
    <row r="2438" spans="1:1" x14ac:dyDescent="0.25">
      <c r="A2438">
        <v>0</v>
      </c>
    </row>
    <row r="2439" spans="1:1" x14ac:dyDescent="0.25">
      <c r="A2439" s="21">
        <v>37060154.490000002</v>
      </c>
    </row>
    <row r="2440" spans="1:1" x14ac:dyDescent="0.25">
      <c r="A2440" s="21">
        <v>16888048.91</v>
      </c>
    </row>
    <row r="2441" spans="1:1" x14ac:dyDescent="0.25">
      <c r="A2441" s="21">
        <v>166614178.91</v>
      </c>
    </row>
    <row r="2442" spans="1:1" x14ac:dyDescent="0.25">
      <c r="A2442" s="21">
        <v>25631284.66</v>
      </c>
    </row>
    <row r="2443" spans="1:1" x14ac:dyDescent="0.25">
      <c r="A2443" s="21">
        <v>38180081.490000002</v>
      </c>
    </row>
    <row r="2444" spans="1:1" x14ac:dyDescent="0.25">
      <c r="A2444" s="21">
        <v>56509688.890000001</v>
      </c>
    </row>
    <row r="2445" spans="1:1" x14ac:dyDescent="0.25">
      <c r="A2445" s="21">
        <v>290976845.63</v>
      </c>
    </row>
    <row r="2446" spans="1:1" x14ac:dyDescent="0.25">
      <c r="A2446" s="21">
        <v>17192740.129999999</v>
      </c>
    </row>
    <row r="2447" spans="1:1" x14ac:dyDescent="0.25">
      <c r="A2447">
        <v>0</v>
      </c>
    </row>
    <row r="2448" spans="1:1" x14ac:dyDescent="0.25">
      <c r="A2448" s="21">
        <v>22506475.550000001</v>
      </c>
    </row>
    <row r="2449" spans="1:1" x14ac:dyDescent="0.25">
      <c r="A2449" s="21">
        <v>82428727.609999999</v>
      </c>
    </row>
    <row r="2450" spans="1:1" x14ac:dyDescent="0.25">
      <c r="A2450" s="21">
        <v>78405286.430000007</v>
      </c>
    </row>
    <row r="2451" spans="1:1" x14ac:dyDescent="0.25">
      <c r="A2451" s="21">
        <v>10851411.789999999</v>
      </c>
    </row>
    <row r="2452" spans="1:1" x14ac:dyDescent="0.25">
      <c r="A2452" s="21">
        <v>2897647.49</v>
      </c>
    </row>
    <row r="2453" spans="1:1" x14ac:dyDescent="0.25">
      <c r="A2453" s="21">
        <v>10673465.98</v>
      </c>
    </row>
    <row r="2454" spans="1:1" x14ac:dyDescent="0.25">
      <c r="A2454" s="21">
        <v>4077347.98</v>
      </c>
    </row>
    <row r="2455" spans="1:1" x14ac:dyDescent="0.25">
      <c r="A2455" s="21">
        <v>256994676.09</v>
      </c>
    </row>
    <row r="2456" spans="1:1" x14ac:dyDescent="0.25">
      <c r="A2456" s="21">
        <v>40697458.909999996</v>
      </c>
    </row>
    <row r="2457" spans="1:1" x14ac:dyDescent="0.25">
      <c r="A2457" s="21">
        <v>20133828.25</v>
      </c>
    </row>
    <row r="2458" spans="1:1" x14ac:dyDescent="0.25">
      <c r="A2458" s="21">
        <v>95221945.009999901</v>
      </c>
    </row>
    <row r="2459" spans="1:1" x14ac:dyDescent="0.25">
      <c r="A2459">
        <v>0</v>
      </c>
    </row>
    <row r="2460" spans="1:1" x14ac:dyDescent="0.25">
      <c r="A2460" s="21">
        <v>29701884.039999999</v>
      </c>
    </row>
    <row r="2461" spans="1:1" x14ac:dyDescent="0.25">
      <c r="A2461" s="21">
        <v>59888343.439999998</v>
      </c>
    </row>
    <row r="2462" spans="1:1" x14ac:dyDescent="0.25">
      <c r="A2462" s="21">
        <v>59398583.399999999</v>
      </c>
    </row>
    <row r="2463" spans="1:1" x14ac:dyDescent="0.25">
      <c r="A2463" s="21">
        <v>98753506.259999901</v>
      </c>
    </row>
    <row r="2464" spans="1:1" x14ac:dyDescent="0.25">
      <c r="A2464" s="21">
        <v>82490594.359999999</v>
      </c>
    </row>
    <row r="2465" spans="1:1" x14ac:dyDescent="0.25">
      <c r="A2465" s="21">
        <v>9585868.2200000007</v>
      </c>
    </row>
    <row r="2466" spans="1:1" x14ac:dyDescent="0.25">
      <c r="A2466" s="21">
        <v>54387067.68</v>
      </c>
    </row>
    <row r="2467" spans="1:1" x14ac:dyDescent="0.25">
      <c r="A2467">
        <v>0</v>
      </c>
    </row>
    <row r="2468" spans="1:1" x14ac:dyDescent="0.25">
      <c r="A2468" s="21">
        <v>259357940.86000001</v>
      </c>
    </row>
    <row r="2469" spans="1:1" x14ac:dyDescent="0.25">
      <c r="A2469" s="21">
        <v>56572156.740000002</v>
      </c>
    </row>
    <row r="2470" spans="1:1" x14ac:dyDescent="0.25">
      <c r="A2470" s="21">
        <v>79016028.890000001</v>
      </c>
    </row>
    <row r="2471" spans="1:1" x14ac:dyDescent="0.25">
      <c r="A2471" s="21">
        <v>13161865.779999999</v>
      </c>
    </row>
    <row r="2472" spans="1:1" x14ac:dyDescent="0.25">
      <c r="A2472" s="21">
        <v>27570274.420000002</v>
      </c>
    </row>
    <row r="2473" spans="1:1" x14ac:dyDescent="0.25">
      <c r="A2473" s="21">
        <v>57322607.659999996</v>
      </c>
    </row>
    <row r="2474" spans="1:1" x14ac:dyDescent="0.25">
      <c r="A2474" s="21">
        <v>14623995.029999999</v>
      </c>
    </row>
    <row r="2475" spans="1:1" x14ac:dyDescent="0.25">
      <c r="A2475" s="21">
        <v>15031720.84</v>
      </c>
    </row>
    <row r="2476" spans="1:1" x14ac:dyDescent="0.25">
      <c r="A2476" s="21">
        <v>226278832.44</v>
      </c>
    </row>
    <row r="2477" spans="1:1" x14ac:dyDescent="0.25">
      <c r="A2477" s="21">
        <v>5344110.75</v>
      </c>
    </row>
    <row r="2478" spans="1:1" x14ac:dyDescent="0.25">
      <c r="A2478" s="21">
        <v>59916752.960000001</v>
      </c>
    </row>
    <row r="2479" spans="1:1" x14ac:dyDescent="0.25">
      <c r="A2479" s="21">
        <v>387017568.12</v>
      </c>
    </row>
    <row r="2480" spans="1:1" x14ac:dyDescent="0.25">
      <c r="A2480" s="21">
        <v>14958759.689999999</v>
      </c>
    </row>
    <row r="2481" spans="1:1" x14ac:dyDescent="0.25">
      <c r="A2481" s="21">
        <v>153293129.71000001</v>
      </c>
    </row>
    <row r="2482" spans="1:1" x14ac:dyDescent="0.25">
      <c r="A2482" s="21">
        <v>22632224.030000001</v>
      </c>
    </row>
    <row r="2483" spans="1:1" x14ac:dyDescent="0.25">
      <c r="A2483" s="21">
        <v>16452563.539999999</v>
      </c>
    </row>
    <row r="2484" spans="1:1" x14ac:dyDescent="0.25">
      <c r="A2484" s="21">
        <v>39650869.270000003</v>
      </c>
    </row>
    <row r="2485" spans="1:1" x14ac:dyDescent="0.25">
      <c r="A2485" s="21">
        <v>78381822.920000002</v>
      </c>
    </row>
    <row r="2486" spans="1:1" x14ac:dyDescent="0.25">
      <c r="A2486" s="21">
        <v>99853406.030000001</v>
      </c>
    </row>
    <row r="2487" spans="1:1" x14ac:dyDescent="0.25">
      <c r="A2487" s="21">
        <v>79405838.299999997</v>
      </c>
    </row>
    <row r="2488" spans="1:1" x14ac:dyDescent="0.25">
      <c r="A2488" s="21">
        <v>25132358.710000001</v>
      </c>
    </row>
    <row r="2489" spans="1:1" x14ac:dyDescent="0.25">
      <c r="A2489" s="21">
        <v>26750984.010000002</v>
      </c>
    </row>
    <row r="2490" spans="1:1" x14ac:dyDescent="0.25">
      <c r="A2490" s="21">
        <v>54075244.479999997</v>
      </c>
    </row>
    <row r="2491" spans="1:1" x14ac:dyDescent="0.25">
      <c r="A2491" s="21">
        <v>57293900.219999999</v>
      </c>
    </row>
    <row r="2492" spans="1:1" x14ac:dyDescent="0.25">
      <c r="A2492" s="21">
        <v>169527409.83000001</v>
      </c>
    </row>
    <row r="2493" spans="1:1" x14ac:dyDescent="0.25">
      <c r="A2493" s="21">
        <v>9786694.6899999902</v>
      </c>
    </row>
    <row r="2494" spans="1:1" x14ac:dyDescent="0.25">
      <c r="A2494" s="21">
        <v>239458620.66</v>
      </c>
    </row>
    <row r="2495" spans="1:1" x14ac:dyDescent="0.25">
      <c r="A2495">
        <v>0</v>
      </c>
    </row>
    <row r="2496" spans="1:1" x14ac:dyDescent="0.25">
      <c r="A2496" s="21">
        <v>11171813.83</v>
      </c>
    </row>
    <row r="2497" spans="1:1" x14ac:dyDescent="0.25">
      <c r="A2497" s="21">
        <v>66485784.490000002</v>
      </c>
    </row>
    <row r="2498" spans="1:1" x14ac:dyDescent="0.25">
      <c r="A2498" s="21">
        <v>51463682.219999999</v>
      </c>
    </row>
    <row r="2499" spans="1:1" x14ac:dyDescent="0.25">
      <c r="A2499" s="21">
        <v>147158231.90000001</v>
      </c>
    </row>
    <row r="2500" spans="1:1" x14ac:dyDescent="0.25">
      <c r="A2500" s="21">
        <v>34366947.369999997</v>
      </c>
    </row>
    <row r="2501" spans="1:1" x14ac:dyDescent="0.25">
      <c r="A2501" s="21">
        <v>183211244.08000001</v>
      </c>
    </row>
    <row r="2502" spans="1:1" x14ac:dyDescent="0.25">
      <c r="A2502" s="21">
        <v>83462736.469999999</v>
      </c>
    </row>
    <row r="2503" spans="1:1" x14ac:dyDescent="0.25">
      <c r="A2503">
        <v>0</v>
      </c>
    </row>
    <row r="2504" spans="1:1" x14ac:dyDescent="0.25">
      <c r="A2504" s="21">
        <v>6017799.75</v>
      </c>
    </row>
    <row r="2505" spans="1:1" x14ac:dyDescent="0.25">
      <c r="A2505" s="21">
        <v>49655124.020000003</v>
      </c>
    </row>
    <row r="2506" spans="1:1" x14ac:dyDescent="0.25">
      <c r="A2506" s="21">
        <v>52158794.640000001</v>
      </c>
    </row>
    <row r="2507" spans="1:1" x14ac:dyDescent="0.25">
      <c r="A2507" s="21">
        <v>65165072.020000003</v>
      </c>
    </row>
    <row r="2508" spans="1:1" x14ac:dyDescent="0.25">
      <c r="A2508" s="21">
        <v>17201582.809999999</v>
      </c>
    </row>
    <row r="2509" spans="1:1" x14ac:dyDescent="0.25">
      <c r="A2509" s="21">
        <v>117420920.31</v>
      </c>
    </row>
    <row r="2510" spans="1:1" x14ac:dyDescent="0.25">
      <c r="A2510" s="21">
        <v>50003884.539999999</v>
      </c>
    </row>
    <row r="2511" spans="1:1" x14ac:dyDescent="0.25">
      <c r="A2511" s="21">
        <v>150380264.75</v>
      </c>
    </row>
    <row r="2512" spans="1:1" x14ac:dyDescent="0.25">
      <c r="A2512" s="21">
        <v>65978738.75</v>
      </c>
    </row>
    <row r="2513" spans="1:1" x14ac:dyDescent="0.25">
      <c r="A2513" s="21">
        <v>163279703.71000001</v>
      </c>
    </row>
    <row r="2514" spans="1:1" x14ac:dyDescent="0.25">
      <c r="A2514" s="21">
        <v>184095463.88</v>
      </c>
    </row>
    <row r="2515" spans="1:1" x14ac:dyDescent="0.25">
      <c r="A2515">
        <v>0</v>
      </c>
    </row>
    <row r="2516" spans="1:1" x14ac:dyDescent="0.25">
      <c r="A2516" s="21">
        <v>77855592.189999998</v>
      </c>
    </row>
    <row r="2517" spans="1:1" x14ac:dyDescent="0.25">
      <c r="A2517" s="21">
        <v>106537002.48</v>
      </c>
    </row>
    <row r="2518" spans="1:1" x14ac:dyDescent="0.25">
      <c r="A2518" s="21">
        <v>26099939.32</v>
      </c>
    </row>
    <row r="2519" spans="1:1" x14ac:dyDescent="0.25">
      <c r="A2519" s="21">
        <v>98141492.670000002</v>
      </c>
    </row>
    <row r="2520" spans="1:1" x14ac:dyDescent="0.25">
      <c r="A2520" s="21">
        <v>118636050.48999999</v>
      </c>
    </row>
    <row r="2521" spans="1:1" x14ac:dyDescent="0.25">
      <c r="A2521" s="21">
        <v>4100730.98</v>
      </c>
    </row>
    <row r="2522" spans="1:1" x14ac:dyDescent="0.25">
      <c r="A2522" s="21">
        <v>89604002.140000001</v>
      </c>
    </row>
    <row r="2523" spans="1:1" x14ac:dyDescent="0.25">
      <c r="A2523" s="21">
        <v>11750702.539999999</v>
      </c>
    </row>
    <row r="2524" spans="1:1" x14ac:dyDescent="0.25">
      <c r="A2524" s="21">
        <v>6723452.0099999998</v>
      </c>
    </row>
    <row r="2525" spans="1:1" x14ac:dyDescent="0.25">
      <c r="A2525" s="21">
        <v>99422237.829999998</v>
      </c>
    </row>
    <row r="2526" spans="1:1" x14ac:dyDescent="0.25">
      <c r="A2526" s="21">
        <v>54027649.439999998</v>
      </c>
    </row>
    <row r="2527" spans="1:1" x14ac:dyDescent="0.25">
      <c r="A2527">
        <v>8040335</v>
      </c>
    </row>
    <row r="2528" spans="1:1" x14ac:dyDescent="0.25">
      <c r="A2528" s="21">
        <v>473875038.27999997</v>
      </c>
    </row>
    <row r="2529" spans="1:1" x14ac:dyDescent="0.25">
      <c r="A2529" s="21">
        <v>28436025.079999998</v>
      </c>
    </row>
    <row r="2530" spans="1:1" x14ac:dyDescent="0.25">
      <c r="A2530" s="21">
        <v>7928174.3200000003</v>
      </c>
    </row>
    <row r="2531" spans="1:1" x14ac:dyDescent="0.25">
      <c r="A2531" s="21">
        <v>32687445.640000001</v>
      </c>
    </row>
    <row r="2532" spans="1:1" x14ac:dyDescent="0.25">
      <c r="A2532" s="21">
        <v>12870606.060000001</v>
      </c>
    </row>
    <row r="2533" spans="1:1" x14ac:dyDescent="0.25">
      <c r="A2533" s="21">
        <v>49342736.289999999</v>
      </c>
    </row>
    <row r="2534" spans="1:1" x14ac:dyDescent="0.25">
      <c r="A2534" s="21">
        <v>5757917.0199999996</v>
      </c>
    </row>
    <row r="2535" spans="1:1" x14ac:dyDescent="0.25">
      <c r="A2535" s="21">
        <v>123830536.34</v>
      </c>
    </row>
    <row r="2536" spans="1:1" x14ac:dyDescent="0.25">
      <c r="A2536" s="21">
        <v>36150118.030000001</v>
      </c>
    </row>
    <row r="2537" spans="1:1" x14ac:dyDescent="0.25">
      <c r="A2537" s="21">
        <v>83465605.629999995</v>
      </c>
    </row>
    <row r="2538" spans="1:1" x14ac:dyDescent="0.25">
      <c r="A2538" s="21">
        <v>136892652.91999999</v>
      </c>
    </row>
    <row r="2539" spans="1:1" x14ac:dyDescent="0.25">
      <c r="A2539" s="21">
        <v>4260528.66</v>
      </c>
    </row>
    <row r="2540" spans="1:1" x14ac:dyDescent="0.25">
      <c r="A2540" s="21">
        <v>43729716.549999997</v>
      </c>
    </row>
    <row r="2541" spans="1:1" x14ac:dyDescent="0.25">
      <c r="A2541" s="21">
        <v>43701942.909999996</v>
      </c>
    </row>
    <row r="2542" spans="1:1" x14ac:dyDescent="0.25">
      <c r="A2542" s="21">
        <v>13631239.09</v>
      </c>
    </row>
    <row r="2543" spans="1:1" x14ac:dyDescent="0.25">
      <c r="A2543" s="21">
        <v>312015019.36000001</v>
      </c>
    </row>
    <row r="2544" spans="1:1" x14ac:dyDescent="0.25">
      <c r="A2544" s="21">
        <v>17852764.190000001</v>
      </c>
    </row>
    <row r="2545" spans="1:1" x14ac:dyDescent="0.25">
      <c r="A2545" s="21">
        <v>486563751.69</v>
      </c>
    </row>
    <row r="2546" spans="1:1" x14ac:dyDescent="0.25">
      <c r="A2546" s="21">
        <v>62656398.909999996</v>
      </c>
    </row>
    <row r="2547" spans="1:1" x14ac:dyDescent="0.25">
      <c r="A2547" s="21">
        <v>53987357.079999998</v>
      </c>
    </row>
    <row r="2548" spans="1:1" x14ac:dyDescent="0.25">
      <c r="A2548" s="21">
        <v>88557127.090000004</v>
      </c>
    </row>
    <row r="2549" spans="1:1" x14ac:dyDescent="0.25">
      <c r="A2549" s="21">
        <v>12670831.5</v>
      </c>
    </row>
    <row r="2550" spans="1:1" x14ac:dyDescent="0.25">
      <c r="A2550">
        <v>8496605</v>
      </c>
    </row>
    <row r="2551" spans="1:1" x14ac:dyDescent="0.25">
      <c r="A2551" s="21">
        <v>34744297.899999999</v>
      </c>
    </row>
    <row r="2552" spans="1:1" x14ac:dyDescent="0.25">
      <c r="A2552" s="21">
        <v>154969322.16</v>
      </c>
    </row>
    <row r="2553" spans="1:1" x14ac:dyDescent="0.25">
      <c r="A2553" s="21">
        <v>4440816.28</v>
      </c>
    </row>
    <row r="2554" spans="1:1" x14ac:dyDescent="0.25">
      <c r="A2554" s="21">
        <v>319760286.23000002</v>
      </c>
    </row>
    <row r="2555" spans="1:1" x14ac:dyDescent="0.25">
      <c r="A2555" s="21">
        <v>38640422.5</v>
      </c>
    </row>
    <row r="2556" spans="1:1" x14ac:dyDescent="0.25">
      <c r="A2556" s="21">
        <v>52710599.939999998</v>
      </c>
    </row>
    <row r="2557" spans="1:1" x14ac:dyDescent="0.25">
      <c r="A2557" s="21">
        <v>87546795.849999994</v>
      </c>
    </row>
    <row r="2558" spans="1:1" x14ac:dyDescent="0.25">
      <c r="A2558" s="21">
        <v>50638113.450000003</v>
      </c>
    </row>
    <row r="2559" spans="1:1" x14ac:dyDescent="0.25">
      <c r="A2559" s="21">
        <v>38836216.719999999</v>
      </c>
    </row>
    <row r="2560" spans="1:1" x14ac:dyDescent="0.25">
      <c r="A2560" s="21">
        <v>20156785.079999998</v>
      </c>
    </row>
    <row r="2561" spans="1:1" x14ac:dyDescent="0.25">
      <c r="A2561" s="21">
        <v>62030191.780000001</v>
      </c>
    </row>
    <row r="2562" spans="1:1" x14ac:dyDescent="0.25">
      <c r="A2562" s="21">
        <v>73066468.620000005</v>
      </c>
    </row>
    <row r="2563" spans="1:1" x14ac:dyDescent="0.25">
      <c r="A2563" s="21">
        <v>5750041.8399999999</v>
      </c>
    </row>
    <row r="2564" spans="1:1" x14ac:dyDescent="0.25">
      <c r="A2564" s="21">
        <v>10092994.039999999</v>
      </c>
    </row>
    <row r="2565" spans="1:1" x14ac:dyDescent="0.25">
      <c r="A2565" s="21">
        <v>52186681.520000003</v>
      </c>
    </row>
    <row r="2566" spans="1:1" x14ac:dyDescent="0.25">
      <c r="A2566">
        <v>68145197</v>
      </c>
    </row>
    <row r="2567" spans="1:1" x14ac:dyDescent="0.25">
      <c r="A2567" s="21">
        <v>16004012.439999999</v>
      </c>
    </row>
    <row r="2568" spans="1:1" x14ac:dyDescent="0.25">
      <c r="A2568" s="21">
        <v>92146562.379999995</v>
      </c>
    </row>
    <row r="2569" spans="1:1" x14ac:dyDescent="0.25">
      <c r="A2569" s="21">
        <v>159090520.09</v>
      </c>
    </row>
    <row r="2570" spans="1:1" x14ac:dyDescent="0.25">
      <c r="A2570" s="21">
        <v>5885468.25</v>
      </c>
    </row>
    <row r="2571" spans="1:1" x14ac:dyDescent="0.25">
      <c r="A2571" s="21">
        <v>92633754.640000001</v>
      </c>
    </row>
    <row r="2572" spans="1:1" x14ac:dyDescent="0.25">
      <c r="A2572" s="21">
        <v>46409263.100000001</v>
      </c>
    </row>
    <row r="2573" spans="1:1" x14ac:dyDescent="0.25">
      <c r="A2573" s="21">
        <v>148714774.30000001</v>
      </c>
    </row>
    <row r="2574" spans="1:1" x14ac:dyDescent="0.25">
      <c r="A2574" s="21">
        <v>55407358.659999996</v>
      </c>
    </row>
    <row r="2575" spans="1:1" x14ac:dyDescent="0.25">
      <c r="A2575" s="21">
        <v>61556160.539999999</v>
      </c>
    </row>
    <row r="2576" spans="1:1" x14ac:dyDescent="0.25">
      <c r="A2576" s="21">
        <v>30174736.989999998</v>
      </c>
    </row>
    <row r="2577" spans="1:1" x14ac:dyDescent="0.25">
      <c r="A2577" s="21">
        <v>131860998.12</v>
      </c>
    </row>
    <row r="2578" spans="1:1" x14ac:dyDescent="0.25">
      <c r="A2578" s="21">
        <v>142395607.19</v>
      </c>
    </row>
    <row r="2579" spans="1:1" x14ac:dyDescent="0.25">
      <c r="A2579" s="21">
        <v>47744004.68</v>
      </c>
    </row>
    <row r="2580" spans="1:1" x14ac:dyDescent="0.25">
      <c r="A2580" s="21">
        <v>20802001.969999999</v>
      </c>
    </row>
    <row r="2581" spans="1:1" x14ac:dyDescent="0.25">
      <c r="A2581" s="21">
        <v>78818160.819999903</v>
      </c>
    </row>
    <row r="2582" spans="1:1" x14ac:dyDescent="0.25">
      <c r="A2582" s="21">
        <v>26819105.190000001</v>
      </c>
    </row>
    <row r="2583" spans="1:1" x14ac:dyDescent="0.25">
      <c r="A2583" s="21">
        <v>4137168.93</v>
      </c>
    </row>
    <row r="2584" spans="1:1" x14ac:dyDescent="0.25">
      <c r="A2584" s="21">
        <v>370515500.48000002</v>
      </c>
    </row>
    <row r="2585" spans="1:1" x14ac:dyDescent="0.25">
      <c r="A2585">
        <v>18831069</v>
      </c>
    </row>
    <row r="2586" spans="1:1" x14ac:dyDescent="0.25">
      <c r="A2586" s="21">
        <v>9095528.1799999997</v>
      </c>
    </row>
    <row r="2587" spans="1:1" x14ac:dyDescent="0.25">
      <c r="A2587" s="21">
        <v>19678520.199999999</v>
      </c>
    </row>
    <row r="2588" spans="1:1" x14ac:dyDescent="0.25">
      <c r="A2588" s="21">
        <v>25367866.32</v>
      </c>
    </row>
    <row r="2589" spans="1:1" x14ac:dyDescent="0.25">
      <c r="A2589" s="21">
        <v>48428817.130000003</v>
      </c>
    </row>
    <row r="2590" spans="1:1" x14ac:dyDescent="0.25">
      <c r="A2590" s="21">
        <v>6983596.9299999997</v>
      </c>
    </row>
    <row r="2591" spans="1:1" x14ac:dyDescent="0.25">
      <c r="A2591" s="21">
        <v>135147990.68000001</v>
      </c>
    </row>
    <row r="2592" spans="1:1" x14ac:dyDescent="0.25">
      <c r="A2592" s="21">
        <v>9374802.8100000005</v>
      </c>
    </row>
    <row r="2593" spans="1:1" x14ac:dyDescent="0.25">
      <c r="A2593" s="21">
        <v>23910845.02</v>
      </c>
    </row>
    <row r="2594" spans="1:1" x14ac:dyDescent="0.25">
      <c r="A2594" s="21">
        <v>18028123.829999998</v>
      </c>
    </row>
    <row r="2595" spans="1:1" x14ac:dyDescent="0.25">
      <c r="A2595" s="21">
        <v>34118750.490000002</v>
      </c>
    </row>
    <row r="2596" spans="1:1" x14ac:dyDescent="0.25">
      <c r="A2596">
        <v>0</v>
      </c>
    </row>
    <row r="2597" spans="1:1" x14ac:dyDescent="0.25">
      <c r="A2597" s="21">
        <v>37420475.869999997</v>
      </c>
    </row>
    <row r="2598" spans="1:1" x14ac:dyDescent="0.25">
      <c r="A2598" s="21">
        <v>42914705.109999999</v>
      </c>
    </row>
    <row r="2599" spans="1:1" x14ac:dyDescent="0.25">
      <c r="A2599" s="21">
        <v>29569868.579999998</v>
      </c>
    </row>
    <row r="2600" spans="1:1" x14ac:dyDescent="0.25">
      <c r="A2600" s="21">
        <v>9729118.2400000002</v>
      </c>
    </row>
    <row r="2601" spans="1:1" x14ac:dyDescent="0.25">
      <c r="A2601" s="21">
        <v>132626777.05</v>
      </c>
    </row>
    <row r="2602" spans="1:1" x14ac:dyDescent="0.25">
      <c r="A2602" s="21">
        <v>2878161.21</v>
      </c>
    </row>
    <row r="2603" spans="1:1" x14ac:dyDescent="0.25">
      <c r="A2603" s="21">
        <v>124347141.04000001</v>
      </c>
    </row>
    <row r="2604" spans="1:1" x14ac:dyDescent="0.25">
      <c r="A2604" s="21">
        <v>36489559.289999999</v>
      </c>
    </row>
    <row r="2605" spans="1:1" x14ac:dyDescent="0.25">
      <c r="A2605" s="21">
        <v>25641485.309999999</v>
      </c>
    </row>
    <row r="2606" spans="1:1" x14ac:dyDescent="0.25">
      <c r="A2606" s="21">
        <v>45709382.759999998</v>
      </c>
    </row>
    <row r="2607" spans="1:1" x14ac:dyDescent="0.25">
      <c r="A2607" s="21">
        <v>124942520</v>
      </c>
    </row>
    <row r="2608" spans="1:1" x14ac:dyDescent="0.25">
      <c r="A2608" s="21">
        <v>114430930.64</v>
      </c>
    </row>
    <row r="2609" spans="1:1" x14ac:dyDescent="0.25">
      <c r="A2609" s="21">
        <v>38493340.219999999</v>
      </c>
    </row>
    <row r="2610" spans="1:1" x14ac:dyDescent="0.25">
      <c r="A2610" s="21">
        <v>58345876.880000003</v>
      </c>
    </row>
    <row r="2611" spans="1:1" x14ac:dyDescent="0.25">
      <c r="A2611" s="21">
        <v>46575267.600000001</v>
      </c>
    </row>
    <row r="2612" spans="1:1" x14ac:dyDescent="0.25">
      <c r="A2612">
        <v>0</v>
      </c>
    </row>
    <row r="2613" spans="1:1" x14ac:dyDescent="0.25">
      <c r="A2613" s="21">
        <v>29039905.949999999</v>
      </c>
    </row>
    <row r="2614" spans="1:1" x14ac:dyDescent="0.25">
      <c r="A2614" s="21">
        <v>204979544.24000001</v>
      </c>
    </row>
    <row r="2615" spans="1:1" x14ac:dyDescent="0.25">
      <c r="A2615" s="21">
        <v>214877190.59999999</v>
      </c>
    </row>
    <row r="2616" spans="1:1" x14ac:dyDescent="0.25">
      <c r="A2616" s="21">
        <v>20020243.329999998</v>
      </c>
    </row>
    <row r="2617" spans="1:1" x14ac:dyDescent="0.25">
      <c r="A2617" s="21">
        <v>238047652.36000001</v>
      </c>
    </row>
    <row r="2618" spans="1:1" x14ac:dyDescent="0.25">
      <c r="A2618" s="21">
        <v>20389122.960000001</v>
      </c>
    </row>
    <row r="2619" spans="1:1" x14ac:dyDescent="0.25">
      <c r="A2619" s="21">
        <v>88782771.75</v>
      </c>
    </row>
    <row r="2620" spans="1:1" x14ac:dyDescent="0.25">
      <c r="A2620" s="21">
        <v>36185782.479999997</v>
      </c>
    </row>
    <row r="2621" spans="1:1" x14ac:dyDescent="0.25">
      <c r="A2621" s="21">
        <v>19867912.5</v>
      </c>
    </row>
    <row r="2622" spans="1:1" x14ac:dyDescent="0.25">
      <c r="A2622" s="21">
        <v>73993314.370000005</v>
      </c>
    </row>
    <row r="2623" spans="1:1" x14ac:dyDescent="0.25">
      <c r="A2623" s="21">
        <v>30675124.699999999</v>
      </c>
    </row>
    <row r="2624" spans="1:1" x14ac:dyDescent="0.25">
      <c r="A2624" s="21">
        <v>34222366.530000001</v>
      </c>
    </row>
    <row r="2625" spans="1:1" x14ac:dyDescent="0.25">
      <c r="A2625" s="21">
        <v>9089168.9399999902</v>
      </c>
    </row>
    <row r="2626" spans="1:1" x14ac:dyDescent="0.25">
      <c r="A2626" s="21">
        <v>66858145.210000001</v>
      </c>
    </row>
    <row r="2627" spans="1:1" x14ac:dyDescent="0.25">
      <c r="A2627" s="21">
        <v>44937886.850000001</v>
      </c>
    </row>
    <row r="2628" spans="1:1" x14ac:dyDescent="0.25">
      <c r="A2628" s="21">
        <v>33096520.010000002</v>
      </c>
    </row>
    <row r="2629" spans="1:1" x14ac:dyDescent="0.25">
      <c r="A2629" s="21">
        <v>7669851.7999999998</v>
      </c>
    </row>
    <row r="2630" spans="1:1" x14ac:dyDescent="0.25">
      <c r="A2630" s="21">
        <v>236071509.34999999</v>
      </c>
    </row>
    <row r="2631" spans="1:1" x14ac:dyDescent="0.25">
      <c r="A2631" s="21">
        <v>30747461.100000001</v>
      </c>
    </row>
    <row r="2632" spans="1:1" x14ac:dyDescent="0.25">
      <c r="A2632">
        <v>0</v>
      </c>
    </row>
    <row r="2633" spans="1:1" x14ac:dyDescent="0.25">
      <c r="A2633" s="21">
        <v>10849310.699999999</v>
      </c>
    </row>
    <row r="2634" spans="1:1" x14ac:dyDescent="0.25">
      <c r="A2634" s="21">
        <v>25269290.600000001</v>
      </c>
    </row>
    <row r="2635" spans="1:1" x14ac:dyDescent="0.25">
      <c r="A2635" s="21">
        <v>40678647.530000001</v>
      </c>
    </row>
    <row r="2636" spans="1:1" x14ac:dyDescent="0.25">
      <c r="A2636" s="21">
        <v>36048502.649999999</v>
      </c>
    </row>
    <row r="2637" spans="1:1" x14ac:dyDescent="0.25">
      <c r="A2637" s="21">
        <v>129173405.91</v>
      </c>
    </row>
    <row r="2638" spans="1:1" x14ac:dyDescent="0.25">
      <c r="A2638" s="21">
        <v>37776876.25</v>
      </c>
    </row>
    <row r="2639" spans="1:1" x14ac:dyDescent="0.25">
      <c r="A2639" s="21">
        <v>100246190.01000001</v>
      </c>
    </row>
    <row r="2640" spans="1:1" x14ac:dyDescent="0.25">
      <c r="A2640" s="21">
        <v>56154615.729999997</v>
      </c>
    </row>
    <row r="2641" spans="1:1" x14ac:dyDescent="0.25">
      <c r="A2641" s="21">
        <v>238547698.97</v>
      </c>
    </row>
    <row r="2642" spans="1:1" x14ac:dyDescent="0.25">
      <c r="A2642" s="21">
        <v>81127702.25</v>
      </c>
    </row>
    <row r="2643" spans="1:1" x14ac:dyDescent="0.25">
      <c r="A2643" s="21">
        <v>50819815.25</v>
      </c>
    </row>
    <row r="2644" spans="1:1" x14ac:dyDescent="0.25">
      <c r="A2644" s="21">
        <v>159079222.15000001</v>
      </c>
    </row>
    <row r="2645" spans="1:1" x14ac:dyDescent="0.25">
      <c r="A2645" s="21">
        <v>54435631.210000001</v>
      </c>
    </row>
    <row r="2646" spans="1:1" x14ac:dyDescent="0.25">
      <c r="A2646" s="21">
        <v>37892758.810000002</v>
      </c>
    </row>
    <row r="2647" spans="1:1" x14ac:dyDescent="0.25">
      <c r="A2647" s="21">
        <v>142399665.21000001</v>
      </c>
    </row>
    <row r="2648" spans="1:1" x14ac:dyDescent="0.25">
      <c r="A2648" s="21">
        <v>11126327.529999999</v>
      </c>
    </row>
    <row r="2649" spans="1:1" x14ac:dyDescent="0.25">
      <c r="A2649" s="21">
        <v>59498754.630000003</v>
      </c>
    </row>
    <row r="2650" spans="1:1" x14ac:dyDescent="0.25">
      <c r="A2650" s="21">
        <v>296708368.13999999</v>
      </c>
    </row>
    <row r="2651" spans="1:1" x14ac:dyDescent="0.25">
      <c r="A2651" s="21">
        <v>257018783.49000001</v>
      </c>
    </row>
    <row r="2652" spans="1:1" x14ac:dyDescent="0.25">
      <c r="A2652" s="21">
        <v>38196832.189999998</v>
      </c>
    </row>
    <row r="2653" spans="1:1" x14ac:dyDescent="0.25">
      <c r="A2653" s="21">
        <v>6873111.75</v>
      </c>
    </row>
    <row r="2654" spans="1:1" x14ac:dyDescent="0.25">
      <c r="A2654" s="21">
        <v>97343725.120000005</v>
      </c>
    </row>
    <row r="2655" spans="1:1" x14ac:dyDescent="0.25">
      <c r="A2655" s="21">
        <v>45013565.289999999</v>
      </c>
    </row>
    <row r="2656" spans="1:1" x14ac:dyDescent="0.25">
      <c r="A2656">
        <v>0</v>
      </c>
    </row>
    <row r="2657" spans="1:1" x14ac:dyDescent="0.25">
      <c r="A2657" s="21">
        <v>21415929.739999998</v>
      </c>
    </row>
    <row r="2658" spans="1:1" x14ac:dyDescent="0.25">
      <c r="A2658" s="21">
        <v>24277159.059999999</v>
      </c>
    </row>
    <row r="2659" spans="1:1" x14ac:dyDescent="0.25">
      <c r="A2659" s="21">
        <v>174886870.31999999</v>
      </c>
    </row>
    <row r="2660" spans="1:1" x14ac:dyDescent="0.25">
      <c r="A2660" s="21">
        <v>148920734.40000001</v>
      </c>
    </row>
    <row r="2661" spans="1:1" x14ac:dyDescent="0.25">
      <c r="A2661" s="21">
        <v>37213744.770000003</v>
      </c>
    </row>
    <row r="2662" spans="1:1" x14ac:dyDescent="0.25">
      <c r="A2662" s="21">
        <v>45460083.170000002</v>
      </c>
    </row>
    <row r="2663" spans="1:1" x14ac:dyDescent="0.25">
      <c r="A2663" s="21">
        <v>32924537.370000001</v>
      </c>
    </row>
    <row r="2664" spans="1:1" x14ac:dyDescent="0.25">
      <c r="A2664" s="21">
        <v>45602111.390000001</v>
      </c>
    </row>
    <row r="2665" spans="1:1" x14ac:dyDescent="0.25">
      <c r="A2665" s="21">
        <v>17242644.949999999</v>
      </c>
    </row>
    <row r="2666" spans="1:1" x14ac:dyDescent="0.25">
      <c r="A2666" s="21">
        <v>17565108.620000001</v>
      </c>
    </row>
    <row r="2667" spans="1:1" x14ac:dyDescent="0.25">
      <c r="A2667">
        <v>48469722</v>
      </c>
    </row>
    <row r="2668" spans="1:1" x14ac:dyDescent="0.25">
      <c r="A2668" s="21">
        <v>7091669.2699999996</v>
      </c>
    </row>
    <row r="2669" spans="1:1" x14ac:dyDescent="0.25">
      <c r="A2669" s="21">
        <v>8739468.8100000005</v>
      </c>
    </row>
    <row r="2670" spans="1:1" x14ac:dyDescent="0.25">
      <c r="A2670" s="21">
        <v>40855819.020000003</v>
      </c>
    </row>
    <row r="2671" spans="1:1" x14ac:dyDescent="0.25">
      <c r="A2671" s="21">
        <v>82944222.599999994</v>
      </c>
    </row>
    <row r="2672" spans="1:1" x14ac:dyDescent="0.25">
      <c r="A2672" s="21">
        <v>43654456.789999999</v>
      </c>
    </row>
    <row r="2673" spans="1:1" x14ac:dyDescent="0.25">
      <c r="A2673" s="21">
        <v>10785438.65</v>
      </c>
    </row>
    <row r="2674" spans="1:1" x14ac:dyDescent="0.25">
      <c r="A2674" s="21">
        <v>3794506.81</v>
      </c>
    </row>
    <row r="2675" spans="1:1" x14ac:dyDescent="0.25">
      <c r="A2675" s="21">
        <v>90778443.049999997</v>
      </c>
    </row>
    <row r="2676" spans="1:1" x14ac:dyDescent="0.25">
      <c r="A2676" s="21">
        <v>107403048.48</v>
      </c>
    </row>
    <row r="2677" spans="1:1" x14ac:dyDescent="0.25">
      <c r="A2677" s="21">
        <v>106282191.22</v>
      </c>
    </row>
    <row r="2678" spans="1:1" x14ac:dyDescent="0.25">
      <c r="A2678" s="21">
        <v>45736252.149999999</v>
      </c>
    </row>
    <row r="2679" spans="1:1" x14ac:dyDescent="0.25">
      <c r="A2679" s="21">
        <v>62666575.210000001</v>
      </c>
    </row>
    <row r="2680" spans="1:1" x14ac:dyDescent="0.25">
      <c r="A2680">
        <v>0</v>
      </c>
    </row>
    <row r="2681" spans="1:1" x14ac:dyDescent="0.25">
      <c r="A2681" s="21">
        <v>44982007.759999998</v>
      </c>
    </row>
    <row r="2682" spans="1:1" x14ac:dyDescent="0.25">
      <c r="A2682" s="21">
        <v>43403287.490000002</v>
      </c>
    </row>
    <row r="2683" spans="1:1" x14ac:dyDescent="0.25">
      <c r="A2683" s="21">
        <v>6095448.75</v>
      </c>
    </row>
    <row r="2684" spans="1:1" x14ac:dyDescent="0.25">
      <c r="A2684" s="21">
        <v>80155602.189999998</v>
      </c>
    </row>
    <row r="2685" spans="1:1" x14ac:dyDescent="0.25">
      <c r="A2685" s="21">
        <v>23903566.120000001</v>
      </c>
    </row>
    <row r="2686" spans="1:1" x14ac:dyDescent="0.25">
      <c r="A2686" s="21">
        <v>49530530.280000001</v>
      </c>
    </row>
    <row r="2687" spans="1:1" x14ac:dyDescent="0.25">
      <c r="A2687" s="21">
        <v>3734871.45</v>
      </c>
    </row>
    <row r="2688" spans="1:1" x14ac:dyDescent="0.25">
      <c r="A2688" s="21">
        <v>171007132.97999999</v>
      </c>
    </row>
    <row r="2689" spans="1:1" x14ac:dyDescent="0.25">
      <c r="A2689" s="21">
        <v>31342343.699999999</v>
      </c>
    </row>
    <row r="2690" spans="1:1" x14ac:dyDescent="0.25">
      <c r="A2690" s="21">
        <v>53697324.100000001</v>
      </c>
    </row>
    <row r="2691" spans="1:1" x14ac:dyDescent="0.25">
      <c r="A2691" s="21">
        <v>265689568.09</v>
      </c>
    </row>
    <row r="2692" spans="1:1" x14ac:dyDescent="0.25">
      <c r="A2692">
        <v>0</v>
      </c>
    </row>
    <row r="2693" spans="1:1" x14ac:dyDescent="0.25">
      <c r="A2693" s="21">
        <v>32559906.129999999</v>
      </c>
    </row>
    <row r="2694" spans="1:1" x14ac:dyDescent="0.25">
      <c r="A2694" s="21">
        <v>60098908.599999897</v>
      </c>
    </row>
    <row r="2695" spans="1:1" x14ac:dyDescent="0.25">
      <c r="A2695" s="21">
        <v>291711981.93000001</v>
      </c>
    </row>
    <row r="2696" spans="1:1" x14ac:dyDescent="0.25">
      <c r="A2696" s="21">
        <v>54102384.75</v>
      </c>
    </row>
    <row r="2697" spans="1:1" x14ac:dyDescent="0.25">
      <c r="A2697" s="21">
        <v>108229054.23</v>
      </c>
    </row>
    <row r="2698" spans="1:1" x14ac:dyDescent="0.25">
      <c r="A2698" s="21">
        <v>65086798.109999999</v>
      </c>
    </row>
    <row r="2699" spans="1:1" x14ac:dyDescent="0.25">
      <c r="A2699" s="21">
        <v>13395903.75</v>
      </c>
    </row>
    <row r="2700" spans="1:1" x14ac:dyDescent="0.25">
      <c r="A2700" s="21">
        <v>66509785.009999998</v>
      </c>
    </row>
    <row r="2701" spans="1:1" x14ac:dyDescent="0.25">
      <c r="A2701" s="21">
        <v>139725414.43000001</v>
      </c>
    </row>
    <row r="2702" spans="1:1" x14ac:dyDescent="0.25">
      <c r="A2702" s="21">
        <v>11915985.279999999</v>
      </c>
    </row>
    <row r="2703" spans="1:1" x14ac:dyDescent="0.25">
      <c r="A2703" s="21">
        <v>36151002.43</v>
      </c>
    </row>
    <row r="2704" spans="1:1" x14ac:dyDescent="0.25">
      <c r="A2704" s="21">
        <v>155749100.71000001</v>
      </c>
    </row>
    <row r="2705" spans="1:1" x14ac:dyDescent="0.25">
      <c r="A2705" s="21">
        <v>69131255.200000003</v>
      </c>
    </row>
    <row r="2706" spans="1:1" x14ac:dyDescent="0.25">
      <c r="A2706" s="21">
        <v>39740831.810000002</v>
      </c>
    </row>
    <row r="2707" spans="1:1" x14ac:dyDescent="0.25">
      <c r="A2707" s="21">
        <v>12228101.66</v>
      </c>
    </row>
    <row r="2708" spans="1:1" x14ac:dyDescent="0.25">
      <c r="A2708" s="21">
        <v>25055946.050000001</v>
      </c>
    </row>
    <row r="2709" spans="1:1" x14ac:dyDescent="0.25">
      <c r="A2709" s="21">
        <v>19712848.68</v>
      </c>
    </row>
    <row r="2710" spans="1:1" x14ac:dyDescent="0.25">
      <c r="A2710" s="21">
        <v>31646611.190000001</v>
      </c>
    </row>
    <row r="2711" spans="1:1" x14ac:dyDescent="0.25">
      <c r="A2711" s="21">
        <v>73913219.909999996</v>
      </c>
    </row>
    <row r="2712" spans="1:1" x14ac:dyDescent="0.25">
      <c r="A2712" s="21">
        <v>25749506.859999999</v>
      </c>
    </row>
    <row r="2713" spans="1:1" x14ac:dyDescent="0.25">
      <c r="A2713" s="21">
        <v>9961503.0500000007</v>
      </c>
    </row>
    <row r="2714" spans="1:1" x14ac:dyDescent="0.25">
      <c r="A2714" s="21">
        <v>4284442.97</v>
      </c>
    </row>
    <row r="2715" spans="1:1" x14ac:dyDescent="0.25">
      <c r="A2715" s="21">
        <v>3789353.84</v>
      </c>
    </row>
    <row r="2716" spans="1:1" x14ac:dyDescent="0.25">
      <c r="A2716" s="21">
        <v>106936914.05</v>
      </c>
    </row>
    <row r="2717" spans="1:1" x14ac:dyDescent="0.25">
      <c r="A2717" s="21">
        <v>47682564.009999998</v>
      </c>
    </row>
    <row r="2718" spans="1:1" x14ac:dyDescent="0.25">
      <c r="A2718" s="21">
        <v>96964993.930000007</v>
      </c>
    </row>
    <row r="2719" spans="1:1" x14ac:dyDescent="0.25">
      <c r="A2719">
        <v>0</v>
      </c>
    </row>
    <row r="2720" spans="1:1" x14ac:dyDescent="0.25">
      <c r="A2720" s="21">
        <v>22438449.5</v>
      </c>
    </row>
    <row r="2721" spans="1:1" x14ac:dyDescent="0.25">
      <c r="A2721" s="21">
        <v>30844448.280000001</v>
      </c>
    </row>
    <row r="2722" spans="1:1" x14ac:dyDescent="0.25">
      <c r="A2722" s="21">
        <v>141650309.13</v>
      </c>
    </row>
    <row r="2723" spans="1:1" x14ac:dyDescent="0.25">
      <c r="A2723" s="21">
        <v>135287339.63999999</v>
      </c>
    </row>
    <row r="2724" spans="1:1" x14ac:dyDescent="0.25">
      <c r="A2724" s="21">
        <v>30042251.640000001</v>
      </c>
    </row>
    <row r="2725" spans="1:1" x14ac:dyDescent="0.25">
      <c r="A2725">
        <v>0</v>
      </c>
    </row>
    <row r="2726" spans="1:1" x14ac:dyDescent="0.25">
      <c r="A2726" s="21">
        <v>76073801.789999902</v>
      </c>
    </row>
    <row r="2727" spans="1:1" x14ac:dyDescent="0.25">
      <c r="A2727" s="21">
        <v>56694279.560000002</v>
      </c>
    </row>
    <row r="2728" spans="1:1" x14ac:dyDescent="0.25">
      <c r="A2728" s="21">
        <v>61539965.849999897</v>
      </c>
    </row>
    <row r="2729" spans="1:1" x14ac:dyDescent="0.25">
      <c r="A2729" s="21">
        <v>60265269.460000001</v>
      </c>
    </row>
    <row r="2730" spans="1:1" x14ac:dyDescent="0.25">
      <c r="A2730">
        <v>0</v>
      </c>
    </row>
    <row r="2731" spans="1:1" x14ac:dyDescent="0.25">
      <c r="A2731" s="21">
        <v>58964977.07</v>
      </c>
    </row>
    <row r="2732" spans="1:1" x14ac:dyDescent="0.25">
      <c r="A2732" s="21">
        <v>132198535.15000001</v>
      </c>
    </row>
    <row r="2733" spans="1:1" x14ac:dyDescent="0.25">
      <c r="A2733" s="21">
        <v>28299733.899999999</v>
      </c>
    </row>
    <row r="2734" spans="1:1" x14ac:dyDescent="0.25">
      <c r="A2734" s="21">
        <v>52655065.179999903</v>
      </c>
    </row>
    <row r="2735" spans="1:1" x14ac:dyDescent="0.25">
      <c r="A2735" s="21">
        <v>173643541.18000001</v>
      </c>
    </row>
    <row r="2736" spans="1:1" x14ac:dyDescent="0.25">
      <c r="A2736">
        <v>13405098</v>
      </c>
    </row>
    <row r="2737" spans="1:1" x14ac:dyDescent="0.25">
      <c r="A2737" s="21">
        <v>5962172.25</v>
      </c>
    </row>
    <row r="2738" spans="1:1" x14ac:dyDescent="0.25">
      <c r="A2738" s="21">
        <v>123422694.63</v>
      </c>
    </row>
    <row r="2739" spans="1:1" x14ac:dyDescent="0.25">
      <c r="A2739" s="21">
        <v>52829448.75</v>
      </c>
    </row>
    <row r="2740" spans="1:1" x14ac:dyDescent="0.25">
      <c r="A2740" s="21">
        <v>124842057.23</v>
      </c>
    </row>
    <row r="2741" spans="1:1" x14ac:dyDescent="0.25">
      <c r="A2741" s="21">
        <v>108000902.67</v>
      </c>
    </row>
    <row r="2742" spans="1:1" x14ac:dyDescent="0.25">
      <c r="A2742" s="21">
        <v>122407501.66</v>
      </c>
    </row>
    <row r="2743" spans="1:1" x14ac:dyDescent="0.25">
      <c r="A2743" s="21">
        <v>67893629.280000001</v>
      </c>
    </row>
    <row r="2744" spans="1:1" x14ac:dyDescent="0.25">
      <c r="A2744" s="21">
        <v>3034446.75</v>
      </c>
    </row>
    <row r="2745" spans="1:1" x14ac:dyDescent="0.25">
      <c r="A2745" s="21">
        <v>13670013.630000001</v>
      </c>
    </row>
    <row r="2746" spans="1:1" x14ac:dyDescent="0.25">
      <c r="A2746" s="21">
        <v>11183913.33</v>
      </c>
    </row>
    <row r="2747" spans="1:1" x14ac:dyDescent="0.25">
      <c r="A2747" s="21">
        <v>5408832.75</v>
      </c>
    </row>
    <row r="2748" spans="1:1" x14ac:dyDescent="0.25">
      <c r="A2748" s="21">
        <v>99908782.879999995</v>
      </c>
    </row>
    <row r="2749" spans="1:1" x14ac:dyDescent="0.25">
      <c r="A2749" s="21">
        <v>13794313.640000001</v>
      </c>
    </row>
    <row r="2750" spans="1:1" x14ac:dyDescent="0.25">
      <c r="A2750" s="21">
        <v>47040917.07</v>
      </c>
    </row>
    <row r="2751" spans="1:1" x14ac:dyDescent="0.25">
      <c r="A2751" s="21">
        <v>55310560.509999998</v>
      </c>
    </row>
    <row r="2752" spans="1:1" x14ac:dyDescent="0.25">
      <c r="A2752" s="21">
        <v>32275973.91</v>
      </c>
    </row>
    <row r="2753" spans="1:1" x14ac:dyDescent="0.25">
      <c r="A2753" s="21">
        <v>39146858.43</v>
      </c>
    </row>
    <row r="2754" spans="1:1" x14ac:dyDescent="0.25">
      <c r="A2754" s="21">
        <v>63522257.039999999</v>
      </c>
    </row>
    <row r="2755" spans="1:1" x14ac:dyDescent="0.25">
      <c r="A2755" s="21">
        <v>26022805.170000002</v>
      </c>
    </row>
    <row r="2756" spans="1:1" x14ac:dyDescent="0.25">
      <c r="A2756" s="21">
        <v>60070622.43</v>
      </c>
    </row>
    <row r="2757" spans="1:1" x14ac:dyDescent="0.25">
      <c r="A2757" s="21">
        <v>16806853.02</v>
      </c>
    </row>
    <row r="2758" spans="1:1" x14ac:dyDescent="0.25">
      <c r="A2758" s="21">
        <v>46354687.759999998</v>
      </c>
    </row>
    <row r="2759" spans="1:1" x14ac:dyDescent="0.25">
      <c r="A2759">
        <v>27391896</v>
      </c>
    </row>
    <row r="2760" spans="1:1" x14ac:dyDescent="0.25">
      <c r="A2760" s="21">
        <v>127911157.76000001</v>
      </c>
    </row>
    <row r="2761" spans="1:1" x14ac:dyDescent="0.25">
      <c r="A2761" s="21">
        <v>227245305.59999999</v>
      </c>
    </row>
    <row r="2762" spans="1:1" x14ac:dyDescent="0.25">
      <c r="A2762" s="21">
        <v>43608647.829999998</v>
      </c>
    </row>
    <row r="2763" spans="1:1" x14ac:dyDescent="0.25">
      <c r="A2763" s="21">
        <v>65447451.340000004</v>
      </c>
    </row>
    <row r="2764" spans="1:1" x14ac:dyDescent="0.25">
      <c r="A2764" s="21">
        <v>100547619.27</v>
      </c>
    </row>
    <row r="2765" spans="1:1" x14ac:dyDescent="0.25">
      <c r="A2765" s="21">
        <v>260024910.72999999</v>
      </c>
    </row>
    <row r="2766" spans="1:1" x14ac:dyDescent="0.25">
      <c r="A2766" s="21">
        <v>21080126.149999999</v>
      </c>
    </row>
    <row r="2767" spans="1:1" x14ac:dyDescent="0.25">
      <c r="A2767" s="21">
        <v>59053421.579999998</v>
      </c>
    </row>
    <row r="2768" spans="1:1" x14ac:dyDescent="0.25">
      <c r="A2768" s="21">
        <v>106221872.36</v>
      </c>
    </row>
    <row r="2769" spans="1:1" x14ac:dyDescent="0.25">
      <c r="A2769" s="21">
        <v>6960839.25</v>
      </c>
    </row>
    <row r="2770" spans="1:1" x14ac:dyDescent="0.25">
      <c r="A2770" s="21">
        <v>15990156.210000001</v>
      </c>
    </row>
    <row r="2771" spans="1:1" x14ac:dyDescent="0.25">
      <c r="A2771" s="21">
        <v>4510486.2300000004</v>
      </c>
    </row>
    <row r="2772" spans="1:1" x14ac:dyDescent="0.25">
      <c r="A2772" s="21">
        <v>36636000.390000001</v>
      </c>
    </row>
    <row r="2773" spans="1:1" x14ac:dyDescent="0.25">
      <c r="A2773" s="21">
        <v>24070831.699999999</v>
      </c>
    </row>
    <row r="2774" spans="1:1" x14ac:dyDescent="0.25">
      <c r="A2774" s="21">
        <v>34193081.039999999</v>
      </c>
    </row>
    <row r="2775" spans="1:1" x14ac:dyDescent="0.25">
      <c r="A2775" s="21">
        <v>180634646.99000001</v>
      </c>
    </row>
    <row r="2776" spans="1:1" x14ac:dyDescent="0.25">
      <c r="A2776">
        <v>0</v>
      </c>
    </row>
    <row r="2777" spans="1:1" x14ac:dyDescent="0.25">
      <c r="A2777" s="21">
        <v>124823857.73</v>
      </c>
    </row>
    <row r="2778" spans="1:1" x14ac:dyDescent="0.25">
      <c r="A2778" s="21">
        <v>196704095.93000001</v>
      </c>
    </row>
    <row r="2779" spans="1:1" x14ac:dyDescent="0.25">
      <c r="A2779" s="21">
        <v>93199325.969999999</v>
      </c>
    </row>
    <row r="2780" spans="1:1" x14ac:dyDescent="0.25">
      <c r="A2780" s="21">
        <v>194928490.21000001</v>
      </c>
    </row>
    <row r="2781" spans="1:1" x14ac:dyDescent="0.25">
      <c r="A2781" s="21">
        <v>38442287.380000003</v>
      </c>
    </row>
    <row r="2782" spans="1:1" x14ac:dyDescent="0.25">
      <c r="A2782" s="21">
        <v>3094721.29</v>
      </c>
    </row>
    <row r="2783" spans="1:1" x14ac:dyDescent="0.25">
      <c r="A2783" s="21">
        <v>22312012.690000001</v>
      </c>
    </row>
    <row r="2784" spans="1:1" x14ac:dyDescent="0.25">
      <c r="A2784" s="21">
        <v>41140792.890000001</v>
      </c>
    </row>
    <row r="2785" spans="1:1" x14ac:dyDescent="0.25">
      <c r="A2785" s="21">
        <v>183496494.25999999</v>
      </c>
    </row>
    <row r="2786" spans="1:1" x14ac:dyDescent="0.25">
      <c r="A2786" s="21">
        <v>85446372.920000002</v>
      </c>
    </row>
    <row r="2787" spans="1:1" x14ac:dyDescent="0.25">
      <c r="A2787" s="21">
        <v>161681923.77000001</v>
      </c>
    </row>
    <row r="2788" spans="1:1" x14ac:dyDescent="0.25">
      <c r="A2788" s="21">
        <v>35529268.859999999</v>
      </c>
    </row>
    <row r="2789" spans="1:1" x14ac:dyDescent="0.25">
      <c r="A2789" s="21">
        <v>13211366.93</v>
      </c>
    </row>
    <row r="2790" spans="1:1" x14ac:dyDescent="0.25">
      <c r="A2790" s="21">
        <v>80290955.019999996</v>
      </c>
    </row>
    <row r="2791" spans="1:1" x14ac:dyDescent="0.25">
      <c r="A2791">
        <v>0</v>
      </c>
    </row>
    <row r="2792" spans="1:1" x14ac:dyDescent="0.25">
      <c r="A2792" s="21">
        <v>86638998.340000004</v>
      </c>
    </row>
    <row r="2793" spans="1:1" x14ac:dyDescent="0.25">
      <c r="A2793" s="21">
        <v>51505474.439999998</v>
      </c>
    </row>
    <row r="2794" spans="1:1" x14ac:dyDescent="0.25">
      <c r="A2794" s="21">
        <v>12187474.67</v>
      </c>
    </row>
    <row r="2795" spans="1:1" x14ac:dyDescent="0.25">
      <c r="A2795" s="21">
        <v>179404649.41999999</v>
      </c>
    </row>
    <row r="2796" spans="1:1" x14ac:dyDescent="0.25">
      <c r="A2796">
        <v>0</v>
      </c>
    </row>
    <row r="2797" spans="1:1" x14ac:dyDescent="0.25">
      <c r="A2797" s="21">
        <v>28731719.260000002</v>
      </c>
    </row>
    <row r="2798" spans="1:1" x14ac:dyDescent="0.25">
      <c r="A2798" s="21">
        <v>82250610.709999993</v>
      </c>
    </row>
    <row r="2799" spans="1:1" x14ac:dyDescent="0.25">
      <c r="A2799" s="21">
        <v>28695286.190000001</v>
      </c>
    </row>
    <row r="2800" spans="1:1" x14ac:dyDescent="0.25">
      <c r="A2800" s="21">
        <v>123322735.42</v>
      </c>
    </row>
    <row r="2801" spans="1:1" x14ac:dyDescent="0.25">
      <c r="A2801" s="21">
        <v>49080634.719999999</v>
      </c>
    </row>
    <row r="2802" spans="1:1" x14ac:dyDescent="0.25">
      <c r="A2802" s="21">
        <v>261069679.84999999</v>
      </c>
    </row>
    <row r="2803" spans="1:1" x14ac:dyDescent="0.25">
      <c r="A2803" s="21">
        <v>50327071.710000001</v>
      </c>
    </row>
    <row r="2804" spans="1:1" x14ac:dyDescent="0.25">
      <c r="A2804" s="21">
        <v>94488037.719999999</v>
      </c>
    </row>
    <row r="2805" spans="1:1" x14ac:dyDescent="0.25">
      <c r="A2805" s="21">
        <v>57616981.600000001</v>
      </c>
    </row>
    <row r="2806" spans="1:1" x14ac:dyDescent="0.25">
      <c r="A2806" s="21">
        <v>140024147.72</v>
      </c>
    </row>
    <row r="2807" spans="1:1" x14ac:dyDescent="0.25">
      <c r="A2807" s="21">
        <v>90604910.25</v>
      </c>
    </row>
    <row r="2808" spans="1:1" x14ac:dyDescent="0.25">
      <c r="A2808" s="21">
        <v>16683350.630000001</v>
      </c>
    </row>
    <row r="2809" spans="1:1" x14ac:dyDescent="0.25">
      <c r="A2809" s="21">
        <v>103610768.09999999</v>
      </c>
    </row>
    <row r="2810" spans="1:1" x14ac:dyDescent="0.25">
      <c r="A2810" s="21">
        <v>22382257.600000001</v>
      </c>
    </row>
    <row r="2811" spans="1:1" x14ac:dyDescent="0.25">
      <c r="A2811" s="21">
        <v>46141542.469999999</v>
      </c>
    </row>
    <row r="2812" spans="1:1" x14ac:dyDescent="0.25">
      <c r="A2812" s="21">
        <v>71595463.409999996</v>
      </c>
    </row>
    <row r="2813" spans="1:1" x14ac:dyDescent="0.25">
      <c r="A2813" s="21">
        <v>33859095.719999999</v>
      </c>
    </row>
    <row r="2814" spans="1:1" x14ac:dyDescent="0.25">
      <c r="A2814" s="21">
        <v>69762488.489999905</v>
      </c>
    </row>
    <row r="2815" spans="1:1" x14ac:dyDescent="0.25">
      <c r="A2815" s="21">
        <v>33696651.25</v>
      </c>
    </row>
    <row r="2816" spans="1:1" x14ac:dyDescent="0.25">
      <c r="A2816" s="21">
        <v>55968657.920000002</v>
      </c>
    </row>
    <row r="2817" spans="1:1" x14ac:dyDescent="0.25">
      <c r="A2817" s="21">
        <v>21543477.640000001</v>
      </c>
    </row>
    <row r="2818" spans="1:1" x14ac:dyDescent="0.25">
      <c r="A2818" s="21">
        <v>195786659.19999999</v>
      </c>
    </row>
    <row r="2819" spans="1:1" x14ac:dyDescent="0.25">
      <c r="A2819" s="21">
        <v>69540835.959999904</v>
      </c>
    </row>
    <row r="2820" spans="1:1" x14ac:dyDescent="0.25">
      <c r="A2820" s="21">
        <v>41660668.869999997</v>
      </c>
    </row>
    <row r="2821" spans="1:1" x14ac:dyDescent="0.25">
      <c r="A2821" s="21">
        <v>21263052.579999998</v>
      </c>
    </row>
    <row r="2822" spans="1:1" x14ac:dyDescent="0.25">
      <c r="A2822" s="21">
        <v>58888467.649999999</v>
      </c>
    </row>
    <row r="2823" spans="1:1" x14ac:dyDescent="0.25">
      <c r="A2823" s="21">
        <v>53038590.149999999</v>
      </c>
    </row>
    <row r="2824" spans="1:1" x14ac:dyDescent="0.25">
      <c r="A2824" s="21">
        <v>90235695.349999905</v>
      </c>
    </row>
    <row r="2825" spans="1:1" x14ac:dyDescent="0.25">
      <c r="A2825" s="21">
        <v>64863568.509999998</v>
      </c>
    </row>
    <row r="2826" spans="1:1" x14ac:dyDescent="0.25">
      <c r="A2826" s="21">
        <v>284931033.56</v>
      </c>
    </row>
    <row r="2827" spans="1:1" x14ac:dyDescent="0.25">
      <c r="A2827" s="21">
        <v>15117737.15</v>
      </c>
    </row>
    <row r="2828" spans="1:1" x14ac:dyDescent="0.25">
      <c r="A2828" s="21">
        <v>21383165.739999998</v>
      </c>
    </row>
    <row r="2829" spans="1:1" x14ac:dyDescent="0.25">
      <c r="A2829" s="21">
        <v>18535662.73</v>
      </c>
    </row>
    <row r="2830" spans="1:1" x14ac:dyDescent="0.25">
      <c r="A2830" s="21">
        <v>81167027.2299999</v>
      </c>
    </row>
    <row r="2831" spans="1:1" x14ac:dyDescent="0.25">
      <c r="A2831" s="21">
        <v>128150548.89</v>
      </c>
    </row>
    <row r="2832" spans="1:1" x14ac:dyDescent="0.25">
      <c r="A2832" s="21">
        <v>294504290.93000001</v>
      </c>
    </row>
    <row r="2833" spans="1:1" x14ac:dyDescent="0.25">
      <c r="A2833" s="21">
        <v>9478311.7799999993</v>
      </c>
    </row>
    <row r="2834" spans="1:1" x14ac:dyDescent="0.25">
      <c r="A2834" s="21">
        <v>22804145.300000001</v>
      </c>
    </row>
    <row r="2835" spans="1:1" x14ac:dyDescent="0.25">
      <c r="A2835" s="21">
        <v>94125153.090000004</v>
      </c>
    </row>
    <row r="2836" spans="1:1" x14ac:dyDescent="0.25">
      <c r="A2836" s="21">
        <v>7171968.0999999996</v>
      </c>
    </row>
    <row r="2837" spans="1:1" x14ac:dyDescent="0.25">
      <c r="A2837" s="21">
        <v>8029152.7000000002</v>
      </c>
    </row>
    <row r="2838" spans="1:1" x14ac:dyDescent="0.25">
      <c r="A2838" s="21">
        <v>91264171.469999999</v>
      </c>
    </row>
    <row r="2839" spans="1:1" x14ac:dyDescent="0.25">
      <c r="A2839" s="21">
        <v>6796804.9500000002</v>
      </c>
    </row>
    <row r="2840" spans="1:1" x14ac:dyDescent="0.25">
      <c r="A2840" s="21">
        <v>79036909.730000004</v>
      </c>
    </row>
    <row r="2841" spans="1:1" x14ac:dyDescent="0.25">
      <c r="A2841">
        <v>25944734</v>
      </c>
    </row>
    <row r="2842" spans="1:1" x14ac:dyDescent="0.25">
      <c r="A2842" s="21">
        <v>72104536.829999998</v>
      </c>
    </row>
    <row r="2843" spans="1:1" x14ac:dyDescent="0.25">
      <c r="A2843">
        <v>0</v>
      </c>
    </row>
    <row r="2844" spans="1:1" x14ac:dyDescent="0.25">
      <c r="A2844" s="21">
        <v>151933994.00999999</v>
      </c>
    </row>
    <row r="2845" spans="1:1" x14ac:dyDescent="0.25">
      <c r="A2845" s="21">
        <v>50582712.229999997</v>
      </c>
    </row>
    <row r="2846" spans="1:1" x14ac:dyDescent="0.25">
      <c r="A2846" s="21">
        <v>7446608.25</v>
      </c>
    </row>
    <row r="2847" spans="1:1" x14ac:dyDescent="0.25">
      <c r="A2847" s="21">
        <v>57384109.479999997</v>
      </c>
    </row>
    <row r="2848" spans="1:1" x14ac:dyDescent="0.25">
      <c r="A2848" s="21">
        <v>39602863.130000003</v>
      </c>
    </row>
    <row r="2849" spans="1:1" x14ac:dyDescent="0.25">
      <c r="A2849" s="21">
        <v>17193699.460000001</v>
      </c>
    </row>
    <row r="2850" spans="1:1" x14ac:dyDescent="0.25">
      <c r="A2850" s="21">
        <v>256195631.91</v>
      </c>
    </row>
    <row r="2851" spans="1:1" x14ac:dyDescent="0.25">
      <c r="A2851" s="21">
        <v>15327135.279999999</v>
      </c>
    </row>
    <row r="2852" spans="1:1" x14ac:dyDescent="0.25">
      <c r="A2852" s="21">
        <v>133057264.93000001</v>
      </c>
    </row>
    <row r="2853" spans="1:1" x14ac:dyDescent="0.25">
      <c r="A2853" s="21">
        <v>16988326.550000001</v>
      </c>
    </row>
    <row r="2854" spans="1:1" x14ac:dyDescent="0.25">
      <c r="A2854" s="21">
        <v>19388033.43</v>
      </c>
    </row>
    <row r="2855" spans="1:1" x14ac:dyDescent="0.25">
      <c r="A2855" s="21">
        <v>3798854.44</v>
      </c>
    </row>
    <row r="2856" spans="1:1" x14ac:dyDescent="0.25">
      <c r="A2856" s="21">
        <v>21798144.920000002</v>
      </c>
    </row>
    <row r="2857" spans="1:1" x14ac:dyDescent="0.25">
      <c r="A2857" s="21">
        <v>14184305.210000001</v>
      </c>
    </row>
    <row r="2858" spans="1:1" x14ac:dyDescent="0.25">
      <c r="A2858" s="21">
        <v>191622821.19999999</v>
      </c>
    </row>
    <row r="2859" spans="1:1" x14ac:dyDescent="0.25">
      <c r="A2859" s="21">
        <v>87372527.890000001</v>
      </c>
    </row>
    <row r="2860" spans="1:1" x14ac:dyDescent="0.25">
      <c r="A2860" s="21">
        <v>16505762.140000001</v>
      </c>
    </row>
    <row r="2861" spans="1:1" x14ac:dyDescent="0.25">
      <c r="A2861" s="21">
        <v>34659367.950000003</v>
      </c>
    </row>
    <row r="2862" spans="1:1" x14ac:dyDescent="0.25">
      <c r="A2862" s="21">
        <v>223844986.50999999</v>
      </c>
    </row>
    <row r="2863" spans="1:1" x14ac:dyDescent="0.25">
      <c r="A2863" s="21">
        <v>77280967.280000001</v>
      </c>
    </row>
    <row r="2864" spans="1:1" x14ac:dyDescent="0.25">
      <c r="A2864" s="21">
        <v>213968164.16999999</v>
      </c>
    </row>
    <row r="2865" spans="1:1" x14ac:dyDescent="0.25">
      <c r="A2865">
        <v>7102000</v>
      </c>
    </row>
    <row r="2866" spans="1:1" x14ac:dyDescent="0.25">
      <c r="A2866" s="21">
        <v>339192966.23000002</v>
      </c>
    </row>
    <row r="2867" spans="1:1" x14ac:dyDescent="0.25">
      <c r="A2867" s="21">
        <v>67770474.870000005</v>
      </c>
    </row>
    <row r="2868" spans="1:1" x14ac:dyDescent="0.25">
      <c r="A2868" s="21">
        <v>206684518.08000001</v>
      </c>
    </row>
    <row r="2869" spans="1:1" x14ac:dyDescent="0.25">
      <c r="A2869" s="21">
        <v>178291132.69999999</v>
      </c>
    </row>
    <row r="2870" spans="1:1" x14ac:dyDescent="0.25">
      <c r="A2870" s="21">
        <v>112075510.18000001</v>
      </c>
    </row>
    <row r="2871" spans="1:1" x14ac:dyDescent="0.25">
      <c r="A2871" s="21">
        <v>225182209.69</v>
      </c>
    </row>
    <row r="2872" spans="1:1" x14ac:dyDescent="0.25">
      <c r="A2872" s="21">
        <v>18012590.489999998</v>
      </c>
    </row>
    <row r="2873" spans="1:1" x14ac:dyDescent="0.25">
      <c r="A2873" s="21">
        <v>21083975.57</v>
      </c>
    </row>
    <row r="2874" spans="1:1" x14ac:dyDescent="0.25">
      <c r="A2874" s="21">
        <v>19674891.460000001</v>
      </c>
    </row>
    <row r="2875" spans="1:1" x14ac:dyDescent="0.25">
      <c r="A2875" s="21">
        <v>111056256.5</v>
      </c>
    </row>
    <row r="2876" spans="1:1" x14ac:dyDescent="0.25">
      <c r="A2876" s="21">
        <v>86513398.319999993</v>
      </c>
    </row>
    <row r="2877" spans="1:1" x14ac:dyDescent="0.25">
      <c r="A2877" s="21">
        <v>43465671.710000001</v>
      </c>
    </row>
    <row r="2878" spans="1:1" x14ac:dyDescent="0.25">
      <c r="A2878" s="21">
        <v>61799741.57</v>
      </c>
    </row>
    <row r="2879" spans="1:1" x14ac:dyDescent="0.25">
      <c r="A2879" s="21">
        <v>59734468.270000003</v>
      </c>
    </row>
    <row r="2880" spans="1:1" x14ac:dyDescent="0.25">
      <c r="A2880">
        <v>0</v>
      </c>
    </row>
    <row r="2881" spans="1:1" x14ac:dyDescent="0.25">
      <c r="A2881" s="21">
        <v>77271506.400000006</v>
      </c>
    </row>
    <row r="2882" spans="1:1" x14ac:dyDescent="0.25">
      <c r="A2882" s="21">
        <v>11015436.380000001</v>
      </c>
    </row>
    <row r="2883" spans="1:1" x14ac:dyDescent="0.25">
      <c r="A2883" s="21">
        <v>3415053.65</v>
      </c>
    </row>
    <row r="2884" spans="1:1" x14ac:dyDescent="0.25">
      <c r="A2884" s="21">
        <v>220229733</v>
      </c>
    </row>
    <row r="2885" spans="1:1" x14ac:dyDescent="0.25">
      <c r="A2885" s="21">
        <v>72279450.219999999</v>
      </c>
    </row>
    <row r="2886" spans="1:1" x14ac:dyDescent="0.25">
      <c r="A2886" s="21">
        <v>151125468.88999999</v>
      </c>
    </row>
    <row r="2887" spans="1:1" x14ac:dyDescent="0.25">
      <c r="A2887">
        <v>0</v>
      </c>
    </row>
    <row r="2888" spans="1:1" x14ac:dyDescent="0.25">
      <c r="A2888" s="21">
        <v>83030381.349999994</v>
      </c>
    </row>
    <row r="2889" spans="1:1" x14ac:dyDescent="0.25">
      <c r="A2889" s="21">
        <v>6245127.75</v>
      </c>
    </row>
    <row r="2890" spans="1:1" x14ac:dyDescent="0.25">
      <c r="A2890" s="21">
        <v>17215020.199999999</v>
      </c>
    </row>
    <row r="2891" spans="1:1" x14ac:dyDescent="0.25">
      <c r="A2891" s="21">
        <v>28586976.84</v>
      </c>
    </row>
    <row r="2892" spans="1:1" x14ac:dyDescent="0.25">
      <c r="A2892" s="21">
        <v>83179889.620000005</v>
      </c>
    </row>
    <row r="2893" spans="1:1" x14ac:dyDescent="0.25">
      <c r="A2893">
        <v>0</v>
      </c>
    </row>
    <row r="2894" spans="1:1" x14ac:dyDescent="0.25">
      <c r="A2894" s="21">
        <v>3247823.66</v>
      </c>
    </row>
    <row r="2895" spans="1:1" x14ac:dyDescent="0.25">
      <c r="A2895" s="21">
        <v>39346371.420000002</v>
      </c>
    </row>
    <row r="2896" spans="1:1" x14ac:dyDescent="0.25">
      <c r="A2896" s="21">
        <v>93693652.370000005</v>
      </c>
    </row>
    <row r="2897" spans="1:1" x14ac:dyDescent="0.25">
      <c r="A2897" s="21">
        <v>18445922.829999998</v>
      </c>
    </row>
    <row r="2898" spans="1:1" x14ac:dyDescent="0.25">
      <c r="A2898" s="21">
        <v>531888933.69999999</v>
      </c>
    </row>
    <row r="2899" spans="1:1" x14ac:dyDescent="0.25">
      <c r="A2899" s="21">
        <v>201188887.28</v>
      </c>
    </row>
    <row r="2900" spans="1:1" x14ac:dyDescent="0.25">
      <c r="A2900" s="21">
        <v>196565526.69</v>
      </c>
    </row>
    <row r="2901" spans="1:1" x14ac:dyDescent="0.25">
      <c r="A2901" s="21">
        <v>67348371.759999901</v>
      </c>
    </row>
    <row r="2902" spans="1:1" x14ac:dyDescent="0.25">
      <c r="A2902" s="21">
        <v>22508405.539999999</v>
      </c>
    </row>
    <row r="2903" spans="1:1" x14ac:dyDescent="0.25">
      <c r="A2903" s="21">
        <v>142739351.25999999</v>
      </c>
    </row>
    <row r="2904" spans="1:1" x14ac:dyDescent="0.25">
      <c r="A2904" s="21">
        <v>78949919.159999996</v>
      </c>
    </row>
    <row r="2905" spans="1:1" x14ac:dyDescent="0.25">
      <c r="A2905" s="21">
        <v>154212381.43000001</v>
      </c>
    </row>
    <row r="2906" spans="1:1" x14ac:dyDescent="0.25">
      <c r="A2906" s="21">
        <v>3393887.01</v>
      </c>
    </row>
    <row r="2907" spans="1:1" x14ac:dyDescent="0.25">
      <c r="A2907" s="21">
        <v>39349129.630000003</v>
      </c>
    </row>
    <row r="2908" spans="1:1" x14ac:dyDescent="0.25">
      <c r="A2908" s="21">
        <v>16304820.27</v>
      </c>
    </row>
    <row r="2909" spans="1:1" x14ac:dyDescent="0.25">
      <c r="A2909" s="21">
        <v>29263283.879999999</v>
      </c>
    </row>
    <row r="2910" spans="1:1" x14ac:dyDescent="0.25">
      <c r="A2910" s="21">
        <v>64672020.189999998</v>
      </c>
    </row>
    <row r="2911" spans="1:1" x14ac:dyDescent="0.25">
      <c r="A2911" s="21">
        <v>48410541.280000001</v>
      </c>
    </row>
    <row r="2912" spans="1:1" x14ac:dyDescent="0.25">
      <c r="A2912" s="21">
        <v>185637271.21000001</v>
      </c>
    </row>
    <row r="2913" spans="1:1" x14ac:dyDescent="0.25">
      <c r="A2913" s="21">
        <v>10230703.390000001</v>
      </c>
    </row>
    <row r="2914" spans="1:1" x14ac:dyDescent="0.25">
      <c r="A2914" s="21">
        <v>209569983.27000001</v>
      </c>
    </row>
    <row r="2915" spans="1:1" x14ac:dyDescent="0.25">
      <c r="A2915" s="21">
        <v>280960277.75999999</v>
      </c>
    </row>
    <row r="2916" spans="1:1" x14ac:dyDescent="0.25">
      <c r="A2916" s="21">
        <v>79665949.629999995</v>
      </c>
    </row>
    <row r="2917" spans="1:1" x14ac:dyDescent="0.25">
      <c r="A2917" s="21">
        <v>188206681.13999999</v>
      </c>
    </row>
    <row r="2918" spans="1:1" x14ac:dyDescent="0.25">
      <c r="A2918" s="21">
        <v>5976583.5</v>
      </c>
    </row>
    <row r="2919" spans="1:1" x14ac:dyDescent="0.25">
      <c r="A2919" s="21">
        <v>44912184.450000003</v>
      </c>
    </row>
    <row r="2920" spans="1:1" x14ac:dyDescent="0.25">
      <c r="A2920" s="21">
        <v>381111197.62</v>
      </c>
    </row>
    <row r="2921" spans="1:1" x14ac:dyDescent="0.25">
      <c r="A2921" s="21">
        <v>34037803.460000001</v>
      </c>
    </row>
    <row r="2922" spans="1:1" x14ac:dyDescent="0.25">
      <c r="A2922" s="21">
        <v>272578171.88</v>
      </c>
    </row>
    <row r="2923" spans="1:1" x14ac:dyDescent="0.25">
      <c r="A2923" s="21">
        <v>60278091.950000003</v>
      </c>
    </row>
    <row r="2924" spans="1:1" x14ac:dyDescent="0.25">
      <c r="A2924" s="21">
        <v>6180404.25</v>
      </c>
    </row>
    <row r="2925" spans="1:1" x14ac:dyDescent="0.25">
      <c r="A2925" s="21">
        <v>36050438.350000001</v>
      </c>
    </row>
    <row r="2926" spans="1:1" x14ac:dyDescent="0.25">
      <c r="A2926" s="21">
        <v>12699994.720000001</v>
      </c>
    </row>
    <row r="2927" spans="1:1" x14ac:dyDescent="0.25">
      <c r="A2927" s="21">
        <v>46947267.310000002</v>
      </c>
    </row>
    <row r="2928" spans="1:1" x14ac:dyDescent="0.25">
      <c r="A2928" s="21">
        <v>16010680.48</v>
      </c>
    </row>
    <row r="2929" spans="1:1" x14ac:dyDescent="0.25">
      <c r="A2929" s="21">
        <v>12131414.25</v>
      </c>
    </row>
    <row r="2930" spans="1:1" x14ac:dyDescent="0.25">
      <c r="A2930" s="21">
        <v>38442361.850000001</v>
      </c>
    </row>
    <row r="2931" spans="1:1" x14ac:dyDescent="0.25">
      <c r="A2931" s="21">
        <v>4041968.63</v>
      </c>
    </row>
    <row r="2932" spans="1:1" x14ac:dyDescent="0.25">
      <c r="A2932" s="21">
        <v>19155754.5</v>
      </c>
    </row>
    <row r="2933" spans="1:1" x14ac:dyDescent="0.25">
      <c r="A2933" s="21">
        <v>107986896.03</v>
      </c>
    </row>
    <row r="2934" spans="1:1" x14ac:dyDescent="0.25">
      <c r="A2934" s="21">
        <v>110071980.87</v>
      </c>
    </row>
    <row r="2935" spans="1:1" x14ac:dyDescent="0.25">
      <c r="A2935" s="21">
        <v>76427506.469999999</v>
      </c>
    </row>
    <row r="2936" spans="1:1" x14ac:dyDescent="0.25">
      <c r="A2936" s="21">
        <v>98783114.019999996</v>
      </c>
    </row>
    <row r="2937" spans="1:1" x14ac:dyDescent="0.25">
      <c r="A2937" s="21">
        <v>8633079.9800000004</v>
      </c>
    </row>
    <row r="2938" spans="1:1" x14ac:dyDescent="0.25">
      <c r="A2938" s="21">
        <v>27893540.489999998</v>
      </c>
    </row>
    <row r="2939" spans="1:1" x14ac:dyDescent="0.25">
      <c r="A2939" s="21">
        <v>147040053.62</v>
      </c>
    </row>
    <row r="2940" spans="1:1" x14ac:dyDescent="0.25">
      <c r="A2940" s="21">
        <v>35610518.350000001</v>
      </c>
    </row>
    <row r="2941" spans="1:1" x14ac:dyDescent="0.25">
      <c r="A2941" s="21">
        <v>54610880.609999999</v>
      </c>
    </row>
    <row r="2942" spans="1:1" x14ac:dyDescent="0.25">
      <c r="A2942" s="21">
        <v>66887625.799999997</v>
      </c>
    </row>
    <row r="2943" spans="1:1" x14ac:dyDescent="0.25">
      <c r="A2943">
        <v>6844095</v>
      </c>
    </row>
    <row r="2944" spans="1:1" x14ac:dyDescent="0.25">
      <c r="A2944" s="21">
        <v>74395301.530000001</v>
      </c>
    </row>
    <row r="2945" spans="1:1" x14ac:dyDescent="0.25">
      <c r="A2945" s="21">
        <v>42516115.700000003</v>
      </c>
    </row>
    <row r="2946" spans="1:1" x14ac:dyDescent="0.25">
      <c r="A2946" s="21">
        <v>149259403.08000001</v>
      </c>
    </row>
    <row r="2947" spans="1:1" x14ac:dyDescent="0.25">
      <c r="A2947" s="21">
        <v>69970830.659999996</v>
      </c>
    </row>
    <row r="2948" spans="1:1" x14ac:dyDescent="0.25">
      <c r="A2948" s="21">
        <v>270509237.48000002</v>
      </c>
    </row>
    <row r="2949" spans="1:1" x14ac:dyDescent="0.25">
      <c r="A2949" s="21">
        <v>7225752.3499999996</v>
      </c>
    </row>
    <row r="2950" spans="1:1" x14ac:dyDescent="0.25">
      <c r="A2950" s="21">
        <v>16632969.970000001</v>
      </c>
    </row>
    <row r="2951" spans="1:1" x14ac:dyDescent="0.25">
      <c r="A2951" s="21">
        <v>66162058.109999999</v>
      </c>
    </row>
    <row r="2952" spans="1:1" x14ac:dyDescent="0.25">
      <c r="A2952" s="21">
        <v>4268531.1399999997</v>
      </c>
    </row>
    <row r="2953" spans="1:1" x14ac:dyDescent="0.25">
      <c r="A2953" s="21">
        <v>36605130.689999998</v>
      </c>
    </row>
    <row r="2954" spans="1:1" x14ac:dyDescent="0.25">
      <c r="A2954" s="21">
        <v>6372315.75</v>
      </c>
    </row>
    <row r="2955" spans="1:1" x14ac:dyDescent="0.25">
      <c r="A2955" s="21">
        <v>94484821.629999995</v>
      </c>
    </row>
    <row r="2956" spans="1:1" x14ac:dyDescent="0.25">
      <c r="A2956" s="21">
        <v>68971651.890000001</v>
      </c>
    </row>
    <row r="2957" spans="1:1" x14ac:dyDescent="0.25">
      <c r="A2957" s="21">
        <v>40125808.310000002</v>
      </c>
    </row>
    <row r="2958" spans="1:1" x14ac:dyDescent="0.25">
      <c r="A2958" s="21">
        <v>20108828.100000001</v>
      </c>
    </row>
    <row r="2959" spans="1:1" x14ac:dyDescent="0.25">
      <c r="A2959" s="21">
        <v>88469485.629999995</v>
      </c>
    </row>
    <row r="2960" spans="1:1" x14ac:dyDescent="0.25">
      <c r="A2960" s="21">
        <v>133833582.61</v>
      </c>
    </row>
    <row r="2961" spans="1:1" x14ac:dyDescent="0.25">
      <c r="A2961" s="21">
        <v>67621110.799999997</v>
      </c>
    </row>
    <row r="2962" spans="1:1" x14ac:dyDescent="0.25">
      <c r="A2962" s="21">
        <v>80980354.790000007</v>
      </c>
    </row>
    <row r="2963" spans="1:1" x14ac:dyDescent="0.25">
      <c r="A2963" s="21">
        <v>27155370.399999999</v>
      </c>
    </row>
    <row r="2964" spans="1:1" x14ac:dyDescent="0.25">
      <c r="A2964" s="21">
        <v>80995492.439999998</v>
      </c>
    </row>
    <row r="2965" spans="1:1" x14ac:dyDescent="0.25">
      <c r="A2965" s="21">
        <v>66785607.859999999</v>
      </c>
    </row>
    <row r="2966" spans="1:1" x14ac:dyDescent="0.25">
      <c r="A2966" s="21">
        <v>23310135.600000001</v>
      </c>
    </row>
    <row r="2967" spans="1:1" x14ac:dyDescent="0.25">
      <c r="A2967" s="21">
        <v>267433986.36000001</v>
      </c>
    </row>
    <row r="2968" spans="1:1" x14ac:dyDescent="0.25">
      <c r="A2968" s="21">
        <v>134583562.5</v>
      </c>
    </row>
    <row r="2969" spans="1:1" x14ac:dyDescent="0.25">
      <c r="A2969" s="21">
        <v>27483237.039999999</v>
      </c>
    </row>
    <row r="2970" spans="1:1" x14ac:dyDescent="0.25">
      <c r="A2970" s="21">
        <v>181165154.12</v>
      </c>
    </row>
    <row r="2971" spans="1:1" x14ac:dyDescent="0.25">
      <c r="A2971" s="21">
        <v>42020539.520000003</v>
      </c>
    </row>
    <row r="2972" spans="1:1" x14ac:dyDescent="0.25">
      <c r="A2972" s="21">
        <v>190948735.84999999</v>
      </c>
    </row>
    <row r="2973" spans="1:1" x14ac:dyDescent="0.25">
      <c r="A2973" s="21">
        <v>7049541.0099999998</v>
      </c>
    </row>
    <row r="2974" spans="1:1" x14ac:dyDescent="0.25">
      <c r="A2974" s="21">
        <v>40081622.93</v>
      </c>
    </row>
    <row r="2975" spans="1:1" x14ac:dyDescent="0.25">
      <c r="A2975" s="21">
        <v>38801580.899999999</v>
      </c>
    </row>
    <row r="2976" spans="1:1" x14ac:dyDescent="0.25">
      <c r="A2976" s="21">
        <v>112893590.73999999</v>
      </c>
    </row>
    <row r="2977" spans="1:1" x14ac:dyDescent="0.25">
      <c r="A2977" s="21">
        <v>75562545.709999904</v>
      </c>
    </row>
    <row r="2978" spans="1:1" x14ac:dyDescent="0.25">
      <c r="A2978" s="21">
        <v>58444459.409999996</v>
      </c>
    </row>
    <row r="2979" spans="1:1" x14ac:dyDescent="0.25">
      <c r="A2979" s="21">
        <v>63668738.780000001</v>
      </c>
    </row>
    <row r="2980" spans="1:1" x14ac:dyDescent="0.25">
      <c r="A2980" s="21">
        <v>199756935.53</v>
      </c>
    </row>
    <row r="2981" spans="1:1" x14ac:dyDescent="0.25">
      <c r="A2981" s="21">
        <v>86634681.699999899</v>
      </c>
    </row>
    <row r="2982" spans="1:1" x14ac:dyDescent="0.25">
      <c r="A2982" s="21">
        <v>99751877.539999902</v>
      </c>
    </row>
    <row r="2983" spans="1:1" x14ac:dyDescent="0.25">
      <c r="A2983" s="21">
        <v>6014379.75</v>
      </c>
    </row>
    <row r="2984" spans="1:1" x14ac:dyDescent="0.25">
      <c r="A2984" s="21">
        <v>27434230.920000002</v>
      </c>
    </row>
    <row r="2985" spans="1:1" x14ac:dyDescent="0.25">
      <c r="A2985" s="21">
        <v>117083201.44</v>
      </c>
    </row>
    <row r="2986" spans="1:1" x14ac:dyDescent="0.25">
      <c r="A2986" s="21">
        <v>122554338.69</v>
      </c>
    </row>
    <row r="2987" spans="1:1" x14ac:dyDescent="0.25">
      <c r="A2987" s="21">
        <v>26448308.940000001</v>
      </c>
    </row>
    <row r="2988" spans="1:1" x14ac:dyDescent="0.25">
      <c r="A2988" s="21">
        <v>41092084.539999999</v>
      </c>
    </row>
    <row r="2989" spans="1:1" x14ac:dyDescent="0.25">
      <c r="A2989" s="21">
        <v>6413958.9100000001</v>
      </c>
    </row>
    <row r="2990" spans="1:1" x14ac:dyDescent="0.25">
      <c r="A2990" s="21">
        <v>17924094.75</v>
      </c>
    </row>
    <row r="2991" spans="1:1" x14ac:dyDescent="0.25">
      <c r="A2991" s="21">
        <v>22417654.27</v>
      </c>
    </row>
    <row r="2992" spans="1:1" x14ac:dyDescent="0.25">
      <c r="A2992" s="21">
        <v>9842932.7599999998</v>
      </c>
    </row>
    <row r="2993" spans="1:1" x14ac:dyDescent="0.25">
      <c r="A2993" s="21">
        <v>52210213.710000001</v>
      </c>
    </row>
    <row r="2994" spans="1:1" x14ac:dyDescent="0.25">
      <c r="A2994" s="21">
        <v>37249026.349999897</v>
      </c>
    </row>
    <row r="2995" spans="1:1" x14ac:dyDescent="0.25">
      <c r="A2995" s="21">
        <v>33731077.840000004</v>
      </c>
    </row>
    <row r="2996" spans="1:1" x14ac:dyDescent="0.25">
      <c r="A2996" s="21">
        <v>75360779.629999995</v>
      </c>
    </row>
    <row r="2997" spans="1:1" x14ac:dyDescent="0.25">
      <c r="A2997" s="21">
        <v>21328021.190000001</v>
      </c>
    </row>
    <row r="2998" spans="1:1" x14ac:dyDescent="0.25">
      <c r="A2998" s="21">
        <v>42446146.460000001</v>
      </c>
    </row>
    <row r="2999" spans="1:1" x14ac:dyDescent="0.25">
      <c r="A2999" s="21">
        <v>129285664.76000001</v>
      </c>
    </row>
    <row r="3000" spans="1:1" x14ac:dyDescent="0.25">
      <c r="A3000" s="21">
        <v>56246662.170000002</v>
      </c>
    </row>
    <row r="3001" spans="1:1" x14ac:dyDescent="0.25">
      <c r="A3001" s="21">
        <v>27746684.66</v>
      </c>
    </row>
    <row r="3002" spans="1:1" x14ac:dyDescent="0.25">
      <c r="A3002" s="21">
        <v>70838095.980000004</v>
      </c>
    </row>
    <row r="3003" spans="1:1" x14ac:dyDescent="0.25">
      <c r="A3003">
        <v>0</v>
      </c>
    </row>
    <row r="3004" spans="1:1" x14ac:dyDescent="0.25">
      <c r="A3004" s="21">
        <v>24749280.41</v>
      </c>
    </row>
    <row r="3005" spans="1:1" x14ac:dyDescent="0.25">
      <c r="A3005" s="21">
        <v>22794667.620000001</v>
      </c>
    </row>
    <row r="3006" spans="1:1" x14ac:dyDescent="0.25">
      <c r="A3006" s="21">
        <v>25840652.739999998</v>
      </c>
    </row>
    <row r="3007" spans="1:1" x14ac:dyDescent="0.25">
      <c r="A3007" s="21">
        <v>83797263.890000001</v>
      </c>
    </row>
    <row r="3008" spans="1:1" x14ac:dyDescent="0.25">
      <c r="A3008" s="21">
        <v>297245433.38999999</v>
      </c>
    </row>
    <row r="3009" spans="1:1" x14ac:dyDescent="0.25">
      <c r="A3009" s="21">
        <v>130792591.27</v>
      </c>
    </row>
    <row r="3010" spans="1:1" x14ac:dyDescent="0.25">
      <c r="A3010" s="21">
        <v>12186615.75</v>
      </c>
    </row>
    <row r="3011" spans="1:1" x14ac:dyDescent="0.25">
      <c r="A3011" s="21">
        <v>26795567.59</v>
      </c>
    </row>
    <row r="3012" spans="1:1" x14ac:dyDescent="0.25">
      <c r="A3012" s="21">
        <v>34879625.649999999</v>
      </c>
    </row>
    <row r="3013" spans="1:1" x14ac:dyDescent="0.25">
      <c r="A3013" s="21">
        <v>61509367.700000003</v>
      </c>
    </row>
    <row r="3014" spans="1:1" x14ac:dyDescent="0.25">
      <c r="A3014" s="21">
        <v>22170584.940000001</v>
      </c>
    </row>
    <row r="3015" spans="1:1" x14ac:dyDescent="0.25">
      <c r="A3015" s="21">
        <v>4338024.88</v>
      </c>
    </row>
    <row r="3016" spans="1:1" x14ac:dyDescent="0.25">
      <c r="A3016" s="21">
        <v>330373236.19999999</v>
      </c>
    </row>
    <row r="3017" spans="1:1" x14ac:dyDescent="0.25">
      <c r="A3017" s="21">
        <v>245001588.09</v>
      </c>
    </row>
    <row r="3018" spans="1:1" x14ac:dyDescent="0.25">
      <c r="A3018" s="21">
        <v>17926905.75</v>
      </c>
    </row>
    <row r="3019" spans="1:1" x14ac:dyDescent="0.25">
      <c r="A3019">
        <v>0</v>
      </c>
    </row>
    <row r="3020" spans="1:1" x14ac:dyDescent="0.25">
      <c r="A3020" s="21">
        <v>62377796.590000004</v>
      </c>
    </row>
    <row r="3021" spans="1:1" x14ac:dyDescent="0.25">
      <c r="A3021" s="21">
        <v>61005130.700000003</v>
      </c>
    </row>
    <row r="3022" spans="1:1" x14ac:dyDescent="0.25">
      <c r="A3022" s="21">
        <v>9193387.4399999902</v>
      </c>
    </row>
    <row r="3023" spans="1:1" x14ac:dyDescent="0.25">
      <c r="A3023" s="21">
        <v>3999305.71</v>
      </c>
    </row>
    <row r="3024" spans="1:1" x14ac:dyDescent="0.25">
      <c r="A3024" s="21">
        <v>72208279.329999998</v>
      </c>
    </row>
    <row r="3025" spans="1:1" x14ac:dyDescent="0.25">
      <c r="A3025" s="21">
        <v>21913130.859999999</v>
      </c>
    </row>
    <row r="3026" spans="1:1" x14ac:dyDescent="0.25">
      <c r="A3026" s="21">
        <v>145846821.22999999</v>
      </c>
    </row>
    <row r="3027" spans="1:1" x14ac:dyDescent="0.25">
      <c r="A3027" s="21">
        <v>61526766.100000001</v>
      </c>
    </row>
    <row r="3028" spans="1:1" x14ac:dyDescent="0.25">
      <c r="A3028" s="21">
        <v>91193081.450000003</v>
      </c>
    </row>
    <row r="3029" spans="1:1" x14ac:dyDescent="0.25">
      <c r="A3029" s="21">
        <v>292706928.97000003</v>
      </c>
    </row>
    <row r="3030" spans="1:1" x14ac:dyDescent="0.25">
      <c r="A3030" s="21">
        <v>417035079.98000002</v>
      </c>
    </row>
    <row r="3031" spans="1:1" x14ac:dyDescent="0.25">
      <c r="A3031" s="21">
        <v>44520519.189999998</v>
      </c>
    </row>
    <row r="3032" spans="1:1" x14ac:dyDescent="0.25">
      <c r="A3032" s="21">
        <v>41802691.57</v>
      </c>
    </row>
    <row r="3033" spans="1:1" x14ac:dyDescent="0.25">
      <c r="A3033" s="21">
        <v>16282534.960000001</v>
      </c>
    </row>
    <row r="3034" spans="1:1" x14ac:dyDescent="0.25">
      <c r="A3034">
        <v>19772568</v>
      </c>
    </row>
    <row r="3035" spans="1:1" x14ac:dyDescent="0.25">
      <c r="A3035" s="21">
        <v>9781020.7200000007</v>
      </c>
    </row>
    <row r="3036" spans="1:1" x14ac:dyDescent="0.25">
      <c r="A3036" s="21">
        <v>241606524.84</v>
      </c>
    </row>
    <row r="3037" spans="1:1" x14ac:dyDescent="0.25">
      <c r="A3037" s="21">
        <v>13530794.25</v>
      </c>
    </row>
    <row r="3038" spans="1:1" x14ac:dyDescent="0.25">
      <c r="A3038" s="21">
        <v>38950135.649999999</v>
      </c>
    </row>
    <row r="3039" spans="1:1" x14ac:dyDescent="0.25">
      <c r="A3039" s="21">
        <v>24932356.09</v>
      </c>
    </row>
    <row r="3040" spans="1:1" x14ac:dyDescent="0.25">
      <c r="A3040" s="21">
        <v>22932955.100000001</v>
      </c>
    </row>
    <row r="3041" spans="1:1" x14ac:dyDescent="0.25">
      <c r="A3041" s="21">
        <v>117036480.51000001</v>
      </c>
    </row>
    <row r="3042" spans="1:1" x14ac:dyDescent="0.25">
      <c r="A3042" s="21">
        <v>3360734.74</v>
      </c>
    </row>
    <row r="3043" spans="1:1" x14ac:dyDescent="0.25">
      <c r="A3043" s="21">
        <v>25496727.899999999</v>
      </c>
    </row>
    <row r="3044" spans="1:1" x14ac:dyDescent="0.25">
      <c r="A3044" s="21">
        <v>6899972.25</v>
      </c>
    </row>
    <row r="3045" spans="1:1" x14ac:dyDescent="0.25">
      <c r="A3045" s="21">
        <v>6689100.75</v>
      </c>
    </row>
    <row r="3046" spans="1:1" x14ac:dyDescent="0.25">
      <c r="A3046" s="21">
        <v>128354654.22</v>
      </c>
    </row>
    <row r="3047" spans="1:1" x14ac:dyDescent="0.25">
      <c r="A3047" s="21">
        <v>178495073.52000001</v>
      </c>
    </row>
    <row r="3048" spans="1:1" x14ac:dyDescent="0.25">
      <c r="A3048" s="21">
        <v>40641976.789999999</v>
      </c>
    </row>
    <row r="3049" spans="1:1" x14ac:dyDescent="0.25">
      <c r="A3049">
        <v>0</v>
      </c>
    </row>
    <row r="3050" spans="1:1" x14ac:dyDescent="0.25">
      <c r="A3050" s="21">
        <v>14255981.57</v>
      </c>
    </row>
    <row r="3051" spans="1:1" x14ac:dyDescent="0.25">
      <c r="A3051" s="21">
        <v>29887420.43</v>
      </c>
    </row>
    <row r="3052" spans="1:1" x14ac:dyDescent="0.25">
      <c r="A3052" s="21">
        <v>11036469.449999999</v>
      </c>
    </row>
    <row r="3053" spans="1:1" x14ac:dyDescent="0.25">
      <c r="A3053" s="21">
        <v>32355188.59</v>
      </c>
    </row>
    <row r="3054" spans="1:1" x14ac:dyDescent="0.25">
      <c r="A3054">
        <v>0</v>
      </c>
    </row>
    <row r="3055" spans="1:1" x14ac:dyDescent="0.25">
      <c r="A3055" s="21">
        <v>6905858.1699999999</v>
      </c>
    </row>
    <row r="3056" spans="1:1" x14ac:dyDescent="0.25">
      <c r="A3056">
        <v>0</v>
      </c>
    </row>
    <row r="3057" spans="1:1" x14ac:dyDescent="0.25">
      <c r="A3057" s="21">
        <v>20875613.800000001</v>
      </c>
    </row>
    <row r="3058" spans="1:1" x14ac:dyDescent="0.25">
      <c r="A3058" s="21">
        <v>594082519.05999899</v>
      </c>
    </row>
    <row r="3059" spans="1:1" x14ac:dyDescent="0.25">
      <c r="A3059" s="21">
        <v>38799389.460000001</v>
      </c>
    </row>
    <row r="3060" spans="1:1" x14ac:dyDescent="0.25">
      <c r="A3060" s="21">
        <v>19123866.649999999</v>
      </c>
    </row>
    <row r="3061" spans="1:1" x14ac:dyDescent="0.25">
      <c r="A3061" s="21">
        <v>19758264.77</v>
      </c>
    </row>
    <row r="3062" spans="1:1" x14ac:dyDescent="0.25">
      <c r="A3062" s="21">
        <v>173385400.28</v>
      </c>
    </row>
    <row r="3063" spans="1:1" x14ac:dyDescent="0.25">
      <c r="A3063" s="21">
        <v>36634340.799999997</v>
      </c>
    </row>
    <row r="3064" spans="1:1" x14ac:dyDescent="0.25">
      <c r="A3064" s="21">
        <v>14333950.6</v>
      </c>
    </row>
    <row r="3065" spans="1:1" x14ac:dyDescent="0.25">
      <c r="A3065" s="21">
        <v>18517022.82</v>
      </c>
    </row>
    <row r="3066" spans="1:1" x14ac:dyDescent="0.25">
      <c r="A3066" s="21">
        <v>32170777.239999998</v>
      </c>
    </row>
    <row r="3067" spans="1:1" x14ac:dyDescent="0.25">
      <c r="A3067" s="21">
        <v>5649473.25</v>
      </c>
    </row>
    <row r="3068" spans="1:1" x14ac:dyDescent="0.25">
      <c r="A3068" s="21">
        <v>102766431.93000001</v>
      </c>
    </row>
    <row r="3069" spans="1:1" x14ac:dyDescent="0.25">
      <c r="A3069" s="21">
        <v>104289830.38</v>
      </c>
    </row>
    <row r="3070" spans="1:1" x14ac:dyDescent="0.25">
      <c r="A3070" s="21">
        <v>121285226.65000001</v>
      </c>
    </row>
    <row r="3071" spans="1:1" x14ac:dyDescent="0.25">
      <c r="A3071" s="21">
        <v>13331241.42</v>
      </c>
    </row>
    <row r="3072" spans="1:1" x14ac:dyDescent="0.25">
      <c r="A3072" s="21">
        <v>7916680.4699999997</v>
      </c>
    </row>
    <row r="3073" spans="1:1" x14ac:dyDescent="0.25">
      <c r="A3073" s="21">
        <v>7359739.6200000001</v>
      </c>
    </row>
    <row r="3074" spans="1:1" x14ac:dyDescent="0.25">
      <c r="A3074" s="21">
        <v>30943663.859999999</v>
      </c>
    </row>
    <row r="3075" spans="1:1" x14ac:dyDescent="0.25">
      <c r="A3075" s="21">
        <v>12382487.75</v>
      </c>
    </row>
    <row r="3076" spans="1:1" x14ac:dyDescent="0.25">
      <c r="A3076" s="21">
        <v>65665477.740000002</v>
      </c>
    </row>
    <row r="3077" spans="1:1" x14ac:dyDescent="0.25">
      <c r="A3077">
        <v>6829680</v>
      </c>
    </row>
    <row r="3078" spans="1:1" x14ac:dyDescent="0.25">
      <c r="A3078" s="21">
        <v>74682417.870000005</v>
      </c>
    </row>
    <row r="3079" spans="1:1" x14ac:dyDescent="0.25">
      <c r="A3079" s="21">
        <v>26438063.609999999</v>
      </c>
    </row>
    <row r="3080" spans="1:1" x14ac:dyDescent="0.25">
      <c r="A3080" s="21">
        <v>144430477.00999999</v>
      </c>
    </row>
    <row r="3081" spans="1:1" x14ac:dyDescent="0.25">
      <c r="A3081" s="21">
        <v>98678976.640000001</v>
      </c>
    </row>
    <row r="3082" spans="1:1" x14ac:dyDescent="0.25">
      <c r="A3082" s="21">
        <v>275038870.14999998</v>
      </c>
    </row>
    <row r="3083" spans="1:1" x14ac:dyDescent="0.25">
      <c r="A3083">
        <v>0</v>
      </c>
    </row>
    <row r="3084" spans="1:1" x14ac:dyDescent="0.25">
      <c r="A3084" s="21">
        <v>84912616.480000004</v>
      </c>
    </row>
    <row r="3085" spans="1:1" x14ac:dyDescent="0.25">
      <c r="A3085">
        <v>7313001</v>
      </c>
    </row>
    <row r="3086" spans="1:1" x14ac:dyDescent="0.25">
      <c r="A3086" s="21">
        <v>16107518.24</v>
      </c>
    </row>
    <row r="3087" spans="1:1" x14ac:dyDescent="0.25">
      <c r="A3087" s="21">
        <v>164569626.36000001</v>
      </c>
    </row>
    <row r="3088" spans="1:1" x14ac:dyDescent="0.25">
      <c r="A3088" s="21">
        <v>15701732.810000001</v>
      </c>
    </row>
    <row r="3089" spans="1:1" x14ac:dyDescent="0.25">
      <c r="A3089" s="21">
        <v>12737931.66</v>
      </c>
    </row>
    <row r="3090" spans="1:1" x14ac:dyDescent="0.25">
      <c r="A3090" s="21">
        <v>18521866.5</v>
      </c>
    </row>
    <row r="3091" spans="1:1" x14ac:dyDescent="0.25">
      <c r="A3091">
        <v>0</v>
      </c>
    </row>
    <row r="3092" spans="1:1" x14ac:dyDescent="0.25">
      <c r="A3092" s="21">
        <v>92324935.980000004</v>
      </c>
    </row>
    <row r="3093" spans="1:1" x14ac:dyDescent="0.25">
      <c r="A3093" s="21">
        <v>42356319.859999999</v>
      </c>
    </row>
    <row r="3094" spans="1:1" x14ac:dyDescent="0.25">
      <c r="A3094" s="21">
        <v>4461099.1900000004</v>
      </c>
    </row>
    <row r="3095" spans="1:1" x14ac:dyDescent="0.25">
      <c r="A3095" s="21">
        <v>425570775.64999998</v>
      </c>
    </row>
    <row r="3096" spans="1:1" x14ac:dyDescent="0.25">
      <c r="A3096" s="21">
        <v>148725977.33000001</v>
      </c>
    </row>
    <row r="3097" spans="1:1" x14ac:dyDescent="0.25">
      <c r="A3097" s="21">
        <v>96869854.459999993</v>
      </c>
    </row>
    <row r="3098" spans="1:1" x14ac:dyDescent="0.25">
      <c r="A3098" s="21">
        <v>10788208.01</v>
      </c>
    </row>
    <row r="3099" spans="1:1" x14ac:dyDescent="0.25">
      <c r="A3099" s="21">
        <v>58229615.329999998</v>
      </c>
    </row>
    <row r="3100" spans="1:1" x14ac:dyDescent="0.25">
      <c r="A3100" s="21">
        <v>26431394.739999998</v>
      </c>
    </row>
    <row r="3101" spans="1:1" x14ac:dyDescent="0.25">
      <c r="A3101">
        <v>0</v>
      </c>
    </row>
    <row r="3102" spans="1:1" x14ac:dyDescent="0.25">
      <c r="A3102" s="21">
        <v>12147059.25</v>
      </c>
    </row>
    <row r="3103" spans="1:1" x14ac:dyDescent="0.25">
      <c r="A3103" s="21">
        <v>192967494.77000001</v>
      </c>
    </row>
    <row r="3104" spans="1:1" x14ac:dyDescent="0.25">
      <c r="A3104" s="21">
        <v>130265433.62</v>
      </c>
    </row>
    <row r="3105" spans="1:1" x14ac:dyDescent="0.25">
      <c r="A3105" s="21">
        <v>15839298.140000001</v>
      </c>
    </row>
    <row r="3106" spans="1:1" x14ac:dyDescent="0.25">
      <c r="A3106">
        <v>6773868</v>
      </c>
    </row>
    <row r="3107" spans="1:1" x14ac:dyDescent="0.25">
      <c r="A3107" s="21">
        <v>69155898.359999999</v>
      </c>
    </row>
    <row r="3108" spans="1:1" x14ac:dyDescent="0.25">
      <c r="A3108" s="21">
        <v>185047592.11000001</v>
      </c>
    </row>
    <row r="3109" spans="1:1" x14ac:dyDescent="0.25">
      <c r="A3109" s="21">
        <v>84052457.219999999</v>
      </c>
    </row>
    <row r="3110" spans="1:1" x14ac:dyDescent="0.25">
      <c r="A3110" s="21">
        <v>23898625.809999999</v>
      </c>
    </row>
    <row r="3111" spans="1:1" x14ac:dyDescent="0.25">
      <c r="A3111" s="21">
        <v>224554100.59999999</v>
      </c>
    </row>
    <row r="3112" spans="1:1" x14ac:dyDescent="0.25">
      <c r="A3112" s="21">
        <v>28053805.280000001</v>
      </c>
    </row>
    <row r="3113" spans="1:1" x14ac:dyDescent="0.25">
      <c r="A3113" s="21">
        <v>158646179.77000001</v>
      </c>
    </row>
    <row r="3114" spans="1:1" x14ac:dyDescent="0.25">
      <c r="A3114" s="21">
        <v>15896331.800000001</v>
      </c>
    </row>
    <row r="3115" spans="1:1" x14ac:dyDescent="0.25">
      <c r="A3115" s="21">
        <v>68976258.670000002</v>
      </c>
    </row>
    <row r="3116" spans="1:1" x14ac:dyDescent="0.25">
      <c r="A3116" s="21">
        <v>35004204.159999996</v>
      </c>
    </row>
    <row r="3117" spans="1:1" x14ac:dyDescent="0.25">
      <c r="A3117" s="21">
        <v>209143178.88</v>
      </c>
    </row>
    <row r="3118" spans="1:1" x14ac:dyDescent="0.25">
      <c r="A3118" s="21">
        <v>200363475.08000001</v>
      </c>
    </row>
    <row r="3119" spans="1:1" x14ac:dyDescent="0.25">
      <c r="A3119" s="21">
        <v>89275217.739999995</v>
      </c>
    </row>
    <row r="3120" spans="1:1" x14ac:dyDescent="0.25">
      <c r="A3120" s="21">
        <v>4077347.98</v>
      </c>
    </row>
    <row r="3121" spans="1:1" x14ac:dyDescent="0.25">
      <c r="A3121" s="21">
        <v>100159271.38</v>
      </c>
    </row>
    <row r="3122" spans="1:1" x14ac:dyDescent="0.25">
      <c r="A3122" s="21">
        <v>169941473.18000001</v>
      </c>
    </row>
    <row r="3123" spans="1:1" x14ac:dyDescent="0.25">
      <c r="A3123" s="21">
        <v>11125817.369999999</v>
      </c>
    </row>
    <row r="3124" spans="1:1" x14ac:dyDescent="0.25">
      <c r="A3124" s="21">
        <v>394648259.00999999</v>
      </c>
    </row>
    <row r="3125" spans="1:1" x14ac:dyDescent="0.25">
      <c r="A3125" s="21">
        <v>27424581.079999998</v>
      </c>
    </row>
    <row r="3126" spans="1:1" x14ac:dyDescent="0.25">
      <c r="A3126" s="21">
        <v>12100632.619999999</v>
      </c>
    </row>
    <row r="3127" spans="1:1" x14ac:dyDescent="0.25">
      <c r="A3127" s="21">
        <v>11016592.130000001</v>
      </c>
    </row>
    <row r="3128" spans="1:1" x14ac:dyDescent="0.25">
      <c r="A3128" s="21">
        <v>24870295.25</v>
      </c>
    </row>
    <row r="3129" spans="1:1" x14ac:dyDescent="0.25">
      <c r="A3129">
        <v>0</v>
      </c>
    </row>
    <row r="3130" spans="1:1" x14ac:dyDescent="0.25">
      <c r="A3130" s="21">
        <v>14936457.18</v>
      </c>
    </row>
    <row r="3131" spans="1:1" x14ac:dyDescent="0.25">
      <c r="A3131" s="21">
        <v>36274848.520000003</v>
      </c>
    </row>
    <row r="3132" spans="1:1" x14ac:dyDescent="0.25">
      <c r="A3132" s="21">
        <v>7751618.5999999996</v>
      </c>
    </row>
    <row r="3133" spans="1:1" x14ac:dyDescent="0.25">
      <c r="A3133" s="21">
        <v>87126587.199999899</v>
      </c>
    </row>
    <row r="3134" spans="1:1" x14ac:dyDescent="0.25">
      <c r="A3134" s="21">
        <v>30412311.030000001</v>
      </c>
    </row>
    <row r="3135" spans="1:1" x14ac:dyDescent="0.25">
      <c r="A3135" s="21">
        <v>80367395.599999905</v>
      </c>
    </row>
    <row r="3136" spans="1:1" x14ac:dyDescent="0.25">
      <c r="A3136" s="21">
        <v>3009646.03</v>
      </c>
    </row>
    <row r="3137" spans="1:1" x14ac:dyDescent="0.25">
      <c r="A3137" s="21">
        <v>74173027.159999996</v>
      </c>
    </row>
    <row r="3138" spans="1:1" x14ac:dyDescent="0.25">
      <c r="A3138" s="21">
        <v>42971474.079999998</v>
      </c>
    </row>
    <row r="3139" spans="1:1" x14ac:dyDescent="0.25">
      <c r="A3139" s="21">
        <v>37050343.07</v>
      </c>
    </row>
    <row r="3140" spans="1:1" x14ac:dyDescent="0.25">
      <c r="A3140" s="21">
        <v>31066950.989999998</v>
      </c>
    </row>
    <row r="3141" spans="1:1" x14ac:dyDescent="0.25">
      <c r="A3141" s="21">
        <v>128376887.34</v>
      </c>
    </row>
    <row r="3142" spans="1:1" x14ac:dyDescent="0.25">
      <c r="A3142" s="21">
        <v>13133783.67</v>
      </c>
    </row>
    <row r="3143" spans="1:1" x14ac:dyDescent="0.25">
      <c r="A3143" s="21">
        <v>187231807.19</v>
      </c>
    </row>
    <row r="3144" spans="1:1" x14ac:dyDescent="0.25">
      <c r="A3144" s="21">
        <v>3466202.12</v>
      </c>
    </row>
    <row r="3145" spans="1:1" x14ac:dyDescent="0.25">
      <c r="A3145" s="21">
        <v>102299224.09999999</v>
      </c>
    </row>
    <row r="3146" spans="1:1" x14ac:dyDescent="0.25">
      <c r="A3146" s="21">
        <v>17740130.59</v>
      </c>
    </row>
    <row r="3147" spans="1:1" x14ac:dyDescent="0.25">
      <c r="A3147" s="21">
        <v>14775485.07</v>
      </c>
    </row>
    <row r="3148" spans="1:1" x14ac:dyDescent="0.25">
      <c r="A3148" s="21">
        <v>80658704.439999998</v>
      </c>
    </row>
    <row r="3149" spans="1:1" x14ac:dyDescent="0.25">
      <c r="A3149">
        <v>13588392</v>
      </c>
    </row>
    <row r="3150" spans="1:1" x14ac:dyDescent="0.25">
      <c r="A3150" s="21">
        <v>25113242.719999999</v>
      </c>
    </row>
    <row r="3151" spans="1:1" x14ac:dyDescent="0.25">
      <c r="A3151" s="21">
        <v>199482623.09</v>
      </c>
    </row>
    <row r="3152" spans="1:1" x14ac:dyDescent="0.25">
      <c r="A3152" s="21">
        <v>45166035.579999998</v>
      </c>
    </row>
    <row r="3153" spans="1:1" x14ac:dyDescent="0.25">
      <c r="A3153" s="21">
        <v>43892385.090000004</v>
      </c>
    </row>
    <row r="3154" spans="1:1" x14ac:dyDescent="0.25">
      <c r="A3154" s="21">
        <v>84448185.819999903</v>
      </c>
    </row>
    <row r="3155" spans="1:1" x14ac:dyDescent="0.25">
      <c r="A3155" s="21">
        <v>52027445.060000002</v>
      </c>
    </row>
    <row r="3156" spans="1:1" x14ac:dyDescent="0.25">
      <c r="A3156" s="21">
        <v>61717499.009999998</v>
      </c>
    </row>
    <row r="3157" spans="1:1" x14ac:dyDescent="0.25">
      <c r="A3157" s="21">
        <v>12776282.09</v>
      </c>
    </row>
    <row r="3158" spans="1:1" x14ac:dyDescent="0.25">
      <c r="A3158" s="21">
        <v>82189101.579999998</v>
      </c>
    </row>
    <row r="3159" spans="1:1" x14ac:dyDescent="0.25">
      <c r="A3159" s="21">
        <v>29333298.719999999</v>
      </c>
    </row>
    <row r="3160" spans="1:1" x14ac:dyDescent="0.25">
      <c r="A3160" s="21">
        <v>22926935.489999998</v>
      </c>
    </row>
    <row r="3161" spans="1:1" x14ac:dyDescent="0.25">
      <c r="A3161">
        <v>0</v>
      </c>
    </row>
    <row r="3162" spans="1:1" x14ac:dyDescent="0.25">
      <c r="A3162" s="21">
        <v>278953550.25999999</v>
      </c>
    </row>
    <row r="3163" spans="1:1" x14ac:dyDescent="0.25">
      <c r="A3163" s="21">
        <v>174461661.75</v>
      </c>
    </row>
    <row r="3164" spans="1:1" x14ac:dyDescent="0.25">
      <c r="A3164">
        <v>14250636</v>
      </c>
    </row>
    <row r="3165" spans="1:1" x14ac:dyDescent="0.25">
      <c r="A3165" s="21">
        <v>8846322.8900000006</v>
      </c>
    </row>
    <row r="3166" spans="1:1" x14ac:dyDescent="0.25">
      <c r="A3166" s="21">
        <v>34313641.710000001</v>
      </c>
    </row>
    <row r="3167" spans="1:1" x14ac:dyDescent="0.25">
      <c r="A3167" s="21">
        <v>61900536.5</v>
      </c>
    </row>
    <row r="3168" spans="1:1" x14ac:dyDescent="0.25">
      <c r="A3168" s="21">
        <v>17881966.870000001</v>
      </c>
    </row>
    <row r="3169" spans="1:1" x14ac:dyDescent="0.25">
      <c r="A3169" s="21">
        <v>46793814.560000002</v>
      </c>
    </row>
    <row r="3170" spans="1:1" x14ac:dyDescent="0.25">
      <c r="A3170" s="21">
        <v>67364185.009999901</v>
      </c>
    </row>
    <row r="3171" spans="1:1" x14ac:dyDescent="0.25">
      <c r="A3171" s="21">
        <v>212978929.19999999</v>
      </c>
    </row>
    <row r="3172" spans="1:1" x14ac:dyDescent="0.25">
      <c r="A3172" s="21">
        <v>6692309.7400000002</v>
      </c>
    </row>
    <row r="3173" spans="1:1" x14ac:dyDescent="0.25">
      <c r="A3173" s="21">
        <v>33072800.359999999</v>
      </c>
    </row>
    <row r="3174" spans="1:1" x14ac:dyDescent="0.25">
      <c r="A3174" s="21">
        <v>27355725.300000001</v>
      </c>
    </row>
    <row r="3175" spans="1:1" x14ac:dyDescent="0.25">
      <c r="A3175" s="21">
        <v>90469350.849999905</v>
      </c>
    </row>
    <row r="3176" spans="1:1" x14ac:dyDescent="0.25">
      <c r="A3176">
        <v>0</v>
      </c>
    </row>
    <row r="3177" spans="1:1" x14ac:dyDescent="0.25">
      <c r="A3177" s="21">
        <v>353552505.86000001</v>
      </c>
    </row>
    <row r="3178" spans="1:1" x14ac:dyDescent="0.25">
      <c r="A3178" s="21">
        <v>4113975.54</v>
      </c>
    </row>
    <row r="3179" spans="1:1" x14ac:dyDescent="0.25">
      <c r="A3179">
        <v>0</v>
      </c>
    </row>
    <row r="3180" spans="1:1" x14ac:dyDescent="0.25">
      <c r="A3180" s="21">
        <v>37857769.939999998</v>
      </c>
    </row>
    <row r="3181" spans="1:1" x14ac:dyDescent="0.25">
      <c r="A3181" s="21">
        <v>55420916.460000001</v>
      </c>
    </row>
    <row r="3182" spans="1:1" x14ac:dyDescent="0.25">
      <c r="A3182" s="21">
        <v>94795321.829999998</v>
      </c>
    </row>
    <row r="3183" spans="1:1" x14ac:dyDescent="0.25">
      <c r="A3183" s="21">
        <v>86497349.640000001</v>
      </c>
    </row>
    <row r="3184" spans="1:1" x14ac:dyDescent="0.25">
      <c r="A3184" s="21">
        <v>42835528.780000001</v>
      </c>
    </row>
    <row r="3185" spans="1:1" x14ac:dyDescent="0.25">
      <c r="A3185" s="21">
        <v>30180642.739999998</v>
      </c>
    </row>
    <row r="3186" spans="1:1" x14ac:dyDescent="0.25">
      <c r="A3186" s="21">
        <v>22086348.34</v>
      </c>
    </row>
    <row r="3187" spans="1:1" x14ac:dyDescent="0.25">
      <c r="A3187" s="21">
        <v>66610506.700000003</v>
      </c>
    </row>
    <row r="3188" spans="1:1" x14ac:dyDescent="0.25">
      <c r="A3188" s="21">
        <v>6974398.5</v>
      </c>
    </row>
    <row r="3189" spans="1:1" x14ac:dyDescent="0.25">
      <c r="A3189" s="21">
        <v>148504837.78</v>
      </c>
    </row>
    <row r="3190" spans="1:1" x14ac:dyDescent="0.25">
      <c r="A3190" s="21">
        <v>43583007.549999997</v>
      </c>
    </row>
    <row r="3191" spans="1:1" x14ac:dyDescent="0.25">
      <c r="A3191" s="21">
        <v>28604849.260000002</v>
      </c>
    </row>
    <row r="3192" spans="1:1" x14ac:dyDescent="0.25">
      <c r="A3192" s="21">
        <v>14853182.74</v>
      </c>
    </row>
    <row r="3193" spans="1:1" x14ac:dyDescent="0.25">
      <c r="A3193" s="21">
        <v>48425141.920000002</v>
      </c>
    </row>
    <row r="3194" spans="1:1" x14ac:dyDescent="0.25">
      <c r="A3194">
        <v>0</v>
      </c>
    </row>
    <row r="3195" spans="1:1" x14ac:dyDescent="0.25">
      <c r="A3195" s="21">
        <v>11064071.609999999</v>
      </c>
    </row>
    <row r="3196" spans="1:1" x14ac:dyDescent="0.25">
      <c r="A3196" s="21">
        <v>28590029.629999999</v>
      </c>
    </row>
    <row r="3197" spans="1:1" x14ac:dyDescent="0.25">
      <c r="A3197" s="21">
        <v>79630524.009999901</v>
      </c>
    </row>
    <row r="3198" spans="1:1" x14ac:dyDescent="0.25">
      <c r="A3198" s="21">
        <v>27017136.010000002</v>
      </c>
    </row>
    <row r="3199" spans="1:1" x14ac:dyDescent="0.25">
      <c r="A3199" s="21">
        <v>23154285.739999998</v>
      </c>
    </row>
    <row r="3200" spans="1:1" x14ac:dyDescent="0.25">
      <c r="A3200" s="21">
        <v>318539783.19999999</v>
      </c>
    </row>
    <row r="3201" spans="1:1" x14ac:dyDescent="0.25">
      <c r="A3201" s="21">
        <v>395921099.13</v>
      </c>
    </row>
    <row r="3202" spans="1:1" x14ac:dyDescent="0.25">
      <c r="A3202" s="21">
        <v>453651426.00999999</v>
      </c>
    </row>
    <row r="3203" spans="1:1" x14ac:dyDescent="0.25">
      <c r="A3203" s="21">
        <v>24225768.350000001</v>
      </c>
    </row>
    <row r="3204" spans="1:1" x14ac:dyDescent="0.25">
      <c r="A3204" s="21">
        <v>174320215.09999999</v>
      </c>
    </row>
    <row r="3205" spans="1:1" x14ac:dyDescent="0.25">
      <c r="A3205" s="21">
        <v>11697833.289999999</v>
      </c>
    </row>
    <row r="3206" spans="1:1" x14ac:dyDescent="0.25">
      <c r="A3206" s="21">
        <v>91199364.670000002</v>
      </c>
    </row>
    <row r="3207" spans="1:1" x14ac:dyDescent="0.25">
      <c r="A3207" s="21">
        <v>34740509.310000002</v>
      </c>
    </row>
    <row r="3208" spans="1:1" x14ac:dyDescent="0.25">
      <c r="A3208" s="21">
        <v>76377527.480000004</v>
      </c>
    </row>
    <row r="3209" spans="1:1" x14ac:dyDescent="0.25">
      <c r="A3209" s="21">
        <v>92927959.890000001</v>
      </c>
    </row>
    <row r="3210" spans="1:1" x14ac:dyDescent="0.25">
      <c r="A3210" s="21">
        <v>4077347.98</v>
      </c>
    </row>
    <row r="3211" spans="1:1" x14ac:dyDescent="0.25">
      <c r="A3211" s="21">
        <v>4184897.72</v>
      </c>
    </row>
    <row r="3212" spans="1:1" x14ac:dyDescent="0.25">
      <c r="A3212" s="21">
        <v>96983692.189999998</v>
      </c>
    </row>
    <row r="3213" spans="1:1" x14ac:dyDescent="0.25">
      <c r="A3213" s="21">
        <v>87761036.089999899</v>
      </c>
    </row>
    <row r="3214" spans="1:1" x14ac:dyDescent="0.25">
      <c r="A3214" s="21">
        <v>230248692.03999999</v>
      </c>
    </row>
    <row r="3215" spans="1:1" x14ac:dyDescent="0.25">
      <c r="A3215" s="21">
        <v>73268886.469999999</v>
      </c>
    </row>
    <row r="3216" spans="1:1" x14ac:dyDescent="0.25">
      <c r="A3216" s="21">
        <v>24258938.07</v>
      </c>
    </row>
    <row r="3217" spans="1:1" x14ac:dyDescent="0.25">
      <c r="A3217" s="21">
        <v>121106002.48999999</v>
      </c>
    </row>
    <row r="3218" spans="1:1" x14ac:dyDescent="0.25">
      <c r="A3218" s="21">
        <v>20201855.09</v>
      </c>
    </row>
    <row r="3219" spans="1:1" x14ac:dyDescent="0.25">
      <c r="A3219" s="21">
        <v>39976917.380000003</v>
      </c>
    </row>
    <row r="3220" spans="1:1" x14ac:dyDescent="0.25">
      <c r="A3220" s="21">
        <v>114654341.98</v>
      </c>
    </row>
    <row r="3221" spans="1:1" x14ac:dyDescent="0.25">
      <c r="A3221" s="21">
        <v>62636443.869999997</v>
      </c>
    </row>
    <row r="3222" spans="1:1" x14ac:dyDescent="0.25">
      <c r="A3222" s="21">
        <v>64878687.259999998</v>
      </c>
    </row>
    <row r="3223" spans="1:1" x14ac:dyDescent="0.25">
      <c r="A3223" s="21">
        <v>95505026.150000006</v>
      </c>
    </row>
    <row r="3224" spans="1:1" x14ac:dyDescent="0.25">
      <c r="A3224" s="21">
        <v>184908338.81</v>
      </c>
    </row>
    <row r="3225" spans="1:1" x14ac:dyDescent="0.25">
      <c r="A3225" s="21">
        <v>26740127.850000001</v>
      </c>
    </row>
    <row r="3226" spans="1:1" x14ac:dyDescent="0.25">
      <c r="A3226" s="21">
        <v>93926608.819999993</v>
      </c>
    </row>
    <row r="3227" spans="1:1" x14ac:dyDescent="0.25">
      <c r="A3227" s="21">
        <v>10960942.720000001</v>
      </c>
    </row>
    <row r="3228" spans="1:1" x14ac:dyDescent="0.25">
      <c r="A3228">
        <v>0</v>
      </c>
    </row>
    <row r="3229" spans="1:1" x14ac:dyDescent="0.25">
      <c r="A3229">
        <v>77430957</v>
      </c>
    </row>
    <row r="3230" spans="1:1" x14ac:dyDescent="0.25">
      <c r="A3230" s="21">
        <v>22878249.280000001</v>
      </c>
    </row>
    <row r="3231" spans="1:1" x14ac:dyDescent="0.25">
      <c r="A3231" s="21">
        <v>53297379.719999999</v>
      </c>
    </row>
    <row r="3232" spans="1:1" x14ac:dyDescent="0.25">
      <c r="A3232" s="21">
        <v>35124515.380000003</v>
      </c>
    </row>
    <row r="3233" spans="1:1" x14ac:dyDescent="0.25">
      <c r="A3233" s="21">
        <v>13112920.800000001</v>
      </c>
    </row>
    <row r="3234" spans="1:1" x14ac:dyDescent="0.25">
      <c r="A3234" s="21">
        <v>29075436.52</v>
      </c>
    </row>
    <row r="3235" spans="1:1" x14ac:dyDescent="0.25">
      <c r="A3235" s="21">
        <v>77814490.140000001</v>
      </c>
    </row>
    <row r="3236" spans="1:1" x14ac:dyDescent="0.25">
      <c r="A3236" s="21">
        <v>35457708.310000002</v>
      </c>
    </row>
    <row r="3237" spans="1:1" x14ac:dyDescent="0.25">
      <c r="A3237" s="21">
        <v>88160955.629999995</v>
      </c>
    </row>
    <row r="3238" spans="1:1" x14ac:dyDescent="0.25">
      <c r="A3238" s="21">
        <v>308661217.45999998</v>
      </c>
    </row>
    <row r="3239" spans="1:1" x14ac:dyDescent="0.25">
      <c r="A3239">
        <v>10219868</v>
      </c>
    </row>
    <row r="3240" spans="1:1" x14ac:dyDescent="0.25">
      <c r="A3240" s="21">
        <v>62910134.409999996</v>
      </c>
    </row>
    <row r="3241" spans="1:1" x14ac:dyDescent="0.25">
      <c r="A3241" s="21">
        <v>37454176.060000002</v>
      </c>
    </row>
    <row r="3242" spans="1:1" x14ac:dyDescent="0.25">
      <c r="A3242" s="21">
        <v>25521754.210000001</v>
      </c>
    </row>
    <row r="3243" spans="1:1" x14ac:dyDescent="0.25">
      <c r="A3243" s="21">
        <v>7017973.5</v>
      </c>
    </row>
    <row r="3244" spans="1:1" x14ac:dyDescent="0.25">
      <c r="A3244" s="21">
        <v>180918461.62</v>
      </c>
    </row>
    <row r="3245" spans="1:1" x14ac:dyDescent="0.25">
      <c r="A3245">
        <v>0</v>
      </c>
    </row>
    <row r="3246" spans="1:1" x14ac:dyDescent="0.25">
      <c r="A3246">
        <v>0</v>
      </c>
    </row>
    <row r="3247" spans="1:1" x14ac:dyDescent="0.25">
      <c r="A3247" s="21">
        <v>58487538.350000001</v>
      </c>
    </row>
    <row r="3248" spans="1:1" x14ac:dyDescent="0.25">
      <c r="A3248" s="21">
        <v>135567004.19</v>
      </c>
    </row>
    <row r="3249" spans="1:1" x14ac:dyDescent="0.25">
      <c r="A3249" s="21">
        <v>37111850.909999996</v>
      </c>
    </row>
    <row r="3250" spans="1:1" x14ac:dyDescent="0.25">
      <c r="A3250" s="21">
        <v>18225104.07</v>
      </c>
    </row>
    <row r="3251" spans="1:1" x14ac:dyDescent="0.25">
      <c r="A3251" s="21">
        <v>7214783.25</v>
      </c>
    </row>
    <row r="3252" spans="1:1" x14ac:dyDescent="0.25">
      <c r="A3252" s="21">
        <v>30148868.489999998</v>
      </c>
    </row>
    <row r="3253" spans="1:1" x14ac:dyDescent="0.25">
      <c r="A3253" s="21">
        <v>353560865.00999999</v>
      </c>
    </row>
    <row r="3254" spans="1:1" x14ac:dyDescent="0.25">
      <c r="A3254" s="21">
        <v>3393887.01</v>
      </c>
    </row>
    <row r="3255" spans="1:1" x14ac:dyDescent="0.25">
      <c r="A3255" s="21">
        <v>54832715.009999998</v>
      </c>
    </row>
    <row r="3256" spans="1:1" x14ac:dyDescent="0.25">
      <c r="A3256" s="21">
        <v>85536451.049999997</v>
      </c>
    </row>
    <row r="3257" spans="1:1" x14ac:dyDescent="0.25">
      <c r="A3257" s="21">
        <v>15844129.890000001</v>
      </c>
    </row>
    <row r="3258" spans="1:1" x14ac:dyDescent="0.25">
      <c r="A3258" s="21">
        <v>232068836.03999999</v>
      </c>
    </row>
    <row r="3259" spans="1:1" x14ac:dyDescent="0.25">
      <c r="A3259" s="21">
        <v>5962172.25</v>
      </c>
    </row>
    <row r="3260" spans="1:1" x14ac:dyDescent="0.25">
      <c r="A3260" s="21">
        <v>12630881.76</v>
      </c>
    </row>
    <row r="3261" spans="1:1" x14ac:dyDescent="0.25">
      <c r="A3261" s="21">
        <v>39371457.079999998</v>
      </c>
    </row>
    <row r="3262" spans="1:1" x14ac:dyDescent="0.25">
      <c r="A3262" s="21">
        <v>123251544.70999999</v>
      </c>
    </row>
    <row r="3263" spans="1:1" x14ac:dyDescent="0.25">
      <c r="A3263" s="21">
        <v>99612360.909999996</v>
      </c>
    </row>
    <row r="3264" spans="1:1" x14ac:dyDescent="0.25">
      <c r="A3264" s="21">
        <v>32456687.25</v>
      </c>
    </row>
    <row r="3265" spans="1:1" x14ac:dyDescent="0.25">
      <c r="A3265" s="21">
        <v>318879170.87</v>
      </c>
    </row>
    <row r="3266" spans="1:1" x14ac:dyDescent="0.25">
      <c r="A3266" s="21">
        <v>445319238.99000001</v>
      </c>
    </row>
    <row r="3267" spans="1:1" x14ac:dyDescent="0.25">
      <c r="A3267">
        <v>6773868</v>
      </c>
    </row>
    <row r="3268" spans="1:1" x14ac:dyDescent="0.25">
      <c r="A3268" s="21">
        <v>44978464.5</v>
      </c>
    </row>
    <row r="3269" spans="1:1" x14ac:dyDescent="0.25">
      <c r="A3269" s="21">
        <v>76734448.75</v>
      </c>
    </row>
    <row r="3270" spans="1:1" x14ac:dyDescent="0.25">
      <c r="A3270" s="21">
        <v>71862363.359999999</v>
      </c>
    </row>
    <row r="3271" spans="1:1" x14ac:dyDescent="0.25">
      <c r="A3271" s="21">
        <v>13819651.4</v>
      </c>
    </row>
    <row r="3272" spans="1:1" x14ac:dyDescent="0.25">
      <c r="A3272" s="21">
        <v>20987245.710000001</v>
      </c>
    </row>
    <row r="3273" spans="1:1" x14ac:dyDescent="0.25">
      <c r="A3273" s="21">
        <v>7812385.5899999999</v>
      </c>
    </row>
    <row r="3274" spans="1:1" x14ac:dyDescent="0.25">
      <c r="A3274" s="21">
        <v>12773518.27</v>
      </c>
    </row>
    <row r="3275" spans="1:1" x14ac:dyDescent="0.25">
      <c r="A3275" s="21">
        <v>57374127.789999999</v>
      </c>
    </row>
    <row r="3276" spans="1:1" x14ac:dyDescent="0.25">
      <c r="A3276" s="21">
        <v>47445702.25</v>
      </c>
    </row>
    <row r="3277" spans="1:1" x14ac:dyDescent="0.25">
      <c r="A3277" s="21">
        <v>196952389.25</v>
      </c>
    </row>
    <row r="3278" spans="1:1" x14ac:dyDescent="0.25">
      <c r="A3278" s="21">
        <v>14973125.73</v>
      </c>
    </row>
    <row r="3279" spans="1:1" x14ac:dyDescent="0.25">
      <c r="A3279" s="21">
        <v>23212084.370000001</v>
      </c>
    </row>
    <row r="3280" spans="1:1" x14ac:dyDescent="0.25">
      <c r="A3280" s="21">
        <v>83793566.609999999</v>
      </c>
    </row>
    <row r="3281" spans="1:1" x14ac:dyDescent="0.25">
      <c r="A3281">
        <v>13662438</v>
      </c>
    </row>
    <row r="3282" spans="1:1" x14ac:dyDescent="0.25">
      <c r="A3282">
        <v>0</v>
      </c>
    </row>
    <row r="3283" spans="1:1" x14ac:dyDescent="0.25">
      <c r="A3283" s="21">
        <v>104803066.45999999</v>
      </c>
    </row>
    <row r="3284" spans="1:1" x14ac:dyDescent="0.25">
      <c r="A3284">
        <v>0</v>
      </c>
    </row>
    <row r="3285" spans="1:1" x14ac:dyDescent="0.25">
      <c r="A3285">
        <v>0</v>
      </c>
    </row>
    <row r="3286" spans="1:1" x14ac:dyDescent="0.25">
      <c r="A3286" s="21">
        <v>11432145.34</v>
      </c>
    </row>
    <row r="3287" spans="1:1" x14ac:dyDescent="0.25">
      <c r="A3287" s="21">
        <v>63102115.219999999</v>
      </c>
    </row>
    <row r="3288" spans="1:1" x14ac:dyDescent="0.25">
      <c r="A3288" s="21">
        <v>4268531.1399999997</v>
      </c>
    </row>
    <row r="3289" spans="1:1" x14ac:dyDescent="0.25">
      <c r="A3289" s="21">
        <v>269752555.86000001</v>
      </c>
    </row>
    <row r="3290" spans="1:1" x14ac:dyDescent="0.25">
      <c r="A3290" s="21">
        <v>186518153.87</v>
      </c>
    </row>
    <row r="3291" spans="1:1" x14ac:dyDescent="0.25">
      <c r="A3291" s="21">
        <v>23149025.719999999</v>
      </c>
    </row>
    <row r="3292" spans="1:1" x14ac:dyDescent="0.25">
      <c r="A3292" s="21">
        <v>50776167.780000001</v>
      </c>
    </row>
    <row r="3293" spans="1:1" x14ac:dyDescent="0.25">
      <c r="A3293" s="21">
        <v>102913534.48999999</v>
      </c>
    </row>
    <row r="3294" spans="1:1" x14ac:dyDescent="0.25">
      <c r="A3294" s="21">
        <v>49813266.460000001</v>
      </c>
    </row>
    <row r="3295" spans="1:1" x14ac:dyDescent="0.25">
      <c r="A3295" s="21">
        <v>178570484.47</v>
      </c>
    </row>
    <row r="3296" spans="1:1" x14ac:dyDescent="0.25">
      <c r="A3296" s="21">
        <v>19197473.510000002</v>
      </c>
    </row>
    <row r="3297" spans="1:1" x14ac:dyDescent="0.25">
      <c r="A3297" s="21">
        <v>247367199.34999999</v>
      </c>
    </row>
    <row r="3298" spans="1:1" x14ac:dyDescent="0.25">
      <c r="A3298" s="21">
        <v>44076176.82</v>
      </c>
    </row>
    <row r="3299" spans="1:1" x14ac:dyDescent="0.25">
      <c r="A3299" s="21">
        <v>14451318.710000001</v>
      </c>
    </row>
    <row r="3300" spans="1:1" x14ac:dyDescent="0.25">
      <c r="A3300" s="21">
        <v>62117255.479999997</v>
      </c>
    </row>
    <row r="3301" spans="1:1" x14ac:dyDescent="0.25">
      <c r="A3301" s="21">
        <v>83547004.030000001</v>
      </c>
    </row>
    <row r="3302" spans="1:1" x14ac:dyDescent="0.25">
      <c r="A3302" s="21">
        <v>48388084.82</v>
      </c>
    </row>
    <row r="3303" spans="1:1" x14ac:dyDescent="0.25">
      <c r="A3303" s="21">
        <v>6774455.25</v>
      </c>
    </row>
    <row r="3304" spans="1:1" x14ac:dyDescent="0.25">
      <c r="A3304" s="21">
        <v>38836505.990000002</v>
      </c>
    </row>
    <row r="3305" spans="1:1" x14ac:dyDescent="0.25">
      <c r="A3305">
        <v>0</v>
      </c>
    </row>
    <row r="3306" spans="1:1" x14ac:dyDescent="0.25">
      <c r="A3306">
        <v>0</v>
      </c>
    </row>
    <row r="3307" spans="1:1" x14ac:dyDescent="0.25">
      <c r="A3307" s="21">
        <v>133661108.20999999</v>
      </c>
    </row>
    <row r="3308" spans="1:1" x14ac:dyDescent="0.25">
      <c r="A3308" s="21">
        <v>6899972.25</v>
      </c>
    </row>
    <row r="3309" spans="1:1" x14ac:dyDescent="0.25">
      <c r="A3309" s="21">
        <v>27510281.25</v>
      </c>
    </row>
    <row r="3310" spans="1:1" x14ac:dyDescent="0.25">
      <c r="A3310" s="21">
        <v>82481876.260000005</v>
      </c>
    </row>
    <row r="3311" spans="1:1" x14ac:dyDescent="0.25">
      <c r="A3311" s="21">
        <v>162624937.88</v>
      </c>
    </row>
    <row r="3312" spans="1:1" x14ac:dyDescent="0.25">
      <c r="A3312" s="21">
        <v>14108042.52</v>
      </c>
    </row>
    <row r="3313" spans="1:1" x14ac:dyDescent="0.25">
      <c r="A3313" s="21">
        <v>6014379.75</v>
      </c>
    </row>
    <row r="3314" spans="1:1" x14ac:dyDescent="0.25">
      <c r="A3314" s="21">
        <v>100598595.67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 s="21">
        <v>62533771.979999997</v>
      </c>
    </row>
    <row r="3318" spans="1:1" x14ac:dyDescent="0.25">
      <c r="A3318" s="21">
        <v>109788602.75</v>
      </c>
    </row>
    <row r="3319" spans="1:1" x14ac:dyDescent="0.25">
      <c r="A3319" s="21">
        <v>25253649.140000001</v>
      </c>
    </row>
    <row r="3320" spans="1:1" x14ac:dyDescent="0.25">
      <c r="A3320" s="21">
        <v>23647451.34</v>
      </c>
    </row>
    <row r="3321" spans="1:1" x14ac:dyDescent="0.25">
      <c r="A3321">
        <v>0</v>
      </c>
    </row>
    <row r="3322" spans="1:1" x14ac:dyDescent="0.25">
      <c r="A3322" s="21">
        <v>32581967.25</v>
      </c>
    </row>
    <row r="3323" spans="1:1" x14ac:dyDescent="0.25">
      <c r="A3323" s="21">
        <v>23125688.43</v>
      </c>
    </row>
    <row r="3324" spans="1:1" x14ac:dyDescent="0.25">
      <c r="A3324" s="21">
        <v>7552400.1299999999</v>
      </c>
    </row>
    <row r="3325" spans="1:1" x14ac:dyDescent="0.25">
      <c r="A3325" s="21">
        <v>54563017.899999999</v>
      </c>
    </row>
    <row r="3326" spans="1:1" x14ac:dyDescent="0.25">
      <c r="A3326" s="21">
        <v>35848296.380000003</v>
      </c>
    </row>
    <row r="3327" spans="1:1" x14ac:dyDescent="0.25">
      <c r="A3327" s="21">
        <v>32909799.350000001</v>
      </c>
    </row>
    <row r="3328" spans="1:1" x14ac:dyDescent="0.25">
      <c r="A3328" s="21">
        <v>60039553.729999997</v>
      </c>
    </row>
    <row r="3329" spans="1:1" x14ac:dyDescent="0.25">
      <c r="A3329" s="21">
        <v>32141987.690000001</v>
      </c>
    </row>
    <row r="3330" spans="1:1" x14ac:dyDescent="0.25">
      <c r="A3330" s="21">
        <v>10601617.699999999</v>
      </c>
    </row>
    <row r="3331" spans="1:1" x14ac:dyDescent="0.25">
      <c r="A3331" s="21">
        <v>28675116.649999999</v>
      </c>
    </row>
    <row r="3332" spans="1:1" x14ac:dyDescent="0.25">
      <c r="A3332" s="21">
        <v>48689748.780000001</v>
      </c>
    </row>
    <row r="3333" spans="1:1" x14ac:dyDescent="0.25">
      <c r="A3333" s="21">
        <v>251268833.09</v>
      </c>
    </row>
    <row r="3334" spans="1:1" x14ac:dyDescent="0.25">
      <c r="A3334" s="21">
        <v>55576343.599999897</v>
      </c>
    </row>
    <row r="3335" spans="1:1" x14ac:dyDescent="0.25">
      <c r="A3335">
        <v>0</v>
      </c>
    </row>
    <row r="3336" spans="1:1" x14ac:dyDescent="0.25">
      <c r="A3336" s="21">
        <v>21490554.559999999</v>
      </c>
    </row>
    <row r="3337" spans="1:1" x14ac:dyDescent="0.25">
      <c r="A3337" s="21">
        <v>4297256.72</v>
      </c>
    </row>
    <row r="3338" spans="1:1" x14ac:dyDescent="0.25">
      <c r="A3338" s="21">
        <v>6661696.7699999996</v>
      </c>
    </row>
    <row r="3339" spans="1:1" x14ac:dyDescent="0.25">
      <c r="A3339" s="21">
        <v>194240712.53999999</v>
      </c>
    </row>
    <row r="3340" spans="1:1" x14ac:dyDescent="0.25">
      <c r="A3340" s="21">
        <v>3690515.44</v>
      </c>
    </row>
    <row r="3341" spans="1:1" x14ac:dyDescent="0.25">
      <c r="A3341" s="21">
        <v>225285738.44</v>
      </c>
    </row>
    <row r="3342" spans="1:1" x14ac:dyDescent="0.25">
      <c r="A3342" s="21">
        <v>165763550.88</v>
      </c>
    </row>
    <row r="3343" spans="1:1" x14ac:dyDescent="0.25">
      <c r="A3343" s="21">
        <v>92499277.909999996</v>
      </c>
    </row>
    <row r="3344" spans="1:1" x14ac:dyDescent="0.25">
      <c r="A3344" s="21">
        <v>30316384.620000001</v>
      </c>
    </row>
    <row r="3345" spans="1:1" x14ac:dyDescent="0.25">
      <c r="A3345" s="21">
        <v>87879348.200000003</v>
      </c>
    </row>
    <row r="3346" spans="1:1" x14ac:dyDescent="0.25">
      <c r="A3346" s="21">
        <v>36607896.18</v>
      </c>
    </row>
    <row r="3347" spans="1:1" x14ac:dyDescent="0.25">
      <c r="A3347" s="21">
        <v>69825683.789999902</v>
      </c>
    </row>
    <row r="3348" spans="1:1" x14ac:dyDescent="0.25">
      <c r="A3348" s="21">
        <v>423019353.94999897</v>
      </c>
    </row>
    <row r="3349" spans="1:1" x14ac:dyDescent="0.25">
      <c r="A3349" s="21">
        <v>69343295.909999996</v>
      </c>
    </row>
    <row r="3350" spans="1:1" x14ac:dyDescent="0.25">
      <c r="A3350" s="21">
        <v>9632665.8100000005</v>
      </c>
    </row>
    <row r="3351" spans="1:1" x14ac:dyDescent="0.25">
      <c r="A3351" s="21">
        <v>37536307.700000003</v>
      </c>
    </row>
    <row r="3352" spans="1:1" x14ac:dyDescent="0.25">
      <c r="A3352" s="21">
        <v>20462727.57</v>
      </c>
    </row>
    <row r="3353" spans="1:1" x14ac:dyDescent="0.25">
      <c r="A3353" s="21">
        <v>23040478.030000001</v>
      </c>
    </row>
    <row r="3354" spans="1:1" x14ac:dyDescent="0.25">
      <c r="A3354" s="21">
        <v>181697125.78999999</v>
      </c>
    </row>
    <row r="3355" spans="1:1" x14ac:dyDescent="0.25">
      <c r="A3355" s="21">
        <v>106178243.52</v>
      </c>
    </row>
    <row r="3356" spans="1:1" x14ac:dyDescent="0.25">
      <c r="A3356" s="21">
        <v>17404042.379999999</v>
      </c>
    </row>
    <row r="3357" spans="1:1" x14ac:dyDescent="0.25">
      <c r="A3357" s="21">
        <v>62676585.82</v>
      </c>
    </row>
    <row r="3358" spans="1:1" x14ac:dyDescent="0.25">
      <c r="A3358" s="21">
        <v>51391674.960000001</v>
      </c>
    </row>
    <row r="3359" spans="1:1" x14ac:dyDescent="0.25">
      <c r="A3359" s="21">
        <v>101161661.36</v>
      </c>
    </row>
    <row r="3360" spans="1:1" x14ac:dyDescent="0.25">
      <c r="A3360" s="21">
        <v>16045956.300000001</v>
      </c>
    </row>
    <row r="3361" spans="1:1" x14ac:dyDescent="0.25">
      <c r="A3361" s="21">
        <v>36416073.619999997</v>
      </c>
    </row>
    <row r="3362" spans="1:1" x14ac:dyDescent="0.25">
      <c r="A3362" s="21">
        <v>16139397.41</v>
      </c>
    </row>
    <row r="3363" spans="1:1" x14ac:dyDescent="0.25">
      <c r="A3363" s="21">
        <v>96977957.489999905</v>
      </c>
    </row>
    <row r="3364" spans="1:1" x14ac:dyDescent="0.25">
      <c r="A3364" s="21">
        <v>70516616.359999999</v>
      </c>
    </row>
    <row r="3365" spans="1:1" x14ac:dyDescent="0.25">
      <c r="A3365" s="21">
        <v>19252309.300000001</v>
      </c>
    </row>
    <row r="3366" spans="1:1" x14ac:dyDescent="0.25">
      <c r="A3366" s="21">
        <v>51549960.049999997</v>
      </c>
    </row>
    <row r="3367" spans="1:1" x14ac:dyDescent="0.25">
      <c r="A3367" s="21">
        <v>25958916.34</v>
      </c>
    </row>
    <row r="3368" spans="1:1" x14ac:dyDescent="0.25">
      <c r="A3368" s="21">
        <v>16879826.57</v>
      </c>
    </row>
    <row r="3369" spans="1:1" x14ac:dyDescent="0.25">
      <c r="A3369" s="21">
        <v>94705504.819999903</v>
      </c>
    </row>
    <row r="3370" spans="1:1" x14ac:dyDescent="0.25">
      <c r="A3370" s="21">
        <v>32430772.77</v>
      </c>
    </row>
    <row r="3371" spans="1:1" x14ac:dyDescent="0.25">
      <c r="A3371" s="21">
        <v>156810846.71000001</v>
      </c>
    </row>
    <row r="3372" spans="1:1" x14ac:dyDescent="0.25">
      <c r="A3372" s="21">
        <v>12897636.539999999</v>
      </c>
    </row>
    <row r="3373" spans="1:1" x14ac:dyDescent="0.25">
      <c r="A3373" s="21">
        <v>26744262.989999998</v>
      </c>
    </row>
    <row r="3374" spans="1:1" x14ac:dyDescent="0.25">
      <c r="A3374" s="21">
        <v>177174643.27000001</v>
      </c>
    </row>
    <row r="3375" spans="1:1" x14ac:dyDescent="0.25">
      <c r="A3375" s="21">
        <v>43439371.049999997</v>
      </c>
    </row>
    <row r="3376" spans="1:1" x14ac:dyDescent="0.25">
      <c r="A3376" s="21">
        <v>88678760.689999998</v>
      </c>
    </row>
    <row r="3377" spans="1:1" x14ac:dyDescent="0.25">
      <c r="A3377" s="21">
        <v>79684865.879999995</v>
      </c>
    </row>
    <row r="3378" spans="1:1" x14ac:dyDescent="0.25">
      <c r="A3378" s="21">
        <v>25694245.949999999</v>
      </c>
    </row>
    <row r="3379" spans="1:1" x14ac:dyDescent="0.25">
      <c r="A3379" s="21">
        <v>16207264.73</v>
      </c>
    </row>
    <row r="3380" spans="1:1" x14ac:dyDescent="0.25">
      <c r="A3380" s="21">
        <v>49425785.799999997</v>
      </c>
    </row>
    <row r="3381" spans="1:1" x14ac:dyDescent="0.25">
      <c r="A3381" s="21">
        <v>100099164.89</v>
      </c>
    </row>
    <row r="3382" spans="1:1" x14ac:dyDescent="0.25">
      <c r="A3382" s="21">
        <v>94688375.9799999</v>
      </c>
    </row>
    <row r="3383" spans="1:1" x14ac:dyDescent="0.25">
      <c r="A3383" s="21">
        <v>163555862.77000001</v>
      </c>
    </row>
    <row r="3384" spans="1:1" x14ac:dyDescent="0.25">
      <c r="A3384" s="21">
        <v>10455024.810000001</v>
      </c>
    </row>
    <row r="3385" spans="1:1" x14ac:dyDescent="0.25">
      <c r="A3385" s="21">
        <v>68536510.670000002</v>
      </c>
    </row>
    <row r="3386" spans="1:1" x14ac:dyDescent="0.25">
      <c r="A3386" s="21">
        <v>5885468.25</v>
      </c>
    </row>
    <row r="3387" spans="1:1" x14ac:dyDescent="0.25">
      <c r="A3387" s="21">
        <v>36723202.490000002</v>
      </c>
    </row>
    <row r="3388" spans="1:1" x14ac:dyDescent="0.25">
      <c r="A3388" s="21">
        <v>70109288.769999996</v>
      </c>
    </row>
    <row r="3389" spans="1:1" x14ac:dyDescent="0.25">
      <c r="A3389" s="21">
        <v>24554767.309999999</v>
      </c>
    </row>
    <row r="3390" spans="1:1" x14ac:dyDescent="0.25">
      <c r="A3390" s="21">
        <v>41849036.729999997</v>
      </c>
    </row>
    <row r="3391" spans="1:1" x14ac:dyDescent="0.25">
      <c r="A3391" s="21">
        <v>33351329.149999999</v>
      </c>
    </row>
    <row r="3392" spans="1:1" x14ac:dyDescent="0.25">
      <c r="A3392" s="21">
        <v>16826523.649999999</v>
      </c>
    </row>
    <row r="3393" spans="1:1" x14ac:dyDescent="0.25">
      <c r="A3393" s="21">
        <v>12434446.5</v>
      </c>
    </row>
    <row r="3394" spans="1:1" x14ac:dyDescent="0.25">
      <c r="A3394" s="21">
        <v>25547252.079999998</v>
      </c>
    </row>
    <row r="3395" spans="1:1" x14ac:dyDescent="0.25">
      <c r="A3395" s="21">
        <v>41279988.479999997</v>
      </c>
    </row>
    <row r="3396" spans="1:1" x14ac:dyDescent="0.25">
      <c r="A3396" s="21">
        <v>3014321.29</v>
      </c>
    </row>
    <row r="3397" spans="1:1" x14ac:dyDescent="0.25">
      <c r="A3397" s="21">
        <v>158237161.18000001</v>
      </c>
    </row>
    <row r="3398" spans="1:1" x14ac:dyDescent="0.25">
      <c r="A3398" s="21">
        <v>20769758.760000002</v>
      </c>
    </row>
    <row r="3399" spans="1:1" x14ac:dyDescent="0.25">
      <c r="A3399" s="21">
        <v>65623439.289999999</v>
      </c>
    </row>
    <row r="3400" spans="1:1" x14ac:dyDescent="0.25">
      <c r="A3400" s="21">
        <v>183870944.25</v>
      </c>
    </row>
    <row r="3401" spans="1:1" x14ac:dyDescent="0.25">
      <c r="A3401" s="21">
        <v>15299204.640000001</v>
      </c>
    </row>
    <row r="3402" spans="1:1" x14ac:dyDescent="0.25">
      <c r="A3402" s="21">
        <v>115652551.68000001</v>
      </c>
    </row>
    <row r="3403" spans="1:1" x14ac:dyDescent="0.25">
      <c r="A3403" s="21">
        <v>20747334.91</v>
      </c>
    </row>
    <row r="3404" spans="1:1" x14ac:dyDescent="0.25">
      <c r="A3404" s="21">
        <v>312279009.68000001</v>
      </c>
    </row>
    <row r="3405" spans="1:1" x14ac:dyDescent="0.25">
      <c r="A3405" s="21">
        <v>53605084.990000002</v>
      </c>
    </row>
    <row r="3406" spans="1:1" x14ac:dyDescent="0.25">
      <c r="A3406" s="21">
        <v>43451445.25</v>
      </c>
    </row>
    <row r="3407" spans="1:1" x14ac:dyDescent="0.25">
      <c r="A3407" s="21">
        <v>116230963.40000001</v>
      </c>
    </row>
    <row r="3408" spans="1:1" x14ac:dyDescent="0.25">
      <c r="A3408" s="21">
        <v>27221065.879999999</v>
      </c>
    </row>
    <row r="3409" spans="1:1" x14ac:dyDescent="0.25">
      <c r="A3409" s="21">
        <v>7074721.5</v>
      </c>
    </row>
    <row r="3410" spans="1:1" x14ac:dyDescent="0.25">
      <c r="A3410" s="21">
        <v>109977201.18000001</v>
      </c>
    </row>
    <row r="3411" spans="1:1" x14ac:dyDescent="0.25">
      <c r="A3411" s="21">
        <v>52136347.219999999</v>
      </c>
    </row>
    <row r="3412" spans="1:1" x14ac:dyDescent="0.25">
      <c r="A3412" s="21">
        <v>57292413.969999999</v>
      </c>
    </row>
    <row r="3413" spans="1:1" x14ac:dyDescent="0.25">
      <c r="A3413" s="21">
        <v>49671512.899999999</v>
      </c>
    </row>
    <row r="3414" spans="1:1" x14ac:dyDescent="0.25">
      <c r="A3414" s="21">
        <v>43107455.649999999</v>
      </c>
    </row>
    <row r="3415" spans="1:1" x14ac:dyDescent="0.25">
      <c r="A3415">
        <v>0</v>
      </c>
    </row>
    <row r="3416" spans="1:1" x14ac:dyDescent="0.25">
      <c r="A3416" s="21">
        <v>10477263.289999999</v>
      </c>
    </row>
    <row r="3417" spans="1:1" x14ac:dyDescent="0.25">
      <c r="A3417" s="21">
        <v>102618291.09</v>
      </c>
    </row>
    <row r="3418" spans="1:1" x14ac:dyDescent="0.25">
      <c r="A3418" s="21">
        <v>28822931.5</v>
      </c>
    </row>
    <row r="3419" spans="1:1" x14ac:dyDescent="0.25">
      <c r="A3419" s="21">
        <v>104576017.17</v>
      </c>
    </row>
    <row r="3420" spans="1:1" x14ac:dyDescent="0.25">
      <c r="A3420" s="21">
        <v>96796443.340000004</v>
      </c>
    </row>
    <row r="3421" spans="1:1" x14ac:dyDescent="0.25">
      <c r="A3421" s="21">
        <v>120844971.58</v>
      </c>
    </row>
    <row r="3422" spans="1:1" x14ac:dyDescent="0.25">
      <c r="A3422" s="21">
        <v>167207288.66</v>
      </c>
    </row>
    <row r="3423" spans="1:1" x14ac:dyDescent="0.25">
      <c r="A3423" s="21">
        <v>75107592.689999998</v>
      </c>
    </row>
    <row r="3424" spans="1:1" x14ac:dyDescent="0.25">
      <c r="A3424" s="21">
        <v>21102229.43</v>
      </c>
    </row>
    <row r="3425" spans="1:1" x14ac:dyDescent="0.25">
      <c r="A3425">
        <v>0</v>
      </c>
    </row>
    <row r="3426" spans="1:1" x14ac:dyDescent="0.25">
      <c r="A3426" s="21">
        <v>135065566.03</v>
      </c>
    </row>
    <row r="3427" spans="1:1" x14ac:dyDescent="0.25">
      <c r="A3427" s="21">
        <v>50581162.450000003</v>
      </c>
    </row>
    <row r="3428" spans="1:1" x14ac:dyDescent="0.25">
      <c r="A3428" s="21">
        <v>74302306.670000002</v>
      </c>
    </row>
    <row r="3429" spans="1:1" x14ac:dyDescent="0.25">
      <c r="A3429" s="21">
        <v>49774222.700000003</v>
      </c>
    </row>
    <row r="3430" spans="1:1" x14ac:dyDescent="0.25">
      <c r="A3430" s="21">
        <v>88776659.769999996</v>
      </c>
    </row>
    <row r="3431" spans="1:1" x14ac:dyDescent="0.25">
      <c r="A3431" s="21">
        <v>721408946.34000003</v>
      </c>
    </row>
    <row r="3432" spans="1:1" x14ac:dyDescent="0.25">
      <c r="A3432" s="21">
        <v>31771443.870000001</v>
      </c>
    </row>
    <row r="3433" spans="1:1" x14ac:dyDescent="0.25">
      <c r="A3433" s="21">
        <v>39235022.75</v>
      </c>
    </row>
    <row r="3434" spans="1:1" x14ac:dyDescent="0.25">
      <c r="A3434" s="21">
        <v>11245259.23</v>
      </c>
    </row>
    <row r="3435" spans="1:1" x14ac:dyDescent="0.25">
      <c r="A3435" s="21">
        <v>51145370.210000001</v>
      </c>
    </row>
    <row r="3436" spans="1:1" x14ac:dyDescent="0.25">
      <c r="A3436" s="21">
        <v>52921307.399999999</v>
      </c>
    </row>
    <row r="3437" spans="1:1" x14ac:dyDescent="0.25">
      <c r="A3437" s="21">
        <v>71056433.950000003</v>
      </c>
    </row>
    <row r="3438" spans="1:1" x14ac:dyDescent="0.25">
      <c r="A3438" s="21">
        <v>9989654.0199999996</v>
      </c>
    </row>
    <row r="3439" spans="1:1" x14ac:dyDescent="0.25">
      <c r="A3439" s="21">
        <v>129241531.23999999</v>
      </c>
    </row>
    <row r="3440" spans="1:1" x14ac:dyDescent="0.25">
      <c r="A3440">
        <v>83855078</v>
      </c>
    </row>
    <row r="3441" spans="1:1" x14ac:dyDescent="0.25">
      <c r="A3441">
        <v>0</v>
      </c>
    </row>
    <row r="3442" spans="1:1" x14ac:dyDescent="0.25">
      <c r="A3442" s="21">
        <v>44976071.670000002</v>
      </c>
    </row>
    <row r="3443" spans="1:1" x14ac:dyDescent="0.25">
      <c r="A3443">
        <v>0</v>
      </c>
    </row>
    <row r="3444" spans="1:1" x14ac:dyDescent="0.25">
      <c r="A3444" s="21">
        <v>16057766.720000001</v>
      </c>
    </row>
    <row r="3445" spans="1:1" x14ac:dyDescent="0.25">
      <c r="A3445" s="21">
        <v>237969150.53</v>
      </c>
    </row>
    <row r="3446" spans="1:1" x14ac:dyDescent="0.25">
      <c r="A3446" s="21">
        <v>189336913.44999999</v>
      </c>
    </row>
    <row r="3447" spans="1:1" x14ac:dyDescent="0.25">
      <c r="A3447" s="21">
        <v>33882075.759999998</v>
      </c>
    </row>
    <row r="3448" spans="1:1" x14ac:dyDescent="0.25">
      <c r="A3448" s="21">
        <v>49575893.630000003</v>
      </c>
    </row>
    <row r="3449" spans="1:1" x14ac:dyDescent="0.25">
      <c r="A3449" s="21">
        <v>42491077.740000002</v>
      </c>
    </row>
    <row r="3450" spans="1:1" x14ac:dyDescent="0.25">
      <c r="A3450" s="21">
        <v>111281066.69</v>
      </c>
    </row>
    <row r="3451" spans="1:1" x14ac:dyDescent="0.25">
      <c r="A3451">
        <v>27551979</v>
      </c>
    </row>
    <row r="3452" spans="1:1" x14ac:dyDescent="0.25">
      <c r="A3452" s="21">
        <v>320096455.13</v>
      </c>
    </row>
    <row r="3453" spans="1:1" x14ac:dyDescent="0.25">
      <c r="A3453" s="21">
        <v>30655089.07</v>
      </c>
    </row>
    <row r="3454" spans="1:1" x14ac:dyDescent="0.25">
      <c r="A3454" s="21">
        <v>256203081.38</v>
      </c>
    </row>
    <row r="3455" spans="1:1" x14ac:dyDescent="0.25">
      <c r="A3455" s="21">
        <v>2988896.13</v>
      </c>
    </row>
    <row r="3456" spans="1:1" x14ac:dyDescent="0.25">
      <c r="A3456" s="21">
        <v>7203411.2000000002</v>
      </c>
    </row>
    <row r="3457" spans="1:1" x14ac:dyDescent="0.25">
      <c r="A3457" s="21">
        <v>84060606.280000001</v>
      </c>
    </row>
    <row r="3458" spans="1:1" x14ac:dyDescent="0.25">
      <c r="A3458" s="21">
        <v>4063282.67</v>
      </c>
    </row>
    <row r="3459" spans="1:1" x14ac:dyDescent="0.25">
      <c r="A3459" s="21">
        <v>99546512.4799999</v>
      </c>
    </row>
    <row r="3460" spans="1:1" x14ac:dyDescent="0.25">
      <c r="A3460" s="21">
        <v>13113781.5</v>
      </c>
    </row>
    <row r="3461" spans="1:1" x14ac:dyDescent="0.25">
      <c r="A3461" s="21">
        <v>26580909.879999999</v>
      </c>
    </row>
    <row r="3462" spans="1:1" x14ac:dyDescent="0.25">
      <c r="A3462" s="21">
        <v>137031580.52000001</v>
      </c>
    </row>
    <row r="3463" spans="1:1" x14ac:dyDescent="0.25">
      <c r="A3463" s="21">
        <v>63865496.07</v>
      </c>
    </row>
    <row r="3464" spans="1:1" x14ac:dyDescent="0.25">
      <c r="A3464">
        <v>0</v>
      </c>
    </row>
    <row r="3465" spans="1:1" x14ac:dyDescent="0.25">
      <c r="A3465" s="21">
        <v>55299515.82</v>
      </c>
    </row>
    <row r="3466" spans="1:1" x14ac:dyDescent="0.25">
      <c r="A3466" s="21">
        <v>54082571.759999998</v>
      </c>
    </row>
    <row r="3467" spans="1:1" x14ac:dyDescent="0.25">
      <c r="A3467" s="21">
        <v>102076128.64</v>
      </c>
    </row>
    <row r="3468" spans="1:1" x14ac:dyDescent="0.25">
      <c r="A3468" s="21">
        <v>181712305.53</v>
      </c>
    </row>
    <row r="3469" spans="1:1" x14ac:dyDescent="0.25">
      <c r="A3469" s="21">
        <v>40599419.729999997</v>
      </c>
    </row>
    <row r="3470" spans="1:1" x14ac:dyDescent="0.25">
      <c r="A3470" s="21">
        <v>18209506.219999999</v>
      </c>
    </row>
    <row r="3471" spans="1:1" x14ac:dyDescent="0.25">
      <c r="A3471" s="21">
        <v>92109043.909999907</v>
      </c>
    </row>
    <row r="3472" spans="1:1" x14ac:dyDescent="0.25">
      <c r="A3472" s="21">
        <v>3794506.81</v>
      </c>
    </row>
    <row r="3473" spans="1:1" x14ac:dyDescent="0.25">
      <c r="A3473">
        <v>0</v>
      </c>
    </row>
    <row r="3474" spans="1:1" x14ac:dyDescent="0.25">
      <c r="A3474" s="21">
        <v>31648209.039999999</v>
      </c>
    </row>
    <row r="3475" spans="1:1" x14ac:dyDescent="0.25">
      <c r="A3475" s="21">
        <v>16134036.17</v>
      </c>
    </row>
    <row r="3476" spans="1:1" x14ac:dyDescent="0.25">
      <c r="A3476" s="21">
        <v>32460342.25</v>
      </c>
    </row>
    <row r="3477" spans="1:1" x14ac:dyDescent="0.25">
      <c r="A3477" s="21">
        <v>44675510.920000002</v>
      </c>
    </row>
    <row r="3478" spans="1:1" x14ac:dyDescent="0.25">
      <c r="A3478" s="21">
        <v>88082410.670000002</v>
      </c>
    </row>
    <row r="3479" spans="1:1" x14ac:dyDescent="0.25">
      <c r="A3479" s="21">
        <v>57017502.169999897</v>
      </c>
    </row>
    <row r="3480" spans="1:1" x14ac:dyDescent="0.25">
      <c r="A3480" s="21">
        <v>19186716.780000001</v>
      </c>
    </row>
    <row r="3481" spans="1:1" x14ac:dyDescent="0.25">
      <c r="A3481" s="21">
        <v>23842352.420000002</v>
      </c>
    </row>
    <row r="3482" spans="1:1" x14ac:dyDescent="0.25">
      <c r="A3482" s="21">
        <v>119470223.09</v>
      </c>
    </row>
    <row r="3483" spans="1:1" x14ac:dyDescent="0.25">
      <c r="A3483" s="21">
        <v>174464595.61000001</v>
      </c>
    </row>
    <row r="3484" spans="1:1" x14ac:dyDescent="0.25">
      <c r="A3484" s="21">
        <v>155190241.81999999</v>
      </c>
    </row>
    <row r="3485" spans="1:1" x14ac:dyDescent="0.25">
      <c r="A3485" s="21">
        <v>34527243.310000002</v>
      </c>
    </row>
    <row r="3486" spans="1:1" x14ac:dyDescent="0.25">
      <c r="A3486">
        <v>7266498</v>
      </c>
    </row>
    <row r="3487" spans="1:1" x14ac:dyDescent="0.25">
      <c r="A3487" s="21">
        <v>64549209.219999999</v>
      </c>
    </row>
    <row r="3488" spans="1:1" x14ac:dyDescent="0.25">
      <c r="A3488" s="21">
        <v>132335828.11</v>
      </c>
    </row>
    <row r="3489" spans="1:1" x14ac:dyDescent="0.25">
      <c r="A3489" s="21">
        <v>86549855.419999897</v>
      </c>
    </row>
    <row r="3490" spans="1:1" x14ac:dyDescent="0.25">
      <c r="A3490" s="21">
        <v>257628841.21000001</v>
      </c>
    </row>
    <row r="3491" spans="1:1" x14ac:dyDescent="0.25">
      <c r="A3491" s="21">
        <v>71825124.079999998</v>
      </c>
    </row>
    <row r="3492" spans="1:1" x14ac:dyDescent="0.25">
      <c r="A3492" s="21">
        <v>41402449.880000003</v>
      </c>
    </row>
    <row r="3493" spans="1:1" x14ac:dyDescent="0.25">
      <c r="A3493" s="21">
        <v>21450399.649999999</v>
      </c>
    </row>
    <row r="3494" spans="1:1" x14ac:dyDescent="0.25">
      <c r="A3494">
        <v>17842168</v>
      </c>
    </row>
    <row r="3495" spans="1:1" x14ac:dyDescent="0.25">
      <c r="A3495" s="21">
        <v>230171582.50999999</v>
      </c>
    </row>
    <row r="3496" spans="1:1" x14ac:dyDescent="0.25">
      <c r="A3496" s="21">
        <v>38190938.170000002</v>
      </c>
    </row>
    <row r="3497" spans="1:1" x14ac:dyDescent="0.25">
      <c r="A3497">
        <v>0</v>
      </c>
    </row>
    <row r="3498" spans="1:1" x14ac:dyDescent="0.25">
      <c r="A3498" s="21">
        <v>139920478.21000001</v>
      </c>
    </row>
    <row r="3499" spans="1:1" x14ac:dyDescent="0.25">
      <c r="A3499" s="21">
        <v>441796672.86000001</v>
      </c>
    </row>
    <row r="3500" spans="1:1" x14ac:dyDescent="0.25">
      <c r="A3500" s="21">
        <v>27721874.649999999</v>
      </c>
    </row>
    <row r="3501" spans="1:1" x14ac:dyDescent="0.25">
      <c r="A3501" s="21">
        <v>41597558.189999998</v>
      </c>
    </row>
    <row r="3502" spans="1:1" x14ac:dyDescent="0.25">
      <c r="A3502" s="21">
        <v>143406147.38</v>
      </c>
    </row>
    <row r="3503" spans="1:1" x14ac:dyDescent="0.25">
      <c r="A3503">
        <v>0</v>
      </c>
    </row>
    <row r="3504" spans="1:1" x14ac:dyDescent="0.25">
      <c r="A3504" s="21">
        <v>73139848.609999999</v>
      </c>
    </row>
    <row r="3505" spans="1:1" x14ac:dyDescent="0.25">
      <c r="A3505" s="21">
        <v>3268211.09</v>
      </c>
    </row>
    <row r="3506" spans="1:1" x14ac:dyDescent="0.25">
      <c r="A3506" s="21">
        <v>12947481.75</v>
      </c>
    </row>
    <row r="3507" spans="1:1" x14ac:dyDescent="0.25">
      <c r="A3507" s="21">
        <v>135366935.06999999</v>
      </c>
    </row>
    <row r="3508" spans="1:1" x14ac:dyDescent="0.25">
      <c r="A3508" s="21">
        <v>220665432.52000001</v>
      </c>
    </row>
    <row r="3509" spans="1:1" x14ac:dyDescent="0.25">
      <c r="A3509" s="21">
        <v>23912754.239999998</v>
      </c>
    </row>
    <row r="3510" spans="1:1" x14ac:dyDescent="0.25">
      <c r="A3510" s="21">
        <v>58533525.880000003</v>
      </c>
    </row>
    <row r="3511" spans="1:1" x14ac:dyDescent="0.25">
      <c r="A3511" s="21">
        <v>44751060.309999898</v>
      </c>
    </row>
    <row r="3512" spans="1:1" x14ac:dyDescent="0.25">
      <c r="A3512" s="21">
        <v>69288540.650000006</v>
      </c>
    </row>
    <row r="3513" spans="1:1" x14ac:dyDescent="0.25">
      <c r="A3513" s="21">
        <v>19790056.809999999</v>
      </c>
    </row>
    <row r="3514" spans="1:1" x14ac:dyDescent="0.25">
      <c r="A3514" s="21">
        <v>194723135.71000001</v>
      </c>
    </row>
    <row r="3515" spans="1:1" x14ac:dyDescent="0.25">
      <c r="A3515" s="21">
        <v>53945891.869999997</v>
      </c>
    </row>
    <row r="3516" spans="1:1" x14ac:dyDescent="0.25">
      <c r="A3516" s="21">
        <v>22746180.550000001</v>
      </c>
    </row>
    <row r="3517" spans="1:1" x14ac:dyDescent="0.25">
      <c r="A3517" s="21">
        <v>18539935.5</v>
      </c>
    </row>
    <row r="3518" spans="1:1" x14ac:dyDescent="0.25">
      <c r="A3518" s="21">
        <v>31500820.420000002</v>
      </c>
    </row>
    <row r="3519" spans="1:1" x14ac:dyDescent="0.25">
      <c r="A3519" s="21">
        <v>15271606.140000001</v>
      </c>
    </row>
    <row r="3520" spans="1:1" x14ac:dyDescent="0.25">
      <c r="A3520" s="21">
        <v>22390814.390000001</v>
      </c>
    </row>
    <row r="3521" spans="1:1" x14ac:dyDescent="0.25">
      <c r="A3521" s="21">
        <v>45317896.109999999</v>
      </c>
    </row>
    <row r="3522" spans="1:1" x14ac:dyDescent="0.25">
      <c r="A3522" s="21">
        <v>78934549.299999997</v>
      </c>
    </row>
    <row r="3523" spans="1:1" x14ac:dyDescent="0.25">
      <c r="A3523" s="21">
        <v>71783687.799999997</v>
      </c>
    </row>
    <row r="3524" spans="1:1" x14ac:dyDescent="0.25">
      <c r="A3524" s="21">
        <v>19211959.59</v>
      </c>
    </row>
    <row r="3525" spans="1:1" x14ac:dyDescent="0.25">
      <c r="A3525" s="21">
        <v>50764437.640000001</v>
      </c>
    </row>
    <row r="3526" spans="1:1" x14ac:dyDescent="0.25">
      <c r="A3526">
        <v>0</v>
      </c>
    </row>
    <row r="3527" spans="1:1" x14ac:dyDescent="0.25">
      <c r="A3527" s="21">
        <v>85529476.560000002</v>
      </c>
    </row>
    <row r="3528" spans="1:1" x14ac:dyDescent="0.25">
      <c r="A3528" s="21">
        <v>475361630.81999898</v>
      </c>
    </row>
    <row r="3529" spans="1:1" x14ac:dyDescent="0.25">
      <c r="A3529" s="21">
        <v>14777814.529999999</v>
      </c>
    </row>
    <row r="3530" spans="1:1" x14ac:dyDescent="0.25">
      <c r="A3530" s="21">
        <v>220312104.40000001</v>
      </c>
    </row>
    <row r="3531" spans="1:1" x14ac:dyDescent="0.25">
      <c r="A3531" s="21">
        <v>28992750.300000001</v>
      </c>
    </row>
    <row r="3532" spans="1:1" x14ac:dyDescent="0.25">
      <c r="A3532" s="21">
        <v>9404237.1699999999</v>
      </c>
    </row>
    <row r="3533" spans="1:1" x14ac:dyDescent="0.25">
      <c r="A3533" s="21">
        <v>180875137.75999999</v>
      </c>
    </row>
    <row r="3534" spans="1:1" x14ac:dyDescent="0.25">
      <c r="A3534" s="21">
        <v>7439885.6900000004</v>
      </c>
    </row>
    <row r="3535" spans="1:1" x14ac:dyDescent="0.25">
      <c r="A3535" s="21">
        <v>11435633.24</v>
      </c>
    </row>
    <row r="3536" spans="1:1" x14ac:dyDescent="0.25">
      <c r="A3536" s="21">
        <v>109228896.77</v>
      </c>
    </row>
    <row r="3537" spans="1:1" x14ac:dyDescent="0.25">
      <c r="A3537" s="21">
        <v>50405192.420000002</v>
      </c>
    </row>
    <row r="3538" spans="1:1" x14ac:dyDescent="0.25">
      <c r="A3538" s="21">
        <v>6320767.5</v>
      </c>
    </row>
    <row r="3539" spans="1:1" x14ac:dyDescent="0.25">
      <c r="A3539" s="21">
        <v>20806079.129999999</v>
      </c>
    </row>
    <row r="3540" spans="1:1" x14ac:dyDescent="0.25">
      <c r="A3540" s="21">
        <v>74264601.769999996</v>
      </c>
    </row>
    <row r="3541" spans="1:1" x14ac:dyDescent="0.25">
      <c r="A3541" s="21">
        <v>17856936.359999999</v>
      </c>
    </row>
    <row r="3542" spans="1:1" x14ac:dyDescent="0.25">
      <c r="A3542" s="21">
        <v>13293904.609999999</v>
      </c>
    </row>
    <row r="3543" spans="1:1" x14ac:dyDescent="0.25">
      <c r="A3543" s="21">
        <v>72993471.319999993</v>
      </c>
    </row>
    <row r="3544" spans="1:1" x14ac:dyDescent="0.25">
      <c r="A3544" s="21">
        <v>6974398.5</v>
      </c>
    </row>
    <row r="3545" spans="1:1" x14ac:dyDescent="0.25">
      <c r="A3545" s="21">
        <v>27736334.699999999</v>
      </c>
    </row>
    <row r="3546" spans="1:1" x14ac:dyDescent="0.25">
      <c r="A3546" s="21">
        <v>303045231.69</v>
      </c>
    </row>
    <row r="3547" spans="1:1" x14ac:dyDescent="0.25">
      <c r="A3547" s="21">
        <v>4510486.2300000004</v>
      </c>
    </row>
    <row r="3548" spans="1:1" x14ac:dyDescent="0.25">
      <c r="A3548" s="21">
        <v>105619721.70999999</v>
      </c>
    </row>
    <row r="3549" spans="1:1" x14ac:dyDescent="0.25">
      <c r="A3549" s="21">
        <v>9788776.5399999898</v>
      </c>
    </row>
    <row r="3550" spans="1:1" x14ac:dyDescent="0.25">
      <c r="A3550" s="21">
        <v>32762968.059999999</v>
      </c>
    </row>
    <row r="3551" spans="1:1" x14ac:dyDescent="0.25">
      <c r="A3551" s="21">
        <v>26551584.5</v>
      </c>
    </row>
    <row r="3552" spans="1:1" x14ac:dyDescent="0.25">
      <c r="A3552" s="21">
        <v>105811324.93000001</v>
      </c>
    </row>
    <row r="3553" spans="1:1" x14ac:dyDescent="0.25">
      <c r="A3553" s="21">
        <v>180157306.34</v>
      </c>
    </row>
    <row r="3554" spans="1:1" x14ac:dyDescent="0.25">
      <c r="A3554" s="21">
        <v>133686021.18000001</v>
      </c>
    </row>
    <row r="3555" spans="1:1" x14ac:dyDescent="0.25">
      <c r="A3555" s="21">
        <v>84511920.5</v>
      </c>
    </row>
    <row r="3556" spans="1:1" x14ac:dyDescent="0.25">
      <c r="A3556" s="21">
        <v>51342362.979999997</v>
      </c>
    </row>
    <row r="3557" spans="1:1" x14ac:dyDescent="0.25">
      <c r="A3557" s="21">
        <v>12279060.75</v>
      </c>
    </row>
    <row r="3558" spans="1:1" x14ac:dyDescent="0.25">
      <c r="A3558" s="21">
        <v>84036158.260000005</v>
      </c>
    </row>
    <row r="3559" spans="1:1" x14ac:dyDescent="0.25">
      <c r="A3559" s="21">
        <v>19388887.93</v>
      </c>
    </row>
    <row r="3560" spans="1:1" x14ac:dyDescent="0.25">
      <c r="A3560" s="21">
        <v>67561557.700000003</v>
      </c>
    </row>
    <row r="3561" spans="1:1" x14ac:dyDescent="0.25">
      <c r="A3561" s="21">
        <v>25568321.579999998</v>
      </c>
    </row>
    <row r="3562" spans="1:1" x14ac:dyDescent="0.25">
      <c r="A3562" s="21">
        <v>3794506.81</v>
      </c>
    </row>
    <row r="3563" spans="1:1" x14ac:dyDescent="0.25">
      <c r="A3563" s="21">
        <v>324966427.55000001</v>
      </c>
    </row>
    <row r="3564" spans="1:1" x14ac:dyDescent="0.25">
      <c r="A3564" s="21">
        <v>37653368.229999997</v>
      </c>
    </row>
    <row r="3565" spans="1:1" x14ac:dyDescent="0.25">
      <c r="A3565" s="21">
        <v>30828499.800000001</v>
      </c>
    </row>
    <row r="3566" spans="1:1" x14ac:dyDescent="0.25">
      <c r="A3566" s="21">
        <v>43707645.159999996</v>
      </c>
    </row>
    <row r="3567" spans="1:1" x14ac:dyDescent="0.25">
      <c r="A3567" s="21">
        <v>54090234.020000003</v>
      </c>
    </row>
    <row r="3568" spans="1:1" x14ac:dyDescent="0.25">
      <c r="A3568" s="21">
        <v>223944330.41999999</v>
      </c>
    </row>
    <row r="3569" spans="1:1" x14ac:dyDescent="0.25">
      <c r="A3569" s="21">
        <v>15456001.32</v>
      </c>
    </row>
    <row r="3570" spans="1:1" x14ac:dyDescent="0.25">
      <c r="A3570" s="21">
        <v>682193048.13</v>
      </c>
    </row>
    <row r="3571" spans="1:1" x14ac:dyDescent="0.25">
      <c r="A3571" s="21">
        <v>15089328.34</v>
      </c>
    </row>
    <row r="3572" spans="1:1" x14ac:dyDescent="0.25">
      <c r="A3572" s="21">
        <v>360378001.23000002</v>
      </c>
    </row>
    <row r="3573" spans="1:1" x14ac:dyDescent="0.25">
      <c r="A3573" s="21">
        <v>16996047.600000001</v>
      </c>
    </row>
    <row r="3574" spans="1:1" x14ac:dyDescent="0.25">
      <c r="A3574">
        <v>0</v>
      </c>
    </row>
    <row r="3575" spans="1:1" x14ac:dyDescent="0.25">
      <c r="A3575" s="21">
        <v>7493095.5</v>
      </c>
    </row>
    <row r="3576" spans="1:1" x14ac:dyDescent="0.25">
      <c r="A3576" s="21">
        <v>4444873.13</v>
      </c>
    </row>
    <row r="3577" spans="1:1" x14ac:dyDescent="0.25">
      <c r="A3577" s="21">
        <v>25671721.32</v>
      </c>
    </row>
    <row r="3578" spans="1:1" x14ac:dyDescent="0.25">
      <c r="A3578" s="21">
        <v>154872401.43000001</v>
      </c>
    </row>
    <row r="3579" spans="1:1" x14ac:dyDescent="0.25">
      <c r="A3579" s="21">
        <v>18977429.25</v>
      </c>
    </row>
    <row r="3580" spans="1:1" x14ac:dyDescent="0.25">
      <c r="A3580" s="21">
        <v>16974906.969999999</v>
      </c>
    </row>
    <row r="3581" spans="1:1" x14ac:dyDescent="0.25">
      <c r="A3581" s="21">
        <v>57830751.890000001</v>
      </c>
    </row>
    <row r="3582" spans="1:1" x14ac:dyDescent="0.25">
      <c r="A3582" s="21">
        <v>126723073.54000001</v>
      </c>
    </row>
    <row r="3583" spans="1:1" x14ac:dyDescent="0.25">
      <c r="A3583" s="21">
        <v>12012477.57</v>
      </c>
    </row>
    <row r="3584" spans="1:1" x14ac:dyDescent="0.25">
      <c r="A3584" s="21">
        <v>9333946.8800000008</v>
      </c>
    </row>
    <row r="3585" spans="1:1" x14ac:dyDescent="0.25">
      <c r="A3585" s="21">
        <v>193089790.47</v>
      </c>
    </row>
    <row r="3586" spans="1:1" x14ac:dyDescent="0.25">
      <c r="A3586" s="21">
        <v>85316302.620000005</v>
      </c>
    </row>
    <row r="3587" spans="1:1" x14ac:dyDescent="0.25">
      <c r="A3587" s="21">
        <v>166798312.77000001</v>
      </c>
    </row>
    <row r="3588" spans="1:1" x14ac:dyDescent="0.25">
      <c r="A3588" s="21">
        <v>318195693.07999903</v>
      </c>
    </row>
    <row r="3589" spans="1:1" x14ac:dyDescent="0.25">
      <c r="A3589" s="21">
        <v>25836656.370000001</v>
      </c>
    </row>
    <row r="3590" spans="1:1" x14ac:dyDescent="0.25">
      <c r="A3590" s="21">
        <v>388221951.82999998</v>
      </c>
    </row>
    <row r="3591" spans="1:1" x14ac:dyDescent="0.25">
      <c r="A3591" s="21">
        <v>34176620.719999999</v>
      </c>
    </row>
    <row r="3592" spans="1:1" x14ac:dyDescent="0.25">
      <c r="A3592" s="21">
        <v>3988790.73</v>
      </c>
    </row>
    <row r="3593" spans="1:1" x14ac:dyDescent="0.25">
      <c r="A3593" s="21">
        <v>70532937.569999903</v>
      </c>
    </row>
    <row r="3594" spans="1:1" x14ac:dyDescent="0.25">
      <c r="A3594" s="21">
        <v>27915598.789999999</v>
      </c>
    </row>
    <row r="3595" spans="1:1" x14ac:dyDescent="0.25">
      <c r="A3595" s="21">
        <v>22971745.289999999</v>
      </c>
    </row>
    <row r="3596" spans="1:1" x14ac:dyDescent="0.25">
      <c r="A3596" s="21">
        <v>9692207.3399999999</v>
      </c>
    </row>
    <row r="3597" spans="1:1" x14ac:dyDescent="0.25">
      <c r="A3597" s="21">
        <v>40220681.710000001</v>
      </c>
    </row>
    <row r="3598" spans="1:1" x14ac:dyDescent="0.25">
      <c r="A3598" s="21">
        <v>288687541.79000002</v>
      </c>
    </row>
    <row r="3599" spans="1:1" x14ac:dyDescent="0.25">
      <c r="A3599" s="21">
        <v>19800915.949999999</v>
      </c>
    </row>
    <row r="3600" spans="1:1" x14ac:dyDescent="0.25">
      <c r="A3600" s="21">
        <v>28751562.440000001</v>
      </c>
    </row>
    <row r="3601" spans="1:1" x14ac:dyDescent="0.25">
      <c r="A3601" s="21">
        <v>16518879.25</v>
      </c>
    </row>
    <row r="3602" spans="1:1" x14ac:dyDescent="0.25">
      <c r="A3602" s="21">
        <v>28709951.079999998</v>
      </c>
    </row>
    <row r="3603" spans="1:1" x14ac:dyDescent="0.25">
      <c r="A3603" s="21">
        <v>4422822.76</v>
      </c>
    </row>
    <row r="3604" spans="1:1" x14ac:dyDescent="0.25">
      <c r="A3604" s="21">
        <v>38912101.799999997</v>
      </c>
    </row>
    <row r="3605" spans="1:1" x14ac:dyDescent="0.25">
      <c r="A3605" s="21">
        <v>134026879.81999999</v>
      </c>
    </row>
    <row r="3606" spans="1:1" x14ac:dyDescent="0.25">
      <c r="A3606" s="21">
        <v>52092690.170000002</v>
      </c>
    </row>
    <row r="3607" spans="1:1" x14ac:dyDescent="0.25">
      <c r="A3607" s="21">
        <v>26098269.75</v>
      </c>
    </row>
    <row r="3608" spans="1:1" x14ac:dyDescent="0.25">
      <c r="A3608" s="21">
        <v>46125536.049999997</v>
      </c>
    </row>
    <row r="3609" spans="1:1" x14ac:dyDescent="0.25">
      <c r="A3609" s="21">
        <v>73694307.420000002</v>
      </c>
    </row>
    <row r="3610" spans="1:1" x14ac:dyDescent="0.25">
      <c r="A3610" s="21">
        <v>28036074.59</v>
      </c>
    </row>
    <row r="3611" spans="1:1" x14ac:dyDescent="0.25">
      <c r="A3611" s="21">
        <v>28188809.93</v>
      </c>
    </row>
    <row r="3612" spans="1:1" x14ac:dyDescent="0.25">
      <c r="A3612" s="21">
        <v>375730529.80000001</v>
      </c>
    </row>
    <row r="3613" spans="1:1" x14ac:dyDescent="0.25">
      <c r="A3613" s="21">
        <v>85856556.969999999</v>
      </c>
    </row>
    <row r="3614" spans="1:1" x14ac:dyDescent="0.25">
      <c r="A3614" s="21">
        <v>33827258.07</v>
      </c>
    </row>
    <row r="3615" spans="1:1" x14ac:dyDescent="0.25">
      <c r="A3615" s="21">
        <v>69123893.079999998</v>
      </c>
    </row>
    <row r="3616" spans="1:1" x14ac:dyDescent="0.25">
      <c r="A3616" s="21">
        <v>110526948.58</v>
      </c>
    </row>
    <row r="3617" spans="1:1" x14ac:dyDescent="0.25">
      <c r="A3617" s="21">
        <v>58809852.950000003</v>
      </c>
    </row>
    <row r="3618" spans="1:1" x14ac:dyDescent="0.25">
      <c r="A3618" s="21">
        <v>28603596.949999999</v>
      </c>
    </row>
    <row r="3619" spans="1:1" x14ac:dyDescent="0.25">
      <c r="A3619" s="21">
        <v>23951925.789999999</v>
      </c>
    </row>
    <row r="3620" spans="1:1" x14ac:dyDescent="0.25">
      <c r="A3620" s="21">
        <v>133817708.36</v>
      </c>
    </row>
    <row r="3621" spans="1:1" x14ac:dyDescent="0.25">
      <c r="A3621" s="21">
        <v>64113087.850000001</v>
      </c>
    </row>
    <row r="3622" spans="1:1" x14ac:dyDescent="0.25">
      <c r="A3622" s="21">
        <v>22018336.059999999</v>
      </c>
    </row>
    <row r="3623" spans="1:1" x14ac:dyDescent="0.25">
      <c r="A3623" s="21">
        <v>162831466.5</v>
      </c>
    </row>
    <row r="3624" spans="1:1" x14ac:dyDescent="0.25">
      <c r="A3624" s="21">
        <v>25469511.68</v>
      </c>
    </row>
    <row r="3625" spans="1:1" x14ac:dyDescent="0.25">
      <c r="A3625" s="21">
        <v>29987344.059999999</v>
      </c>
    </row>
    <row r="3626" spans="1:1" x14ac:dyDescent="0.25">
      <c r="A3626" s="21">
        <v>198456679.38</v>
      </c>
    </row>
    <row r="3627" spans="1:1" x14ac:dyDescent="0.25">
      <c r="A3627" s="21">
        <v>6763883.1600000001</v>
      </c>
    </row>
    <row r="3628" spans="1:1" x14ac:dyDescent="0.25">
      <c r="A3628">
        <v>0</v>
      </c>
    </row>
    <row r="3629" spans="1:1" x14ac:dyDescent="0.25">
      <c r="A3629" s="21">
        <v>35574458.93</v>
      </c>
    </row>
    <row r="3630" spans="1:1" x14ac:dyDescent="0.25">
      <c r="A3630">
        <v>0</v>
      </c>
    </row>
    <row r="3631" spans="1:1" x14ac:dyDescent="0.25">
      <c r="A3631" s="21">
        <v>34794505.549999997</v>
      </c>
    </row>
    <row r="3632" spans="1:1" x14ac:dyDescent="0.25">
      <c r="A3632" s="21">
        <v>14597584.75</v>
      </c>
    </row>
    <row r="3633" spans="1:1" x14ac:dyDescent="0.25">
      <c r="A3633">
        <v>0</v>
      </c>
    </row>
    <row r="3634" spans="1:1" x14ac:dyDescent="0.25">
      <c r="A3634">
        <v>0</v>
      </c>
    </row>
    <row r="3635" spans="1:1" x14ac:dyDescent="0.25">
      <c r="A3635" s="21">
        <v>144975009.30000001</v>
      </c>
    </row>
    <row r="3636" spans="1:1" x14ac:dyDescent="0.25">
      <c r="A3636" s="21">
        <v>2989253.24</v>
      </c>
    </row>
    <row r="3637" spans="1:1" x14ac:dyDescent="0.25">
      <c r="A3637" s="21">
        <v>138844266.34</v>
      </c>
    </row>
    <row r="3638" spans="1:1" x14ac:dyDescent="0.25">
      <c r="A3638" s="21">
        <v>151346234.16</v>
      </c>
    </row>
    <row r="3639" spans="1:1" x14ac:dyDescent="0.25">
      <c r="A3639" s="21">
        <v>143091112.53</v>
      </c>
    </row>
    <row r="3640" spans="1:1" x14ac:dyDescent="0.25">
      <c r="A3640" s="21">
        <v>76670503.840000004</v>
      </c>
    </row>
    <row r="3641" spans="1:1" x14ac:dyDescent="0.25">
      <c r="A3641" s="21">
        <v>16730922.449999999</v>
      </c>
    </row>
    <row r="3642" spans="1:1" x14ac:dyDescent="0.25">
      <c r="A3642" s="21">
        <v>69397935.739999905</v>
      </c>
    </row>
    <row r="3643" spans="1:1" x14ac:dyDescent="0.25">
      <c r="A3643" s="21">
        <v>45539941.43</v>
      </c>
    </row>
    <row r="3644" spans="1:1" x14ac:dyDescent="0.25">
      <c r="A3644" s="21">
        <v>14651288.26</v>
      </c>
    </row>
    <row r="3645" spans="1:1" x14ac:dyDescent="0.25">
      <c r="A3645" s="21">
        <v>100371495.15000001</v>
      </c>
    </row>
    <row r="3646" spans="1:1" x14ac:dyDescent="0.25">
      <c r="A3646" s="21">
        <v>22186263.829999998</v>
      </c>
    </row>
    <row r="3647" spans="1:1" x14ac:dyDescent="0.25">
      <c r="A3647" s="21">
        <v>15449951.9</v>
      </c>
    </row>
    <row r="3648" spans="1:1" x14ac:dyDescent="0.25">
      <c r="A3648" s="21">
        <v>36785450.109999999</v>
      </c>
    </row>
    <row r="3649" spans="1:1" x14ac:dyDescent="0.25">
      <c r="A3649" s="21">
        <v>29777438.030000001</v>
      </c>
    </row>
    <row r="3650" spans="1:1" x14ac:dyDescent="0.25">
      <c r="A3650" s="21">
        <v>13467605.550000001</v>
      </c>
    </row>
    <row r="3651" spans="1:1" x14ac:dyDescent="0.25">
      <c r="A3651" s="21">
        <v>122271006.98999999</v>
      </c>
    </row>
    <row r="3652" spans="1:1" x14ac:dyDescent="0.25">
      <c r="A3652" s="21">
        <v>19571352.629999999</v>
      </c>
    </row>
    <row r="3653" spans="1:1" x14ac:dyDescent="0.25">
      <c r="A3653" s="21">
        <v>77484093.450000003</v>
      </c>
    </row>
    <row r="3654" spans="1:1" x14ac:dyDescent="0.25">
      <c r="A3654" s="21">
        <v>124222566.3</v>
      </c>
    </row>
    <row r="3655" spans="1:1" x14ac:dyDescent="0.25">
      <c r="A3655" s="21">
        <v>256475853.22</v>
      </c>
    </row>
    <row r="3656" spans="1:1" x14ac:dyDescent="0.25">
      <c r="A3656" s="21">
        <v>287220388.80000001</v>
      </c>
    </row>
    <row r="3657" spans="1:1" x14ac:dyDescent="0.25">
      <c r="A3657" s="21">
        <v>50950001.509999998</v>
      </c>
    </row>
    <row r="3658" spans="1:1" x14ac:dyDescent="0.25">
      <c r="A3658" s="21">
        <v>65711242.200000003</v>
      </c>
    </row>
    <row r="3659" spans="1:1" x14ac:dyDescent="0.25">
      <c r="A3659" s="21">
        <v>53530399.859999999</v>
      </c>
    </row>
    <row r="3660" spans="1:1" x14ac:dyDescent="0.25">
      <c r="A3660" s="21">
        <v>89473547.689999998</v>
      </c>
    </row>
    <row r="3661" spans="1:1" x14ac:dyDescent="0.25">
      <c r="A3661" s="21">
        <v>49469976.210000001</v>
      </c>
    </row>
    <row r="3662" spans="1:1" x14ac:dyDescent="0.25">
      <c r="A3662" s="21">
        <v>55730655.93</v>
      </c>
    </row>
    <row r="3663" spans="1:1" x14ac:dyDescent="0.25">
      <c r="A3663" s="21">
        <v>42098289.75</v>
      </c>
    </row>
    <row r="3664" spans="1:1" x14ac:dyDescent="0.25">
      <c r="A3664" s="21">
        <v>22842768.48</v>
      </c>
    </row>
    <row r="3665" spans="1:1" x14ac:dyDescent="0.25">
      <c r="A3665" s="21">
        <v>101001057.94</v>
      </c>
    </row>
    <row r="3666" spans="1:1" x14ac:dyDescent="0.25">
      <c r="A3666" s="21">
        <v>115619707.5</v>
      </c>
    </row>
    <row r="3667" spans="1:1" x14ac:dyDescent="0.25">
      <c r="A3667" s="21">
        <v>7316883.75</v>
      </c>
    </row>
    <row r="3668" spans="1:1" x14ac:dyDescent="0.25">
      <c r="A3668" s="21">
        <v>49344191.240000002</v>
      </c>
    </row>
    <row r="3669" spans="1:1" x14ac:dyDescent="0.25">
      <c r="A3669" s="21">
        <v>39642116.189999998</v>
      </c>
    </row>
    <row r="3670" spans="1:1" x14ac:dyDescent="0.25">
      <c r="A3670" s="21">
        <v>26243981.25</v>
      </c>
    </row>
    <row r="3671" spans="1:1" x14ac:dyDescent="0.25">
      <c r="A3671" s="21">
        <v>46798014.740000002</v>
      </c>
    </row>
    <row r="3672" spans="1:1" x14ac:dyDescent="0.25">
      <c r="A3672" s="21">
        <v>68924143.890000001</v>
      </c>
    </row>
    <row r="3673" spans="1:1" x14ac:dyDescent="0.25">
      <c r="A3673" s="21">
        <v>341007881.08999997</v>
      </c>
    </row>
    <row r="3674" spans="1:1" x14ac:dyDescent="0.25">
      <c r="A3674" s="21">
        <v>193414697.41</v>
      </c>
    </row>
    <row r="3675" spans="1:1" x14ac:dyDescent="0.25">
      <c r="A3675" s="21">
        <v>44336962.259999998</v>
      </c>
    </row>
    <row r="3676" spans="1:1" x14ac:dyDescent="0.25">
      <c r="A3676" s="21">
        <v>62566943.909999996</v>
      </c>
    </row>
    <row r="3677" spans="1:1" x14ac:dyDescent="0.25">
      <c r="A3677" s="21">
        <v>92550107.609999999</v>
      </c>
    </row>
    <row r="3678" spans="1:1" x14ac:dyDescent="0.25">
      <c r="A3678" s="21">
        <v>328687152.83999997</v>
      </c>
    </row>
    <row r="3679" spans="1:1" x14ac:dyDescent="0.25">
      <c r="A3679" s="21">
        <v>77459569.810000002</v>
      </c>
    </row>
    <row r="3680" spans="1:1" x14ac:dyDescent="0.25">
      <c r="A3680" s="21">
        <v>391772939.20999998</v>
      </c>
    </row>
    <row r="3681" spans="1:1" x14ac:dyDescent="0.25">
      <c r="A3681">
        <v>6793014</v>
      </c>
    </row>
    <row r="3682" spans="1:1" x14ac:dyDescent="0.25">
      <c r="A3682" s="21">
        <v>24678107.190000001</v>
      </c>
    </row>
    <row r="3683" spans="1:1" x14ac:dyDescent="0.25">
      <c r="A3683" s="21">
        <v>26651919.100000001</v>
      </c>
    </row>
    <row r="3684" spans="1:1" x14ac:dyDescent="0.25">
      <c r="A3684" s="21">
        <v>15261587.140000001</v>
      </c>
    </row>
    <row r="3685" spans="1:1" x14ac:dyDescent="0.25">
      <c r="A3685" s="21">
        <v>45546018.07</v>
      </c>
    </row>
    <row r="3686" spans="1:1" x14ac:dyDescent="0.25">
      <c r="A3686" s="21">
        <v>148405604.12</v>
      </c>
    </row>
    <row r="3687" spans="1:1" x14ac:dyDescent="0.25">
      <c r="A3687" s="21">
        <v>19423138.5</v>
      </c>
    </row>
    <row r="3688" spans="1:1" x14ac:dyDescent="0.25">
      <c r="A3688">
        <v>0</v>
      </c>
    </row>
    <row r="3689" spans="1:1" x14ac:dyDescent="0.25">
      <c r="A3689" s="21">
        <v>27167658.530000001</v>
      </c>
    </row>
    <row r="3690" spans="1:1" x14ac:dyDescent="0.25">
      <c r="A3690" s="21">
        <v>7661672.4399999902</v>
      </c>
    </row>
    <row r="3691" spans="1:1" x14ac:dyDescent="0.25">
      <c r="A3691" s="21">
        <v>128877711.2</v>
      </c>
    </row>
    <row r="3692" spans="1:1" x14ac:dyDescent="0.25">
      <c r="A3692" s="21">
        <v>83098213.069999993</v>
      </c>
    </row>
    <row r="3693" spans="1:1" x14ac:dyDescent="0.25">
      <c r="A3693" s="21">
        <v>101359313.06</v>
      </c>
    </row>
    <row r="3694" spans="1:1" x14ac:dyDescent="0.25">
      <c r="A3694" s="21">
        <v>94344588.920000002</v>
      </c>
    </row>
    <row r="3695" spans="1:1" x14ac:dyDescent="0.25">
      <c r="A3695" s="21">
        <v>32014580.379999999</v>
      </c>
    </row>
    <row r="3696" spans="1:1" x14ac:dyDescent="0.25">
      <c r="A3696">
        <v>0</v>
      </c>
    </row>
    <row r="3697" spans="1:1" x14ac:dyDescent="0.25">
      <c r="A3697" s="21">
        <v>96698158.349999905</v>
      </c>
    </row>
    <row r="3698" spans="1:1" x14ac:dyDescent="0.25">
      <c r="A3698" s="21">
        <v>11540583.43</v>
      </c>
    </row>
    <row r="3699" spans="1:1" x14ac:dyDescent="0.25">
      <c r="A3699" s="21">
        <v>266299254.47</v>
      </c>
    </row>
    <row r="3700" spans="1:1" x14ac:dyDescent="0.25">
      <c r="A3700" s="21">
        <v>13499961.68</v>
      </c>
    </row>
    <row r="3701" spans="1:1" x14ac:dyDescent="0.25">
      <c r="A3701" s="21">
        <v>104326842.17</v>
      </c>
    </row>
    <row r="3702" spans="1:1" x14ac:dyDescent="0.25">
      <c r="A3702" s="21">
        <v>63004957.299999997</v>
      </c>
    </row>
    <row r="3703" spans="1:1" x14ac:dyDescent="0.25">
      <c r="A3703" s="21">
        <v>63791729.210000001</v>
      </c>
    </row>
    <row r="3704" spans="1:1" x14ac:dyDescent="0.25">
      <c r="A3704" s="21">
        <v>10735033.460000001</v>
      </c>
    </row>
    <row r="3705" spans="1:1" x14ac:dyDescent="0.25">
      <c r="A3705" s="21">
        <v>10055067.01</v>
      </c>
    </row>
    <row r="3706" spans="1:1" x14ac:dyDescent="0.25">
      <c r="A3706" s="21">
        <v>102735836.7</v>
      </c>
    </row>
    <row r="3707" spans="1:1" x14ac:dyDescent="0.25">
      <c r="A3707" s="21">
        <v>57466325.850000001</v>
      </c>
    </row>
    <row r="3708" spans="1:1" x14ac:dyDescent="0.25">
      <c r="A3708" s="21">
        <v>92094296.049999893</v>
      </c>
    </row>
    <row r="3709" spans="1:1" x14ac:dyDescent="0.25">
      <c r="A3709" s="21">
        <v>35368030.310000002</v>
      </c>
    </row>
    <row r="3710" spans="1:1" x14ac:dyDescent="0.25">
      <c r="A3710" s="21">
        <v>22430914.079999998</v>
      </c>
    </row>
    <row r="3711" spans="1:1" x14ac:dyDescent="0.25">
      <c r="A3711" s="21">
        <v>131844683.2</v>
      </c>
    </row>
    <row r="3712" spans="1:1" x14ac:dyDescent="0.25">
      <c r="A3712" s="21">
        <v>328265848.94999999</v>
      </c>
    </row>
    <row r="3713" spans="1:1" x14ac:dyDescent="0.25">
      <c r="A3713" s="21">
        <v>30163041.899999999</v>
      </c>
    </row>
    <row r="3714" spans="1:1" x14ac:dyDescent="0.25">
      <c r="A3714" s="21">
        <v>40702907.390000001</v>
      </c>
    </row>
    <row r="3715" spans="1:1" x14ac:dyDescent="0.25">
      <c r="A3715" s="21">
        <v>67160721.290000007</v>
      </c>
    </row>
    <row r="3716" spans="1:1" x14ac:dyDescent="0.25">
      <c r="A3716" s="21">
        <v>53043917.939999998</v>
      </c>
    </row>
    <row r="3717" spans="1:1" x14ac:dyDescent="0.25">
      <c r="A3717" s="21">
        <v>48060614.68</v>
      </c>
    </row>
    <row r="3718" spans="1:1" x14ac:dyDescent="0.25">
      <c r="A3718" s="21">
        <v>50320952.32</v>
      </c>
    </row>
    <row r="3719" spans="1:1" x14ac:dyDescent="0.25">
      <c r="A3719" s="21">
        <v>51713547.979999997</v>
      </c>
    </row>
    <row r="3720" spans="1:1" x14ac:dyDescent="0.25">
      <c r="A3720" s="21">
        <v>69090685.939999998</v>
      </c>
    </row>
    <row r="3721" spans="1:1" x14ac:dyDescent="0.25">
      <c r="A3721" s="21">
        <v>6508793.3899999997</v>
      </c>
    </row>
    <row r="3722" spans="1:1" x14ac:dyDescent="0.25">
      <c r="A3722" s="21">
        <v>50062715.439999998</v>
      </c>
    </row>
    <row r="3723" spans="1:1" x14ac:dyDescent="0.25">
      <c r="A3723" s="21">
        <v>202693601.49000001</v>
      </c>
    </row>
    <row r="3724" spans="1:1" x14ac:dyDescent="0.25">
      <c r="A3724" s="21">
        <v>22507244.100000001</v>
      </c>
    </row>
    <row r="3725" spans="1:1" x14ac:dyDescent="0.25">
      <c r="A3725" s="21">
        <v>16461967.130000001</v>
      </c>
    </row>
    <row r="3726" spans="1:1" x14ac:dyDescent="0.25">
      <c r="A3726" s="21">
        <v>305153704.85000002</v>
      </c>
    </row>
    <row r="3727" spans="1:1" x14ac:dyDescent="0.25">
      <c r="A3727" s="21">
        <v>24303549.129999999</v>
      </c>
    </row>
    <row r="3728" spans="1:1" x14ac:dyDescent="0.25">
      <c r="A3728" s="21">
        <v>150853877.63999999</v>
      </c>
    </row>
    <row r="3729" spans="1:1" x14ac:dyDescent="0.25">
      <c r="A3729" s="21">
        <v>43503444.810000002</v>
      </c>
    </row>
    <row r="3730" spans="1:1" x14ac:dyDescent="0.25">
      <c r="A3730" s="21">
        <v>25216439.82</v>
      </c>
    </row>
    <row r="3731" spans="1:1" x14ac:dyDescent="0.25">
      <c r="A3731" s="21">
        <v>9100544.8499999996</v>
      </c>
    </row>
    <row r="3732" spans="1:1" x14ac:dyDescent="0.25">
      <c r="A3732" s="21">
        <v>31186922.25</v>
      </c>
    </row>
    <row r="3733" spans="1:1" x14ac:dyDescent="0.25">
      <c r="A3733" s="21">
        <v>99350476.849999994</v>
      </c>
    </row>
    <row r="3734" spans="1:1" x14ac:dyDescent="0.25">
      <c r="A3734" s="21">
        <v>22434281.539999999</v>
      </c>
    </row>
    <row r="3735" spans="1:1" x14ac:dyDescent="0.25">
      <c r="A3735" s="21">
        <v>65061434.880000003</v>
      </c>
    </row>
    <row r="3736" spans="1:1" x14ac:dyDescent="0.25">
      <c r="A3736" s="21">
        <v>32832847.73</v>
      </c>
    </row>
    <row r="3737" spans="1:1" x14ac:dyDescent="0.25">
      <c r="A3737">
        <v>0</v>
      </c>
    </row>
    <row r="3738" spans="1:1" x14ac:dyDescent="0.25">
      <c r="A3738" s="21">
        <v>11042986.9</v>
      </c>
    </row>
    <row r="3739" spans="1:1" x14ac:dyDescent="0.25">
      <c r="A3739" s="21">
        <v>3343538.52</v>
      </c>
    </row>
    <row r="3740" spans="1:1" x14ac:dyDescent="0.25">
      <c r="A3740" s="21">
        <v>166563922.94999999</v>
      </c>
    </row>
    <row r="3741" spans="1:1" x14ac:dyDescent="0.25">
      <c r="A3741">
        <v>5457441</v>
      </c>
    </row>
    <row r="3742" spans="1:1" x14ac:dyDescent="0.25">
      <c r="A3742">
        <v>0</v>
      </c>
    </row>
    <row r="3743" spans="1:1" x14ac:dyDescent="0.25">
      <c r="A3743" s="21">
        <v>9759410.25</v>
      </c>
    </row>
    <row r="3744" spans="1:1" x14ac:dyDescent="0.25">
      <c r="A3744" s="21">
        <v>52984983.280000001</v>
      </c>
    </row>
    <row r="3745" spans="1:1" x14ac:dyDescent="0.25">
      <c r="A3745" s="21">
        <v>14484461.98</v>
      </c>
    </row>
    <row r="3746" spans="1:1" x14ac:dyDescent="0.25">
      <c r="A3746" s="21">
        <v>96136842.319999903</v>
      </c>
    </row>
    <row r="3747" spans="1:1" x14ac:dyDescent="0.25">
      <c r="A3747" s="21">
        <v>52711584.719999999</v>
      </c>
    </row>
    <row r="3748" spans="1:1" x14ac:dyDescent="0.25">
      <c r="A3748" s="21">
        <v>28196511.91</v>
      </c>
    </row>
    <row r="3749" spans="1:1" x14ac:dyDescent="0.25">
      <c r="A3749" s="21">
        <v>10859118.460000001</v>
      </c>
    </row>
    <row r="3750" spans="1:1" x14ac:dyDescent="0.25">
      <c r="A3750" s="21">
        <v>110865743.91</v>
      </c>
    </row>
    <row r="3751" spans="1:1" x14ac:dyDescent="0.25">
      <c r="A3751" s="21">
        <v>15193883.25</v>
      </c>
    </row>
    <row r="3752" spans="1:1" x14ac:dyDescent="0.25">
      <c r="A3752" s="21">
        <v>130568117.47</v>
      </c>
    </row>
    <row r="3753" spans="1:1" x14ac:dyDescent="0.25">
      <c r="A3753" s="21">
        <v>235364945.09</v>
      </c>
    </row>
    <row r="3754" spans="1:1" x14ac:dyDescent="0.25">
      <c r="A3754" s="21">
        <v>57291022.780000001</v>
      </c>
    </row>
    <row r="3755" spans="1:1" x14ac:dyDescent="0.25">
      <c r="A3755" s="21">
        <v>33454929.579999998</v>
      </c>
    </row>
    <row r="3756" spans="1:1" x14ac:dyDescent="0.25">
      <c r="A3756" s="21">
        <v>33129963.420000002</v>
      </c>
    </row>
    <row r="3757" spans="1:1" x14ac:dyDescent="0.25">
      <c r="A3757" s="21">
        <v>4510017.2300000004</v>
      </c>
    </row>
    <row r="3758" spans="1:1" x14ac:dyDescent="0.25">
      <c r="A3758" s="21">
        <v>98028076.299999997</v>
      </c>
    </row>
    <row r="3759" spans="1:1" x14ac:dyDescent="0.25">
      <c r="A3759" s="21">
        <v>253422376.97</v>
      </c>
    </row>
    <row r="3760" spans="1:1" x14ac:dyDescent="0.25">
      <c r="A3760" s="21">
        <v>6014379.75</v>
      </c>
    </row>
    <row r="3761" spans="1:1" x14ac:dyDescent="0.25">
      <c r="A3761" s="21">
        <v>67095045.149999999</v>
      </c>
    </row>
    <row r="3762" spans="1:1" x14ac:dyDescent="0.25">
      <c r="A3762" s="21">
        <v>115955526.89</v>
      </c>
    </row>
    <row r="3763" spans="1:1" x14ac:dyDescent="0.25">
      <c r="A3763" s="21">
        <v>90995563.890000001</v>
      </c>
    </row>
    <row r="3764" spans="1:1" x14ac:dyDescent="0.25">
      <c r="A3764" s="21">
        <v>5621670.75</v>
      </c>
    </row>
    <row r="3765" spans="1:1" x14ac:dyDescent="0.25">
      <c r="A3765" s="21">
        <v>142002975.25</v>
      </c>
    </row>
    <row r="3766" spans="1:1" x14ac:dyDescent="0.25">
      <c r="A3766" s="21">
        <v>64750236.859999999</v>
      </c>
    </row>
    <row r="3767" spans="1:1" x14ac:dyDescent="0.25">
      <c r="A3767" s="21">
        <v>164606108.25999999</v>
      </c>
    </row>
    <row r="3768" spans="1:1" x14ac:dyDescent="0.25">
      <c r="A3768" s="21">
        <v>85608988.629999995</v>
      </c>
    </row>
    <row r="3769" spans="1:1" x14ac:dyDescent="0.25">
      <c r="A3769" s="21">
        <v>7475450.6299999999</v>
      </c>
    </row>
    <row r="3770" spans="1:1" x14ac:dyDescent="0.25">
      <c r="A3770" s="21">
        <v>18818892.510000002</v>
      </c>
    </row>
    <row r="3771" spans="1:1" x14ac:dyDescent="0.25">
      <c r="A3771" s="21">
        <v>23940362.460000001</v>
      </c>
    </row>
    <row r="3772" spans="1:1" x14ac:dyDescent="0.25">
      <c r="A3772" s="21">
        <v>7544463.9800000004</v>
      </c>
    </row>
    <row r="3773" spans="1:1" x14ac:dyDescent="0.25">
      <c r="A3773" s="21">
        <v>441925576.60000002</v>
      </c>
    </row>
    <row r="3774" spans="1:1" x14ac:dyDescent="0.25">
      <c r="A3774" s="21">
        <v>7168538.3700000001</v>
      </c>
    </row>
    <row r="3775" spans="1:1" x14ac:dyDescent="0.25">
      <c r="A3775" s="21">
        <v>66177208.049999997</v>
      </c>
    </row>
    <row r="3776" spans="1:1" x14ac:dyDescent="0.25">
      <c r="A3776" s="21">
        <v>24636465.370000001</v>
      </c>
    </row>
    <row r="3777" spans="1:1" x14ac:dyDescent="0.25">
      <c r="A3777" s="21">
        <v>24144888.219999999</v>
      </c>
    </row>
    <row r="3778" spans="1:1" x14ac:dyDescent="0.25">
      <c r="A3778" s="21">
        <v>107372635.68000001</v>
      </c>
    </row>
    <row r="3779" spans="1:1" x14ac:dyDescent="0.25">
      <c r="A3779" s="21">
        <v>84021468.400000006</v>
      </c>
    </row>
    <row r="3780" spans="1:1" x14ac:dyDescent="0.25">
      <c r="A3780" s="21">
        <v>19437620.559999999</v>
      </c>
    </row>
    <row r="3781" spans="1:1" x14ac:dyDescent="0.25">
      <c r="A3781" s="21">
        <v>186368054.72999999</v>
      </c>
    </row>
    <row r="3782" spans="1:1" x14ac:dyDescent="0.25">
      <c r="A3782" s="21">
        <v>13306518.359999999</v>
      </c>
    </row>
    <row r="3783" spans="1:1" x14ac:dyDescent="0.25">
      <c r="A3783" s="21">
        <v>48752306.460000001</v>
      </c>
    </row>
    <row r="3784" spans="1:1" x14ac:dyDescent="0.25">
      <c r="A3784" s="21">
        <v>151522731.84</v>
      </c>
    </row>
    <row r="3785" spans="1:1" x14ac:dyDescent="0.25">
      <c r="A3785" s="21">
        <v>47948424.700000003</v>
      </c>
    </row>
    <row r="3786" spans="1:1" x14ac:dyDescent="0.25">
      <c r="A3786" s="21">
        <v>64268774.950000003</v>
      </c>
    </row>
    <row r="3787" spans="1:1" x14ac:dyDescent="0.25">
      <c r="A3787" s="21">
        <v>6180404.25</v>
      </c>
    </row>
    <row r="3788" spans="1:1" x14ac:dyDescent="0.25">
      <c r="A3788" s="21">
        <v>54693071.640000001</v>
      </c>
    </row>
    <row r="3789" spans="1:1" x14ac:dyDescent="0.25">
      <c r="A3789" s="21">
        <v>31968478.609999999</v>
      </c>
    </row>
    <row r="3790" spans="1:1" x14ac:dyDescent="0.25">
      <c r="A3790" s="21">
        <v>80823007.909999996</v>
      </c>
    </row>
    <row r="3791" spans="1:1" x14ac:dyDescent="0.25">
      <c r="A3791">
        <v>74512723</v>
      </c>
    </row>
    <row r="3792" spans="1:1" x14ac:dyDescent="0.25">
      <c r="A3792" s="21">
        <v>30505491.530000001</v>
      </c>
    </row>
    <row r="3793" spans="1:1" x14ac:dyDescent="0.25">
      <c r="A3793" s="21">
        <v>54583086.359999999</v>
      </c>
    </row>
    <row r="3794" spans="1:1" x14ac:dyDescent="0.25">
      <c r="A3794" s="21">
        <v>92621519.009999901</v>
      </c>
    </row>
    <row r="3795" spans="1:1" x14ac:dyDescent="0.25">
      <c r="A3795" s="21">
        <v>4087811.37</v>
      </c>
    </row>
    <row r="3796" spans="1:1" x14ac:dyDescent="0.25">
      <c r="A3796">
        <v>0</v>
      </c>
    </row>
    <row r="3797" spans="1:1" x14ac:dyDescent="0.25">
      <c r="A3797" s="21">
        <v>18074920.98</v>
      </c>
    </row>
    <row r="3798" spans="1:1" x14ac:dyDescent="0.25">
      <c r="A3798" s="21">
        <v>25351023.039999999</v>
      </c>
    </row>
    <row r="3799" spans="1:1" x14ac:dyDescent="0.25">
      <c r="A3799" s="21">
        <v>46482844.289999999</v>
      </c>
    </row>
    <row r="3800" spans="1:1" x14ac:dyDescent="0.25">
      <c r="A3800" s="21">
        <v>30667637.109999999</v>
      </c>
    </row>
    <row r="3801" spans="1:1" x14ac:dyDescent="0.25">
      <c r="A3801" s="21">
        <v>75226753.930000007</v>
      </c>
    </row>
    <row r="3802" spans="1:1" x14ac:dyDescent="0.25">
      <c r="A3802" s="21">
        <v>161909479.25999999</v>
      </c>
    </row>
    <row r="3803" spans="1:1" x14ac:dyDescent="0.25">
      <c r="A3803" s="21">
        <v>25349952.75</v>
      </c>
    </row>
    <row r="3804" spans="1:1" x14ac:dyDescent="0.25">
      <c r="A3804" s="21">
        <v>42997174.009999998</v>
      </c>
    </row>
    <row r="3805" spans="1:1" x14ac:dyDescent="0.25">
      <c r="A3805" s="21">
        <v>223321550.49000001</v>
      </c>
    </row>
    <row r="3806" spans="1:1" x14ac:dyDescent="0.25">
      <c r="A3806" s="21">
        <v>437516866.94999999</v>
      </c>
    </row>
    <row r="3807" spans="1:1" x14ac:dyDescent="0.25">
      <c r="A3807">
        <v>0</v>
      </c>
    </row>
    <row r="3808" spans="1:1" x14ac:dyDescent="0.25">
      <c r="A3808" s="21">
        <v>24116214.84</v>
      </c>
    </row>
    <row r="3809" spans="1:1" x14ac:dyDescent="0.25">
      <c r="A3809" s="21">
        <v>43452387.520000003</v>
      </c>
    </row>
    <row r="3810" spans="1:1" x14ac:dyDescent="0.25">
      <c r="A3810" s="21">
        <v>139095942.91999999</v>
      </c>
    </row>
    <row r="3811" spans="1:1" x14ac:dyDescent="0.25">
      <c r="A3811" s="21">
        <v>9543485.3599999901</v>
      </c>
    </row>
    <row r="3812" spans="1:1" x14ac:dyDescent="0.25">
      <c r="A3812" s="21">
        <v>63207108.020000003</v>
      </c>
    </row>
    <row r="3813" spans="1:1" x14ac:dyDescent="0.25">
      <c r="A3813" s="21">
        <v>63129092.32</v>
      </c>
    </row>
    <row r="3814" spans="1:1" x14ac:dyDescent="0.25">
      <c r="A3814" s="21">
        <v>191481527.88999999</v>
      </c>
    </row>
    <row r="3815" spans="1:1" x14ac:dyDescent="0.25">
      <c r="A3815" s="21">
        <v>120571904</v>
      </c>
    </row>
    <row r="3816" spans="1:1" x14ac:dyDescent="0.25">
      <c r="A3816" s="21">
        <v>14806759.050000001</v>
      </c>
    </row>
    <row r="3817" spans="1:1" x14ac:dyDescent="0.25">
      <c r="A3817" s="21">
        <v>265757592.08000001</v>
      </c>
    </row>
    <row r="3818" spans="1:1" x14ac:dyDescent="0.25">
      <c r="A3818" s="21">
        <v>284247093.75</v>
      </c>
    </row>
    <row r="3819" spans="1:1" x14ac:dyDescent="0.25">
      <c r="A3819" s="21">
        <v>54682654.509999998</v>
      </c>
    </row>
    <row r="3820" spans="1:1" x14ac:dyDescent="0.25">
      <c r="A3820" s="21">
        <v>38646386.25</v>
      </c>
    </row>
    <row r="3821" spans="1:1" x14ac:dyDescent="0.25">
      <c r="A3821" s="21">
        <v>70160812.5</v>
      </c>
    </row>
    <row r="3822" spans="1:1" x14ac:dyDescent="0.25">
      <c r="A3822" s="21">
        <v>62937978.759999998</v>
      </c>
    </row>
    <row r="3823" spans="1:1" x14ac:dyDescent="0.25">
      <c r="A3823" s="21">
        <v>10394296.26</v>
      </c>
    </row>
    <row r="3824" spans="1:1" x14ac:dyDescent="0.25">
      <c r="A3824">
        <v>7431651</v>
      </c>
    </row>
    <row r="3825" spans="1:1" x14ac:dyDescent="0.25">
      <c r="A3825">
        <v>25553232</v>
      </c>
    </row>
    <row r="3826" spans="1:1" x14ac:dyDescent="0.25">
      <c r="A3826" s="21">
        <v>105416702.81</v>
      </c>
    </row>
    <row r="3827" spans="1:1" x14ac:dyDescent="0.25">
      <c r="A3827" s="21">
        <v>31649104.829999998</v>
      </c>
    </row>
    <row r="3828" spans="1:1" x14ac:dyDescent="0.25">
      <c r="A3828" s="21">
        <v>40281623.489999898</v>
      </c>
    </row>
    <row r="3829" spans="1:1" x14ac:dyDescent="0.25">
      <c r="A3829" s="21">
        <v>2692360.16</v>
      </c>
    </row>
    <row r="3830" spans="1:1" x14ac:dyDescent="0.25">
      <c r="A3830" s="21">
        <v>24255317.949999999</v>
      </c>
    </row>
    <row r="3831" spans="1:1" x14ac:dyDescent="0.25">
      <c r="A3831" s="21">
        <v>100831039.09</v>
      </c>
    </row>
    <row r="3832" spans="1:1" x14ac:dyDescent="0.25">
      <c r="A3832">
        <v>5571081</v>
      </c>
    </row>
    <row r="3833" spans="1:1" x14ac:dyDescent="0.25">
      <c r="A3833" s="21">
        <v>276739567.33999997</v>
      </c>
    </row>
    <row r="3834" spans="1:1" x14ac:dyDescent="0.25">
      <c r="A3834" s="21">
        <v>18503429.550000001</v>
      </c>
    </row>
    <row r="3835" spans="1:1" x14ac:dyDescent="0.25">
      <c r="A3835" s="21">
        <v>123944978.02</v>
      </c>
    </row>
    <row r="3836" spans="1:1" x14ac:dyDescent="0.25">
      <c r="A3836" s="21">
        <v>149217751.59</v>
      </c>
    </row>
    <row r="3837" spans="1:1" x14ac:dyDescent="0.25">
      <c r="A3837" s="21">
        <v>16329374.67</v>
      </c>
    </row>
    <row r="3838" spans="1:1" x14ac:dyDescent="0.25">
      <c r="A3838">
        <v>0</v>
      </c>
    </row>
    <row r="3839" spans="1:1" x14ac:dyDescent="0.25">
      <c r="A3839" s="21">
        <v>2900933.17</v>
      </c>
    </row>
    <row r="3840" spans="1:1" x14ac:dyDescent="0.25">
      <c r="A3840" s="21">
        <v>22701018.09</v>
      </c>
    </row>
    <row r="3841" spans="1:1" x14ac:dyDescent="0.25">
      <c r="A3841" s="21">
        <v>31306144.059999999</v>
      </c>
    </row>
    <row r="3842" spans="1:1" x14ac:dyDescent="0.25">
      <c r="A3842" s="21">
        <v>14365507.98</v>
      </c>
    </row>
    <row r="3843" spans="1:1" x14ac:dyDescent="0.25">
      <c r="A3843" s="21">
        <v>25704174.460000001</v>
      </c>
    </row>
    <row r="3844" spans="1:1" x14ac:dyDescent="0.25">
      <c r="A3844" s="21">
        <v>43569246.670000002</v>
      </c>
    </row>
    <row r="3845" spans="1:1" x14ac:dyDescent="0.25">
      <c r="A3845" s="21">
        <v>58075870.619999997</v>
      </c>
    </row>
    <row r="3846" spans="1:1" x14ac:dyDescent="0.25">
      <c r="A3846" s="21">
        <v>298820488.19999999</v>
      </c>
    </row>
    <row r="3847" spans="1:1" x14ac:dyDescent="0.25">
      <c r="A3847" s="21">
        <v>34515348.829999998</v>
      </c>
    </row>
    <row r="3848" spans="1:1" x14ac:dyDescent="0.25">
      <c r="A3848" s="21">
        <v>17529427.68</v>
      </c>
    </row>
    <row r="3849" spans="1:1" x14ac:dyDescent="0.25">
      <c r="A3849" s="21">
        <v>70855207.430000007</v>
      </c>
    </row>
    <row r="3850" spans="1:1" x14ac:dyDescent="0.25">
      <c r="A3850" s="21">
        <v>193558182.72999999</v>
      </c>
    </row>
    <row r="3851" spans="1:1" x14ac:dyDescent="0.25">
      <c r="A3851" s="21">
        <v>59749897.380000003</v>
      </c>
    </row>
    <row r="3852" spans="1:1" x14ac:dyDescent="0.25">
      <c r="A3852" s="21">
        <v>22268073.109999999</v>
      </c>
    </row>
    <row r="3853" spans="1:1" x14ac:dyDescent="0.25">
      <c r="A3853" s="21">
        <v>44521035.649999999</v>
      </c>
    </row>
    <row r="3854" spans="1:1" x14ac:dyDescent="0.25">
      <c r="A3854" s="21">
        <v>161748247.93000001</v>
      </c>
    </row>
    <row r="3855" spans="1:1" x14ac:dyDescent="0.25">
      <c r="A3855" s="21">
        <v>80970255.219999999</v>
      </c>
    </row>
    <row r="3856" spans="1:1" x14ac:dyDescent="0.25">
      <c r="A3856" s="21">
        <v>17910717.75</v>
      </c>
    </row>
    <row r="3857" spans="1:1" x14ac:dyDescent="0.25">
      <c r="A3857">
        <v>0</v>
      </c>
    </row>
    <row r="3858" spans="1:1" x14ac:dyDescent="0.25">
      <c r="A3858" s="21">
        <v>115907214.43000001</v>
      </c>
    </row>
    <row r="3859" spans="1:1" x14ac:dyDescent="0.25">
      <c r="A3859" s="21">
        <v>43049869.420000002</v>
      </c>
    </row>
    <row r="3860" spans="1:1" x14ac:dyDescent="0.25">
      <c r="A3860" s="21">
        <v>96561752.319999903</v>
      </c>
    </row>
    <row r="3861" spans="1:1" x14ac:dyDescent="0.25">
      <c r="A3861" s="21">
        <v>256697680.62</v>
      </c>
    </row>
    <row r="3862" spans="1:1" x14ac:dyDescent="0.25">
      <c r="A3862" s="21">
        <v>12480567.039999999</v>
      </c>
    </row>
    <row r="3863" spans="1:1" x14ac:dyDescent="0.25">
      <c r="A3863" s="21">
        <v>17990058.66</v>
      </c>
    </row>
    <row r="3864" spans="1:1" x14ac:dyDescent="0.25">
      <c r="A3864">
        <v>0</v>
      </c>
    </row>
    <row r="3865" spans="1:1" x14ac:dyDescent="0.25">
      <c r="A3865" s="21">
        <v>12239010.960000001</v>
      </c>
    </row>
    <row r="3866" spans="1:1" x14ac:dyDescent="0.25">
      <c r="A3866" s="21">
        <v>45464631.460000001</v>
      </c>
    </row>
    <row r="3867" spans="1:1" x14ac:dyDescent="0.25">
      <c r="A3867" s="21">
        <v>32264806.739999998</v>
      </c>
    </row>
    <row r="3868" spans="1:1" x14ac:dyDescent="0.25">
      <c r="A3868" s="21">
        <v>187056394.40000001</v>
      </c>
    </row>
    <row r="3869" spans="1:1" x14ac:dyDescent="0.25">
      <c r="A3869">
        <v>5778309</v>
      </c>
    </row>
    <row r="3870" spans="1:1" x14ac:dyDescent="0.25">
      <c r="A3870" s="21">
        <v>19190376.510000002</v>
      </c>
    </row>
    <row r="3871" spans="1:1" x14ac:dyDescent="0.25">
      <c r="A3871" s="21">
        <v>40758552.170000002</v>
      </c>
    </row>
    <row r="3872" spans="1:1" x14ac:dyDescent="0.25">
      <c r="A3872" s="21">
        <v>14701930.6</v>
      </c>
    </row>
    <row r="3873" spans="1:1" x14ac:dyDescent="0.25">
      <c r="A3873" s="21">
        <v>406596386.47000003</v>
      </c>
    </row>
    <row r="3874" spans="1:1" x14ac:dyDescent="0.25">
      <c r="A3874" s="21">
        <v>82366566.609999999</v>
      </c>
    </row>
    <row r="3875" spans="1:1" x14ac:dyDescent="0.25">
      <c r="A3875" s="21">
        <v>9518943.9299999997</v>
      </c>
    </row>
    <row r="3876" spans="1:1" x14ac:dyDescent="0.25">
      <c r="A3876" s="21">
        <v>21252516.82</v>
      </c>
    </row>
    <row r="3877" spans="1:1" x14ac:dyDescent="0.25">
      <c r="A3877" s="21">
        <v>137216745.99000001</v>
      </c>
    </row>
    <row r="3878" spans="1:1" x14ac:dyDescent="0.25">
      <c r="A3878" s="21">
        <v>7057515.75</v>
      </c>
    </row>
    <row r="3879" spans="1:1" x14ac:dyDescent="0.25">
      <c r="A3879" s="21">
        <v>204275671.63</v>
      </c>
    </row>
    <row r="3880" spans="1:1" x14ac:dyDescent="0.25">
      <c r="A3880" s="21">
        <v>3521452.33</v>
      </c>
    </row>
    <row r="3881" spans="1:1" x14ac:dyDescent="0.25">
      <c r="A3881" s="21">
        <v>13399568.25</v>
      </c>
    </row>
    <row r="3882" spans="1:1" x14ac:dyDescent="0.25">
      <c r="A3882">
        <v>0</v>
      </c>
    </row>
    <row r="3883" spans="1:1" x14ac:dyDescent="0.25">
      <c r="A3883" s="21">
        <v>86537559.890000001</v>
      </c>
    </row>
    <row r="3884" spans="1:1" x14ac:dyDescent="0.25">
      <c r="A3884" s="21">
        <v>41372036.18</v>
      </c>
    </row>
    <row r="3885" spans="1:1" x14ac:dyDescent="0.25">
      <c r="A3885" s="21">
        <v>10495779.91</v>
      </c>
    </row>
    <row r="3886" spans="1:1" x14ac:dyDescent="0.25">
      <c r="A3886" s="21">
        <v>21626796.23</v>
      </c>
    </row>
    <row r="3887" spans="1:1" x14ac:dyDescent="0.25">
      <c r="A3887" s="21">
        <v>222823889.97999999</v>
      </c>
    </row>
    <row r="3888" spans="1:1" x14ac:dyDescent="0.25">
      <c r="A3888" s="21">
        <v>156781202.90000001</v>
      </c>
    </row>
    <row r="3889" spans="1:1" x14ac:dyDescent="0.25">
      <c r="A3889" s="21">
        <v>15187404.300000001</v>
      </c>
    </row>
    <row r="3890" spans="1:1" x14ac:dyDescent="0.25">
      <c r="A3890" s="21">
        <v>67300496.349999994</v>
      </c>
    </row>
    <row r="3891" spans="1:1" x14ac:dyDescent="0.25">
      <c r="A3891">
        <v>5351589</v>
      </c>
    </row>
    <row r="3892" spans="1:1" x14ac:dyDescent="0.25">
      <c r="A3892" s="21">
        <v>10407338.470000001</v>
      </c>
    </row>
    <row r="3893" spans="1:1" x14ac:dyDescent="0.25">
      <c r="A3893" s="21">
        <v>18981279.300000001</v>
      </c>
    </row>
    <row r="3894" spans="1:1" x14ac:dyDescent="0.25">
      <c r="A3894" s="21">
        <v>8513261.1999999899</v>
      </c>
    </row>
    <row r="3895" spans="1:1" x14ac:dyDescent="0.25">
      <c r="A3895" s="21">
        <v>23778166.670000002</v>
      </c>
    </row>
    <row r="3896" spans="1:1" x14ac:dyDescent="0.25">
      <c r="A3896" s="21">
        <v>42281570.560000002</v>
      </c>
    </row>
    <row r="3897" spans="1:1" x14ac:dyDescent="0.25">
      <c r="A3897" s="21">
        <v>16808992.23</v>
      </c>
    </row>
    <row r="3898" spans="1:1" x14ac:dyDescent="0.25">
      <c r="A3898" s="21">
        <v>12023474.1</v>
      </c>
    </row>
    <row r="3899" spans="1:1" x14ac:dyDescent="0.25">
      <c r="A3899" s="21">
        <v>23621815.859999999</v>
      </c>
    </row>
    <row r="3900" spans="1:1" x14ac:dyDescent="0.25">
      <c r="A3900" s="21">
        <v>39823323.439999998</v>
      </c>
    </row>
    <row r="3901" spans="1:1" x14ac:dyDescent="0.25">
      <c r="A3901" s="21">
        <v>30982494.93</v>
      </c>
    </row>
    <row r="3902" spans="1:1" x14ac:dyDescent="0.25">
      <c r="A3902" s="21">
        <v>70949239.099999905</v>
      </c>
    </row>
    <row r="3903" spans="1:1" x14ac:dyDescent="0.25">
      <c r="A3903" s="21">
        <v>41650166.549999997</v>
      </c>
    </row>
    <row r="3904" spans="1:1" x14ac:dyDescent="0.25">
      <c r="A3904" s="21">
        <v>93840439.870000005</v>
      </c>
    </row>
    <row r="3905" spans="1:1" x14ac:dyDescent="0.25">
      <c r="A3905" s="21">
        <v>55373988.609999999</v>
      </c>
    </row>
    <row r="3906" spans="1:1" x14ac:dyDescent="0.25">
      <c r="A3906" s="21">
        <v>9905787.6400000006</v>
      </c>
    </row>
    <row r="3907" spans="1:1" x14ac:dyDescent="0.25">
      <c r="A3907" s="21">
        <v>18962560.379999999</v>
      </c>
    </row>
    <row r="3908" spans="1:1" x14ac:dyDescent="0.25">
      <c r="A3908" s="21">
        <v>21504581.460000001</v>
      </c>
    </row>
    <row r="3909" spans="1:1" x14ac:dyDescent="0.25">
      <c r="A3909" s="21">
        <v>86734027.090000004</v>
      </c>
    </row>
    <row r="3910" spans="1:1" x14ac:dyDescent="0.25">
      <c r="A3910">
        <v>0</v>
      </c>
    </row>
    <row r="3911" spans="1:1" x14ac:dyDescent="0.25">
      <c r="A3911" s="21">
        <v>260013374.69999999</v>
      </c>
    </row>
    <row r="3912" spans="1:1" x14ac:dyDescent="0.25">
      <c r="A3912" s="21">
        <v>12945573.029999999</v>
      </c>
    </row>
    <row r="3913" spans="1:1" x14ac:dyDescent="0.25">
      <c r="A3913" s="21">
        <v>165896533.28</v>
      </c>
    </row>
    <row r="3914" spans="1:1" x14ac:dyDescent="0.25">
      <c r="A3914" s="21">
        <v>26454356.510000002</v>
      </c>
    </row>
    <row r="3915" spans="1:1" x14ac:dyDescent="0.25">
      <c r="A3915" s="21">
        <v>11789396.119999999</v>
      </c>
    </row>
    <row r="3916" spans="1:1" x14ac:dyDescent="0.25">
      <c r="A3916" s="21">
        <v>84078202.280000001</v>
      </c>
    </row>
    <row r="3917" spans="1:1" x14ac:dyDescent="0.25">
      <c r="A3917" s="21">
        <v>108432101.23999999</v>
      </c>
    </row>
    <row r="3918" spans="1:1" x14ac:dyDescent="0.25">
      <c r="A3918" s="21">
        <v>59278715.229999997</v>
      </c>
    </row>
    <row r="3919" spans="1:1" x14ac:dyDescent="0.25">
      <c r="A3919" s="21">
        <v>52176748.560000002</v>
      </c>
    </row>
    <row r="3920" spans="1:1" x14ac:dyDescent="0.25">
      <c r="A3920">
        <v>0</v>
      </c>
    </row>
    <row r="3921" spans="1:1" x14ac:dyDescent="0.25">
      <c r="A3921" s="21">
        <v>17961493.600000001</v>
      </c>
    </row>
    <row r="3922" spans="1:1" x14ac:dyDescent="0.25">
      <c r="A3922" s="21">
        <v>38622288.880000003</v>
      </c>
    </row>
    <row r="3923" spans="1:1" x14ac:dyDescent="0.25">
      <c r="A3923">
        <v>6773868</v>
      </c>
    </row>
    <row r="3924" spans="1:1" x14ac:dyDescent="0.25">
      <c r="A3924" s="21">
        <v>7095674.25</v>
      </c>
    </row>
    <row r="3925" spans="1:1" x14ac:dyDescent="0.25">
      <c r="A3925" s="21">
        <v>76550123.689999998</v>
      </c>
    </row>
    <row r="3926" spans="1:1" x14ac:dyDescent="0.25">
      <c r="A3926" s="21">
        <v>86354624.709999993</v>
      </c>
    </row>
    <row r="3927" spans="1:1" x14ac:dyDescent="0.25">
      <c r="A3927" s="21">
        <v>16262462.26</v>
      </c>
    </row>
    <row r="3928" spans="1:1" x14ac:dyDescent="0.25">
      <c r="A3928" s="21">
        <v>83951108.939999998</v>
      </c>
    </row>
    <row r="3929" spans="1:1" x14ac:dyDescent="0.25">
      <c r="A3929" s="21">
        <v>13182906.82</v>
      </c>
    </row>
    <row r="3930" spans="1:1" x14ac:dyDescent="0.25">
      <c r="A3930" s="21">
        <v>57492665.979999997</v>
      </c>
    </row>
    <row r="3931" spans="1:1" x14ac:dyDescent="0.25">
      <c r="A3931" s="21">
        <v>18012644.73</v>
      </c>
    </row>
    <row r="3932" spans="1:1" x14ac:dyDescent="0.25">
      <c r="A3932" s="21">
        <v>88001085.390000001</v>
      </c>
    </row>
    <row r="3933" spans="1:1" x14ac:dyDescent="0.25">
      <c r="A3933" s="21">
        <v>3019385.15</v>
      </c>
    </row>
    <row r="3934" spans="1:1" x14ac:dyDescent="0.25">
      <c r="A3934" s="21">
        <v>7017896.2400000002</v>
      </c>
    </row>
    <row r="3935" spans="1:1" x14ac:dyDescent="0.25">
      <c r="A3935">
        <v>0</v>
      </c>
    </row>
    <row r="3936" spans="1:1" x14ac:dyDescent="0.25">
      <c r="A3936" s="21">
        <v>379877784.48000002</v>
      </c>
    </row>
    <row r="3937" spans="1:1" x14ac:dyDescent="0.25">
      <c r="A3937" s="21">
        <v>253724042.93000001</v>
      </c>
    </row>
    <row r="3938" spans="1:1" x14ac:dyDescent="0.25">
      <c r="A3938" s="21">
        <v>141794453.84999999</v>
      </c>
    </row>
    <row r="3939" spans="1:1" x14ac:dyDescent="0.25">
      <c r="A3939" s="21">
        <v>99278730.109999999</v>
      </c>
    </row>
    <row r="3940" spans="1:1" x14ac:dyDescent="0.25">
      <c r="A3940" s="21">
        <v>25154405.75</v>
      </c>
    </row>
    <row r="3941" spans="1:1" x14ac:dyDescent="0.25">
      <c r="A3941" s="21">
        <v>48068667.770000003</v>
      </c>
    </row>
    <row r="3942" spans="1:1" x14ac:dyDescent="0.25">
      <c r="A3942" s="21">
        <v>20607184.030000001</v>
      </c>
    </row>
    <row r="3943" spans="1:1" x14ac:dyDescent="0.25">
      <c r="A3943" s="21">
        <v>158990500.93000001</v>
      </c>
    </row>
    <row r="3944" spans="1:1" x14ac:dyDescent="0.25">
      <c r="A3944" s="21">
        <v>8018030.7000000002</v>
      </c>
    </row>
    <row r="3945" spans="1:1" x14ac:dyDescent="0.25">
      <c r="A3945" s="21">
        <v>33995621.189999998</v>
      </c>
    </row>
    <row r="3946" spans="1:1" x14ac:dyDescent="0.25">
      <c r="A3946">
        <v>0</v>
      </c>
    </row>
    <row r="3947" spans="1:1" x14ac:dyDescent="0.25">
      <c r="A3947" s="21">
        <v>36636198.259999998</v>
      </c>
    </row>
    <row r="3948" spans="1:1" x14ac:dyDescent="0.25">
      <c r="A3948" s="21">
        <v>59185980.729999997</v>
      </c>
    </row>
    <row r="3949" spans="1:1" x14ac:dyDescent="0.25">
      <c r="A3949">
        <v>0</v>
      </c>
    </row>
    <row r="3950" spans="1:1" x14ac:dyDescent="0.25">
      <c r="A3950" s="21">
        <v>41012417.530000001</v>
      </c>
    </row>
    <row r="3951" spans="1:1" x14ac:dyDescent="0.25">
      <c r="A3951" s="21">
        <v>331666962.56</v>
      </c>
    </row>
    <row r="3952" spans="1:1" x14ac:dyDescent="0.25">
      <c r="A3952" s="21">
        <v>74513786.159999996</v>
      </c>
    </row>
    <row r="3953" spans="1:1" x14ac:dyDescent="0.25">
      <c r="A3953" s="21">
        <v>10516297.050000001</v>
      </c>
    </row>
    <row r="3954" spans="1:1" x14ac:dyDescent="0.25">
      <c r="A3954" s="21">
        <v>58122028.219999999</v>
      </c>
    </row>
    <row r="3955" spans="1:1" x14ac:dyDescent="0.25">
      <c r="A3955" s="21">
        <v>191912487.37</v>
      </c>
    </row>
    <row r="3956" spans="1:1" x14ac:dyDescent="0.25">
      <c r="A3956" s="21">
        <v>17551253.98</v>
      </c>
    </row>
    <row r="3957" spans="1:1" x14ac:dyDescent="0.25">
      <c r="A3957" s="21">
        <v>12479981.460000001</v>
      </c>
    </row>
    <row r="3958" spans="1:1" x14ac:dyDescent="0.25">
      <c r="A3958" s="21">
        <v>74137360.069999903</v>
      </c>
    </row>
    <row r="3959" spans="1:1" x14ac:dyDescent="0.25">
      <c r="A3959" s="21">
        <v>55098749.609999999</v>
      </c>
    </row>
    <row r="3960" spans="1:1" x14ac:dyDescent="0.25">
      <c r="A3960" s="21">
        <v>35682525.729999997</v>
      </c>
    </row>
    <row r="3961" spans="1:1" x14ac:dyDescent="0.25">
      <c r="A3961" s="21">
        <v>46601403.460000001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 s="21">
        <v>115198681.51000001</v>
      </c>
    </row>
    <row r="3965" spans="1:1" x14ac:dyDescent="0.25">
      <c r="A3965" s="21">
        <v>38324318.259999998</v>
      </c>
    </row>
    <row r="3966" spans="1:1" x14ac:dyDescent="0.25">
      <c r="A3966" s="21">
        <v>84355653.719999999</v>
      </c>
    </row>
    <row r="3967" spans="1:1" x14ac:dyDescent="0.25">
      <c r="A3967" s="21">
        <v>204695381.06</v>
      </c>
    </row>
    <row r="3968" spans="1:1" x14ac:dyDescent="0.25">
      <c r="A3968" s="21">
        <v>50314516.509999998</v>
      </c>
    </row>
    <row r="3969" spans="1:1" x14ac:dyDescent="0.25">
      <c r="A3969" s="21">
        <v>30691669.809999999</v>
      </c>
    </row>
    <row r="3970" spans="1:1" x14ac:dyDescent="0.25">
      <c r="A3970" s="21">
        <v>29595582.43</v>
      </c>
    </row>
    <row r="3971" spans="1:1" x14ac:dyDescent="0.25">
      <c r="A3971">
        <v>103242408</v>
      </c>
    </row>
    <row r="3972" spans="1:1" x14ac:dyDescent="0.25">
      <c r="A3972">
        <v>0</v>
      </c>
    </row>
    <row r="3973" spans="1:1" x14ac:dyDescent="0.25">
      <c r="A3973">
        <v>0</v>
      </c>
    </row>
    <row r="3974" spans="1:1" x14ac:dyDescent="0.25">
      <c r="A3974">
        <v>20871834</v>
      </c>
    </row>
    <row r="3975" spans="1:1" x14ac:dyDescent="0.25">
      <c r="A3975" s="21">
        <v>204798977.59</v>
      </c>
    </row>
    <row r="3976" spans="1:1" x14ac:dyDescent="0.25">
      <c r="A3976" s="21">
        <v>14333501.26</v>
      </c>
    </row>
    <row r="3977" spans="1:1" x14ac:dyDescent="0.25">
      <c r="A3977" s="21">
        <v>56941915.93</v>
      </c>
    </row>
    <row r="3978" spans="1:1" x14ac:dyDescent="0.25">
      <c r="A3978" s="21">
        <v>38781962.25</v>
      </c>
    </row>
    <row r="3979" spans="1:1" x14ac:dyDescent="0.25">
      <c r="A3979" s="21">
        <v>3404209.03</v>
      </c>
    </row>
    <row r="3980" spans="1:1" x14ac:dyDescent="0.25">
      <c r="A3980" s="21">
        <v>60702507.350000001</v>
      </c>
    </row>
    <row r="3981" spans="1:1" x14ac:dyDescent="0.25">
      <c r="A3981" s="21">
        <v>10095147.73</v>
      </c>
    </row>
    <row r="3982" spans="1:1" x14ac:dyDescent="0.25">
      <c r="A3982" s="21">
        <v>34373819.789999999</v>
      </c>
    </row>
    <row r="3983" spans="1:1" x14ac:dyDescent="0.25">
      <c r="A3983" s="21">
        <v>33924885.119999997</v>
      </c>
    </row>
    <row r="3984" spans="1:1" x14ac:dyDescent="0.25">
      <c r="A3984" s="21">
        <v>2860593.81</v>
      </c>
    </row>
    <row r="3985" spans="1:1" x14ac:dyDescent="0.25">
      <c r="A3985" s="21">
        <v>140564812.88</v>
      </c>
    </row>
    <row r="3986" spans="1:1" x14ac:dyDescent="0.25">
      <c r="A3986" s="21">
        <v>63855063.829999998</v>
      </c>
    </row>
    <row r="3987" spans="1:1" x14ac:dyDescent="0.25">
      <c r="A3987" s="21">
        <v>94905565.799999997</v>
      </c>
    </row>
    <row r="3988" spans="1:1" x14ac:dyDescent="0.25">
      <c r="A3988" s="21">
        <v>61415250.969999999</v>
      </c>
    </row>
    <row r="3989" spans="1:1" x14ac:dyDescent="0.25">
      <c r="A3989" s="21">
        <v>91555874.689999998</v>
      </c>
    </row>
    <row r="3990" spans="1:1" x14ac:dyDescent="0.25">
      <c r="A3990" s="21">
        <v>42790265.159999996</v>
      </c>
    </row>
    <row r="3991" spans="1:1" x14ac:dyDescent="0.25">
      <c r="A3991" s="21">
        <v>109575250.09999999</v>
      </c>
    </row>
    <row r="3992" spans="1:1" x14ac:dyDescent="0.25">
      <c r="A3992" s="21">
        <v>12879525.75</v>
      </c>
    </row>
    <row r="3993" spans="1:1" x14ac:dyDescent="0.25">
      <c r="A3993" s="21">
        <v>520205788.38</v>
      </c>
    </row>
    <row r="3994" spans="1:1" x14ac:dyDescent="0.25">
      <c r="A3994" s="21">
        <v>298795967.04000002</v>
      </c>
    </row>
    <row r="3995" spans="1:1" x14ac:dyDescent="0.25">
      <c r="A3995" s="21">
        <v>36762460.140000001</v>
      </c>
    </row>
    <row r="3996" spans="1:1" x14ac:dyDescent="0.25">
      <c r="A3996" s="21">
        <v>228355288.11000001</v>
      </c>
    </row>
    <row r="3997" spans="1:1" x14ac:dyDescent="0.25">
      <c r="A3997" s="21">
        <v>80424554.609999999</v>
      </c>
    </row>
    <row r="3998" spans="1:1" x14ac:dyDescent="0.25">
      <c r="A3998" s="21">
        <v>85539893.670000002</v>
      </c>
    </row>
    <row r="3999" spans="1:1" x14ac:dyDescent="0.25">
      <c r="A3999" s="21">
        <v>242214109.19</v>
      </c>
    </row>
    <row r="4000" spans="1:1" x14ac:dyDescent="0.25">
      <c r="A4000" s="21">
        <v>38084128.93</v>
      </c>
    </row>
    <row r="4001" spans="1:1" x14ac:dyDescent="0.25">
      <c r="A4001" s="21">
        <v>87386535.469999999</v>
      </c>
    </row>
    <row r="4002" spans="1:1" x14ac:dyDescent="0.25">
      <c r="A4002" s="21">
        <v>80942361.039999902</v>
      </c>
    </row>
    <row r="4003" spans="1:1" x14ac:dyDescent="0.25">
      <c r="A4003" s="21">
        <v>27910969.800000001</v>
      </c>
    </row>
    <row r="4004" spans="1:1" x14ac:dyDescent="0.25">
      <c r="A4004" s="21">
        <v>35288320.640000001</v>
      </c>
    </row>
    <row r="4005" spans="1:1" x14ac:dyDescent="0.25">
      <c r="A4005" s="21">
        <v>70821845.810000002</v>
      </c>
    </row>
    <row r="4006" spans="1:1" x14ac:dyDescent="0.25">
      <c r="A4006" s="21">
        <v>60963604.280000001</v>
      </c>
    </row>
    <row r="4007" spans="1:1" x14ac:dyDescent="0.25">
      <c r="A4007" s="21">
        <v>54466978.57</v>
      </c>
    </row>
    <row r="4008" spans="1:1" x14ac:dyDescent="0.25">
      <c r="A4008" s="21">
        <v>136690747.75</v>
      </c>
    </row>
    <row r="4009" spans="1:1" x14ac:dyDescent="0.25">
      <c r="A4009" s="21">
        <v>4662237.21</v>
      </c>
    </row>
    <row r="4010" spans="1:1" x14ac:dyDescent="0.25">
      <c r="A4010" s="21">
        <v>45306594.689999998</v>
      </c>
    </row>
    <row r="4011" spans="1:1" x14ac:dyDescent="0.25">
      <c r="A4011">
        <v>0</v>
      </c>
    </row>
    <row r="4012" spans="1:1" x14ac:dyDescent="0.25">
      <c r="A4012" s="21">
        <v>8545822.8000000007</v>
      </c>
    </row>
    <row r="4013" spans="1:1" x14ac:dyDescent="0.25">
      <c r="A4013" s="21">
        <v>110493552.48999999</v>
      </c>
    </row>
    <row r="4014" spans="1:1" x14ac:dyDescent="0.25">
      <c r="A4014" s="21">
        <v>45796652.289999999</v>
      </c>
    </row>
    <row r="4015" spans="1:1" x14ac:dyDescent="0.25">
      <c r="A4015" s="21">
        <v>122935759.45999999</v>
      </c>
    </row>
    <row r="4016" spans="1:1" x14ac:dyDescent="0.25">
      <c r="A4016" s="21">
        <v>53381547.969999999</v>
      </c>
    </row>
    <row r="4017" spans="1:1" x14ac:dyDescent="0.25">
      <c r="A4017" s="21">
        <v>94437378.909999996</v>
      </c>
    </row>
    <row r="4018" spans="1:1" x14ac:dyDescent="0.25">
      <c r="A4018" s="21">
        <v>75860098.200000003</v>
      </c>
    </row>
    <row r="4019" spans="1:1" x14ac:dyDescent="0.25">
      <c r="A4019" s="21">
        <v>18531638.16</v>
      </c>
    </row>
    <row r="4020" spans="1:1" x14ac:dyDescent="0.25">
      <c r="A4020" s="21">
        <v>97597606.430000007</v>
      </c>
    </row>
    <row r="4021" spans="1:1" x14ac:dyDescent="0.25">
      <c r="A4021" s="21">
        <v>33425665.289999999</v>
      </c>
    </row>
    <row r="4022" spans="1:1" x14ac:dyDescent="0.25">
      <c r="A4022" s="21">
        <v>24575572.73</v>
      </c>
    </row>
    <row r="4023" spans="1:1" x14ac:dyDescent="0.25">
      <c r="A4023" s="21">
        <v>13159425.75</v>
      </c>
    </row>
    <row r="4024" spans="1:1" x14ac:dyDescent="0.25">
      <c r="A4024" s="21">
        <v>51042537.710000001</v>
      </c>
    </row>
    <row r="4025" spans="1:1" x14ac:dyDescent="0.25">
      <c r="A4025" s="21">
        <v>146368706.27000001</v>
      </c>
    </row>
    <row r="4026" spans="1:1" x14ac:dyDescent="0.25">
      <c r="A4026" s="21">
        <v>99139804.409999996</v>
      </c>
    </row>
    <row r="4027" spans="1:1" x14ac:dyDescent="0.25">
      <c r="A4027" s="21">
        <v>46240960.799999997</v>
      </c>
    </row>
    <row r="4028" spans="1:1" x14ac:dyDescent="0.25">
      <c r="A4028" s="21">
        <v>185509459.5</v>
      </c>
    </row>
    <row r="4029" spans="1:1" x14ac:dyDescent="0.25">
      <c r="A4029" s="21">
        <v>105873201.42</v>
      </c>
    </row>
    <row r="4030" spans="1:1" x14ac:dyDescent="0.25">
      <c r="A4030" s="21">
        <v>19921433.25</v>
      </c>
    </row>
    <row r="4031" spans="1:1" x14ac:dyDescent="0.25">
      <c r="A4031" s="21">
        <v>78131553.950000003</v>
      </c>
    </row>
    <row r="4032" spans="1:1" x14ac:dyDescent="0.25">
      <c r="A4032" s="21">
        <v>3905087.63</v>
      </c>
    </row>
    <row r="4033" spans="1:1" x14ac:dyDescent="0.25">
      <c r="A4033" s="21">
        <v>43377647.380000003</v>
      </c>
    </row>
    <row r="4034" spans="1:1" x14ac:dyDescent="0.25">
      <c r="A4034" s="21">
        <v>43373977.329999998</v>
      </c>
    </row>
    <row r="4035" spans="1:1" x14ac:dyDescent="0.25">
      <c r="A4035" s="21">
        <v>43887952.340000004</v>
      </c>
    </row>
    <row r="4036" spans="1:1" x14ac:dyDescent="0.25">
      <c r="A4036" s="21">
        <v>208514578.33000001</v>
      </c>
    </row>
    <row r="4037" spans="1:1" x14ac:dyDescent="0.25">
      <c r="A4037" s="21">
        <v>61559500.75</v>
      </c>
    </row>
    <row r="4038" spans="1:1" x14ac:dyDescent="0.25">
      <c r="A4038" s="21">
        <v>139638860.02000001</v>
      </c>
    </row>
    <row r="4039" spans="1:1" x14ac:dyDescent="0.25">
      <c r="A4039" s="21">
        <v>63009419.079999998</v>
      </c>
    </row>
    <row r="4040" spans="1:1" x14ac:dyDescent="0.25">
      <c r="A4040" s="21">
        <v>48226108.630000003</v>
      </c>
    </row>
    <row r="4041" spans="1:1" x14ac:dyDescent="0.25">
      <c r="A4041" s="21">
        <v>166925386.06999999</v>
      </c>
    </row>
    <row r="4042" spans="1:1" x14ac:dyDescent="0.25">
      <c r="A4042" s="21">
        <v>397919413.38999999</v>
      </c>
    </row>
    <row r="4043" spans="1:1" x14ac:dyDescent="0.25">
      <c r="A4043" s="21">
        <v>307324710.13</v>
      </c>
    </row>
    <row r="4044" spans="1:1" x14ac:dyDescent="0.25">
      <c r="A4044" s="21">
        <v>19844652.449999999</v>
      </c>
    </row>
    <row r="4045" spans="1:1" x14ac:dyDescent="0.25">
      <c r="A4045" s="21">
        <v>9682135.6299999896</v>
      </c>
    </row>
    <row r="4046" spans="1:1" x14ac:dyDescent="0.25">
      <c r="A4046" s="21">
        <v>187829423.71000001</v>
      </c>
    </row>
    <row r="4047" spans="1:1" x14ac:dyDescent="0.25">
      <c r="A4047" s="21">
        <v>16726551.43</v>
      </c>
    </row>
    <row r="4048" spans="1:1" x14ac:dyDescent="0.25">
      <c r="A4048" s="21">
        <v>3973944.2</v>
      </c>
    </row>
    <row r="4049" spans="1:1" x14ac:dyDescent="0.25">
      <c r="A4049" s="21">
        <v>140970893.86000001</v>
      </c>
    </row>
    <row r="4050" spans="1:1" x14ac:dyDescent="0.25">
      <c r="A4050" s="21">
        <v>74853938.719999999</v>
      </c>
    </row>
    <row r="4051" spans="1:1" x14ac:dyDescent="0.25">
      <c r="A4051" s="21">
        <v>167755148.78999999</v>
      </c>
    </row>
    <row r="4052" spans="1:1" x14ac:dyDescent="0.25">
      <c r="A4052" s="21">
        <v>10686891.279999999</v>
      </c>
    </row>
    <row r="4053" spans="1:1" x14ac:dyDescent="0.25">
      <c r="A4053" s="21">
        <v>48932265.520000003</v>
      </c>
    </row>
    <row r="4054" spans="1:1" x14ac:dyDescent="0.25">
      <c r="A4054" s="21">
        <v>19010610.43</v>
      </c>
    </row>
    <row r="4055" spans="1:1" x14ac:dyDescent="0.25">
      <c r="A4055" s="21">
        <v>65432038.850000001</v>
      </c>
    </row>
    <row r="4056" spans="1:1" x14ac:dyDescent="0.25">
      <c r="A4056" s="21">
        <v>248963052.33000001</v>
      </c>
    </row>
    <row r="4057" spans="1:1" x14ac:dyDescent="0.25">
      <c r="A4057" s="21">
        <v>25917143.559999999</v>
      </c>
    </row>
    <row r="4058" spans="1:1" x14ac:dyDescent="0.25">
      <c r="A4058" s="21">
        <v>24227091.18</v>
      </c>
    </row>
    <row r="4059" spans="1:1" x14ac:dyDescent="0.25">
      <c r="A4059">
        <v>6217722</v>
      </c>
    </row>
    <row r="4060" spans="1:1" x14ac:dyDescent="0.25">
      <c r="A4060">
        <v>6596118</v>
      </c>
    </row>
    <row r="4061" spans="1:1" x14ac:dyDescent="0.25">
      <c r="A4061" s="21">
        <v>10757099.33</v>
      </c>
    </row>
    <row r="4062" spans="1:1" x14ac:dyDescent="0.25">
      <c r="A4062" s="21">
        <v>41072955.159999996</v>
      </c>
    </row>
    <row r="4063" spans="1:1" x14ac:dyDescent="0.25">
      <c r="A4063" s="21">
        <v>247941565.94</v>
      </c>
    </row>
    <row r="4064" spans="1:1" x14ac:dyDescent="0.25">
      <c r="A4064" s="21">
        <v>49226622.359999999</v>
      </c>
    </row>
    <row r="4065" spans="1:1" x14ac:dyDescent="0.25">
      <c r="A4065" s="21">
        <v>39380037.939999998</v>
      </c>
    </row>
    <row r="4066" spans="1:1" x14ac:dyDescent="0.25">
      <c r="A4066" s="21">
        <v>132054804.7</v>
      </c>
    </row>
    <row r="4067" spans="1:1" x14ac:dyDescent="0.25">
      <c r="A4067" s="21">
        <v>48270781.189999998</v>
      </c>
    </row>
    <row r="4068" spans="1:1" x14ac:dyDescent="0.25">
      <c r="A4068" s="21">
        <v>57435816.649999999</v>
      </c>
    </row>
    <row r="4069" spans="1:1" x14ac:dyDescent="0.25">
      <c r="A4069" s="21">
        <v>46784269.490000002</v>
      </c>
    </row>
    <row r="4070" spans="1:1" x14ac:dyDescent="0.25">
      <c r="A4070" s="21">
        <v>117712291.55</v>
      </c>
    </row>
    <row r="4071" spans="1:1" x14ac:dyDescent="0.25">
      <c r="A4071" s="21">
        <v>20535274.079999998</v>
      </c>
    </row>
    <row r="4072" spans="1:1" x14ac:dyDescent="0.25">
      <c r="A4072" s="21">
        <v>177887805.78</v>
      </c>
    </row>
    <row r="4073" spans="1:1" x14ac:dyDescent="0.25">
      <c r="A4073" s="21">
        <v>107069097.15000001</v>
      </c>
    </row>
    <row r="4074" spans="1:1" x14ac:dyDescent="0.25">
      <c r="A4074" s="21">
        <v>193950409.59</v>
      </c>
    </row>
    <row r="4075" spans="1:1" x14ac:dyDescent="0.25">
      <c r="A4075" s="21">
        <v>25834667.77</v>
      </c>
    </row>
    <row r="4076" spans="1:1" x14ac:dyDescent="0.25">
      <c r="A4076" s="21">
        <v>180610848.09999999</v>
      </c>
    </row>
    <row r="4077" spans="1:1" x14ac:dyDescent="0.25">
      <c r="A4077" s="21">
        <v>175435524.75999999</v>
      </c>
    </row>
    <row r="4078" spans="1:1" x14ac:dyDescent="0.25">
      <c r="A4078" s="21">
        <v>19404637.48</v>
      </c>
    </row>
    <row r="4079" spans="1:1" x14ac:dyDescent="0.25">
      <c r="A4079">
        <v>0</v>
      </c>
    </row>
    <row r="4080" spans="1:1" x14ac:dyDescent="0.25">
      <c r="A4080" s="21">
        <v>27886629.399999999</v>
      </c>
    </row>
    <row r="4081" spans="1:1" x14ac:dyDescent="0.25">
      <c r="A4081" s="21">
        <v>143447798.90000001</v>
      </c>
    </row>
    <row r="4082" spans="1:1" x14ac:dyDescent="0.25">
      <c r="A4082" s="21">
        <v>125240921.12</v>
      </c>
    </row>
    <row r="4083" spans="1:1" x14ac:dyDescent="0.25">
      <c r="A4083" s="21">
        <v>25190865.899999999</v>
      </c>
    </row>
    <row r="4084" spans="1:1" x14ac:dyDescent="0.25">
      <c r="A4084" s="21">
        <v>28130265.940000001</v>
      </c>
    </row>
    <row r="4085" spans="1:1" x14ac:dyDescent="0.25">
      <c r="A4085" s="21">
        <v>81772422.329999998</v>
      </c>
    </row>
    <row r="4086" spans="1:1" x14ac:dyDescent="0.25">
      <c r="A4086" s="21">
        <v>61276746.8699999</v>
      </c>
    </row>
    <row r="4087" spans="1:1" x14ac:dyDescent="0.25">
      <c r="A4087" s="21">
        <v>227042588.25</v>
      </c>
    </row>
    <row r="4088" spans="1:1" x14ac:dyDescent="0.25">
      <c r="A4088" s="21">
        <v>104906125.53</v>
      </c>
    </row>
    <row r="4089" spans="1:1" x14ac:dyDescent="0.25">
      <c r="A4089" s="21">
        <v>190689971.36000001</v>
      </c>
    </row>
    <row r="4090" spans="1:1" x14ac:dyDescent="0.25">
      <c r="A4090" s="21">
        <v>64412287.340000004</v>
      </c>
    </row>
    <row r="4091" spans="1:1" x14ac:dyDescent="0.25">
      <c r="A4091" s="21">
        <v>32770097.170000002</v>
      </c>
    </row>
    <row r="4092" spans="1:1" x14ac:dyDescent="0.25">
      <c r="A4092" s="21">
        <v>47051965.630000003</v>
      </c>
    </row>
    <row r="4093" spans="1:1" x14ac:dyDescent="0.25">
      <c r="A4093" s="21">
        <v>95721884.890000001</v>
      </c>
    </row>
    <row r="4094" spans="1:1" x14ac:dyDescent="0.25">
      <c r="A4094" s="21">
        <v>217592253.28</v>
      </c>
    </row>
    <row r="4095" spans="1:1" x14ac:dyDescent="0.25">
      <c r="A4095" s="21">
        <v>8768742.8399999999</v>
      </c>
    </row>
    <row r="4096" spans="1:1" x14ac:dyDescent="0.25">
      <c r="A4096" s="21">
        <v>64951364.460000001</v>
      </c>
    </row>
    <row r="4097" spans="1:1" x14ac:dyDescent="0.25">
      <c r="A4097" s="21">
        <v>13919263.93</v>
      </c>
    </row>
    <row r="4098" spans="1:1" x14ac:dyDescent="0.25">
      <c r="A4098" s="21">
        <v>16619008.529999999</v>
      </c>
    </row>
    <row r="4099" spans="1:1" x14ac:dyDescent="0.25">
      <c r="A4099" s="21">
        <v>61894421.539999999</v>
      </c>
    </row>
    <row r="4100" spans="1:1" x14ac:dyDescent="0.25">
      <c r="A4100" s="21">
        <v>11754833.76</v>
      </c>
    </row>
    <row r="4101" spans="1:1" x14ac:dyDescent="0.25">
      <c r="A4101" s="21">
        <v>16853383.68</v>
      </c>
    </row>
    <row r="4102" spans="1:1" x14ac:dyDescent="0.25">
      <c r="A4102" s="21">
        <v>82809814.519999996</v>
      </c>
    </row>
    <row r="4103" spans="1:1" x14ac:dyDescent="0.25">
      <c r="A4103" s="21">
        <v>53273214.649999999</v>
      </c>
    </row>
    <row r="4104" spans="1:1" x14ac:dyDescent="0.25">
      <c r="A4104" s="21">
        <v>6014379.75</v>
      </c>
    </row>
    <row r="4105" spans="1:1" x14ac:dyDescent="0.25">
      <c r="A4105" s="21">
        <v>263296008.75999999</v>
      </c>
    </row>
    <row r="4106" spans="1:1" x14ac:dyDescent="0.25">
      <c r="A4106" s="21">
        <v>39830847.450000003</v>
      </c>
    </row>
    <row r="4107" spans="1:1" x14ac:dyDescent="0.25">
      <c r="A4107" s="21">
        <v>34700517.130000003</v>
      </c>
    </row>
    <row r="4108" spans="1:1" x14ac:dyDescent="0.25">
      <c r="A4108" s="21">
        <v>87503114.900000006</v>
      </c>
    </row>
    <row r="4109" spans="1:1" x14ac:dyDescent="0.25">
      <c r="A4109" s="21">
        <v>5633349.2800000003</v>
      </c>
    </row>
    <row r="4110" spans="1:1" x14ac:dyDescent="0.25">
      <c r="A4110" s="21">
        <v>62817819.539999999</v>
      </c>
    </row>
    <row r="4111" spans="1:1" x14ac:dyDescent="0.25">
      <c r="A4111" s="21">
        <v>63430038.240000002</v>
      </c>
    </row>
    <row r="4112" spans="1:1" x14ac:dyDescent="0.25">
      <c r="A4112" s="21">
        <v>16128776.08</v>
      </c>
    </row>
    <row r="4113" spans="1:1" x14ac:dyDescent="0.25">
      <c r="A4113">
        <v>0</v>
      </c>
    </row>
    <row r="4114" spans="1:1" x14ac:dyDescent="0.25">
      <c r="A4114" s="21">
        <v>16311452.09</v>
      </c>
    </row>
    <row r="4115" spans="1:1" x14ac:dyDescent="0.25">
      <c r="A4115" s="21">
        <v>54403075.899999999</v>
      </c>
    </row>
    <row r="4116" spans="1:1" x14ac:dyDescent="0.25">
      <c r="A4116" s="21">
        <v>130655459.29000001</v>
      </c>
    </row>
    <row r="4117" spans="1:1" x14ac:dyDescent="0.25">
      <c r="A4117" s="21">
        <v>35028488.299999997</v>
      </c>
    </row>
    <row r="4118" spans="1:1" x14ac:dyDescent="0.25">
      <c r="A4118" s="21">
        <v>74549584.799999997</v>
      </c>
    </row>
    <row r="4119" spans="1:1" x14ac:dyDescent="0.25">
      <c r="A4119" s="21">
        <v>53523481.399999999</v>
      </c>
    </row>
    <row r="4120" spans="1:1" x14ac:dyDescent="0.25">
      <c r="A4120" s="21">
        <v>45834555.969999999</v>
      </c>
    </row>
    <row r="4121" spans="1:1" x14ac:dyDescent="0.25">
      <c r="A4121" s="21">
        <v>93924387.290000007</v>
      </c>
    </row>
    <row r="4122" spans="1:1" x14ac:dyDescent="0.25">
      <c r="A4122" s="21">
        <v>10673876.07</v>
      </c>
    </row>
    <row r="4123" spans="1:1" x14ac:dyDescent="0.25">
      <c r="A4123" s="21">
        <v>6413802.7999999998</v>
      </c>
    </row>
    <row r="4124" spans="1:1" x14ac:dyDescent="0.25">
      <c r="A4124" s="21">
        <v>44314085.829999998</v>
      </c>
    </row>
    <row r="4125" spans="1:1" x14ac:dyDescent="0.25">
      <c r="A4125" s="21">
        <v>227861359.58000001</v>
      </c>
    </row>
    <row r="4126" spans="1:1" x14ac:dyDescent="0.25">
      <c r="A4126" s="21">
        <v>137002763.99000001</v>
      </c>
    </row>
    <row r="4127" spans="1:1" x14ac:dyDescent="0.25">
      <c r="A4127" s="21">
        <v>20176506.18</v>
      </c>
    </row>
    <row r="4128" spans="1:1" x14ac:dyDescent="0.25">
      <c r="A4128" s="21">
        <v>6672014.25</v>
      </c>
    </row>
    <row r="4129" spans="1:1" x14ac:dyDescent="0.25">
      <c r="A4129" s="21">
        <v>10674972.65</v>
      </c>
    </row>
    <row r="4130" spans="1:1" x14ac:dyDescent="0.25">
      <c r="A4130" s="21">
        <v>7956999.7300000004</v>
      </c>
    </row>
    <row r="4131" spans="1:1" x14ac:dyDescent="0.25">
      <c r="A4131" s="21">
        <v>60849596.520000003</v>
      </c>
    </row>
    <row r="4132" spans="1:1" x14ac:dyDescent="0.25">
      <c r="A4132" s="21">
        <v>150912395.38</v>
      </c>
    </row>
    <row r="4133" spans="1:1" x14ac:dyDescent="0.25">
      <c r="A4133" s="21">
        <v>220478055.78999999</v>
      </c>
    </row>
    <row r="4134" spans="1:1" x14ac:dyDescent="0.25">
      <c r="A4134" s="21">
        <v>59772388.909999996</v>
      </c>
    </row>
    <row r="4135" spans="1:1" x14ac:dyDescent="0.25">
      <c r="A4135" s="21">
        <v>268424897.68000001</v>
      </c>
    </row>
    <row r="4136" spans="1:1" x14ac:dyDescent="0.25">
      <c r="A4136" s="21">
        <v>5990513.25</v>
      </c>
    </row>
    <row r="4137" spans="1:1" x14ac:dyDescent="0.25">
      <c r="A4137" s="21">
        <v>13125213.41</v>
      </c>
    </row>
    <row r="4138" spans="1:1" x14ac:dyDescent="0.25">
      <c r="A4138" s="21">
        <v>2910052.54</v>
      </c>
    </row>
    <row r="4139" spans="1:1" x14ac:dyDescent="0.25">
      <c r="A4139" s="21">
        <v>31854246.620000001</v>
      </c>
    </row>
    <row r="4140" spans="1:1" x14ac:dyDescent="0.25">
      <c r="A4140" s="21">
        <v>35105943.100000001</v>
      </c>
    </row>
    <row r="4141" spans="1:1" x14ac:dyDescent="0.25">
      <c r="A4141" s="21">
        <v>13431016.5</v>
      </c>
    </row>
    <row r="4142" spans="1:1" x14ac:dyDescent="0.25">
      <c r="A4142" s="21">
        <v>63296243.020000003</v>
      </c>
    </row>
    <row r="4143" spans="1:1" x14ac:dyDescent="0.25">
      <c r="A4143" s="21">
        <v>6998748.75</v>
      </c>
    </row>
    <row r="4144" spans="1:1" x14ac:dyDescent="0.25">
      <c r="A4144" s="21">
        <v>36728129.390000001</v>
      </c>
    </row>
    <row r="4145" spans="1:1" x14ac:dyDescent="0.25">
      <c r="A4145" s="21">
        <v>36352564.689999998</v>
      </c>
    </row>
    <row r="4146" spans="1:1" x14ac:dyDescent="0.25">
      <c r="A4146" s="21">
        <v>29331151.550000001</v>
      </c>
    </row>
    <row r="4147" spans="1:1" x14ac:dyDescent="0.25">
      <c r="A4147" s="21">
        <v>41686123.82</v>
      </c>
    </row>
    <row r="4148" spans="1:1" x14ac:dyDescent="0.25">
      <c r="A4148" s="21">
        <v>118277399.77</v>
      </c>
    </row>
    <row r="4149" spans="1:1" x14ac:dyDescent="0.25">
      <c r="A4149" s="21">
        <v>2914826.29</v>
      </c>
    </row>
    <row r="4150" spans="1:1" x14ac:dyDescent="0.25">
      <c r="A4150" s="21">
        <v>10936098.27</v>
      </c>
    </row>
    <row r="4151" spans="1:1" x14ac:dyDescent="0.25">
      <c r="A4151" s="21">
        <v>84696539.030000001</v>
      </c>
    </row>
    <row r="4152" spans="1:1" x14ac:dyDescent="0.25">
      <c r="A4152" s="21">
        <v>6964036.5</v>
      </c>
    </row>
    <row r="4153" spans="1:1" x14ac:dyDescent="0.25">
      <c r="A4153" s="21">
        <v>240884574.78999999</v>
      </c>
    </row>
    <row r="4154" spans="1:1" x14ac:dyDescent="0.25">
      <c r="A4154" s="21">
        <v>49875804.100000001</v>
      </c>
    </row>
    <row r="4155" spans="1:1" x14ac:dyDescent="0.25">
      <c r="A4155" s="21">
        <v>118986299.59</v>
      </c>
    </row>
    <row r="4156" spans="1:1" x14ac:dyDescent="0.25">
      <c r="A4156" s="21">
        <v>27954638.559999999</v>
      </c>
    </row>
    <row r="4157" spans="1:1" x14ac:dyDescent="0.25">
      <c r="A4157" s="21">
        <v>34158720.07</v>
      </c>
    </row>
    <row r="4158" spans="1:1" x14ac:dyDescent="0.25">
      <c r="A4158" s="21">
        <v>202239155.78</v>
      </c>
    </row>
    <row r="4159" spans="1:1" x14ac:dyDescent="0.25">
      <c r="A4159" s="21">
        <v>149315597.18000001</v>
      </c>
    </row>
    <row r="4160" spans="1:1" x14ac:dyDescent="0.25">
      <c r="A4160" s="21">
        <v>6658265.25</v>
      </c>
    </row>
    <row r="4161" spans="1:1" x14ac:dyDescent="0.25">
      <c r="A4161" s="21">
        <v>24543002.030000001</v>
      </c>
    </row>
    <row r="4162" spans="1:1" x14ac:dyDescent="0.25">
      <c r="A4162" s="21">
        <v>71606422.840000004</v>
      </c>
    </row>
    <row r="4163" spans="1:1" x14ac:dyDescent="0.25">
      <c r="A4163" s="21">
        <v>10300994.73</v>
      </c>
    </row>
    <row r="4164" spans="1:1" x14ac:dyDescent="0.25">
      <c r="A4164" s="21">
        <v>121724900.83</v>
      </c>
    </row>
    <row r="4165" spans="1:1" x14ac:dyDescent="0.25">
      <c r="A4165" s="21">
        <v>7705946.04</v>
      </c>
    </row>
    <row r="4166" spans="1:1" x14ac:dyDescent="0.25">
      <c r="A4166" s="21">
        <v>86591222.489999995</v>
      </c>
    </row>
    <row r="4167" spans="1:1" x14ac:dyDescent="0.25">
      <c r="A4167" s="21">
        <v>59749516.82</v>
      </c>
    </row>
    <row r="4168" spans="1:1" x14ac:dyDescent="0.25">
      <c r="A4168" s="21">
        <v>96400954.659999996</v>
      </c>
    </row>
    <row r="4169" spans="1:1" x14ac:dyDescent="0.25">
      <c r="A4169" s="21">
        <v>36199336.229999997</v>
      </c>
    </row>
    <row r="4170" spans="1:1" x14ac:dyDescent="0.25">
      <c r="A4170" s="21">
        <v>45686852.329999998</v>
      </c>
    </row>
    <row r="4171" spans="1:1" x14ac:dyDescent="0.25">
      <c r="A4171" s="21">
        <v>22963573.800000001</v>
      </c>
    </row>
    <row r="4172" spans="1:1" x14ac:dyDescent="0.25">
      <c r="A4172" s="21">
        <v>42504344.310000002</v>
      </c>
    </row>
    <row r="4173" spans="1:1" x14ac:dyDescent="0.25">
      <c r="A4173" s="21">
        <v>20156865.870000001</v>
      </c>
    </row>
    <row r="4174" spans="1:1" x14ac:dyDescent="0.25">
      <c r="A4174" s="21">
        <v>43944705.890000001</v>
      </c>
    </row>
    <row r="4175" spans="1:1" x14ac:dyDescent="0.25">
      <c r="A4175">
        <v>47000686</v>
      </c>
    </row>
    <row r="4176" spans="1:1" x14ac:dyDescent="0.25">
      <c r="A4176" s="21">
        <v>115295207.34</v>
      </c>
    </row>
    <row r="4177" spans="1:1" x14ac:dyDescent="0.25">
      <c r="A4177" s="21">
        <v>4268531.1399999997</v>
      </c>
    </row>
    <row r="4178" spans="1:1" x14ac:dyDescent="0.25">
      <c r="A4178" s="21">
        <v>111529608.43000001</v>
      </c>
    </row>
    <row r="4179" spans="1:1" x14ac:dyDescent="0.25">
      <c r="A4179" s="21">
        <v>43210773.659999996</v>
      </c>
    </row>
    <row r="4180" spans="1:1" x14ac:dyDescent="0.25">
      <c r="A4180" s="21">
        <v>150054646.41</v>
      </c>
    </row>
    <row r="4181" spans="1:1" x14ac:dyDescent="0.25">
      <c r="A4181" s="21">
        <v>59405523.350000001</v>
      </c>
    </row>
    <row r="4182" spans="1:1" x14ac:dyDescent="0.25">
      <c r="A4182" s="21">
        <v>11156716.59</v>
      </c>
    </row>
    <row r="4183" spans="1:1" x14ac:dyDescent="0.25">
      <c r="A4183">
        <v>0</v>
      </c>
    </row>
    <row r="4184" spans="1:1" x14ac:dyDescent="0.25">
      <c r="A4184" s="21">
        <v>7417873.5099999998</v>
      </c>
    </row>
    <row r="4185" spans="1:1" x14ac:dyDescent="0.25">
      <c r="A4185" s="21">
        <v>80151674.319999993</v>
      </c>
    </row>
    <row r="4186" spans="1:1" x14ac:dyDescent="0.25">
      <c r="A4186" s="21">
        <v>59226132.100000001</v>
      </c>
    </row>
    <row r="4187" spans="1:1" x14ac:dyDescent="0.25">
      <c r="A4187" s="21">
        <v>24675247.199999999</v>
      </c>
    </row>
    <row r="4188" spans="1:1" x14ac:dyDescent="0.25">
      <c r="A4188" s="21">
        <v>235774223.94</v>
      </c>
    </row>
    <row r="4189" spans="1:1" x14ac:dyDescent="0.25">
      <c r="A4189" s="21">
        <v>77044098.540000007</v>
      </c>
    </row>
    <row r="4190" spans="1:1" x14ac:dyDescent="0.25">
      <c r="A4190" s="21">
        <v>74851546.879999995</v>
      </c>
    </row>
    <row r="4191" spans="1:1" x14ac:dyDescent="0.25">
      <c r="A4191" s="21">
        <v>80181143.019999996</v>
      </c>
    </row>
    <row r="4192" spans="1:1" x14ac:dyDescent="0.25">
      <c r="A4192" s="21">
        <v>124563914.73999999</v>
      </c>
    </row>
    <row r="4193" spans="1:1" x14ac:dyDescent="0.25">
      <c r="A4193" s="21">
        <v>80878225.499999896</v>
      </c>
    </row>
    <row r="4194" spans="1:1" x14ac:dyDescent="0.25">
      <c r="A4194" s="21">
        <v>10706027.460000001</v>
      </c>
    </row>
    <row r="4195" spans="1:1" x14ac:dyDescent="0.25">
      <c r="A4195" s="21">
        <v>63645396.329999998</v>
      </c>
    </row>
    <row r="4196" spans="1:1" x14ac:dyDescent="0.25">
      <c r="A4196" s="21">
        <v>6810743.25</v>
      </c>
    </row>
    <row r="4197" spans="1:1" x14ac:dyDescent="0.25">
      <c r="A4197" s="21">
        <v>3019482.97</v>
      </c>
    </row>
    <row r="4198" spans="1:1" x14ac:dyDescent="0.25">
      <c r="A4198" s="21">
        <v>22454933.420000002</v>
      </c>
    </row>
    <row r="4199" spans="1:1" x14ac:dyDescent="0.25">
      <c r="A4199">
        <v>0</v>
      </c>
    </row>
    <row r="4200" spans="1:1" x14ac:dyDescent="0.25">
      <c r="A4200" s="21">
        <v>16689341.57</v>
      </c>
    </row>
    <row r="4201" spans="1:1" x14ac:dyDescent="0.25">
      <c r="A4201" s="21">
        <v>167965880.5</v>
      </c>
    </row>
    <row r="4202" spans="1:1" x14ac:dyDescent="0.25">
      <c r="A4202" s="21">
        <v>7180039.5899999999</v>
      </c>
    </row>
    <row r="4203" spans="1:1" x14ac:dyDescent="0.25">
      <c r="A4203" s="21">
        <v>25773347.379999999</v>
      </c>
    </row>
    <row r="4204" spans="1:1" x14ac:dyDescent="0.25">
      <c r="A4204" s="21">
        <v>170877799.46000001</v>
      </c>
    </row>
    <row r="4205" spans="1:1" x14ac:dyDescent="0.25">
      <c r="A4205" s="21">
        <v>26770962.829999998</v>
      </c>
    </row>
    <row r="4206" spans="1:1" x14ac:dyDescent="0.25">
      <c r="A4206" s="21">
        <v>34775189.799999997</v>
      </c>
    </row>
    <row r="4207" spans="1:1" x14ac:dyDescent="0.25">
      <c r="A4207" s="21">
        <v>47270909.890000001</v>
      </c>
    </row>
    <row r="4208" spans="1:1" x14ac:dyDescent="0.25">
      <c r="A4208" s="21">
        <v>32609466.52</v>
      </c>
    </row>
    <row r="4209" spans="1:1" x14ac:dyDescent="0.25">
      <c r="A4209" s="21">
        <v>36576273.810000002</v>
      </c>
    </row>
    <row r="4210" spans="1:1" x14ac:dyDescent="0.25">
      <c r="A4210" s="21">
        <v>157370506.84</v>
      </c>
    </row>
    <row r="4211" spans="1:1" x14ac:dyDescent="0.25">
      <c r="A4211" s="21">
        <v>58497239.530000001</v>
      </c>
    </row>
    <row r="4212" spans="1:1" x14ac:dyDescent="0.25">
      <c r="A4212" s="21">
        <v>374226867.64999998</v>
      </c>
    </row>
    <row r="4213" spans="1:1" x14ac:dyDescent="0.25">
      <c r="A4213" s="21">
        <v>105483849.27</v>
      </c>
    </row>
    <row r="4214" spans="1:1" x14ac:dyDescent="0.25">
      <c r="A4214" s="21">
        <v>320321050.44999999</v>
      </c>
    </row>
    <row r="4215" spans="1:1" x14ac:dyDescent="0.25">
      <c r="A4215" s="21">
        <v>40288500.489999898</v>
      </c>
    </row>
    <row r="4216" spans="1:1" x14ac:dyDescent="0.25">
      <c r="A4216" s="21">
        <v>32627274.489999998</v>
      </c>
    </row>
    <row r="4217" spans="1:1" x14ac:dyDescent="0.25">
      <c r="A4217" s="21">
        <v>8312076.2800000003</v>
      </c>
    </row>
    <row r="4218" spans="1:1" x14ac:dyDescent="0.25">
      <c r="A4218" s="21">
        <v>32832935.629999999</v>
      </c>
    </row>
    <row r="4219" spans="1:1" x14ac:dyDescent="0.25">
      <c r="A4219" s="21">
        <v>194245218.06999999</v>
      </c>
    </row>
    <row r="4220" spans="1:1" x14ac:dyDescent="0.25">
      <c r="A4220" s="21">
        <v>3690515.44</v>
      </c>
    </row>
    <row r="4221" spans="1:1" x14ac:dyDescent="0.25">
      <c r="A4221" s="21">
        <v>31445294.27</v>
      </c>
    </row>
    <row r="4222" spans="1:1" x14ac:dyDescent="0.25">
      <c r="A4222" s="21">
        <v>214189734.77000001</v>
      </c>
    </row>
    <row r="4223" spans="1:1" x14ac:dyDescent="0.25">
      <c r="A4223" s="21">
        <v>245098442.94</v>
      </c>
    </row>
    <row r="4224" spans="1:1" x14ac:dyDescent="0.25">
      <c r="A4224" s="21">
        <v>128935752.72</v>
      </c>
    </row>
    <row r="4225" spans="1:1" x14ac:dyDescent="0.25">
      <c r="A4225" s="21">
        <v>19110362.379999999</v>
      </c>
    </row>
    <row r="4226" spans="1:1" x14ac:dyDescent="0.25">
      <c r="A4226" s="21">
        <v>18511585.170000002</v>
      </c>
    </row>
    <row r="4227" spans="1:1" x14ac:dyDescent="0.25">
      <c r="A4227" s="21">
        <v>12952746.59</v>
      </c>
    </row>
    <row r="4228" spans="1:1" x14ac:dyDescent="0.25">
      <c r="A4228" s="21">
        <v>100529933.98999999</v>
      </c>
    </row>
    <row r="4229" spans="1:1" x14ac:dyDescent="0.25">
      <c r="A4229" s="21">
        <v>18099973.609999999</v>
      </c>
    </row>
    <row r="4230" spans="1:1" x14ac:dyDescent="0.25">
      <c r="A4230" s="21">
        <v>43790414.700000003</v>
      </c>
    </row>
    <row r="4231" spans="1:1" x14ac:dyDescent="0.25">
      <c r="A4231" s="21">
        <v>18214091.73</v>
      </c>
    </row>
    <row r="4232" spans="1:1" x14ac:dyDescent="0.25">
      <c r="A4232" s="21">
        <v>77634962.439999998</v>
      </c>
    </row>
    <row r="4233" spans="1:1" x14ac:dyDescent="0.25">
      <c r="A4233" s="21">
        <v>56328048.109999999</v>
      </c>
    </row>
    <row r="4234" spans="1:1" x14ac:dyDescent="0.25">
      <c r="A4234">
        <v>0</v>
      </c>
    </row>
    <row r="4235" spans="1:1" x14ac:dyDescent="0.25">
      <c r="A4235" s="21">
        <v>10835178.24</v>
      </c>
    </row>
    <row r="4236" spans="1:1" x14ac:dyDescent="0.25">
      <c r="A4236" s="21">
        <v>92045165.730000004</v>
      </c>
    </row>
    <row r="4237" spans="1:1" x14ac:dyDescent="0.25">
      <c r="A4237" s="21">
        <v>122474329.45</v>
      </c>
    </row>
    <row r="4238" spans="1:1" x14ac:dyDescent="0.25">
      <c r="A4238" s="21">
        <v>9783143.2400000002</v>
      </c>
    </row>
    <row r="4239" spans="1:1" x14ac:dyDescent="0.25">
      <c r="A4239" s="21">
        <v>42111958.159999996</v>
      </c>
    </row>
    <row r="4240" spans="1:1" x14ac:dyDescent="0.25">
      <c r="A4240" s="21">
        <v>9850717.7599999998</v>
      </c>
    </row>
    <row r="4241" spans="1:1" x14ac:dyDescent="0.25">
      <c r="A4241" s="21">
        <v>40967377.649999999</v>
      </c>
    </row>
    <row r="4242" spans="1:1" x14ac:dyDescent="0.25">
      <c r="A4242" s="21">
        <v>6268849.5</v>
      </c>
    </row>
    <row r="4243" spans="1:1" x14ac:dyDescent="0.25">
      <c r="A4243" s="21">
        <v>141750903.43000001</v>
      </c>
    </row>
    <row r="4244" spans="1:1" x14ac:dyDescent="0.25">
      <c r="A4244" s="21">
        <v>4594952.46</v>
      </c>
    </row>
    <row r="4245" spans="1:1" x14ac:dyDescent="0.25">
      <c r="A4245" s="21">
        <v>55024335.380000003</v>
      </c>
    </row>
    <row r="4246" spans="1:1" x14ac:dyDescent="0.25">
      <c r="A4246" s="21">
        <v>77154716.769999996</v>
      </c>
    </row>
    <row r="4247" spans="1:1" x14ac:dyDescent="0.25">
      <c r="A4247" s="21">
        <v>212582604.77000001</v>
      </c>
    </row>
    <row r="4248" spans="1:1" x14ac:dyDescent="0.25">
      <c r="A4248" s="21">
        <v>106550899.88</v>
      </c>
    </row>
    <row r="4249" spans="1:1" x14ac:dyDescent="0.25">
      <c r="A4249" s="21">
        <v>10544748.27</v>
      </c>
    </row>
    <row r="4250" spans="1:1" x14ac:dyDescent="0.25">
      <c r="A4250" s="21">
        <v>40715962.700000003</v>
      </c>
    </row>
    <row r="4251" spans="1:1" x14ac:dyDescent="0.25">
      <c r="A4251" s="21">
        <v>73156386.890000001</v>
      </c>
    </row>
    <row r="4252" spans="1:1" x14ac:dyDescent="0.25">
      <c r="A4252" s="21">
        <v>170787464.36000001</v>
      </c>
    </row>
    <row r="4253" spans="1:1" x14ac:dyDescent="0.25">
      <c r="A4253" s="21">
        <v>27994748.969999999</v>
      </c>
    </row>
    <row r="4254" spans="1:1" x14ac:dyDescent="0.25">
      <c r="A4254" s="21">
        <v>22281751.82</v>
      </c>
    </row>
    <row r="4255" spans="1:1" x14ac:dyDescent="0.25">
      <c r="A4255" s="21">
        <v>38906662.600000001</v>
      </c>
    </row>
    <row r="4256" spans="1:1" x14ac:dyDescent="0.25">
      <c r="A4256" s="21">
        <v>31729316.030000001</v>
      </c>
    </row>
    <row r="4257" spans="1:1" x14ac:dyDescent="0.25">
      <c r="A4257" s="21">
        <v>18617370.75</v>
      </c>
    </row>
    <row r="4258" spans="1:1" x14ac:dyDescent="0.25">
      <c r="A4258" s="21">
        <v>18632440.260000002</v>
      </c>
    </row>
    <row r="4259" spans="1:1" x14ac:dyDescent="0.25">
      <c r="A4259" s="21">
        <v>157747870.30000001</v>
      </c>
    </row>
    <row r="4260" spans="1:1" x14ac:dyDescent="0.25">
      <c r="A4260" s="21">
        <v>144193540.09999999</v>
      </c>
    </row>
    <row r="4261" spans="1:1" x14ac:dyDescent="0.25">
      <c r="A4261" s="21">
        <v>8521267.6999999899</v>
      </c>
    </row>
    <row r="4262" spans="1:1" x14ac:dyDescent="0.25">
      <c r="A4262" s="21">
        <v>6757204.5999999996</v>
      </c>
    </row>
    <row r="4263" spans="1:1" x14ac:dyDescent="0.25">
      <c r="A4263" s="21">
        <v>24018866.399999999</v>
      </c>
    </row>
    <row r="4264" spans="1:1" x14ac:dyDescent="0.25">
      <c r="A4264" s="21">
        <v>78833026.849999994</v>
      </c>
    </row>
    <row r="4265" spans="1:1" x14ac:dyDescent="0.25">
      <c r="A4265" s="21">
        <v>34763994.969999999</v>
      </c>
    </row>
    <row r="4266" spans="1:1" x14ac:dyDescent="0.25">
      <c r="A4266" s="21">
        <v>442601348.19999999</v>
      </c>
    </row>
    <row r="4267" spans="1:1" x14ac:dyDescent="0.25">
      <c r="A4267" s="21">
        <v>37986422.700000003</v>
      </c>
    </row>
    <row r="4268" spans="1:1" x14ac:dyDescent="0.25">
      <c r="A4268" s="21">
        <v>53231909.399999999</v>
      </c>
    </row>
    <row r="4269" spans="1:1" x14ac:dyDescent="0.25">
      <c r="A4269" s="21">
        <v>71164807.849999905</v>
      </c>
    </row>
    <row r="4270" spans="1:1" x14ac:dyDescent="0.25">
      <c r="A4270" s="21">
        <v>150034942.34</v>
      </c>
    </row>
    <row r="4271" spans="1:1" x14ac:dyDescent="0.25">
      <c r="A4271" s="21">
        <v>17755546.84</v>
      </c>
    </row>
    <row r="4272" spans="1:1" x14ac:dyDescent="0.25">
      <c r="A4272" s="21">
        <v>133327482.87</v>
      </c>
    </row>
    <row r="4273" spans="1:1" x14ac:dyDescent="0.25">
      <c r="A4273" s="21">
        <v>265153548.69</v>
      </c>
    </row>
    <row r="4274" spans="1:1" x14ac:dyDescent="0.25">
      <c r="A4274" s="21">
        <v>26506270.5</v>
      </c>
    </row>
    <row r="4275" spans="1:1" x14ac:dyDescent="0.25">
      <c r="A4275" s="21">
        <v>63942986.68</v>
      </c>
    </row>
    <row r="4276" spans="1:1" x14ac:dyDescent="0.25">
      <c r="A4276" s="21">
        <v>81026745.090000004</v>
      </c>
    </row>
    <row r="4277" spans="1:1" x14ac:dyDescent="0.25">
      <c r="A4277" s="21">
        <v>13896336.75</v>
      </c>
    </row>
    <row r="4278" spans="1:1" x14ac:dyDescent="0.25">
      <c r="A4278" s="21">
        <v>3019385.15</v>
      </c>
    </row>
    <row r="4279" spans="1:1" x14ac:dyDescent="0.25">
      <c r="A4279" s="21">
        <v>29112677.91</v>
      </c>
    </row>
    <row r="4280" spans="1:1" x14ac:dyDescent="0.25">
      <c r="A4280" s="21">
        <v>38182068.140000001</v>
      </c>
    </row>
    <row r="4281" spans="1:1" x14ac:dyDescent="0.25">
      <c r="A4281" s="21">
        <v>75204641.650000006</v>
      </c>
    </row>
    <row r="4282" spans="1:1" x14ac:dyDescent="0.25">
      <c r="A4282" s="21">
        <v>3973944.2</v>
      </c>
    </row>
    <row r="4283" spans="1:1" x14ac:dyDescent="0.25">
      <c r="A4283" s="21">
        <v>13075315.5</v>
      </c>
    </row>
    <row r="4284" spans="1:1" x14ac:dyDescent="0.25">
      <c r="A4284" s="21">
        <v>3540608.3</v>
      </c>
    </row>
    <row r="4285" spans="1:1" x14ac:dyDescent="0.25">
      <c r="A4285" s="21">
        <v>29440846.690000001</v>
      </c>
    </row>
    <row r="4286" spans="1:1" x14ac:dyDescent="0.25">
      <c r="A4286" s="21">
        <v>78956337.340000004</v>
      </c>
    </row>
    <row r="4287" spans="1:1" x14ac:dyDescent="0.25">
      <c r="A4287" s="21">
        <v>3540608.3</v>
      </c>
    </row>
    <row r="4288" spans="1:1" x14ac:dyDescent="0.25">
      <c r="A4288">
        <v>6158787</v>
      </c>
    </row>
    <row r="4289" spans="1:1" x14ac:dyDescent="0.25">
      <c r="A4289" s="21">
        <v>21497830.559999999</v>
      </c>
    </row>
    <row r="4290" spans="1:1" x14ac:dyDescent="0.25">
      <c r="A4290" s="21">
        <v>112024234.59</v>
      </c>
    </row>
    <row r="4291" spans="1:1" x14ac:dyDescent="0.25">
      <c r="A4291" s="21">
        <v>87173382.209999993</v>
      </c>
    </row>
    <row r="4292" spans="1:1" x14ac:dyDescent="0.25">
      <c r="A4292" s="21">
        <v>25045925.43</v>
      </c>
    </row>
    <row r="4293" spans="1:1" x14ac:dyDescent="0.25">
      <c r="A4293" s="21">
        <v>89600356.449999899</v>
      </c>
    </row>
    <row r="4294" spans="1:1" x14ac:dyDescent="0.25">
      <c r="A4294" s="21">
        <v>311019429.25</v>
      </c>
    </row>
    <row r="4295" spans="1:1" x14ac:dyDescent="0.25">
      <c r="A4295">
        <v>18686976</v>
      </c>
    </row>
    <row r="4296" spans="1:1" x14ac:dyDescent="0.25">
      <c r="A4296" s="21">
        <v>31483468.039999999</v>
      </c>
    </row>
    <row r="4297" spans="1:1" x14ac:dyDescent="0.25">
      <c r="A4297" s="21">
        <v>5983738.5099999998</v>
      </c>
    </row>
    <row r="4298" spans="1:1" x14ac:dyDescent="0.25">
      <c r="A4298" s="21">
        <v>80308003.429999903</v>
      </c>
    </row>
    <row r="4299" spans="1:1" x14ac:dyDescent="0.25">
      <c r="A4299" s="21">
        <v>65316830.020000003</v>
      </c>
    </row>
    <row r="4300" spans="1:1" x14ac:dyDescent="0.25">
      <c r="A4300" s="21">
        <v>95079422.129999995</v>
      </c>
    </row>
    <row r="4301" spans="1:1" x14ac:dyDescent="0.25">
      <c r="A4301" s="21">
        <v>6421280.25</v>
      </c>
    </row>
    <row r="4302" spans="1:1" x14ac:dyDescent="0.25">
      <c r="A4302" s="21">
        <v>57572889.270000003</v>
      </c>
    </row>
    <row r="4303" spans="1:1" x14ac:dyDescent="0.25">
      <c r="A4303" s="21">
        <v>92669915.870000005</v>
      </c>
    </row>
    <row r="4304" spans="1:1" x14ac:dyDescent="0.25">
      <c r="A4304" s="21">
        <v>2700085.26</v>
      </c>
    </row>
    <row r="4305" spans="1:1" x14ac:dyDescent="0.25">
      <c r="A4305" s="21">
        <v>2789752.03</v>
      </c>
    </row>
    <row r="4306" spans="1:1" x14ac:dyDescent="0.25">
      <c r="A4306" s="21">
        <v>53125063.75</v>
      </c>
    </row>
    <row r="4307" spans="1:1" x14ac:dyDescent="0.25">
      <c r="A4307">
        <v>42519279</v>
      </c>
    </row>
    <row r="4308" spans="1:1" x14ac:dyDescent="0.25">
      <c r="A4308" s="21">
        <v>34613874.130000003</v>
      </c>
    </row>
    <row r="4309" spans="1:1" x14ac:dyDescent="0.25">
      <c r="A4309" s="21">
        <v>47000283.479999997</v>
      </c>
    </row>
    <row r="4310" spans="1:1" x14ac:dyDescent="0.25">
      <c r="A4310" s="21">
        <v>31700357.199999999</v>
      </c>
    </row>
    <row r="4311" spans="1:1" x14ac:dyDescent="0.25">
      <c r="A4311" s="21">
        <v>73438539.879999995</v>
      </c>
    </row>
    <row r="4312" spans="1:1" x14ac:dyDescent="0.25">
      <c r="A4312" s="21">
        <v>42549160.090000004</v>
      </c>
    </row>
    <row r="4313" spans="1:1" x14ac:dyDescent="0.25">
      <c r="A4313" s="21">
        <v>4594952.46</v>
      </c>
    </row>
    <row r="4314" spans="1:1" x14ac:dyDescent="0.25">
      <c r="A4314" s="21">
        <v>62684157.340000004</v>
      </c>
    </row>
    <row r="4315" spans="1:1" x14ac:dyDescent="0.25">
      <c r="A4315" s="21">
        <v>91681791.409999996</v>
      </c>
    </row>
    <row r="4316" spans="1:1" x14ac:dyDescent="0.25">
      <c r="A4316" s="21">
        <v>16216673.289999999</v>
      </c>
    </row>
    <row r="4317" spans="1:1" x14ac:dyDescent="0.25">
      <c r="A4317" s="21">
        <v>215501436.50999999</v>
      </c>
    </row>
    <row r="4318" spans="1:1" x14ac:dyDescent="0.25">
      <c r="A4318" s="21">
        <v>98031247.549999997</v>
      </c>
    </row>
    <row r="4319" spans="1:1" x14ac:dyDescent="0.25">
      <c r="A4319">
        <v>309489787</v>
      </c>
    </row>
    <row r="4320" spans="1:1" x14ac:dyDescent="0.25">
      <c r="A4320" s="21">
        <v>39558414.840000004</v>
      </c>
    </row>
    <row r="4321" spans="1:1" x14ac:dyDescent="0.25">
      <c r="A4321" s="21">
        <v>61814801.229999997</v>
      </c>
    </row>
    <row r="4322" spans="1:1" x14ac:dyDescent="0.25">
      <c r="A4322" s="21">
        <v>39390861.479999997</v>
      </c>
    </row>
    <row r="4323" spans="1:1" x14ac:dyDescent="0.25">
      <c r="A4323" s="21">
        <v>15426464.35</v>
      </c>
    </row>
    <row r="4324" spans="1:1" x14ac:dyDescent="0.25">
      <c r="A4324" s="21">
        <v>9073641.9600000009</v>
      </c>
    </row>
    <row r="4325" spans="1:1" x14ac:dyDescent="0.25">
      <c r="A4325">
        <v>0</v>
      </c>
    </row>
    <row r="4326" spans="1:1" x14ac:dyDescent="0.25">
      <c r="A4326" s="21">
        <v>170482649.08000001</v>
      </c>
    </row>
    <row r="4327" spans="1:1" x14ac:dyDescent="0.25">
      <c r="A4327" s="21">
        <v>27506603.719999999</v>
      </c>
    </row>
    <row r="4328" spans="1:1" x14ac:dyDescent="0.25">
      <c r="A4328" s="21">
        <v>77977114.359999999</v>
      </c>
    </row>
    <row r="4329" spans="1:1" x14ac:dyDescent="0.25">
      <c r="A4329" s="21">
        <v>10338065.49</v>
      </c>
    </row>
    <row r="4330" spans="1:1" x14ac:dyDescent="0.25">
      <c r="A4330" s="21">
        <v>94071929.530000001</v>
      </c>
    </row>
    <row r="4331" spans="1:1" x14ac:dyDescent="0.25">
      <c r="A4331" s="21">
        <v>25568450.280000001</v>
      </c>
    </row>
    <row r="4332" spans="1:1" x14ac:dyDescent="0.25">
      <c r="A4332">
        <v>0</v>
      </c>
    </row>
    <row r="4333" spans="1:1" x14ac:dyDescent="0.25">
      <c r="A4333" s="21">
        <v>46783281.68</v>
      </c>
    </row>
    <row r="4334" spans="1:1" x14ac:dyDescent="0.25">
      <c r="A4334" s="21">
        <v>16189267.050000001</v>
      </c>
    </row>
    <row r="4335" spans="1:1" x14ac:dyDescent="0.25">
      <c r="A4335" s="21">
        <v>84901028.900000006</v>
      </c>
    </row>
    <row r="4336" spans="1:1" x14ac:dyDescent="0.25">
      <c r="A4336" s="21">
        <v>59861599.289999999</v>
      </c>
    </row>
    <row r="4337" spans="1:1" x14ac:dyDescent="0.25">
      <c r="A4337" s="21">
        <v>47917329.310000002</v>
      </c>
    </row>
    <row r="4338" spans="1:1" x14ac:dyDescent="0.25">
      <c r="A4338" s="21">
        <v>19906856.82</v>
      </c>
    </row>
    <row r="4339" spans="1:1" x14ac:dyDescent="0.25">
      <c r="A4339" s="21">
        <v>22256959.91</v>
      </c>
    </row>
    <row r="4340" spans="1:1" x14ac:dyDescent="0.25">
      <c r="A4340" s="21">
        <v>16523667.970000001</v>
      </c>
    </row>
    <row r="4341" spans="1:1" x14ac:dyDescent="0.25">
      <c r="A4341" s="21">
        <v>82918793.280000001</v>
      </c>
    </row>
    <row r="4342" spans="1:1" x14ac:dyDescent="0.25">
      <c r="A4342" s="21">
        <v>11944349.960000001</v>
      </c>
    </row>
    <row r="4343" spans="1:1" x14ac:dyDescent="0.25">
      <c r="A4343" s="21">
        <v>44252291.740000002</v>
      </c>
    </row>
    <row r="4344" spans="1:1" x14ac:dyDescent="0.25">
      <c r="A4344" s="21">
        <v>59883431.259999998</v>
      </c>
    </row>
    <row r="4345" spans="1:1" x14ac:dyDescent="0.25">
      <c r="A4345" s="21">
        <v>103815249.23999999</v>
      </c>
    </row>
    <row r="4346" spans="1:1" x14ac:dyDescent="0.25">
      <c r="A4346" s="21">
        <v>111874814.23999999</v>
      </c>
    </row>
    <row r="4347" spans="1:1" x14ac:dyDescent="0.25">
      <c r="A4347" s="21">
        <v>124267873.11</v>
      </c>
    </row>
    <row r="4348" spans="1:1" x14ac:dyDescent="0.25">
      <c r="A4348" s="21">
        <v>45220977.100000001</v>
      </c>
    </row>
    <row r="4349" spans="1:1" x14ac:dyDescent="0.25">
      <c r="A4349" s="21">
        <v>104372815.33</v>
      </c>
    </row>
    <row r="4350" spans="1:1" x14ac:dyDescent="0.25">
      <c r="A4350" s="21">
        <v>22570823.32</v>
      </c>
    </row>
    <row r="4351" spans="1:1" x14ac:dyDescent="0.25">
      <c r="A4351" s="21">
        <v>54358997.869999997</v>
      </c>
    </row>
    <row r="4352" spans="1:1" x14ac:dyDescent="0.25">
      <c r="A4352" s="21">
        <v>115536376.06</v>
      </c>
    </row>
    <row r="4353" spans="1:1" x14ac:dyDescent="0.25">
      <c r="A4353" s="21">
        <v>59694629.329999998</v>
      </c>
    </row>
    <row r="4354" spans="1:1" x14ac:dyDescent="0.25">
      <c r="A4354" s="21">
        <v>46472759.579999998</v>
      </c>
    </row>
    <row r="4355" spans="1:1" x14ac:dyDescent="0.25">
      <c r="A4355" s="21">
        <v>61652432.280000001</v>
      </c>
    </row>
    <row r="4356" spans="1:1" x14ac:dyDescent="0.25">
      <c r="A4356" s="21">
        <v>43161652.25</v>
      </c>
    </row>
    <row r="4357" spans="1:1" x14ac:dyDescent="0.25">
      <c r="A4357" s="21">
        <v>20442412.039999999</v>
      </c>
    </row>
    <row r="4358" spans="1:1" x14ac:dyDescent="0.25">
      <c r="A4358" s="21">
        <v>165517187.13999999</v>
      </c>
    </row>
    <row r="4359" spans="1:1" x14ac:dyDescent="0.25">
      <c r="A4359" s="21">
        <v>49740256.229999997</v>
      </c>
    </row>
    <row r="4360" spans="1:1" x14ac:dyDescent="0.25">
      <c r="A4360" s="21">
        <v>197890206.11000001</v>
      </c>
    </row>
    <row r="4361" spans="1:1" x14ac:dyDescent="0.25">
      <c r="A4361" s="21">
        <v>55443733.159999996</v>
      </c>
    </row>
    <row r="4362" spans="1:1" x14ac:dyDescent="0.25">
      <c r="A4362" s="21">
        <v>96064773.599999905</v>
      </c>
    </row>
    <row r="4363" spans="1:1" x14ac:dyDescent="0.25">
      <c r="A4363" s="21">
        <v>70162360.340000004</v>
      </c>
    </row>
    <row r="4364" spans="1:1" x14ac:dyDescent="0.25">
      <c r="A4364" s="21">
        <v>22379055.050000001</v>
      </c>
    </row>
    <row r="4365" spans="1:1" x14ac:dyDescent="0.25">
      <c r="A4365" s="21">
        <v>70281003.760000005</v>
      </c>
    </row>
    <row r="4366" spans="1:1" x14ac:dyDescent="0.25">
      <c r="A4366" s="21">
        <v>3798854.44</v>
      </c>
    </row>
    <row r="4367" spans="1:1" x14ac:dyDescent="0.25">
      <c r="A4367" s="21">
        <v>40632304.729999997</v>
      </c>
    </row>
    <row r="4368" spans="1:1" x14ac:dyDescent="0.25">
      <c r="A4368" s="21">
        <v>204602736.75999999</v>
      </c>
    </row>
    <row r="4369" spans="1:1" x14ac:dyDescent="0.25">
      <c r="A4369" s="21">
        <v>23447821.829999998</v>
      </c>
    </row>
    <row r="4370" spans="1:1" x14ac:dyDescent="0.25">
      <c r="A4370" s="21">
        <v>98434308.3699999</v>
      </c>
    </row>
    <row r="4371" spans="1:1" x14ac:dyDescent="0.25">
      <c r="A4371" s="21">
        <v>43922076.229999997</v>
      </c>
    </row>
    <row r="4372" spans="1:1" x14ac:dyDescent="0.25">
      <c r="A4372" s="21">
        <v>55683040.170000002</v>
      </c>
    </row>
    <row r="4373" spans="1:1" x14ac:dyDescent="0.25">
      <c r="A4373" s="21">
        <v>53986624.939999998</v>
      </c>
    </row>
    <row r="4374" spans="1:1" x14ac:dyDescent="0.25">
      <c r="A4374" s="21">
        <v>58847810.270000003</v>
      </c>
    </row>
    <row r="4375" spans="1:1" x14ac:dyDescent="0.25">
      <c r="A4375" s="21">
        <v>43785133.68</v>
      </c>
    </row>
    <row r="4376" spans="1:1" x14ac:dyDescent="0.25">
      <c r="A4376" s="21">
        <v>54956296.270000003</v>
      </c>
    </row>
    <row r="4377" spans="1:1" x14ac:dyDescent="0.25">
      <c r="A4377" s="21">
        <v>80776746.4799999</v>
      </c>
    </row>
    <row r="4378" spans="1:1" x14ac:dyDescent="0.25">
      <c r="A4378" s="21">
        <v>18717794.809999999</v>
      </c>
    </row>
    <row r="4379" spans="1:1" x14ac:dyDescent="0.25">
      <c r="A4379" s="21">
        <v>29389697.600000001</v>
      </c>
    </row>
    <row r="4380" spans="1:1" x14ac:dyDescent="0.25">
      <c r="A4380" s="21">
        <v>3890853.48</v>
      </c>
    </row>
    <row r="4381" spans="1:1" x14ac:dyDescent="0.25">
      <c r="A4381" s="21">
        <v>42808608.149999999</v>
      </c>
    </row>
    <row r="4382" spans="1:1" x14ac:dyDescent="0.25">
      <c r="A4382" s="21">
        <v>31958589.77</v>
      </c>
    </row>
    <row r="4383" spans="1:1" x14ac:dyDescent="0.25">
      <c r="A4383" s="21">
        <v>23598684.170000002</v>
      </c>
    </row>
    <row r="4384" spans="1:1" x14ac:dyDescent="0.25">
      <c r="A4384" s="21">
        <v>64852582.969999999</v>
      </c>
    </row>
    <row r="4385" spans="1:1" x14ac:dyDescent="0.25">
      <c r="A4385" s="21">
        <v>238353944.16999999</v>
      </c>
    </row>
    <row r="4386" spans="1:1" x14ac:dyDescent="0.25">
      <c r="A4386" s="21">
        <v>163150506.25999999</v>
      </c>
    </row>
    <row r="4387" spans="1:1" x14ac:dyDescent="0.25">
      <c r="A4387" s="21">
        <v>27016897.329999998</v>
      </c>
    </row>
    <row r="4388" spans="1:1" x14ac:dyDescent="0.25">
      <c r="A4388" s="21">
        <v>62518408.810000002</v>
      </c>
    </row>
    <row r="4389" spans="1:1" x14ac:dyDescent="0.25">
      <c r="A4389">
        <v>13556694</v>
      </c>
    </row>
    <row r="4390" spans="1:1" x14ac:dyDescent="0.25">
      <c r="A4390" s="21">
        <v>17222885.420000002</v>
      </c>
    </row>
    <row r="4391" spans="1:1" x14ac:dyDescent="0.25">
      <c r="A4391" s="21">
        <v>6888154.7599999998</v>
      </c>
    </row>
    <row r="4392" spans="1:1" x14ac:dyDescent="0.25">
      <c r="A4392" s="21">
        <v>91760550.299999997</v>
      </c>
    </row>
    <row r="4393" spans="1:1" x14ac:dyDescent="0.25">
      <c r="A4393" s="21">
        <v>25743116.25</v>
      </c>
    </row>
    <row r="4394" spans="1:1" x14ac:dyDescent="0.25">
      <c r="A4394">
        <v>0</v>
      </c>
    </row>
    <row r="4395" spans="1:1" x14ac:dyDescent="0.25">
      <c r="A4395" s="21">
        <v>25387527.449999999</v>
      </c>
    </row>
    <row r="4396" spans="1:1" x14ac:dyDescent="0.25">
      <c r="A4396" s="21">
        <v>106050413.84999999</v>
      </c>
    </row>
    <row r="4397" spans="1:1" x14ac:dyDescent="0.25">
      <c r="A4397" s="21">
        <v>41105557.090000004</v>
      </c>
    </row>
    <row r="4398" spans="1:1" x14ac:dyDescent="0.25">
      <c r="A4398" s="21">
        <v>124164966.42</v>
      </c>
    </row>
    <row r="4399" spans="1:1" x14ac:dyDescent="0.25">
      <c r="A4399" s="21">
        <v>17297227.289999999</v>
      </c>
    </row>
    <row r="4400" spans="1:1" x14ac:dyDescent="0.25">
      <c r="A4400" s="21">
        <v>72870899.769999996</v>
      </c>
    </row>
    <row r="4401" spans="1:1" x14ac:dyDescent="0.25">
      <c r="A4401" s="21">
        <v>57235040.719999999</v>
      </c>
    </row>
    <row r="4402" spans="1:1" x14ac:dyDescent="0.25">
      <c r="A4402" s="21">
        <v>13338048.890000001</v>
      </c>
    </row>
    <row r="4403" spans="1:1" x14ac:dyDescent="0.25">
      <c r="A4403" s="21">
        <v>56411279.369999997</v>
      </c>
    </row>
    <row r="4404" spans="1:1" x14ac:dyDescent="0.25">
      <c r="A4404" s="21">
        <v>31838908.789999999</v>
      </c>
    </row>
    <row r="4405" spans="1:1" x14ac:dyDescent="0.25">
      <c r="A4405" s="21">
        <v>77171619.379999995</v>
      </c>
    </row>
    <row r="4406" spans="1:1" x14ac:dyDescent="0.25">
      <c r="A4406" s="21">
        <v>93001466.400000006</v>
      </c>
    </row>
    <row r="4407" spans="1:1" x14ac:dyDescent="0.25">
      <c r="A4407" s="21">
        <v>73072970.599999994</v>
      </c>
    </row>
    <row r="4408" spans="1:1" x14ac:dyDescent="0.25">
      <c r="A4408" s="21">
        <v>5976583.5</v>
      </c>
    </row>
    <row r="4409" spans="1:1" x14ac:dyDescent="0.25">
      <c r="A4409" s="21">
        <v>260933896.72</v>
      </c>
    </row>
    <row r="4410" spans="1:1" x14ac:dyDescent="0.25">
      <c r="A4410" s="21">
        <v>23117636.469999999</v>
      </c>
    </row>
    <row r="4411" spans="1:1" x14ac:dyDescent="0.25">
      <c r="A4411" s="21">
        <v>179080999.06</v>
      </c>
    </row>
    <row r="4412" spans="1:1" x14ac:dyDescent="0.25">
      <c r="A4412" s="21">
        <v>41250109.439999998</v>
      </c>
    </row>
    <row r="4413" spans="1:1" x14ac:dyDescent="0.25">
      <c r="A4413" s="21">
        <v>131775210.70999999</v>
      </c>
    </row>
    <row r="4414" spans="1:1" x14ac:dyDescent="0.25">
      <c r="A4414">
        <v>0</v>
      </c>
    </row>
    <row r="4415" spans="1:1" x14ac:dyDescent="0.25">
      <c r="A4415" s="21">
        <v>30611925.920000002</v>
      </c>
    </row>
    <row r="4416" spans="1:1" x14ac:dyDescent="0.25">
      <c r="A4416" s="21">
        <v>67728262.950000003</v>
      </c>
    </row>
    <row r="4417" spans="1:1" x14ac:dyDescent="0.25">
      <c r="A4417" s="21">
        <v>88059079.579999998</v>
      </c>
    </row>
    <row r="4418" spans="1:1" x14ac:dyDescent="0.25">
      <c r="A4418" s="21">
        <v>280505597.69</v>
      </c>
    </row>
    <row r="4419" spans="1:1" x14ac:dyDescent="0.25">
      <c r="A4419">
        <v>54058851</v>
      </c>
    </row>
    <row r="4420" spans="1:1" x14ac:dyDescent="0.25">
      <c r="A4420" s="21">
        <v>232420472.31999999</v>
      </c>
    </row>
    <row r="4421" spans="1:1" x14ac:dyDescent="0.25">
      <c r="A4421" s="21">
        <v>14275595.449999999</v>
      </c>
    </row>
    <row r="4422" spans="1:1" x14ac:dyDescent="0.25">
      <c r="A4422" s="21">
        <v>20019240.969999999</v>
      </c>
    </row>
    <row r="4423" spans="1:1" x14ac:dyDescent="0.25">
      <c r="A4423" s="21">
        <v>107134009.59999999</v>
      </c>
    </row>
    <row r="4424" spans="1:1" x14ac:dyDescent="0.25">
      <c r="A4424" s="21">
        <v>3645378.88</v>
      </c>
    </row>
    <row r="4425" spans="1:1" x14ac:dyDescent="0.25">
      <c r="A4425" s="21">
        <v>89858509.670000002</v>
      </c>
    </row>
    <row r="4426" spans="1:1" x14ac:dyDescent="0.25">
      <c r="A4426" s="21">
        <v>17204842.559999999</v>
      </c>
    </row>
    <row r="4427" spans="1:1" x14ac:dyDescent="0.25">
      <c r="A4427" s="21">
        <v>159594643.08000001</v>
      </c>
    </row>
    <row r="4428" spans="1:1" x14ac:dyDescent="0.25">
      <c r="A4428" s="21">
        <v>13364632.5</v>
      </c>
    </row>
    <row r="4429" spans="1:1" x14ac:dyDescent="0.25">
      <c r="A4429" s="21">
        <v>121466500.11</v>
      </c>
    </row>
    <row r="4430" spans="1:1" x14ac:dyDescent="0.25">
      <c r="A4430" s="21">
        <v>108080573.77</v>
      </c>
    </row>
    <row r="4431" spans="1:1" x14ac:dyDescent="0.25">
      <c r="A4431" s="21">
        <v>12887199.42</v>
      </c>
    </row>
    <row r="4432" spans="1:1" x14ac:dyDescent="0.25">
      <c r="A4432" s="21">
        <v>66502980.479999997</v>
      </c>
    </row>
    <row r="4433" spans="1:1" x14ac:dyDescent="0.25">
      <c r="A4433" s="21">
        <v>105893369.25</v>
      </c>
    </row>
    <row r="4434" spans="1:1" x14ac:dyDescent="0.25">
      <c r="A4434" s="21">
        <v>32696961.289999999</v>
      </c>
    </row>
    <row r="4435" spans="1:1" x14ac:dyDescent="0.25">
      <c r="A4435">
        <v>0</v>
      </c>
    </row>
    <row r="4436" spans="1:1" x14ac:dyDescent="0.25">
      <c r="A4436" s="21">
        <v>49118945.439999998</v>
      </c>
    </row>
    <row r="4437" spans="1:1" x14ac:dyDescent="0.25">
      <c r="A4437" s="21">
        <v>113402108.56999999</v>
      </c>
    </row>
    <row r="4438" spans="1:1" x14ac:dyDescent="0.25">
      <c r="A4438" s="21">
        <v>52644903.619999997</v>
      </c>
    </row>
    <row r="4439" spans="1:1" x14ac:dyDescent="0.25">
      <c r="A4439" s="21">
        <v>16984092.809999999</v>
      </c>
    </row>
    <row r="4440" spans="1:1" x14ac:dyDescent="0.25">
      <c r="A4440" s="21">
        <v>236366025.50999999</v>
      </c>
    </row>
    <row r="4441" spans="1:1" x14ac:dyDescent="0.25">
      <c r="A4441" s="21">
        <v>97326664.859999999</v>
      </c>
    </row>
    <row r="4442" spans="1:1" x14ac:dyDescent="0.25">
      <c r="A4442" s="21">
        <v>29966372.190000001</v>
      </c>
    </row>
    <row r="4443" spans="1:1" x14ac:dyDescent="0.25">
      <c r="A4443" s="21">
        <v>132299236.73</v>
      </c>
    </row>
    <row r="4444" spans="1:1" x14ac:dyDescent="0.25">
      <c r="A4444" s="21">
        <v>348460475.94</v>
      </c>
    </row>
    <row r="4445" spans="1:1" x14ac:dyDescent="0.25">
      <c r="A4445" s="21">
        <v>67208657.900000006</v>
      </c>
    </row>
    <row r="4446" spans="1:1" x14ac:dyDescent="0.25">
      <c r="A4446" s="21">
        <v>158272119.5</v>
      </c>
    </row>
    <row r="4447" spans="1:1" x14ac:dyDescent="0.25">
      <c r="A4447">
        <v>21957982</v>
      </c>
    </row>
    <row r="4448" spans="1:1" x14ac:dyDescent="0.25">
      <c r="A4448" s="21">
        <v>124139906.58</v>
      </c>
    </row>
    <row r="4449" spans="1:1" x14ac:dyDescent="0.25">
      <c r="A4449" s="21">
        <v>22507174.219999999</v>
      </c>
    </row>
    <row r="4450" spans="1:1" x14ac:dyDescent="0.25">
      <c r="A4450" s="21">
        <v>96200558.590000004</v>
      </c>
    </row>
    <row r="4451" spans="1:1" x14ac:dyDescent="0.25">
      <c r="A4451" s="21">
        <v>55155447.549999997</v>
      </c>
    </row>
    <row r="4452" spans="1:1" x14ac:dyDescent="0.25">
      <c r="A4452" s="21">
        <v>94020329.030000001</v>
      </c>
    </row>
    <row r="4453" spans="1:1" x14ac:dyDescent="0.25">
      <c r="A4453" s="21">
        <v>189338730.55000001</v>
      </c>
    </row>
    <row r="4454" spans="1:1" x14ac:dyDescent="0.25">
      <c r="A4454" s="21">
        <v>28600691.829999998</v>
      </c>
    </row>
    <row r="4455" spans="1:1" x14ac:dyDescent="0.25">
      <c r="A4455" s="21">
        <v>59701812.509999998</v>
      </c>
    </row>
    <row r="4456" spans="1:1" x14ac:dyDescent="0.25">
      <c r="A4456" s="21">
        <v>59947190.659999996</v>
      </c>
    </row>
    <row r="4457" spans="1:1" x14ac:dyDescent="0.25">
      <c r="A4457" s="21">
        <v>16989642.559999999</v>
      </c>
    </row>
    <row r="4458" spans="1:1" x14ac:dyDescent="0.25">
      <c r="A4458" s="21">
        <v>210108779.25999999</v>
      </c>
    </row>
    <row r="4459" spans="1:1" x14ac:dyDescent="0.25">
      <c r="A4459" s="21">
        <v>147094166.59</v>
      </c>
    </row>
    <row r="4460" spans="1:1" x14ac:dyDescent="0.25">
      <c r="A4460" s="21">
        <v>2840276.73</v>
      </c>
    </row>
    <row r="4461" spans="1:1" x14ac:dyDescent="0.25">
      <c r="A4461" s="21">
        <v>12881641.1</v>
      </c>
    </row>
    <row r="4462" spans="1:1" x14ac:dyDescent="0.25">
      <c r="A4462" s="21">
        <v>200244476.99000001</v>
      </c>
    </row>
    <row r="4463" spans="1:1" x14ac:dyDescent="0.25">
      <c r="A4463" s="21">
        <v>145637200.15000001</v>
      </c>
    </row>
    <row r="4464" spans="1:1" x14ac:dyDescent="0.25">
      <c r="A4464" s="21">
        <v>2714883.55</v>
      </c>
    </row>
    <row r="4465" spans="1:1" x14ac:dyDescent="0.25">
      <c r="A4465" s="21">
        <v>144030577.91</v>
      </c>
    </row>
    <row r="4466" spans="1:1" x14ac:dyDescent="0.25">
      <c r="A4466" s="21">
        <v>8942757.8100000005</v>
      </c>
    </row>
    <row r="4467" spans="1:1" x14ac:dyDescent="0.25">
      <c r="A4467" s="21">
        <v>33029766.469999999</v>
      </c>
    </row>
    <row r="4468" spans="1:1" x14ac:dyDescent="0.25">
      <c r="A4468" s="21">
        <v>260704373.55000001</v>
      </c>
    </row>
    <row r="4469" spans="1:1" x14ac:dyDescent="0.25">
      <c r="A4469" s="21">
        <v>9236434.6300000008</v>
      </c>
    </row>
    <row r="4470" spans="1:1" x14ac:dyDescent="0.25">
      <c r="A4470" s="21">
        <v>66381313.600000001</v>
      </c>
    </row>
    <row r="4471" spans="1:1" x14ac:dyDescent="0.25">
      <c r="A4471" s="21">
        <v>59156371.399999999</v>
      </c>
    </row>
    <row r="4472" spans="1:1" x14ac:dyDescent="0.25">
      <c r="A4472" s="21">
        <v>102801447.76000001</v>
      </c>
    </row>
    <row r="4473" spans="1:1" x14ac:dyDescent="0.25">
      <c r="A4473" s="21">
        <v>122354710.53</v>
      </c>
    </row>
    <row r="4474" spans="1:1" x14ac:dyDescent="0.25">
      <c r="A4474" s="21">
        <v>14151802.289999999</v>
      </c>
    </row>
    <row r="4475" spans="1:1" x14ac:dyDescent="0.25">
      <c r="A4475" s="21">
        <v>77563937.5</v>
      </c>
    </row>
    <row r="4476" spans="1:1" x14ac:dyDescent="0.25">
      <c r="A4476" s="21">
        <v>113748684.42</v>
      </c>
    </row>
    <row r="4477" spans="1:1" x14ac:dyDescent="0.25">
      <c r="A4477">
        <v>0</v>
      </c>
    </row>
    <row r="4478" spans="1:1" x14ac:dyDescent="0.25">
      <c r="A4478" s="21">
        <v>14293619.220000001</v>
      </c>
    </row>
    <row r="4479" spans="1:1" x14ac:dyDescent="0.25">
      <c r="A4479" s="21">
        <v>44018780.700000003</v>
      </c>
    </row>
    <row r="4480" spans="1:1" x14ac:dyDescent="0.25">
      <c r="A4480" s="21">
        <v>399550924.42000002</v>
      </c>
    </row>
    <row r="4481" spans="1:1" x14ac:dyDescent="0.25">
      <c r="A4481" s="21">
        <v>5962172.25</v>
      </c>
    </row>
    <row r="4482" spans="1:1" x14ac:dyDescent="0.25">
      <c r="A4482" s="21">
        <v>40268358.979999997</v>
      </c>
    </row>
    <row r="4483" spans="1:1" x14ac:dyDescent="0.25">
      <c r="A4483" s="21">
        <v>237961345.06</v>
      </c>
    </row>
    <row r="4484" spans="1:1" x14ac:dyDescent="0.25">
      <c r="A4484" s="21">
        <v>35234287.780000001</v>
      </c>
    </row>
    <row r="4485" spans="1:1" x14ac:dyDescent="0.25">
      <c r="A4485" s="21">
        <v>84370277.919999897</v>
      </c>
    </row>
    <row r="4486" spans="1:1" x14ac:dyDescent="0.25">
      <c r="A4486" s="21">
        <v>10158870.380000001</v>
      </c>
    </row>
    <row r="4487" spans="1:1" x14ac:dyDescent="0.25">
      <c r="A4487" s="21">
        <v>5510544.75</v>
      </c>
    </row>
    <row r="4488" spans="1:1" x14ac:dyDescent="0.25">
      <c r="A4488" s="21">
        <v>3514341.62</v>
      </c>
    </row>
    <row r="4489" spans="1:1" x14ac:dyDescent="0.25">
      <c r="A4489" s="21">
        <v>36094576.850000001</v>
      </c>
    </row>
    <row r="4490" spans="1:1" x14ac:dyDescent="0.25">
      <c r="A4490" s="21">
        <v>411514477.39999998</v>
      </c>
    </row>
    <row r="4491" spans="1:1" x14ac:dyDescent="0.25">
      <c r="A4491" s="21">
        <v>16877303.579999998</v>
      </c>
    </row>
    <row r="4492" spans="1:1" x14ac:dyDescent="0.25">
      <c r="A4492" s="21">
        <v>111484141.01000001</v>
      </c>
    </row>
    <row r="4493" spans="1:1" x14ac:dyDescent="0.25">
      <c r="A4493" s="21">
        <v>24448791.699999999</v>
      </c>
    </row>
    <row r="4494" spans="1:1" x14ac:dyDescent="0.25">
      <c r="A4494" s="21">
        <v>61038875.549999997</v>
      </c>
    </row>
    <row r="4495" spans="1:1" x14ac:dyDescent="0.25">
      <c r="A4495" s="21">
        <v>52486393.590000004</v>
      </c>
    </row>
    <row r="4496" spans="1:1" x14ac:dyDescent="0.25">
      <c r="A4496" s="21">
        <v>27263791.190000001</v>
      </c>
    </row>
    <row r="4497" spans="1:1" x14ac:dyDescent="0.25">
      <c r="A4497" s="21">
        <v>8063999.4000000004</v>
      </c>
    </row>
    <row r="4498" spans="1:1" x14ac:dyDescent="0.25">
      <c r="A4498" s="21">
        <v>62419014.520000003</v>
      </c>
    </row>
    <row r="4499" spans="1:1" x14ac:dyDescent="0.25">
      <c r="A4499" s="21">
        <v>409734518.61000001</v>
      </c>
    </row>
    <row r="4500" spans="1:1" x14ac:dyDescent="0.25">
      <c r="A4500" s="21">
        <v>99846081.739999995</v>
      </c>
    </row>
    <row r="4501" spans="1:1" x14ac:dyDescent="0.25">
      <c r="A4501" s="21">
        <v>34683144.109999999</v>
      </c>
    </row>
    <row r="4502" spans="1:1" x14ac:dyDescent="0.25">
      <c r="A4502">
        <v>13447722</v>
      </c>
    </row>
    <row r="4503" spans="1:1" x14ac:dyDescent="0.25">
      <c r="A4503" s="21">
        <v>38970713.149999999</v>
      </c>
    </row>
    <row r="4504" spans="1:1" x14ac:dyDescent="0.25">
      <c r="A4504" s="21">
        <v>51509643.07</v>
      </c>
    </row>
    <row r="4505" spans="1:1" x14ac:dyDescent="0.25">
      <c r="A4505" s="21">
        <v>39845187.990000002</v>
      </c>
    </row>
    <row r="4506" spans="1:1" x14ac:dyDescent="0.25">
      <c r="A4506" s="21">
        <v>22798366.629999999</v>
      </c>
    </row>
    <row r="4507" spans="1:1" x14ac:dyDescent="0.25">
      <c r="A4507" s="21">
        <v>36443779.859999999</v>
      </c>
    </row>
    <row r="4508" spans="1:1" x14ac:dyDescent="0.25">
      <c r="A4508" s="21">
        <v>64047783.130000003</v>
      </c>
    </row>
    <row r="4509" spans="1:1" x14ac:dyDescent="0.25">
      <c r="A4509" s="21">
        <v>23513935.359999999</v>
      </c>
    </row>
    <row r="4510" spans="1:1" x14ac:dyDescent="0.25">
      <c r="A4510" s="21">
        <v>28483176.690000001</v>
      </c>
    </row>
    <row r="4511" spans="1:1" x14ac:dyDescent="0.25">
      <c r="A4511" s="21">
        <v>152086754.16999999</v>
      </c>
    </row>
    <row r="4512" spans="1:1" x14ac:dyDescent="0.25">
      <c r="A4512" s="21">
        <v>30515193.039999999</v>
      </c>
    </row>
    <row r="4513" spans="1:1" x14ac:dyDescent="0.25">
      <c r="A4513" s="21">
        <v>88941715.379999995</v>
      </c>
    </row>
    <row r="4514" spans="1:1" x14ac:dyDescent="0.25">
      <c r="A4514" s="21">
        <v>95903246.480000004</v>
      </c>
    </row>
    <row r="4515" spans="1:1" x14ac:dyDescent="0.25">
      <c r="A4515" s="21">
        <v>37319566.560000002</v>
      </c>
    </row>
    <row r="4516" spans="1:1" x14ac:dyDescent="0.25">
      <c r="A4516" s="21">
        <v>4128480.37</v>
      </c>
    </row>
    <row r="4517" spans="1:1" x14ac:dyDescent="0.25">
      <c r="A4517">
        <v>7393521</v>
      </c>
    </row>
    <row r="4518" spans="1:1" x14ac:dyDescent="0.25">
      <c r="A4518" s="21">
        <v>58259221.990000002</v>
      </c>
    </row>
    <row r="4519" spans="1:1" x14ac:dyDescent="0.25">
      <c r="A4519" s="21">
        <v>100602140.5</v>
      </c>
    </row>
    <row r="4520" spans="1:1" x14ac:dyDescent="0.25">
      <c r="A4520" s="21">
        <v>14739581.109999999</v>
      </c>
    </row>
    <row r="4521" spans="1:1" x14ac:dyDescent="0.25">
      <c r="A4521" s="21">
        <v>26104868.16</v>
      </c>
    </row>
    <row r="4522" spans="1:1" x14ac:dyDescent="0.25">
      <c r="A4522" s="21">
        <v>91610641.890000001</v>
      </c>
    </row>
    <row r="4523" spans="1:1" x14ac:dyDescent="0.25">
      <c r="A4523" s="21">
        <v>49681294.210000001</v>
      </c>
    </row>
    <row r="4524" spans="1:1" x14ac:dyDescent="0.25">
      <c r="A4524" s="21">
        <v>16681701.539999999</v>
      </c>
    </row>
    <row r="4525" spans="1:1" x14ac:dyDescent="0.25">
      <c r="A4525" s="21">
        <v>52951945.859999999</v>
      </c>
    </row>
    <row r="4526" spans="1:1" x14ac:dyDescent="0.25">
      <c r="A4526" s="21">
        <v>48498851.119999997</v>
      </c>
    </row>
    <row r="4527" spans="1:1" x14ac:dyDescent="0.25">
      <c r="A4527" s="21">
        <v>205631186.61000001</v>
      </c>
    </row>
    <row r="4528" spans="1:1" x14ac:dyDescent="0.25">
      <c r="A4528">
        <v>0</v>
      </c>
    </row>
    <row r="4529" spans="1:1" x14ac:dyDescent="0.25">
      <c r="A4529" s="21">
        <v>14492454.789999999</v>
      </c>
    </row>
    <row r="4530" spans="1:1" x14ac:dyDescent="0.25">
      <c r="A4530" s="21">
        <v>51978527.649999999</v>
      </c>
    </row>
    <row r="4531" spans="1:1" x14ac:dyDescent="0.25">
      <c r="A4531" s="21">
        <v>245249476.96000001</v>
      </c>
    </row>
    <row r="4532" spans="1:1" x14ac:dyDescent="0.25">
      <c r="A4532" s="21">
        <v>252371980.05000001</v>
      </c>
    </row>
    <row r="4533" spans="1:1" x14ac:dyDescent="0.25">
      <c r="A4533" s="21">
        <v>23699267.640000001</v>
      </c>
    </row>
    <row r="4534" spans="1:1" x14ac:dyDescent="0.25">
      <c r="A4534" s="21">
        <v>83289882.870000005</v>
      </c>
    </row>
    <row r="4535" spans="1:1" x14ac:dyDescent="0.25">
      <c r="A4535" s="21">
        <v>358004456.05000001</v>
      </c>
    </row>
    <row r="4536" spans="1:1" x14ac:dyDescent="0.25">
      <c r="A4536" s="21">
        <v>9307756.7799999993</v>
      </c>
    </row>
    <row r="4537" spans="1:1" x14ac:dyDescent="0.25">
      <c r="A4537" s="21">
        <v>3662483.31</v>
      </c>
    </row>
    <row r="4538" spans="1:1" x14ac:dyDescent="0.25">
      <c r="A4538" s="21">
        <v>28979485.899999999</v>
      </c>
    </row>
    <row r="4539" spans="1:1" x14ac:dyDescent="0.25">
      <c r="A4539" s="21">
        <v>3850977.09</v>
      </c>
    </row>
    <row r="4540" spans="1:1" x14ac:dyDescent="0.25">
      <c r="A4540" s="21">
        <v>9004834.5399999898</v>
      </c>
    </row>
    <row r="4541" spans="1:1" x14ac:dyDescent="0.25">
      <c r="A4541" s="21">
        <v>23506846.899999999</v>
      </c>
    </row>
    <row r="4542" spans="1:1" x14ac:dyDescent="0.25">
      <c r="A4542" s="21">
        <v>93195754.019999996</v>
      </c>
    </row>
    <row r="4543" spans="1:1" x14ac:dyDescent="0.25">
      <c r="A4543" s="21">
        <v>27614543.699999999</v>
      </c>
    </row>
    <row r="4544" spans="1:1" x14ac:dyDescent="0.25">
      <c r="A4544" s="21">
        <v>176482762.46000001</v>
      </c>
    </row>
    <row r="4545" spans="1:1" x14ac:dyDescent="0.25">
      <c r="A4545" s="21">
        <v>27691222.859999999</v>
      </c>
    </row>
    <row r="4546" spans="1:1" x14ac:dyDescent="0.25">
      <c r="A4546" s="21">
        <v>37819224.789999999</v>
      </c>
    </row>
    <row r="4547" spans="1:1" x14ac:dyDescent="0.25">
      <c r="A4547" s="21">
        <v>59113459.969999999</v>
      </c>
    </row>
    <row r="4548" spans="1:1" x14ac:dyDescent="0.25">
      <c r="A4548" s="21">
        <v>93009149.939999998</v>
      </c>
    </row>
    <row r="4549" spans="1:1" x14ac:dyDescent="0.25">
      <c r="A4549" s="21">
        <v>9916464.9800000004</v>
      </c>
    </row>
    <row r="4550" spans="1:1" x14ac:dyDescent="0.25">
      <c r="A4550" s="21">
        <v>35922764.640000001</v>
      </c>
    </row>
    <row r="4551" spans="1:1" x14ac:dyDescent="0.25">
      <c r="A4551">
        <v>0</v>
      </c>
    </row>
    <row r="4552" spans="1:1" x14ac:dyDescent="0.25">
      <c r="A4552" s="21">
        <v>29827976.739999998</v>
      </c>
    </row>
    <row r="4553" spans="1:1" x14ac:dyDescent="0.25">
      <c r="A4553" s="21">
        <v>86544484.019999996</v>
      </c>
    </row>
    <row r="4554" spans="1:1" x14ac:dyDescent="0.25">
      <c r="A4554" s="21">
        <v>90673855.530000001</v>
      </c>
    </row>
    <row r="4555" spans="1:1" x14ac:dyDescent="0.25">
      <c r="A4555" s="21">
        <v>20723314.93</v>
      </c>
    </row>
    <row r="4556" spans="1:1" x14ac:dyDescent="0.25">
      <c r="A4556" s="21">
        <v>30396458.43</v>
      </c>
    </row>
    <row r="4557" spans="1:1" x14ac:dyDescent="0.25">
      <c r="A4557" s="21">
        <v>22263340.239999998</v>
      </c>
    </row>
    <row r="4558" spans="1:1" x14ac:dyDescent="0.25">
      <c r="A4558" s="21">
        <v>2722615.35</v>
      </c>
    </row>
    <row r="4559" spans="1:1" x14ac:dyDescent="0.25">
      <c r="A4559" s="21">
        <v>19011560.210000001</v>
      </c>
    </row>
    <row r="4560" spans="1:1" x14ac:dyDescent="0.25">
      <c r="A4560" s="21">
        <v>73323986.760000005</v>
      </c>
    </row>
    <row r="4561" spans="1:1" x14ac:dyDescent="0.25">
      <c r="A4561" s="21">
        <v>31402806.84</v>
      </c>
    </row>
    <row r="4562" spans="1:1" x14ac:dyDescent="0.25">
      <c r="A4562" s="21">
        <v>34989331.310000002</v>
      </c>
    </row>
    <row r="4563" spans="1:1" x14ac:dyDescent="0.25">
      <c r="A4563" s="21">
        <v>68903916.310000002</v>
      </c>
    </row>
    <row r="4564" spans="1:1" x14ac:dyDescent="0.25">
      <c r="A4564" s="21">
        <v>8492893.1999999993</v>
      </c>
    </row>
    <row r="4565" spans="1:1" x14ac:dyDescent="0.25">
      <c r="A4565" s="21">
        <v>80201715.329999998</v>
      </c>
    </row>
    <row r="4566" spans="1:1" x14ac:dyDescent="0.25">
      <c r="A4566" s="21">
        <v>101616102.65000001</v>
      </c>
    </row>
    <row r="4567" spans="1:1" x14ac:dyDescent="0.25">
      <c r="A4567" s="21">
        <v>80261570.599999905</v>
      </c>
    </row>
    <row r="4568" spans="1:1" x14ac:dyDescent="0.25">
      <c r="A4568" s="21">
        <v>16799029.48</v>
      </c>
    </row>
    <row r="4569" spans="1:1" x14ac:dyDescent="0.25">
      <c r="A4569" s="21">
        <v>141256530.47999999</v>
      </c>
    </row>
    <row r="4570" spans="1:1" x14ac:dyDescent="0.25">
      <c r="A4570" s="21">
        <v>4041968.63</v>
      </c>
    </row>
    <row r="4571" spans="1:1" x14ac:dyDescent="0.25">
      <c r="A4571" s="21">
        <v>35675838.649999999</v>
      </c>
    </row>
    <row r="4572" spans="1:1" x14ac:dyDescent="0.25">
      <c r="A4572" s="21">
        <v>90229855.159999996</v>
      </c>
    </row>
    <row r="4573" spans="1:1" x14ac:dyDescent="0.25">
      <c r="A4573" s="21">
        <v>13259392.5</v>
      </c>
    </row>
    <row r="4574" spans="1:1" x14ac:dyDescent="0.25">
      <c r="A4574" s="21">
        <v>165704711.34999999</v>
      </c>
    </row>
    <row r="4575" spans="1:1" x14ac:dyDescent="0.25">
      <c r="A4575" s="21">
        <v>24564282.829999998</v>
      </c>
    </row>
    <row r="4576" spans="1:1" x14ac:dyDescent="0.25">
      <c r="A4576" s="21">
        <v>159449920.63</v>
      </c>
    </row>
    <row r="4577" spans="1:1" x14ac:dyDescent="0.25">
      <c r="A4577" s="21">
        <v>240168906.94999999</v>
      </c>
    </row>
    <row r="4578" spans="1:1" x14ac:dyDescent="0.25">
      <c r="A4578" s="21">
        <v>427714196.20999998</v>
      </c>
    </row>
    <row r="4579" spans="1:1" x14ac:dyDescent="0.25">
      <c r="A4579" s="21">
        <v>58509064.57</v>
      </c>
    </row>
    <row r="4580" spans="1:1" x14ac:dyDescent="0.25">
      <c r="A4580">
        <v>0</v>
      </c>
    </row>
    <row r="4581" spans="1:1" x14ac:dyDescent="0.25">
      <c r="A4581" s="21">
        <v>28012411.039999999</v>
      </c>
    </row>
    <row r="4582" spans="1:1" x14ac:dyDescent="0.25">
      <c r="A4582" s="21">
        <v>35902975.920000002</v>
      </c>
    </row>
    <row r="4583" spans="1:1" x14ac:dyDescent="0.25">
      <c r="A4583" s="21">
        <v>19563550.629999999</v>
      </c>
    </row>
    <row r="4584" spans="1:1" x14ac:dyDescent="0.25">
      <c r="A4584" s="21">
        <v>27963468.039999999</v>
      </c>
    </row>
    <row r="4585" spans="1:1" x14ac:dyDescent="0.25">
      <c r="A4585" s="21">
        <v>45045401.090000004</v>
      </c>
    </row>
    <row r="4586" spans="1:1" x14ac:dyDescent="0.25">
      <c r="A4586" s="21">
        <v>17782254.789999999</v>
      </c>
    </row>
    <row r="4587" spans="1:1" x14ac:dyDescent="0.25">
      <c r="A4587" s="21">
        <v>180449323.63999999</v>
      </c>
    </row>
    <row r="4588" spans="1:1" x14ac:dyDescent="0.25">
      <c r="A4588" s="21">
        <v>77810025.219999999</v>
      </c>
    </row>
    <row r="4589" spans="1:1" x14ac:dyDescent="0.25">
      <c r="A4589" s="21">
        <v>20539988.77</v>
      </c>
    </row>
    <row r="4590" spans="1:1" x14ac:dyDescent="0.25">
      <c r="A4590" s="21">
        <v>33341613.5</v>
      </c>
    </row>
    <row r="4591" spans="1:1" x14ac:dyDescent="0.25">
      <c r="A4591" s="21">
        <v>73688184.049999997</v>
      </c>
    </row>
    <row r="4592" spans="1:1" x14ac:dyDescent="0.25">
      <c r="A4592" s="21">
        <v>36157740.75</v>
      </c>
    </row>
    <row r="4593" spans="1:1" x14ac:dyDescent="0.25">
      <c r="A4593" s="21">
        <v>47432506.219999999</v>
      </c>
    </row>
    <row r="4594" spans="1:1" x14ac:dyDescent="0.25">
      <c r="A4594" s="21">
        <v>74001235.060000002</v>
      </c>
    </row>
    <row r="4595" spans="1:1" x14ac:dyDescent="0.25">
      <c r="A4595" s="21">
        <v>107181845.79000001</v>
      </c>
    </row>
    <row r="4596" spans="1:1" x14ac:dyDescent="0.25">
      <c r="A4596" s="21">
        <v>65704272.420000002</v>
      </c>
    </row>
    <row r="4597" spans="1:1" x14ac:dyDescent="0.25">
      <c r="A4597" s="21">
        <v>58422297.069999903</v>
      </c>
    </row>
    <row r="4598" spans="1:1" x14ac:dyDescent="0.25">
      <c r="A4598" s="21">
        <v>123180485.79000001</v>
      </c>
    </row>
    <row r="4599" spans="1:1" x14ac:dyDescent="0.25">
      <c r="A4599" s="21">
        <v>28389368.079999998</v>
      </c>
    </row>
    <row r="4600" spans="1:1" x14ac:dyDescent="0.25">
      <c r="A4600" s="21">
        <v>35391376.68</v>
      </c>
    </row>
    <row r="4601" spans="1:1" x14ac:dyDescent="0.25">
      <c r="A4601" s="21">
        <v>370630397.74000001</v>
      </c>
    </row>
    <row r="4602" spans="1:1" x14ac:dyDescent="0.25">
      <c r="A4602" s="21">
        <v>85112775.829999998</v>
      </c>
    </row>
    <row r="4603" spans="1:1" x14ac:dyDescent="0.25">
      <c r="A4603" s="21">
        <v>195796358.37</v>
      </c>
    </row>
    <row r="4604" spans="1:1" x14ac:dyDescent="0.25">
      <c r="A4604" s="21">
        <v>38149337.489999898</v>
      </c>
    </row>
    <row r="4605" spans="1:1" x14ac:dyDescent="0.25">
      <c r="A4605" s="21">
        <v>93296767.8699999</v>
      </c>
    </row>
    <row r="4606" spans="1:1" x14ac:dyDescent="0.25">
      <c r="A4606" s="21">
        <v>40849080.729999997</v>
      </c>
    </row>
    <row r="4607" spans="1:1" x14ac:dyDescent="0.25">
      <c r="A4607" s="21">
        <v>69481440.409999996</v>
      </c>
    </row>
    <row r="4608" spans="1:1" x14ac:dyDescent="0.25">
      <c r="A4608" s="21">
        <v>29262413.989999998</v>
      </c>
    </row>
    <row r="4609" spans="1:1" x14ac:dyDescent="0.25">
      <c r="A4609" s="21">
        <v>27137978.550000001</v>
      </c>
    </row>
    <row r="4610" spans="1:1" x14ac:dyDescent="0.25">
      <c r="A4610" s="21">
        <v>14177448.119999999</v>
      </c>
    </row>
    <row r="4611" spans="1:1" x14ac:dyDescent="0.25">
      <c r="A4611" s="21">
        <v>49856834.369999997</v>
      </c>
    </row>
    <row r="4612" spans="1:1" x14ac:dyDescent="0.25">
      <c r="A4612" s="21">
        <v>6142775.25</v>
      </c>
    </row>
    <row r="4613" spans="1:1" x14ac:dyDescent="0.25">
      <c r="A4613" s="21">
        <v>118002131.09999999</v>
      </c>
    </row>
    <row r="4614" spans="1:1" x14ac:dyDescent="0.25">
      <c r="A4614" s="21">
        <v>57132002.979999997</v>
      </c>
    </row>
    <row r="4615" spans="1:1" x14ac:dyDescent="0.25">
      <c r="A4615" s="21">
        <v>90802430.329999998</v>
      </c>
    </row>
    <row r="4616" spans="1:1" x14ac:dyDescent="0.25">
      <c r="A4616" s="21">
        <v>62852317.359999999</v>
      </c>
    </row>
    <row r="4617" spans="1:1" x14ac:dyDescent="0.25">
      <c r="A4617" s="21">
        <v>6623157.0300000003</v>
      </c>
    </row>
    <row r="4618" spans="1:1" x14ac:dyDescent="0.25">
      <c r="A4618" s="21">
        <v>7214783.25</v>
      </c>
    </row>
    <row r="4619" spans="1:1" x14ac:dyDescent="0.25">
      <c r="A4619" s="21">
        <v>2754719.74</v>
      </c>
    </row>
    <row r="4620" spans="1:1" x14ac:dyDescent="0.25">
      <c r="A4620" s="21">
        <v>54435085.880000003</v>
      </c>
    </row>
    <row r="4621" spans="1:1" x14ac:dyDescent="0.25">
      <c r="A4621" s="21">
        <v>5649473.25</v>
      </c>
    </row>
    <row r="4622" spans="1:1" x14ac:dyDescent="0.25">
      <c r="A4622" s="21">
        <v>39609115.409999996</v>
      </c>
    </row>
    <row r="4623" spans="1:1" x14ac:dyDescent="0.25">
      <c r="A4623" s="21">
        <v>64636795.960000001</v>
      </c>
    </row>
    <row r="4624" spans="1:1" x14ac:dyDescent="0.25">
      <c r="A4624" s="21">
        <v>24315933.75</v>
      </c>
    </row>
    <row r="4625" spans="1:1" x14ac:dyDescent="0.25">
      <c r="A4625" s="21">
        <v>47911535.599999897</v>
      </c>
    </row>
    <row r="4626" spans="1:1" x14ac:dyDescent="0.25">
      <c r="A4626" s="21">
        <v>31173931.309999999</v>
      </c>
    </row>
    <row r="4627" spans="1:1" x14ac:dyDescent="0.25">
      <c r="A4627" s="21">
        <v>17136352.670000002</v>
      </c>
    </row>
    <row r="4628" spans="1:1" x14ac:dyDescent="0.25">
      <c r="A4628" s="21">
        <v>207903076.94</v>
      </c>
    </row>
    <row r="4629" spans="1:1" x14ac:dyDescent="0.25">
      <c r="A4629" s="21">
        <v>78925666.609999999</v>
      </c>
    </row>
    <row r="4630" spans="1:1" x14ac:dyDescent="0.25">
      <c r="A4630" s="21">
        <v>56636938.140000001</v>
      </c>
    </row>
    <row r="4631" spans="1:1" x14ac:dyDescent="0.25">
      <c r="A4631" s="21">
        <v>2919471.4</v>
      </c>
    </row>
    <row r="4632" spans="1:1" x14ac:dyDescent="0.25">
      <c r="A4632" s="21">
        <v>122790462.68000001</v>
      </c>
    </row>
    <row r="4633" spans="1:1" x14ac:dyDescent="0.25">
      <c r="A4633" s="21">
        <v>31145046.199999999</v>
      </c>
    </row>
    <row r="4634" spans="1:1" x14ac:dyDescent="0.25">
      <c r="A4634">
        <v>0</v>
      </c>
    </row>
    <row r="4635" spans="1:1" x14ac:dyDescent="0.25">
      <c r="A4635" s="21">
        <v>6734884.5</v>
      </c>
    </row>
    <row r="4636" spans="1:1" x14ac:dyDescent="0.25">
      <c r="A4636" s="21">
        <v>6974398.5</v>
      </c>
    </row>
    <row r="4637" spans="1:1" x14ac:dyDescent="0.25">
      <c r="A4637" s="21">
        <v>71891167.539999902</v>
      </c>
    </row>
    <row r="4638" spans="1:1" x14ac:dyDescent="0.25">
      <c r="A4638" s="21">
        <v>19699232.899999999</v>
      </c>
    </row>
    <row r="4639" spans="1:1" x14ac:dyDescent="0.25">
      <c r="A4639" s="21">
        <v>42229566.07</v>
      </c>
    </row>
    <row r="4640" spans="1:1" x14ac:dyDescent="0.25">
      <c r="A4640" s="21">
        <v>100111643.17</v>
      </c>
    </row>
    <row r="4641" spans="1:1" x14ac:dyDescent="0.25">
      <c r="A4641" s="21">
        <v>15089413.869999999</v>
      </c>
    </row>
    <row r="4642" spans="1:1" x14ac:dyDescent="0.25">
      <c r="A4642" s="21">
        <v>6734884.5</v>
      </c>
    </row>
    <row r="4643" spans="1:1" x14ac:dyDescent="0.25">
      <c r="A4643" s="21">
        <v>219728795.12</v>
      </c>
    </row>
    <row r="4644" spans="1:1" x14ac:dyDescent="0.25">
      <c r="A4644" s="21">
        <v>16094463.869999999</v>
      </c>
    </row>
    <row r="4645" spans="1:1" x14ac:dyDescent="0.25">
      <c r="A4645" s="21">
        <v>68298792.370000005</v>
      </c>
    </row>
    <row r="4646" spans="1:1" x14ac:dyDescent="0.25">
      <c r="A4646">
        <v>0</v>
      </c>
    </row>
    <row r="4647" spans="1:1" x14ac:dyDescent="0.25">
      <c r="A4647" s="21">
        <v>36548701.310000002</v>
      </c>
    </row>
    <row r="4648" spans="1:1" x14ac:dyDescent="0.25">
      <c r="A4648" s="21">
        <v>236781048.16999999</v>
      </c>
    </row>
    <row r="4649" spans="1:1" x14ac:dyDescent="0.25">
      <c r="A4649" s="21">
        <v>51548460.799999997</v>
      </c>
    </row>
    <row r="4650" spans="1:1" x14ac:dyDescent="0.25">
      <c r="A4650" s="21">
        <v>93086930.400000006</v>
      </c>
    </row>
    <row r="4651" spans="1:1" x14ac:dyDescent="0.25">
      <c r="A4651" s="21">
        <v>120231397.02</v>
      </c>
    </row>
    <row r="4652" spans="1:1" x14ac:dyDescent="0.25">
      <c r="A4652" s="21">
        <v>95362858.909999996</v>
      </c>
    </row>
    <row r="4653" spans="1:1" x14ac:dyDescent="0.25">
      <c r="A4653" s="21">
        <v>218913157.91999999</v>
      </c>
    </row>
    <row r="4654" spans="1:1" x14ac:dyDescent="0.25">
      <c r="A4654" s="21">
        <v>11851864.949999999</v>
      </c>
    </row>
    <row r="4655" spans="1:1" x14ac:dyDescent="0.25">
      <c r="A4655" s="21">
        <v>66664324.539999999</v>
      </c>
    </row>
    <row r="4656" spans="1:1" x14ac:dyDescent="0.25">
      <c r="A4656" s="21">
        <v>132392960.73999999</v>
      </c>
    </row>
    <row r="4657" spans="1:1" x14ac:dyDescent="0.25">
      <c r="A4657" s="21">
        <v>66582932.009999998</v>
      </c>
    </row>
    <row r="4658" spans="1:1" x14ac:dyDescent="0.25">
      <c r="A4658" s="21">
        <v>87774043.060000002</v>
      </c>
    </row>
    <row r="4659" spans="1:1" x14ac:dyDescent="0.25">
      <c r="A4659" s="21">
        <v>35302147.159999996</v>
      </c>
    </row>
    <row r="4660" spans="1:1" x14ac:dyDescent="0.25">
      <c r="A4660" s="21">
        <v>182554040.53</v>
      </c>
    </row>
    <row r="4661" spans="1:1" x14ac:dyDescent="0.25">
      <c r="A4661" s="21">
        <v>110749233.3</v>
      </c>
    </row>
    <row r="4662" spans="1:1" x14ac:dyDescent="0.25">
      <c r="A4662" s="21">
        <v>57502643.329999998</v>
      </c>
    </row>
    <row r="4663" spans="1:1" x14ac:dyDescent="0.25">
      <c r="A4663" s="21">
        <v>176538779.97</v>
      </c>
    </row>
    <row r="4664" spans="1:1" x14ac:dyDescent="0.25">
      <c r="A4664" s="21">
        <v>48779200.729999997</v>
      </c>
    </row>
    <row r="4665" spans="1:1" x14ac:dyDescent="0.25">
      <c r="A4665" s="21">
        <v>51005817.729999997</v>
      </c>
    </row>
    <row r="4666" spans="1:1" x14ac:dyDescent="0.25">
      <c r="A4666" s="21">
        <v>62196725.5</v>
      </c>
    </row>
    <row r="4667" spans="1:1" x14ac:dyDescent="0.25">
      <c r="A4667" s="21">
        <v>191970001.84999999</v>
      </c>
    </row>
    <row r="4668" spans="1:1" x14ac:dyDescent="0.25">
      <c r="A4668" s="21">
        <v>12447130.859999999</v>
      </c>
    </row>
    <row r="4669" spans="1:1" x14ac:dyDescent="0.25">
      <c r="A4669" s="21">
        <v>22649337.5</v>
      </c>
    </row>
    <row r="4670" spans="1:1" x14ac:dyDescent="0.25">
      <c r="A4670" s="21">
        <v>6809110.5</v>
      </c>
    </row>
    <row r="4671" spans="1:1" x14ac:dyDescent="0.25">
      <c r="A4671" s="21">
        <v>143481453.31</v>
      </c>
    </row>
    <row r="4672" spans="1:1" x14ac:dyDescent="0.25">
      <c r="A4672" s="21">
        <v>58466909.639999896</v>
      </c>
    </row>
    <row r="4673" spans="1:1" x14ac:dyDescent="0.25">
      <c r="A4673" s="21">
        <v>81042669.739999995</v>
      </c>
    </row>
    <row r="4674" spans="1:1" x14ac:dyDescent="0.25">
      <c r="A4674">
        <v>0</v>
      </c>
    </row>
    <row r="4675" spans="1:1" x14ac:dyDescent="0.25">
      <c r="A4675" s="21">
        <v>46067404.649999999</v>
      </c>
    </row>
    <row r="4676" spans="1:1" x14ac:dyDescent="0.25">
      <c r="A4676" s="21">
        <v>9811005.25</v>
      </c>
    </row>
    <row r="4677" spans="1:1" x14ac:dyDescent="0.25">
      <c r="A4677" s="21">
        <v>64123577.119999997</v>
      </c>
    </row>
    <row r="4678" spans="1:1" x14ac:dyDescent="0.25">
      <c r="A4678" s="21">
        <v>69384652.819999903</v>
      </c>
    </row>
    <row r="4679" spans="1:1" x14ac:dyDescent="0.25">
      <c r="A4679" s="21">
        <v>14468592.550000001</v>
      </c>
    </row>
    <row r="4680" spans="1:1" x14ac:dyDescent="0.25">
      <c r="A4680" s="21">
        <v>19821140.559999999</v>
      </c>
    </row>
    <row r="4681" spans="1:1" x14ac:dyDescent="0.25">
      <c r="A4681">
        <v>0</v>
      </c>
    </row>
    <row r="4682" spans="1:1" x14ac:dyDescent="0.25">
      <c r="A4682" s="21">
        <v>184137248.56</v>
      </c>
    </row>
    <row r="4683" spans="1:1" x14ac:dyDescent="0.25">
      <c r="A4683" s="21">
        <v>6363341.25</v>
      </c>
    </row>
    <row r="4684" spans="1:1" x14ac:dyDescent="0.25">
      <c r="A4684" s="21">
        <v>44427576.559999898</v>
      </c>
    </row>
    <row r="4685" spans="1:1" x14ac:dyDescent="0.25">
      <c r="A4685" s="21">
        <v>225547641.22</v>
      </c>
    </row>
    <row r="4686" spans="1:1" x14ac:dyDescent="0.25">
      <c r="A4686" s="21">
        <v>84692560.359999999</v>
      </c>
    </row>
    <row r="4687" spans="1:1" x14ac:dyDescent="0.25">
      <c r="A4687" s="21">
        <v>247362710.02000001</v>
      </c>
    </row>
    <row r="4688" spans="1:1" x14ac:dyDescent="0.25">
      <c r="A4688" s="21">
        <v>128153830.56999999</v>
      </c>
    </row>
    <row r="4689" spans="1:1" x14ac:dyDescent="0.25">
      <c r="A4689" s="21">
        <v>246015600.96000001</v>
      </c>
    </row>
    <row r="4690" spans="1:1" x14ac:dyDescent="0.25">
      <c r="A4690" s="21">
        <v>28727619.390000001</v>
      </c>
    </row>
    <row r="4691" spans="1:1" x14ac:dyDescent="0.25">
      <c r="A4691" s="21">
        <v>38321420.93</v>
      </c>
    </row>
    <row r="4692" spans="1:1" x14ac:dyDescent="0.25">
      <c r="A4692" s="21">
        <v>55641759.799999997</v>
      </c>
    </row>
    <row r="4693" spans="1:1" x14ac:dyDescent="0.25">
      <c r="A4693" s="21">
        <v>77054307.150000006</v>
      </c>
    </row>
    <row r="4694" spans="1:1" x14ac:dyDescent="0.25">
      <c r="A4694">
        <v>0</v>
      </c>
    </row>
    <row r="4695" spans="1:1" x14ac:dyDescent="0.25">
      <c r="A4695">
        <v>215941944</v>
      </c>
    </row>
    <row r="4696" spans="1:1" x14ac:dyDescent="0.25">
      <c r="A4696" s="21">
        <v>63240235.530000001</v>
      </c>
    </row>
    <row r="4697" spans="1:1" x14ac:dyDescent="0.25">
      <c r="A4697" s="21">
        <v>98997064.480000004</v>
      </c>
    </row>
    <row r="4698" spans="1:1" x14ac:dyDescent="0.25">
      <c r="A4698" s="21">
        <v>279273573.69999999</v>
      </c>
    </row>
    <row r="4699" spans="1:1" x14ac:dyDescent="0.25">
      <c r="A4699" s="21">
        <v>21385989.09</v>
      </c>
    </row>
    <row r="4700" spans="1:1" x14ac:dyDescent="0.25">
      <c r="A4700" s="21">
        <v>6722573.25</v>
      </c>
    </row>
    <row r="4701" spans="1:1" x14ac:dyDescent="0.25">
      <c r="A4701" s="21">
        <v>14875017.810000001</v>
      </c>
    </row>
    <row r="4702" spans="1:1" x14ac:dyDescent="0.25">
      <c r="A4702" s="21">
        <v>663491363.93999898</v>
      </c>
    </row>
    <row r="4703" spans="1:1" x14ac:dyDescent="0.25">
      <c r="A4703" s="21">
        <v>14788107.08</v>
      </c>
    </row>
    <row r="4704" spans="1:1" x14ac:dyDescent="0.25">
      <c r="A4704" s="21">
        <v>145179636.33000001</v>
      </c>
    </row>
    <row r="4705" spans="1:1" x14ac:dyDescent="0.25">
      <c r="A4705" s="21">
        <v>243325866.52000001</v>
      </c>
    </row>
    <row r="4706" spans="1:1" x14ac:dyDescent="0.25">
      <c r="A4706" s="21">
        <v>95194298.400000006</v>
      </c>
    </row>
    <row r="4707" spans="1:1" x14ac:dyDescent="0.25">
      <c r="A4707" s="21">
        <v>21519543.719999999</v>
      </c>
    </row>
    <row r="4708" spans="1:1" x14ac:dyDescent="0.25">
      <c r="A4708" s="21">
        <v>141953159.59</v>
      </c>
    </row>
    <row r="4709" spans="1:1" x14ac:dyDescent="0.25">
      <c r="A4709" s="21">
        <v>13329306.98</v>
      </c>
    </row>
    <row r="4710" spans="1:1" x14ac:dyDescent="0.25">
      <c r="A4710" s="21">
        <v>67597224.469999999</v>
      </c>
    </row>
    <row r="4711" spans="1:1" x14ac:dyDescent="0.25">
      <c r="A4711" s="21">
        <v>8936935.5399999898</v>
      </c>
    </row>
    <row r="4712" spans="1:1" x14ac:dyDescent="0.25">
      <c r="A4712" s="21">
        <v>80262011.430000007</v>
      </c>
    </row>
    <row r="4713" spans="1:1" x14ac:dyDescent="0.25">
      <c r="A4713" s="21">
        <v>66285093.109999999</v>
      </c>
    </row>
    <row r="4714" spans="1:1" x14ac:dyDescent="0.25">
      <c r="A4714" s="21">
        <v>59093515.599999897</v>
      </c>
    </row>
    <row r="4715" spans="1:1" x14ac:dyDescent="0.25">
      <c r="A4715" s="21">
        <v>127404761</v>
      </c>
    </row>
    <row r="4716" spans="1:1" x14ac:dyDescent="0.25">
      <c r="A4716" s="21">
        <v>65430377.130000003</v>
      </c>
    </row>
    <row r="4717" spans="1:1" x14ac:dyDescent="0.25">
      <c r="A4717" s="21">
        <v>53445808.369999997</v>
      </c>
    </row>
    <row r="4718" spans="1:1" x14ac:dyDescent="0.25">
      <c r="A4718" s="21">
        <v>191860060.11000001</v>
      </c>
    </row>
    <row r="4719" spans="1:1" x14ac:dyDescent="0.25">
      <c r="A4719" s="21">
        <v>560329287.47000003</v>
      </c>
    </row>
    <row r="4720" spans="1:1" x14ac:dyDescent="0.25">
      <c r="A4720" s="21">
        <v>191377057.41</v>
      </c>
    </row>
    <row r="4721" spans="1:1" x14ac:dyDescent="0.25">
      <c r="A4721">
        <v>0</v>
      </c>
    </row>
    <row r="4722" spans="1:1" x14ac:dyDescent="0.25">
      <c r="A4722" s="21">
        <v>132442817.7</v>
      </c>
    </row>
    <row r="4723" spans="1:1" x14ac:dyDescent="0.25">
      <c r="A4723" s="21">
        <v>49493910.57</v>
      </c>
    </row>
    <row r="4724" spans="1:1" x14ac:dyDescent="0.25">
      <c r="A4724" s="21">
        <v>66850339.789999999</v>
      </c>
    </row>
    <row r="4725" spans="1:1" x14ac:dyDescent="0.25">
      <c r="A4725" s="21">
        <v>46407278.719999999</v>
      </c>
    </row>
    <row r="4726" spans="1:1" x14ac:dyDescent="0.25">
      <c r="A4726" s="21">
        <v>42921295.390000001</v>
      </c>
    </row>
    <row r="4727" spans="1:1" x14ac:dyDescent="0.25">
      <c r="A4727" s="21">
        <v>136511199.19999999</v>
      </c>
    </row>
    <row r="4728" spans="1:1" x14ac:dyDescent="0.25">
      <c r="A4728" s="21">
        <v>6363341.25</v>
      </c>
    </row>
    <row r="4729" spans="1:1" x14ac:dyDescent="0.25">
      <c r="A4729" s="21">
        <v>9136473.2100000009</v>
      </c>
    </row>
    <row r="4730" spans="1:1" x14ac:dyDescent="0.25">
      <c r="A4730" s="21">
        <v>66954353.899999999</v>
      </c>
    </row>
    <row r="4731" spans="1:1" x14ac:dyDescent="0.25">
      <c r="A4731" s="21">
        <v>4260528.66</v>
      </c>
    </row>
    <row r="4732" spans="1:1" x14ac:dyDescent="0.25">
      <c r="A4732" s="21">
        <v>91013150.090000004</v>
      </c>
    </row>
    <row r="4733" spans="1:1" x14ac:dyDescent="0.25">
      <c r="A4733" s="21">
        <v>270438708.72000003</v>
      </c>
    </row>
    <row r="4734" spans="1:1" x14ac:dyDescent="0.25">
      <c r="A4734" s="21">
        <v>55216841.789999999</v>
      </c>
    </row>
    <row r="4735" spans="1:1" x14ac:dyDescent="0.25">
      <c r="A4735" s="21">
        <v>61850997.969999999</v>
      </c>
    </row>
    <row r="4736" spans="1:1" x14ac:dyDescent="0.25">
      <c r="A4736" s="21">
        <v>134181185.81</v>
      </c>
    </row>
    <row r="4737" spans="1:1" x14ac:dyDescent="0.25">
      <c r="A4737" s="21">
        <v>76397066.170000002</v>
      </c>
    </row>
    <row r="4738" spans="1:1" x14ac:dyDescent="0.25">
      <c r="A4738" s="21">
        <v>67668930.079999998</v>
      </c>
    </row>
    <row r="4739" spans="1:1" x14ac:dyDescent="0.25">
      <c r="A4739" s="21">
        <v>49422114.710000001</v>
      </c>
    </row>
    <row r="4740" spans="1:1" x14ac:dyDescent="0.25">
      <c r="A4740">
        <v>0</v>
      </c>
    </row>
    <row r="4741" spans="1:1" x14ac:dyDescent="0.25">
      <c r="A4741" s="21">
        <v>83672523.909999996</v>
      </c>
    </row>
    <row r="4742" spans="1:1" x14ac:dyDescent="0.25">
      <c r="A4742" s="21">
        <v>21972313.640000001</v>
      </c>
    </row>
    <row r="4743" spans="1:1" x14ac:dyDescent="0.25">
      <c r="A4743" s="21">
        <v>25152924.170000002</v>
      </c>
    </row>
    <row r="4744" spans="1:1" x14ac:dyDescent="0.25">
      <c r="A4744" s="21">
        <v>17959633.030000001</v>
      </c>
    </row>
    <row r="4745" spans="1:1" x14ac:dyDescent="0.25">
      <c r="A4745" s="21">
        <v>152010538.77000001</v>
      </c>
    </row>
    <row r="4746" spans="1:1" x14ac:dyDescent="0.25">
      <c r="A4746" s="21">
        <v>67162119.590000004</v>
      </c>
    </row>
    <row r="4747" spans="1:1" x14ac:dyDescent="0.25">
      <c r="A4747" s="21">
        <v>57310379.390000001</v>
      </c>
    </row>
    <row r="4748" spans="1:1" x14ac:dyDescent="0.25">
      <c r="A4748" s="21">
        <v>47093751.5</v>
      </c>
    </row>
    <row r="4749" spans="1:1" x14ac:dyDescent="0.25">
      <c r="A4749" s="21">
        <v>77404620.689999998</v>
      </c>
    </row>
    <row r="4750" spans="1:1" x14ac:dyDescent="0.25">
      <c r="A4750" s="21">
        <v>28048104.170000002</v>
      </c>
    </row>
    <row r="4751" spans="1:1" x14ac:dyDescent="0.25">
      <c r="A4751" s="21">
        <v>29482483.350000001</v>
      </c>
    </row>
    <row r="4752" spans="1:1" x14ac:dyDescent="0.25">
      <c r="A4752" s="21">
        <v>97482192.310000002</v>
      </c>
    </row>
    <row r="4753" spans="1:1" x14ac:dyDescent="0.25">
      <c r="A4753" s="21">
        <v>23677450.73</v>
      </c>
    </row>
    <row r="4754" spans="1:1" x14ac:dyDescent="0.25">
      <c r="A4754" s="21">
        <v>16938431.75</v>
      </c>
    </row>
    <row r="4755" spans="1:1" x14ac:dyDescent="0.25">
      <c r="A4755" s="21">
        <v>17289379.199999999</v>
      </c>
    </row>
    <row r="4756" spans="1:1" x14ac:dyDescent="0.25">
      <c r="A4756" s="21">
        <v>9659518.3900000006</v>
      </c>
    </row>
    <row r="4757" spans="1:1" x14ac:dyDescent="0.25">
      <c r="A4757" s="21">
        <v>99916071.609999999</v>
      </c>
    </row>
    <row r="4758" spans="1:1" x14ac:dyDescent="0.25">
      <c r="A4758" s="21">
        <v>22318394.16</v>
      </c>
    </row>
    <row r="4759" spans="1:1" x14ac:dyDescent="0.25">
      <c r="A4759" s="21">
        <v>33019220.5</v>
      </c>
    </row>
    <row r="4760" spans="1:1" x14ac:dyDescent="0.25">
      <c r="A4760" s="21">
        <v>28631580.52</v>
      </c>
    </row>
    <row r="4761" spans="1:1" x14ac:dyDescent="0.25">
      <c r="A4761" s="21">
        <v>6810743.25</v>
      </c>
    </row>
    <row r="4762" spans="1:1" x14ac:dyDescent="0.25">
      <c r="A4762" s="21">
        <v>80479275.049999997</v>
      </c>
    </row>
    <row r="4763" spans="1:1" x14ac:dyDescent="0.25">
      <c r="A4763" s="21">
        <v>95416509.879999995</v>
      </c>
    </row>
    <row r="4764" spans="1:1" x14ac:dyDescent="0.25">
      <c r="A4764" s="21">
        <v>86183641.170000002</v>
      </c>
    </row>
    <row r="4765" spans="1:1" x14ac:dyDescent="0.25">
      <c r="A4765" s="21">
        <v>9215153.8499999996</v>
      </c>
    </row>
    <row r="4766" spans="1:1" x14ac:dyDescent="0.25">
      <c r="A4766" s="21">
        <v>55211394.149999999</v>
      </c>
    </row>
    <row r="4767" spans="1:1" x14ac:dyDescent="0.25">
      <c r="A4767" s="21">
        <v>12675714.57</v>
      </c>
    </row>
    <row r="4768" spans="1:1" x14ac:dyDescent="0.25">
      <c r="A4768" s="21">
        <v>161703821.09</v>
      </c>
    </row>
    <row r="4769" spans="1:1" x14ac:dyDescent="0.25">
      <c r="A4769">
        <v>0</v>
      </c>
    </row>
    <row r="4770" spans="1:1" x14ac:dyDescent="0.25">
      <c r="A4770" s="21">
        <v>6553889.25</v>
      </c>
    </row>
    <row r="4771" spans="1:1" x14ac:dyDescent="0.25">
      <c r="A4771" s="21">
        <v>144936809.18000001</v>
      </c>
    </row>
    <row r="4772" spans="1:1" x14ac:dyDescent="0.25">
      <c r="A4772" s="21">
        <v>31683358.469999999</v>
      </c>
    </row>
    <row r="4773" spans="1:1" x14ac:dyDescent="0.25">
      <c r="A4773" s="21">
        <v>37331535.740000002</v>
      </c>
    </row>
    <row r="4774" spans="1:1" x14ac:dyDescent="0.25">
      <c r="A4774" s="21">
        <v>84548018.959999904</v>
      </c>
    </row>
    <row r="4775" spans="1:1" x14ac:dyDescent="0.25">
      <c r="A4775" s="21">
        <v>94017143.170000002</v>
      </c>
    </row>
    <row r="4776" spans="1:1" x14ac:dyDescent="0.25">
      <c r="A4776" s="21">
        <v>3973944.2</v>
      </c>
    </row>
    <row r="4777" spans="1:1" x14ac:dyDescent="0.25">
      <c r="A4777" s="21">
        <v>236652250.30000001</v>
      </c>
    </row>
    <row r="4778" spans="1:1" x14ac:dyDescent="0.25">
      <c r="A4778" s="21">
        <v>20668010.91</v>
      </c>
    </row>
    <row r="4779" spans="1:1" x14ac:dyDescent="0.25">
      <c r="A4779" s="21">
        <v>3794506.81</v>
      </c>
    </row>
    <row r="4780" spans="1:1" x14ac:dyDescent="0.25">
      <c r="A4780" s="21">
        <v>27361565.5</v>
      </c>
    </row>
    <row r="4781" spans="1:1" x14ac:dyDescent="0.25">
      <c r="A4781" s="21">
        <v>66852842.359999999</v>
      </c>
    </row>
    <row r="4782" spans="1:1" x14ac:dyDescent="0.25">
      <c r="A4782" s="21">
        <v>42123730.219999999</v>
      </c>
    </row>
    <row r="4783" spans="1:1" x14ac:dyDescent="0.25">
      <c r="A4783" s="21">
        <v>120558850.38</v>
      </c>
    </row>
    <row r="4784" spans="1:1" x14ac:dyDescent="0.25">
      <c r="A4784" s="21">
        <v>86642647.560000002</v>
      </c>
    </row>
    <row r="4785" spans="1:1" x14ac:dyDescent="0.25">
      <c r="A4785" s="21">
        <v>71400199.120000005</v>
      </c>
    </row>
    <row r="4786" spans="1:1" x14ac:dyDescent="0.25">
      <c r="A4786" s="21">
        <v>14362036.08</v>
      </c>
    </row>
    <row r="4787" spans="1:1" x14ac:dyDescent="0.25">
      <c r="A4787" s="21">
        <v>269153646.39999998</v>
      </c>
    </row>
    <row r="4788" spans="1:1" x14ac:dyDescent="0.25">
      <c r="A4788" s="21">
        <v>14950014.76</v>
      </c>
    </row>
    <row r="4789" spans="1:1" x14ac:dyDescent="0.25">
      <c r="A4789" s="21">
        <v>69526946.379999995</v>
      </c>
    </row>
    <row r="4790" spans="1:1" x14ac:dyDescent="0.25">
      <c r="A4790" s="21">
        <v>101219709.36</v>
      </c>
    </row>
    <row r="4791" spans="1:1" x14ac:dyDescent="0.25">
      <c r="A4791" s="21">
        <v>105430156.26000001</v>
      </c>
    </row>
    <row r="4792" spans="1:1" x14ac:dyDescent="0.25">
      <c r="A4792" s="21">
        <v>37284568.009999998</v>
      </c>
    </row>
    <row r="4793" spans="1:1" x14ac:dyDescent="0.25">
      <c r="A4793" s="21">
        <v>23209006.050000001</v>
      </c>
    </row>
    <row r="4794" spans="1:1" x14ac:dyDescent="0.25">
      <c r="A4794" s="21">
        <v>69596155.349999994</v>
      </c>
    </row>
    <row r="4795" spans="1:1" x14ac:dyDescent="0.25">
      <c r="A4795" s="21">
        <v>6882193.5</v>
      </c>
    </row>
    <row r="4796" spans="1:1" x14ac:dyDescent="0.25">
      <c r="A4796" s="21">
        <v>150689817.81</v>
      </c>
    </row>
    <row r="4797" spans="1:1" x14ac:dyDescent="0.25">
      <c r="A4797" s="21">
        <v>4251225.04</v>
      </c>
    </row>
    <row r="4798" spans="1:1" x14ac:dyDescent="0.25">
      <c r="A4798" s="21">
        <v>59052677.210000001</v>
      </c>
    </row>
    <row r="4799" spans="1:1" x14ac:dyDescent="0.25">
      <c r="A4799" s="21">
        <v>49758920.119999997</v>
      </c>
    </row>
    <row r="4800" spans="1:1" x14ac:dyDescent="0.25">
      <c r="A4800" s="21">
        <v>83919024.489999905</v>
      </c>
    </row>
    <row r="4801" spans="1:1" x14ac:dyDescent="0.25">
      <c r="A4801" s="21">
        <v>9566216.2200000007</v>
      </c>
    </row>
    <row r="4802" spans="1:1" x14ac:dyDescent="0.25">
      <c r="A4802">
        <v>0</v>
      </c>
    </row>
    <row r="4803" spans="1:1" x14ac:dyDescent="0.25">
      <c r="A4803" s="21">
        <v>85279811.170000002</v>
      </c>
    </row>
    <row r="4804" spans="1:1" x14ac:dyDescent="0.25">
      <c r="A4804" s="21">
        <v>76772721.680000007</v>
      </c>
    </row>
    <row r="4805" spans="1:1" x14ac:dyDescent="0.25">
      <c r="A4805" s="21">
        <v>56629417.599999897</v>
      </c>
    </row>
    <row r="4806" spans="1:1" x14ac:dyDescent="0.25">
      <c r="A4806" s="21">
        <v>4137168.93</v>
      </c>
    </row>
    <row r="4807" spans="1:1" x14ac:dyDescent="0.25">
      <c r="A4807" s="21">
        <v>46404818.520000003</v>
      </c>
    </row>
    <row r="4808" spans="1:1" x14ac:dyDescent="0.25">
      <c r="A4808" s="21">
        <v>54001179.240000002</v>
      </c>
    </row>
    <row r="4809" spans="1:1" x14ac:dyDescent="0.25">
      <c r="A4809" s="21">
        <v>10752943.5</v>
      </c>
    </row>
    <row r="4810" spans="1:1" x14ac:dyDescent="0.25">
      <c r="A4810" s="21">
        <v>24552725.629999999</v>
      </c>
    </row>
    <row r="4811" spans="1:1" x14ac:dyDescent="0.25">
      <c r="A4811" s="21">
        <v>15849249.119999999</v>
      </c>
    </row>
    <row r="4812" spans="1:1" x14ac:dyDescent="0.25">
      <c r="A4812" s="21">
        <v>115760275.91</v>
      </c>
    </row>
    <row r="4813" spans="1:1" x14ac:dyDescent="0.25">
      <c r="A4813" s="21">
        <v>28304286.280000001</v>
      </c>
    </row>
    <row r="4814" spans="1:1" x14ac:dyDescent="0.25">
      <c r="A4814" s="21">
        <v>123871378.11</v>
      </c>
    </row>
    <row r="4815" spans="1:1" x14ac:dyDescent="0.25">
      <c r="A4815" s="21">
        <v>234774542.84</v>
      </c>
    </row>
    <row r="4816" spans="1:1" x14ac:dyDescent="0.25">
      <c r="A4816" s="21">
        <v>58520255.619999997</v>
      </c>
    </row>
    <row r="4817" spans="1:1" x14ac:dyDescent="0.25">
      <c r="A4817" s="21">
        <v>67664187.890000001</v>
      </c>
    </row>
    <row r="4818" spans="1:1" x14ac:dyDescent="0.25">
      <c r="A4818" s="21">
        <v>9471664.5800000001</v>
      </c>
    </row>
    <row r="4819" spans="1:1" x14ac:dyDescent="0.25">
      <c r="A4819" s="21">
        <v>43242928.469999999</v>
      </c>
    </row>
    <row r="4820" spans="1:1" x14ac:dyDescent="0.25">
      <c r="A4820" s="21">
        <v>19796407.539999999</v>
      </c>
    </row>
    <row r="4821" spans="1:1" x14ac:dyDescent="0.25">
      <c r="A4821" s="21">
        <v>64996366.18</v>
      </c>
    </row>
    <row r="4822" spans="1:1" x14ac:dyDescent="0.25">
      <c r="A4822" s="21">
        <v>19521855.300000001</v>
      </c>
    </row>
    <row r="4823" spans="1:1" x14ac:dyDescent="0.25">
      <c r="A4823" s="21">
        <v>21678020.289999999</v>
      </c>
    </row>
    <row r="4824" spans="1:1" x14ac:dyDescent="0.25">
      <c r="A4824" s="21">
        <v>185158144.18000001</v>
      </c>
    </row>
    <row r="4825" spans="1:1" x14ac:dyDescent="0.25">
      <c r="A4825" s="21">
        <v>330056168.14999998</v>
      </c>
    </row>
    <row r="4826" spans="1:1" x14ac:dyDescent="0.25">
      <c r="A4826" s="21">
        <v>15611038.439999999</v>
      </c>
    </row>
    <row r="4827" spans="1:1" x14ac:dyDescent="0.25">
      <c r="A4827" s="21">
        <v>78132758.870000005</v>
      </c>
    </row>
    <row r="4828" spans="1:1" x14ac:dyDescent="0.25">
      <c r="A4828" s="21">
        <v>7818202.5300000003</v>
      </c>
    </row>
    <row r="4829" spans="1:1" x14ac:dyDescent="0.25">
      <c r="A4829" s="21">
        <v>50877021.170000002</v>
      </c>
    </row>
    <row r="4830" spans="1:1" x14ac:dyDescent="0.25">
      <c r="A4830" s="21">
        <v>468376366.5</v>
      </c>
    </row>
    <row r="4831" spans="1:1" x14ac:dyDescent="0.25">
      <c r="A4831" s="21">
        <v>7067867.25</v>
      </c>
    </row>
    <row r="4832" spans="1:1" x14ac:dyDescent="0.25">
      <c r="A4832" s="21">
        <v>24979124.030000001</v>
      </c>
    </row>
    <row r="4833" spans="1:1" x14ac:dyDescent="0.25">
      <c r="A4833" s="21">
        <v>27539936.66</v>
      </c>
    </row>
    <row r="4834" spans="1:1" x14ac:dyDescent="0.25">
      <c r="A4834" s="21">
        <v>20480576.109999999</v>
      </c>
    </row>
    <row r="4835" spans="1:1" x14ac:dyDescent="0.25">
      <c r="A4835" s="21">
        <v>29943269.859999999</v>
      </c>
    </row>
    <row r="4836" spans="1:1" x14ac:dyDescent="0.25">
      <c r="A4836" s="21">
        <v>126105886.73</v>
      </c>
    </row>
    <row r="4837" spans="1:1" x14ac:dyDescent="0.25">
      <c r="A4837" s="21">
        <v>5428018.5</v>
      </c>
    </row>
    <row r="4838" spans="1:1" x14ac:dyDescent="0.25">
      <c r="A4838" s="21">
        <v>31261169.579999998</v>
      </c>
    </row>
    <row r="4839" spans="1:1" x14ac:dyDescent="0.25">
      <c r="A4839" s="21">
        <v>61958492.799999997</v>
      </c>
    </row>
    <row r="4840" spans="1:1" x14ac:dyDescent="0.25">
      <c r="A4840" s="21">
        <v>208078023.25</v>
      </c>
    </row>
    <row r="4841" spans="1:1" x14ac:dyDescent="0.25">
      <c r="A4841" s="21">
        <v>8592784.8399999999</v>
      </c>
    </row>
    <row r="4842" spans="1:1" x14ac:dyDescent="0.25">
      <c r="A4842" s="21">
        <v>8946614.3000000007</v>
      </c>
    </row>
    <row r="4843" spans="1:1" x14ac:dyDescent="0.25">
      <c r="A4843" s="21">
        <v>27475598</v>
      </c>
    </row>
    <row r="4844" spans="1:1" x14ac:dyDescent="0.25">
      <c r="A4844" s="21">
        <v>42016268.159999996</v>
      </c>
    </row>
    <row r="4845" spans="1:1" x14ac:dyDescent="0.25">
      <c r="A4845" s="21">
        <v>109974748.91</v>
      </c>
    </row>
    <row r="4846" spans="1:1" x14ac:dyDescent="0.25">
      <c r="A4846" s="21">
        <v>6264586.5</v>
      </c>
    </row>
    <row r="4847" spans="1:1" x14ac:dyDescent="0.25">
      <c r="A4847" s="21">
        <v>25523287.239999998</v>
      </c>
    </row>
    <row r="4848" spans="1:1" x14ac:dyDescent="0.25">
      <c r="A4848" s="21">
        <v>23579459.989999998</v>
      </c>
    </row>
    <row r="4849" spans="1:1" x14ac:dyDescent="0.25">
      <c r="A4849" s="21">
        <v>28373550.690000001</v>
      </c>
    </row>
    <row r="4850" spans="1:1" x14ac:dyDescent="0.25">
      <c r="A4850" s="21">
        <v>72812365.420000002</v>
      </c>
    </row>
    <row r="4851" spans="1:1" x14ac:dyDescent="0.25">
      <c r="A4851" s="21">
        <v>32957681.84</v>
      </c>
    </row>
    <row r="4852" spans="1:1" x14ac:dyDescent="0.25">
      <c r="A4852" s="21">
        <v>53111494.68</v>
      </c>
    </row>
    <row r="4853" spans="1:1" x14ac:dyDescent="0.25">
      <c r="A4853" s="21">
        <v>56887154.359999999</v>
      </c>
    </row>
    <row r="4854" spans="1:1" x14ac:dyDescent="0.25">
      <c r="A4854" s="21">
        <v>299804181.23000002</v>
      </c>
    </row>
    <row r="4855" spans="1:1" x14ac:dyDescent="0.25">
      <c r="A4855" s="21">
        <v>52192053.609999999</v>
      </c>
    </row>
    <row r="4856" spans="1:1" x14ac:dyDescent="0.25">
      <c r="A4856" s="21">
        <v>91639190.329999998</v>
      </c>
    </row>
    <row r="4857" spans="1:1" x14ac:dyDescent="0.25">
      <c r="A4857" s="21">
        <v>61523894.890000001</v>
      </c>
    </row>
    <row r="4858" spans="1:1" x14ac:dyDescent="0.25">
      <c r="A4858" s="21">
        <v>85731103.700000003</v>
      </c>
    </row>
    <row r="4859" spans="1:1" x14ac:dyDescent="0.25">
      <c r="A4859" s="21">
        <v>24566167.350000001</v>
      </c>
    </row>
    <row r="4860" spans="1:1" x14ac:dyDescent="0.25">
      <c r="A4860" s="21">
        <v>75056863.230000004</v>
      </c>
    </row>
    <row r="4861" spans="1:1" x14ac:dyDescent="0.25">
      <c r="A4861" s="21">
        <v>12141935.640000001</v>
      </c>
    </row>
    <row r="4862" spans="1:1" x14ac:dyDescent="0.25">
      <c r="A4862" s="21">
        <v>39847231.390000001</v>
      </c>
    </row>
    <row r="4863" spans="1:1" x14ac:dyDescent="0.25">
      <c r="A4863" s="21">
        <v>16881759.699999999</v>
      </c>
    </row>
    <row r="4864" spans="1:1" x14ac:dyDescent="0.25">
      <c r="A4864" s="21">
        <v>15560147.4</v>
      </c>
    </row>
    <row r="4865" spans="1:1" x14ac:dyDescent="0.25">
      <c r="A4865" s="21">
        <v>318145263.14999998</v>
      </c>
    </row>
    <row r="4866" spans="1:1" x14ac:dyDescent="0.25">
      <c r="A4866" s="21">
        <v>25384471.43</v>
      </c>
    </row>
    <row r="4867" spans="1:1" x14ac:dyDescent="0.25">
      <c r="A4867" s="21">
        <v>125413795.13</v>
      </c>
    </row>
    <row r="4868" spans="1:1" x14ac:dyDescent="0.25">
      <c r="A4868" s="21">
        <v>31415163.140000001</v>
      </c>
    </row>
    <row r="4869" spans="1:1" x14ac:dyDescent="0.25">
      <c r="A4869" s="21">
        <v>68274469.75</v>
      </c>
    </row>
    <row r="4870" spans="1:1" x14ac:dyDescent="0.25">
      <c r="A4870" s="21">
        <v>74915200.450000003</v>
      </c>
    </row>
    <row r="4871" spans="1:1" x14ac:dyDescent="0.25">
      <c r="A4871" s="21">
        <v>130725406.05</v>
      </c>
    </row>
    <row r="4872" spans="1:1" x14ac:dyDescent="0.25">
      <c r="A4872" s="21">
        <v>16158715.43</v>
      </c>
    </row>
    <row r="4873" spans="1:1" x14ac:dyDescent="0.25">
      <c r="A4873" s="21">
        <v>13928315.25</v>
      </c>
    </row>
    <row r="4874" spans="1:1" x14ac:dyDescent="0.25">
      <c r="A4874" s="21">
        <v>36219281.530000001</v>
      </c>
    </row>
    <row r="4875" spans="1:1" x14ac:dyDescent="0.25">
      <c r="A4875" s="21">
        <v>31280514.620000001</v>
      </c>
    </row>
    <row r="4876" spans="1:1" x14ac:dyDescent="0.25">
      <c r="A4876" s="21">
        <v>104982363.91</v>
      </c>
    </row>
    <row r="4877" spans="1:1" x14ac:dyDescent="0.25">
      <c r="A4877" s="21">
        <v>136215358.46000001</v>
      </c>
    </row>
    <row r="4878" spans="1:1" x14ac:dyDescent="0.25">
      <c r="A4878" s="21">
        <v>22384885.079999998</v>
      </c>
    </row>
    <row r="4879" spans="1:1" x14ac:dyDescent="0.25">
      <c r="A4879" s="21">
        <v>19911123.440000001</v>
      </c>
    </row>
    <row r="4880" spans="1:1" x14ac:dyDescent="0.25">
      <c r="A4880" s="21">
        <v>44404063.340000004</v>
      </c>
    </row>
    <row r="4881" spans="1:1" x14ac:dyDescent="0.25">
      <c r="A4881" s="21">
        <v>23244526.32</v>
      </c>
    </row>
    <row r="4882" spans="1:1" x14ac:dyDescent="0.25">
      <c r="A4882" s="21">
        <v>129118937.5</v>
      </c>
    </row>
    <row r="4883" spans="1:1" x14ac:dyDescent="0.25">
      <c r="A4883" s="21">
        <v>172149365.27000001</v>
      </c>
    </row>
    <row r="4884" spans="1:1" x14ac:dyDescent="0.25">
      <c r="A4884" s="21">
        <v>142010033.80000001</v>
      </c>
    </row>
    <row r="4885" spans="1:1" x14ac:dyDescent="0.25">
      <c r="A4885" s="21">
        <v>15420358.119999999</v>
      </c>
    </row>
    <row r="4886" spans="1:1" x14ac:dyDescent="0.25">
      <c r="A4886" s="21">
        <v>16539651.18</v>
      </c>
    </row>
    <row r="4887" spans="1:1" x14ac:dyDescent="0.25">
      <c r="A4887" s="21">
        <v>11448278.609999999</v>
      </c>
    </row>
    <row r="4888" spans="1:1" x14ac:dyDescent="0.25">
      <c r="A4888" s="21">
        <v>60423802.850000001</v>
      </c>
    </row>
    <row r="4889" spans="1:1" x14ac:dyDescent="0.25">
      <c r="A4889" s="21">
        <v>197304159.44</v>
      </c>
    </row>
    <row r="4890" spans="1:1" x14ac:dyDescent="0.25">
      <c r="A4890" s="21">
        <v>84801268.310000002</v>
      </c>
    </row>
    <row r="4891" spans="1:1" x14ac:dyDescent="0.25">
      <c r="A4891" s="21">
        <v>2714883.55</v>
      </c>
    </row>
    <row r="4892" spans="1:1" x14ac:dyDescent="0.25">
      <c r="A4892" s="21">
        <v>6156256.5</v>
      </c>
    </row>
    <row r="4893" spans="1:1" x14ac:dyDescent="0.25">
      <c r="A4893" s="21">
        <v>28419191.870000001</v>
      </c>
    </row>
    <row r="4894" spans="1:1" x14ac:dyDescent="0.25">
      <c r="A4894" s="21">
        <v>336935284.39999998</v>
      </c>
    </row>
    <row r="4895" spans="1:1" x14ac:dyDescent="0.25">
      <c r="A4895" s="21">
        <v>46312781.289999999</v>
      </c>
    </row>
    <row r="4896" spans="1:1" x14ac:dyDescent="0.25">
      <c r="A4896" s="21">
        <v>126643530.11</v>
      </c>
    </row>
    <row r="4897" spans="1:1" x14ac:dyDescent="0.25">
      <c r="A4897" s="21">
        <v>66977184.340000004</v>
      </c>
    </row>
    <row r="4898" spans="1:1" x14ac:dyDescent="0.25">
      <c r="A4898" s="21">
        <v>16960228.579999998</v>
      </c>
    </row>
    <row r="4899" spans="1:1" x14ac:dyDescent="0.25">
      <c r="A4899" s="21">
        <v>62647245.119999997</v>
      </c>
    </row>
    <row r="4900" spans="1:1" x14ac:dyDescent="0.25">
      <c r="A4900" s="21">
        <v>17583906.359999999</v>
      </c>
    </row>
    <row r="4901" spans="1:1" x14ac:dyDescent="0.25">
      <c r="A4901" s="21">
        <v>8804207.3599999901</v>
      </c>
    </row>
    <row r="4902" spans="1:1" x14ac:dyDescent="0.25">
      <c r="A4902" s="21">
        <v>7242424.6299999999</v>
      </c>
    </row>
    <row r="4903" spans="1:1" x14ac:dyDescent="0.25">
      <c r="A4903" s="21">
        <v>14940234.689999999</v>
      </c>
    </row>
    <row r="4904" spans="1:1" x14ac:dyDescent="0.25">
      <c r="A4904" s="21">
        <v>87707983.370000005</v>
      </c>
    </row>
    <row r="4905" spans="1:1" x14ac:dyDescent="0.25">
      <c r="A4905" s="21">
        <v>19607768.75</v>
      </c>
    </row>
    <row r="4906" spans="1:1" x14ac:dyDescent="0.25">
      <c r="A4906" s="21">
        <v>90550508.609999999</v>
      </c>
    </row>
    <row r="4907" spans="1:1" x14ac:dyDescent="0.25">
      <c r="A4907" s="21">
        <v>206076974.97999999</v>
      </c>
    </row>
    <row r="4908" spans="1:1" x14ac:dyDescent="0.25">
      <c r="A4908" s="21">
        <v>208291662.97999999</v>
      </c>
    </row>
    <row r="4909" spans="1:1" x14ac:dyDescent="0.25">
      <c r="A4909" s="21">
        <v>17175696.890000001</v>
      </c>
    </row>
    <row r="4910" spans="1:1" x14ac:dyDescent="0.25">
      <c r="A4910">
        <v>0</v>
      </c>
    </row>
    <row r="4911" spans="1:1" x14ac:dyDescent="0.25">
      <c r="A4911" s="21">
        <v>109465347.3</v>
      </c>
    </row>
    <row r="4912" spans="1:1" x14ac:dyDescent="0.25">
      <c r="A4912" s="21">
        <v>25892086.489999998</v>
      </c>
    </row>
    <row r="4913" spans="1:1" x14ac:dyDescent="0.25">
      <c r="A4913" s="21">
        <v>72652291.170000002</v>
      </c>
    </row>
    <row r="4914" spans="1:1" x14ac:dyDescent="0.25">
      <c r="A4914" s="21">
        <v>341436896.31999999</v>
      </c>
    </row>
    <row r="4915" spans="1:1" x14ac:dyDescent="0.25">
      <c r="A4915" s="21">
        <v>47757219.299999997</v>
      </c>
    </row>
    <row r="4916" spans="1:1" x14ac:dyDescent="0.25">
      <c r="A4916">
        <v>0</v>
      </c>
    </row>
    <row r="4917" spans="1:1" x14ac:dyDescent="0.25">
      <c r="A4917" s="21">
        <v>34508849.060000002</v>
      </c>
    </row>
    <row r="4918" spans="1:1" x14ac:dyDescent="0.25">
      <c r="A4918" s="21">
        <v>28354191.149999999</v>
      </c>
    </row>
    <row r="4919" spans="1:1" x14ac:dyDescent="0.25">
      <c r="A4919" s="21">
        <v>335554899.29000002</v>
      </c>
    </row>
    <row r="4920" spans="1:1" x14ac:dyDescent="0.25">
      <c r="A4920" s="21">
        <v>233215497.66999999</v>
      </c>
    </row>
    <row r="4921" spans="1:1" x14ac:dyDescent="0.25">
      <c r="A4921" s="21">
        <v>176177317.65000001</v>
      </c>
    </row>
    <row r="4922" spans="1:1" x14ac:dyDescent="0.25">
      <c r="A4922" s="21">
        <v>16193279.5</v>
      </c>
    </row>
    <row r="4923" spans="1:1" x14ac:dyDescent="0.25">
      <c r="A4923" s="21">
        <v>99993478.400000006</v>
      </c>
    </row>
    <row r="4924" spans="1:1" x14ac:dyDescent="0.25">
      <c r="A4924" s="21">
        <v>11457108.41</v>
      </c>
    </row>
    <row r="4925" spans="1:1" x14ac:dyDescent="0.25">
      <c r="A4925" s="21">
        <v>101680827.34999999</v>
      </c>
    </row>
    <row r="4926" spans="1:1" x14ac:dyDescent="0.25">
      <c r="A4926" s="21">
        <v>54560638.159999996</v>
      </c>
    </row>
    <row r="4927" spans="1:1" x14ac:dyDescent="0.25">
      <c r="A4927" s="21">
        <v>199018638.59</v>
      </c>
    </row>
    <row r="4928" spans="1:1" x14ac:dyDescent="0.25">
      <c r="A4928" s="21">
        <v>31633548.09</v>
      </c>
    </row>
    <row r="4929" spans="1:1" x14ac:dyDescent="0.25">
      <c r="A4929" s="21">
        <v>90506113.560000002</v>
      </c>
    </row>
    <row r="4930" spans="1:1" x14ac:dyDescent="0.25">
      <c r="A4930" s="21">
        <v>182221115.5</v>
      </c>
    </row>
    <row r="4931" spans="1:1" x14ac:dyDescent="0.25">
      <c r="A4931" s="21">
        <v>73602886.430000007</v>
      </c>
    </row>
    <row r="4932" spans="1:1" x14ac:dyDescent="0.25">
      <c r="A4932" s="21">
        <v>51394907.82</v>
      </c>
    </row>
    <row r="4933" spans="1:1" x14ac:dyDescent="0.25">
      <c r="A4933" s="21">
        <v>185942301.88999999</v>
      </c>
    </row>
    <row r="4934" spans="1:1" x14ac:dyDescent="0.25">
      <c r="A4934" s="21">
        <v>28660535.5</v>
      </c>
    </row>
    <row r="4935" spans="1:1" x14ac:dyDescent="0.25">
      <c r="A4935" s="21">
        <v>28258962.109999999</v>
      </c>
    </row>
    <row r="4936" spans="1:1" x14ac:dyDescent="0.25">
      <c r="A4936" s="21">
        <v>31405858.039999999</v>
      </c>
    </row>
    <row r="4937" spans="1:1" x14ac:dyDescent="0.25">
      <c r="A4937">
        <v>0</v>
      </c>
    </row>
    <row r="4938" spans="1:1" x14ac:dyDescent="0.25">
      <c r="A4938" s="21">
        <v>22955906.859999999</v>
      </c>
    </row>
    <row r="4939" spans="1:1" x14ac:dyDescent="0.25">
      <c r="A4939" s="21">
        <v>20346142.670000002</v>
      </c>
    </row>
    <row r="4940" spans="1:1" x14ac:dyDescent="0.25">
      <c r="A4940">
        <v>0</v>
      </c>
    </row>
    <row r="4941" spans="1:1" x14ac:dyDescent="0.25">
      <c r="A4941" s="21">
        <v>99568327.840000004</v>
      </c>
    </row>
    <row r="4942" spans="1:1" x14ac:dyDescent="0.25">
      <c r="A4942" s="21">
        <v>11221959.98</v>
      </c>
    </row>
    <row r="4943" spans="1:1" x14ac:dyDescent="0.25">
      <c r="A4943" s="21">
        <v>204408606.21000001</v>
      </c>
    </row>
    <row r="4944" spans="1:1" x14ac:dyDescent="0.25">
      <c r="A4944" s="21">
        <v>112222291.18000001</v>
      </c>
    </row>
    <row r="4945" spans="1:1" x14ac:dyDescent="0.25">
      <c r="A4945" s="21">
        <v>6846407.0599999996</v>
      </c>
    </row>
    <row r="4946" spans="1:1" x14ac:dyDescent="0.25">
      <c r="A4946" s="21">
        <v>32775783.609999999</v>
      </c>
    </row>
    <row r="4947" spans="1:1" x14ac:dyDescent="0.25">
      <c r="A4947" s="21">
        <v>256870275.90000001</v>
      </c>
    </row>
    <row r="4948" spans="1:1" x14ac:dyDescent="0.25">
      <c r="A4948" s="21">
        <v>6553889.25</v>
      </c>
    </row>
    <row r="4949" spans="1:1" x14ac:dyDescent="0.25">
      <c r="A4949" s="21">
        <v>71093729.989999995</v>
      </c>
    </row>
    <row r="4950" spans="1:1" x14ac:dyDescent="0.25">
      <c r="A4950" s="21">
        <v>23154783.030000001</v>
      </c>
    </row>
    <row r="4951" spans="1:1" x14ac:dyDescent="0.25">
      <c r="A4951" s="21">
        <v>36023024.460000001</v>
      </c>
    </row>
    <row r="4952" spans="1:1" x14ac:dyDescent="0.25">
      <c r="A4952" s="21">
        <v>138180283.81</v>
      </c>
    </row>
    <row r="4953" spans="1:1" x14ac:dyDescent="0.25">
      <c r="A4953" s="21">
        <v>12974000.18</v>
      </c>
    </row>
    <row r="4954" spans="1:1" x14ac:dyDescent="0.25">
      <c r="A4954" s="21">
        <v>215772515.18000001</v>
      </c>
    </row>
    <row r="4955" spans="1:1" x14ac:dyDescent="0.25">
      <c r="A4955" s="21">
        <v>13728981.210000001</v>
      </c>
    </row>
    <row r="4956" spans="1:1" x14ac:dyDescent="0.25">
      <c r="A4956">
        <v>0</v>
      </c>
    </row>
    <row r="4957" spans="1:1" x14ac:dyDescent="0.25">
      <c r="A4957" s="21">
        <v>24584263.68</v>
      </c>
    </row>
    <row r="4958" spans="1:1" x14ac:dyDescent="0.25">
      <c r="A4958" s="21">
        <v>98495961.569999993</v>
      </c>
    </row>
    <row r="4959" spans="1:1" x14ac:dyDescent="0.25">
      <c r="A4959" s="21">
        <v>88061171.399999902</v>
      </c>
    </row>
    <row r="4960" spans="1:1" x14ac:dyDescent="0.25">
      <c r="A4960" s="21">
        <v>97453698.859999999</v>
      </c>
    </row>
    <row r="4961" spans="1:1" x14ac:dyDescent="0.25">
      <c r="A4961" s="21">
        <v>47713978.93</v>
      </c>
    </row>
    <row r="4962" spans="1:1" x14ac:dyDescent="0.25">
      <c r="A4962" s="21">
        <v>116300797.44</v>
      </c>
    </row>
    <row r="4963" spans="1:1" x14ac:dyDescent="0.25">
      <c r="A4963" s="21">
        <v>94779165.950000003</v>
      </c>
    </row>
    <row r="4964" spans="1:1" x14ac:dyDescent="0.25">
      <c r="A4964" s="21">
        <v>54635057.259999998</v>
      </c>
    </row>
    <row r="4965" spans="1:1" x14ac:dyDescent="0.25">
      <c r="A4965" s="21">
        <v>20024886.75</v>
      </c>
    </row>
    <row r="4966" spans="1:1" x14ac:dyDescent="0.25">
      <c r="A4966" s="21">
        <v>139152733.97999999</v>
      </c>
    </row>
    <row r="4967" spans="1:1" x14ac:dyDescent="0.25">
      <c r="A4967" s="21">
        <v>69942384.909999996</v>
      </c>
    </row>
    <row r="4968" spans="1:1" x14ac:dyDescent="0.25">
      <c r="A4968" s="21">
        <v>112275085.87</v>
      </c>
    </row>
    <row r="4969" spans="1:1" x14ac:dyDescent="0.25">
      <c r="A4969" s="21">
        <v>63805791.960000001</v>
      </c>
    </row>
    <row r="4970" spans="1:1" x14ac:dyDescent="0.25">
      <c r="A4970" s="21">
        <v>195961586.24000001</v>
      </c>
    </row>
    <row r="4971" spans="1:1" x14ac:dyDescent="0.25">
      <c r="A4971" s="21">
        <v>102862054.8</v>
      </c>
    </row>
    <row r="4972" spans="1:1" x14ac:dyDescent="0.25">
      <c r="A4972" s="21">
        <v>35720935.700000003</v>
      </c>
    </row>
    <row r="4973" spans="1:1" x14ac:dyDescent="0.25">
      <c r="A4973" s="21">
        <v>105435437.77</v>
      </c>
    </row>
    <row r="4974" spans="1:1" x14ac:dyDescent="0.25">
      <c r="A4974" s="21">
        <v>236349750.24000001</v>
      </c>
    </row>
    <row r="4975" spans="1:1" x14ac:dyDescent="0.25">
      <c r="A4975" s="21">
        <v>124023561.45999999</v>
      </c>
    </row>
    <row r="4976" spans="1:1" x14ac:dyDescent="0.25">
      <c r="A4976" s="21">
        <v>71507440.469999999</v>
      </c>
    </row>
    <row r="4977" spans="1:1" x14ac:dyDescent="0.25">
      <c r="A4977" s="21">
        <v>41468750.799999997</v>
      </c>
    </row>
    <row r="4978" spans="1:1" x14ac:dyDescent="0.25">
      <c r="A4978" s="21">
        <v>191620284.97</v>
      </c>
    </row>
    <row r="4979" spans="1:1" x14ac:dyDescent="0.25">
      <c r="A4979" s="21">
        <v>10377308.4</v>
      </c>
    </row>
    <row r="4980" spans="1:1" x14ac:dyDescent="0.25">
      <c r="A4980" s="21">
        <v>57398873.799999997</v>
      </c>
    </row>
    <row r="4981" spans="1:1" x14ac:dyDescent="0.25">
      <c r="A4981" s="21">
        <v>19411493.25</v>
      </c>
    </row>
    <row r="4982" spans="1:1" x14ac:dyDescent="0.25">
      <c r="A4982" s="21">
        <v>153166946.06999999</v>
      </c>
    </row>
    <row r="4983" spans="1:1" x14ac:dyDescent="0.25">
      <c r="A4983" s="21">
        <v>7491709.5199999996</v>
      </c>
    </row>
    <row r="4984" spans="1:1" x14ac:dyDescent="0.25">
      <c r="A4984" s="21">
        <v>118279391.33</v>
      </c>
    </row>
    <row r="4985" spans="1:1" x14ac:dyDescent="0.25">
      <c r="A4985" s="21">
        <v>210101762.5</v>
      </c>
    </row>
    <row r="4986" spans="1:1" x14ac:dyDescent="0.25">
      <c r="A4986" s="21">
        <v>201721084.34</v>
      </c>
    </row>
    <row r="4987" spans="1:1" x14ac:dyDescent="0.25">
      <c r="A4987" s="21">
        <v>31484255.57</v>
      </c>
    </row>
    <row r="4988" spans="1:1" x14ac:dyDescent="0.25">
      <c r="A4988" s="21">
        <v>96424432.760000005</v>
      </c>
    </row>
    <row r="4989" spans="1:1" x14ac:dyDescent="0.25">
      <c r="A4989" s="21">
        <v>161507446.44999999</v>
      </c>
    </row>
    <row r="4990" spans="1:1" x14ac:dyDescent="0.25">
      <c r="A4990">
        <v>13014660</v>
      </c>
    </row>
    <row r="4991" spans="1:1" x14ac:dyDescent="0.25">
      <c r="A4991" s="21">
        <v>165756648.13</v>
      </c>
    </row>
    <row r="4992" spans="1:1" x14ac:dyDescent="0.25">
      <c r="A4992" s="21">
        <v>15911582.6</v>
      </c>
    </row>
    <row r="4993" spans="1:1" x14ac:dyDescent="0.25">
      <c r="A4993" s="21">
        <v>10850883.83</v>
      </c>
    </row>
    <row r="4994" spans="1:1" x14ac:dyDescent="0.25">
      <c r="A4994" s="21">
        <v>235340366.78</v>
      </c>
    </row>
    <row r="4995" spans="1:1" x14ac:dyDescent="0.25">
      <c r="A4995" s="21">
        <v>25560418.719999999</v>
      </c>
    </row>
    <row r="4996" spans="1:1" x14ac:dyDescent="0.25">
      <c r="A4996" s="21">
        <v>27467151.25</v>
      </c>
    </row>
    <row r="4997" spans="1:1" x14ac:dyDescent="0.25">
      <c r="A4997" s="21">
        <v>3081148.43</v>
      </c>
    </row>
    <row r="4998" spans="1:1" x14ac:dyDescent="0.25">
      <c r="A4998" s="21">
        <v>3404209.03</v>
      </c>
    </row>
    <row r="4999" spans="1:1" x14ac:dyDescent="0.25">
      <c r="A4999" s="21">
        <v>6350878.5</v>
      </c>
    </row>
    <row r="5000" spans="1:1" x14ac:dyDescent="0.25">
      <c r="A5000" s="21">
        <v>248932079.34999999</v>
      </c>
    </row>
    <row r="5001" spans="1:1" x14ac:dyDescent="0.25">
      <c r="A5001" s="21">
        <v>52789286.329999998</v>
      </c>
    </row>
    <row r="5002" spans="1:1" x14ac:dyDescent="0.25">
      <c r="A5002" s="21">
        <v>22389378.550000001</v>
      </c>
    </row>
    <row r="5003" spans="1:1" x14ac:dyDescent="0.25">
      <c r="A5003" s="21">
        <v>10071438.66</v>
      </c>
    </row>
    <row r="5004" spans="1:1" x14ac:dyDescent="0.25">
      <c r="A5004" s="21">
        <v>363922274.61999899</v>
      </c>
    </row>
    <row r="5005" spans="1:1" x14ac:dyDescent="0.25">
      <c r="A5005" s="21">
        <v>184652206.87</v>
      </c>
    </row>
    <row r="5006" spans="1:1" x14ac:dyDescent="0.25">
      <c r="A5006" s="21">
        <v>121687187.42</v>
      </c>
    </row>
    <row r="5007" spans="1:1" x14ac:dyDescent="0.25">
      <c r="A5007" s="21">
        <v>71274317.299999997</v>
      </c>
    </row>
    <row r="5008" spans="1:1" x14ac:dyDescent="0.25">
      <c r="A5008" s="21">
        <v>163330259.52000001</v>
      </c>
    </row>
    <row r="5009" spans="1:1" x14ac:dyDescent="0.25">
      <c r="A5009" s="21">
        <v>249851239.16</v>
      </c>
    </row>
    <row r="5010" spans="1:1" x14ac:dyDescent="0.25">
      <c r="A5010">
        <v>0</v>
      </c>
    </row>
    <row r="5011" spans="1:1" x14ac:dyDescent="0.25">
      <c r="A5011" s="21">
        <v>19400658.75</v>
      </c>
    </row>
    <row r="5012" spans="1:1" x14ac:dyDescent="0.25">
      <c r="A5012" s="21">
        <v>95914147.439999998</v>
      </c>
    </row>
    <row r="5013" spans="1:1" x14ac:dyDescent="0.25">
      <c r="A5013" s="21">
        <v>28051519.670000002</v>
      </c>
    </row>
    <row r="5014" spans="1:1" x14ac:dyDescent="0.25">
      <c r="A5014" s="21">
        <v>43745729.640000001</v>
      </c>
    </row>
    <row r="5015" spans="1:1" x14ac:dyDescent="0.25">
      <c r="A5015" s="21">
        <v>24091728.68</v>
      </c>
    </row>
    <row r="5016" spans="1:1" x14ac:dyDescent="0.25">
      <c r="A5016" s="21">
        <v>65865665.630000003</v>
      </c>
    </row>
    <row r="5017" spans="1:1" x14ac:dyDescent="0.25">
      <c r="A5017" s="21">
        <v>6643910.2800000003</v>
      </c>
    </row>
    <row r="5018" spans="1:1" x14ac:dyDescent="0.25">
      <c r="A5018" s="21">
        <v>59811350.539999999</v>
      </c>
    </row>
    <row r="5019" spans="1:1" x14ac:dyDescent="0.25">
      <c r="A5019" s="21">
        <v>18928659.75</v>
      </c>
    </row>
    <row r="5020" spans="1:1" x14ac:dyDescent="0.25">
      <c r="A5020" s="21">
        <v>56926432.490000002</v>
      </c>
    </row>
    <row r="5021" spans="1:1" x14ac:dyDescent="0.25">
      <c r="A5021" s="21">
        <v>63994705.549999997</v>
      </c>
    </row>
    <row r="5022" spans="1:1" x14ac:dyDescent="0.25">
      <c r="A5022" s="21">
        <v>17303943.059999999</v>
      </c>
    </row>
    <row r="5023" spans="1:1" x14ac:dyDescent="0.25">
      <c r="A5023" s="21">
        <v>52568844.759999998</v>
      </c>
    </row>
    <row r="5024" spans="1:1" x14ac:dyDescent="0.25">
      <c r="A5024" s="21">
        <v>24801384.84</v>
      </c>
    </row>
    <row r="5025" spans="1:1" x14ac:dyDescent="0.25">
      <c r="A5025" s="21">
        <v>3432390.57</v>
      </c>
    </row>
    <row r="5026" spans="1:1" x14ac:dyDescent="0.25">
      <c r="A5026" s="21">
        <v>25754366.420000002</v>
      </c>
    </row>
    <row r="5027" spans="1:1" x14ac:dyDescent="0.25">
      <c r="A5027" s="21">
        <v>26561745.539999999</v>
      </c>
    </row>
    <row r="5028" spans="1:1" x14ac:dyDescent="0.25">
      <c r="A5028">
        <v>94200128</v>
      </c>
    </row>
    <row r="5029" spans="1:1" x14ac:dyDescent="0.25">
      <c r="A5029" s="21">
        <v>18037537.859999999</v>
      </c>
    </row>
    <row r="5030" spans="1:1" x14ac:dyDescent="0.25">
      <c r="A5030" s="21">
        <v>112316506.31</v>
      </c>
    </row>
    <row r="5031" spans="1:1" x14ac:dyDescent="0.25">
      <c r="A5031" s="21">
        <v>21325460.68</v>
      </c>
    </row>
    <row r="5032" spans="1:1" x14ac:dyDescent="0.25">
      <c r="A5032" s="21">
        <v>63195771.469999999</v>
      </c>
    </row>
    <row r="5033" spans="1:1" x14ac:dyDescent="0.25">
      <c r="A5033" s="21">
        <v>88756682.560000002</v>
      </c>
    </row>
    <row r="5034" spans="1:1" x14ac:dyDescent="0.25">
      <c r="A5034" s="21">
        <v>26886870.93</v>
      </c>
    </row>
    <row r="5035" spans="1:1" x14ac:dyDescent="0.25">
      <c r="A5035" s="21">
        <v>140633617.88</v>
      </c>
    </row>
    <row r="5036" spans="1:1" x14ac:dyDescent="0.25">
      <c r="A5036" s="21">
        <v>79889463.189999998</v>
      </c>
    </row>
    <row r="5037" spans="1:1" x14ac:dyDescent="0.25">
      <c r="A5037" s="21">
        <v>330811163.86000001</v>
      </c>
    </row>
    <row r="5038" spans="1:1" x14ac:dyDescent="0.25">
      <c r="A5038" s="21">
        <v>32159023.52</v>
      </c>
    </row>
    <row r="5039" spans="1:1" x14ac:dyDescent="0.25">
      <c r="A5039" s="21">
        <v>79944846.549999997</v>
      </c>
    </row>
    <row r="5040" spans="1:1" x14ac:dyDescent="0.25">
      <c r="A5040" s="21">
        <v>108540324.19</v>
      </c>
    </row>
    <row r="5041" spans="1:1" x14ac:dyDescent="0.25">
      <c r="A5041" s="21">
        <v>217827350.06</v>
      </c>
    </row>
    <row r="5042" spans="1:1" x14ac:dyDescent="0.25">
      <c r="A5042" s="21">
        <v>104172989.87</v>
      </c>
    </row>
    <row r="5043" spans="1:1" x14ac:dyDescent="0.25">
      <c r="A5043" s="21">
        <v>33346270.93</v>
      </c>
    </row>
    <row r="5044" spans="1:1" x14ac:dyDescent="0.25">
      <c r="A5044" s="21">
        <v>64879486.450000003</v>
      </c>
    </row>
    <row r="5045" spans="1:1" x14ac:dyDescent="0.25">
      <c r="A5045" s="21">
        <v>205468376.22999999</v>
      </c>
    </row>
    <row r="5046" spans="1:1" x14ac:dyDescent="0.25">
      <c r="A5046" s="21">
        <v>4017486.16</v>
      </c>
    </row>
    <row r="5047" spans="1:1" x14ac:dyDescent="0.25">
      <c r="A5047" s="21">
        <v>89496800.649999902</v>
      </c>
    </row>
    <row r="5048" spans="1:1" x14ac:dyDescent="0.25">
      <c r="A5048" s="21">
        <v>134485774.66999999</v>
      </c>
    </row>
    <row r="5049" spans="1:1" x14ac:dyDescent="0.25">
      <c r="A5049" s="21">
        <v>38372014.829999998</v>
      </c>
    </row>
    <row r="5050" spans="1:1" x14ac:dyDescent="0.25">
      <c r="A5050">
        <v>0</v>
      </c>
    </row>
    <row r="5051" spans="1:1" x14ac:dyDescent="0.25">
      <c r="A5051" s="21">
        <v>130623110.44</v>
      </c>
    </row>
    <row r="5052" spans="1:1" x14ac:dyDescent="0.25">
      <c r="A5052" s="21">
        <v>48924184.93</v>
      </c>
    </row>
    <row r="5053" spans="1:1" x14ac:dyDescent="0.25">
      <c r="A5053" s="21">
        <v>11174716.76</v>
      </c>
    </row>
    <row r="5054" spans="1:1" x14ac:dyDescent="0.25">
      <c r="A5054" s="21">
        <v>24237038.609999999</v>
      </c>
    </row>
    <row r="5055" spans="1:1" x14ac:dyDescent="0.25">
      <c r="A5055" s="21">
        <v>19766489.809999999</v>
      </c>
    </row>
    <row r="5056" spans="1:1" x14ac:dyDescent="0.25">
      <c r="A5056" s="21">
        <v>3467254.02</v>
      </c>
    </row>
    <row r="5057" spans="1:1" x14ac:dyDescent="0.25">
      <c r="A5057">
        <v>0</v>
      </c>
    </row>
    <row r="5058" spans="1:1" x14ac:dyDescent="0.25">
      <c r="A5058" s="21">
        <v>50480730.590000004</v>
      </c>
    </row>
    <row r="5059" spans="1:1" x14ac:dyDescent="0.25">
      <c r="A5059" s="21">
        <v>31628569.530000001</v>
      </c>
    </row>
    <row r="5060" spans="1:1" x14ac:dyDescent="0.25">
      <c r="A5060" s="21">
        <v>25796073.190000001</v>
      </c>
    </row>
    <row r="5061" spans="1:1" x14ac:dyDescent="0.25">
      <c r="A5061" s="21">
        <v>22772250.390000001</v>
      </c>
    </row>
    <row r="5062" spans="1:1" x14ac:dyDescent="0.25">
      <c r="A5062" s="21">
        <v>51911492.420000002</v>
      </c>
    </row>
    <row r="5063" spans="1:1" x14ac:dyDescent="0.25">
      <c r="A5063" s="21">
        <v>47707095.880000003</v>
      </c>
    </row>
    <row r="5064" spans="1:1" x14ac:dyDescent="0.25">
      <c r="A5064" s="21">
        <v>31598090.600000001</v>
      </c>
    </row>
    <row r="5065" spans="1:1" x14ac:dyDescent="0.25">
      <c r="A5065" s="21">
        <v>58960622.299999997</v>
      </c>
    </row>
    <row r="5066" spans="1:1" x14ac:dyDescent="0.25">
      <c r="A5066" s="21">
        <v>28640597.690000001</v>
      </c>
    </row>
    <row r="5067" spans="1:1" x14ac:dyDescent="0.25">
      <c r="A5067" s="21">
        <v>94644155.560000002</v>
      </c>
    </row>
    <row r="5068" spans="1:1" x14ac:dyDescent="0.25">
      <c r="A5068" s="21">
        <v>149503751.93000001</v>
      </c>
    </row>
    <row r="5069" spans="1:1" x14ac:dyDescent="0.25">
      <c r="A5069">
        <v>0</v>
      </c>
    </row>
    <row r="5070" spans="1:1" x14ac:dyDescent="0.25">
      <c r="A5070" s="21">
        <v>241806825.94999999</v>
      </c>
    </row>
    <row r="5071" spans="1:1" x14ac:dyDescent="0.25">
      <c r="A5071" s="21">
        <v>6014379.75</v>
      </c>
    </row>
    <row r="5072" spans="1:1" x14ac:dyDescent="0.25">
      <c r="A5072" s="21">
        <v>487749226.26999998</v>
      </c>
    </row>
    <row r="5073" spans="1:1" x14ac:dyDescent="0.25">
      <c r="A5073" s="21">
        <v>61988614.520000003</v>
      </c>
    </row>
    <row r="5074" spans="1:1" x14ac:dyDescent="0.25">
      <c r="A5074" s="21">
        <v>89049128.899999902</v>
      </c>
    </row>
    <row r="5075" spans="1:1" x14ac:dyDescent="0.25">
      <c r="A5075" s="21">
        <v>24628096.91</v>
      </c>
    </row>
    <row r="5076" spans="1:1" x14ac:dyDescent="0.25">
      <c r="A5076" s="21">
        <v>43517102.07</v>
      </c>
    </row>
    <row r="5077" spans="1:1" x14ac:dyDescent="0.25">
      <c r="A5077" s="21">
        <v>22063439.550000001</v>
      </c>
    </row>
    <row r="5078" spans="1:1" x14ac:dyDescent="0.25">
      <c r="A5078" s="21">
        <v>13877786.25</v>
      </c>
    </row>
    <row r="5079" spans="1:1" x14ac:dyDescent="0.25">
      <c r="A5079" s="21">
        <v>68009670.879999995</v>
      </c>
    </row>
    <row r="5080" spans="1:1" x14ac:dyDescent="0.25">
      <c r="A5080" s="21">
        <v>166176560.41</v>
      </c>
    </row>
    <row r="5081" spans="1:1" x14ac:dyDescent="0.25">
      <c r="A5081" s="21">
        <v>15253471.25</v>
      </c>
    </row>
    <row r="5082" spans="1:1" x14ac:dyDescent="0.25">
      <c r="A5082" s="21">
        <v>30001294.18</v>
      </c>
    </row>
    <row r="5083" spans="1:1" x14ac:dyDescent="0.25">
      <c r="A5083" s="21">
        <v>19647656.489999998</v>
      </c>
    </row>
    <row r="5084" spans="1:1" x14ac:dyDescent="0.25">
      <c r="A5084" s="21">
        <v>73435227.079999998</v>
      </c>
    </row>
    <row r="5085" spans="1:1" x14ac:dyDescent="0.25">
      <c r="A5085" s="21">
        <v>65530998.700000003</v>
      </c>
    </row>
    <row r="5086" spans="1:1" x14ac:dyDescent="0.25">
      <c r="A5086" s="21">
        <v>62817643.329999998</v>
      </c>
    </row>
    <row r="5087" spans="1:1" x14ac:dyDescent="0.25">
      <c r="A5087" s="21">
        <v>68185997.030000001</v>
      </c>
    </row>
    <row r="5088" spans="1:1" x14ac:dyDescent="0.25">
      <c r="A5088" s="21">
        <v>25076127.109999999</v>
      </c>
    </row>
    <row r="5089" spans="1:1" x14ac:dyDescent="0.25">
      <c r="A5089" s="21">
        <v>79750202.950000003</v>
      </c>
    </row>
    <row r="5090" spans="1:1" x14ac:dyDescent="0.25">
      <c r="A5090" s="21">
        <v>9732063.6199999992</v>
      </c>
    </row>
    <row r="5091" spans="1:1" x14ac:dyDescent="0.25">
      <c r="A5091" s="21">
        <v>76866000.939999998</v>
      </c>
    </row>
    <row r="5092" spans="1:1" x14ac:dyDescent="0.25">
      <c r="A5092" s="21">
        <v>26939309.460000001</v>
      </c>
    </row>
    <row r="5093" spans="1:1" x14ac:dyDescent="0.25">
      <c r="A5093" s="21">
        <v>45313555.43</v>
      </c>
    </row>
    <row r="5094" spans="1:1" x14ac:dyDescent="0.25">
      <c r="A5094" s="21">
        <v>122394910.8</v>
      </c>
    </row>
    <row r="5095" spans="1:1" x14ac:dyDescent="0.25">
      <c r="A5095" s="21">
        <v>2914826.29</v>
      </c>
    </row>
    <row r="5096" spans="1:1" x14ac:dyDescent="0.25">
      <c r="A5096" s="21">
        <v>167937234.33000001</v>
      </c>
    </row>
    <row r="5097" spans="1:1" x14ac:dyDescent="0.25">
      <c r="A5097" s="21">
        <v>120926497.40000001</v>
      </c>
    </row>
    <row r="5098" spans="1:1" x14ac:dyDescent="0.25">
      <c r="A5098">
        <v>0</v>
      </c>
    </row>
    <row r="5099" spans="1:1" x14ac:dyDescent="0.25">
      <c r="A5099" s="21">
        <v>149888229.44</v>
      </c>
    </row>
    <row r="5100" spans="1:1" x14ac:dyDescent="0.25">
      <c r="A5100" s="21">
        <v>8941468.4000000004</v>
      </c>
    </row>
    <row r="5101" spans="1:1" x14ac:dyDescent="0.25">
      <c r="A5101" s="21">
        <v>41467079.530000001</v>
      </c>
    </row>
    <row r="5102" spans="1:1" x14ac:dyDescent="0.25">
      <c r="A5102" s="21">
        <v>106003508.72</v>
      </c>
    </row>
    <row r="5103" spans="1:1" x14ac:dyDescent="0.25">
      <c r="A5103" s="21">
        <v>102983950.84</v>
      </c>
    </row>
    <row r="5104" spans="1:1" x14ac:dyDescent="0.25">
      <c r="A5104" s="21">
        <v>25583834.539999999</v>
      </c>
    </row>
    <row r="5105" spans="1:1" x14ac:dyDescent="0.25">
      <c r="A5105" s="21">
        <v>24289152.34</v>
      </c>
    </row>
    <row r="5106" spans="1:1" x14ac:dyDescent="0.25">
      <c r="A5106" s="21">
        <v>52490529.130000003</v>
      </c>
    </row>
    <row r="5107" spans="1:1" x14ac:dyDescent="0.25">
      <c r="A5107" s="21">
        <v>66806845.759999998</v>
      </c>
    </row>
    <row r="5108" spans="1:1" x14ac:dyDescent="0.25">
      <c r="A5108" s="21">
        <v>8376173.8399999999</v>
      </c>
    </row>
    <row r="5109" spans="1:1" x14ac:dyDescent="0.25">
      <c r="A5109" s="21">
        <v>81022301.650000006</v>
      </c>
    </row>
    <row r="5110" spans="1:1" x14ac:dyDescent="0.25">
      <c r="A5110" s="21">
        <v>2815248.21</v>
      </c>
    </row>
    <row r="5111" spans="1:1" x14ac:dyDescent="0.25">
      <c r="A5111" s="21">
        <v>13359288.34</v>
      </c>
    </row>
    <row r="5112" spans="1:1" x14ac:dyDescent="0.25">
      <c r="A5112" s="21">
        <v>49898302.689999998</v>
      </c>
    </row>
    <row r="5113" spans="1:1" x14ac:dyDescent="0.25">
      <c r="A5113" s="21">
        <v>4028686.55</v>
      </c>
    </row>
    <row r="5114" spans="1:1" x14ac:dyDescent="0.25">
      <c r="A5114" s="21">
        <v>54462214.380000003</v>
      </c>
    </row>
    <row r="5115" spans="1:1" x14ac:dyDescent="0.25">
      <c r="A5115" s="21">
        <v>92165617.390000001</v>
      </c>
    </row>
    <row r="5116" spans="1:1" x14ac:dyDescent="0.25">
      <c r="A5116" s="21">
        <v>107586459.03</v>
      </c>
    </row>
    <row r="5117" spans="1:1" x14ac:dyDescent="0.25">
      <c r="A5117" s="21">
        <v>89245650.950000003</v>
      </c>
    </row>
    <row r="5118" spans="1:1" x14ac:dyDescent="0.25">
      <c r="A5118" s="21">
        <v>79274683.540000007</v>
      </c>
    </row>
    <row r="5119" spans="1:1" x14ac:dyDescent="0.25">
      <c r="A5119" s="21">
        <v>106934084.08</v>
      </c>
    </row>
    <row r="5120" spans="1:1" x14ac:dyDescent="0.25">
      <c r="A5120" s="21">
        <v>20065909.5</v>
      </c>
    </row>
    <row r="5121" spans="1:1" x14ac:dyDescent="0.25">
      <c r="A5121" s="21">
        <v>148661107.99000001</v>
      </c>
    </row>
    <row r="5122" spans="1:1" x14ac:dyDescent="0.25">
      <c r="A5122" s="21">
        <v>75106769.200000003</v>
      </c>
    </row>
    <row r="5123" spans="1:1" x14ac:dyDescent="0.25">
      <c r="A5123" s="21">
        <v>55818419.960000001</v>
      </c>
    </row>
    <row r="5124" spans="1:1" x14ac:dyDescent="0.25">
      <c r="A5124" s="21">
        <v>33848462.560000002</v>
      </c>
    </row>
    <row r="5125" spans="1:1" x14ac:dyDescent="0.25">
      <c r="A5125" s="21">
        <v>60996672.380000003</v>
      </c>
    </row>
    <row r="5126" spans="1:1" x14ac:dyDescent="0.25">
      <c r="A5126" s="21">
        <v>5976583.5</v>
      </c>
    </row>
    <row r="5127" spans="1:1" x14ac:dyDescent="0.25">
      <c r="A5127" s="21">
        <v>19385907.23</v>
      </c>
    </row>
    <row r="5128" spans="1:1" x14ac:dyDescent="0.25">
      <c r="A5128" s="21">
        <v>33055210.43</v>
      </c>
    </row>
    <row r="5129" spans="1:1" x14ac:dyDescent="0.25">
      <c r="A5129" s="21">
        <v>22501654.02</v>
      </c>
    </row>
    <row r="5130" spans="1:1" x14ac:dyDescent="0.25">
      <c r="A5130" s="21">
        <v>89014585.370000005</v>
      </c>
    </row>
    <row r="5131" spans="1:1" x14ac:dyDescent="0.25">
      <c r="A5131" s="21">
        <v>44056437.07</v>
      </c>
    </row>
    <row r="5132" spans="1:1" x14ac:dyDescent="0.25">
      <c r="A5132" s="21">
        <v>147984131.69</v>
      </c>
    </row>
    <row r="5133" spans="1:1" x14ac:dyDescent="0.25">
      <c r="A5133" s="21">
        <v>25218612.690000001</v>
      </c>
    </row>
    <row r="5134" spans="1:1" x14ac:dyDescent="0.25">
      <c r="A5134" s="21">
        <v>10666711.76</v>
      </c>
    </row>
    <row r="5135" spans="1:1" x14ac:dyDescent="0.25">
      <c r="A5135">
        <v>0</v>
      </c>
    </row>
    <row r="5136" spans="1:1" x14ac:dyDescent="0.25">
      <c r="A5136" s="21">
        <v>23227228.059999999</v>
      </c>
    </row>
    <row r="5137" spans="1:1" x14ac:dyDescent="0.25">
      <c r="A5137" s="21">
        <v>23373434.920000002</v>
      </c>
    </row>
    <row r="5138" spans="1:1" x14ac:dyDescent="0.25">
      <c r="A5138" s="21">
        <v>123214991.26000001</v>
      </c>
    </row>
    <row r="5139" spans="1:1" x14ac:dyDescent="0.25">
      <c r="A5139" s="21">
        <v>63369742.959999897</v>
      </c>
    </row>
    <row r="5140" spans="1:1" x14ac:dyDescent="0.25">
      <c r="A5140" s="21">
        <v>38107931.189999998</v>
      </c>
    </row>
    <row r="5141" spans="1:1" x14ac:dyDescent="0.25">
      <c r="A5141" s="21">
        <v>107963744.04000001</v>
      </c>
    </row>
    <row r="5142" spans="1:1" x14ac:dyDescent="0.25">
      <c r="A5142" s="21">
        <v>61562741.799999997</v>
      </c>
    </row>
    <row r="5143" spans="1:1" x14ac:dyDescent="0.25">
      <c r="A5143" s="21">
        <v>40413452.479999997</v>
      </c>
    </row>
    <row r="5144" spans="1:1" x14ac:dyDescent="0.25">
      <c r="A5144" s="21">
        <v>26555012.530000001</v>
      </c>
    </row>
    <row r="5145" spans="1:1" x14ac:dyDescent="0.25">
      <c r="A5145" s="21">
        <v>12392681.310000001</v>
      </c>
    </row>
    <row r="5146" spans="1:1" x14ac:dyDescent="0.25">
      <c r="A5146" s="21">
        <v>33440626.719999999</v>
      </c>
    </row>
    <row r="5147" spans="1:1" x14ac:dyDescent="0.25">
      <c r="A5147" s="21">
        <v>11402826.359999999</v>
      </c>
    </row>
    <row r="5148" spans="1:1" x14ac:dyDescent="0.25">
      <c r="A5148" s="21">
        <v>7719207.3499999996</v>
      </c>
    </row>
    <row r="5149" spans="1:1" x14ac:dyDescent="0.25">
      <c r="A5149">
        <v>530022638</v>
      </c>
    </row>
    <row r="5150" spans="1:1" x14ac:dyDescent="0.25">
      <c r="A5150" s="21">
        <v>61514497.310000002</v>
      </c>
    </row>
    <row r="5151" spans="1:1" x14ac:dyDescent="0.25">
      <c r="A5151" s="21">
        <v>44532330.460000001</v>
      </c>
    </row>
    <row r="5152" spans="1:1" x14ac:dyDescent="0.25">
      <c r="A5152" s="21">
        <v>24959983.91</v>
      </c>
    </row>
    <row r="5153" spans="1:1" x14ac:dyDescent="0.25">
      <c r="A5153" s="21">
        <v>9626916.4399999995</v>
      </c>
    </row>
    <row r="5154" spans="1:1" x14ac:dyDescent="0.25">
      <c r="A5154" s="21">
        <v>5450746.5</v>
      </c>
    </row>
    <row r="5155" spans="1:1" x14ac:dyDescent="0.25">
      <c r="A5155" s="21">
        <v>4137168.93</v>
      </c>
    </row>
    <row r="5156" spans="1:1" x14ac:dyDescent="0.25">
      <c r="A5156" s="21">
        <v>41659302.280000001</v>
      </c>
    </row>
    <row r="5157" spans="1:1" x14ac:dyDescent="0.25">
      <c r="A5157" s="21">
        <v>68993680.150000006</v>
      </c>
    </row>
    <row r="5158" spans="1:1" x14ac:dyDescent="0.25">
      <c r="A5158" s="21">
        <v>10853272.380000001</v>
      </c>
    </row>
    <row r="5159" spans="1:1" x14ac:dyDescent="0.25">
      <c r="A5159" s="21">
        <v>64331021.789999999</v>
      </c>
    </row>
    <row r="5160" spans="1:1" x14ac:dyDescent="0.25">
      <c r="A5160" s="21">
        <v>12884777.74</v>
      </c>
    </row>
    <row r="5161" spans="1:1" x14ac:dyDescent="0.25">
      <c r="A5161" s="21">
        <v>65068377.039999999</v>
      </c>
    </row>
    <row r="5162" spans="1:1" x14ac:dyDescent="0.25">
      <c r="A5162" s="21">
        <v>128628598.76000001</v>
      </c>
    </row>
    <row r="5163" spans="1:1" x14ac:dyDescent="0.25">
      <c r="A5163" s="21">
        <v>246903452.09999999</v>
      </c>
    </row>
    <row r="5164" spans="1:1" x14ac:dyDescent="0.25">
      <c r="A5164" s="21">
        <v>24946783.719999999</v>
      </c>
    </row>
    <row r="5165" spans="1:1" x14ac:dyDescent="0.25">
      <c r="A5165" s="21">
        <v>587421238.95999897</v>
      </c>
    </row>
    <row r="5166" spans="1:1" x14ac:dyDescent="0.25">
      <c r="A5166" s="21">
        <v>119005642.58</v>
      </c>
    </row>
    <row r="5167" spans="1:1" x14ac:dyDescent="0.25">
      <c r="A5167" s="21">
        <v>52168961.439999998</v>
      </c>
    </row>
    <row r="5168" spans="1:1" x14ac:dyDescent="0.25">
      <c r="A5168" s="21">
        <v>82048873.5</v>
      </c>
    </row>
    <row r="5169" spans="1:1" x14ac:dyDescent="0.25">
      <c r="A5169">
        <v>0</v>
      </c>
    </row>
    <row r="5170" spans="1:1" x14ac:dyDescent="0.25">
      <c r="A5170" s="21">
        <v>128799602.93000001</v>
      </c>
    </row>
    <row r="5171" spans="1:1" x14ac:dyDescent="0.25">
      <c r="A5171">
        <v>0</v>
      </c>
    </row>
    <row r="5172" spans="1:1" x14ac:dyDescent="0.25">
      <c r="A5172" s="21">
        <v>54837652.030000001</v>
      </c>
    </row>
    <row r="5173" spans="1:1" x14ac:dyDescent="0.25">
      <c r="A5173" s="21">
        <v>61483983.030000001</v>
      </c>
    </row>
    <row r="5174" spans="1:1" x14ac:dyDescent="0.25">
      <c r="A5174" s="21">
        <v>59493679.729999997</v>
      </c>
    </row>
    <row r="5175" spans="1:1" x14ac:dyDescent="0.25">
      <c r="A5175" s="21">
        <v>25008641.25</v>
      </c>
    </row>
    <row r="5176" spans="1:1" x14ac:dyDescent="0.25">
      <c r="A5176" s="21">
        <v>116937111.01000001</v>
      </c>
    </row>
    <row r="5177" spans="1:1" x14ac:dyDescent="0.25">
      <c r="A5177" s="21">
        <v>38596421.200000003</v>
      </c>
    </row>
    <row r="5178" spans="1:1" x14ac:dyDescent="0.25">
      <c r="A5178" s="21">
        <v>281794555.81</v>
      </c>
    </row>
    <row r="5179" spans="1:1" x14ac:dyDescent="0.25">
      <c r="A5179" s="21">
        <v>6958086.6799999997</v>
      </c>
    </row>
    <row r="5180" spans="1:1" x14ac:dyDescent="0.25">
      <c r="A5180" s="21">
        <v>325264255.69999999</v>
      </c>
    </row>
    <row r="5181" spans="1:1" x14ac:dyDescent="0.25">
      <c r="A5181" s="21">
        <v>88879569.909999996</v>
      </c>
    </row>
    <row r="5182" spans="1:1" x14ac:dyDescent="0.25">
      <c r="A5182" s="21">
        <v>59654435.740000002</v>
      </c>
    </row>
    <row r="5183" spans="1:1" x14ac:dyDescent="0.25">
      <c r="A5183" s="21">
        <v>31251371.940000001</v>
      </c>
    </row>
    <row r="5184" spans="1:1" x14ac:dyDescent="0.25">
      <c r="A5184" s="21">
        <v>83628228.489999905</v>
      </c>
    </row>
    <row r="5185" spans="1:1" x14ac:dyDescent="0.25">
      <c r="A5185" s="21">
        <v>24111895.739999998</v>
      </c>
    </row>
    <row r="5186" spans="1:1" x14ac:dyDescent="0.25">
      <c r="A5186" s="21">
        <v>55135459.740000002</v>
      </c>
    </row>
    <row r="5187" spans="1:1" x14ac:dyDescent="0.25">
      <c r="A5187" s="21">
        <v>35139866.140000001</v>
      </c>
    </row>
    <row r="5188" spans="1:1" x14ac:dyDescent="0.25">
      <c r="A5188" s="21">
        <v>19052533.75</v>
      </c>
    </row>
    <row r="5189" spans="1:1" x14ac:dyDescent="0.25">
      <c r="A5189" s="21">
        <v>39575174.689999998</v>
      </c>
    </row>
    <row r="5190" spans="1:1" x14ac:dyDescent="0.25">
      <c r="A5190" s="21">
        <v>29750171.34</v>
      </c>
    </row>
    <row r="5191" spans="1:1" x14ac:dyDescent="0.25">
      <c r="A5191" s="21">
        <v>6329589.8300000001</v>
      </c>
    </row>
    <row r="5192" spans="1:1" x14ac:dyDescent="0.25">
      <c r="A5192" s="21">
        <v>19149068.239999998</v>
      </c>
    </row>
    <row r="5193" spans="1:1" x14ac:dyDescent="0.25">
      <c r="A5193" s="21">
        <v>121724657.65000001</v>
      </c>
    </row>
    <row r="5194" spans="1:1" x14ac:dyDescent="0.25">
      <c r="A5194" s="21">
        <v>50740828.75</v>
      </c>
    </row>
    <row r="5195" spans="1:1" x14ac:dyDescent="0.25">
      <c r="A5195" s="21">
        <v>33070856.93</v>
      </c>
    </row>
    <row r="5196" spans="1:1" x14ac:dyDescent="0.25">
      <c r="A5196">
        <v>0</v>
      </c>
    </row>
    <row r="5197" spans="1:1" x14ac:dyDescent="0.25">
      <c r="A5197">
        <v>23606206</v>
      </c>
    </row>
    <row r="5198" spans="1:1" x14ac:dyDescent="0.25">
      <c r="A5198" s="21">
        <v>7982435.6100000003</v>
      </c>
    </row>
    <row r="5199" spans="1:1" x14ac:dyDescent="0.25">
      <c r="A5199" s="21">
        <v>32041220.359999999</v>
      </c>
    </row>
    <row r="5200" spans="1:1" x14ac:dyDescent="0.25">
      <c r="A5200">
        <v>0</v>
      </c>
    </row>
    <row r="5201" spans="1:1" x14ac:dyDescent="0.25">
      <c r="A5201" s="21">
        <v>340757597.69</v>
      </c>
    </row>
    <row r="5202" spans="1:1" x14ac:dyDescent="0.25">
      <c r="A5202" s="21">
        <v>95625002.109999999</v>
      </c>
    </row>
    <row r="5203" spans="1:1" x14ac:dyDescent="0.25">
      <c r="A5203" s="21">
        <v>18141339.670000002</v>
      </c>
    </row>
    <row r="5204" spans="1:1" x14ac:dyDescent="0.25">
      <c r="A5204" s="21">
        <v>6793692.1299999999</v>
      </c>
    </row>
    <row r="5205" spans="1:1" x14ac:dyDescent="0.25">
      <c r="A5205">
        <v>0</v>
      </c>
    </row>
    <row r="5206" spans="1:1" x14ac:dyDescent="0.25">
      <c r="A5206" s="21">
        <v>31930545.539999999</v>
      </c>
    </row>
    <row r="5207" spans="1:1" x14ac:dyDescent="0.25">
      <c r="A5207" s="21">
        <v>97658851.919999897</v>
      </c>
    </row>
    <row r="5208" spans="1:1" x14ac:dyDescent="0.25">
      <c r="A5208" s="21">
        <v>3329685.6</v>
      </c>
    </row>
    <row r="5209" spans="1:1" x14ac:dyDescent="0.25">
      <c r="A5209" s="21">
        <v>17864357.559999999</v>
      </c>
    </row>
    <row r="5210" spans="1:1" x14ac:dyDescent="0.25">
      <c r="A5210" s="21">
        <v>58486284.599999897</v>
      </c>
    </row>
    <row r="5211" spans="1:1" x14ac:dyDescent="0.25">
      <c r="A5211" s="21">
        <v>172307868.69999999</v>
      </c>
    </row>
    <row r="5212" spans="1:1" x14ac:dyDescent="0.25">
      <c r="A5212" s="21">
        <v>24677355.010000002</v>
      </c>
    </row>
    <row r="5213" spans="1:1" x14ac:dyDescent="0.25">
      <c r="A5213" s="21">
        <v>50657002.810000002</v>
      </c>
    </row>
    <row r="5214" spans="1:1" x14ac:dyDescent="0.25">
      <c r="A5214" s="21">
        <v>92247211.359999999</v>
      </c>
    </row>
    <row r="5215" spans="1:1" x14ac:dyDescent="0.25">
      <c r="A5215" s="21">
        <v>34787383.759999998</v>
      </c>
    </row>
    <row r="5216" spans="1:1" x14ac:dyDescent="0.25">
      <c r="A5216" s="21">
        <v>73302456.170000002</v>
      </c>
    </row>
    <row r="5217" spans="1:1" x14ac:dyDescent="0.25">
      <c r="A5217" s="21">
        <v>114673501.98999999</v>
      </c>
    </row>
    <row r="5218" spans="1:1" x14ac:dyDescent="0.25">
      <c r="A5218" s="21">
        <v>94548045.810000002</v>
      </c>
    </row>
    <row r="5219" spans="1:1" x14ac:dyDescent="0.25">
      <c r="A5219" s="21">
        <v>79651514.859999999</v>
      </c>
    </row>
    <row r="5220" spans="1:1" x14ac:dyDescent="0.25">
      <c r="A5220" s="21">
        <v>43381096.280000001</v>
      </c>
    </row>
    <row r="5221" spans="1:1" x14ac:dyDescent="0.25">
      <c r="A5221" s="21">
        <v>106639911.34999999</v>
      </c>
    </row>
    <row r="5222" spans="1:1" x14ac:dyDescent="0.25">
      <c r="A5222" s="21">
        <v>84253464.579999998</v>
      </c>
    </row>
    <row r="5223" spans="1:1" x14ac:dyDescent="0.25">
      <c r="A5223" s="21">
        <v>52825882.469999999</v>
      </c>
    </row>
    <row r="5224" spans="1:1" x14ac:dyDescent="0.25">
      <c r="A5224" s="21">
        <v>41112129.149999999</v>
      </c>
    </row>
    <row r="5225" spans="1:1" x14ac:dyDescent="0.25">
      <c r="A5225" s="21">
        <v>70544006.439999998</v>
      </c>
    </row>
    <row r="5226" spans="1:1" x14ac:dyDescent="0.25">
      <c r="A5226" s="21">
        <v>225485285.80000001</v>
      </c>
    </row>
    <row r="5227" spans="1:1" x14ac:dyDescent="0.25">
      <c r="A5227" s="21">
        <v>9513288.3000000007</v>
      </c>
    </row>
    <row r="5228" spans="1:1" x14ac:dyDescent="0.25">
      <c r="A5228" s="21">
        <v>143362166.55000001</v>
      </c>
    </row>
    <row r="5229" spans="1:1" x14ac:dyDescent="0.25">
      <c r="A5229" s="21">
        <v>5775316.9199999999</v>
      </c>
    </row>
    <row r="5230" spans="1:1" x14ac:dyDescent="0.25">
      <c r="A5230" s="21">
        <v>4268531.1399999997</v>
      </c>
    </row>
    <row r="5231" spans="1:1" x14ac:dyDescent="0.25">
      <c r="A5231" s="21">
        <v>59596902.939999998</v>
      </c>
    </row>
    <row r="5232" spans="1:1" x14ac:dyDescent="0.25">
      <c r="A5232" s="21">
        <v>20180988.510000002</v>
      </c>
    </row>
    <row r="5233" spans="1:1" x14ac:dyDescent="0.25">
      <c r="A5233" s="21">
        <v>161024573.03999999</v>
      </c>
    </row>
    <row r="5234" spans="1:1" x14ac:dyDescent="0.25">
      <c r="A5234" s="21">
        <v>10233846.49</v>
      </c>
    </row>
    <row r="5235" spans="1:1" x14ac:dyDescent="0.25">
      <c r="A5235" s="21">
        <v>107136093.19</v>
      </c>
    </row>
    <row r="5236" spans="1:1" x14ac:dyDescent="0.25">
      <c r="A5236" s="21">
        <v>87671076.889999896</v>
      </c>
    </row>
    <row r="5237" spans="1:1" x14ac:dyDescent="0.25">
      <c r="A5237" s="21">
        <v>21624776.199999999</v>
      </c>
    </row>
    <row r="5238" spans="1:1" x14ac:dyDescent="0.25">
      <c r="A5238" s="21">
        <v>101789645.29000001</v>
      </c>
    </row>
    <row r="5239" spans="1:1" x14ac:dyDescent="0.25">
      <c r="A5239" s="21">
        <v>146238137.15000001</v>
      </c>
    </row>
    <row r="5240" spans="1:1" x14ac:dyDescent="0.25">
      <c r="A5240" s="21">
        <v>24350276.760000002</v>
      </c>
    </row>
    <row r="5241" spans="1:1" x14ac:dyDescent="0.25">
      <c r="A5241" s="21">
        <v>459331579.61000001</v>
      </c>
    </row>
    <row r="5242" spans="1:1" x14ac:dyDescent="0.25">
      <c r="A5242" s="21">
        <v>81507535.900000006</v>
      </c>
    </row>
    <row r="5243" spans="1:1" x14ac:dyDescent="0.25">
      <c r="A5243" s="21">
        <v>19252839.129999999</v>
      </c>
    </row>
    <row r="5244" spans="1:1" x14ac:dyDescent="0.25">
      <c r="A5244" s="21">
        <v>107604280.28</v>
      </c>
    </row>
    <row r="5245" spans="1:1" x14ac:dyDescent="0.25">
      <c r="A5245" s="21">
        <v>128901787.59</v>
      </c>
    </row>
    <row r="5246" spans="1:1" x14ac:dyDescent="0.25">
      <c r="A5246" s="21">
        <v>70465227.629999995</v>
      </c>
    </row>
    <row r="5247" spans="1:1" x14ac:dyDescent="0.25">
      <c r="A5247" s="21">
        <v>15869353.359999999</v>
      </c>
    </row>
    <row r="5248" spans="1:1" x14ac:dyDescent="0.25">
      <c r="A5248" s="21">
        <v>22468465.940000001</v>
      </c>
    </row>
    <row r="5249" spans="1:1" x14ac:dyDescent="0.25">
      <c r="A5249" s="21">
        <v>125698653.31999999</v>
      </c>
    </row>
    <row r="5250" spans="1:1" x14ac:dyDescent="0.25">
      <c r="A5250" s="21">
        <v>61277010.850000001</v>
      </c>
    </row>
    <row r="5251" spans="1:1" x14ac:dyDescent="0.25">
      <c r="A5251" s="21">
        <v>129032528.29000001</v>
      </c>
    </row>
    <row r="5252" spans="1:1" x14ac:dyDescent="0.25">
      <c r="A5252" s="21">
        <v>32432996.370000001</v>
      </c>
    </row>
    <row r="5253" spans="1:1" x14ac:dyDescent="0.25">
      <c r="A5253" s="21">
        <v>159305760.05000001</v>
      </c>
    </row>
    <row r="5254" spans="1:1" x14ac:dyDescent="0.25">
      <c r="A5254" s="21">
        <v>67284766.219999999</v>
      </c>
    </row>
    <row r="5255" spans="1:1" x14ac:dyDescent="0.25">
      <c r="A5255" s="21">
        <v>92698905.319999993</v>
      </c>
    </row>
    <row r="5256" spans="1:1" x14ac:dyDescent="0.25">
      <c r="A5256" s="21">
        <v>157793355.62</v>
      </c>
    </row>
    <row r="5257" spans="1:1" x14ac:dyDescent="0.25">
      <c r="A5257" s="21">
        <v>67710163.219999999</v>
      </c>
    </row>
    <row r="5258" spans="1:1" x14ac:dyDescent="0.25">
      <c r="A5258" s="21">
        <v>7378465.4500000002</v>
      </c>
    </row>
    <row r="5259" spans="1:1" x14ac:dyDescent="0.25">
      <c r="A5259" s="21">
        <v>99214031.950000003</v>
      </c>
    </row>
    <row r="5260" spans="1:1" x14ac:dyDescent="0.25">
      <c r="A5260" s="21">
        <v>26228223.010000002</v>
      </c>
    </row>
    <row r="5261" spans="1:1" x14ac:dyDescent="0.25">
      <c r="A5261" s="21">
        <v>128106083.27</v>
      </c>
    </row>
    <row r="5262" spans="1:1" x14ac:dyDescent="0.25">
      <c r="A5262" s="21">
        <v>16807844.23</v>
      </c>
    </row>
    <row r="5263" spans="1:1" x14ac:dyDescent="0.25">
      <c r="A5263" s="21">
        <v>45649828.340000004</v>
      </c>
    </row>
    <row r="5264" spans="1:1" x14ac:dyDescent="0.25">
      <c r="A5264" s="21">
        <v>308006503.5</v>
      </c>
    </row>
    <row r="5265" spans="1:1" x14ac:dyDescent="0.25">
      <c r="A5265" s="21">
        <v>26525847.66</v>
      </c>
    </row>
    <row r="5266" spans="1:1" x14ac:dyDescent="0.25">
      <c r="A5266" s="21">
        <v>125660860.73</v>
      </c>
    </row>
    <row r="5267" spans="1:1" x14ac:dyDescent="0.25">
      <c r="A5267" s="21">
        <v>162656305.72</v>
      </c>
    </row>
    <row r="5268" spans="1:1" x14ac:dyDescent="0.25">
      <c r="A5268" s="21">
        <v>32066272.66</v>
      </c>
    </row>
    <row r="5269" spans="1:1" x14ac:dyDescent="0.25">
      <c r="A5269" s="21">
        <v>273443174.13999999</v>
      </c>
    </row>
    <row r="5270" spans="1:1" x14ac:dyDescent="0.25">
      <c r="A5270" s="21">
        <v>21286619.449999999</v>
      </c>
    </row>
    <row r="5271" spans="1:1" x14ac:dyDescent="0.25">
      <c r="A5271" s="21">
        <v>74829474.030000001</v>
      </c>
    </row>
    <row r="5272" spans="1:1" x14ac:dyDescent="0.25">
      <c r="A5272" s="21">
        <v>44787034.770000003</v>
      </c>
    </row>
    <row r="5273" spans="1:1" x14ac:dyDescent="0.25">
      <c r="A5273" s="21">
        <v>102082915.88</v>
      </c>
    </row>
    <row r="5274" spans="1:1" x14ac:dyDescent="0.25">
      <c r="A5274" s="21">
        <v>164038227.27000001</v>
      </c>
    </row>
    <row r="5275" spans="1:1" x14ac:dyDescent="0.25">
      <c r="A5275" s="21">
        <v>19756952.050000001</v>
      </c>
    </row>
    <row r="5276" spans="1:1" x14ac:dyDescent="0.25">
      <c r="A5276" s="21">
        <v>11793933.75</v>
      </c>
    </row>
    <row r="5277" spans="1:1" x14ac:dyDescent="0.25">
      <c r="A5277" s="21">
        <v>82350557.239999905</v>
      </c>
    </row>
    <row r="5278" spans="1:1" x14ac:dyDescent="0.25">
      <c r="A5278" s="21">
        <v>425453451.13</v>
      </c>
    </row>
    <row r="5279" spans="1:1" x14ac:dyDescent="0.25">
      <c r="A5279" s="21">
        <v>14421195.01</v>
      </c>
    </row>
    <row r="5280" spans="1:1" x14ac:dyDescent="0.25">
      <c r="A5280" s="21">
        <v>6302571.75</v>
      </c>
    </row>
    <row r="5281" spans="1:1" x14ac:dyDescent="0.25">
      <c r="A5281" s="21">
        <v>28393441.48</v>
      </c>
    </row>
    <row r="5282" spans="1:1" x14ac:dyDescent="0.25">
      <c r="A5282" s="21">
        <v>19283767.140000001</v>
      </c>
    </row>
    <row r="5283" spans="1:1" x14ac:dyDescent="0.25">
      <c r="A5283">
        <v>0</v>
      </c>
    </row>
    <row r="5284" spans="1:1" x14ac:dyDescent="0.25">
      <c r="A5284" s="21">
        <v>128452094.16</v>
      </c>
    </row>
    <row r="5285" spans="1:1" x14ac:dyDescent="0.25">
      <c r="A5285" s="21">
        <v>53527561.219999999</v>
      </c>
    </row>
    <row r="5286" spans="1:1" x14ac:dyDescent="0.25">
      <c r="A5286">
        <v>0</v>
      </c>
    </row>
    <row r="5287" spans="1:1" x14ac:dyDescent="0.25">
      <c r="A5287" s="21">
        <v>181508317.19</v>
      </c>
    </row>
    <row r="5288" spans="1:1" x14ac:dyDescent="0.25">
      <c r="A5288" s="21">
        <v>29327349.699999999</v>
      </c>
    </row>
    <row r="5289" spans="1:1" x14ac:dyDescent="0.25">
      <c r="A5289" s="21">
        <v>19185304.5</v>
      </c>
    </row>
    <row r="5290" spans="1:1" x14ac:dyDescent="0.25">
      <c r="A5290" s="21">
        <v>25702888.510000002</v>
      </c>
    </row>
    <row r="5291" spans="1:1" x14ac:dyDescent="0.25">
      <c r="A5291" s="21">
        <v>91255985.150000006</v>
      </c>
    </row>
    <row r="5292" spans="1:1" x14ac:dyDescent="0.25">
      <c r="A5292" s="21">
        <v>60832310.959999897</v>
      </c>
    </row>
    <row r="5293" spans="1:1" x14ac:dyDescent="0.25">
      <c r="A5293" s="21">
        <v>28561430.300000001</v>
      </c>
    </row>
    <row r="5294" spans="1:1" x14ac:dyDescent="0.25">
      <c r="A5294" s="21">
        <v>50700783.239999898</v>
      </c>
    </row>
    <row r="5295" spans="1:1" x14ac:dyDescent="0.25">
      <c r="A5295" s="21">
        <v>164852051.22999999</v>
      </c>
    </row>
    <row r="5296" spans="1:1" x14ac:dyDescent="0.25">
      <c r="A5296">
        <v>0</v>
      </c>
    </row>
    <row r="5297" spans="1:1" x14ac:dyDescent="0.25">
      <c r="A5297" s="21">
        <v>76760249.709999993</v>
      </c>
    </row>
    <row r="5298" spans="1:1" x14ac:dyDescent="0.25">
      <c r="A5298" s="21">
        <v>158358182.02000001</v>
      </c>
    </row>
    <row r="5299" spans="1:1" x14ac:dyDescent="0.25">
      <c r="A5299" s="21">
        <v>100439498.5</v>
      </c>
    </row>
    <row r="5300" spans="1:1" x14ac:dyDescent="0.25">
      <c r="A5300" s="21">
        <v>10297810.810000001</v>
      </c>
    </row>
    <row r="5301" spans="1:1" x14ac:dyDescent="0.25">
      <c r="A5301" s="21">
        <v>33572636.530000001</v>
      </c>
    </row>
    <row r="5302" spans="1:1" x14ac:dyDescent="0.25">
      <c r="A5302" s="21">
        <v>56525417.710000001</v>
      </c>
    </row>
    <row r="5303" spans="1:1" x14ac:dyDescent="0.25">
      <c r="A5303" s="21">
        <v>13410433.24</v>
      </c>
    </row>
    <row r="5304" spans="1:1" x14ac:dyDescent="0.25">
      <c r="A5304" s="21">
        <v>16323566.91</v>
      </c>
    </row>
    <row r="5305" spans="1:1" x14ac:dyDescent="0.25">
      <c r="A5305" s="21">
        <v>93561093.060000002</v>
      </c>
    </row>
    <row r="5306" spans="1:1" x14ac:dyDescent="0.25">
      <c r="A5306" s="21">
        <v>75818146.579999998</v>
      </c>
    </row>
    <row r="5307" spans="1:1" x14ac:dyDescent="0.25">
      <c r="A5307" s="21">
        <v>47256273.409999996</v>
      </c>
    </row>
    <row r="5308" spans="1:1" x14ac:dyDescent="0.25">
      <c r="A5308" s="21">
        <v>6689100.75</v>
      </c>
    </row>
    <row r="5309" spans="1:1" x14ac:dyDescent="0.25">
      <c r="A5309" s="21">
        <v>32741157.210000001</v>
      </c>
    </row>
    <row r="5310" spans="1:1" x14ac:dyDescent="0.25">
      <c r="A5310" s="21">
        <v>91977935.509999901</v>
      </c>
    </row>
    <row r="5311" spans="1:1" x14ac:dyDescent="0.25">
      <c r="A5311">
        <v>77960640</v>
      </c>
    </row>
    <row r="5312" spans="1:1" x14ac:dyDescent="0.25">
      <c r="A5312" s="21">
        <v>86127439.480000004</v>
      </c>
    </row>
    <row r="5313" spans="1:1" x14ac:dyDescent="0.25">
      <c r="A5313" s="21">
        <v>25901984.100000001</v>
      </c>
    </row>
    <row r="5314" spans="1:1" x14ac:dyDescent="0.25">
      <c r="A5314">
        <v>0</v>
      </c>
    </row>
    <row r="5315" spans="1:1" x14ac:dyDescent="0.25">
      <c r="A5315" s="21">
        <v>16460908.15</v>
      </c>
    </row>
    <row r="5316" spans="1:1" x14ac:dyDescent="0.25">
      <c r="A5316" s="21">
        <v>65171270.899999999</v>
      </c>
    </row>
    <row r="5317" spans="1:1" x14ac:dyDescent="0.25">
      <c r="A5317" s="21">
        <v>57905435.710000001</v>
      </c>
    </row>
    <row r="5318" spans="1:1" x14ac:dyDescent="0.25">
      <c r="A5318" s="21">
        <v>33450019.18</v>
      </c>
    </row>
    <row r="5319" spans="1:1" x14ac:dyDescent="0.25">
      <c r="A5319" s="21">
        <v>17795965.16</v>
      </c>
    </row>
    <row r="5320" spans="1:1" x14ac:dyDescent="0.25">
      <c r="A5320" s="21">
        <v>63169226.130000003</v>
      </c>
    </row>
    <row r="5321" spans="1:1" x14ac:dyDescent="0.25">
      <c r="A5321" s="21">
        <v>5976583.5</v>
      </c>
    </row>
    <row r="5322" spans="1:1" x14ac:dyDescent="0.25">
      <c r="A5322" s="21">
        <v>93257456.310000002</v>
      </c>
    </row>
    <row r="5323" spans="1:1" x14ac:dyDescent="0.25">
      <c r="A5323" s="21">
        <v>24493716.739999998</v>
      </c>
    </row>
    <row r="5324" spans="1:1" x14ac:dyDescent="0.25">
      <c r="A5324" s="21">
        <v>2740520.43</v>
      </c>
    </row>
    <row r="5325" spans="1:1" x14ac:dyDescent="0.25">
      <c r="A5325" s="21">
        <v>62930452.960000001</v>
      </c>
    </row>
    <row r="5326" spans="1:1" x14ac:dyDescent="0.25">
      <c r="A5326" s="21">
        <v>250887283.13</v>
      </c>
    </row>
    <row r="5327" spans="1:1" x14ac:dyDescent="0.25">
      <c r="A5327" s="21">
        <v>99603702.480000004</v>
      </c>
    </row>
    <row r="5328" spans="1:1" x14ac:dyDescent="0.25">
      <c r="A5328" s="21">
        <v>135098656.43000001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 s="21">
        <v>9577976.9600000009</v>
      </c>
    </row>
    <row r="5332" spans="1:1" x14ac:dyDescent="0.25">
      <c r="A5332" s="21">
        <v>37545604.729999997</v>
      </c>
    </row>
    <row r="5333" spans="1:1" x14ac:dyDescent="0.25">
      <c r="A5333" s="21">
        <v>368659798.32999903</v>
      </c>
    </row>
    <row r="5334" spans="1:1" x14ac:dyDescent="0.25">
      <c r="A5334" s="21">
        <v>172902103.06</v>
      </c>
    </row>
    <row r="5335" spans="1:1" x14ac:dyDescent="0.25">
      <c r="A5335" s="21">
        <v>423734838.25999999</v>
      </c>
    </row>
    <row r="5336" spans="1:1" x14ac:dyDescent="0.25">
      <c r="A5336" s="21">
        <v>157301799.38999999</v>
      </c>
    </row>
    <row r="5337" spans="1:1" x14ac:dyDescent="0.25">
      <c r="A5337" s="21">
        <v>35455799.380000003</v>
      </c>
    </row>
    <row r="5338" spans="1:1" x14ac:dyDescent="0.25">
      <c r="A5338" s="21">
        <v>36175229.809999898</v>
      </c>
    </row>
    <row r="5339" spans="1:1" x14ac:dyDescent="0.25">
      <c r="A5339" s="21">
        <v>312807117.39999998</v>
      </c>
    </row>
    <row r="5340" spans="1:1" x14ac:dyDescent="0.25">
      <c r="A5340" s="21">
        <v>67177735.120000005</v>
      </c>
    </row>
    <row r="5341" spans="1:1" x14ac:dyDescent="0.25">
      <c r="A5341" s="21">
        <v>105359596.08</v>
      </c>
    </row>
    <row r="5342" spans="1:1" x14ac:dyDescent="0.25">
      <c r="A5342" s="21">
        <v>68277609.129999995</v>
      </c>
    </row>
    <row r="5343" spans="1:1" x14ac:dyDescent="0.25">
      <c r="A5343" s="21">
        <v>31656647.829999998</v>
      </c>
    </row>
    <row r="5344" spans="1:1" x14ac:dyDescent="0.25">
      <c r="A5344" s="21">
        <v>117677001.09</v>
      </c>
    </row>
    <row r="5345" spans="1:1" x14ac:dyDescent="0.25">
      <c r="A5345" s="21">
        <v>42525133.060000002</v>
      </c>
    </row>
    <row r="5346" spans="1:1" x14ac:dyDescent="0.25">
      <c r="A5346" s="21">
        <v>94438499.439999998</v>
      </c>
    </row>
    <row r="5347" spans="1:1" x14ac:dyDescent="0.25">
      <c r="A5347" s="21">
        <v>146927239.24000001</v>
      </c>
    </row>
    <row r="5348" spans="1:1" x14ac:dyDescent="0.25">
      <c r="A5348" s="21">
        <v>6262979.0999999996</v>
      </c>
    </row>
    <row r="5349" spans="1:1" x14ac:dyDescent="0.25">
      <c r="A5349" s="21">
        <v>23509301.390000001</v>
      </c>
    </row>
    <row r="5350" spans="1:1" x14ac:dyDescent="0.25">
      <c r="A5350" s="21">
        <v>202711928.58000001</v>
      </c>
    </row>
    <row r="5351" spans="1:1" x14ac:dyDescent="0.25">
      <c r="A5351" s="21">
        <v>122548980.23999999</v>
      </c>
    </row>
    <row r="5352" spans="1:1" x14ac:dyDescent="0.25">
      <c r="A5352" s="21">
        <v>76586950.469999999</v>
      </c>
    </row>
    <row r="5353" spans="1:1" x14ac:dyDescent="0.25">
      <c r="A5353" s="21">
        <v>99628227.480000004</v>
      </c>
    </row>
    <row r="5354" spans="1:1" x14ac:dyDescent="0.25">
      <c r="A5354" s="21">
        <v>26608619.16</v>
      </c>
    </row>
    <row r="5355" spans="1:1" x14ac:dyDescent="0.25">
      <c r="A5355" s="21">
        <v>82668210.219999999</v>
      </c>
    </row>
    <row r="5356" spans="1:1" x14ac:dyDescent="0.25">
      <c r="A5356">
        <v>23294782</v>
      </c>
    </row>
    <row r="5357" spans="1:1" x14ac:dyDescent="0.25">
      <c r="A5357" s="21">
        <v>197502887.16999999</v>
      </c>
    </row>
    <row r="5358" spans="1:1" x14ac:dyDescent="0.25">
      <c r="A5358" s="21">
        <v>85551370.810000002</v>
      </c>
    </row>
    <row r="5359" spans="1:1" x14ac:dyDescent="0.25">
      <c r="A5359" s="21">
        <v>50167117.340000004</v>
      </c>
    </row>
    <row r="5360" spans="1:1" x14ac:dyDescent="0.25">
      <c r="A5360" s="21">
        <v>29340572.690000001</v>
      </c>
    </row>
    <row r="5361" spans="1:1" x14ac:dyDescent="0.25">
      <c r="A5361" s="21">
        <v>29702561.510000002</v>
      </c>
    </row>
    <row r="5362" spans="1:1" x14ac:dyDescent="0.25">
      <c r="A5362" s="21">
        <v>15874697.279999999</v>
      </c>
    </row>
    <row r="5363" spans="1:1" x14ac:dyDescent="0.25">
      <c r="A5363" s="21">
        <v>30561883.789999999</v>
      </c>
    </row>
    <row r="5364" spans="1:1" x14ac:dyDescent="0.25">
      <c r="A5364" s="21">
        <v>17345461.280000001</v>
      </c>
    </row>
    <row r="5365" spans="1:1" x14ac:dyDescent="0.25">
      <c r="A5365" s="21">
        <v>9801574.9800000004</v>
      </c>
    </row>
    <row r="5366" spans="1:1" x14ac:dyDescent="0.25">
      <c r="A5366" s="21">
        <v>73112255.840000004</v>
      </c>
    </row>
    <row r="5367" spans="1:1" x14ac:dyDescent="0.25">
      <c r="A5367" s="21">
        <v>138905611.59999999</v>
      </c>
    </row>
    <row r="5368" spans="1:1" x14ac:dyDescent="0.25">
      <c r="A5368" s="21">
        <v>103850831.84999999</v>
      </c>
    </row>
    <row r="5369" spans="1:1" x14ac:dyDescent="0.25">
      <c r="A5369" s="21">
        <v>64900470.469999999</v>
      </c>
    </row>
    <row r="5370" spans="1:1" x14ac:dyDescent="0.25">
      <c r="A5370" s="21">
        <v>3877547.28</v>
      </c>
    </row>
    <row r="5371" spans="1:1" x14ac:dyDescent="0.25">
      <c r="A5371" s="21">
        <v>53195441.210000001</v>
      </c>
    </row>
    <row r="5372" spans="1:1" x14ac:dyDescent="0.25">
      <c r="A5372" s="21">
        <v>90981355.299999997</v>
      </c>
    </row>
    <row r="5373" spans="1:1" x14ac:dyDescent="0.25">
      <c r="A5373">
        <v>0</v>
      </c>
    </row>
    <row r="5374" spans="1:1" x14ac:dyDescent="0.25">
      <c r="A5374" s="21">
        <v>13936480.5</v>
      </c>
    </row>
    <row r="5375" spans="1:1" x14ac:dyDescent="0.25">
      <c r="A5375" s="21">
        <v>76006295.069999993</v>
      </c>
    </row>
    <row r="5376" spans="1:1" x14ac:dyDescent="0.25">
      <c r="A5376" s="21">
        <v>7951522.4800000004</v>
      </c>
    </row>
    <row r="5377" spans="1:1" x14ac:dyDescent="0.25">
      <c r="A5377" s="21">
        <v>42657676.25</v>
      </c>
    </row>
    <row r="5378" spans="1:1" x14ac:dyDescent="0.25">
      <c r="A5378" s="21">
        <v>80803223.680000007</v>
      </c>
    </row>
    <row r="5379" spans="1:1" x14ac:dyDescent="0.25">
      <c r="A5379" s="21">
        <v>106298396.40000001</v>
      </c>
    </row>
    <row r="5380" spans="1:1" x14ac:dyDescent="0.25">
      <c r="A5380">
        <v>0</v>
      </c>
    </row>
    <row r="5381" spans="1:1" x14ac:dyDescent="0.25">
      <c r="A5381" s="21">
        <v>8152229.2400000002</v>
      </c>
    </row>
    <row r="5382" spans="1:1" x14ac:dyDescent="0.25">
      <c r="A5382" s="21">
        <v>106155915.72</v>
      </c>
    </row>
    <row r="5383" spans="1:1" x14ac:dyDescent="0.25">
      <c r="A5383" s="21">
        <v>9544031.5099999998</v>
      </c>
    </row>
    <row r="5384" spans="1:1" x14ac:dyDescent="0.25">
      <c r="A5384" s="21">
        <v>81394667.370000005</v>
      </c>
    </row>
    <row r="5385" spans="1:1" x14ac:dyDescent="0.25">
      <c r="A5385">
        <v>0</v>
      </c>
    </row>
    <row r="5386" spans="1:1" x14ac:dyDescent="0.25">
      <c r="A5386" s="21">
        <v>54296972.460000001</v>
      </c>
    </row>
    <row r="5387" spans="1:1" x14ac:dyDescent="0.25">
      <c r="A5387" s="21">
        <v>25866110.199999999</v>
      </c>
    </row>
    <row r="5388" spans="1:1" x14ac:dyDescent="0.25">
      <c r="A5388" s="21">
        <v>17618780.890000001</v>
      </c>
    </row>
    <row r="5389" spans="1:1" x14ac:dyDescent="0.25">
      <c r="A5389" s="21">
        <v>25690595.460000001</v>
      </c>
    </row>
    <row r="5390" spans="1:1" x14ac:dyDescent="0.25">
      <c r="A5390" s="21">
        <v>81164434.929999903</v>
      </c>
    </row>
    <row r="5391" spans="1:1" x14ac:dyDescent="0.25">
      <c r="A5391">
        <v>0</v>
      </c>
    </row>
    <row r="5392" spans="1:1" x14ac:dyDescent="0.25">
      <c r="A5392" s="21">
        <v>18448397.91</v>
      </c>
    </row>
    <row r="5393" spans="1:1" x14ac:dyDescent="0.25">
      <c r="A5393" s="21">
        <v>55489314.899999999</v>
      </c>
    </row>
    <row r="5394" spans="1:1" x14ac:dyDescent="0.25">
      <c r="A5394" s="21">
        <v>31932357.34</v>
      </c>
    </row>
    <row r="5395" spans="1:1" x14ac:dyDescent="0.25">
      <c r="A5395" s="21">
        <v>63182160.590000004</v>
      </c>
    </row>
    <row r="5396" spans="1:1" x14ac:dyDescent="0.25">
      <c r="A5396" s="21">
        <v>259053731.15000001</v>
      </c>
    </row>
    <row r="5397" spans="1:1" x14ac:dyDescent="0.25">
      <c r="A5397" s="21">
        <v>345121300.47000003</v>
      </c>
    </row>
    <row r="5398" spans="1:1" x14ac:dyDescent="0.25">
      <c r="A5398">
        <v>6113679</v>
      </c>
    </row>
    <row r="5399" spans="1:1" x14ac:dyDescent="0.25">
      <c r="A5399" s="21">
        <v>119502153.16</v>
      </c>
    </row>
    <row r="5400" spans="1:1" x14ac:dyDescent="0.25">
      <c r="A5400" s="21">
        <v>171416344.22999999</v>
      </c>
    </row>
    <row r="5401" spans="1:1" x14ac:dyDescent="0.25">
      <c r="A5401" s="21">
        <v>58754066.159999996</v>
      </c>
    </row>
    <row r="5402" spans="1:1" x14ac:dyDescent="0.25">
      <c r="A5402" s="21">
        <v>45693854.020000003</v>
      </c>
    </row>
    <row r="5403" spans="1:1" x14ac:dyDescent="0.25">
      <c r="A5403" s="21">
        <v>132938784.8</v>
      </c>
    </row>
    <row r="5404" spans="1:1" x14ac:dyDescent="0.25">
      <c r="A5404" s="21">
        <v>7051932.9100000001</v>
      </c>
    </row>
    <row r="5405" spans="1:1" x14ac:dyDescent="0.25">
      <c r="A5405" s="21">
        <v>36962472.710000001</v>
      </c>
    </row>
    <row r="5406" spans="1:1" x14ac:dyDescent="0.25">
      <c r="A5406" s="21">
        <v>31625955.989999998</v>
      </c>
    </row>
    <row r="5407" spans="1:1" x14ac:dyDescent="0.25">
      <c r="A5407" s="21">
        <v>147065731.53999999</v>
      </c>
    </row>
    <row r="5408" spans="1:1" x14ac:dyDescent="0.25">
      <c r="A5408">
        <v>56612303</v>
      </c>
    </row>
    <row r="5409" spans="1:1" x14ac:dyDescent="0.25">
      <c r="A5409" s="21">
        <v>102687246.16</v>
      </c>
    </row>
    <row r="5410" spans="1:1" x14ac:dyDescent="0.25">
      <c r="A5410" s="21">
        <v>26162224.640000001</v>
      </c>
    </row>
    <row r="5411" spans="1:1" x14ac:dyDescent="0.25">
      <c r="A5411" s="21">
        <v>98761002.780000001</v>
      </c>
    </row>
    <row r="5412" spans="1:1" x14ac:dyDescent="0.25">
      <c r="A5412" s="21">
        <v>3742429.05</v>
      </c>
    </row>
    <row r="5413" spans="1:1" x14ac:dyDescent="0.25">
      <c r="A5413" s="21">
        <v>185062590.91</v>
      </c>
    </row>
    <row r="5414" spans="1:1" x14ac:dyDescent="0.25">
      <c r="A5414">
        <v>6903831</v>
      </c>
    </row>
    <row r="5415" spans="1:1" x14ac:dyDescent="0.25">
      <c r="A5415">
        <v>83603561</v>
      </c>
    </row>
    <row r="5416" spans="1:1" x14ac:dyDescent="0.25">
      <c r="A5416" s="21">
        <v>30630594.48</v>
      </c>
    </row>
    <row r="5417" spans="1:1" x14ac:dyDescent="0.25">
      <c r="A5417" s="21">
        <v>139526448.72</v>
      </c>
    </row>
    <row r="5418" spans="1:1" x14ac:dyDescent="0.25">
      <c r="A5418" s="21">
        <v>38683511.670000002</v>
      </c>
    </row>
    <row r="5419" spans="1:1" x14ac:dyDescent="0.25">
      <c r="A5419" s="21">
        <v>15089258.75</v>
      </c>
    </row>
    <row r="5420" spans="1:1" x14ac:dyDescent="0.25">
      <c r="A5420" s="21">
        <v>38865556.280000001</v>
      </c>
    </row>
    <row r="5421" spans="1:1" x14ac:dyDescent="0.25">
      <c r="A5421" s="21">
        <v>17487100.09</v>
      </c>
    </row>
    <row r="5422" spans="1:1" x14ac:dyDescent="0.25">
      <c r="A5422" s="21">
        <v>182553112.80000001</v>
      </c>
    </row>
    <row r="5423" spans="1:1" x14ac:dyDescent="0.25">
      <c r="A5423" s="21">
        <v>108136824.53</v>
      </c>
    </row>
    <row r="5424" spans="1:1" x14ac:dyDescent="0.25">
      <c r="A5424">
        <v>0</v>
      </c>
    </row>
    <row r="5425" spans="1:1" x14ac:dyDescent="0.25">
      <c r="A5425" s="21">
        <v>23352894.920000002</v>
      </c>
    </row>
    <row r="5426" spans="1:1" x14ac:dyDescent="0.25">
      <c r="A5426" s="21">
        <v>2843389.55</v>
      </c>
    </row>
    <row r="5427" spans="1:1" x14ac:dyDescent="0.25">
      <c r="A5427" s="21">
        <v>3715188.19</v>
      </c>
    </row>
    <row r="5428" spans="1:1" x14ac:dyDescent="0.25">
      <c r="A5428" s="21">
        <v>90210575.930000007</v>
      </c>
    </row>
    <row r="5429" spans="1:1" x14ac:dyDescent="0.25">
      <c r="A5429" s="21">
        <v>40223199.479999997</v>
      </c>
    </row>
    <row r="5430" spans="1:1" x14ac:dyDescent="0.25">
      <c r="A5430" s="21">
        <v>67758768.609999999</v>
      </c>
    </row>
    <row r="5431" spans="1:1" x14ac:dyDescent="0.25">
      <c r="A5431" s="21">
        <v>49692758.469999999</v>
      </c>
    </row>
    <row r="5432" spans="1:1" x14ac:dyDescent="0.25">
      <c r="A5432" s="21">
        <v>14668628.25</v>
      </c>
    </row>
    <row r="5433" spans="1:1" x14ac:dyDescent="0.25">
      <c r="A5433">
        <v>0</v>
      </c>
    </row>
    <row r="5434" spans="1:1" x14ac:dyDescent="0.25">
      <c r="A5434" s="21">
        <v>22461353.350000001</v>
      </c>
    </row>
    <row r="5435" spans="1:1" x14ac:dyDescent="0.25">
      <c r="A5435" s="21">
        <v>3514341.62</v>
      </c>
    </row>
    <row r="5436" spans="1:1" x14ac:dyDescent="0.25">
      <c r="A5436" s="21">
        <v>39774734.700000003</v>
      </c>
    </row>
    <row r="5437" spans="1:1" x14ac:dyDescent="0.25">
      <c r="A5437" s="21">
        <v>190025796.62</v>
      </c>
    </row>
    <row r="5438" spans="1:1" x14ac:dyDescent="0.25">
      <c r="A5438" s="21">
        <v>45440061.020000003</v>
      </c>
    </row>
    <row r="5439" spans="1:1" x14ac:dyDescent="0.25">
      <c r="A5439" s="21">
        <v>66862848.07</v>
      </c>
    </row>
    <row r="5440" spans="1:1" x14ac:dyDescent="0.25">
      <c r="A5440" s="21">
        <v>41329617.979999997</v>
      </c>
    </row>
    <row r="5441" spans="1:1" x14ac:dyDescent="0.25">
      <c r="A5441" s="21">
        <v>89315956.319999903</v>
      </c>
    </row>
    <row r="5442" spans="1:1" x14ac:dyDescent="0.25">
      <c r="A5442" s="21">
        <v>185396540.81</v>
      </c>
    </row>
    <row r="5443" spans="1:1" x14ac:dyDescent="0.25">
      <c r="A5443" s="21">
        <v>27701483.050000001</v>
      </c>
    </row>
    <row r="5444" spans="1:1" x14ac:dyDescent="0.25">
      <c r="A5444" s="21">
        <v>17875581.879999999</v>
      </c>
    </row>
    <row r="5445" spans="1:1" x14ac:dyDescent="0.25">
      <c r="A5445" s="21">
        <v>137778771.16999999</v>
      </c>
    </row>
    <row r="5446" spans="1:1" x14ac:dyDescent="0.25">
      <c r="A5446" s="21">
        <v>100651397.12</v>
      </c>
    </row>
    <row r="5447" spans="1:1" x14ac:dyDescent="0.25">
      <c r="A5447" s="21">
        <v>512842867.86000001</v>
      </c>
    </row>
    <row r="5448" spans="1:1" x14ac:dyDescent="0.25">
      <c r="A5448" s="21">
        <v>39149050.880000003</v>
      </c>
    </row>
    <row r="5449" spans="1:1" x14ac:dyDescent="0.25">
      <c r="A5449" s="21">
        <v>39959800.719999999</v>
      </c>
    </row>
    <row r="5450" spans="1:1" x14ac:dyDescent="0.25">
      <c r="A5450" s="21">
        <v>337048444.93000001</v>
      </c>
    </row>
    <row r="5451" spans="1:1" x14ac:dyDescent="0.25">
      <c r="A5451" s="21">
        <v>35566343.82</v>
      </c>
    </row>
    <row r="5452" spans="1:1" x14ac:dyDescent="0.25">
      <c r="A5452" s="21">
        <v>149334540.03999999</v>
      </c>
    </row>
    <row r="5453" spans="1:1" x14ac:dyDescent="0.25">
      <c r="A5453">
        <v>0</v>
      </c>
    </row>
    <row r="5454" spans="1:1" x14ac:dyDescent="0.25">
      <c r="A5454" s="21">
        <v>44430326.520000003</v>
      </c>
    </row>
    <row r="5455" spans="1:1" x14ac:dyDescent="0.25">
      <c r="A5455" s="21">
        <v>71461859.930000007</v>
      </c>
    </row>
    <row r="5456" spans="1:1" x14ac:dyDescent="0.25">
      <c r="A5456" s="21">
        <v>13661123.560000001</v>
      </c>
    </row>
    <row r="5457" spans="1:1" x14ac:dyDescent="0.25">
      <c r="A5457" s="21">
        <v>32206661.170000002</v>
      </c>
    </row>
    <row r="5458" spans="1:1" x14ac:dyDescent="0.25">
      <c r="A5458" s="21">
        <v>39573655.619999997</v>
      </c>
    </row>
    <row r="5459" spans="1:1" x14ac:dyDescent="0.25">
      <c r="A5459" s="21">
        <v>14306860.140000001</v>
      </c>
    </row>
    <row r="5460" spans="1:1" x14ac:dyDescent="0.25">
      <c r="A5460" s="21">
        <v>10641503.439999999</v>
      </c>
    </row>
    <row r="5461" spans="1:1" x14ac:dyDescent="0.25">
      <c r="A5461" s="21">
        <v>79558752.959999904</v>
      </c>
    </row>
    <row r="5462" spans="1:1" x14ac:dyDescent="0.25">
      <c r="A5462" s="21">
        <v>87208345.890000001</v>
      </c>
    </row>
    <row r="5463" spans="1:1" x14ac:dyDescent="0.25">
      <c r="A5463" s="21">
        <v>133798985.72</v>
      </c>
    </row>
    <row r="5464" spans="1:1" x14ac:dyDescent="0.25">
      <c r="A5464" s="21">
        <v>58772085.310000002</v>
      </c>
    </row>
    <row r="5465" spans="1:1" x14ac:dyDescent="0.25">
      <c r="A5465" s="21">
        <v>96946669.469999999</v>
      </c>
    </row>
    <row r="5466" spans="1:1" x14ac:dyDescent="0.25">
      <c r="A5466" s="21">
        <v>44084991.509999998</v>
      </c>
    </row>
    <row r="5467" spans="1:1" x14ac:dyDescent="0.25">
      <c r="A5467" s="21">
        <v>11258355.210000001</v>
      </c>
    </row>
    <row r="5468" spans="1:1" x14ac:dyDescent="0.25">
      <c r="A5468" s="21">
        <v>32892844.48</v>
      </c>
    </row>
    <row r="5469" spans="1:1" x14ac:dyDescent="0.25">
      <c r="A5469" s="21">
        <v>18551655.010000002</v>
      </c>
    </row>
    <row r="5470" spans="1:1" x14ac:dyDescent="0.25">
      <c r="A5470" s="21">
        <v>262554011.41</v>
      </c>
    </row>
    <row r="5471" spans="1:1" x14ac:dyDescent="0.25">
      <c r="A5471" s="21">
        <v>34838842.890000001</v>
      </c>
    </row>
    <row r="5472" spans="1:1" x14ac:dyDescent="0.25">
      <c r="A5472" s="21">
        <v>20578642.440000001</v>
      </c>
    </row>
    <row r="5473" spans="1:1" x14ac:dyDescent="0.25">
      <c r="A5473">
        <v>0</v>
      </c>
    </row>
    <row r="5474" spans="1:1" x14ac:dyDescent="0.25">
      <c r="A5474" s="21">
        <v>23679147.510000002</v>
      </c>
    </row>
    <row r="5475" spans="1:1" x14ac:dyDescent="0.25">
      <c r="A5475" s="21">
        <v>47784258.869999997</v>
      </c>
    </row>
    <row r="5476" spans="1:1" x14ac:dyDescent="0.25">
      <c r="A5476" s="21">
        <v>24263221.550000001</v>
      </c>
    </row>
    <row r="5477" spans="1:1" x14ac:dyDescent="0.25">
      <c r="A5477" s="21">
        <v>74689910.950000003</v>
      </c>
    </row>
    <row r="5478" spans="1:1" x14ac:dyDescent="0.25">
      <c r="A5478" s="21">
        <v>20003629.579999998</v>
      </c>
    </row>
    <row r="5479" spans="1:1" x14ac:dyDescent="0.25">
      <c r="A5479" s="21">
        <v>160953894.72</v>
      </c>
    </row>
    <row r="5480" spans="1:1" x14ac:dyDescent="0.25">
      <c r="A5480" s="21">
        <v>20415701.600000001</v>
      </c>
    </row>
    <row r="5481" spans="1:1" x14ac:dyDescent="0.25">
      <c r="A5481" s="21">
        <v>36056333.509999998</v>
      </c>
    </row>
    <row r="5482" spans="1:1" x14ac:dyDescent="0.25">
      <c r="A5482" s="21">
        <v>11687593.16</v>
      </c>
    </row>
    <row r="5483" spans="1:1" x14ac:dyDescent="0.25">
      <c r="A5483" s="21">
        <v>37022376.939999998</v>
      </c>
    </row>
    <row r="5484" spans="1:1" x14ac:dyDescent="0.25">
      <c r="A5484" s="21">
        <v>27707246.219999999</v>
      </c>
    </row>
    <row r="5485" spans="1:1" x14ac:dyDescent="0.25">
      <c r="A5485" s="21">
        <v>218394438.40000001</v>
      </c>
    </row>
    <row r="5486" spans="1:1" x14ac:dyDescent="0.25">
      <c r="A5486" s="21">
        <v>3661769.09</v>
      </c>
    </row>
    <row r="5487" spans="1:1" x14ac:dyDescent="0.25">
      <c r="A5487" s="21">
        <v>9873619.8200000003</v>
      </c>
    </row>
    <row r="5488" spans="1:1" x14ac:dyDescent="0.25">
      <c r="A5488" s="21">
        <v>24013437.32</v>
      </c>
    </row>
    <row r="5489" spans="1:1" x14ac:dyDescent="0.25">
      <c r="A5489" s="21">
        <v>199682670.86000001</v>
      </c>
    </row>
    <row r="5490" spans="1:1" x14ac:dyDescent="0.25">
      <c r="A5490" s="21">
        <v>53565875.700000003</v>
      </c>
    </row>
    <row r="5491" spans="1:1" x14ac:dyDescent="0.25">
      <c r="A5491" s="21">
        <v>213035905.88999999</v>
      </c>
    </row>
    <row r="5492" spans="1:1" x14ac:dyDescent="0.25">
      <c r="A5492" s="21">
        <v>30190083.210000001</v>
      </c>
    </row>
    <row r="5493" spans="1:1" x14ac:dyDescent="0.25">
      <c r="A5493" s="21">
        <v>221795636.91</v>
      </c>
    </row>
    <row r="5494" spans="1:1" x14ac:dyDescent="0.25">
      <c r="A5494" s="21">
        <v>26241156.829999998</v>
      </c>
    </row>
    <row r="5495" spans="1:1" x14ac:dyDescent="0.25">
      <c r="A5495" s="21">
        <v>67156506.969999999</v>
      </c>
    </row>
    <row r="5496" spans="1:1" x14ac:dyDescent="0.25">
      <c r="A5496" s="21">
        <v>2789752.03</v>
      </c>
    </row>
    <row r="5497" spans="1:1" x14ac:dyDescent="0.25">
      <c r="A5497">
        <v>17800287</v>
      </c>
    </row>
    <row r="5498" spans="1:1" x14ac:dyDescent="0.25">
      <c r="A5498" s="21">
        <v>12246870.369999999</v>
      </c>
    </row>
    <row r="5499" spans="1:1" x14ac:dyDescent="0.25">
      <c r="A5499" s="21">
        <v>34455303.649999999</v>
      </c>
    </row>
    <row r="5500" spans="1:1" x14ac:dyDescent="0.25">
      <c r="A5500" s="21">
        <v>65673037.619999997</v>
      </c>
    </row>
    <row r="5501" spans="1:1" x14ac:dyDescent="0.25">
      <c r="A5501" s="21">
        <v>28035862.780000001</v>
      </c>
    </row>
    <row r="5502" spans="1:1" x14ac:dyDescent="0.25">
      <c r="A5502" s="21">
        <v>26936622.170000002</v>
      </c>
    </row>
    <row r="5503" spans="1:1" x14ac:dyDescent="0.25">
      <c r="A5503" s="21">
        <v>138204158.13999999</v>
      </c>
    </row>
    <row r="5504" spans="1:1" x14ac:dyDescent="0.25">
      <c r="A5504" s="21">
        <v>143394169.12</v>
      </c>
    </row>
    <row r="5505" spans="1:1" x14ac:dyDescent="0.25">
      <c r="A5505" s="21">
        <v>28709882.48</v>
      </c>
    </row>
    <row r="5506" spans="1:1" x14ac:dyDescent="0.25">
      <c r="A5506" s="21">
        <v>36045765.240000002</v>
      </c>
    </row>
    <row r="5507" spans="1:1" x14ac:dyDescent="0.25">
      <c r="A5507" s="21">
        <v>297557933.97000003</v>
      </c>
    </row>
    <row r="5508" spans="1:1" x14ac:dyDescent="0.25">
      <c r="A5508">
        <v>13092158</v>
      </c>
    </row>
    <row r="5509" spans="1:1" x14ac:dyDescent="0.25">
      <c r="A5509" s="21">
        <v>43984725.259999998</v>
      </c>
    </row>
    <row r="5510" spans="1:1" x14ac:dyDescent="0.25">
      <c r="A5510" s="21">
        <v>54960387.729999997</v>
      </c>
    </row>
    <row r="5511" spans="1:1" x14ac:dyDescent="0.25">
      <c r="A5511" s="21">
        <v>87421394.829999998</v>
      </c>
    </row>
    <row r="5512" spans="1:1" x14ac:dyDescent="0.25">
      <c r="A5512" s="21">
        <v>59703157.700000003</v>
      </c>
    </row>
    <row r="5513" spans="1:1" x14ac:dyDescent="0.25">
      <c r="A5513" s="21">
        <v>12489664.41</v>
      </c>
    </row>
    <row r="5514" spans="1:1" x14ac:dyDescent="0.25">
      <c r="A5514" s="21">
        <v>6017799.75</v>
      </c>
    </row>
    <row r="5515" spans="1:1" x14ac:dyDescent="0.25">
      <c r="A5515" s="21">
        <v>116536799.91</v>
      </c>
    </row>
    <row r="5516" spans="1:1" x14ac:dyDescent="0.25">
      <c r="A5516" s="21">
        <v>76990777.219999999</v>
      </c>
    </row>
    <row r="5517" spans="1:1" x14ac:dyDescent="0.25">
      <c r="A5517" s="21">
        <v>36741798.159999996</v>
      </c>
    </row>
    <row r="5518" spans="1:1" x14ac:dyDescent="0.25">
      <c r="A5518" s="21">
        <v>37823667.849999897</v>
      </c>
    </row>
    <row r="5519" spans="1:1" x14ac:dyDescent="0.25">
      <c r="A5519">
        <v>7247115</v>
      </c>
    </row>
    <row r="5520" spans="1:1" x14ac:dyDescent="0.25">
      <c r="A5520" s="21">
        <v>34099088.409999996</v>
      </c>
    </row>
    <row r="5521" spans="1:1" x14ac:dyDescent="0.25">
      <c r="A5521" s="21">
        <v>56482906.189999998</v>
      </c>
    </row>
    <row r="5522" spans="1:1" x14ac:dyDescent="0.25">
      <c r="A5522" s="21">
        <v>198169747.31</v>
      </c>
    </row>
    <row r="5523" spans="1:1" x14ac:dyDescent="0.25">
      <c r="A5523" s="21">
        <v>9430330.7699999996</v>
      </c>
    </row>
    <row r="5524" spans="1:1" x14ac:dyDescent="0.25">
      <c r="A5524" s="21">
        <v>95163642.859999999</v>
      </c>
    </row>
    <row r="5525" spans="1:1" x14ac:dyDescent="0.25">
      <c r="A5525" s="21">
        <v>217998352.34999999</v>
      </c>
    </row>
    <row r="5526" spans="1:1" x14ac:dyDescent="0.25">
      <c r="A5526" s="21">
        <v>101808913.05</v>
      </c>
    </row>
    <row r="5527" spans="1:1" x14ac:dyDescent="0.25">
      <c r="A5527" s="21">
        <v>37480261.549999997</v>
      </c>
    </row>
    <row r="5528" spans="1:1" x14ac:dyDescent="0.25">
      <c r="A5528" s="21">
        <v>6585204.75</v>
      </c>
    </row>
    <row r="5529" spans="1:1" x14ac:dyDescent="0.25">
      <c r="A5529" s="21">
        <v>400322262.69999999</v>
      </c>
    </row>
    <row r="5530" spans="1:1" x14ac:dyDescent="0.25">
      <c r="A5530" s="21">
        <v>3216317.58</v>
      </c>
    </row>
    <row r="5531" spans="1:1" x14ac:dyDescent="0.25">
      <c r="A5531">
        <v>0</v>
      </c>
    </row>
    <row r="5532" spans="1:1" x14ac:dyDescent="0.25">
      <c r="A5532" s="21">
        <v>97881801.489999995</v>
      </c>
    </row>
    <row r="5533" spans="1:1" x14ac:dyDescent="0.25">
      <c r="A5533" s="21">
        <v>31226432.719999999</v>
      </c>
    </row>
    <row r="5534" spans="1:1" x14ac:dyDescent="0.25">
      <c r="A5534">
        <v>215379626</v>
      </c>
    </row>
    <row r="5535" spans="1:1" x14ac:dyDescent="0.25">
      <c r="A5535" s="21">
        <v>25586786.670000002</v>
      </c>
    </row>
    <row r="5536" spans="1:1" x14ac:dyDescent="0.25">
      <c r="A5536" s="21">
        <v>17148077.120000001</v>
      </c>
    </row>
    <row r="5537" spans="1:1" x14ac:dyDescent="0.25">
      <c r="A5537" s="21">
        <v>75490562.260000005</v>
      </c>
    </row>
    <row r="5538" spans="1:1" x14ac:dyDescent="0.25">
      <c r="A5538" s="21">
        <v>19401056.760000002</v>
      </c>
    </row>
    <row r="5539" spans="1:1" x14ac:dyDescent="0.25">
      <c r="A5539" s="21">
        <v>247934270.13999999</v>
      </c>
    </row>
    <row r="5540" spans="1:1" x14ac:dyDescent="0.25">
      <c r="A5540" s="21">
        <v>82086699.409999996</v>
      </c>
    </row>
    <row r="5541" spans="1:1" x14ac:dyDescent="0.25">
      <c r="A5541" s="21">
        <v>44814428.549999997</v>
      </c>
    </row>
    <row r="5542" spans="1:1" x14ac:dyDescent="0.25">
      <c r="A5542" s="21">
        <v>107672082.31999999</v>
      </c>
    </row>
    <row r="5543" spans="1:1" x14ac:dyDescent="0.25">
      <c r="A5543" s="21">
        <v>6960839.25</v>
      </c>
    </row>
    <row r="5544" spans="1:1" x14ac:dyDescent="0.25">
      <c r="A5544" s="21">
        <v>11049547.130000001</v>
      </c>
    </row>
    <row r="5545" spans="1:1" x14ac:dyDescent="0.25">
      <c r="A5545" s="21">
        <v>89165840.309999898</v>
      </c>
    </row>
    <row r="5546" spans="1:1" x14ac:dyDescent="0.25">
      <c r="A5546" s="21">
        <v>47083584.950000003</v>
      </c>
    </row>
    <row r="5547" spans="1:1" x14ac:dyDescent="0.25">
      <c r="A5547" s="21">
        <v>100123394.79000001</v>
      </c>
    </row>
    <row r="5548" spans="1:1" x14ac:dyDescent="0.25">
      <c r="A5548" s="21">
        <v>13921804.5</v>
      </c>
    </row>
    <row r="5549" spans="1:1" x14ac:dyDescent="0.25">
      <c r="A5549" s="21">
        <v>28247610.829999998</v>
      </c>
    </row>
    <row r="5550" spans="1:1" x14ac:dyDescent="0.25">
      <c r="A5550" s="21">
        <v>64712090.630000003</v>
      </c>
    </row>
    <row r="5551" spans="1:1" x14ac:dyDescent="0.25">
      <c r="A5551" s="21">
        <v>105096440.98999999</v>
      </c>
    </row>
    <row r="5552" spans="1:1" x14ac:dyDescent="0.25">
      <c r="A5552" s="21">
        <v>51993489.880000003</v>
      </c>
    </row>
    <row r="5553" spans="1:1" x14ac:dyDescent="0.25">
      <c r="A5553">
        <v>0</v>
      </c>
    </row>
    <row r="5554" spans="1:1" x14ac:dyDescent="0.25">
      <c r="A5554" s="21">
        <v>45009002.359999999</v>
      </c>
    </row>
    <row r="5555" spans="1:1" x14ac:dyDescent="0.25">
      <c r="A5555" s="21">
        <v>17550328.239999998</v>
      </c>
    </row>
    <row r="5556" spans="1:1" x14ac:dyDescent="0.25">
      <c r="A5556" s="21">
        <v>41150978.789999999</v>
      </c>
    </row>
    <row r="5557" spans="1:1" x14ac:dyDescent="0.25">
      <c r="A5557">
        <v>0</v>
      </c>
    </row>
    <row r="5558" spans="1:1" x14ac:dyDescent="0.25">
      <c r="A5558" s="21">
        <v>8960943.2599999998</v>
      </c>
    </row>
    <row r="5559" spans="1:1" x14ac:dyDescent="0.25">
      <c r="A5559" s="21">
        <v>69833525.609999999</v>
      </c>
    </row>
    <row r="5560" spans="1:1" x14ac:dyDescent="0.25">
      <c r="A5560" s="21">
        <v>12281776.5</v>
      </c>
    </row>
    <row r="5561" spans="1:1" x14ac:dyDescent="0.25">
      <c r="A5561" s="21">
        <v>88219966.150000006</v>
      </c>
    </row>
    <row r="5562" spans="1:1" x14ac:dyDescent="0.25">
      <c r="A5562">
        <v>0</v>
      </c>
    </row>
    <row r="5563" spans="1:1" x14ac:dyDescent="0.25">
      <c r="A5563" s="21">
        <v>427132557.12</v>
      </c>
    </row>
    <row r="5564" spans="1:1" x14ac:dyDescent="0.25">
      <c r="A5564" s="21">
        <v>182544854.31999999</v>
      </c>
    </row>
    <row r="5565" spans="1:1" x14ac:dyDescent="0.25">
      <c r="A5565" s="21">
        <v>353633607.00999999</v>
      </c>
    </row>
    <row r="5566" spans="1:1" x14ac:dyDescent="0.25">
      <c r="A5566" s="21">
        <v>43224688.130000003</v>
      </c>
    </row>
    <row r="5567" spans="1:1" x14ac:dyDescent="0.25">
      <c r="A5567" s="21">
        <v>6350878.5</v>
      </c>
    </row>
    <row r="5568" spans="1:1" x14ac:dyDescent="0.25">
      <c r="A5568" s="21">
        <v>114159190.58</v>
      </c>
    </row>
    <row r="5569" spans="1:1" x14ac:dyDescent="0.25">
      <c r="A5569" s="21">
        <v>91882244.049999997</v>
      </c>
    </row>
    <row r="5570" spans="1:1" x14ac:dyDescent="0.25">
      <c r="A5570" s="21">
        <v>18127598.039999999</v>
      </c>
    </row>
    <row r="5571" spans="1:1" x14ac:dyDescent="0.25">
      <c r="A5571" s="21">
        <v>200772111.91999999</v>
      </c>
    </row>
    <row r="5572" spans="1:1" x14ac:dyDescent="0.25">
      <c r="A5572" s="21">
        <v>49696995.090000004</v>
      </c>
    </row>
    <row r="5573" spans="1:1" x14ac:dyDescent="0.25">
      <c r="A5573" s="21">
        <v>24048607.059999999</v>
      </c>
    </row>
    <row r="5574" spans="1:1" x14ac:dyDescent="0.25">
      <c r="A5574" s="21">
        <v>44650631.890000001</v>
      </c>
    </row>
    <row r="5575" spans="1:1" x14ac:dyDescent="0.25">
      <c r="A5575" s="21">
        <v>54518248.979999997</v>
      </c>
    </row>
    <row r="5576" spans="1:1" x14ac:dyDescent="0.25">
      <c r="A5576" s="21">
        <v>66803814.159999996</v>
      </c>
    </row>
    <row r="5577" spans="1:1" x14ac:dyDescent="0.25">
      <c r="A5577">
        <v>0</v>
      </c>
    </row>
    <row r="5578" spans="1:1" x14ac:dyDescent="0.25">
      <c r="A5578" s="21">
        <v>44694648.57</v>
      </c>
    </row>
    <row r="5579" spans="1:1" x14ac:dyDescent="0.25">
      <c r="A5579" s="21">
        <v>24652877.739999998</v>
      </c>
    </row>
    <row r="5580" spans="1:1" x14ac:dyDescent="0.25">
      <c r="A5580" s="21">
        <v>24677588.010000002</v>
      </c>
    </row>
    <row r="5581" spans="1:1" x14ac:dyDescent="0.25">
      <c r="A5581" s="21">
        <v>25727695.93</v>
      </c>
    </row>
    <row r="5582" spans="1:1" x14ac:dyDescent="0.25">
      <c r="A5582" s="21">
        <v>111057969.42</v>
      </c>
    </row>
    <row r="5583" spans="1:1" x14ac:dyDescent="0.25">
      <c r="A5583" s="21">
        <v>147610048.87</v>
      </c>
    </row>
    <row r="5584" spans="1:1" x14ac:dyDescent="0.25">
      <c r="A5584" s="21">
        <v>52385720.090000004</v>
      </c>
    </row>
    <row r="5585" spans="1:1" x14ac:dyDescent="0.25">
      <c r="A5585" s="21">
        <v>241834949.41</v>
      </c>
    </row>
    <row r="5586" spans="1:1" x14ac:dyDescent="0.25">
      <c r="A5586" s="21">
        <v>71150429.829999998</v>
      </c>
    </row>
    <row r="5587" spans="1:1" x14ac:dyDescent="0.25">
      <c r="A5587" s="21">
        <v>60586507.159999996</v>
      </c>
    </row>
    <row r="5588" spans="1:1" x14ac:dyDescent="0.25">
      <c r="A5588" s="21">
        <v>195164581.87</v>
      </c>
    </row>
    <row r="5589" spans="1:1" x14ac:dyDescent="0.25">
      <c r="A5589" s="21">
        <v>88833718.230000004</v>
      </c>
    </row>
    <row r="5590" spans="1:1" x14ac:dyDescent="0.25">
      <c r="A5590" s="21">
        <v>28900895.780000001</v>
      </c>
    </row>
    <row r="5591" spans="1:1" x14ac:dyDescent="0.25">
      <c r="A5591" s="21">
        <v>14657462.699999999</v>
      </c>
    </row>
    <row r="5592" spans="1:1" x14ac:dyDescent="0.25">
      <c r="A5592" s="21">
        <v>14165401.130000001</v>
      </c>
    </row>
    <row r="5593" spans="1:1" x14ac:dyDescent="0.25">
      <c r="A5593" s="21">
        <v>9138159.2599999998</v>
      </c>
    </row>
    <row r="5594" spans="1:1" x14ac:dyDescent="0.25">
      <c r="A5594" s="21">
        <v>69382633.760000005</v>
      </c>
    </row>
    <row r="5595" spans="1:1" x14ac:dyDescent="0.25">
      <c r="A5595" s="21">
        <v>86734201.209999993</v>
      </c>
    </row>
    <row r="5596" spans="1:1" x14ac:dyDescent="0.25">
      <c r="A5596" s="21">
        <v>264928537.62</v>
      </c>
    </row>
    <row r="5597" spans="1:1" x14ac:dyDescent="0.25">
      <c r="A5597" s="21">
        <v>16287646.5</v>
      </c>
    </row>
    <row r="5598" spans="1:1" x14ac:dyDescent="0.25">
      <c r="A5598" s="21">
        <v>410570974.54000002</v>
      </c>
    </row>
    <row r="5599" spans="1:1" x14ac:dyDescent="0.25">
      <c r="A5599" s="21">
        <v>291254743.27999997</v>
      </c>
    </row>
    <row r="5600" spans="1:1" x14ac:dyDescent="0.25">
      <c r="A5600">
        <v>0</v>
      </c>
    </row>
    <row r="5601" spans="1:1" x14ac:dyDescent="0.25">
      <c r="A5601" s="21">
        <v>12289972.140000001</v>
      </c>
    </row>
    <row r="5602" spans="1:1" x14ac:dyDescent="0.25">
      <c r="A5602" s="21">
        <v>69186985.129999995</v>
      </c>
    </row>
    <row r="5603" spans="1:1" x14ac:dyDescent="0.25">
      <c r="A5603" s="21">
        <v>50258408.609999999</v>
      </c>
    </row>
    <row r="5604" spans="1:1" x14ac:dyDescent="0.25">
      <c r="A5604" s="21">
        <v>115925460.84999999</v>
      </c>
    </row>
    <row r="5605" spans="1:1" x14ac:dyDescent="0.25">
      <c r="A5605" s="21">
        <v>27253977.73</v>
      </c>
    </row>
    <row r="5606" spans="1:1" x14ac:dyDescent="0.25">
      <c r="A5606" s="21">
        <v>88079780.650000006</v>
      </c>
    </row>
    <row r="5607" spans="1:1" x14ac:dyDescent="0.25">
      <c r="A5607" s="21">
        <v>43523228.700000003</v>
      </c>
    </row>
    <row r="5608" spans="1:1" x14ac:dyDescent="0.25">
      <c r="A5608" s="21">
        <v>29671368.620000001</v>
      </c>
    </row>
    <row r="5609" spans="1:1" x14ac:dyDescent="0.25">
      <c r="A5609" s="21">
        <v>7285666.5</v>
      </c>
    </row>
    <row r="5610" spans="1:1" x14ac:dyDescent="0.25">
      <c r="A5610">
        <v>0</v>
      </c>
    </row>
    <row r="5611" spans="1:1" x14ac:dyDescent="0.25">
      <c r="A5611" s="21">
        <v>12791378.15</v>
      </c>
    </row>
    <row r="5612" spans="1:1" x14ac:dyDescent="0.25">
      <c r="A5612" s="21">
        <v>20856374.149999999</v>
      </c>
    </row>
    <row r="5613" spans="1:1" x14ac:dyDescent="0.25">
      <c r="A5613" s="21">
        <v>53411922.739999898</v>
      </c>
    </row>
    <row r="5614" spans="1:1" x14ac:dyDescent="0.25">
      <c r="A5614" s="21">
        <v>510871449.57999998</v>
      </c>
    </row>
    <row r="5615" spans="1:1" x14ac:dyDescent="0.25">
      <c r="A5615" s="21">
        <v>6689100.75</v>
      </c>
    </row>
    <row r="5616" spans="1:1" x14ac:dyDescent="0.25">
      <c r="A5616" s="21">
        <v>136888540.78999999</v>
      </c>
    </row>
    <row r="5617" spans="1:1" x14ac:dyDescent="0.25">
      <c r="A5617" s="21">
        <v>56173245.479999997</v>
      </c>
    </row>
    <row r="5618" spans="1:1" x14ac:dyDescent="0.25">
      <c r="A5618" s="21">
        <v>10334497.560000001</v>
      </c>
    </row>
    <row r="5619" spans="1:1" x14ac:dyDescent="0.25">
      <c r="A5619" s="21">
        <v>44187090.469999999</v>
      </c>
    </row>
    <row r="5620" spans="1:1" x14ac:dyDescent="0.25">
      <c r="A5620" s="21">
        <v>354517662.25</v>
      </c>
    </row>
    <row r="5621" spans="1:1" x14ac:dyDescent="0.25">
      <c r="A5621" s="21">
        <v>7446608.25</v>
      </c>
    </row>
    <row r="5622" spans="1:1" x14ac:dyDescent="0.25">
      <c r="A5622" s="21">
        <v>264597442.91999999</v>
      </c>
    </row>
    <row r="5623" spans="1:1" x14ac:dyDescent="0.25">
      <c r="A5623" s="21">
        <v>7145170.1100000003</v>
      </c>
    </row>
    <row r="5624" spans="1:1" x14ac:dyDescent="0.25">
      <c r="A5624" s="21">
        <v>74139430.069999993</v>
      </c>
    </row>
    <row r="5625" spans="1:1" x14ac:dyDescent="0.25">
      <c r="A5625" s="21">
        <v>301225661.93000001</v>
      </c>
    </row>
    <row r="5626" spans="1:1" x14ac:dyDescent="0.25">
      <c r="A5626" s="21">
        <v>82845704.469999999</v>
      </c>
    </row>
    <row r="5627" spans="1:1" x14ac:dyDescent="0.25">
      <c r="A5627" s="21">
        <v>89615422.379999995</v>
      </c>
    </row>
    <row r="5628" spans="1:1" x14ac:dyDescent="0.25">
      <c r="A5628">
        <v>29451316</v>
      </c>
    </row>
    <row r="5629" spans="1:1" x14ac:dyDescent="0.25">
      <c r="A5629" s="21">
        <v>53472292.770000003</v>
      </c>
    </row>
    <row r="5630" spans="1:1" x14ac:dyDescent="0.25">
      <c r="A5630" s="21">
        <v>58603044.880000003</v>
      </c>
    </row>
    <row r="5631" spans="1:1" x14ac:dyDescent="0.25">
      <c r="A5631" s="21">
        <v>15644438.49</v>
      </c>
    </row>
    <row r="5632" spans="1:1" x14ac:dyDescent="0.25">
      <c r="A5632" s="21">
        <v>477051066.81</v>
      </c>
    </row>
    <row r="5633" spans="1:1" x14ac:dyDescent="0.25">
      <c r="A5633" s="21">
        <v>91071958.150000006</v>
      </c>
    </row>
    <row r="5634" spans="1:1" x14ac:dyDescent="0.25">
      <c r="A5634" s="21">
        <v>29590486.370000001</v>
      </c>
    </row>
    <row r="5635" spans="1:1" x14ac:dyDescent="0.25">
      <c r="A5635" s="21">
        <v>58519770.759999998</v>
      </c>
    </row>
    <row r="5636" spans="1:1" x14ac:dyDescent="0.25">
      <c r="A5636" s="21">
        <v>64556415.429999903</v>
      </c>
    </row>
    <row r="5637" spans="1:1" x14ac:dyDescent="0.25">
      <c r="A5637" s="21">
        <v>207935306.97</v>
      </c>
    </row>
    <row r="5638" spans="1:1" x14ac:dyDescent="0.25">
      <c r="A5638" s="21">
        <v>80567994.319999993</v>
      </c>
    </row>
    <row r="5639" spans="1:1" x14ac:dyDescent="0.25">
      <c r="A5639" s="21">
        <v>296443544.24999899</v>
      </c>
    </row>
    <row r="5640" spans="1:1" x14ac:dyDescent="0.25">
      <c r="A5640" s="21">
        <v>86138746.030000001</v>
      </c>
    </row>
    <row r="5641" spans="1:1" x14ac:dyDescent="0.25">
      <c r="A5641" s="21">
        <v>135956865.97999999</v>
      </c>
    </row>
    <row r="5642" spans="1:1" x14ac:dyDescent="0.25">
      <c r="A5642" s="21">
        <v>75496586.709999993</v>
      </c>
    </row>
    <row r="5643" spans="1:1" x14ac:dyDescent="0.25">
      <c r="A5643" s="21">
        <v>105468300.18000001</v>
      </c>
    </row>
    <row r="5644" spans="1:1" x14ac:dyDescent="0.25">
      <c r="A5644" s="21">
        <v>34082364.270000003</v>
      </c>
    </row>
    <row r="5645" spans="1:1" x14ac:dyDescent="0.25">
      <c r="A5645" s="21">
        <v>20631210.449999999</v>
      </c>
    </row>
    <row r="5646" spans="1:1" x14ac:dyDescent="0.25">
      <c r="A5646" s="21">
        <v>80230328.459999993</v>
      </c>
    </row>
    <row r="5647" spans="1:1" x14ac:dyDescent="0.25">
      <c r="A5647" s="21">
        <v>55212900.099999897</v>
      </c>
    </row>
    <row r="5648" spans="1:1" x14ac:dyDescent="0.25">
      <c r="A5648" s="21">
        <v>11939918.59</v>
      </c>
    </row>
    <row r="5649" spans="1:1" x14ac:dyDescent="0.25">
      <c r="A5649" s="21">
        <v>129294777.12</v>
      </c>
    </row>
    <row r="5650" spans="1:1" x14ac:dyDescent="0.25">
      <c r="A5650" s="21">
        <v>60103196.840000004</v>
      </c>
    </row>
    <row r="5651" spans="1:1" x14ac:dyDescent="0.25">
      <c r="A5651" s="21">
        <v>12582259.640000001</v>
      </c>
    </row>
    <row r="5652" spans="1:1" x14ac:dyDescent="0.25">
      <c r="A5652" s="21">
        <v>118056491.04000001</v>
      </c>
    </row>
    <row r="5653" spans="1:1" x14ac:dyDescent="0.25">
      <c r="A5653">
        <v>5732766</v>
      </c>
    </row>
    <row r="5654" spans="1:1" x14ac:dyDescent="0.25">
      <c r="A5654" s="21">
        <v>93776894.230000004</v>
      </c>
    </row>
    <row r="5655" spans="1:1" x14ac:dyDescent="0.25">
      <c r="A5655" s="21">
        <v>21739301.379999999</v>
      </c>
    </row>
    <row r="5656" spans="1:1" x14ac:dyDescent="0.25">
      <c r="A5656" s="21">
        <v>24562866.57</v>
      </c>
    </row>
    <row r="5657" spans="1:1" x14ac:dyDescent="0.25">
      <c r="A5657" s="21">
        <v>27491167.629999999</v>
      </c>
    </row>
    <row r="5658" spans="1:1" x14ac:dyDescent="0.25">
      <c r="A5658" s="21">
        <v>48904668.299999997</v>
      </c>
    </row>
    <row r="5659" spans="1:1" x14ac:dyDescent="0.25">
      <c r="A5659" s="21">
        <v>119784047.04000001</v>
      </c>
    </row>
    <row r="5660" spans="1:1" x14ac:dyDescent="0.25">
      <c r="A5660" s="21">
        <v>11036205.16</v>
      </c>
    </row>
    <row r="5661" spans="1:1" x14ac:dyDescent="0.25">
      <c r="A5661" s="21">
        <v>4338024.88</v>
      </c>
    </row>
    <row r="5662" spans="1:1" x14ac:dyDescent="0.25">
      <c r="A5662" s="21">
        <v>73618701.780000001</v>
      </c>
    </row>
    <row r="5663" spans="1:1" x14ac:dyDescent="0.25">
      <c r="A5663" s="21">
        <v>108984530.17</v>
      </c>
    </row>
    <row r="5664" spans="1:1" x14ac:dyDescent="0.25">
      <c r="A5664" s="21">
        <v>2973304.56</v>
      </c>
    </row>
    <row r="5665" spans="1:1" x14ac:dyDescent="0.25">
      <c r="A5665" s="21">
        <v>10116581.800000001</v>
      </c>
    </row>
    <row r="5666" spans="1:1" x14ac:dyDescent="0.25">
      <c r="A5666" s="21">
        <v>16762741.27</v>
      </c>
    </row>
    <row r="5667" spans="1:1" x14ac:dyDescent="0.25">
      <c r="A5667" s="21">
        <v>15085728.439999999</v>
      </c>
    </row>
    <row r="5668" spans="1:1" x14ac:dyDescent="0.25">
      <c r="A5668" s="21">
        <v>50454865.799999997</v>
      </c>
    </row>
    <row r="5669" spans="1:1" x14ac:dyDescent="0.25">
      <c r="A5669" s="21">
        <v>141426886.38999999</v>
      </c>
    </row>
    <row r="5670" spans="1:1" x14ac:dyDescent="0.25">
      <c r="A5670" s="21">
        <v>30560775.02</v>
      </c>
    </row>
    <row r="5671" spans="1:1" x14ac:dyDescent="0.25">
      <c r="A5671" s="21">
        <v>35692392.609999999</v>
      </c>
    </row>
    <row r="5672" spans="1:1" x14ac:dyDescent="0.25">
      <c r="A5672" s="21">
        <v>99296093.780000001</v>
      </c>
    </row>
    <row r="5673" spans="1:1" x14ac:dyDescent="0.25">
      <c r="A5673" s="21">
        <v>65033211.869999997</v>
      </c>
    </row>
    <row r="5674" spans="1:1" x14ac:dyDescent="0.25">
      <c r="A5674" s="21">
        <v>22224091.809999999</v>
      </c>
    </row>
    <row r="5675" spans="1:1" x14ac:dyDescent="0.25">
      <c r="A5675" s="21">
        <v>59964215.590000004</v>
      </c>
    </row>
    <row r="5676" spans="1:1" x14ac:dyDescent="0.25">
      <c r="A5676" s="21">
        <v>137372528.58000001</v>
      </c>
    </row>
    <row r="5677" spans="1:1" x14ac:dyDescent="0.25">
      <c r="A5677" s="21">
        <v>40083034.390000001</v>
      </c>
    </row>
    <row r="5678" spans="1:1" x14ac:dyDescent="0.25">
      <c r="A5678">
        <v>76307746</v>
      </c>
    </row>
    <row r="5679" spans="1:1" x14ac:dyDescent="0.25">
      <c r="A5679" s="21">
        <v>9628020.6199999992</v>
      </c>
    </row>
    <row r="5680" spans="1:1" x14ac:dyDescent="0.25">
      <c r="A5680" s="21">
        <v>31932425.120000001</v>
      </c>
    </row>
    <row r="5681" spans="1:1" x14ac:dyDescent="0.25">
      <c r="A5681" s="21">
        <v>80497830.269999996</v>
      </c>
    </row>
    <row r="5682" spans="1:1" x14ac:dyDescent="0.25">
      <c r="A5682" s="21">
        <v>7340709.75</v>
      </c>
    </row>
    <row r="5683" spans="1:1" x14ac:dyDescent="0.25">
      <c r="A5683" s="21">
        <v>87430849.719999999</v>
      </c>
    </row>
    <row r="5684" spans="1:1" x14ac:dyDescent="0.25">
      <c r="A5684" s="21">
        <v>107975481.29000001</v>
      </c>
    </row>
    <row r="5685" spans="1:1" x14ac:dyDescent="0.25">
      <c r="A5685" s="21">
        <v>38426890.859999999</v>
      </c>
    </row>
    <row r="5686" spans="1:1" x14ac:dyDescent="0.25">
      <c r="A5686" s="21">
        <v>60834395.489999898</v>
      </c>
    </row>
    <row r="5687" spans="1:1" x14ac:dyDescent="0.25">
      <c r="A5687" s="21">
        <v>51174545.399999999</v>
      </c>
    </row>
    <row r="5688" spans="1:1" x14ac:dyDescent="0.25">
      <c r="A5688" s="21">
        <v>15438482.49</v>
      </c>
    </row>
    <row r="5689" spans="1:1" x14ac:dyDescent="0.25">
      <c r="A5689" s="21">
        <v>48243420.149999999</v>
      </c>
    </row>
    <row r="5690" spans="1:1" x14ac:dyDescent="0.25">
      <c r="A5690" s="21">
        <v>85289299.180000007</v>
      </c>
    </row>
    <row r="5691" spans="1:1" x14ac:dyDescent="0.25">
      <c r="A5691" s="21">
        <v>13073128.5</v>
      </c>
    </row>
    <row r="5692" spans="1:1" x14ac:dyDescent="0.25">
      <c r="A5692" s="21">
        <v>258889857.72999999</v>
      </c>
    </row>
    <row r="5693" spans="1:1" x14ac:dyDescent="0.25">
      <c r="A5693" s="21">
        <v>68462658.899999902</v>
      </c>
    </row>
    <row r="5694" spans="1:1" x14ac:dyDescent="0.25">
      <c r="A5694" s="21">
        <v>20959732.25</v>
      </c>
    </row>
    <row r="5695" spans="1:1" x14ac:dyDescent="0.25">
      <c r="A5695" s="21">
        <v>48378248.049999997</v>
      </c>
    </row>
    <row r="5696" spans="1:1" x14ac:dyDescent="0.25">
      <c r="A5696" s="21">
        <v>41112976.93</v>
      </c>
    </row>
    <row r="5697" spans="1:1" x14ac:dyDescent="0.25">
      <c r="A5697" s="21">
        <v>33684227.719999999</v>
      </c>
    </row>
    <row r="5698" spans="1:1" x14ac:dyDescent="0.25">
      <c r="A5698" s="21">
        <v>104001949.94</v>
      </c>
    </row>
    <row r="5699" spans="1:1" x14ac:dyDescent="0.25">
      <c r="A5699" s="21">
        <v>115428542.55</v>
      </c>
    </row>
    <row r="5700" spans="1:1" x14ac:dyDescent="0.25">
      <c r="A5700" s="21">
        <v>84525654.829999998</v>
      </c>
    </row>
    <row r="5701" spans="1:1" x14ac:dyDescent="0.25">
      <c r="A5701" s="21">
        <v>11580619.619999999</v>
      </c>
    </row>
    <row r="5702" spans="1:1" x14ac:dyDescent="0.25">
      <c r="A5702" s="21">
        <v>98925904.579999998</v>
      </c>
    </row>
    <row r="5703" spans="1:1" x14ac:dyDescent="0.25">
      <c r="A5703" s="21">
        <v>275682118.64999998</v>
      </c>
    </row>
    <row r="5704" spans="1:1" x14ac:dyDescent="0.25">
      <c r="A5704" s="21">
        <v>54089466.450000003</v>
      </c>
    </row>
    <row r="5705" spans="1:1" x14ac:dyDescent="0.25">
      <c r="A5705" s="21">
        <v>9041392.0500000007</v>
      </c>
    </row>
    <row r="5706" spans="1:1" x14ac:dyDescent="0.25">
      <c r="A5706" s="21">
        <v>96356198.209999904</v>
      </c>
    </row>
    <row r="5707" spans="1:1" x14ac:dyDescent="0.25">
      <c r="A5707" s="21">
        <v>154624421.84999999</v>
      </c>
    </row>
    <row r="5708" spans="1:1" x14ac:dyDescent="0.25">
      <c r="A5708" s="21">
        <v>317287821.86000001</v>
      </c>
    </row>
    <row r="5709" spans="1:1" x14ac:dyDescent="0.25">
      <c r="A5709" s="21">
        <v>14510382.289999999</v>
      </c>
    </row>
    <row r="5710" spans="1:1" x14ac:dyDescent="0.25">
      <c r="A5710" s="21">
        <v>183817463.13999999</v>
      </c>
    </row>
    <row r="5711" spans="1:1" x14ac:dyDescent="0.25">
      <c r="A5711" s="21">
        <v>201092857.65000001</v>
      </c>
    </row>
    <row r="5712" spans="1:1" x14ac:dyDescent="0.25">
      <c r="A5712" s="21">
        <v>4100730.98</v>
      </c>
    </row>
    <row r="5713" spans="1:1" x14ac:dyDescent="0.25">
      <c r="A5713" s="21">
        <v>63421447.770000003</v>
      </c>
    </row>
    <row r="5714" spans="1:1" x14ac:dyDescent="0.25">
      <c r="A5714" s="21">
        <v>55320796.359999999</v>
      </c>
    </row>
    <row r="5715" spans="1:1" x14ac:dyDescent="0.25">
      <c r="A5715" s="21">
        <v>81019813.459999904</v>
      </c>
    </row>
    <row r="5716" spans="1:1" x14ac:dyDescent="0.25">
      <c r="A5716" s="21">
        <v>29313780.550000001</v>
      </c>
    </row>
    <row r="5717" spans="1:1" x14ac:dyDescent="0.25">
      <c r="A5717" s="21">
        <v>119649511.95</v>
      </c>
    </row>
    <row r="5718" spans="1:1" x14ac:dyDescent="0.25">
      <c r="A5718" s="21">
        <v>72165660.180000007</v>
      </c>
    </row>
    <row r="5719" spans="1:1" x14ac:dyDescent="0.25">
      <c r="A5719" s="21">
        <v>84790764.909999996</v>
      </c>
    </row>
    <row r="5720" spans="1:1" x14ac:dyDescent="0.25">
      <c r="A5720" s="21">
        <v>64730125.939999998</v>
      </c>
    </row>
    <row r="5721" spans="1:1" x14ac:dyDescent="0.25">
      <c r="A5721" s="21">
        <v>69292740.950000003</v>
      </c>
    </row>
    <row r="5722" spans="1:1" x14ac:dyDescent="0.25">
      <c r="A5722" s="21">
        <v>41101435.670000002</v>
      </c>
    </row>
    <row r="5723" spans="1:1" x14ac:dyDescent="0.25">
      <c r="A5723" s="21">
        <v>37063977.140000001</v>
      </c>
    </row>
    <row r="5724" spans="1:1" x14ac:dyDescent="0.25">
      <c r="A5724" s="21">
        <v>15491200.43</v>
      </c>
    </row>
    <row r="5725" spans="1:1" x14ac:dyDescent="0.25">
      <c r="A5725" s="21">
        <v>19593813.75</v>
      </c>
    </row>
    <row r="5726" spans="1:1" x14ac:dyDescent="0.25">
      <c r="A5726" s="21">
        <v>47875819.880000003</v>
      </c>
    </row>
    <row r="5727" spans="1:1" x14ac:dyDescent="0.25">
      <c r="A5727" s="21">
        <v>73448741.430000007</v>
      </c>
    </row>
    <row r="5728" spans="1:1" x14ac:dyDescent="0.25">
      <c r="A5728" s="21">
        <v>69990940.900000006</v>
      </c>
    </row>
    <row r="5729" spans="1:1" x14ac:dyDescent="0.25">
      <c r="A5729" s="21">
        <v>13113195.550000001</v>
      </c>
    </row>
    <row r="5730" spans="1:1" x14ac:dyDescent="0.25">
      <c r="A5730" s="21">
        <v>3250239.68</v>
      </c>
    </row>
    <row r="5731" spans="1:1" x14ac:dyDescent="0.25">
      <c r="A5731" s="21">
        <v>46564724.979999997</v>
      </c>
    </row>
    <row r="5732" spans="1:1" x14ac:dyDescent="0.25">
      <c r="A5732" s="21">
        <v>34994722.240000002</v>
      </c>
    </row>
    <row r="5733" spans="1:1" x14ac:dyDescent="0.25">
      <c r="A5733" s="21">
        <v>93663388.370000005</v>
      </c>
    </row>
    <row r="5734" spans="1:1" x14ac:dyDescent="0.25">
      <c r="A5734" s="21">
        <v>77656093.560000002</v>
      </c>
    </row>
    <row r="5735" spans="1:1" x14ac:dyDescent="0.25">
      <c r="A5735" s="21">
        <v>68886157.680000007</v>
      </c>
    </row>
    <row r="5736" spans="1:1" x14ac:dyDescent="0.25">
      <c r="A5736" s="21">
        <v>109658949.28</v>
      </c>
    </row>
    <row r="5737" spans="1:1" x14ac:dyDescent="0.25">
      <c r="A5737">
        <v>0</v>
      </c>
    </row>
    <row r="5738" spans="1:1" x14ac:dyDescent="0.25">
      <c r="A5738" s="21">
        <v>15241765.59</v>
      </c>
    </row>
    <row r="5739" spans="1:1" x14ac:dyDescent="0.25">
      <c r="A5739" s="21">
        <v>294405730.19</v>
      </c>
    </row>
    <row r="5740" spans="1:1" x14ac:dyDescent="0.25">
      <c r="A5740">
        <v>0</v>
      </c>
    </row>
    <row r="5741" spans="1:1" x14ac:dyDescent="0.25">
      <c r="A5741" s="21">
        <v>60876562.93</v>
      </c>
    </row>
    <row r="5742" spans="1:1" x14ac:dyDescent="0.25">
      <c r="A5742" s="21">
        <v>30429883.789999999</v>
      </c>
    </row>
    <row r="5743" spans="1:1" x14ac:dyDescent="0.25">
      <c r="A5743" s="21">
        <v>42818589.25</v>
      </c>
    </row>
    <row r="5744" spans="1:1" x14ac:dyDescent="0.25">
      <c r="A5744" s="21">
        <v>32490900.27</v>
      </c>
    </row>
    <row r="5745" spans="1:1" x14ac:dyDescent="0.25">
      <c r="A5745" s="21">
        <v>4594952.46</v>
      </c>
    </row>
    <row r="5746" spans="1:1" x14ac:dyDescent="0.25">
      <c r="A5746" s="21">
        <v>38574760.600000001</v>
      </c>
    </row>
    <row r="5747" spans="1:1" x14ac:dyDescent="0.25">
      <c r="A5747" s="21">
        <v>101085392.47</v>
      </c>
    </row>
    <row r="5748" spans="1:1" x14ac:dyDescent="0.25">
      <c r="A5748" s="21">
        <v>267524242.08000001</v>
      </c>
    </row>
    <row r="5749" spans="1:1" x14ac:dyDescent="0.25">
      <c r="A5749">
        <v>21041535</v>
      </c>
    </row>
    <row r="5750" spans="1:1" x14ac:dyDescent="0.25">
      <c r="A5750">
        <v>0</v>
      </c>
    </row>
    <row r="5751" spans="1:1" x14ac:dyDescent="0.25">
      <c r="A5751" s="21">
        <v>14390568.59</v>
      </c>
    </row>
    <row r="5752" spans="1:1" x14ac:dyDescent="0.25">
      <c r="A5752" s="21">
        <v>66241054.68</v>
      </c>
    </row>
    <row r="5753" spans="1:1" x14ac:dyDescent="0.25">
      <c r="A5753" s="21">
        <v>53961519.549999997</v>
      </c>
    </row>
    <row r="5754" spans="1:1" x14ac:dyDescent="0.25">
      <c r="A5754" s="21">
        <v>233226184.22999999</v>
      </c>
    </row>
    <row r="5755" spans="1:1" x14ac:dyDescent="0.25">
      <c r="A5755" s="21">
        <v>2792159.34</v>
      </c>
    </row>
    <row r="5756" spans="1:1" x14ac:dyDescent="0.25">
      <c r="A5756" s="21">
        <v>106261594.98</v>
      </c>
    </row>
    <row r="5757" spans="1:1" x14ac:dyDescent="0.25">
      <c r="A5757" s="21">
        <v>38996079.630000003</v>
      </c>
    </row>
    <row r="5758" spans="1:1" x14ac:dyDescent="0.25">
      <c r="A5758" s="21">
        <v>221693426.99000001</v>
      </c>
    </row>
    <row r="5759" spans="1:1" x14ac:dyDescent="0.25">
      <c r="A5759" s="21">
        <v>36592131.219999999</v>
      </c>
    </row>
    <row r="5760" spans="1:1" x14ac:dyDescent="0.25">
      <c r="A5760" s="21">
        <v>58185954.259999901</v>
      </c>
    </row>
    <row r="5761" spans="1:1" x14ac:dyDescent="0.25">
      <c r="A5761" s="21">
        <v>110768808.68000001</v>
      </c>
    </row>
    <row r="5762" spans="1:1" x14ac:dyDescent="0.25">
      <c r="A5762">
        <v>0</v>
      </c>
    </row>
    <row r="5763" spans="1:1" x14ac:dyDescent="0.25">
      <c r="A5763" s="21">
        <v>70199711.810000002</v>
      </c>
    </row>
    <row r="5764" spans="1:1" x14ac:dyDescent="0.25">
      <c r="A5764" s="21">
        <v>47565903.450000003</v>
      </c>
    </row>
    <row r="5765" spans="1:1" x14ac:dyDescent="0.25">
      <c r="A5765" s="21">
        <v>21533726.93</v>
      </c>
    </row>
    <row r="5766" spans="1:1" x14ac:dyDescent="0.25">
      <c r="A5766" s="21">
        <v>21099813.75</v>
      </c>
    </row>
    <row r="5767" spans="1:1" x14ac:dyDescent="0.25">
      <c r="A5767" s="21">
        <v>106913876.65000001</v>
      </c>
    </row>
    <row r="5768" spans="1:1" x14ac:dyDescent="0.25">
      <c r="A5768" s="21">
        <v>160405748.40000001</v>
      </c>
    </row>
    <row r="5769" spans="1:1" x14ac:dyDescent="0.25">
      <c r="A5769" s="21">
        <v>141626370.63</v>
      </c>
    </row>
    <row r="5770" spans="1:1" x14ac:dyDescent="0.25">
      <c r="A5770" s="21">
        <v>60661725.57</v>
      </c>
    </row>
    <row r="5771" spans="1:1" x14ac:dyDescent="0.25">
      <c r="A5771" s="21">
        <v>9379661.6500000004</v>
      </c>
    </row>
    <row r="5772" spans="1:1" x14ac:dyDescent="0.25">
      <c r="A5772" s="21">
        <v>21144452.559999999</v>
      </c>
    </row>
    <row r="5773" spans="1:1" x14ac:dyDescent="0.25">
      <c r="A5773" s="21">
        <v>37511496.75</v>
      </c>
    </row>
    <row r="5774" spans="1:1" x14ac:dyDescent="0.25">
      <c r="A5774" s="21">
        <v>71310026.769999996</v>
      </c>
    </row>
    <row r="5775" spans="1:1" x14ac:dyDescent="0.25">
      <c r="A5775" s="21">
        <v>52276436.859999999</v>
      </c>
    </row>
    <row r="5776" spans="1:1" x14ac:dyDescent="0.25">
      <c r="A5776" s="21">
        <v>10312874.300000001</v>
      </c>
    </row>
    <row r="5777" spans="1:1" x14ac:dyDescent="0.25">
      <c r="A5777" s="21">
        <v>76162465.810000002</v>
      </c>
    </row>
    <row r="5778" spans="1:1" x14ac:dyDescent="0.25">
      <c r="A5778" s="21">
        <v>10065504.470000001</v>
      </c>
    </row>
    <row r="5779" spans="1:1" x14ac:dyDescent="0.25">
      <c r="A5779" s="21">
        <v>14097207.470000001</v>
      </c>
    </row>
    <row r="5780" spans="1:1" x14ac:dyDescent="0.25">
      <c r="A5780" s="21">
        <v>6734884.5</v>
      </c>
    </row>
    <row r="5781" spans="1:1" x14ac:dyDescent="0.25">
      <c r="A5781" s="21">
        <v>85078211.069999903</v>
      </c>
    </row>
    <row r="5782" spans="1:1" x14ac:dyDescent="0.25">
      <c r="A5782" s="21">
        <v>49786749.43</v>
      </c>
    </row>
    <row r="5783" spans="1:1" x14ac:dyDescent="0.25">
      <c r="A5783" s="21">
        <v>9207771.3100000005</v>
      </c>
    </row>
    <row r="5784" spans="1:1" x14ac:dyDescent="0.25">
      <c r="A5784" s="21">
        <v>38634543.909999996</v>
      </c>
    </row>
    <row r="5785" spans="1:1" x14ac:dyDescent="0.25">
      <c r="A5785" s="21">
        <v>76015278.900000006</v>
      </c>
    </row>
    <row r="5786" spans="1:1" x14ac:dyDescent="0.25">
      <c r="A5786" s="21">
        <v>44438842.189999998</v>
      </c>
    </row>
    <row r="5787" spans="1:1" x14ac:dyDescent="0.25">
      <c r="A5787" s="21">
        <v>191273408.72999999</v>
      </c>
    </row>
    <row r="5788" spans="1:1" x14ac:dyDescent="0.25">
      <c r="A5788">
        <v>13904148</v>
      </c>
    </row>
    <row r="5789" spans="1:1" x14ac:dyDescent="0.25">
      <c r="A5789" s="21">
        <v>70301413.790000007</v>
      </c>
    </row>
    <row r="5790" spans="1:1" x14ac:dyDescent="0.25">
      <c r="A5790" s="21">
        <v>59411926.170000002</v>
      </c>
    </row>
    <row r="5791" spans="1:1" x14ac:dyDescent="0.25">
      <c r="A5791">
        <v>0</v>
      </c>
    </row>
    <row r="5792" spans="1:1" x14ac:dyDescent="0.25">
      <c r="A5792" s="21">
        <v>33287227.199999999</v>
      </c>
    </row>
    <row r="5793" spans="1:1" x14ac:dyDescent="0.25">
      <c r="A5793" s="21">
        <v>16595391.470000001</v>
      </c>
    </row>
    <row r="5794" spans="1:1" x14ac:dyDescent="0.25">
      <c r="A5794" s="21">
        <v>6499178.25</v>
      </c>
    </row>
    <row r="5795" spans="1:1" x14ac:dyDescent="0.25">
      <c r="A5795" s="21">
        <v>23685479.25</v>
      </c>
    </row>
    <row r="5796" spans="1:1" x14ac:dyDescent="0.25">
      <c r="A5796" s="21">
        <v>111852690.81</v>
      </c>
    </row>
    <row r="5797" spans="1:1" x14ac:dyDescent="0.25">
      <c r="A5797" s="21">
        <v>106717401.73</v>
      </c>
    </row>
    <row r="5798" spans="1:1" x14ac:dyDescent="0.25">
      <c r="A5798" s="21">
        <v>9643111.0099999998</v>
      </c>
    </row>
    <row r="5799" spans="1:1" x14ac:dyDescent="0.25">
      <c r="A5799" s="21">
        <v>37059353.93</v>
      </c>
    </row>
    <row r="5800" spans="1:1" x14ac:dyDescent="0.25">
      <c r="A5800" s="21">
        <v>585765611.30999899</v>
      </c>
    </row>
    <row r="5801" spans="1:1" x14ac:dyDescent="0.25">
      <c r="A5801" s="21">
        <v>57129537.109999999</v>
      </c>
    </row>
    <row r="5802" spans="1:1" x14ac:dyDescent="0.25">
      <c r="A5802" s="21">
        <v>11157034.18</v>
      </c>
    </row>
    <row r="5803" spans="1:1" x14ac:dyDescent="0.25">
      <c r="A5803" s="21">
        <v>302504346.42000002</v>
      </c>
    </row>
    <row r="5804" spans="1:1" x14ac:dyDescent="0.25">
      <c r="A5804" s="21">
        <v>39163221.5</v>
      </c>
    </row>
    <row r="5805" spans="1:1" x14ac:dyDescent="0.25">
      <c r="A5805" s="21">
        <v>69010476.609999999</v>
      </c>
    </row>
    <row r="5806" spans="1:1" x14ac:dyDescent="0.25">
      <c r="A5806" s="21">
        <v>69363131.890000001</v>
      </c>
    </row>
    <row r="5807" spans="1:1" x14ac:dyDescent="0.25">
      <c r="A5807" s="21">
        <v>161157723.28</v>
      </c>
    </row>
    <row r="5808" spans="1:1" x14ac:dyDescent="0.25">
      <c r="A5808" s="21">
        <v>155059646.90000001</v>
      </c>
    </row>
    <row r="5809" spans="1:1" x14ac:dyDescent="0.25">
      <c r="A5809" s="21">
        <v>54763814.020000003</v>
      </c>
    </row>
    <row r="5810" spans="1:1" x14ac:dyDescent="0.25">
      <c r="A5810" s="21">
        <v>25686400.219999999</v>
      </c>
    </row>
    <row r="5811" spans="1:1" x14ac:dyDescent="0.25">
      <c r="A5811" s="21">
        <v>169021554.03999999</v>
      </c>
    </row>
    <row r="5812" spans="1:1" x14ac:dyDescent="0.25">
      <c r="A5812" s="21">
        <v>130293665.84999999</v>
      </c>
    </row>
    <row r="5813" spans="1:1" x14ac:dyDescent="0.25">
      <c r="A5813" s="21">
        <v>77650579.789999902</v>
      </c>
    </row>
    <row r="5814" spans="1:1" x14ac:dyDescent="0.25">
      <c r="A5814" s="21">
        <v>7544932.9800000004</v>
      </c>
    </row>
    <row r="5815" spans="1:1" x14ac:dyDescent="0.25">
      <c r="A5815" s="21">
        <v>33030175.789999999</v>
      </c>
    </row>
    <row r="5816" spans="1:1" x14ac:dyDescent="0.25">
      <c r="A5816" s="21">
        <v>90787370.260000005</v>
      </c>
    </row>
    <row r="5817" spans="1:1" x14ac:dyDescent="0.25">
      <c r="A5817" s="21">
        <v>58557278.43</v>
      </c>
    </row>
    <row r="5818" spans="1:1" x14ac:dyDescent="0.25">
      <c r="A5818" s="21">
        <v>70382994.340000004</v>
      </c>
    </row>
    <row r="5819" spans="1:1" x14ac:dyDescent="0.25">
      <c r="A5819" s="21">
        <v>47874839.969999999</v>
      </c>
    </row>
    <row r="5820" spans="1:1" x14ac:dyDescent="0.25">
      <c r="A5820" s="21">
        <v>11862473.119999999</v>
      </c>
    </row>
    <row r="5821" spans="1:1" x14ac:dyDescent="0.25">
      <c r="A5821" s="21">
        <v>21496165.23</v>
      </c>
    </row>
    <row r="5822" spans="1:1" x14ac:dyDescent="0.25">
      <c r="A5822" s="21">
        <v>38388162.409999996</v>
      </c>
    </row>
    <row r="5823" spans="1:1" x14ac:dyDescent="0.25">
      <c r="A5823" s="21">
        <v>45063043.600000001</v>
      </c>
    </row>
    <row r="5824" spans="1:1" x14ac:dyDescent="0.25">
      <c r="A5824" s="21">
        <v>115813892.20999999</v>
      </c>
    </row>
    <row r="5825" spans="1:1" x14ac:dyDescent="0.25">
      <c r="A5825" s="21">
        <v>15016699.050000001</v>
      </c>
    </row>
    <row r="5826" spans="1:1" x14ac:dyDescent="0.25">
      <c r="A5826" s="21">
        <v>25116636.219999999</v>
      </c>
    </row>
    <row r="5827" spans="1:1" x14ac:dyDescent="0.25">
      <c r="A5827" s="21">
        <v>15224294.1</v>
      </c>
    </row>
    <row r="5828" spans="1:1" x14ac:dyDescent="0.25">
      <c r="A5828" s="21">
        <v>70398730.060000002</v>
      </c>
    </row>
    <row r="5829" spans="1:1" x14ac:dyDescent="0.25">
      <c r="A5829" s="21">
        <v>196345484.50999999</v>
      </c>
    </row>
    <row r="5830" spans="1:1" x14ac:dyDescent="0.25">
      <c r="A5830" s="21">
        <v>42058378.68</v>
      </c>
    </row>
    <row r="5831" spans="1:1" x14ac:dyDescent="0.25">
      <c r="A5831" s="21">
        <v>78340972.139999896</v>
      </c>
    </row>
    <row r="5832" spans="1:1" x14ac:dyDescent="0.25">
      <c r="A5832" s="21">
        <v>572458337.42999995</v>
      </c>
    </row>
    <row r="5833" spans="1:1" x14ac:dyDescent="0.25">
      <c r="A5833" s="21">
        <v>29810652.149999999</v>
      </c>
    </row>
    <row r="5834" spans="1:1" x14ac:dyDescent="0.25">
      <c r="A5834" s="21">
        <v>62953428.880000003</v>
      </c>
    </row>
    <row r="5835" spans="1:1" x14ac:dyDescent="0.25">
      <c r="A5835" s="21">
        <v>104074203.09999999</v>
      </c>
    </row>
    <row r="5836" spans="1:1" x14ac:dyDescent="0.25">
      <c r="A5836" s="21">
        <v>12881807.460000001</v>
      </c>
    </row>
    <row r="5837" spans="1:1" x14ac:dyDescent="0.25">
      <c r="A5837" s="21">
        <v>130514196.33</v>
      </c>
    </row>
    <row r="5838" spans="1:1" x14ac:dyDescent="0.25">
      <c r="A5838">
        <v>0</v>
      </c>
    </row>
    <row r="5839" spans="1:1" x14ac:dyDescent="0.25">
      <c r="A5839" s="21">
        <v>55540370.710000001</v>
      </c>
    </row>
    <row r="5840" spans="1:1" x14ac:dyDescent="0.25">
      <c r="A5840" s="21">
        <v>36738538.270000003</v>
      </c>
    </row>
    <row r="5841" spans="1:1" x14ac:dyDescent="0.25">
      <c r="A5841" s="21">
        <v>59304581.299999997</v>
      </c>
    </row>
    <row r="5842" spans="1:1" x14ac:dyDescent="0.25">
      <c r="A5842" s="21">
        <v>28439789.449999999</v>
      </c>
    </row>
    <row r="5843" spans="1:1" x14ac:dyDescent="0.25">
      <c r="A5843" s="21">
        <v>272818395.27999997</v>
      </c>
    </row>
    <row r="5844" spans="1:1" x14ac:dyDescent="0.25">
      <c r="A5844" s="21">
        <v>68836694.129999995</v>
      </c>
    </row>
    <row r="5845" spans="1:1" x14ac:dyDescent="0.25">
      <c r="A5845" s="21">
        <v>80948393.120000005</v>
      </c>
    </row>
    <row r="5846" spans="1:1" x14ac:dyDescent="0.25">
      <c r="A5846" s="21">
        <v>74535510.090000004</v>
      </c>
    </row>
    <row r="5847" spans="1:1" x14ac:dyDescent="0.25">
      <c r="A5847" s="21">
        <v>52587707.659999996</v>
      </c>
    </row>
    <row r="5848" spans="1:1" x14ac:dyDescent="0.25">
      <c r="A5848" s="21">
        <v>82149806.769999996</v>
      </c>
    </row>
    <row r="5849" spans="1:1" x14ac:dyDescent="0.25">
      <c r="A5849" s="21">
        <v>190621958.87</v>
      </c>
    </row>
    <row r="5850" spans="1:1" x14ac:dyDescent="0.25">
      <c r="A5850" s="21">
        <v>24966008.920000002</v>
      </c>
    </row>
    <row r="5851" spans="1:1" x14ac:dyDescent="0.25">
      <c r="A5851" s="21">
        <v>16704394.279999999</v>
      </c>
    </row>
    <row r="5852" spans="1:1" x14ac:dyDescent="0.25">
      <c r="A5852" s="21">
        <v>63458604.5</v>
      </c>
    </row>
    <row r="5853" spans="1:1" x14ac:dyDescent="0.25">
      <c r="A5853" s="21">
        <v>26701940.809999999</v>
      </c>
    </row>
    <row r="5854" spans="1:1" x14ac:dyDescent="0.25">
      <c r="A5854" s="21">
        <v>54051976.170000002</v>
      </c>
    </row>
    <row r="5855" spans="1:1" x14ac:dyDescent="0.25">
      <c r="A5855" s="21">
        <v>79365463.530000001</v>
      </c>
    </row>
    <row r="5856" spans="1:1" x14ac:dyDescent="0.25">
      <c r="A5856" s="21">
        <v>46345737.479999997</v>
      </c>
    </row>
    <row r="5857" spans="1:1" x14ac:dyDescent="0.25">
      <c r="A5857" s="21">
        <v>13696117.220000001</v>
      </c>
    </row>
    <row r="5858" spans="1:1" x14ac:dyDescent="0.25">
      <c r="A5858" s="21">
        <v>26772071.579999998</v>
      </c>
    </row>
    <row r="5859" spans="1:1" x14ac:dyDescent="0.25">
      <c r="A5859" s="21">
        <v>3850977.09</v>
      </c>
    </row>
    <row r="5860" spans="1:1" x14ac:dyDescent="0.25">
      <c r="A5860" s="21">
        <v>28439966.140000001</v>
      </c>
    </row>
    <row r="5861" spans="1:1" x14ac:dyDescent="0.25">
      <c r="A5861" s="21">
        <v>94612069.909999996</v>
      </c>
    </row>
    <row r="5862" spans="1:1" x14ac:dyDescent="0.25">
      <c r="A5862" s="21">
        <v>39390567.170000002</v>
      </c>
    </row>
    <row r="5863" spans="1:1" x14ac:dyDescent="0.25">
      <c r="A5863" s="21">
        <v>18460488.440000001</v>
      </c>
    </row>
    <row r="5864" spans="1:1" x14ac:dyDescent="0.25">
      <c r="A5864" s="21">
        <v>84857109.150000006</v>
      </c>
    </row>
    <row r="5865" spans="1:1" x14ac:dyDescent="0.25">
      <c r="A5865" s="21">
        <v>61290408.270000003</v>
      </c>
    </row>
    <row r="5866" spans="1:1" x14ac:dyDescent="0.25">
      <c r="A5866" s="21">
        <v>27878545.870000001</v>
      </c>
    </row>
    <row r="5867" spans="1:1" x14ac:dyDescent="0.25">
      <c r="A5867" s="21">
        <v>21198174.030000001</v>
      </c>
    </row>
    <row r="5868" spans="1:1" x14ac:dyDescent="0.25">
      <c r="A5868" s="21">
        <v>226874427.65000001</v>
      </c>
    </row>
    <row r="5869" spans="1:1" x14ac:dyDescent="0.25">
      <c r="A5869" s="21">
        <v>43806713.969999999</v>
      </c>
    </row>
    <row r="5870" spans="1:1" x14ac:dyDescent="0.25">
      <c r="A5870" s="21">
        <v>23918933.690000001</v>
      </c>
    </row>
    <row r="5871" spans="1:1" x14ac:dyDescent="0.25">
      <c r="A5871" s="21">
        <v>219502499.78</v>
      </c>
    </row>
    <row r="5872" spans="1:1" x14ac:dyDescent="0.25">
      <c r="A5872" s="21">
        <v>8107315.5700000003</v>
      </c>
    </row>
    <row r="5873" spans="1:1" x14ac:dyDescent="0.25">
      <c r="A5873" s="21">
        <v>20603578.68</v>
      </c>
    </row>
    <row r="5874" spans="1:1" x14ac:dyDescent="0.25">
      <c r="A5874" s="21">
        <v>3203634.48</v>
      </c>
    </row>
    <row r="5875" spans="1:1" x14ac:dyDescent="0.25">
      <c r="A5875">
        <v>0</v>
      </c>
    </row>
    <row r="5876" spans="1:1" x14ac:dyDescent="0.25">
      <c r="A5876" s="21">
        <v>176181194.69999999</v>
      </c>
    </row>
    <row r="5877" spans="1:1" x14ac:dyDescent="0.25">
      <c r="A5877" s="21">
        <v>136856625.86000001</v>
      </c>
    </row>
    <row r="5878" spans="1:1" x14ac:dyDescent="0.25">
      <c r="A5878" s="21">
        <v>117527090.42</v>
      </c>
    </row>
    <row r="5879" spans="1:1" x14ac:dyDescent="0.25">
      <c r="A5879" s="21">
        <v>3973944.2</v>
      </c>
    </row>
    <row r="5880" spans="1:1" x14ac:dyDescent="0.25">
      <c r="A5880" s="21">
        <v>81452666.219999999</v>
      </c>
    </row>
    <row r="5881" spans="1:1" x14ac:dyDescent="0.25">
      <c r="A5881" s="21">
        <v>52347327.729999997</v>
      </c>
    </row>
    <row r="5882" spans="1:1" x14ac:dyDescent="0.25">
      <c r="A5882" s="21">
        <v>26822301.629999999</v>
      </c>
    </row>
    <row r="5883" spans="1:1" x14ac:dyDescent="0.25">
      <c r="A5883" s="21">
        <v>22103628.739999998</v>
      </c>
    </row>
    <row r="5884" spans="1:1" x14ac:dyDescent="0.25">
      <c r="A5884" s="21">
        <v>232034499.41999999</v>
      </c>
    </row>
    <row r="5885" spans="1:1" x14ac:dyDescent="0.25">
      <c r="A5885" s="21">
        <v>2914723.11</v>
      </c>
    </row>
    <row r="5886" spans="1:1" x14ac:dyDescent="0.25">
      <c r="A5886" s="21">
        <v>95789032.239999995</v>
      </c>
    </row>
    <row r="5887" spans="1:1" x14ac:dyDescent="0.25">
      <c r="A5887" s="21">
        <v>66807163.399999999</v>
      </c>
    </row>
    <row r="5888" spans="1:1" x14ac:dyDescent="0.25">
      <c r="A5888" s="21">
        <v>95084986.799999997</v>
      </c>
    </row>
    <row r="5889" spans="1:1" x14ac:dyDescent="0.25">
      <c r="A5889" s="21">
        <v>57984608.009999998</v>
      </c>
    </row>
    <row r="5890" spans="1:1" x14ac:dyDescent="0.25">
      <c r="A5890" s="21">
        <v>36670875.579999998</v>
      </c>
    </row>
    <row r="5891" spans="1:1" x14ac:dyDescent="0.25">
      <c r="A5891" s="21">
        <v>138313325.25999999</v>
      </c>
    </row>
    <row r="5892" spans="1:1" x14ac:dyDescent="0.25">
      <c r="A5892" s="21">
        <v>17755428.57</v>
      </c>
    </row>
    <row r="5893" spans="1:1" x14ac:dyDescent="0.25">
      <c r="A5893" s="21">
        <v>234407301.11000001</v>
      </c>
    </row>
    <row r="5894" spans="1:1" x14ac:dyDescent="0.25">
      <c r="A5894" s="21">
        <v>18095039.449999999</v>
      </c>
    </row>
    <row r="5895" spans="1:1" x14ac:dyDescent="0.25">
      <c r="A5895" s="21">
        <v>46788033.609999999</v>
      </c>
    </row>
    <row r="5896" spans="1:1" x14ac:dyDescent="0.25">
      <c r="A5896" s="21">
        <v>64728258.189999998</v>
      </c>
    </row>
    <row r="5897" spans="1:1" x14ac:dyDescent="0.25">
      <c r="A5897" s="21">
        <v>33632294.619999997</v>
      </c>
    </row>
    <row r="5898" spans="1:1" x14ac:dyDescent="0.25">
      <c r="A5898" s="21">
        <v>14519457.91</v>
      </c>
    </row>
    <row r="5899" spans="1:1" x14ac:dyDescent="0.25">
      <c r="A5899" s="21">
        <v>133274840.18000001</v>
      </c>
    </row>
    <row r="5900" spans="1:1" x14ac:dyDescent="0.25">
      <c r="A5900" s="21">
        <v>47800217.759999998</v>
      </c>
    </row>
    <row r="5901" spans="1:1" x14ac:dyDescent="0.25">
      <c r="A5901" s="21">
        <v>432366587.44999999</v>
      </c>
    </row>
    <row r="5902" spans="1:1" x14ac:dyDescent="0.25">
      <c r="A5902" s="21">
        <v>199699862.84</v>
      </c>
    </row>
    <row r="5903" spans="1:1" x14ac:dyDescent="0.25">
      <c r="A5903" s="21">
        <v>15331690.130000001</v>
      </c>
    </row>
    <row r="5904" spans="1:1" x14ac:dyDescent="0.25">
      <c r="A5904" s="21">
        <v>15352297.970000001</v>
      </c>
    </row>
    <row r="5905" spans="1:1" x14ac:dyDescent="0.25">
      <c r="A5905" s="21">
        <v>16646784.619999999</v>
      </c>
    </row>
    <row r="5906" spans="1:1" x14ac:dyDescent="0.25">
      <c r="A5906" s="21">
        <v>30314213.73</v>
      </c>
    </row>
    <row r="5907" spans="1:1" x14ac:dyDescent="0.25">
      <c r="A5907" s="21">
        <v>46029840.460000001</v>
      </c>
    </row>
    <row r="5908" spans="1:1" x14ac:dyDescent="0.25">
      <c r="A5908" s="21">
        <v>114079591.41</v>
      </c>
    </row>
    <row r="5909" spans="1:1" x14ac:dyDescent="0.25">
      <c r="A5909" s="21">
        <v>16764500.140000001</v>
      </c>
    </row>
    <row r="5910" spans="1:1" x14ac:dyDescent="0.25">
      <c r="A5910" s="21">
        <v>72419403.709999993</v>
      </c>
    </row>
    <row r="5911" spans="1:1" x14ac:dyDescent="0.25">
      <c r="A5911" s="21">
        <v>18310396.780000001</v>
      </c>
    </row>
    <row r="5912" spans="1:1" x14ac:dyDescent="0.25">
      <c r="A5912">
        <v>14415084</v>
      </c>
    </row>
    <row r="5913" spans="1:1" x14ac:dyDescent="0.25">
      <c r="A5913" s="21">
        <v>200447551.87</v>
      </c>
    </row>
    <row r="5914" spans="1:1" x14ac:dyDescent="0.25">
      <c r="A5914" s="21">
        <v>94272945.799999997</v>
      </c>
    </row>
    <row r="5915" spans="1:1" x14ac:dyDescent="0.25">
      <c r="A5915" s="21">
        <v>38019501.380000003</v>
      </c>
    </row>
    <row r="5916" spans="1:1" x14ac:dyDescent="0.25">
      <c r="A5916" s="21">
        <v>110354789.70999999</v>
      </c>
    </row>
    <row r="5917" spans="1:1" x14ac:dyDescent="0.25">
      <c r="A5917" s="21">
        <v>403920650.10000002</v>
      </c>
    </row>
    <row r="5918" spans="1:1" x14ac:dyDescent="0.25">
      <c r="A5918" s="21">
        <v>76221341.780000001</v>
      </c>
    </row>
    <row r="5919" spans="1:1" x14ac:dyDescent="0.25">
      <c r="A5919" s="21">
        <v>117830824.23999999</v>
      </c>
    </row>
    <row r="5920" spans="1:1" x14ac:dyDescent="0.25">
      <c r="A5920" s="21">
        <v>110892527.18000001</v>
      </c>
    </row>
    <row r="5921" spans="1:1" x14ac:dyDescent="0.25">
      <c r="A5921" s="21">
        <v>28542027.66</v>
      </c>
    </row>
    <row r="5922" spans="1:1" x14ac:dyDescent="0.25">
      <c r="A5922" s="21">
        <v>200165635.83000001</v>
      </c>
    </row>
    <row r="5923" spans="1:1" x14ac:dyDescent="0.25">
      <c r="A5923" s="21">
        <v>522990979.70999998</v>
      </c>
    </row>
    <row r="5924" spans="1:1" x14ac:dyDescent="0.25">
      <c r="A5924" s="21">
        <v>11707989.92</v>
      </c>
    </row>
    <row r="5925" spans="1:1" x14ac:dyDescent="0.25">
      <c r="A5925">
        <v>0</v>
      </c>
    </row>
    <row r="5926" spans="1:1" x14ac:dyDescent="0.25">
      <c r="A5926" s="21">
        <v>44843304.960000001</v>
      </c>
    </row>
    <row r="5927" spans="1:1" x14ac:dyDescent="0.25">
      <c r="A5927" s="21">
        <v>4117307.45</v>
      </c>
    </row>
    <row r="5928" spans="1:1" x14ac:dyDescent="0.25">
      <c r="A5928" s="21">
        <v>19350254.280000001</v>
      </c>
    </row>
    <row r="5929" spans="1:1" x14ac:dyDescent="0.25">
      <c r="A5929" s="21">
        <v>21091642.850000001</v>
      </c>
    </row>
    <row r="5930" spans="1:1" x14ac:dyDescent="0.25">
      <c r="A5930" s="21">
        <v>39477555.659999996</v>
      </c>
    </row>
    <row r="5931" spans="1:1" x14ac:dyDescent="0.25">
      <c r="A5931" s="21">
        <v>75973298.909999996</v>
      </c>
    </row>
    <row r="5932" spans="1:1" x14ac:dyDescent="0.25">
      <c r="A5932" s="21">
        <v>223144867.03999999</v>
      </c>
    </row>
    <row r="5933" spans="1:1" x14ac:dyDescent="0.25">
      <c r="A5933" s="21">
        <v>79678437.209999993</v>
      </c>
    </row>
    <row r="5934" spans="1:1" x14ac:dyDescent="0.25">
      <c r="A5934" s="21">
        <v>91959657.760000005</v>
      </c>
    </row>
    <row r="5935" spans="1:1" x14ac:dyDescent="0.25">
      <c r="A5935" s="21">
        <v>20330837.780000001</v>
      </c>
    </row>
    <row r="5936" spans="1:1" x14ac:dyDescent="0.25">
      <c r="A5936" s="21">
        <v>19438165.5</v>
      </c>
    </row>
    <row r="5937" spans="1:1" x14ac:dyDescent="0.25">
      <c r="A5937" s="21">
        <v>9983250.8100000005</v>
      </c>
    </row>
    <row r="5938" spans="1:1" x14ac:dyDescent="0.25">
      <c r="A5938" s="21">
        <v>17592886.359999999</v>
      </c>
    </row>
    <row r="5939" spans="1:1" x14ac:dyDescent="0.25">
      <c r="A5939" s="21">
        <v>326162009.06999999</v>
      </c>
    </row>
    <row r="5940" spans="1:1" x14ac:dyDescent="0.25">
      <c r="A5940" s="21">
        <v>70596449.969999999</v>
      </c>
    </row>
    <row r="5941" spans="1:1" x14ac:dyDescent="0.25">
      <c r="A5941" s="21">
        <v>17046492.59</v>
      </c>
    </row>
    <row r="5942" spans="1:1" x14ac:dyDescent="0.25">
      <c r="A5942" s="21">
        <v>13257011.25</v>
      </c>
    </row>
    <row r="5943" spans="1:1" x14ac:dyDescent="0.25">
      <c r="A5943" s="21">
        <v>3834367.79</v>
      </c>
    </row>
    <row r="5944" spans="1:1" x14ac:dyDescent="0.25">
      <c r="A5944" s="21">
        <v>337766913.64999902</v>
      </c>
    </row>
    <row r="5945" spans="1:1" x14ac:dyDescent="0.25">
      <c r="A5945" s="21">
        <v>215666980.03999999</v>
      </c>
    </row>
    <row r="5946" spans="1:1" x14ac:dyDescent="0.25">
      <c r="A5946" s="21">
        <v>12128788.5</v>
      </c>
    </row>
    <row r="5947" spans="1:1" x14ac:dyDescent="0.25">
      <c r="A5947">
        <v>0</v>
      </c>
    </row>
    <row r="5948" spans="1:1" x14ac:dyDescent="0.25">
      <c r="A5948" s="21">
        <v>354359422.94</v>
      </c>
    </row>
    <row r="5949" spans="1:1" x14ac:dyDescent="0.25">
      <c r="A5949" s="21">
        <v>133811205.27</v>
      </c>
    </row>
    <row r="5950" spans="1:1" x14ac:dyDescent="0.25">
      <c r="A5950" s="21">
        <v>130866605.58</v>
      </c>
    </row>
    <row r="5951" spans="1:1" x14ac:dyDescent="0.25">
      <c r="A5951" s="21">
        <v>8463744.1799999997</v>
      </c>
    </row>
    <row r="5952" spans="1:1" x14ac:dyDescent="0.25">
      <c r="A5952" s="21">
        <v>25224427.780000001</v>
      </c>
    </row>
    <row r="5953" spans="1:1" x14ac:dyDescent="0.25">
      <c r="A5953" s="21">
        <v>110103005.09999999</v>
      </c>
    </row>
    <row r="5954" spans="1:1" x14ac:dyDescent="0.25">
      <c r="A5954" s="21">
        <v>3979715.58</v>
      </c>
    </row>
    <row r="5955" spans="1:1" x14ac:dyDescent="0.25">
      <c r="A5955" s="21">
        <v>40188477.780000001</v>
      </c>
    </row>
    <row r="5956" spans="1:1" x14ac:dyDescent="0.25">
      <c r="A5956" s="21">
        <v>14574203.140000001</v>
      </c>
    </row>
    <row r="5957" spans="1:1" x14ac:dyDescent="0.25">
      <c r="A5957" s="21">
        <v>80399126.829999998</v>
      </c>
    </row>
    <row r="5958" spans="1:1" x14ac:dyDescent="0.25">
      <c r="A5958" s="21">
        <v>65538503.479999997</v>
      </c>
    </row>
    <row r="5959" spans="1:1" x14ac:dyDescent="0.25">
      <c r="A5959" s="21">
        <v>26809667.620000001</v>
      </c>
    </row>
    <row r="5960" spans="1:1" x14ac:dyDescent="0.25">
      <c r="A5960" s="21">
        <v>23317028.52</v>
      </c>
    </row>
    <row r="5961" spans="1:1" x14ac:dyDescent="0.25">
      <c r="A5961" s="21">
        <v>34893870.520000003</v>
      </c>
    </row>
    <row r="5962" spans="1:1" x14ac:dyDescent="0.25">
      <c r="A5962" s="21">
        <v>15224538.640000001</v>
      </c>
    </row>
    <row r="5963" spans="1:1" x14ac:dyDescent="0.25">
      <c r="A5963" s="21">
        <v>6809110.5</v>
      </c>
    </row>
    <row r="5964" spans="1:1" x14ac:dyDescent="0.25">
      <c r="A5964" s="21">
        <v>111164188.23</v>
      </c>
    </row>
    <row r="5965" spans="1:1" x14ac:dyDescent="0.25">
      <c r="A5965" s="21">
        <v>196970866.58000001</v>
      </c>
    </row>
    <row r="5966" spans="1:1" x14ac:dyDescent="0.25">
      <c r="A5966" s="21">
        <v>37149607.219999999</v>
      </c>
    </row>
    <row r="5967" spans="1:1" x14ac:dyDescent="0.25">
      <c r="A5967" s="21">
        <v>25290504.879999999</v>
      </c>
    </row>
    <row r="5968" spans="1:1" x14ac:dyDescent="0.25">
      <c r="A5968" s="21">
        <v>2878161.21</v>
      </c>
    </row>
    <row r="5969" spans="1:1" x14ac:dyDescent="0.25">
      <c r="A5969" s="21">
        <v>61792878.990000002</v>
      </c>
    </row>
    <row r="5970" spans="1:1" x14ac:dyDescent="0.25">
      <c r="A5970" s="21">
        <v>25509515.620000001</v>
      </c>
    </row>
    <row r="5971" spans="1:1" x14ac:dyDescent="0.25">
      <c r="A5971" s="21">
        <v>60061286.659999996</v>
      </c>
    </row>
    <row r="5972" spans="1:1" x14ac:dyDescent="0.25">
      <c r="A5972" s="21">
        <v>7370779.8799999999</v>
      </c>
    </row>
    <row r="5973" spans="1:1" x14ac:dyDescent="0.25">
      <c r="A5973" s="21">
        <v>33431469.359999999</v>
      </c>
    </row>
    <row r="5974" spans="1:1" x14ac:dyDescent="0.25">
      <c r="A5974" s="21">
        <v>6988499.3200000003</v>
      </c>
    </row>
    <row r="5975" spans="1:1" x14ac:dyDescent="0.25">
      <c r="A5975" s="21">
        <v>72980618.129999995</v>
      </c>
    </row>
    <row r="5976" spans="1:1" x14ac:dyDescent="0.25">
      <c r="A5976" s="21">
        <v>32567083.440000001</v>
      </c>
    </row>
    <row r="5977" spans="1:1" x14ac:dyDescent="0.25">
      <c r="A5977" s="21">
        <v>31502189.059999999</v>
      </c>
    </row>
    <row r="5978" spans="1:1" x14ac:dyDescent="0.25">
      <c r="A5978" s="21">
        <v>251561845.69999999</v>
      </c>
    </row>
    <row r="5979" spans="1:1" x14ac:dyDescent="0.25">
      <c r="A5979" s="21">
        <v>76020395.5</v>
      </c>
    </row>
    <row r="5980" spans="1:1" x14ac:dyDescent="0.25">
      <c r="A5980" s="21">
        <v>39591944.939999998</v>
      </c>
    </row>
    <row r="5981" spans="1:1" x14ac:dyDescent="0.25">
      <c r="A5981" s="21">
        <v>18185571.75</v>
      </c>
    </row>
    <row r="5982" spans="1:1" x14ac:dyDescent="0.25">
      <c r="A5982" s="21">
        <v>136227380.34</v>
      </c>
    </row>
    <row r="5983" spans="1:1" x14ac:dyDescent="0.25">
      <c r="A5983" s="21">
        <v>171172302.02000001</v>
      </c>
    </row>
    <row r="5984" spans="1:1" x14ac:dyDescent="0.25">
      <c r="A5984" s="21">
        <v>198244061.90000001</v>
      </c>
    </row>
    <row r="5985" spans="1:1" x14ac:dyDescent="0.25">
      <c r="A5985" s="21">
        <v>13516109.25</v>
      </c>
    </row>
    <row r="5986" spans="1:1" x14ac:dyDescent="0.25">
      <c r="A5986">
        <v>0</v>
      </c>
    </row>
    <row r="5987" spans="1:1" x14ac:dyDescent="0.25">
      <c r="A5987" s="21">
        <v>23399494.199999999</v>
      </c>
    </row>
    <row r="5988" spans="1:1" x14ac:dyDescent="0.25">
      <c r="A5988" s="21">
        <v>3467254.02</v>
      </c>
    </row>
    <row r="5989" spans="1:1" x14ac:dyDescent="0.25">
      <c r="A5989" s="21">
        <v>14779197.279999999</v>
      </c>
    </row>
    <row r="5990" spans="1:1" x14ac:dyDescent="0.25">
      <c r="A5990" s="21">
        <v>16265769.369999999</v>
      </c>
    </row>
    <row r="5991" spans="1:1" x14ac:dyDescent="0.25">
      <c r="A5991" s="21">
        <v>9037355.9900000002</v>
      </c>
    </row>
    <row r="5992" spans="1:1" x14ac:dyDescent="0.25">
      <c r="A5992" s="21">
        <v>5621670.75</v>
      </c>
    </row>
    <row r="5993" spans="1:1" x14ac:dyDescent="0.25">
      <c r="A5993" s="21">
        <v>52299557.850000001</v>
      </c>
    </row>
    <row r="5994" spans="1:1" x14ac:dyDescent="0.25">
      <c r="A5994" s="21">
        <v>5976583.5</v>
      </c>
    </row>
    <row r="5995" spans="1:1" x14ac:dyDescent="0.25">
      <c r="A5995" s="21">
        <v>25805278.460000001</v>
      </c>
    </row>
    <row r="5996" spans="1:1" x14ac:dyDescent="0.25">
      <c r="A5996" s="21">
        <v>205550608.63999999</v>
      </c>
    </row>
    <row r="5997" spans="1:1" x14ac:dyDescent="0.25">
      <c r="A5997" s="21">
        <v>33703506.609999999</v>
      </c>
    </row>
    <row r="5998" spans="1:1" x14ac:dyDescent="0.25">
      <c r="A5998">
        <v>0</v>
      </c>
    </row>
    <row r="5999" spans="1:1" x14ac:dyDescent="0.25">
      <c r="A5999" s="21">
        <v>10813228.15</v>
      </c>
    </row>
    <row r="6000" spans="1:1" x14ac:dyDescent="0.25">
      <c r="A6000" s="21">
        <v>5591055.75</v>
      </c>
    </row>
    <row r="6001" spans="1:1" x14ac:dyDescent="0.25">
      <c r="A6001" s="21">
        <v>4026771.02</v>
      </c>
    </row>
    <row r="6002" spans="1:1" x14ac:dyDescent="0.25">
      <c r="A6002" s="21">
        <v>42853645.530000001</v>
      </c>
    </row>
    <row r="6003" spans="1:1" x14ac:dyDescent="0.25">
      <c r="A6003" s="21">
        <v>182931102.15000001</v>
      </c>
    </row>
    <row r="6004" spans="1:1" x14ac:dyDescent="0.25">
      <c r="A6004" s="21">
        <v>271216998.60000002</v>
      </c>
    </row>
    <row r="6005" spans="1:1" x14ac:dyDescent="0.25">
      <c r="A6005" s="21">
        <v>93827965.239999995</v>
      </c>
    </row>
    <row r="6006" spans="1:1" x14ac:dyDescent="0.25">
      <c r="A6006" s="21">
        <v>127078368.53</v>
      </c>
    </row>
    <row r="6007" spans="1:1" x14ac:dyDescent="0.25">
      <c r="A6007" s="21">
        <v>86812033.409999996</v>
      </c>
    </row>
    <row r="6008" spans="1:1" x14ac:dyDescent="0.25">
      <c r="A6008" s="21">
        <v>147318937.86000001</v>
      </c>
    </row>
    <row r="6009" spans="1:1" x14ac:dyDescent="0.25">
      <c r="A6009" s="21">
        <v>194493310.74000001</v>
      </c>
    </row>
    <row r="6010" spans="1:1" x14ac:dyDescent="0.25">
      <c r="A6010" s="21">
        <v>57957441.329999998</v>
      </c>
    </row>
    <row r="6011" spans="1:1" x14ac:dyDescent="0.25">
      <c r="A6011" s="21">
        <v>8167888.4399999902</v>
      </c>
    </row>
    <row r="6012" spans="1:1" x14ac:dyDescent="0.25">
      <c r="A6012" s="21">
        <v>32483559.829999998</v>
      </c>
    </row>
    <row r="6013" spans="1:1" x14ac:dyDescent="0.25">
      <c r="A6013" s="21">
        <v>18164218.16</v>
      </c>
    </row>
    <row r="6014" spans="1:1" x14ac:dyDescent="0.25">
      <c r="A6014" s="21">
        <v>13762193.289999999</v>
      </c>
    </row>
    <row r="6015" spans="1:1" x14ac:dyDescent="0.25">
      <c r="A6015" s="21">
        <v>378791783.79000002</v>
      </c>
    </row>
    <row r="6016" spans="1:1" x14ac:dyDescent="0.25">
      <c r="A6016" s="21">
        <v>35052723.619999997</v>
      </c>
    </row>
    <row r="6017" spans="1:1" x14ac:dyDescent="0.25">
      <c r="A6017" s="21">
        <v>27448140.77</v>
      </c>
    </row>
    <row r="6018" spans="1:1" x14ac:dyDescent="0.25">
      <c r="A6018" s="21">
        <v>75931835.329999998</v>
      </c>
    </row>
    <row r="6019" spans="1:1" x14ac:dyDescent="0.25">
      <c r="A6019">
        <v>0</v>
      </c>
    </row>
    <row r="6020" spans="1:1" x14ac:dyDescent="0.25">
      <c r="A6020" s="21">
        <v>2692360.16</v>
      </c>
    </row>
    <row r="6021" spans="1:1" x14ac:dyDescent="0.25">
      <c r="A6021" s="21">
        <v>233162204.75</v>
      </c>
    </row>
    <row r="6022" spans="1:1" x14ac:dyDescent="0.25">
      <c r="A6022">
        <v>5321355</v>
      </c>
    </row>
    <row r="6023" spans="1:1" x14ac:dyDescent="0.25">
      <c r="A6023">
        <v>0</v>
      </c>
    </row>
    <row r="6024" spans="1:1" x14ac:dyDescent="0.25">
      <c r="A6024" s="21">
        <v>124570895.45</v>
      </c>
    </row>
    <row r="6025" spans="1:1" x14ac:dyDescent="0.25">
      <c r="A6025" s="21">
        <v>87636487.709999904</v>
      </c>
    </row>
    <row r="6026" spans="1:1" x14ac:dyDescent="0.25">
      <c r="A6026" s="21">
        <v>275925742.99000001</v>
      </c>
    </row>
    <row r="6027" spans="1:1" x14ac:dyDescent="0.25">
      <c r="A6027" s="21">
        <v>31010083.66</v>
      </c>
    </row>
    <row r="6028" spans="1:1" x14ac:dyDescent="0.25">
      <c r="A6028" s="21">
        <v>62789964.450000003</v>
      </c>
    </row>
    <row r="6029" spans="1:1" x14ac:dyDescent="0.25">
      <c r="A6029" s="21">
        <v>16944417.949999999</v>
      </c>
    </row>
    <row r="6030" spans="1:1" x14ac:dyDescent="0.25">
      <c r="A6030" s="21">
        <v>34562753.329999998</v>
      </c>
    </row>
    <row r="6031" spans="1:1" x14ac:dyDescent="0.25">
      <c r="A6031" s="21">
        <v>186486538.03999999</v>
      </c>
    </row>
    <row r="6032" spans="1:1" x14ac:dyDescent="0.25">
      <c r="A6032" s="21">
        <v>24347612.48</v>
      </c>
    </row>
    <row r="6033" spans="1:1" x14ac:dyDescent="0.25">
      <c r="A6033" s="21">
        <v>65130309.68</v>
      </c>
    </row>
    <row r="6034" spans="1:1" x14ac:dyDescent="0.25">
      <c r="A6034" s="21">
        <v>131057277.27</v>
      </c>
    </row>
    <row r="6035" spans="1:1" x14ac:dyDescent="0.25">
      <c r="A6035" s="21">
        <v>6245127.75</v>
      </c>
    </row>
    <row r="6036" spans="1:1" x14ac:dyDescent="0.25">
      <c r="A6036" s="21">
        <v>59566954.069999903</v>
      </c>
    </row>
    <row r="6037" spans="1:1" x14ac:dyDescent="0.25">
      <c r="A6037" s="21">
        <v>33585427.740000002</v>
      </c>
    </row>
    <row r="6038" spans="1:1" x14ac:dyDescent="0.25">
      <c r="A6038" s="21">
        <v>193253878.16</v>
      </c>
    </row>
    <row r="6039" spans="1:1" x14ac:dyDescent="0.25">
      <c r="A6039">
        <v>0</v>
      </c>
    </row>
    <row r="6040" spans="1:1" x14ac:dyDescent="0.25">
      <c r="A6040" s="21">
        <v>13751715.539999999</v>
      </c>
    </row>
    <row r="6041" spans="1:1" x14ac:dyDescent="0.25">
      <c r="A6041" s="21">
        <v>16100449.550000001</v>
      </c>
    </row>
    <row r="6042" spans="1:1" x14ac:dyDescent="0.25">
      <c r="A6042" s="21">
        <v>86081664.170000002</v>
      </c>
    </row>
    <row r="6043" spans="1:1" x14ac:dyDescent="0.25">
      <c r="A6043" s="21">
        <v>116391915.59999999</v>
      </c>
    </row>
    <row r="6044" spans="1:1" x14ac:dyDescent="0.25">
      <c r="A6044" s="21">
        <v>137283407.13999999</v>
      </c>
    </row>
    <row r="6045" spans="1:1" x14ac:dyDescent="0.25">
      <c r="A6045" s="21">
        <v>230891754.25999999</v>
      </c>
    </row>
    <row r="6046" spans="1:1" x14ac:dyDescent="0.25">
      <c r="A6046" s="21">
        <v>16833746.02</v>
      </c>
    </row>
    <row r="6047" spans="1:1" x14ac:dyDescent="0.25">
      <c r="A6047" s="21">
        <v>45657792.789999999</v>
      </c>
    </row>
    <row r="6048" spans="1:1" x14ac:dyDescent="0.25">
      <c r="A6048" s="21">
        <v>70073998.810000002</v>
      </c>
    </row>
    <row r="6049" spans="1:1" x14ac:dyDescent="0.25">
      <c r="A6049" s="21">
        <v>23654529.530000001</v>
      </c>
    </row>
    <row r="6050" spans="1:1" x14ac:dyDescent="0.25">
      <c r="A6050" s="21">
        <v>98890636.700000003</v>
      </c>
    </row>
    <row r="6051" spans="1:1" x14ac:dyDescent="0.25">
      <c r="A6051" s="21">
        <v>9950222.4399999995</v>
      </c>
    </row>
    <row r="6052" spans="1:1" x14ac:dyDescent="0.25">
      <c r="A6052" s="21">
        <v>390252302.41000003</v>
      </c>
    </row>
    <row r="6053" spans="1:1" x14ac:dyDescent="0.25">
      <c r="A6053" s="21">
        <v>53515702.670000002</v>
      </c>
    </row>
    <row r="6054" spans="1:1" x14ac:dyDescent="0.25">
      <c r="A6054" s="21">
        <v>116803981.65000001</v>
      </c>
    </row>
    <row r="6055" spans="1:1" x14ac:dyDescent="0.25">
      <c r="A6055" s="21">
        <v>87895498.640000001</v>
      </c>
    </row>
    <row r="6056" spans="1:1" x14ac:dyDescent="0.25">
      <c r="A6056">
        <v>0</v>
      </c>
    </row>
    <row r="6057" spans="1:1" x14ac:dyDescent="0.25">
      <c r="A6057" s="21">
        <v>44595918.329999998</v>
      </c>
    </row>
    <row r="6058" spans="1:1" x14ac:dyDescent="0.25">
      <c r="A6058" s="21">
        <v>110075262.54000001</v>
      </c>
    </row>
    <row r="6059" spans="1:1" x14ac:dyDescent="0.25">
      <c r="A6059" s="21">
        <v>227584910.84</v>
      </c>
    </row>
    <row r="6060" spans="1:1" x14ac:dyDescent="0.25">
      <c r="A6060" s="21">
        <v>192542760.40000001</v>
      </c>
    </row>
    <row r="6061" spans="1:1" x14ac:dyDescent="0.25">
      <c r="A6061" s="21">
        <v>63675342.399999999</v>
      </c>
    </row>
    <row r="6062" spans="1:1" x14ac:dyDescent="0.25">
      <c r="A6062" s="21">
        <v>128493811.34</v>
      </c>
    </row>
    <row r="6063" spans="1:1" x14ac:dyDescent="0.25">
      <c r="A6063" s="21">
        <v>47302634.770000003</v>
      </c>
    </row>
    <row r="6064" spans="1:1" x14ac:dyDescent="0.25">
      <c r="A6064" s="21">
        <v>30968803.390000001</v>
      </c>
    </row>
    <row r="6065" spans="1:1" x14ac:dyDescent="0.25">
      <c r="A6065" s="21">
        <v>59763842.200000003</v>
      </c>
    </row>
    <row r="6066" spans="1:1" x14ac:dyDescent="0.25">
      <c r="A6066" s="21">
        <v>79758473.120000005</v>
      </c>
    </row>
    <row r="6067" spans="1:1" x14ac:dyDescent="0.25">
      <c r="A6067" s="21">
        <v>111753283.65000001</v>
      </c>
    </row>
    <row r="6068" spans="1:1" x14ac:dyDescent="0.25">
      <c r="A6068" s="21">
        <v>28604093.649999999</v>
      </c>
    </row>
    <row r="6069" spans="1:1" x14ac:dyDescent="0.25">
      <c r="A6069" s="21">
        <v>14041483.619999999</v>
      </c>
    </row>
    <row r="6070" spans="1:1" x14ac:dyDescent="0.25">
      <c r="A6070">
        <v>6432435</v>
      </c>
    </row>
    <row r="6071" spans="1:1" x14ac:dyDescent="0.25">
      <c r="A6071" s="21">
        <v>326731996.45999998</v>
      </c>
    </row>
    <row r="6072" spans="1:1" x14ac:dyDescent="0.25">
      <c r="A6072" s="21">
        <v>36673573.200000003</v>
      </c>
    </row>
    <row r="6073" spans="1:1" x14ac:dyDescent="0.25">
      <c r="A6073" s="21">
        <v>3540608.3</v>
      </c>
    </row>
    <row r="6074" spans="1:1" x14ac:dyDescent="0.25">
      <c r="A6074" s="21">
        <v>178931339.41999999</v>
      </c>
    </row>
    <row r="6075" spans="1:1" x14ac:dyDescent="0.25">
      <c r="A6075" s="21">
        <v>21590885.289999999</v>
      </c>
    </row>
    <row r="6076" spans="1:1" x14ac:dyDescent="0.25">
      <c r="A6076" s="21">
        <v>16682849.25</v>
      </c>
    </row>
    <row r="6077" spans="1:1" x14ac:dyDescent="0.25">
      <c r="A6077" s="21">
        <v>64313683.640000001</v>
      </c>
    </row>
    <row r="6078" spans="1:1" x14ac:dyDescent="0.25">
      <c r="A6078" s="21">
        <v>15652651.550000001</v>
      </c>
    </row>
    <row r="6079" spans="1:1" x14ac:dyDescent="0.25">
      <c r="A6079" s="21">
        <v>129586443.81</v>
      </c>
    </row>
    <row r="6080" spans="1:1" x14ac:dyDescent="0.25">
      <c r="A6080" s="21">
        <v>188226546.56</v>
      </c>
    </row>
    <row r="6081" spans="1:1" x14ac:dyDescent="0.25">
      <c r="A6081" s="21">
        <v>25977376.859999999</v>
      </c>
    </row>
    <row r="6082" spans="1:1" x14ac:dyDescent="0.25">
      <c r="A6082" s="21">
        <v>55324034.560000002</v>
      </c>
    </row>
    <row r="6083" spans="1:1" x14ac:dyDescent="0.25">
      <c r="A6083" s="21">
        <v>38875197.68</v>
      </c>
    </row>
    <row r="6084" spans="1:1" x14ac:dyDescent="0.25">
      <c r="A6084" s="21">
        <v>99362618.780000001</v>
      </c>
    </row>
    <row r="6085" spans="1:1" x14ac:dyDescent="0.25">
      <c r="A6085" s="21">
        <v>90562171.480000004</v>
      </c>
    </row>
    <row r="6086" spans="1:1" x14ac:dyDescent="0.25">
      <c r="A6086" s="21">
        <v>78802305.079999998</v>
      </c>
    </row>
    <row r="6087" spans="1:1" x14ac:dyDescent="0.25">
      <c r="A6087" s="21">
        <v>34775672.07</v>
      </c>
    </row>
    <row r="6088" spans="1:1" x14ac:dyDescent="0.25">
      <c r="A6088">
        <v>0</v>
      </c>
    </row>
    <row r="6089" spans="1:1" x14ac:dyDescent="0.25">
      <c r="A6089">
        <v>0</v>
      </c>
    </row>
    <row r="6090" spans="1:1" x14ac:dyDescent="0.25">
      <c r="A6090" s="21">
        <v>27266030.98</v>
      </c>
    </row>
    <row r="6091" spans="1:1" x14ac:dyDescent="0.25">
      <c r="A6091" s="21">
        <v>226101182.62</v>
      </c>
    </row>
    <row r="6092" spans="1:1" x14ac:dyDescent="0.25">
      <c r="A6092" s="21">
        <v>62484942.799999997</v>
      </c>
    </row>
    <row r="6093" spans="1:1" x14ac:dyDescent="0.25">
      <c r="A6093" s="21">
        <v>11218946.99</v>
      </c>
    </row>
    <row r="6094" spans="1:1" x14ac:dyDescent="0.25">
      <c r="A6094" s="21">
        <v>22243724</v>
      </c>
    </row>
    <row r="6095" spans="1:1" x14ac:dyDescent="0.25">
      <c r="A6095" s="21">
        <v>124659361.59999999</v>
      </c>
    </row>
    <row r="6096" spans="1:1" x14ac:dyDescent="0.25">
      <c r="A6096" s="21">
        <v>9768124.3000000007</v>
      </c>
    </row>
    <row r="6097" spans="1:1" x14ac:dyDescent="0.25">
      <c r="A6097" s="21">
        <v>239472307.13999999</v>
      </c>
    </row>
    <row r="6098" spans="1:1" x14ac:dyDescent="0.25">
      <c r="A6098" s="21">
        <v>68347280.25</v>
      </c>
    </row>
    <row r="6099" spans="1:1" x14ac:dyDescent="0.25">
      <c r="A6099" s="21">
        <v>68436492.409999996</v>
      </c>
    </row>
    <row r="6100" spans="1:1" x14ac:dyDescent="0.25">
      <c r="A6100" s="21">
        <v>70202817.200000003</v>
      </c>
    </row>
    <row r="6101" spans="1:1" x14ac:dyDescent="0.25">
      <c r="A6101" s="21">
        <v>17813980.039999999</v>
      </c>
    </row>
    <row r="6102" spans="1:1" x14ac:dyDescent="0.25">
      <c r="A6102">
        <v>0</v>
      </c>
    </row>
    <row r="6103" spans="1:1" x14ac:dyDescent="0.25">
      <c r="A6103">
        <v>0</v>
      </c>
    </row>
    <row r="6104" spans="1:1" x14ac:dyDescent="0.25">
      <c r="A6104" s="21">
        <v>180474099.80000001</v>
      </c>
    </row>
    <row r="6105" spans="1:1" x14ac:dyDescent="0.25">
      <c r="A6105" s="21">
        <v>555971483.68999898</v>
      </c>
    </row>
    <row r="6106" spans="1:1" x14ac:dyDescent="0.25">
      <c r="A6106">
        <v>0</v>
      </c>
    </row>
    <row r="6107" spans="1:1" x14ac:dyDescent="0.25">
      <c r="A6107" s="21">
        <v>126547648.03</v>
      </c>
    </row>
    <row r="6108" spans="1:1" x14ac:dyDescent="0.25">
      <c r="A6108" s="21">
        <v>28261215.52</v>
      </c>
    </row>
    <row r="6109" spans="1:1" x14ac:dyDescent="0.25">
      <c r="A6109" s="21">
        <v>71755773.859999999</v>
      </c>
    </row>
    <row r="6110" spans="1:1" x14ac:dyDescent="0.25">
      <c r="A6110" s="21">
        <v>33280636.66</v>
      </c>
    </row>
    <row r="6111" spans="1:1" x14ac:dyDescent="0.25">
      <c r="A6111" s="21">
        <v>34538455.689999998</v>
      </c>
    </row>
    <row r="6112" spans="1:1" x14ac:dyDescent="0.25">
      <c r="A6112" s="21">
        <v>59693032.740000002</v>
      </c>
    </row>
    <row r="6113" spans="1:1" x14ac:dyDescent="0.25">
      <c r="A6113" s="21">
        <v>3645378.88</v>
      </c>
    </row>
    <row r="6114" spans="1:1" x14ac:dyDescent="0.25">
      <c r="A6114">
        <v>6338193</v>
      </c>
    </row>
    <row r="6115" spans="1:1" x14ac:dyDescent="0.25">
      <c r="A6115" s="21">
        <v>4128480.37</v>
      </c>
    </row>
    <row r="6116" spans="1:1" x14ac:dyDescent="0.25">
      <c r="A6116" s="21">
        <v>104499141.05</v>
      </c>
    </row>
    <row r="6117" spans="1:1" x14ac:dyDescent="0.25">
      <c r="A6117" s="21">
        <v>2989253.24</v>
      </c>
    </row>
    <row r="6118" spans="1:1" x14ac:dyDescent="0.25">
      <c r="A6118" s="21">
        <v>71081810.069999993</v>
      </c>
    </row>
    <row r="6119" spans="1:1" x14ac:dyDescent="0.25">
      <c r="A6119" s="21">
        <v>44942110.009999998</v>
      </c>
    </row>
    <row r="6120" spans="1:1" x14ac:dyDescent="0.25">
      <c r="A6120" s="21">
        <v>7576054.4800000004</v>
      </c>
    </row>
    <row r="6121" spans="1:1" x14ac:dyDescent="0.25">
      <c r="A6121">
        <v>0</v>
      </c>
    </row>
    <row r="6122" spans="1:1" x14ac:dyDescent="0.25">
      <c r="A6122" s="21">
        <v>3645378.88</v>
      </c>
    </row>
    <row r="6123" spans="1:1" x14ac:dyDescent="0.25">
      <c r="A6123" s="21">
        <v>13284697.33</v>
      </c>
    </row>
    <row r="6124" spans="1:1" x14ac:dyDescent="0.25">
      <c r="A6124" s="21">
        <v>193550777.61000001</v>
      </c>
    </row>
    <row r="6125" spans="1:1" x14ac:dyDescent="0.25">
      <c r="A6125" s="21">
        <v>145706189.61000001</v>
      </c>
    </row>
    <row r="6126" spans="1:1" x14ac:dyDescent="0.25">
      <c r="A6126" s="21">
        <v>64931725.960000001</v>
      </c>
    </row>
    <row r="6127" spans="1:1" x14ac:dyDescent="0.25">
      <c r="A6127" s="21">
        <v>207589675.94</v>
      </c>
    </row>
    <row r="6128" spans="1:1" x14ac:dyDescent="0.25">
      <c r="A6128" s="21">
        <v>21515538.370000001</v>
      </c>
    </row>
    <row r="6129" spans="1:1" x14ac:dyDescent="0.25">
      <c r="A6129" s="21">
        <v>73299991.049999997</v>
      </c>
    </row>
    <row r="6130" spans="1:1" x14ac:dyDescent="0.25">
      <c r="A6130" s="21">
        <v>4028686.55</v>
      </c>
    </row>
    <row r="6131" spans="1:1" x14ac:dyDescent="0.25">
      <c r="A6131" s="21">
        <v>76508197.569999993</v>
      </c>
    </row>
    <row r="6132" spans="1:1" x14ac:dyDescent="0.25">
      <c r="A6132" s="21">
        <v>39468362.25</v>
      </c>
    </row>
    <row r="6133" spans="1:1" x14ac:dyDescent="0.25">
      <c r="A6133" s="21">
        <v>17911345.170000002</v>
      </c>
    </row>
    <row r="6134" spans="1:1" x14ac:dyDescent="0.25">
      <c r="A6134" s="21">
        <v>43450617.549999997</v>
      </c>
    </row>
    <row r="6135" spans="1:1" x14ac:dyDescent="0.25">
      <c r="A6135" s="21">
        <v>46495228.909999996</v>
      </c>
    </row>
    <row r="6136" spans="1:1" x14ac:dyDescent="0.25">
      <c r="A6136" s="21">
        <v>12820192.5</v>
      </c>
    </row>
    <row r="6137" spans="1:1" x14ac:dyDescent="0.25">
      <c r="A6137" s="21">
        <v>9572897.6899999995</v>
      </c>
    </row>
    <row r="6138" spans="1:1" x14ac:dyDescent="0.25">
      <c r="A6138" s="21">
        <v>251222098.58000001</v>
      </c>
    </row>
    <row r="6139" spans="1:1" x14ac:dyDescent="0.25">
      <c r="A6139" s="21">
        <v>211544216.75</v>
      </c>
    </row>
    <row r="6140" spans="1:1" x14ac:dyDescent="0.25">
      <c r="A6140" s="21">
        <v>29284544.07</v>
      </c>
    </row>
    <row r="6141" spans="1:1" x14ac:dyDescent="0.25">
      <c r="A6141" s="21">
        <v>9006025.4900000002</v>
      </c>
    </row>
    <row r="6142" spans="1:1" x14ac:dyDescent="0.25">
      <c r="A6142" s="21">
        <v>13030616.25</v>
      </c>
    </row>
    <row r="6143" spans="1:1" x14ac:dyDescent="0.25">
      <c r="A6143" s="21">
        <v>106611104.23999999</v>
      </c>
    </row>
    <row r="6144" spans="1:1" x14ac:dyDescent="0.25">
      <c r="A6144" s="21">
        <v>112982403.78</v>
      </c>
    </row>
    <row r="6145" spans="1:1" x14ac:dyDescent="0.25">
      <c r="A6145" s="21">
        <v>51212495.710000001</v>
      </c>
    </row>
    <row r="6146" spans="1:1" x14ac:dyDescent="0.25">
      <c r="A6146">
        <v>0</v>
      </c>
    </row>
    <row r="6147" spans="1:1" x14ac:dyDescent="0.25">
      <c r="A6147" s="21">
        <v>32995804.629999999</v>
      </c>
    </row>
    <row r="6148" spans="1:1" x14ac:dyDescent="0.25">
      <c r="A6148" s="21">
        <v>57927826.75</v>
      </c>
    </row>
    <row r="6149" spans="1:1" x14ac:dyDescent="0.25">
      <c r="A6149" s="21">
        <v>31728050.390000001</v>
      </c>
    </row>
    <row r="6150" spans="1:1" x14ac:dyDescent="0.25">
      <c r="A6150" s="21">
        <v>166815333.19999999</v>
      </c>
    </row>
    <row r="6151" spans="1:1" x14ac:dyDescent="0.25">
      <c r="A6151" s="21">
        <v>39208490.649999999</v>
      </c>
    </row>
    <row r="6152" spans="1:1" x14ac:dyDescent="0.25">
      <c r="A6152" s="21">
        <v>97886684.239999995</v>
      </c>
    </row>
    <row r="6153" spans="1:1" x14ac:dyDescent="0.25">
      <c r="A6153" s="21">
        <v>418639448.88</v>
      </c>
    </row>
    <row r="6154" spans="1:1" x14ac:dyDescent="0.25">
      <c r="A6154" s="21">
        <v>24822851.34</v>
      </c>
    </row>
    <row r="6155" spans="1:1" x14ac:dyDescent="0.25">
      <c r="A6155" s="21">
        <v>6087114.8200000003</v>
      </c>
    </row>
    <row r="6156" spans="1:1" x14ac:dyDescent="0.25">
      <c r="A6156" s="21">
        <v>187599882.11000001</v>
      </c>
    </row>
    <row r="6157" spans="1:1" x14ac:dyDescent="0.25">
      <c r="A6157" s="21">
        <v>44490070.979999997</v>
      </c>
    </row>
    <row r="6158" spans="1:1" x14ac:dyDescent="0.25">
      <c r="A6158" s="21">
        <v>41409834.979999997</v>
      </c>
    </row>
    <row r="6159" spans="1:1" x14ac:dyDescent="0.25">
      <c r="A6159" s="21">
        <v>68354714.790000007</v>
      </c>
    </row>
    <row r="6160" spans="1:1" x14ac:dyDescent="0.25">
      <c r="A6160" s="21">
        <v>42427440.280000001</v>
      </c>
    </row>
    <row r="6161" spans="1:1" x14ac:dyDescent="0.25">
      <c r="A6161" s="21">
        <v>26304457.09</v>
      </c>
    </row>
    <row r="6162" spans="1:1" x14ac:dyDescent="0.25">
      <c r="A6162" s="21">
        <v>100650819.69</v>
      </c>
    </row>
    <row r="6163" spans="1:1" x14ac:dyDescent="0.25">
      <c r="A6163" s="21">
        <v>43395069.549999997</v>
      </c>
    </row>
    <row r="6164" spans="1:1" x14ac:dyDescent="0.25">
      <c r="A6164" s="21">
        <v>489064469.739999</v>
      </c>
    </row>
    <row r="6165" spans="1:1" x14ac:dyDescent="0.25">
      <c r="A6165" s="21">
        <v>9516637.6500000004</v>
      </c>
    </row>
    <row r="6166" spans="1:1" x14ac:dyDescent="0.25">
      <c r="A6166" s="21">
        <v>18049506.539999999</v>
      </c>
    </row>
    <row r="6167" spans="1:1" x14ac:dyDescent="0.25">
      <c r="A6167" s="21">
        <v>77088973.530000001</v>
      </c>
    </row>
    <row r="6168" spans="1:1" x14ac:dyDescent="0.25">
      <c r="A6168" s="21">
        <v>157180513.52000001</v>
      </c>
    </row>
    <row r="6169" spans="1:1" x14ac:dyDescent="0.25">
      <c r="A6169">
        <v>23211172</v>
      </c>
    </row>
    <row r="6170" spans="1:1" x14ac:dyDescent="0.25">
      <c r="A6170" s="21">
        <v>146176552.83000001</v>
      </c>
    </row>
    <row r="6171" spans="1:1" x14ac:dyDescent="0.25">
      <c r="A6171" s="21">
        <v>191211358.34999999</v>
      </c>
    </row>
    <row r="6172" spans="1:1" x14ac:dyDescent="0.25">
      <c r="A6172" s="21">
        <v>27744181.710000001</v>
      </c>
    </row>
    <row r="6173" spans="1:1" x14ac:dyDescent="0.25">
      <c r="A6173" s="21">
        <v>27354445.890000001</v>
      </c>
    </row>
    <row r="6174" spans="1:1" x14ac:dyDescent="0.25">
      <c r="A6174" s="21">
        <v>439758595.74999899</v>
      </c>
    </row>
    <row r="6175" spans="1:1" x14ac:dyDescent="0.25">
      <c r="A6175" s="21">
        <v>121227284.69</v>
      </c>
    </row>
    <row r="6176" spans="1:1" x14ac:dyDescent="0.25">
      <c r="A6176" s="21">
        <v>130382958.76000001</v>
      </c>
    </row>
    <row r="6177" spans="1:1" x14ac:dyDescent="0.25">
      <c r="A6177">
        <v>19607148</v>
      </c>
    </row>
    <row r="6178" spans="1:1" x14ac:dyDescent="0.25">
      <c r="A6178" s="21">
        <v>22791852.77</v>
      </c>
    </row>
    <row r="6179" spans="1:1" x14ac:dyDescent="0.25">
      <c r="A6179" s="21">
        <v>163778078.13</v>
      </c>
    </row>
    <row r="6180" spans="1:1" x14ac:dyDescent="0.25">
      <c r="A6180" s="21">
        <v>306400255.72000003</v>
      </c>
    </row>
    <row r="6181" spans="1:1" x14ac:dyDescent="0.25">
      <c r="A6181" s="21">
        <v>136558381.58000001</v>
      </c>
    </row>
    <row r="6182" spans="1:1" x14ac:dyDescent="0.25">
      <c r="A6182" s="21">
        <v>11765559.119999999</v>
      </c>
    </row>
    <row r="6183" spans="1:1" x14ac:dyDescent="0.25">
      <c r="A6183" s="21">
        <v>14178076.73</v>
      </c>
    </row>
    <row r="6184" spans="1:1" x14ac:dyDescent="0.25">
      <c r="A6184" s="21">
        <v>94359927.810000002</v>
      </c>
    </row>
    <row r="6185" spans="1:1" x14ac:dyDescent="0.25">
      <c r="A6185" s="21">
        <v>385825029.99000001</v>
      </c>
    </row>
    <row r="6186" spans="1:1" x14ac:dyDescent="0.25">
      <c r="A6186" s="21">
        <v>64198952.450000003</v>
      </c>
    </row>
    <row r="6187" spans="1:1" x14ac:dyDescent="0.25">
      <c r="A6187" s="21">
        <v>29168772.02</v>
      </c>
    </row>
    <row r="6188" spans="1:1" x14ac:dyDescent="0.25">
      <c r="A6188">
        <v>0</v>
      </c>
    </row>
    <row r="6189" spans="1:1" x14ac:dyDescent="0.25">
      <c r="A6189" s="21">
        <v>96403787.659999996</v>
      </c>
    </row>
    <row r="6190" spans="1:1" x14ac:dyDescent="0.25">
      <c r="A6190" s="21">
        <v>10771444.050000001</v>
      </c>
    </row>
    <row r="6191" spans="1:1" x14ac:dyDescent="0.25">
      <c r="A6191" s="21">
        <v>684155355.78999996</v>
      </c>
    </row>
    <row r="6192" spans="1:1" x14ac:dyDescent="0.25">
      <c r="A6192" s="21">
        <v>391558997.14999998</v>
      </c>
    </row>
    <row r="6193" spans="1:1" x14ac:dyDescent="0.25">
      <c r="A6193" s="21">
        <v>59799126.349999897</v>
      </c>
    </row>
    <row r="6194" spans="1:1" x14ac:dyDescent="0.25">
      <c r="A6194" s="21">
        <v>40407635.170000002</v>
      </c>
    </row>
    <row r="6195" spans="1:1" x14ac:dyDescent="0.25">
      <c r="A6195" s="21">
        <v>70528734.829999998</v>
      </c>
    </row>
    <row r="6196" spans="1:1" x14ac:dyDescent="0.25">
      <c r="A6196" s="21">
        <v>58576989.18</v>
      </c>
    </row>
    <row r="6197" spans="1:1" x14ac:dyDescent="0.25">
      <c r="A6197" s="21">
        <v>186155226.13</v>
      </c>
    </row>
    <row r="6198" spans="1:1" x14ac:dyDescent="0.25">
      <c r="A6198" s="21">
        <v>67640262.810000002</v>
      </c>
    </row>
    <row r="6199" spans="1:1" x14ac:dyDescent="0.25">
      <c r="A6199" s="21">
        <v>148712424.03999999</v>
      </c>
    </row>
    <row r="6200" spans="1:1" x14ac:dyDescent="0.25">
      <c r="A6200" s="21">
        <v>63377968.270000003</v>
      </c>
    </row>
    <row r="6201" spans="1:1" x14ac:dyDescent="0.25">
      <c r="A6201" s="21">
        <v>18877646.620000001</v>
      </c>
    </row>
    <row r="6202" spans="1:1" x14ac:dyDescent="0.25">
      <c r="A6202" s="21">
        <v>11567532.98</v>
      </c>
    </row>
    <row r="6203" spans="1:1" x14ac:dyDescent="0.25">
      <c r="A6203" s="21">
        <v>339547294.16000003</v>
      </c>
    </row>
    <row r="6204" spans="1:1" x14ac:dyDescent="0.25">
      <c r="A6204" s="21">
        <v>474233906.25999999</v>
      </c>
    </row>
    <row r="6205" spans="1:1" x14ac:dyDescent="0.25">
      <c r="A6205" s="21">
        <v>232603752.59</v>
      </c>
    </row>
    <row r="6206" spans="1:1" x14ac:dyDescent="0.25">
      <c r="A6206" s="21">
        <v>14352219.949999999</v>
      </c>
    </row>
    <row r="6207" spans="1:1" x14ac:dyDescent="0.25">
      <c r="A6207" s="21">
        <v>62932870.539999999</v>
      </c>
    </row>
    <row r="6208" spans="1:1" x14ac:dyDescent="0.25">
      <c r="A6208">
        <v>0</v>
      </c>
    </row>
    <row r="6209" spans="1:1" x14ac:dyDescent="0.25">
      <c r="A6209" s="21">
        <v>48731952.549999997</v>
      </c>
    </row>
    <row r="6210" spans="1:1" x14ac:dyDescent="0.25">
      <c r="A6210" s="21">
        <v>13834381.539999999</v>
      </c>
    </row>
    <row r="6211" spans="1:1" x14ac:dyDescent="0.25">
      <c r="A6211" s="21">
        <v>16011037.960000001</v>
      </c>
    </row>
    <row r="6212" spans="1:1" x14ac:dyDescent="0.25">
      <c r="A6212" s="21">
        <v>72903915.239999995</v>
      </c>
    </row>
    <row r="6213" spans="1:1" x14ac:dyDescent="0.25">
      <c r="A6213" s="21">
        <v>95341839.349999994</v>
      </c>
    </row>
    <row r="6214" spans="1:1" x14ac:dyDescent="0.25">
      <c r="A6214" s="21">
        <v>206362438.16999999</v>
      </c>
    </row>
    <row r="6215" spans="1:1" x14ac:dyDescent="0.25">
      <c r="A6215" s="21">
        <v>275253751.35000002</v>
      </c>
    </row>
    <row r="6216" spans="1:1" x14ac:dyDescent="0.25">
      <c r="A6216" s="21">
        <v>205318697.94</v>
      </c>
    </row>
    <row r="6217" spans="1:1" x14ac:dyDescent="0.25">
      <c r="A6217" s="21">
        <v>67976686.890000001</v>
      </c>
    </row>
    <row r="6218" spans="1:1" x14ac:dyDescent="0.25">
      <c r="A6218" s="21">
        <v>4077347.98</v>
      </c>
    </row>
    <row r="6219" spans="1:1" x14ac:dyDescent="0.25">
      <c r="A6219" s="21">
        <v>171686225.34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 s="21">
        <v>3120616.79</v>
      </c>
    </row>
    <row r="6223" spans="1:1" x14ac:dyDescent="0.25">
      <c r="A6223" s="21">
        <v>33593494.289999999</v>
      </c>
    </row>
    <row r="6224" spans="1:1" x14ac:dyDescent="0.25">
      <c r="A6224" s="21">
        <v>138250653.02000001</v>
      </c>
    </row>
    <row r="6225" spans="1:1" x14ac:dyDescent="0.25">
      <c r="A6225" s="21">
        <v>219566180.63999999</v>
      </c>
    </row>
    <row r="6226" spans="1:1" x14ac:dyDescent="0.25">
      <c r="A6226">
        <v>31081884</v>
      </c>
    </row>
    <row r="6227" spans="1:1" x14ac:dyDescent="0.25">
      <c r="A6227">
        <v>6784077</v>
      </c>
    </row>
    <row r="6228" spans="1:1" x14ac:dyDescent="0.25">
      <c r="A6228" s="21">
        <v>26671493.640000001</v>
      </c>
    </row>
    <row r="6229" spans="1:1" x14ac:dyDescent="0.25">
      <c r="A6229" s="21">
        <v>53849528.619999997</v>
      </c>
    </row>
    <row r="6230" spans="1:1" x14ac:dyDescent="0.25">
      <c r="A6230" s="21">
        <v>61846100.289999999</v>
      </c>
    </row>
    <row r="6231" spans="1:1" x14ac:dyDescent="0.25">
      <c r="A6231" s="21">
        <v>97708313.849999994</v>
      </c>
    </row>
    <row r="6232" spans="1:1" x14ac:dyDescent="0.25">
      <c r="A6232" s="21">
        <v>171581123.03</v>
      </c>
    </row>
    <row r="6233" spans="1:1" x14ac:dyDescent="0.25">
      <c r="A6233">
        <v>0</v>
      </c>
    </row>
    <row r="6234" spans="1:1" x14ac:dyDescent="0.25">
      <c r="A6234" s="21">
        <v>38037332.549999997</v>
      </c>
    </row>
    <row r="6235" spans="1:1" x14ac:dyDescent="0.25">
      <c r="A6235" s="21">
        <v>31137696.59</v>
      </c>
    </row>
    <row r="6236" spans="1:1" x14ac:dyDescent="0.25">
      <c r="A6236" s="21">
        <v>22682026.030000001</v>
      </c>
    </row>
    <row r="6237" spans="1:1" x14ac:dyDescent="0.25">
      <c r="A6237" s="21">
        <v>88247811.200000003</v>
      </c>
    </row>
    <row r="6238" spans="1:1" x14ac:dyDescent="0.25">
      <c r="A6238" s="21">
        <v>31636106.850000001</v>
      </c>
    </row>
    <row r="6239" spans="1:1" x14ac:dyDescent="0.25">
      <c r="A6239" s="21">
        <v>99377799.829999894</v>
      </c>
    </row>
    <row r="6240" spans="1:1" x14ac:dyDescent="0.25">
      <c r="A6240" s="21">
        <v>167579733.56999999</v>
      </c>
    </row>
    <row r="6241" spans="1:1" x14ac:dyDescent="0.25">
      <c r="A6241" s="21">
        <v>107092445.89</v>
      </c>
    </row>
    <row r="6242" spans="1:1" x14ac:dyDescent="0.25">
      <c r="A6242" s="21">
        <v>29076229.329999998</v>
      </c>
    </row>
    <row r="6243" spans="1:1" x14ac:dyDescent="0.25">
      <c r="A6243" s="21">
        <v>100880134.69</v>
      </c>
    </row>
    <row r="6244" spans="1:1" x14ac:dyDescent="0.25">
      <c r="A6244" s="21">
        <v>159654815.80000001</v>
      </c>
    </row>
    <row r="6245" spans="1:1" x14ac:dyDescent="0.25">
      <c r="A6245" s="21">
        <v>3055908.19</v>
      </c>
    </row>
    <row r="6246" spans="1:1" x14ac:dyDescent="0.25">
      <c r="A6246" s="21">
        <v>32238431.489999998</v>
      </c>
    </row>
    <row r="6247" spans="1:1" x14ac:dyDescent="0.25">
      <c r="A6247" s="21">
        <v>119605739.68000001</v>
      </c>
    </row>
    <row r="6248" spans="1:1" x14ac:dyDescent="0.25">
      <c r="A6248" s="21">
        <v>175935663.69999999</v>
      </c>
    </row>
    <row r="6249" spans="1:1" x14ac:dyDescent="0.25">
      <c r="A6249" s="21">
        <v>194403996.25999999</v>
      </c>
    </row>
    <row r="6250" spans="1:1" x14ac:dyDescent="0.25">
      <c r="A6250" s="21">
        <v>58287735.559999898</v>
      </c>
    </row>
    <row r="6251" spans="1:1" x14ac:dyDescent="0.25">
      <c r="A6251" s="21">
        <v>256746246.59</v>
      </c>
    </row>
    <row r="6252" spans="1:1" x14ac:dyDescent="0.25">
      <c r="A6252" s="21">
        <v>52613037.869999997</v>
      </c>
    </row>
    <row r="6253" spans="1:1" x14ac:dyDescent="0.25">
      <c r="A6253" s="21">
        <v>19368736.289999999</v>
      </c>
    </row>
    <row r="6254" spans="1:1" x14ac:dyDescent="0.25">
      <c r="A6254" s="21">
        <v>65239600.950000003</v>
      </c>
    </row>
    <row r="6255" spans="1:1" x14ac:dyDescent="0.25">
      <c r="A6255">
        <v>0</v>
      </c>
    </row>
    <row r="6256" spans="1:1" x14ac:dyDescent="0.25">
      <c r="A6256" s="21">
        <v>44450055.43</v>
      </c>
    </row>
    <row r="6257" spans="1:1" x14ac:dyDescent="0.25">
      <c r="A6257" s="21">
        <v>15292506.789999999</v>
      </c>
    </row>
    <row r="6258" spans="1:1" x14ac:dyDescent="0.25">
      <c r="A6258" s="21">
        <v>36223350.369999997</v>
      </c>
    </row>
    <row r="6259" spans="1:1" x14ac:dyDescent="0.25">
      <c r="A6259" s="21">
        <v>360256254.48000002</v>
      </c>
    </row>
    <row r="6260" spans="1:1" x14ac:dyDescent="0.25">
      <c r="A6260" s="21">
        <v>19806362.449999999</v>
      </c>
    </row>
    <row r="6261" spans="1:1" x14ac:dyDescent="0.25">
      <c r="A6261" s="21">
        <v>247990398.62</v>
      </c>
    </row>
    <row r="6262" spans="1:1" x14ac:dyDescent="0.25">
      <c r="A6262">
        <v>0</v>
      </c>
    </row>
    <row r="6263" spans="1:1" x14ac:dyDescent="0.25">
      <c r="A6263" s="21">
        <v>496959326.60000002</v>
      </c>
    </row>
    <row r="6264" spans="1:1" x14ac:dyDescent="0.25">
      <c r="A6264" s="21">
        <v>17452611.379999999</v>
      </c>
    </row>
    <row r="6265" spans="1:1" x14ac:dyDescent="0.25">
      <c r="A6265" s="21">
        <v>88053763.950000003</v>
      </c>
    </row>
    <row r="6266" spans="1:1" x14ac:dyDescent="0.25">
      <c r="A6266" s="21">
        <v>29490494.879999999</v>
      </c>
    </row>
    <row r="6267" spans="1:1" x14ac:dyDescent="0.25">
      <c r="A6267" s="21">
        <v>31045126.289999999</v>
      </c>
    </row>
    <row r="6268" spans="1:1" x14ac:dyDescent="0.25">
      <c r="A6268" s="21">
        <v>59220644.670000002</v>
      </c>
    </row>
    <row r="6269" spans="1:1" x14ac:dyDescent="0.25">
      <c r="A6269" s="21">
        <v>11020224.470000001</v>
      </c>
    </row>
    <row r="6270" spans="1:1" x14ac:dyDescent="0.25">
      <c r="A6270" s="21">
        <v>16172275.949999999</v>
      </c>
    </row>
    <row r="6271" spans="1:1" x14ac:dyDescent="0.25">
      <c r="A6271" s="21">
        <v>155489789.91999999</v>
      </c>
    </row>
    <row r="6272" spans="1:1" x14ac:dyDescent="0.25">
      <c r="A6272">
        <v>3579006</v>
      </c>
    </row>
    <row r="6273" spans="1:1" x14ac:dyDescent="0.25">
      <c r="A6273" s="21">
        <v>19897985.890000001</v>
      </c>
    </row>
    <row r="6274" spans="1:1" x14ac:dyDescent="0.25">
      <c r="A6274" s="21">
        <v>12166012.109999999</v>
      </c>
    </row>
    <row r="6275" spans="1:1" x14ac:dyDescent="0.25">
      <c r="A6275" s="21">
        <v>42725645.579999998</v>
      </c>
    </row>
    <row r="6276" spans="1:1" x14ac:dyDescent="0.25">
      <c r="A6276" s="21">
        <v>53580331.459999897</v>
      </c>
    </row>
    <row r="6277" spans="1:1" x14ac:dyDescent="0.25">
      <c r="A6277" s="21">
        <v>79071606.75</v>
      </c>
    </row>
    <row r="6278" spans="1:1" x14ac:dyDescent="0.25">
      <c r="A6278" s="21">
        <v>157573524.40000001</v>
      </c>
    </row>
    <row r="6279" spans="1:1" x14ac:dyDescent="0.25">
      <c r="A6279" s="21">
        <v>40558699.299999997</v>
      </c>
    </row>
    <row r="6280" spans="1:1" x14ac:dyDescent="0.25">
      <c r="A6280" s="21">
        <v>70790576.650000006</v>
      </c>
    </row>
    <row r="6281" spans="1:1" x14ac:dyDescent="0.25">
      <c r="A6281" s="21">
        <v>61392989.130000003</v>
      </c>
    </row>
    <row r="6282" spans="1:1" x14ac:dyDescent="0.25">
      <c r="A6282">
        <v>0</v>
      </c>
    </row>
    <row r="6283" spans="1:1" x14ac:dyDescent="0.25">
      <c r="A6283" s="21">
        <v>39910249.82</v>
      </c>
    </row>
    <row r="6284" spans="1:1" x14ac:dyDescent="0.25">
      <c r="A6284" s="21">
        <v>60586262.450000003</v>
      </c>
    </row>
    <row r="6285" spans="1:1" x14ac:dyDescent="0.25">
      <c r="A6285" s="21">
        <v>107496173.06999999</v>
      </c>
    </row>
    <row r="6286" spans="1:1" x14ac:dyDescent="0.25">
      <c r="A6286" s="21">
        <v>49885151.490000002</v>
      </c>
    </row>
    <row r="6287" spans="1:1" x14ac:dyDescent="0.25">
      <c r="A6287" s="21">
        <v>42492162.989999898</v>
      </c>
    </row>
    <row r="6288" spans="1:1" x14ac:dyDescent="0.25">
      <c r="A6288" s="21">
        <v>34236639.359999999</v>
      </c>
    </row>
    <row r="6289" spans="1:1" x14ac:dyDescent="0.25">
      <c r="A6289" s="21">
        <v>108934480.3</v>
      </c>
    </row>
    <row r="6290" spans="1:1" x14ac:dyDescent="0.25">
      <c r="A6290">
        <v>0</v>
      </c>
    </row>
    <row r="6291" spans="1:1" x14ac:dyDescent="0.25">
      <c r="A6291" s="21">
        <v>88798549.400000006</v>
      </c>
    </row>
    <row r="6292" spans="1:1" x14ac:dyDescent="0.25">
      <c r="A6292" s="21">
        <v>140802937.37</v>
      </c>
    </row>
    <row r="6293" spans="1:1" x14ac:dyDescent="0.25">
      <c r="A6293" s="21">
        <v>49741850.07</v>
      </c>
    </row>
    <row r="6294" spans="1:1" x14ac:dyDescent="0.25">
      <c r="A6294" s="21">
        <v>88902522.530000001</v>
      </c>
    </row>
    <row r="6295" spans="1:1" x14ac:dyDescent="0.25">
      <c r="A6295" s="21">
        <v>147947398.33000001</v>
      </c>
    </row>
    <row r="6296" spans="1:1" x14ac:dyDescent="0.25">
      <c r="A6296" s="21">
        <v>144843226.25999999</v>
      </c>
    </row>
    <row r="6297" spans="1:1" x14ac:dyDescent="0.25">
      <c r="A6297" s="21">
        <v>75673490.689999998</v>
      </c>
    </row>
    <row r="6298" spans="1:1" x14ac:dyDescent="0.25">
      <c r="A6298" s="21">
        <v>137411081.31999999</v>
      </c>
    </row>
    <row r="6299" spans="1:1" x14ac:dyDescent="0.25">
      <c r="A6299" s="21">
        <v>51645132.520000003</v>
      </c>
    </row>
    <row r="6300" spans="1:1" x14ac:dyDescent="0.25">
      <c r="A6300" s="21">
        <v>175918036.09</v>
      </c>
    </row>
    <row r="6301" spans="1:1" x14ac:dyDescent="0.25">
      <c r="A6301" s="21">
        <v>95007288.920000002</v>
      </c>
    </row>
    <row r="6302" spans="1:1" x14ac:dyDescent="0.25">
      <c r="A6302" s="21">
        <v>122242876.66</v>
      </c>
    </row>
    <row r="6303" spans="1:1" x14ac:dyDescent="0.25">
      <c r="A6303" s="21">
        <v>50031919.420000002</v>
      </c>
    </row>
    <row r="6304" spans="1:1" x14ac:dyDescent="0.25">
      <c r="A6304">
        <v>6596118</v>
      </c>
    </row>
    <row r="6305" spans="1:1" x14ac:dyDescent="0.25">
      <c r="A6305" s="21">
        <v>57167546.310000002</v>
      </c>
    </row>
    <row r="6306" spans="1:1" x14ac:dyDescent="0.25">
      <c r="A6306" s="21">
        <v>44239711.399999999</v>
      </c>
    </row>
    <row r="6307" spans="1:1" x14ac:dyDescent="0.25">
      <c r="A6307" s="21">
        <v>68364783.069999903</v>
      </c>
    </row>
    <row r="6308" spans="1:1" x14ac:dyDescent="0.25">
      <c r="A6308" s="21">
        <v>86614573.769999996</v>
      </c>
    </row>
    <row r="6309" spans="1:1" x14ac:dyDescent="0.25">
      <c r="A6309">
        <v>0</v>
      </c>
    </row>
    <row r="6310" spans="1:1" x14ac:dyDescent="0.25">
      <c r="A6310" s="21">
        <v>70141999.120000005</v>
      </c>
    </row>
    <row r="6311" spans="1:1" x14ac:dyDescent="0.25">
      <c r="A6311" s="21">
        <v>110610214.2</v>
      </c>
    </row>
    <row r="6312" spans="1:1" x14ac:dyDescent="0.25">
      <c r="A6312" s="21">
        <v>26666720.899999999</v>
      </c>
    </row>
    <row r="6313" spans="1:1" x14ac:dyDescent="0.25">
      <c r="A6313" s="21">
        <v>71667961.819999903</v>
      </c>
    </row>
    <row r="6314" spans="1:1" x14ac:dyDescent="0.25">
      <c r="A6314" s="21">
        <v>14713722.359999999</v>
      </c>
    </row>
    <row r="6315" spans="1:1" x14ac:dyDescent="0.25">
      <c r="A6315" s="21">
        <v>22723511.489999998</v>
      </c>
    </row>
    <row r="6316" spans="1:1" x14ac:dyDescent="0.25">
      <c r="A6316" s="21">
        <v>146099091.05000001</v>
      </c>
    </row>
    <row r="6317" spans="1:1" x14ac:dyDescent="0.25">
      <c r="A6317" s="21">
        <v>6320767.5</v>
      </c>
    </row>
    <row r="6318" spans="1:1" x14ac:dyDescent="0.25">
      <c r="A6318" s="21">
        <v>13201974.220000001</v>
      </c>
    </row>
    <row r="6319" spans="1:1" x14ac:dyDescent="0.25">
      <c r="A6319" s="21">
        <v>68399441.289999902</v>
      </c>
    </row>
    <row r="6320" spans="1:1" x14ac:dyDescent="0.25">
      <c r="A6320" s="21">
        <v>106260662.41</v>
      </c>
    </row>
    <row r="6321" spans="1:1" x14ac:dyDescent="0.25">
      <c r="A6321" s="21">
        <v>250541553.02000001</v>
      </c>
    </row>
    <row r="6322" spans="1:1" x14ac:dyDescent="0.25">
      <c r="A6322" s="21">
        <v>6333834.9500000002</v>
      </c>
    </row>
    <row r="6323" spans="1:1" x14ac:dyDescent="0.25">
      <c r="A6323" s="21">
        <v>25047686.27</v>
      </c>
    </row>
    <row r="6324" spans="1:1" x14ac:dyDescent="0.25">
      <c r="A6324" s="21">
        <v>35900003.099999897</v>
      </c>
    </row>
    <row r="6325" spans="1:1" x14ac:dyDescent="0.25">
      <c r="A6325" s="21">
        <v>69426282.310000002</v>
      </c>
    </row>
    <row r="6326" spans="1:1" x14ac:dyDescent="0.25">
      <c r="A6326" s="21">
        <v>39345018.799999997</v>
      </c>
    </row>
    <row r="6327" spans="1:1" x14ac:dyDescent="0.25">
      <c r="A6327" s="21">
        <v>57751990.75</v>
      </c>
    </row>
    <row r="6328" spans="1:1" x14ac:dyDescent="0.25">
      <c r="A6328" s="21">
        <v>2775336.31</v>
      </c>
    </row>
    <row r="6329" spans="1:1" x14ac:dyDescent="0.25">
      <c r="A6329" s="21">
        <v>75324115.989999905</v>
      </c>
    </row>
    <row r="6330" spans="1:1" x14ac:dyDescent="0.25">
      <c r="A6330" s="21">
        <v>261251864.62</v>
      </c>
    </row>
    <row r="6331" spans="1:1" x14ac:dyDescent="0.25">
      <c r="A6331" s="21">
        <v>20741774.25</v>
      </c>
    </row>
    <row r="6332" spans="1:1" x14ac:dyDescent="0.25">
      <c r="A6332" s="21">
        <v>79384152.909999996</v>
      </c>
    </row>
    <row r="6333" spans="1:1" x14ac:dyDescent="0.25">
      <c r="A6333" s="21">
        <v>102777136.87</v>
      </c>
    </row>
    <row r="6334" spans="1:1" x14ac:dyDescent="0.25">
      <c r="A6334" s="21">
        <v>9339988.6899999995</v>
      </c>
    </row>
    <row r="6335" spans="1:1" x14ac:dyDescent="0.25">
      <c r="A6335" s="21">
        <v>90718168.170000002</v>
      </c>
    </row>
    <row r="6336" spans="1:1" x14ac:dyDescent="0.25">
      <c r="A6336" s="21">
        <v>212683250.34999999</v>
      </c>
    </row>
    <row r="6337" spans="1:1" x14ac:dyDescent="0.25">
      <c r="A6337" s="21">
        <v>128229572.44</v>
      </c>
    </row>
    <row r="6338" spans="1:1" x14ac:dyDescent="0.25">
      <c r="A6338" s="21">
        <v>4623034.84</v>
      </c>
    </row>
    <row r="6339" spans="1:1" x14ac:dyDescent="0.25">
      <c r="A6339" s="21">
        <v>15166586.130000001</v>
      </c>
    </row>
    <row r="6340" spans="1:1" x14ac:dyDescent="0.25">
      <c r="A6340" s="21">
        <v>69199318.359999999</v>
      </c>
    </row>
    <row r="6341" spans="1:1" x14ac:dyDescent="0.25">
      <c r="A6341" s="21">
        <v>4338024.88</v>
      </c>
    </row>
    <row r="6342" spans="1:1" x14ac:dyDescent="0.25">
      <c r="A6342" s="21">
        <v>141599625.40000001</v>
      </c>
    </row>
    <row r="6343" spans="1:1" x14ac:dyDescent="0.25">
      <c r="A6343" s="21">
        <v>123299701.40000001</v>
      </c>
    </row>
    <row r="6344" spans="1:1" x14ac:dyDescent="0.25">
      <c r="A6344" s="21">
        <v>54261196.890000001</v>
      </c>
    </row>
    <row r="6345" spans="1:1" x14ac:dyDescent="0.25">
      <c r="A6345" s="21">
        <v>28112775.75</v>
      </c>
    </row>
    <row r="6346" spans="1:1" x14ac:dyDescent="0.25">
      <c r="A6346" s="21">
        <v>67944696.180000007</v>
      </c>
    </row>
    <row r="6347" spans="1:1" x14ac:dyDescent="0.25">
      <c r="A6347" s="21">
        <v>10003201.539999999</v>
      </c>
    </row>
    <row r="6348" spans="1:1" x14ac:dyDescent="0.25">
      <c r="A6348" s="21">
        <v>11479150.869999999</v>
      </c>
    </row>
    <row r="6349" spans="1:1" x14ac:dyDescent="0.25">
      <c r="A6349" s="21">
        <v>105298323.04000001</v>
      </c>
    </row>
    <row r="6350" spans="1:1" x14ac:dyDescent="0.25">
      <c r="A6350" s="21">
        <v>36864833.229999997</v>
      </c>
    </row>
    <row r="6351" spans="1:1" x14ac:dyDescent="0.25">
      <c r="A6351" s="21">
        <v>9276355.0199999996</v>
      </c>
    </row>
    <row r="6352" spans="1:1" x14ac:dyDescent="0.25">
      <c r="A6352" s="21">
        <v>9831059.0500000007</v>
      </c>
    </row>
    <row r="6353" spans="1:1" x14ac:dyDescent="0.25">
      <c r="A6353" s="21">
        <v>8736416.3100000005</v>
      </c>
    </row>
    <row r="6354" spans="1:1" x14ac:dyDescent="0.25">
      <c r="A6354" s="21">
        <v>106857764.09999999</v>
      </c>
    </row>
    <row r="6355" spans="1:1" x14ac:dyDescent="0.25">
      <c r="A6355" s="21">
        <v>183022545.52000001</v>
      </c>
    </row>
    <row r="6356" spans="1:1" x14ac:dyDescent="0.25">
      <c r="A6356" s="21">
        <v>22681897.059999999</v>
      </c>
    </row>
    <row r="6357" spans="1:1" x14ac:dyDescent="0.25">
      <c r="A6357" s="21">
        <v>27445356.32</v>
      </c>
    </row>
    <row r="6358" spans="1:1" x14ac:dyDescent="0.25">
      <c r="A6358" s="21">
        <v>43085909.989999898</v>
      </c>
    </row>
    <row r="6359" spans="1:1" x14ac:dyDescent="0.25">
      <c r="A6359" s="21">
        <v>89451927.930000007</v>
      </c>
    </row>
    <row r="6360" spans="1:1" x14ac:dyDescent="0.25">
      <c r="A6360" s="21">
        <v>11623049.25</v>
      </c>
    </row>
    <row r="6361" spans="1:1" x14ac:dyDescent="0.25">
      <c r="A6361" s="21">
        <v>66956537.5</v>
      </c>
    </row>
    <row r="6362" spans="1:1" x14ac:dyDescent="0.25">
      <c r="A6362" s="21">
        <v>45934722.32</v>
      </c>
    </row>
    <row r="6363" spans="1:1" x14ac:dyDescent="0.25">
      <c r="A6363" s="21">
        <v>30486259.34</v>
      </c>
    </row>
    <row r="6364" spans="1:1" x14ac:dyDescent="0.25">
      <c r="A6364" s="21">
        <v>12820642.09</v>
      </c>
    </row>
    <row r="6365" spans="1:1" x14ac:dyDescent="0.25">
      <c r="A6365" s="21">
        <v>2959080.46</v>
      </c>
    </row>
    <row r="6366" spans="1:1" x14ac:dyDescent="0.25">
      <c r="A6366" s="21">
        <v>37820479.049999997</v>
      </c>
    </row>
    <row r="6367" spans="1:1" x14ac:dyDescent="0.25">
      <c r="A6367" s="21">
        <v>15771013.76</v>
      </c>
    </row>
    <row r="6368" spans="1:1" x14ac:dyDescent="0.25">
      <c r="A6368" s="21">
        <v>39301328.439999998</v>
      </c>
    </row>
    <row r="6369" spans="1:1" x14ac:dyDescent="0.25">
      <c r="A6369" s="21">
        <v>16855679.5</v>
      </c>
    </row>
    <row r="6370" spans="1:1" x14ac:dyDescent="0.25">
      <c r="A6370" s="21">
        <v>19841477.25</v>
      </c>
    </row>
    <row r="6371" spans="1:1" x14ac:dyDescent="0.25">
      <c r="A6371" s="21">
        <v>18578778.109999999</v>
      </c>
    </row>
    <row r="6372" spans="1:1" x14ac:dyDescent="0.25">
      <c r="A6372">
        <v>0</v>
      </c>
    </row>
    <row r="6373" spans="1:1" x14ac:dyDescent="0.25">
      <c r="A6373" s="21">
        <v>35969392.460000001</v>
      </c>
    </row>
    <row r="6374" spans="1:1" x14ac:dyDescent="0.25">
      <c r="A6374">
        <v>0</v>
      </c>
    </row>
    <row r="6375" spans="1:1" x14ac:dyDescent="0.25">
      <c r="A6375" s="21">
        <v>43637594.969999999</v>
      </c>
    </row>
    <row r="6376" spans="1:1" x14ac:dyDescent="0.25">
      <c r="A6376" s="21">
        <v>78844101.929999903</v>
      </c>
    </row>
    <row r="6377" spans="1:1" x14ac:dyDescent="0.25">
      <c r="A6377" s="21">
        <v>10837797.050000001</v>
      </c>
    </row>
    <row r="6378" spans="1:1" x14ac:dyDescent="0.25">
      <c r="A6378" s="21">
        <v>83284919.400000006</v>
      </c>
    </row>
    <row r="6379" spans="1:1" x14ac:dyDescent="0.25">
      <c r="A6379" s="21">
        <v>14408644.800000001</v>
      </c>
    </row>
    <row r="6380" spans="1:1" x14ac:dyDescent="0.25">
      <c r="A6380" s="21">
        <v>291155727.05000001</v>
      </c>
    </row>
    <row r="6381" spans="1:1" x14ac:dyDescent="0.25">
      <c r="A6381" s="21">
        <v>75968578.769999996</v>
      </c>
    </row>
    <row r="6382" spans="1:1" x14ac:dyDescent="0.25">
      <c r="A6382" s="21">
        <v>40555014.649999999</v>
      </c>
    </row>
    <row r="6383" spans="1:1" x14ac:dyDescent="0.25">
      <c r="A6383" s="21">
        <v>74620247.829999998</v>
      </c>
    </row>
    <row r="6384" spans="1:1" x14ac:dyDescent="0.25">
      <c r="A6384" s="21">
        <v>128779813.65000001</v>
      </c>
    </row>
    <row r="6385" spans="1:1" x14ac:dyDescent="0.25">
      <c r="A6385" s="21">
        <v>14603033.25</v>
      </c>
    </row>
    <row r="6386" spans="1:1" x14ac:dyDescent="0.25">
      <c r="A6386" s="21">
        <v>212787538.81</v>
      </c>
    </row>
    <row r="6387" spans="1:1" x14ac:dyDescent="0.25">
      <c r="A6387" s="21">
        <v>96616835.140000001</v>
      </c>
    </row>
    <row r="6388" spans="1:1" x14ac:dyDescent="0.25">
      <c r="A6388" s="21">
        <v>9369046.2899999898</v>
      </c>
    </row>
    <row r="6389" spans="1:1" x14ac:dyDescent="0.25">
      <c r="A6389" s="21">
        <v>473949280.35000002</v>
      </c>
    </row>
    <row r="6390" spans="1:1" x14ac:dyDescent="0.25">
      <c r="A6390" s="21">
        <v>276768148.58999997</v>
      </c>
    </row>
    <row r="6391" spans="1:1" x14ac:dyDescent="0.25">
      <c r="A6391" s="21">
        <v>37190392.350000001</v>
      </c>
    </row>
    <row r="6392" spans="1:1" x14ac:dyDescent="0.25">
      <c r="A6392" s="21">
        <v>10967647.34</v>
      </c>
    </row>
    <row r="6393" spans="1:1" x14ac:dyDescent="0.25">
      <c r="A6393" s="21">
        <v>20340233.219999999</v>
      </c>
    </row>
    <row r="6394" spans="1:1" x14ac:dyDescent="0.25">
      <c r="A6394" s="21">
        <v>13289628.140000001</v>
      </c>
    </row>
    <row r="6395" spans="1:1" x14ac:dyDescent="0.25">
      <c r="A6395" s="21">
        <v>83091597.010000005</v>
      </c>
    </row>
    <row r="6396" spans="1:1" x14ac:dyDescent="0.25">
      <c r="A6396" s="21">
        <v>6873111.75</v>
      </c>
    </row>
    <row r="6397" spans="1:1" x14ac:dyDescent="0.25">
      <c r="A6397" s="21">
        <v>8572755.3000000007</v>
      </c>
    </row>
    <row r="6398" spans="1:1" x14ac:dyDescent="0.25">
      <c r="A6398" s="21">
        <v>35694088.579999998</v>
      </c>
    </row>
    <row r="6399" spans="1:1" x14ac:dyDescent="0.25">
      <c r="A6399" s="21">
        <v>17447118.579999998</v>
      </c>
    </row>
    <row r="6400" spans="1:1" x14ac:dyDescent="0.25">
      <c r="A6400" s="21">
        <v>19629347.039999999</v>
      </c>
    </row>
    <row r="6401" spans="1:1" x14ac:dyDescent="0.25">
      <c r="A6401" s="21">
        <v>21925317.850000001</v>
      </c>
    </row>
    <row r="6402" spans="1:1" x14ac:dyDescent="0.25">
      <c r="A6402" s="21">
        <v>124102265.45</v>
      </c>
    </row>
    <row r="6403" spans="1:1" x14ac:dyDescent="0.25">
      <c r="A6403" s="21">
        <v>15103468.300000001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 s="21">
        <v>15307984.460000001</v>
      </c>
    </row>
    <row r="6407" spans="1:1" x14ac:dyDescent="0.25">
      <c r="A6407" s="21">
        <v>25058218.710000001</v>
      </c>
    </row>
    <row r="6408" spans="1:1" x14ac:dyDescent="0.25">
      <c r="A6408" s="21">
        <v>78261789.099999994</v>
      </c>
    </row>
    <row r="6409" spans="1:1" x14ac:dyDescent="0.25">
      <c r="A6409" s="21">
        <v>18763466.510000002</v>
      </c>
    </row>
    <row r="6410" spans="1:1" x14ac:dyDescent="0.25">
      <c r="A6410" s="21">
        <v>30738483.129999999</v>
      </c>
    </row>
    <row r="6411" spans="1:1" x14ac:dyDescent="0.25">
      <c r="A6411" s="21">
        <v>80072063.870000005</v>
      </c>
    </row>
    <row r="6412" spans="1:1" x14ac:dyDescent="0.25">
      <c r="A6412" s="21">
        <v>165529482.78</v>
      </c>
    </row>
    <row r="6413" spans="1:1" x14ac:dyDescent="0.25">
      <c r="A6413" s="21">
        <v>103597230.7</v>
      </c>
    </row>
    <row r="6414" spans="1:1" x14ac:dyDescent="0.25">
      <c r="A6414" s="21">
        <v>13459015.5</v>
      </c>
    </row>
    <row r="6415" spans="1:1" x14ac:dyDescent="0.25">
      <c r="A6415" s="21">
        <v>193714023.56999999</v>
      </c>
    </row>
    <row r="6416" spans="1:1" x14ac:dyDescent="0.25">
      <c r="A6416" s="21">
        <v>49749906.069999903</v>
      </c>
    </row>
    <row r="6417" spans="1:1" x14ac:dyDescent="0.25">
      <c r="A6417" s="21">
        <v>57379470.310000002</v>
      </c>
    </row>
    <row r="6418" spans="1:1" x14ac:dyDescent="0.25">
      <c r="A6418" s="21">
        <v>48174537.899999999</v>
      </c>
    </row>
    <row r="6419" spans="1:1" x14ac:dyDescent="0.25">
      <c r="A6419" s="21">
        <v>216195134.03</v>
      </c>
    </row>
    <row r="6420" spans="1:1" x14ac:dyDescent="0.25">
      <c r="A6420" s="21">
        <v>507520441.27999997</v>
      </c>
    </row>
    <row r="6421" spans="1:1" x14ac:dyDescent="0.25">
      <c r="A6421" s="21">
        <v>34411128.259999998</v>
      </c>
    </row>
    <row r="6422" spans="1:1" x14ac:dyDescent="0.25">
      <c r="A6422" s="21">
        <v>27611072.440000001</v>
      </c>
    </row>
    <row r="6423" spans="1:1" x14ac:dyDescent="0.25">
      <c r="A6423" s="21">
        <v>56464151.439999998</v>
      </c>
    </row>
    <row r="6424" spans="1:1" x14ac:dyDescent="0.25">
      <c r="A6424" s="21">
        <v>7482691.5</v>
      </c>
    </row>
    <row r="6425" spans="1:1" x14ac:dyDescent="0.25">
      <c r="A6425" s="21">
        <v>184299603.84999999</v>
      </c>
    </row>
    <row r="6426" spans="1:1" x14ac:dyDescent="0.25">
      <c r="A6426" s="21">
        <v>13714635.18</v>
      </c>
    </row>
    <row r="6427" spans="1:1" x14ac:dyDescent="0.25">
      <c r="A6427" s="21">
        <v>188541385.66999999</v>
      </c>
    </row>
    <row r="6428" spans="1:1" x14ac:dyDescent="0.25">
      <c r="A6428">
        <v>0</v>
      </c>
    </row>
    <row r="6429" spans="1:1" x14ac:dyDescent="0.25">
      <c r="A6429" s="21">
        <v>198962592.06</v>
      </c>
    </row>
    <row r="6430" spans="1:1" x14ac:dyDescent="0.25">
      <c r="A6430" s="21">
        <v>51217021.799999997</v>
      </c>
    </row>
    <row r="6431" spans="1:1" x14ac:dyDescent="0.25">
      <c r="A6431" s="21">
        <v>60799556.509999998</v>
      </c>
    </row>
    <row r="6432" spans="1:1" x14ac:dyDescent="0.25">
      <c r="A6432" s="21">
        <v>28322617.289999999</v>
      </c>
    </row>
    <row r="6433" spans="1:1" x14ac:dyDescent="0.25">
      <c r="A6433" s="21">
        <v>57988103.880000003</v>
      </c>
    </row>
    <row r="6434" spans="1:1" x14ac:dyDescent="0.25">
      <c r="A6434" s="21">
        <v>39243923.740000002</v>
      </c>
    </row>
    <row r="6435" spans="1:1" x14ac:dyDescent="0.25">
      <c r="A6435">
        <v>0</v>
      </c>
    </row>
    <row r="6436" spans="1:1" x14ac:dyDescent="0.25">
      <c r="A6436" s="21">
        <v>137630819.47</v>
      </c>
    </row>
    <row r="6437" spans="1:1" x14ac:dyDescent="0.25">
      <c r="A6437" s="21">
        <v>58681054.259999998</v>
      </c>
    </row>
    <row r="6438" spans="1:1" x14ac:dyDescent="0.25">
      <c r="A6438" s="21">
        <v>204513823.12</v>
      </c>
    </row>
    <row r="6439" spans="1:1" x14ac:dyDescent="0.25">
      <c r="A6439" s="21">
        <v>14130115.119999999</v>
      </c>
    </row>
    <row r="6440" spans="1:1" x14ac:dyDescent="0.25">
      <c r="A6440" s="21">
        <v>91828727.640000001</v>
      </c>
    </row>
    <row r="6441" spans="1:1" x14ac:dyDescent="0.25">
      <c r="A6441" s="21">
        <v>59471928.459999897</v>
      </c>
    </row>
    <row r="6442" spans="1:1" x14ac:dyDescent="0.25">
      <c r="A6442" s="21">
        <v>109579765.64</v>
      </c>
    </row>
    <row r="6443" spans="1:1" x14ac:dyDescent="0.25">
      <c r="A6443">
        <v>0</v>
      </c>
    </row>
    <row r="6444" spans="1:1" x14ac:dyDescent="0.25">
      <c r="A6444" s="21">
        <v>23457553.940000001</v>
      </c>
    </row>
    <row r="6445" spans="1:1" x14ac:dyDescent="0.25">
      <c r="A6445" s="21">
        <v>23460304.460000001</v>
      </c>
    </row>
    <row r="6446" spans="1:1" x14ac:dyDescent="0.25">
      <c r="A6446" s="21">
        <v>33726014.130000003</v>
      </c>
    </row>
    <row r="6447" spans="1:1" x14ac:dyDescent="0.25">
      <c r="A6447" s="21">
        <v>24006571.510000002</v>
      </c>
    </row>
    <row r="6448" spans="1:1" x14ac:dyDescent="0.25">
      <c r="A6448" s="21">
        <v>27894538.23</v>
      </c>
    </row>
    <row r="6449" spans="1:1" x14ac:dyDescent="0.25">
      <c r="A6449" s="21">
        <v>39846304.969999999</v>
      </c>
    </row>
    <row r="6450" spans="1:1" x14ac:dyDescent="0.25">
      <c r="A6450" s="21">
        <v>3141960.98</v>
      </c>
    </row>
    <row r="6451" spans="1:1" x14ac:dyDescent="0.25">
      <c r="A6451" s="21">
        <v>81229632.780000001</v>
      </c>
    </row>
    <row r="6452" spans="1:1" x14ac:dyDescent="0.25">
      <c r="A6452" s="21">
        <v>79352198.329999998</v>
      </c>
    </row>
    <row r="6453" spans="1:1" x14ac:dyDescent="0.25">
      <c r="A6453" s="21">
        <v>91504677.620000005</v>
      </c>
    </row>
    <row r="6454" spans="1:1" x14ac:dyDescent="0.25">
      <c r="A6454" s="21">
        <v>272319208.92000002</v>
      </c>
    </row>
    <row r="6455" spans="1:1" x14ac:dyDescent="0.25">
      <c r="A6455" s="21">
        <v>72124248.019999996</v>
      </c>
    </row>
    <row r="6456" spans="1:1" x14ac:dyDescent="0.25">
      <c r="A6456" s="21">
        <v>20969577.039999999</v>
      </c>
    </row>
    <row r="6457" spans="1:1" x14ac:dyDescent="0.25">
      <c r="A6457" s="21">
        <v>51042940.219999999</v>
      </c>
    </row>
    <row r="6458" spans="1:1" x14ac:dyDescent="0.25">
      <c r="A6458" s="21">
        <v>46090669.57</v>
      </c>
    </row>
    <row r="6459" spans="1:1" x14ac:dyDescent="0.25">
      <c r="A6459" s="21">
        <v>16910389.02</v>
      </c>
    </row>
    <row r="6460" spans="1:1" x14ac:dyDescent="0.25">
      <c r="A6460" s="21">
        <v>3959639.7</v>
      </c>
    </row>
    <row r="6461" spans="1:1" x14ac:dyDescent="0.25">
      <c r="A6461" s="21">
        <v>104357626.39</v>
      </c>
    </row>
    <row r="6462" spans="1:1" x14ac:dyDescent="0.25">
      <c r="A6462" s="21">
        <v>54875830.799999997</v>
      </c>
    </row>
    <row r="6463" spans="1:1" x14ac:dyDescent="0.25">
      <c r="A6463" s="21">
        <v>72109098.620000005</v>
      </c>
    </row>
    <row r="6464" spans="1:1" x14ac:dyDescent="0.25">
      <c r="A6464" s="21">
        <v>164701249.06999999</v>
      </c>
    </row>
    <row r="6465" spans="1:1" x14ac:dyDescent="0.25">
      <c r="A6465" s="21">
        <v>68616461.659999996</v>
      </c>
    </row>
    <row r="6466" spans="1:1" x14ac:dyDescent="0.25">
      <c r="A6466" s="21">
        <v>8749197.6799999997</v>
      </c>
    </row>
    <row r="6467" spans="1:1" x14ac:dyDescent="0.25">
      <c r="A6467" s="21">
        <v>33283365.27</v>
      </c>
    </row>
    <row r="6468" spans="1:1" x14ac:dyDescent="0.25">
      <c r="A6468" s="21">
        <v>165259200.41</v>
      </c>
    </row>
    <row r="6469" spans="1:1" x14ac:dyDescent="0.25">
      <c r="A6469" s="21">
        <v>61545102.960000001</v>
      </c>
    </row>
    <row r="6470" spans="1:1" x14ac:dyDescent="0.25">
      <c r="A6470" s="21">
        <v>65098934.439999998</v>
      </c>
    </row>
    <row r="6471" spans="1:1" x14ac:dyDescent="0.25">
      <c r="A6471" s="21">
        <v>56630405.57</v>
      </c>
    </row>
    <row r="6472" spans="1:1" x14ac:dyDescent="0.25">
      <c r="A6472">
        <v>0</v>
      </c>
    </row>
    <row r="6473" spans="1:1" x14ac:dyDescent="0.25">
      <c r="A6473" s="21">
        <v>6851042.25</v>
      </c>
    </row>
    <row r="6474" spans="1:1" x14ac:dyDescent="0.25">
      <c r="A6474" s="21">
        <v>130170767.54000001</v>
      </c>
    </row>
    <row r="6475" spans="1:1" x14ac:dyDescent="0.25">
      <c r="A6475" s="21">
        <v>113768660.73999999</v>
      </c>
    </row>
    <row r="6476" spans="1:1" x14ac:dyDescent="0.25">
      <c r="A6476" s="21">
        <v>37145919.950000003</v>
      </c>
    </row>
    <row r="6477" spans="1:1" x14ac:dyDescent="0.25">
      <c r="A6477" s="21">
        <v>9512325.2799999993</v>
      </c>
    </row>
    <row r="6478" spans="1:1" x14ac:dyDescent="0.25">
      <c r="A6478" s="21">
        <v>28513386.449999999</v>
      </c>
    </row>
    <row r="6479" spans="1:1" x14ac:dyDescent="0.25">
      <c r="A6479" s="21">
        <v>16003434.800000001</v>
      </c>
    </row>
    <row r="6480" spans="1:1" x14ac:dyDescent="0.25">
      <c r="A6480" s="21">
        <v>4041968.63</v>
      </c>
    </row>
    <row r="6481" spans="1:1" x14ac:dyDescent="0.25">
      <c r="A6481" s="21">
        <v>14619909.199999999</v>
      </c>
    </row>
    <row r="6482" spans="1:1" x14ac:dyDescent="0.25">
      <c r="A6482" s="21">
        <v>71798104.609999999</v>
      </c>
    </row>
    <row r="6483" spans="1:1" x14ac:dyDescent="0.25">
      <c r="A6483" s="21">
        <v>3514341.62</v>
      </c>
    </row>
    <row r="6484" spans="1:1" x14ac:dyDescent="0.25">
      <c r="A6484" s="21">
        <v>84892395.159999996</v>
      </c>
    </row>
    <row r="6485" spans="1:1" x14ac:dyDescent="0.25">
      <c r="A6485" s="21">
        <v>51444293.109999999</v>
      </c>
    </row>
    <row r="6486" spans="1:1" x14ac:dyDescent="0.25">
      <c r="A6486" s="21">
        <v>83709262.129999995</v>
      </c>
    </row>
    <row r="6487" spans="1:1" x14ac:dyDescent="0.25">
      <c r="A6487" s="21">
        <v>16020338.890000001</v>
      </c>
    </row>
    <row r="6488" spans="1:1" x14ac:dyDescent="0.25">
      <c r="A6488" s="21">
        <v>62605437.75</v>
      </c>
    </row>
    <row r="6489" spans="1:1" x14ac:dyDescent="0.25">
      <c r="A6489" s="21">
        <v>46967878.700000003</v>
      </c>
    </row>
    <row r="6490" spans="1:1" x14ac:dyDescent="0.25">
      <c r="A6490">
        <v>56085567</v>
      </c>
    </row>
    <row r="6491" spans="1:1" x14ac:dyDescent="0.25">
      <c r="A6491" s="21">
        <v>165185708.94999999</v>
      </c>
    </row>
    <row r="6492" spans="1:1" x14ac:dyDescent="0.25">
      <c r="A6492" s="21">
        <v>28760003.91</v>
      </c>
    </row>
    <row r="6493" spans="1:1" x14ac:dyDescent="0.25">
      <c r="A6493" s="21">
        <v>29743794.010000002</v>
      </c>
    </row>
    <row r="6494" spans="1:1" x14ac:dyDescent="0.25">
      <c r="A6494" s="21">
        <v>83553203.620000005</v>
      </c>
    </row>
    <row r="6495" spans="1:1" x14ac:dyDescent="0.25">
      <c r="A6495" s="21">
        <v>104920418.42</v>
      </c>
    </row>
    <row r="6496" spans="1:1" x14ac:dyDescent="0.25">
      <c r="A6496" s="21">
        <v>41006244.130000003</v>
      </c>
    </row>
    <row r="6497" spans="1:1" x14ac:dyDescent="0.25">
      <c r="A6497" s="21">
        <v>20181764.379999999</v>
      </c>
    </row>
    <row r="6498" spans="1:1" x14ac:dyDescent="0.25">
      <c r="A6498" s="21">
        <v>40849247.810000002</v>
      </c>
    </row>
    <row r="6499" spans="1:1" x14ac:dyDescent="0.25">
      <c r="A6499" s="21">
        <v>34996258.75</v>
      </c>
    </row>
    <row r="6500" spans="1:1" x14ac:dyDescent="0.25">
      <c r="A6500" s="21">
        <v>34390042.590000004</v>
      </c>
    </row>
    <row r="6501" spans="1:1" x14ac:dyDescent="0.25">
      <c r="A6501" s="21">
        <v>4284278.1500000004</v>
      </c>
    </row>
    <row r="6502" spans="1:1" x14ac:dyDescent="0.25">
      <c r="A6502" s="21">
        <v>81358072.829999998</v>
      </c>
    </row>
    <row r="6503" spans="1:1" x14ac:dyDescent="0.25">
      <c r="A6503" s="21">
        <v>177857858.05000001</v>
      </c>
    </row>
    <row r="6504" spans="1:1" x14ac:dyDescent="0.25">
      <c r="A6504" s="21">
        <v>3268211.09</v>
      </c>
    </row>
    <row r="6505" spans="1:1" x14ac:dyDescent="0.25">
      <c r="A6505" s="21">
        <v>148556675.41999999</v>
      </c>
    </row>
    <row r="6506" spans="1:1" x14ac:dyDescent="0.25">
      <c r="A6506" s="21">
        <v>210508909.78999999</v>
      </c>
    </row>
    <row r="6507" spans="1:1" x14ac:dyDescent="0.25">
      <c r="A6507" s="21">
        <v>133004356.25</v>
      </c>
    </row>
    <row r="6508" spans="1:1" x14ac:dyDescent="0.25">
      <c r="A6508" s="21">
        <v>6264586.5</v>
      </c>
    </row>
    <row r="6509" spans="1:1" x14ac:dyDescent="0.25">
      <c r="A6509" s="21">
        <v>175809283.96000001</v>
      </c>
    </row>
    <row r="6510" spans="1:1" x14ac:dyDescent="0.25">
      <c r="A6510">
        <v>0</v>
      </c>
    </row>
    <row r="6511" spans="1:1" x14ac:dyDescent="0.25">
      <c r="A6511" s="21">
        <v>71726901.069999903</v>
      </c>
    </row>
    <row r="6512" spans="1:1" x14ac:dyDescent="0.25">
      <c r="A6512" s="21">
        <v>257465720.84</v>
      </c>
    </row>
    <row r="6513" spans="1:1" x14ac:dyDescent="0.25">
      <c r="A6513" s="21">
        <v>37673702.619999997</v>
      </c>
    </row>
    <row r="6514" spans="1:1" x14ac:dyDescent="0.25">
      <c r="A6514">
        <v>0</v>
      </c>
    </row>
    <row r="6515" spans="1:1" x14ac:dyDescent="0.25">
      <c r="A6515" s="21">
        <v>31667909.109999999</v>
      </c>
    </row>
    <row r="6516" spans="1:1" x14ac:dyDescent="0.25">
      <c r="A6516" s="21">
        <v>31263897.379999999</v>
      </c>
    </row>
    <row r="6517" spans="1:1" x14ac:dyDescent="0.25">
      <c r="A6517" s="21">
        <v>41280474.969999999</v>
      </c>
    </row>
    <row r="6518" spans="1:1" x14ac:dyDescent="0.25">
      <c r="A6518" s="21">
        <v>6424768.0199999996</v>
      </c>
    </row>
    <row r="6519" spans="1:1" x14ac:dyDescent="0.25">
      <c r="A6519" s="21">
        <v>12861628.24</v>
      </c>
    </row>
    <row r="6520" spans="1:1" x14ac:dyDescent="0.25">
      <c r="A6520" s="21">
        <v>132051473.28</v>
      </c>
    </row>
    <row r="6521" spans="1:1" x14ac:dyDescent="0.25">
      <c r="A6521" s="21">
        <v>21222467.359999999</v>
      </c>
    </row>
    <row r="6522" spans="1:1" x14ac:dyDescent="0.25">
      <c r="A6522" s="21">
        <v>32961489.960000001</v>
      </c>
    </row>
    <row r="6523" spans="1:1" x14ac:dyDescent="0.25">
      <c r="A6523" s="21">
        <v>200973620.97</v>
      </c>
    </row>
    <row r="6524" spans="1:1" x14ac:dyDescent="0.25">
      <c r="A6524" s="21">
        <v>87261685.239999995</v>
      </c>
    </row>
    <row r="6525" spans="1:1" x14ac:dyDescent="0.25">
      <c r="A6525" s="21">
        <v>40213036.479999997</v>
      </c>
    </row>
    <row r="6526" spans="1:1" x14ac:dyDescent="0.25">
      <c r="A6526" s="21">
        <v>4267194.49</v>
      </c>
    </row>
    <row r="6527" spans="1:1" x14ac:dyDescent="0.25">
      <c r="A6527" s="21">
        <v>39557769.560000002</v>
      </c>
    </row>
    <row r="6528" spans="1:1" x14ac:dyDescent="0.25">
      <c r="A6528" s="21">
        <v>25485706.620000001</v>
      </c>
    </row>
    <row r="6529" spans="1:1" x14ac:dyDescent="0.25">
      <c r="A6529" s="21">
        <v>203025185.80000001</v>
      </c>
    </row>
    <row r="6530" spans="1:1" x14ac:dyDescent="0.25">
      <c r="A6530" s="21">
        <v>92394932.049999997</v>
      </c>
    </row>
    <row r="6531" spans="1:1" x14ac:dyDescent="0.25">
      <c r="A6531" s="21">
        <v>22238777.82</v>
      </c>
    </row>
    <row r="6532" spans="1:1" x14ac:dyDescent="0.25">
      <c r="A6532" s="21">
        <v>44543284.93</v>
      </c>
    </row>
    <row r="6533" spans="1:1" x14ac:dyDescent="0.25">
      <c r="A6533" s="21">
        <v>44646184.520000003</v>
      </c>
    </row>
    <row r="6534" spans="1:1" x14ac:dyDescent="0.25">
      <c r="A6534" s="21">
        <v>62489776.170000002</v>
      </c>
    </row>
    <row r="6535" spans="1:1" x14ac:dyDescent="0.25">
      <c r="A6535" s="21">
        <v>45681816.920000002</v>
      </c>
    </row>
    <row r="6536" spans="1:1" x14ac:dyDescent="0.25">
      <c r="A6536" s="21">
        <v>2933375.91</v>
      </c>
    </row>
    <row r="6537" spans="1:1" x14ac:dyDescent="0.25">
      <c r="A6537" s="21">
        <v>112255333.2</v>
      </c>
    </row>
    <row r="6538" spans="1:1" x14ac:dyDescent="0.25">
      <c r="A6538" s="21">
        <v>7849230.9000000004</v>
      </c>
    </row>
    <row r="6539" spans="1:1" x14ac:dyDescent="0.25">
      <c r="A6539" s="21">
        <v>22725899.91</v>
      </c>
    </row>
    <row r="6540" spans="1:1" x14ac:dyDescent="0.25">
      <c r="A6540" s="21">
        <v>19922553.489999998</v>
      </c>
    </row>
    <row r="6541" spans="1:1" x14ac:dyDescent="0.25">
      <c r="A6541" s="21">
        <v>234742841.5</v>
      </c>
    </row>
    <row r="6542" spans="1:1" x14ac:dyDescent="0.25">
      <c r="A6542" s="21">
        <v>82000405.390000001</v>
      </c>
    </row>
    <row r="6543" spans="1:1" x14ac:dyDescent="0.25">
      <c r="A6543" s="21">
        <v>65249649.819999903</v>
      </c>
    </row>
    <row r="6544" spans="1:1" x14ac:dyDescent="0.25">
      <c r="A6544" s="21">
        <v>77373270.030000001</v>
      </c>
    </row>
    <row r="6545" spans="1:1" x14ac:dyDescent="0.25">
      <c r="A6545" s="21">
        <v>46437295.840000004</v>
      </c>
    </row>
    <row r="6546" spans="1:1" x14ac:dyDescent="0.25">
      <c r="A6546">
        <v>6784077</v>
      </c>
    </row>
    <row r="6547" spans="1:1" x14ac:dyDescent="0.25">
      <c r="A6547" s="21">
        <v>7057792.0599999996</v>
      </c>
    </row>
    <row r="6548" spans="1:1" x14ac:dyDescent="0.25">
      <c r="A6548" s="21">
        <v>138443350.75</v>
      </c>
    </row>
    <row r="6549" spans="1:1" x14ac:dyDescent="0.25">
      <c r="A6549" s="21">
        <v>121894315.8</v>
      </c>
    </row>
    <row r="6550" spans="1:1" x14ac:dyDescent="0.25">
      <c r="A6550" s="21">
        <v>57635544.369999997</v>
      </c>
    </row>
    <row r="6551" spans="1:1" x14ac:dyDescent="0.25">
      <c r="A6551" s="21">
        <v>531602434.33999997</v>
      </c>
    </row>
    <row r="6552" spans="1:1" x14ac:dyDescent="0.25">
      <c r="A6552" s="21">
        <v>115078184.81999999</v>
      </c>
    </row>
    <row r="6553" spans="1:1" x14ac:dyDescent="0.25">
      <c r="A6553" s="21">
        <v>44371424.450000003</v>
      </c>
    </row>
    <row r="6554" spans="1:1" x14ac:dyDescent="0.25">
      <c r="A6554" s="21">
        <v>7256337.1799999997</v>
      </c>
    </row>
    <row r="6555" spans="1:1" x14ac:dyDescent="0.25">
      <c r="A6555" s="21">
        <v>93517889.849999994</v>
      </c>
    </row>
    <row r="6556" spans="1:1" x14ac:dyDescent="0.25">
      <c r="A6556" s="21">
        <v>51619194.729999997</v>
      </c>
    </row>
    <row r="6557" spans="1:1" x14ac:dyDescent="0.25">
      <c r="A6557" s="21">
        <v>25935433.98</v>
      </c>
    </row>
    <row r="6558" spans="1:1" x14ac:dyDescent="0.25">
      <c r="A6558" s="21">
        <v>41588288.170000002</v>
      </c>
    </row>
    <row r="6559" spans="1:1" x14ac:dyDescent="0.25">
      <c r="A6559" s="21">
        <v>158385981.91999999</v>
      </c>
    </row>
    <row r="6560" spans="1:1" x14ac:dyDescent="0.25">
      <c r="A6560" s="21">
        <v>64975123.240000002</v>
      </c>
    </row>
    <row r="6561" spans="1:1" x14ac:dyDescent="0.25">
      <c r="A6561" s="21">
        <v>208336636.16999999</v>
      </c>
    </row>
    <row r="6562" spans="1:1" x14ac:dyDescent="0.25">
      <c r="A6562" s="21">
        <v>37191932.340000004</v>
      </c>
    </row>
    <row r="6563" spans="1:1" x14ac:dyDescent="0.25">
      <c r="A6563" s="21">
        <v>189705413.22</v>
      </c>
    </row>
    <row r="6564" spans="1:1" x14ac:dyDescent="0.25">
      <c r="A6564" s="21">
        <v>16539050.380000001</v>
      </c>
    </row>
    <row r="6565" spans="1:1" x14ac:dyDescent="0.25">
      <c r="A6565" s="21">
        <v>86920591.650000006</v>
      </c>
    </row>
    <row r="6566" spans="1:1" x14ac:dyDescent="0.25">
      <c r="A6566" s="21">
        <v>24951960.370000001</v>
      </c>
    </row>
    <row r="6567" spans="1:1" x14ac:dyDescent="0.25">
      <c r="A6567" s="21">
        <v>125420271.45999999</v>
      </c>
    </row>
    <row r="6568" spans="1:1" x14ac:dyDescent="0.25">
      <c r="A6568" s="21">
        <v>16645254.74</v>
      </c>
    </row>
    <row r="6569" spans="1:1" x14ac:dyDescent="0.25">
      <c r="A6569" s="21">
        <v>22863896.809999999</v>
      </c>
    </row>
    <row r="6570" spans="1:1" x14ac:dyDescent="0.25">
      <c r="A6570" s="21">
        <v>5885468.25</v>
      </c>
    </row>
    <row r="6571" spans="1:1" x14ac:dyDescent="0.25">
      <c r="A6571" s="21">
        <v>29983248.559999999</v>
      </c>
    </row>
    <row r="6572" spans="1:1" x14ac:dyDescent="0.25">
      <c r="A6572" s="21">
        <v>39644016.909999996</v>
      </c>
    </row>
    <row r="6573" spans="1:1" x14ac:dyDescent="0.25">
      <c r="A6573" s="21">
        <v>11702839.48</v>
      </c>
    </row>
    <row r="6574" spans="1:1" x14ac:dyDescent="0.25">
      <c r="A6574" s="21">
        <v>374272323.95999998</v>
      </c>
    </row>
    <row r="6575" spans="1:1" x14ac:dyDescent="0.25">
      <c r="A6575" s="21">
        <v>243931948.43000001</v>
      </c>
    </row>
    <row r="6576" spans="1:1" x14ac:dyDescent="0.25">
      <c r="A6576" s="21">
        <v>99783897.159999996</v>
      </c>
    </row>
    <row r="6577" spans="1:1" x14ac:dyDescent="0.25">
      <c r="A6577" s="21">
        <v>97112678.75</v>
      </c>
    </row>
    <row r="6578" spans="1:1" x14ac:dyDescent="0.25">
      <c r="A6578" s="21">
        <v>81825924.370000005</v>
      </c>
    </row>
    <row r="6579" spans="1:1" x14ac:dyDescent="0.25">
      <c r="A6579" s="21">
        <v>95434580.549999997</v>
      </c>
    </row>
    <row r="6580" spans="1:1" x14ac:dyDescent="0.25">
      <c r="A6580" s="21">
        <v>29600625.379999999</v>
      </c>
    </row>
    <row r="6581" spans="1:1" x14ac:dyDescent="0.25">
      <c r="A6581" s="21">
        <v>73039026.069999993</v>
      </c>
    </row>
    <row r="6582" spans="1:1" x14ac:dyDescent="0.25">
      <c r="A6582" s="21">
        <v>50866870.369999997</v>
      </c>
    </row>
    <row r="6583" spans="1:1" x14ac:dyDescent="0.25">
      <c r="A6583" s="21">
        <v>60158461.109999999</v>
      </c>
    </row>
    <row r="6584" spans="1:1" x14ac:dyDescent="0.25">
      <c r="A6584" s="21">
        <v>88414226.590000004</v>
      </c>
    </row>
    <row r="6585" spans="1:1" x14ac:dyDescent="0.25">
      <c r="A6585" s="21">
        <v>99332243.069999903</v>
      </c>
    </row>
    <row r="6586" spans="1:1" x14ac:dyDescent="0.25">
      <c r="A6586" s="21">
        <v>11864403.91</v>
      </c>
    </row>
    <row r="6587" spans="1:1" x14ac:dyDescent="0.25">
      <c r="A6587" s="21">
        <v>103588438.26000001</v>
      </c>
    </row>
    <row r="6588" spans="1:1" x14ac:dyDescent="0.25">
      <c r="A6588" s="21">
        <v>11596502.59</v>
      </c>
    </row>
    <row r="6589" spans="1:1" x14ac:dyDescent="0.25">
      <c r="A6589" s="21">
        <v>2843389.55</v>
      </c>
    </row>
    <row r="6590" spans="1:1" x14ac:dyDescent="0.25">
      <c r="A6590" s="21">
        <v>80143464.920000002</v>
      </c>
    </row>
    <row r="6591" spans="1:1" x14ac:dyDescent="0.25">
      <c r="A6591" s="21">
        <v>36453730.359999999</v>
      </c>
    </row>
    <row r="6592" spans="1:1" x14ac:dyDescent="0.25">
      <c r="A6592" s="21">
        <v>182455730.77000001</v>
      </c>
    </row>
    <row r="6593" spans="1:1" x14ac:dyDescent="0.25">
      <c r="A6593" s="21">
        <v>83102614.789999902</v>
      </c>
    </row>
    <row r="6594" spans="1:1" x14ac:dyDescent="0.25">
      <c r="A6594" s="21">
        <v>48978176.509999998</v>
      </c>
    </row>
    <row r="6595" spans="1:1" x14ac:dyDescent="0.25">
      <c r="A6595" s="21">
        <v>12722257.939999999</v>
      </c>
    </row>
    <row r="6596" spans="1:1" x14ac:dyDescent="0.25">
      <c r="A6596" s="21">
        <v>58876710.020000003</v>
      </c>
    </row>
    <row r="6597" spans="1:1" x14ac:dyDescent="0.25">
      <c r="A6597" s="21">
        <v>120642340.70999999</v>
      </c>
    </row>
    <row r="6598" spans="1:1" x14ac:dyDescent="0.25">
      <c r="A6598" s="21">
        <v>4245746.45</v>
      </c>
    </row>
    <row r="6599" spans="1:1" x14ac:dyDescent="0.25">
      <c r="A6599" s="21">
        <v>13597876.91</v>
      </c>
    </row>
    <row r="6600" spans="1:1" x14ac:dyDescent="0.25">
      <c r="A6600" s="21">
        <v>36406224.140000001</v>
      </c>
    </row>
    <row r="6601" spans="1:1" x14ac:dyDescent="0.25">
      <c r="A6601" s="21">
        <v>33590523.210000001</v>
      </c>
    </row>
    <row r="6602" spans="1:1" x14ac:dyDescent="0.25">
      <c r="A6602" s="21">
        <v>63852779.509999998</v>
      </c>
    </row>
    <row r="6603" spans="1:1" x14ac:dyDescent="0.25">
      <c r="A6603" s="21">
        <v>16107879.369999999</v>
      </c>
    </row>
    <row r="6604" spans="1:1" x14ac:dyDescent="0.25">
      <c r="A6604" s="21">
        <v>36972146.240000002</v>
      </c>
    </row>
    <row r="6605" spans="1:1" x14ac:dyDescent="0.25">
      <c r="A6605" s="21">
        <v>265803913.65000001</v>
      </c>
    </row>
    <row r="6606" spans="1:1" x14ac:dyDescent="0.25">
      <c r="A6606">
        <v>0</v>
      </c>
    </row>
    <row r="6607" spans="1:1" x14ac:dyDescent="0.25">
      <c r="A6607" s="21">
        <v>21456128.23</v>
      </c>
    </row>
    <row r="6608" spans="1:1" x14ac:dyDescent="0.25">
      <c r="A6608" s="21">
        <v>10295615.99</v>
      </c>
    </row>
    <row r="6609" spans="1:1" x14ac:dyDescent="0.25">
      <c r="A6609" s="21">
        <v>203101759.13999999</v>
      </c>
    </row>
    <row r="6610" spans="1:1" x14ac:dyDescent="0.25">
      <c r="A6610" s="21">
        <v>67193318.999999896</v>
      </c>
    </row>
    <row r="6611" spans="1:1" x14ac:dyDescent="0.25">
      <c r="A6611" s="21">
        <v>15215811.890000001</v>
      </c>
    </row>
    <row r="6612" spans="1:1" x14ac:dyDescent="0.25">
      <c r="A6612" s="21">
        <v>43485101.189999998</v>
      </c>
    </row>
    <row r="6613" spans="1:1" x14ac:dyDescent="0.25">
      <c r="A6613" s="21">
        <v>120699440.90000001</v>
      </c>
    </row>
    <row r="6614" spans="1:1" x14ac:dyDescent="0.25">
      <c r="A6614" s="21">
        <v>17051549.329999998</v>
      </c>
    </row>
    <row r="6615" spans="1:1" x14ac:dyDescent="0.25">
      <c r="A6615">
        <v>0</v>
      </c>
    </row>
    <row r="6616" spans="1:1" x14ac:dyDescent="0.25">
      <c r="A6616" s="21">
        <v>92692431.099999905</v>
      </c>
    </row>
    <row r="6617" spans="1:1" x14ac:dyDescent="0.25">
      <c r="A6617" s="21">
        <v>122169346.66</v>
      </c>
    </row>
    <row r="6618" spans="1:1" x14ac:dyDescent="0.25">
      <c r="A6618" s="21">
        <v>14323138.73</v>
      </c>
    </row>
    <row r="6619" spans="1:1" x14ac:dyDescent="0.25">
      <c r="A6619" s="21">
        <v>9713267.3800000008</v>
      </c>
    </row>
    <row r="6620" spans="1:1" x14ac:dyDescent="0.25">
      <c r="A6620" s="21">
        <v>68636993.079999998</v>
      </c>
    </row>
    <row r="6621" spans="1:1" x14ac:dyDescent="0.25">
      <c r="A6621" s="21">
        <v>25554927.879999999</v>
      </c>
    </row>
    <row r="6622" spans="1:1" x14ac:dyDescent="0.25">
      <c r="A6622" s="21">
        <v>40448780.850000001</v>
      </c>
    </row>
    <row r="6623" spans="1:1" x14ac:dyDescent="0.25">
      <c r="A6623" s="21">
        <v>291003119.02999997</v>
      </c>
    </row>
    <row r="6624" spans="1:1" x14ac:dyDescent="0.25">
      <c r="A6624" s="21">
        <v>2955099.32</v>
      </c>
    </row>
    <row r="6625" spans="1:1" x14ac:dyDescent="0.25">
      <c r="A6625" s="21">
        <v>21089658.93</v>
      </c>
    </row>
    <row r="6626" spans="1:1" x14ac:dyDescent="0.25">
      <c r="A6626" s="21">
        <v>43771474.57</v>
      </c>
    </row>
    <row r="6627" spans="1:1" x14ac:dyDescent="0.25">
      <c r="A6627" s="21">
        <v>28233202.170000002</v>
      </c>
    </row>
    <row r="6628" spans="1:1" x14ac:dyDescent="0.25">
      <c r="A6628" s="21">
        <v>20070549.539999999</v>
      </c>
    </row>
    <row r="6629" spans="1:1" x14ac:dyDescent="0.25">
      <c r="A6629" s="21">
        <v>125953204.48999999</v>
      </c>
    </row>
    <row r="6630" spans="1:1" x14ac:dyDescent="0.25">
      <c r="A6630">
        <v>27360069</v>
      </c>
    </row>
    <row r="6631" spans="1:1" x14ac:dyDescent="0.25">
      <c r="A6631" s="21">
        <v>19529639.07</v>
      </c>
    </row>
    <row r="6632" spans="1:1" x14ac:dyDescent="0.25">
      <c r="A6632" s="21">
        <v>27948238.449999999</v>
      </c>
    </row>
    <row r="6633" spans="1:1" x14ac:dyDescent="0.25">
      <c r="A6633" s="21">
        <v>40938982.130000003</v>
      </c>
    </row>
    <row r="6634" spans="1:1" x14ac:dyDescent="0.25">
      <c r="A6634" s="21">
        <v>7074721.5</v>
      </c>
    </row>
    <row r="6635" spans="1:1" x14ac:dyDescent="0.25">
      <c r="A6635" s="21">
        <v>166047807.86000001</v>
      </c>
    </row>
    <row r="6636" spans="1:1" x14ac:dyDescent="0.25">
      <c r="A6636" s="21">
        <v>182582823.75999999</v>
      </c>
    </row>
    <row r="6637" spans="1:1" x14ac:dyDescent="0.25">
      <c r="A6637" s="21">
        <v>313956383</v>
      </c>
    </row>
    <row r="6638" spans="1:1" x14ac:dyDescent="0.25">
      <c r="A6638" s="21">
        <v>17239108.079999998</v>
      </c>
    </row>
    <row r="6639" spans="1:1" x14ac:dyDescent="0.25">
      <c r="A6639" s="21">
        <v>105564203.11</v>
      </c>
    </row>
    <row r="6640" spans="1:1" x14ac:dyDescent="0.25">
      <c r="A6640" s="21">
        <v>62716951.68</v>
      </c>
    </row>
    <row r="6641" spans="1:1" x14ac:dyDescent="0.25">
      <c r="A6641" s="21">
        <v>5804501.4500000002</v>
      </c>
    </row>
    <row r="6642" spans="1:1" x14ac:dyDescent="0.25">
      <c r="A6642" s="21">
        <v>227424525.65000001</v>
      </c>
    </row>
    <row r="6643" spans="1:1" x14ac:dyDescent="0.25">
      <c r="A6643" s="21">
        <v>117700108.72</v>
      </c>
    </row>
    <row r="6644" spans="1:1" x14ac:dyDescent="0.25">
      <c r="A6644" s="21">
        <v>50725558.710000001</v>
      </c>
    </row>
    <row r="6645" spans="1:1" x14ac:dyDescent="0.25">
      <c r="A6645" s="21">
        <v>29386320.510000002</v>
      </c>
    </row>
    <row r="6646" spans="1:1" x14ac:dyDescent="0.25">
      <c r="A6646" s="21">
        <v>78134413.909999996</v>
      </c>
    </row>
    <row r="6647" spans="1:1" x14ac:dyDescent="0.25">
      <c r="A6647" s="21">
        <v>84715593.390000001</v>
      </c>
    </row>
    <row r="6648" spans="1:1" x14ac:dyDescent="0.25">
      <c r="A6648" s="21">
        <v>153250350.37</v>
      </c>
    </row>
    <row r="6649" spans="1:1" x14ac:dyDescent="0.25">
      <c r="A6649" s="21">
        <v>72547705.25</v>
      </c>
    </row>
    <row r="6650" spans="1:1" x14ac:dyDescent="0.25">
      <c r="A6650" s="21">
        <v>22917833.170000002</v>
      </c>
    </row>
    <row r="6651" spans="1:1" x14ac:dyDescent="0.25">
      <c r="A6651" s="21">
        <v>21115763.5</v>
      </c>
    </row>
    <row r="6652" spans="1:1" x14ac:dyDescent="0.25">
      <c r="A6652" s="21">
        <v>29671695.25</v>
      </c>
    </row>
    <row r="6653" spans="1:1" x14ac:dyDescent="0.25">
      <c r="A6653" s="21">
        <v>92851385.759999901</v>
      </c>
    </row>
    <row r="6654" spans="1:1" x14ac:dyDescent="0.25">
      <c r="A6654" s="21">
        <v>72174204.079999998</v>
      </c>
    </row>
    <row r="6655" spans="1:1" x14ac:dyDescent="0.25">
      <c r="A6655" s="21">
        <v>17621402.510000002</v>
      </c>
    </row>
    <row r="6656" spans="1:1" x14ac:dyDescent="0.25">
      <c r="A6656" s="21">
        <v>12990279.310000001</v>
      </c>
    </row>
    <row r="6657" spans="1:1" x14ac:dyDescent="0.25">
      <c r="A6657" s="21">
        <v>87181443.349999994</v>
      </c>
    </row>
    <row r="6658" spans="1:1" x14ac:dyDescent="0.25">
      <c r="A6658" s="21">
        <v>114911562.8</v>
      </c>
    </row>
    <row r="6659" spans="1:1" x14ac:dyDescent="0.25">
      <c r="A6659" s="21">
        <v>7044491.8899999997</v>
      </c>
    </row>
    <row r="6660" spans="1:1" x14ac:dyDescent="0.25">
      <c r="A6660" s="21">
        <v>7157321.9000000004</v>
      </c>
    </row>
    <row r="6661" spans="1:1" x14ac:dyDescent="0.25">
      <c r="A6661" s="21">
        <v>84352869.310000002</v>
      </c>
    </row>
    <row r="6662" spans="1:1" x14ac:dyDescent="0.25">
      <c r="A6662" s="21">
        <v>82124997.209999993</v>
      </c>
    </row>
    <row r="6663" spans="1:1" x14ac:dyDescent="0.25">
      <c r="A6663" s="21">
        <v>119436788.45999999</v>
      </c>
    </row>
    <row r="6664" spans="1:1" x14ac:dyDescent="0.25">
      <c r="A6664" s="21">
        <v>40432106.840000004</v>
      </c>
    </row>
    <row r="6665" spans="1:1" x14ac:dyDescent="0.25">
      <c r="A6665" s="21">
        <v>26794728.649999999</v>
      </c>
    </row>
    <row r="6666" spans="1:1" x14ac:dyDescent="0.25">
      <c r="A6666" s="21">
        <v>31792091.280000001</v>
      </c>
    </row>
    <row r="6667" spans="1:1" x14ac:dyDescent="0.25">
      <c r="A6667" s="21">
        <v>22191673.34</v>
      </c>
    </row>
    <row r="6668" spans="1:1" x14ac:dyDescent="0.25">
      <c r="A6668" s="21">
        <v>4585794.2300000004</v>
      </c>
    </row>
    <row r="6669" spans="1:1" x14ac:dyDescent="0.25">
      <c r="A6669" s="21">
        <v>35536192.859999999</v>
      </c>
    </row>
    <row r="6670" spans="1:1" x14ac:dyDescent="0.25">
      <c r="A6670" s="21">
        <v>203850968.59</v>
      </c>
    </row>
    <row r="6671" spans="1:1" x14ac:dyDescent="0.25">
      <c r="A6671" s="21">
        <v>105485823.58</v>
      </c>
    </row>
    <row r="6672" spans="1:1" x14ac:dyDescent="0.25">
      <c r="A6672">
        <v>0</v>
      </c>
    </row>
    <row r="6673" spans="1:1" x14ac:dyDescent="0.25">
      <c r="A6673" s="21">
        <v>60755071.899999999</v>
      </c>
    </row>
    <row r="6674" spans="1:1" x14ac:dyDescent="0.25">
      <c r="A6674" s="21">
        <v>8622467.8499999996</v>
      </c>
    </row>
    <row r="6675" spans="1:1" x14ac:dyDescent="0.25">
      <c r="A6675" s="21">
        <v>34746080.57</v>
      </c>
    </row>
    <row r="6676" spans="1:1" x14ac:dyDescent="0.25">
      <c r="A6676">
        <v>0</v>
      </c>
    </row>
    <row r="6677" spans="1:1" x14ac:dyDescent="0.25">
      <c r="A6677" s="21">
        <v>60376181.530000001</v>
      </c>
    </row>
    <row r="6678" spans="1:1" x14ac:dyDescent="0.25">
      <c r="A6678" s="21">
        <v>77639896.079999998</v>
      </c>
    </row>
    <row r="6679" spans="1:1" x14ac:dyDescent="0.25">
      <c r="A6679" s="21">
        <v>19809102.59</v>
      </c>
    </row>
    <row r="6680" spans="1:1" x14ac:dyDescent="0.25">
      <c r="A6680" s="21">
        <v>106266839.61</v>
      </c>
    </row>
    <row r="6681" spans="1:1" x14ac:dyDescent="0.25">
      <c r="A6681" s="21">
        <v>541671857.63</v>
      </c>
    </row>
    <row r="6682" spans="1:1" x14ac:dyDescent="0.25">
      <c r="A6682" s="21">
        <v>6619597.3200000003</v>
      </c>
    </row>
    <row r="6683" spans="1:1" x14ac:dyDescent="0.25">
      <c r="A6683" s="21">
        <v>203170930.61000001</v>
      </c>
    </row>
    <row r="6684" spans="1:1" x14ac:dyDescent="0.25">
      <c r="A6684" s="21">
        <v>17916985.489999998</v>
      </c>
    </row>
    <row r="6685" spans="1:1" x14ac:dyDescent="0.25">
      <c r="A6685" s="21">
        <v>44510261.619999997</v>
      </c>
    </row>
    <row r="6686" spans="1:1" x14ac:dyDescent="0.25">
      <c r="A6686" s="21">
        <v>80664444.25</v>
      </c>
    </row>
    <row r="6687" spans="1:1" x14ac:dyDescent="0.25">
      <c r="A6687" s="21">
        <v>6501160.5</v>
      </c>
    </row>
    <row r="6688" spans="1:1" x14ac:dyDescent="0.25">
      <c r="A6688" s="21">
        <v>74988939.989999995</v>
      </c>
    </row>
    <row r="6689" spans="1:1" x14ac:dyDescent="0.25">
      <c r="A6689" s="21">
        <v>74226050.209999904</v>
      </c>
    </row>
    <row r="6690" spans="1:1" x14ac:dyDescent="0.25">
      <c r="A6690" s="21">
        <v>57209366.490000002</v>
      </c>
    </row>
    <row r="6691" spans="1:1" x14ac:dyDescent="0.25">
      <c r="A6691" s="21">
        <v>22589617.039999999</v>
      </c>
    </row>
    <row r="6692" spans="1:1" x14ac:dyDescent="0.25">
      <c r="A6692" s="21">
        <v>44381010.770000003</v>
      </c>
    </row>
    <row r="6693" spans="1:1" x14ac:dyDescent="0.25">
      <c r="A6693" s="21">
        <v>51867690.18</v>
      </c>
    </row>
    <row r="6694" spans="1:1" x14ac:dyDescent="0.25">
      <c r="A6694" s="21">
        <v>97148060.260000005</v>
      </c>
    </row>
    <row r="6695" spans="1:1" x14ac:dyDescent="0.25">
      <c r="A6695" s="21">
        <v>82552956.590000004</v>
      </c>
    </row>
    <row r="6696" spans="1:1" x14ac:dyDescent="0.25">
      <c r="A6696">
        <v>0</v>
      </c>
    </row>
    <row r="6697" spans="1:1" x14ac:dyDescent="0.25">
      <c r="A6697" s="21">
        <v>12315123.75</v>
      </c>
    </row>
    <row r="6698" spans="1:1" x14ac:dyDescent="0.25">
      <c r="A6698" s="21">
        <v>51551580.420000002</v>
      </c>
    </row>
    <row r="6699" spans="1:1" x14ac:dyDescent="0.25">
      <c r="A6699">
        <v>0</v>
      </c>
    </row>
    <row r="6700" spans="1:1" x14ac:dyDescent="0.25">
      <c r="A6700" s="21">
        <v>56739794.049999997</v>
      </c>
    </row>
    <row r="6701" spans="1:1" x14ac:dyDescent="0.25">
      <c r="A6701" s="21">
        <v>80371928.319999993</v>
      </c>
    </row>
    <row r="6702" spans="1:1" x14ac:dyDescent="0.25">
      <c r="A6702" s="21">
        <v>6672014.25</v>
      </c>
    </row>
    <row r="6703" spans="1:1" x14ac:dyDescent="0.25">
      <c r="A6703" s="21">
        <v>129055462.56999999</v>
      </c>
    </row>
    <row r="6704" spans="1:1" x14ac:dyDescent="0.25">
      <c r="A6704" s="21">
        <v>134743480.52000001</v>
      </c>
    </row>
    <row r="6705" spans="1:1" x14ac:dyDescent="0.25">
      <c r="A6705" s="21">
        <v>25076225.260000002</v>
      </c>
    </row>
    <row r="6706" spans="1:1" x14ac:dyDescent="0.25">
      <c r="A6706" s="21">
        <v>79019231.659999996</v>
      </c>
    </row>
    <row r="6707" spans="1:1" x14ac:dyDescent="0.25">
      <c r="A6707" s="21">
        <v>72235062.209999993</v>
      </c>
    </row>
    <row r="6708" spans="1:1" x14ac:dyDescent="0.25">
      <c r="A6708" s="21">
        <v>52258778.920000002</v>
      </c>
    </row>
    <row r="6709" spans="1:1" x14ac:dyDescent="0.25">
      <c r="A6709" s="21">
        <v>20596863.039999999</v>
      </c>
    </row>
    <row r="6710" spans="1:1" x14ac:dyDescent="0.25">
      <c r="A6710" s="21">
        <v>603419905.66999996</v>
      </c>
    </row>
    <row r="6711" spans="1:1" x14ac:dyDescent="0.25">
      <c r="A6711" s="21">
        <v>32007307.210000001</v>
      </c>
    </row>
    <row r="6712" spans="1:1" x14ac:dyDescent="0.25">
      <c r="A6712" s="21">
        <v>22938360.120000001</v>
      </c>
    </row>
    <row r="6713" spans="1:1" x14ac:dyDescent="0.25">
      <c r="A6713" s="21">
        <v>119271400.39</v>
      </c>
    </row>
    <row r="6714" spans="1:1" x14ac:dyDescent="0.25">
      <c r="A6714" s="21">
        <v>236846078.88</v>
      </c>
    </row>
    <row r="6715" spans="1:1" x14ac:dyDescent="0.25">
      <c r="A6715" s="21">
        <v>225483315.78</v>
      </c>
    </row>
    <row r="6716" spans="1:1" x14ac:dyDescent="0.25">
      <c r="A6716" s="21">
        <v>58674513.450000003</v>
      </c>
    </row>
    <row r="6717" spans="1:1" x14ac:dyDescent="0.25">
      <c r="A6717" s="21">
        <v>17375400.780000001</v>
      </c>
    </row>
    <row r="6718" spans="1:1" x14ac:dyDescent="0.25">
      <c r="A6718">
        <v>7117572</v>
      </c>
    </row>
    <row r="6719" spans="1:1" x14ac:dyDescent="0.25">
      <c r="A6719" s="21">
        <v>97036181.090000004</v>
      </c>
    </row>
    <row r="6720" spans="1:1" x14ac:dyDescent="0.25">
      <c r="A6720" s="21">
        <v>81359746.609999999</v>
      </c>
    </row>
    <row r="6721" spans="1:1" x14ac:dyDescent="0.25">
      <c r="A6721" s="21">
        <v>55524443.920000002</v>
      </c>
    </row>
    <row r="6722" spans="1:1" x14ac:dyDescent="0.25">
      <c r="A6722" s="21">
        <v>16649239.710000001</v>
      </c>
    </row>
    <row r="6723" spans="1:1" x14ac:dyDescent="0.25">
      <c r="A6723" s="21">
        <v>34412463.490000002</v>
      </c>
    </row>
    <row r="6724" spans="1:1" x14ac:dyDescent="0.25">
      <c r="A6724" s="21">
        <v>49513072.049999997</v>
      </c>
    </row>
    <row r="6725" spans="1:1" x14ac:dyDescent="0.25">
      <c r="A6725" s="21">
        <v>19412592.75</v>
      </c>
    </row>
    <row r="6726" spans="1:1" x14ac:dyDescent="0.25">
      <c r="A6726" s="21">
        <v>298394217.87</v>
      </c>
    </row>
    <row r="6727" spans="1:1" x14ac:dyDescent="0.25">
      <c r="A6727" s="21">
        <v>127719252.56999999</v>
      </c>
    </row>
    <row r="6728" spans="1:1" x14ac:dyDescent="0.25">
      <c r="A6728" s="21">
        <v>16861740.620000001</v>
      </c>
    </row>
    <row r="6729" spans="1:1" x14ac:dyDescent="0.25">
      <c r="A6729" s="21">
        <v>36016537.450000003</v>
      </c>
    </row>
    <row r="6730" spans="1:1" x14ac:dyDescent="0.25">
      <c r="A6730" s="21">
        <v>49589576.689999998</v>
      </c>
    </row>
    <row r="6731" spans="1:1" x14ac:dyDescent="0.25">
      <c r="A6731" s="21">
        <v>45608253.039999999</v>
      </c>
    </row>
    <row r="6732" spans="1:1" x14ac:dyDescent="0.25">
      <c r="A6732" s="21">
        <v>106324324.56</v>
      </c>
    </row>
    <row r="6733" spans="1:1" x14ac:dyDescent="0.25">
      <c r="A6733" s="21">
        <v>23083920.870000001</v>
      </c>
    </row>
    <row r="6734" spans="1:1" x14ac:dyDescent="0.25">
      <c r="A6734" s="21">
        <v>70418561.069999993</v>
      </c>
    </row>
    <row r="6735" spans="1:1" x14ac:dyDescent="0.25">
      <c r="A6735">
        <v>0</v>
      </c>
    </row>
    <row r="6736" spans="1:1" x14ac:dyDescent="0.25">
      <c r="A6736" s="21">
        <v>6809110.5</v>
      </c>
    </row>
    <row r="6737" spans="1:1" x14ac:dyDescent="0.25">
      <c r="A6737" s="21">
        <v>89671754.549999997</v>
      </c>
    </row>
    <row r="6738" spans="1:1" x14ac:dyDescent="0.25">
      <c r="A6738" s="21">
        <v>183909376.24000001</v>
      </c>
    </row>
    <row r="6739" spans="1:1" x14ac:dyDescent="0.25">
      <c r="A6739" s="21">
        <v>88709402.900000006</v>
      </c>
    </row>
    <row r="6740" spans="1:1" x14ac:dyDescent="0.25">
      <c r="A6740" s="21">
        <v>64867130.82</v>
      </c>
    </row>
    <row r="6741" spans="1:1" x14ac:dyDescent="0.25">
      <c r="A6741" s="21">
        <v>84335849.379999995</v>
      </c>
    </row>
    <row r="6742" spans="1:1" x14ac:dyDescent="0.25">
      <c r="A6742" s="21">
        <v>86920883.030000001</v>
      </c>
    </row>
    <row r="6743" spans="1:1" x14ac:dyDescent="0.25">
      <c r="A6743" s="21">
        <v>134160360.34999999</v>
      </c>
    </row>
    <row r="6744" spans="1:1" x14ac:dyDescent="0.25">
      <c r="A6744" s="21">
        <v>9145040.1600000001</v>
      </c>
    </row>
    <row r="6745" spans="1:1" x14ac:dyDescent="0.25">
      <c r="A6745" s="21">
        <v>73865670.980000004</v>
      </c>
    </row>
    <row r="6746" spans="1:1" x14ac:dyDescent="0.25">
      <c r="A6746">
        <v>0</v>
      </c>
    </row>
    <row r="6747" spans="1:1" x14ac:dyDescent="0.25">
      <c r="A6747" s="21">
        <v>7290794.6100000003</v>
      </c>
    </row>
    <row r="6748" spans="1:1" x14ac:dyDescent="0.25">
      <c r="A6748" s="21">
        <v>73863065.090000004</v>
      </c>
    </row>
    <row r="6749" spans="1:1" x14ac:dyDescent="0.25">
      <c r="A6749" s="21">
        <v>13725380.18</v>
      </c>
    </row>
    <row r="6750" spans="1:1" x14ac:dyDescent="0.25">
      <c r="A6750" s="21">
        <v>53244541.909999996</v>
      </c>
    </row>
    <row r="6751" spans="1:1" x14ac:dyDescent="0.25">
      <c r="A6751" s="21">
        <v>6095448.75</v>
      </c>
    </row>
    <row r="6752" spans="1:1" x14ac:dyDescent="0.25">
      <c r="A6752">
        <v>0</v>
      </c>
    </row>
    <row r="6753" spans="1:1" x14ac:dyDescent="0.25">
      <c r="A6753" s="21">
        <v>13804211.9</v>
      </c>
    </row>
    <row r="6754" spans="1:1" x14ac:dyDescent="0.25">
      <c r="A6754" s="21">
        <v>27007215.940000001</v>
      </c>
    </row>
    <row r="6755" spans="1:1" x14ac:dyDescent="0.25">
      <c r="A6755" s="21">
        <v>86905355.400000006</v>
      </c>
    </row>
    <row r="6756" spans="1:1" x14ac:dyDescent="0.25">
      <c r="A6756" s="21">
        <v>67930759.409999996</v>
      </c>
    </row>
    <row r="6757" spans="1:1" x14ac:dyDescent="0.25">
      <c r="A6757" s="21">
        <v>66746767.399999999</v>
      </c>
    </row>
    <row r="6758" spans="1:1" x14ac:dyDescent="0.25">
      <c r="A6758" s="21">
        <v>225030512.03999999</v>
      </c>
    </row>
    <row r="6759" spans="1:1" x14ac:dyDescent="0.25">
      <c r="A6759" s="21">
        <v>27981138.359999999</v>
      </c>
    </row>
    <row r="6760" spans="1:1" x14ac:dyDescent="0.25">
      <c r="A6760" s="21">
        <v>32046142.09</v>
      </c>
    </row>
    <row r="6761" spans="1:1" x14ac:dyDescent="0.25">
      <c r="A6761">
        <v>5966655</v>
      </c>
    </row>
    <row r="6762" spans="1:1" x14ac:dyDescent="0.25">
      <c r="A6762" s="21">
        <v>26419030.329999998</v>
      </c>
    </row>
    <row r="6763" spans="1:1" x14ac:dyDescent="0.25">
      <c r="A6763" s="21">
        <v>51271095.689999998</v>
      </c>
    </row>
    <row r="6764" spans="1:1" x14ac:dyDescent="0.25">
      <c r="A6764" s="21">
        <v>124400545.94</v>
      </c>
    </row>
    <row r="6765" spans="1:1" x14ac:dyDescent="0.25">
      <c r="A6765" s="21">
        <v>61074852.039999999</v>
      </c>
    </row>
    <row r="6766" spans="1:1" x14ac:dyDescent="0.25">
      <c r="A6766" s="21">
        <v>31647586.600000001</v>
      </c>
    </row>
    <row r="6767" spans="1:1" x14ac:dyDescent="0.25">
      <c r="A6767" s="21">
        <v>32742144.640000001</v>
      </c>
    </row>
    <row r="6768" spans="1:1" x14ac:dyDescent="0.25">
      <c r="A6768" s="21">
        <v>8339471.9100000001</v>
      </c>
    </row>
    <row r="6769" spans="1:1" x14ac:dyDescent="0.25">
      <c r="A6769" s="21">
        <v>296324233.49000001</v>
      </c>
    </row>
    <row r="6770" spans="1:1" x14ac:dyDescent="0.25">
      <c r="A6770">
        <v>0</v>
      </c>
    </row>
    <row r="6771" spans="1:1" x14ac:dyDescent="0.25">
      <c r="A6771" s="21">
        <v>99527599.659999996</v>
      </c>
    </row>
    <row r="6772" spans="1:1" x14ac:dyDescent="0.25">
      <c r="A6772" s="21">
        <v>96009194.189999998</v>
      </c>
    </row>
    <row r="6773" spans="1:1" x14ac:dyDescent="0.25">
      <c r="A6773" s="21">
        <v>134933676.61000001</v>
      </c>
    </row>
    <row r="6774" spans="1:1" x14ac:dyDescent="0.25">
      <c r="A6774" s="21">
        <v>54361342.409999996</v>
      </c>
    </row>
    <row r="6775" spans="1:1" x14ac:dyDescent="0.25">
      <c r="A6775" s="21">
        <v>6253782.75</v>
      </c>
    </row>
    <row r="6776" spans="1:1" x14ac:dyDescent="0.25">
      <c r="A6776" s="21">
        <v>80470141.629999995</v>
      </c>
    </row>
    <row r="6777" spans="1:1" x14ac:dyDescent="0.25">
      <c r="A6777" s="21">
        <v>20720401.510000002</v>
      </c>
    </row>
    <row r="6778" spans="1:1" x14ac:dyDescent="0.25">
      <c r="A6778" s="21">
        <v>139917584.47</v>
      </c>
    </row>
    <row r="6779" spans="1:1" x14ac:dyDescent="0.25">
      <c r="A6779" s="21">
        <v>14767020.039999999</v>
      </c>
    </row>
    <row r="6780" spans="1:1" x14ac:dyDescent="0.25">
      <c r="A6780" s="21">
        <v>258493355.31999999</v>
      </c>
    </row>
    <row r="6781" spans="1:1" x14ac:dyDescent="0.25">
      <c r="A6781" s="21">
        <v>29126885.920000002</v>
      </c>
    </row>
    <row r="6782" spans="1:1" x14ac:dyDescent="0.25">
      <c r="A6782" s="21">
        <v>13011825.939999999</v>
      </c>
    </row>
    <row r="6783" spans="1:1" x14ac:dyDescent="0.25">
      <c r="A6783" s="21">
        <v>37319318.82</v>
      </c>
    </row>
    <row r="6784" spans="1:1" x14ac:dyDescent="0.25">
      <c r="A6784" s="21">
        <v>12466070.050000001</v>
      </c>
    </row>
    <row r="6785" spans="1:1" x14ac:dyDescent="0.25">
      <c r="A6785" s="21">
        <v>29907005.550000001</v>
      </c>
    </row>
    <row r="6786" spans="1:1" x14ac:dyDescent="0.25">
      <c r="A6786" s="21">
        <v>164279096.34999999</v>
      </c>
    </row>
    <row r="6787" spans="1:1" x14ac:dyDescent="0.25">
      <c r="A6787" s="21">
        <v>33043018.699999999</v>
      </c>
    </row>
    <row r="6788" spans="1:1" x14ac:dyDescent="0.25">
      <c r="A6788" s="21">
        <v>195749149.56</v>
      </c>
    </row>
    <row r="6789" spans="1:1" x14ac:dyDescent="0.25">
      <c r="A6789" s="21">
        <v>19396869.030000001</v>
      </c>
    </row>
    <row r="6790" spans="1:1" x14ac:dyDescent="0.25">
      <c r="A6790" s="21">
        <v>20722846.620000001</v>
      </c>
    </row>
    <row r="6791" spans="1:1" x14ac:dyDescent="0.25">
      <c r="A6791" s="21">
        <v>30474388.300000001</v>
      </c>
    </row>
    <row r="6792" spans="1:1" x14ac:dyDescent="0.25">
      <c r="A6792" s="21">
        <v>38157756.920000002</v>
      </c>
    </row>
    <row r="6793" spans="1:1" x14ac:dyDescent="0.25">
      <c r="A6793" s="21">
        <v>55552676.090000004</v>
      </c>
    </row>
    <row r="6794" spans="1:1" x14ac:dyDescent="0.25">
      <c r="A6794" s="21">
        <v>28468160.34</v>
      </c>
    </row>
    <row r="6795" spans="1:1" x14ac:dyDescent="0.25">
      <c r="A6795" s="21">
        <v>20871109.699999999</v>
      </c>
    </row>
    <row r="6796" spans="1:1" x14ac:dyDescent="0.25">
      <c r="A6796" s="21">
        <v>136208812.97999999</v>
      </c>
    </row>
    <row r="6797" spans="1:1" x14ac:dyDescent="0.25">
      <c r="A6797" s="21">
        <v>214618270.19</v>
      </c>
    </row>
    <row r="6798" spans="1:1" x14ac:dyDescent="0.25">
      <c r="A6798" s="21">
        <v>81449540.959999904</v>
      </c>
    </row>
    <row r="6799" spans="1:1" x14ac:dyDescent="0.25">
      <c r="A6799" s="21">
        <v>54129260.469999999</v>
      </c>
    </row>
    <row r="6800" spans="1:1" x14ac:dyDescent="0.25">
      <c r="A6800" s="21">
        <v>359287566.89999998</v>
      </c>
    </row>
    <row r="6801" spans="1:1" x14ac:dyDescent="0.25">
      <c r="A6801" s="21">
        <v>21498182.16</v>
      </c>
    </row>
    <row r="6802" spans="1:1" x14ac:dyDescent="0.25">
      <c r="A6802" s="21">
        <v>103803442.84999999</v>
      </c>
    </row>
    <row r="6803" spans="1:1" x14ac:dyDescent="0.25">
      <c r="A6803" s="21">
        <v>10009155.210000001</v>
      </c>
    </row>
    <row r="6804" spans="1:1" x14ac:dyDescent="0.25">
      <c r="A6804" s="21">
        <v>22973122.809999999</v>
      </c>
    </row>
    <row r="6805" spans="1:1" x14ac:dyDescent="0.25">
      <c r="A6805" s="21">
        <v>141141986.34999999</v>
      </c>
    </row>
    <row r="6806" spans="1:1" x14ac:dyDescent="0.25">
      <c r="A6806" s="21">
        <v>107502902.56999999</v>
      </c>
    </row>
    <row r="6807" spans="1:1" x14ac:dyDescent="0.25">
      <c r="A6807" s="21">
        <v>57998140.57</v>
      </c>
    </row>
    <row r="6808" spans="1:1" x14ac:dyDescent="0.25">
      <c r="A6808" s="21">
        <v>16553787.73</v>
      </c>
    </row>
    <row r="6809" spans="1:1" x14ac:dyDescent="0.25">
      <c r="A6809" s="21">
        <v>22372559.940000001</v>
      </c>
    </row>
    <row r="6810" spans="1:1" x14ac:dyDescent="0.25">
      <c r="A6810" s="21">
        <v>62477564.670000002</v>
      </c>
    </row>
    <row r="6811" spans="1:1" x14ac:dyDescent="0.25">
      <c r="A6811" s="21">
        <v>477065483.72000003</v>
      </c>
    </row>
    <row r="6812" spans="1:1" x14ac:dyDescent="0.25">
      <c r="A6812" s="21">
        <v>162185770.72999999</v>
      </c>
    </row>
    <row r="6813" spans="1:1" x14ac:dyDescent="0.25">
      <c r="A6813" s="21">
        <v>3999305.71</v>
      </c>
    </row>
    <row r="6814" spans="1:1" x14ac:dyDescent="0.25">
      <c r="A6814" s="21">
        <v>81868328.669999897</v>
      </c>
    </row>
    <row r="6815" spans="1:1" x14ac:dyDescent="0.25">
      <c r="A6815" s="21">
        <v>100483770.95999999</v>
      </c>
    </row>
    <row r="6816" spans="1:1" x14ac:dyDescent="0.25">
      <c r="A6816" s="21">
        <v>22748034.949999999</v>
      </c>
    </row>
    <row r="6817" spans="1:1" x14ac:dyDescent="0.25">
      <c r="A6817" s="21">
        <v>94128679.299999997</v>
      </c>
    </row>
    <row r="6818" spans="1:1" x14ac:dyDescent="0.25">
      <c r="A6818">
        <v>40502676</v>
      </c>
    </row>
    <row r="6819" spans="1:1" x14ac:dyDescent="0.25">
      <c r="A6819" s="21">
        <v>51487867.649999999</v>
      </c>
    </row>
    <row r="6820" spans="1:1" x14ac:dyDescent="0.25">
      <c r="A6820" s="21">
        <v>31306992.120000001</v>
      </c>
    </row>
    <row r="6821" spans="1:1" x14ac:dyDescent="0.25">
      <c r="A6821">
        <v>13664547</v>
      </c>
    </row>
    <row r="6822" spans="1:1" x14ac:dyDescent="0.25">
      <c r="A6822" s="21">
        <v>56015389.960000001</v>
      </c>
    </row>
    <row r="6823" spans="1:1" x14ac:dyDescent="0.25">
      <c r="A6823" s="21">
        <v>60042983.43</v>
      </c>
    </row>
    <row r="6824" spans="1:1" x14ac:dyDescent="0.25">
      <c r="A6824" s="21">
        <v>86119544.939999998</v>
      </c>
    </row>
    <row r="6825" spans="1:1" x14ac:dyDescent="0.25">
      <c r="A6825" s="21">
        <v>171565833.72999999</v>
      </c>
    </row>
    <row r="6826" spans="1:1" x14ac:dyDescent="0.25">
      <c r="A6826" s="21">
        <v>75534062.2299999</v>
      </c>
    </row>
    <row r="6827" spans="1:1" x14ac:dyDescent="0.25">
      <c r="A6827" s="21">
        <v>33843614.68</v>
      </c>
    </row>
    <row r="6828" spans="1:1" x14ac:dyDescent="0.25">
      <c r="A6828">
        <v>0</v>
      </c>
    </row>
    <row r="6829" spans="1:1" x14ac:dyDescent="0.25">
      <c r="A6829" s="21">
        <v>41139834.770000003</v>
      </c>
    </row>
    <row r="6830" spans="1:1" x14ac:dyDescent="0.25">
      <c r="A6830" s="21">
        <v>136831199.77000001</v>
      </c>
    </row>
    <row r="6831" spans="1:1" x14ac:dyDescent="0.25">
      <c r="A6831" s="21">
        <v>93070487.629999995</v>
      </c>
    </row>
    <row r="6832" spans="1:1" x14ac:dyDescent="0.25">
      <c r="A6832" s="21">
        <v>46429842.350000001</v>
      </c>
    </row>
    <row r="6833" spans="1:1" x14ac:dyDescent="0.25">
      <c r="A6833" s="21">
        <v>68226081.379999995</v>
      </c>
    </row>
    <row r="6834" spans="1:1" x14ac:dyDescent="0.25">
      <c r="A6834" s="21">
        <v>29643702.440000001</v>
      </c>
    </row>
    <row r="6835" spans="1:1" x14ac:dyDescent="0.25">
      <c r="A6835" s="21">
        <v>159289904.59</v>
      </c>
    </row>
    <row r="6836" spans="1:1" x14ac:dyDescent="0.25">
      <c r="A6836" s="21">
        <v>46539403.840000004</v>
      </c>
    </row>
    <row r="6837" spans="1:1" x14ac:dyDescent="0.25">
      <c r="A6837" s="21">
        <v>26619531.09</v>
      </c>
    </row>
    <row r="6838" spans="1:1" x14ac:dyDescent="0.25">
      <c r="A6838" s="21">
        <v>82216541.799999997</v>
      </c>
    </row>
    <row r="6839" spans="1:1" x14ac:dyDescent="0.25">
      <c r="A6839" s="21">
        <v>25650197.620000001</v>
      </c>
    </row>
    <row r="6840" spans="1:1" x14ac:dyDescent="0.25">
      <c r="A6840" s="21">
        <v>177583404.30000001</v>
      </c>
    </row>
    <row r="6841" spans="1:1" x14ac:dyDescent="0.25">
      <c r="A6841" s="21">
        <v>13001217.34</v>
      </c>
    </row>
    <row r="6842" spans="1:1" x14ac:dyDescent="0.25">
      <c r="A6842" s="21">
        <v>77157178.299999997</v>
      </c>
    </row>
    <row r="6843" spans="1:1" x14ac:dyDescent="0.25">
      <c r="A6843" s="21">
        <v>448553337.95999998</v>
      </c>
    </row>
    <row r="6844" spans="1:1" x14ac:dyDescent="0.25">
      <c r="A6844" s="21">
        <v>4369652.2300000004</v>
      </c>
    </row>
    <row r="6845" spans="1:1" x14ac:dyDescent="0.25">
      <c r="A6845" s="21">
        <v>101916089.45999999</v>
      </c>
    </row>
    <row r="6846" spans="1:1" x14ac:dyDescent="0.25">
      <c r="A6846" s="21">
        <v>39760312.850000001</v>
      </c>
    </row>
    <row r="6847" spans="1:1" x14ac:dyDescent="0.25">
      <c r="A6847" s="21">
        <v>318074575.49000001</v>
      </c>
    </row>
    <row r="6848" spans="1:1" x14ac:dyDescent="0.25">
      <c r="A6848" s="21">
        <v>6156256.5</v>
      </c>
    </row>
    <row r="6849" spans="1:1" x14ac:dyDescent="0.25">
      <c r="A6849" s="21">
        <v>72397690.920000002</v>
      </c>
    </row>
    <row r="6850" spans="1:1" x14ac:dyDescent="0.25">
      <c r="A6850" s="21">
        <v>21208667.899999999</v>
      </c>
    </row>
    <row r="6851" spans="1:1" x14ac:dyDescent="0.25">
      <c r="A6851" s="21">
        <v>50693014.390000001</v>
      </c>
    </row>
    <row r="6852" spans="1:1" x14ac:dyDescent="0.25">
      <c r="A6852" s="21">
        <v>53886190.289999999</v>
      </c>
    </row>
    <row r="6853" spans="1:1" x14ac:dyDescent="0.25">
      <c r="A6853" s="21">
        <v>16013340.609999999</v>
      </c>
    </row>
    <row r="6854" spans="1:1" x14ac:dyDescent="0.25">
      <c r="A6854" s="21">
        <v>325557671.27999997</v>
      </c>
    </row>
    <row r="6855" spans="1:1" x14ac:dyDescent="0.25">
      <c r="A6855" s="21">
        <v>36115790.159999996</v>
      </c>
    </row>
    <row r="6856" spans="1:1" x14ac:dyDescent="0.25">
      <c r="A6856" s="21">
        <v>65933179.600000001</v>
      </c>
    </row>
    <row r="6857" spans="1:1" x14ac:dyDescent="0.25">
      <c r="A6857" s="21">
        <v>4245746.45</v>
      </c>
    </row>
    <row r="6858" spans="1:1" x14ac:dyDescent="0.25">
      <c r="A6858" s="21">
        <v>93567759.329999998</v>
      </c>
    </row>
    <row r="6859" spans="1:1" x14ac:dyDescent="0.25">
      <c r="A6859" s="21">
        <v>20319353.949999999</v>
      </c>
    </row>
    <row r="6860" spans="1:1" x14ac:dyDescent="0.25">
      <c r="A6860" s="21">
        <v>138710351.88</v>
      </c>
    </row>
    <row r="6861" spans="1:1" x14ac:dyDescent="0.25">
      <c r="A6861" s="21">
        <v>32058900.940000001</v>
      </c>
    </row>
    <row r="6862" spans="1:1" x14ac:dyDescent="0.25">
      <c r="A6862">
        <v>0</v>
      </c>
    </row>
    <row r="6863" spans="1:1" x14ac:dyDescent="0.25">
      <c r="A6863" s="21">
        <v>67355380.790000007</v>
      </c>
    </row>
    <row r="6864" spans="1:1" x14ac:dyDescent="0.25">
      <c r="A6864" s="21">
        <v>58103745.700000003</v>
      </c>
    </row>
    <row r="6865" spans="1:1" x14ac:dyDescent="0.25">
      <c r="A6865" s="21">
        <v>31267587.219999999</v>
      </c>
    </row>
    <row r="6866" spans="1:1" x14ac:dyDescent="0.25">
      <c r="A6866" s="21">
        <v>46009601.299999997</v>
      </c>
    </row>
    <row r="6867" spans="1:1" x14ac:dyDescent="0.25">
      <c r="A6867" s="21">
        <v>68927712.400000006</v>
      </c>
    </row>
    <row r="6868" spans="1:1" x14ac:dyDescent="0.25">
      <c r="A6868" s="21">
        <v>4184897.72</v>
      </c>
    </row>
    <row r="6869" spans="1:1" x14ac:dyDescent="0.25">
      <c r="A6869" s="21">
        <v>34296478.439999998</v>
      </c>
    </row>
    <row r="6870" spans="1:1" x14ac:dyDescent="0.25">
      <c r="A6870" s="21">
        <v>19804382.25</v>
      </c>
    </row>
    <row r="6871" spans="1:1" x14ac:dyDescent="0.25">
      <c r="A6871" s="21">
        <v>31195498.629999999</v>
      </c>
    </row>
    <row r="6872" spans="1:1" x14ac:dyDescent="0.25">
      <c r="A6872" s="21">
        <v>9167844.5999999996</v>
      </c>
    </row>
    <row r="6873" spans="1:1" x14ac:dyDescent="0.25">
      <c r="A6873" s="21">
        <v>57204832.93</v>
      </c>
    </row>
    <row r="6874" spans="1:1" x14ac:dyDescent="0.25">
      <c r="A6874" s="21">
        <v>72602446.989999995</v>
      </c>
    </row>
    <row r="6875" spans="1:1" x14ac:dyDescent="0.25">
      <c r="A6875" s="21">
        <v>90387950.930000007</v>
      </c>
    </row>
    <row r="6876" spans="1:1" x14ac:dyDescent="0.25">
      <c r="A6876" s="21">
        <v>5450746.5</v>
      </c>
    </row>
    <row r="6877" spans="1:1" x14ac:dyDescent="0.25">
      <c r="A6877" s="21">
        <v>173460177.03</v>
      </c>
    </row>
    <row r="6878" spans="1:1" x14ac:dyDescent="0.25">
      <c r="A6878" s="21">
        <v>10550370.07</v>
      </c>
    </row>
    <row r="6879" spans="1:1" x14ac:dyDescent="0.25">
      <c r="A6879" s="21">
        <v>20560833.84</v>
      </c>
    </row>
    <row r="6880" spans="1:1" x14ac:dyDescent="0.25">
      <c r="A6880" s="21">
        <v>27275917.57</v>
      </c>
    </row>
    <row r="6881" spans="1:1" x14ac:dyDescent="0.25">
      <c r="A6881" s="21">
        <v>125850569.37</v>
      </c>
    </row>
    <row r="6882" spans="1:1" x14ac:dyDescent="0.25">
      <c r="A6882" s="21">
        <v>13711161.470000001</v>
      </c>
    </row>
    <row r="6883" spans="1:1" x14ac:dyDescent="0.25">
      <c r="A6883">
        <v>0</v>
      </c>
    </row>
    <row r="6884" spans="1:1" x14ac:dyDescent="0.25">
      <c r="A6884" s="21">
        <v>264602410.97999999</v>
      </c>
    </row>
    <row r="6885" spans="1:1" x14ac:dyDescent="0.25">
      <c r="A6885" s="21">
        <v>103970840.25</v>
      </c>
    </row>
    <row r="6886" spans="1:1" x14ac:dyDescent="0.25">
      <c r="A6886" s="21">
        <v>64208694.100000001</v>
      </c>
    </row>
    <row r="6887" spans="1:1" x14ac:dyDescent="0.25">
      <c r="A6887" s="21">
        <v>16490370.84</v>
      </c>
    </row>
    <row r="6888" spans="1:1" x14ac:dyDescent="0.25">
      <c r="A6888" s="21">
        <v>36583246.829999998</v>
      </c>
    </row>
    <row r="6889" spans="1:1" x14ac:dyDescent="0.25">
      <c r="A6889" s="21">
        <v>122932761.94</v>
      </c>
    </row>
    <row r="6890" spans="1:1" x14ac:dyDescent="0.25">
      <c r="A6890" s="21">
        <v>97292576.670000002</v>
      </c>
    </row>
    <row r="6891" spans="1:1" x14ac:dyDescent="0.25">
      <c r="A6891" s="21">
        <v>6882193.5</v>
      </c>
    </row>
    <row r="6892" spans="1:1" x14ac:dyDescent="0.25">
      <c r="A6892" s="21">
        <v>57875156.640000001</v>
      </c>
    </row>
    <row r="6893" spans="1:1" x14ac:dyDescent="0.25">
      <c r="A6893" s="21">
        <v>255763999.66</v>
      </c>
    </row>
    <row r="6894" spans="1:1" x14ac:dyDescent="0.25">
      <c r="A6894" s="21">
        <v>103389868.87</v>
      </c>
    </row>
    <row r="6895" spans="1:1" x14ac:dyDescent="0.25">
      <c r="A6895" s="21">
        <v>14277176.789999999</v>
      </c>
    </row>
    <row r="6896" spans="1:1" x14ac:dyDescent="0.25">
      <c r="A6896" s="21">
        <v>22249179.07</v>
      </c>
    </row>
    <row r="6897" spans="1:1" x14ac:dyDescent="0.25">
      <c r="A6897" s="21">
        <v>74648645.709999993</v>
      </c>
    </row>
    <row r="6898" spans="1:1" x14ac:dyDescent="0.25">
      <c r="A6898" s="21">
        <v>39123189.329999998</v>
      </c>
    </row>
    <row r="6899" spans="1:1" x14ac:dyDescent="0.25">
      <c r="A6899" s="21">
        <v>47553322.659999996</v>
      </c>
    </row>
    <row r="6900" spans="1:1" x14ac:dyDescent="0.25">
      <c r="A6900" s="21">
        <v>200361711.36000001</v>
      </c>
    </row>
    <row r="6901" spans="1:1" x14ac:dyDescent="0.25">
      <c r="A6901">
        <v>0</v>
      </c>
    </row>
    <row r="6902" spans="1:1" x14ac:dyDescent="0.25">
      <c r="A6902" s="21">
        <v>87361488.920000002</v>
      </c>
    </row>
    <row r="6903" spans="1:1" x14ac:dyDescent="0.25">
      <c r="A6903" s="21">
        <v>431499303.05000001</v>
      </c>
    </row>
    <row r="6904" spans="1:1" x14ac:dyDescent="0.25">
      <c r="A6904" s="21">
        <v>20505796.5</v>
      </c>
    </row>
    <row r="6905" spans="1:1" x14ac:dyDescent="0.25">
      <c r="A6905" s="21">
        <v>22965902.66</v>
      </c>
    </row>
    <row r="6906" spans="1:1" x14ac:dyDescent="0.25">
      <c r="A6906">
        <v>12593241</v>
      </c>
    </row>
    <row r="6907" spans="1:1" x14ac:dyDescent="0.25">
      <c r="A6907" s="21">
        <v>68344174.030000001</v>
      </c>
    </row>
    <row r="6908" spans="1:1" x14ac:dyDescent="0.25">
      <c r="A6908" s="21">
        <v>50314900.560000002</v>
      </c>
    </row>
    <row r="6909" spans="1:1" x14ac:dyDescent="0.25">
      <c r="A6909" s="21">
        <v>7388150.2999999998</v>
      </c>
    </row>
    <row r="6910" spans="1:1" x14ac:dyDescent="0.25">
      <c r="A6910" s="21">
        <v>19357934.25</v>
      </c>
    </row>
    <row r="6911" spans="1:1" x14ac:dyDescent="0.25">
      <c r="A6911" s="21">
        <v>15991880.41</v>
      </c>
    </row>
    <row r="6912" spans="1:1" x14ac:dyDescent="0.25">
      <c r="A6912" s="21">
        <v>95586502.620000005</v>
      </c>
    </row>
    <row r="6913" spans="1:1" x14ac:dyDescent="0.25">
      <c r="A6913" s="21">
        <v>26788658.07</v>
      </c>
    </row>
    <row r="6914" spans="1:1" x14ac:dyDescent="0.25">
      <c r="A6914" s="21">
        <v>195161091.15000001</v>
      </c>
    </row>
    <row r="6915" spans="1:1" x14ac:dyDescent="0.25">
      <c r="A6915" s="21">
        <v>116136055.61</v>
      </c>
    </row>
    <row r="6916" spans="1:1" x14ac:dyDescent="0.25">
      <c r="A6916" s="21">
        <v>202028091.43000001</v>
      </c>
    </row>
    <row r="6917" spans="1:1" x14ac:dyDescent="0.25">
      <c r="A6917" s="21">
        <v>24509387.920000002</v>
      </c>
    </row>
    <row r="6918" spans="1:1" x14ac:dyDescent="0.25">
      <c r="A6918" s="21">
        <v>74961556.760000005</v>
      </c>
    </row>
    <row r="6919" spans="1:1" x14ac:dyDescent="0.25">
      <c r="A6919" s="21">
        <v>58847256.289999999</v>
      </c>
    </row>
    <row r="6920" spans="1:1" x14ac:dyDescent="0.25">
      <c r="A6920" s="21">
        <v>36195709.5</v>
      </c>
    </row>
    <row r="6921" spans="1:1" x14ac:dyDescent="0.25">
      <c r="A6921" s="21">
        <v>170675642.41</v>
      </c>
    </row>
    <row r="6922" spans="1:1" x14ac:dyDescent="0.25">
      <c r="A6922">
        <v>0</v>
      </c>
    </row>
    <row r="6923" spans="1:1" x14ac:dyDescent="0.25">
      <c r="A6923" s="21">
        <v>40056176.450000003</v>
      </c>
    </row>
    <row r="6924" spans="1:1" x14ac:dyDescent="0.25">
      <c r="A6924" s="21">
        <v>139732607.37</v>
      </c>
    </row>
    <row r="6925" spans="1:1" x14ac:dyDescent="0.25">
      <c r="A6925" s="21">
        <v>7691042.5599999996</v>
      </c>
    </row>
    <row r="6926" spans="1:1" x14ac:dyDescent="0.25">
      <c r="A6926" s="21">
        <v>26602375.510000002</v>
      </c>
    </row>
    <row r="6927" spans="1:1" x14ac:dyDescent="0.25">
      <c r="A6927" s="21">
        <v>47738116.380000003</v>
      </c>
    </row>
    <row r="6928" spans="1:1" x14ac:dyDescent="0.25">
      <c r="A6928" s="21">
        <v>97684079.439999998</v>
      </c>
    </row>
    <row r="6929" spans="1:1" x14ac:dyDescent="0.25">
      <c r="A6929">
        <v>0</v>
      </c>
    </row>
    <row r="6930" spans="1:1" x14ac:dyDescent="0.25">
      <c r="A6930" s="21">
        <v>27863292.41</v>
      </c>
    </row>
    <row r="6931" spans="1:1" x14ac:dyDescent="0.25">
      <c r="A6931" s="21">
        <v>75011083.039999902</v>
      </c>
    </row>
    <row r="6932" spans="1:1" x14ac:dyDescent="0.25">
      <c r="A6932" s="21">
        <v>28386543.219999999</v>
      </c>
    </row>
    <row r="6933" spans="1:1" x14ac:dyDescent="0.25">
      <c r="A6933">
        <v>0</v>
      </c>
    </row>
    <row r="6934" spans="1:1" x14ac:dyDescent="0.25">
      <c r="A6934" s="21">
        <v>6357437.25</v>
      </c>
    </row>
    <row r="6935" spans="1:1" x14ac:dyDescent="0.25">
      <c r="A6935" s="21">
        <v>102758424.98</v>
      </c>
    </row>
    <row r="6936" spans="1:1" x14ac:dyDescent="0.25">
      <c r="A6936" s="21">
        <v>182878623.66999999</v>
      </c>
    </row>
    <row r="6937" spans="1:1" x14ac:dyDescent="0.25">
      <c r="A6937" s="21">
        <v>99593821.370000005</v>
      </c>
    </row>
    <row r="6938" spans="1:1" x14ac:dyDescent="0.25">
      <c r="A6938" s="21">
        <v>61499286.960000001</v>
      </c>
    </row>
    <row r="6939" spans="1:1" x14ac:dyDescent="0.25">
      <c r="A6939" s="21">
        <v>66689103.170000002</v>
      </c>
    </row>
    <row r="6940" spans="1:1" x14ac:dyDescent="0.25">
      <c r="A6940" s="21">
        <v>124975934.39</v>
      </c>
    </row>
    <row r="6941" spans="1:1" x14ac:dyDescent="0.25">
      <c r="A6941" s="21">
        <v>48654582.479999997</v>
      </c>
    </row>
    <row r="6942" spans="1:1" x14ac:dyDescent="0.25">
      <c r="A6942" s="21">
        <v>150842950.69999999</v>
      </c>
    </row>
    <row r="6943" spans="1:1" x14ac:dyDescent="0.25">
      <c r="A6943" s="21">
        <v>84064098.659999996</v>
      </c>
    </row>
    <row r="6944" spans="1:1" x14ac:dyDescent="0.25">
      <c r="A6944" s="21">
        <v>18284096.649999999</v>
      </c>
    </row>
    <row r="6945" spans="1:1" x14ac:dyDescent="0.25">
      <c r="A6945" s="21">
        <v>3881402.46</v>
      </c>
    </row>
    <row r="6946" spans="1:1" x14ac:dyDescent="0.25">
      <c r="A6946" s="21">
        <v>11566425.75</v>
      </c>
    </row>
    <row r="6947" spans="1:1" x14ac:dyDescent="0.25">
      <c r="A6947" s="21">
        <v>69434627.5</v>
      </c>
    </row>
    <row r="6948" spans="1:1" x14ac:dyDescent="0.25">
      <c r="A6948" s="21">
        <v>106366297.81999999</v>
      </c>
    </row>
    <row r="6949" spans="1:1" x14ac:dyDescent="0.25">
      <c r="A6949" s="21">
        <v>29505194.960000001</v>
      </c>
    </row>
    <row r="6950" spans="1:1" x14ac:dyDescent="0.25">
      <c r="A6950" s="21">
        <v>47095588.539999999</v>
      </c>
    </row>
    <row r="6951" spans="1:1" x14ac:dyDescent="0.25">
      <c r="A6951" s="21">
        <v>42058492.399999999</v>
      </c>
    </row>
    <row r="6952" spans="1:1" x14ac:dyDescent="0.25">
      <c r="A6952" s="21">
        <v>10116321.289999999</v>
      </c>
    </row>
    <row r="6953" spans="1:1" x14ac:dyDescent="0.25">
      <c r="A6953" s="21">
        <v>19981772.32</v>
      </c>
    </row>
    <row r="6954" spans="1:1" x14ac:dyDescent="0.25">
      <c r="A6954" s="21">
        <v>30479066.100000001</v>
      </c>
    </row>
    <row r="6955" spans="1:1" x14ac:dyDescent="0.25">
      <c r="A6955" s="21">
        <v>231813129.489999</v>
      </c>
    </row>
    <row r="6956" spans="1:1" x14ac:dyDescent="0.25">
      <c r="A6956" s="21">
        <v>84768652.329999998</v>
      </c>
    </row>
    <row r="6957" spans="1:1" x14ac:dyDescent="0.25">
      <c r="A6957" s="21">
        <v>117881066.06999999</v>
      </c>
    </row>
    <row r="6958" spans="1:1" x14ac:dyDescent="0.25">
      <c r="A6958" s="21">
        <v>5591055.75</v>
      </c>
    </row>
    <row r="6959" spans="1:1" x14ac:dyDescent="0.25">
      <c r="A6959" s="21">
        <v>39795980.450000003</v>
      </c>
    </row>
    <row r="6960" spans="1:1" x14ac:dyDescent="0.25">
      <c r="A6960" s="21">
        <v>25288069.850000001</v>
      </c>
    </row>
    <row r="6961" spans="1:1" x14ac:dyDescent="0.25">
      <c r="A6961" s="21">
        <v>11965631.43</v>
      </c>
    </row>
    <row r="6962" spans="1:1" x14ac:dyDescent="0.25">
      <c r="A6962" s="21">
        <v>62495328.859999903</v>
      </c>
    </row>
    <row r="6963" spans="1:1" x14ac:dyDescent="0.25">
      <c r="A6963" s="21">
        <v>20255781.920000002</v>
      </c>
    </row>
    <row r="6964" spans="1:1" x14ac:dyDescent="0.25">
      <c r="A6964" s="21">
        <v>67862850.319999993</v>
      </c>
    </row>
    <row r="6965" spans="1:1" x14ac:dyDescent="0.25">
      <c r="A6965" s="21">
        <v>66648578.560000002</v>
      </c>
    </row>
    <row r="6966" spans="1:1" x14ac:dyDescent="0.25">
      <c r="A6966" s="21">
        <v>44778128.25</v>
      </c>
    </row>
    <row r="6967" spans="1:1" x14ac:dyDescent="0.25">
      <c r="A6967">
        <v>0</v>
      </c>
    </row>
    <row r="6968" spans="1:1" x14ac:dyDescent="0.25">
      <c r="A6968" s="21">
        <v>37581091.079999998</v>
      </c>
    </row>
    <row r="6969" spans="1:1" x14ac:dyDescent="0.25">
      <c r="A6969" s="21">
        <v>222089996.06</v>
      </c>
    </row>
    <row r="6970" spans="1:1" x14ac:dyDescent="0.25">
      <c r="A6970" s="21">
        <v>4128480.37</v>
      </c>
    </row>
    <row r="6971" spans="1:1" x14ac:dyDescent="0.25">
      <c r="A6971" s="21">
        <v>20812201.460000001</v>
      </c>
    </row>
    <row r="6972" spans="1:1" x14ac:dyDescent="0.25">
      <c r="A6972" s="21">
        <v>104870026.68000001</v>
      </c>
    </row>
    <row r="6973" spans="1:1" x14ac:dyDescent="0.25">
      <c r="A6973" s="21">
        <v>33792449.939999998</v>
      </c>
    </row>
    <row r="6974" spans="1:1" x14ac:dyDescent="0.25">
      <c r="A6974" s="21">
        <v>48414007.060000002</v>
      </c>
    </row>
    <row r="6975" spans="1:1" x14ac:dyDescent="0.25">
      <c r="A6975" s="21">
        <v>104284634.88</v>
      </c>
    </row>
    <row r="6976" spans="1:1" x14ac:dyDescent="0.25">
      <c r="A6976" s="21">
        <v>40202077.390000001</v>
      </c>
    </row>
    <row r="6977" spans="1:1" x14ac:dyDescent="0.25">
      <c r="A6977" s="21">
        <v>40917587.039999999</v>
      </c>
    </row>
    <row r="6978" spans="1:1" x14ac:dyDescent="0.25">
      <c r="A6978" s="21">
        <v>55435007.539999999</v>
      </c>
    </row>
    <row r="6979" spans="1:1" x14ac:dyDescent="0.25">
      <c r="A6979">
        <v>67493845</v>
      </c>
    </row>
    <row r="6980" spans="1:1" x14ac:dyDescent="0.25">
      <c r="A6980" s="21">
        <v>95452260.219999999</v>
      </c>
    </row>
    <row r="6981" spans="1:1" x14ac:dyDescent="0.25">
      <c r="A6981" s="21">
        <v>14634905.25</v>
      </c>
    </row>
    <row r="6982" spans="1:1" x14ac:dyDescent="0.25">
      <c r="A6982">
        <v>0</v>
      </c>
    </row>
    <row r="6983" spans="1:1" x14ac:dyDescent="0.25">
      <c r="A6983" s="21">
        <v>10161238.23</v>
      </c>
    </row>
    <row r="6984" spans="1:1" x14ac:dyDescent="0.25">
      <c r="A6984" s="21">
        <v>49536648.119999997</v>
      </c>
    </row>
    <row r="6985" spans="1:1" x14ac:dyDescent="0.25">
      <c r="A6985" s="21">
        <v>155144379.91</v>
      </c>
    </row>
    <row r="6986" spans="1:1" x14ac:dyDescent="0.25">
      <c r="A6986" s="21">
        <v>151472077.33000001</v>
      </c>
    </row>
    <row r="6987" spans="1:1" x14ac:dyDescent="0.25">
      <c r="A6987" s="21">
        <v>121818261.45</v>
      </c>
    </row>
    <row r="6988" spans="1:1" x14ac:dyDescent="0.25">
      <c r="A6988" s="21">
        <v>26147908.109999999</v>
      </c>
    </row>
    <row r="6989" spans="1:1" x14ac:dyDescent="0.25">
      <c r="A6989" s="21">
        <v>3147215.12</v>
      </c>
    </row>
    <row r="6990" spans="1:1" x14ac:dyDescent="0.25">
      <c r="A6990" s="21">
        <v>27274420.43</v>
      </c>
    </row>
    <row r="6991" spans="1:1" x14ac:dyDescent="0.25">
      <c r="A6991" s="21">
        <v>375828052.25</v>
      </c>
    </row>
    <row r="6992" spans="1:1" x14ac:dyDescent="0.25">
      <c r="A6992" s="21">
        <v>125711432.18000001</v>
      </c>
    </row>
    <row r="6993" spans="1:1" x14ac:dyDescent="0.25">
      <c r="A6993" s="21">
        <v>31689994.329999998</v>
      </c>
    </row>
    <row r="6994" spans="1:1" x14ac:dyDescent="0.25">
      <c r="A6994" s="21">
        <v>142826222.59</v>
      </c>
    </row>
    <row r="6995" spans="1:1" x14ac:dyDescent="0.25">
      <c r="A6995" s="21">
        <v>21708860.73</v>
      </c>
    </row>
    <row r="6996" spans="1:1" x14ac:dyDescent="0.25">
      <c r="A6996" s="21">
        <v>15749686.49</v>
      </c>
    </row>
    <row r="6997" spans="1:1" x14ac:dyDescent="0.25">
      <c r="A6997" s="21">
        <v>60835970.349999897</v>
      </c>
    </row>
    <row r="6998" spans="1:1" x14ac:dyDescent="0.25">
      <c r="A6998" s="21">
        <v>6268849.5</v>
      </c>
    </row>
    <row r="6999" spans="1:1" x14ac:dyDescent="0.25">
      <c r="A6999" s="21">
        <v>5924729.5999999996</v>
      </c>
    </row>
    <row r="7000" spans="1:1" x14ac:dyDescent="0.25">
      <c r="A7000" s="21">
        <v>110907263.65000001</v>
      </c>
    </row>
    <row r="7001" spans="1:1" x14ac:dyDescent="0.25">
      <c r="A7001" s="21">
        <v>7770009.4299999997</v>
      </c>
    </row>
    <row r="7002" spans="1:1" x14ac:dyDescent="0.25">
      <c r="A7002" s="21">
        <v>47234554.710000001</v>
      </c>
    </row>
    <row r="7003" spans="1:1" x14ac:dyDescent="0.25">
      <c r="A7003" s="21">
        <v>5885468.25</v>
      </c>
    </row>
    <row r="7004" spans="1:1" x14ac:dyDescent="0.25">
      <c r="A7004" s="21">
        <v>78198248.180000007</v>
      </c>
    </row>
    <row r="7005" spans="1:1" x14ac:dyDescent="0.25">
      <c r="A7005" s="21">
        <v>37082523.649999999</v>
      </c>
    </row>
    <row r="7006" spans="1:1" x14ac:dyDescent="0.25">
      <c r="A7006">
        <v>0</v>
      </c>
    </row>
    <row r="7007" spans="1:1" x14ac:dyDescent="0.25">
      <c r="A7007" s="21">
        <v>224698397.27000001</v>
      </c>
    </row>
    <row r="7008" spans="1:1" x14ac:dyDescent="0.25">
      <c r="A7008">
        <v>0</v>
      </c>
    </row>
    <row r="7009" spans="1:1" x14ac:dyDescent="0.25">
      <c r="A7009" s="21">
        <v>110626475.66</v>
      </c>
    </row>
    <row r="7010" spans="1:1" x14ac:dyDescent="0.25">
      <c r="A7010" s="21">
        <v>445029267.55999899</v>
      </c>
    </row>
    <row r="7011" spans="1:1" x14ac:dyDescent="0.25">
      <c r="A7011">
        <v>0</v>
      </c>
    </row>
    <row r="7012" spans="1:1" x14ac:dyDescent="0.25">
      <c r="A7012" s="21">
        <v>107433276.48</v>
      </c>
    </row>
    <row r="7013" spans="1:1" x14ac:dyDescent="0.25">
      <c r="A7013" s="21">
        <v>40991620.600000001</v>
      </c>
    </row>
    <row r="7014" spans="1:1" x14ac:dyDescent="0.25">
      <c r="A7014">
        <v>88099863</v>
      </c>
    </row>
    <row r="7015" spans="1:1" x14ac:dyDescent="0.25">
      <c r="A7015" s="21">
        <v>35202493.030000001</v>
      </c>
    </row>
    <row r="7016" spans="1:1" x14ac:dyDescent="0.25">
      <c r="A7016" s="21">
        <v>110937072.72</v>
      </c>
    </row>
    <row r="7017" spans="1:1" x14ac:dyDescent="0.25">
      <c r="A7017" s="21">
        <v>325779889.26999998</v>
      </c>
    </row>
    <row r="7018" spans="1:1" x14ac:dyDescent="0.25">
      <c r="A7018" s="21">
        <v>14400612.029999999</v>
      </c>
    </row>
    <row r="7019" spans="1:1" x14ac:dyDescent="0.25">
      <c r="A7019" s="21">
        <v>17548520.48</v>
      </c>
    </row>
    <row r="7020" spans="1:1" x14ac:dyDescent="0.25">
      <c r="A7020" s="21">
        <v>44470332.700000003</v>
      </c>
    </row>
    <row r="7021" spans="1:1" x14ac:dyDescent="0.25">
      <c r="A7021" s="21">
        <v>177228147.90000001</v>
      </c>
    </row>
    <row r="7022" spans="1:1" x14ac:dyDescent="0.25">
      <c r="A7022" s="21">
        <v>20845729.260000002</v>
      </c>
    </row>
    <row r="7023" spans="1:1" x14ac:dyDescent="0.25">
      <c r="A7023" s="21">
        <v>124416342.64</v>
      </c>
    </row>
    <row r="7024" spans="1:1" x14ac:dyDescent="0.25">
      <c r="A7024" s="21">
        <v>212620176.58000001</v>
      </c>
    </row>
    <row r="7025" spans="1:1" x14ac:dyDescent="0.25">
      <c r="A7025" s="21">
        <v>4687802.4000000004</v>
      </c>
    </row>
    <row r="7026" spans="1:1" x14ac:dyDescent="0.25">
      <c r="A7026" s="21">
        <v>92076003.030000001</v>
      </c>
    </row>
    <row r="7027" spans="1:1" x14ac:dyDescent="0.25">
      <c r="A7027" s="21">
        <v>25415941.199999999</v>
      </c>
    </row>
    <row r="7028" spans="1:1" x14ac:dyDescent="0.25">
      <c r="A7028">
        <v>0</v>
      </c>
    </row>
    <row r="7029" spans="1:1" x14ac:dyDescent="0.25">
      <c r="A7029" s="21">
        <v>329412370.39999998</v>
      </c>
    </row>
    <row r="7030" spans="1:1" x14ac:dyDescent="0.25">
      <c r="A7030" s="21">
        <v>141206891.88999999</v>
      </c>
    </row>
    <row r="7031" spans="1:1" x14ac:dyDescent="0.25">
      <c r="A7031" s="21">
        <v>165606466.53999999</v>
      </c>
    </row>
    <row r="7032" spans="1:1" x14ac:dyDescent="0.25">
      <c r="A7032" s="21">
        <v>17313438.09</v>
      </c>
    </row>
    <row r="7033" spans="1:1" x14ac:dyDescent="0.25">
      <c r="A7033" s="21">
        <v>431922068.03999901</v>
      </c>
    </row>
    <row r="7034" spans="1:1" x14ac:dyDescent="0.25">
      <c r="A7034" s="21">
        <v>69489628.25</v>
      </c>
    </row>
    <row r="7035" spans="1:1" x14ac:dyDescent="0.25">
      <c r="A7035">
        <v>0</v>
      </c>
    </row>
    <row r="7036" spans="1:1" x14ac:dyDescent="0.25">
      <c r="A7036" s="21">
        <v>41236738.140000001</v>
      </c>
    </row>
    <row r="7037" spans="1:1" x14ac:dyDescent="0.25">
      <c r="A7037" s="21">
        <v>3467254.02</v>
      </c>
    </row>
    <row r="7038" spans="1:1" x14ac:dyDescent="0.25">
      <c r="A7038" s="21">
        <v>41751529.240000002</v>
      </c>
    </row>
    <row r="7039" spans="1:1" x14ac:dyDescent="0.25">
      <c r="A7039" s="21">
        <v>22283466.350000001</v>
      </c>
    </row>
    <row r="7040" spans="1:1" x14ac:dyDescent="0.25">
      <c r="A7040">
        <v>56460337</v>
      </c>
    </row>
    <row r="7041" spans="1:1" x14ac:dyDescent="0.25">
      <c r="A7041" s="21">
        <v>53234445.719999999</v>
      </c>
    </row>
    <row r="7042" spans="1:1" x14ac:dyDescent="0.25">
      <c r="A7042" s="21">
        <v>29727100.050000001</v>
      </c>
    </row>
    <row r="7043" spans="1:1" x14ac:dyDescent="0.25">
      <c r="A7043" s="21">
        <v>27323283.32</v>
      </c>
    </row>
    <row r="7044" spans="1:1" x14ac:dyDescent="0.25">
      <c r="A7044" s="21">
        <v>10230703.390000001</v>
      </c>
    </row>
    <row r="7045" spans="1:1" x14ac:dyDescent="0.25">
      <c r="A7045" s="21">
        <v>74790896.799999997</v>
      </c>
    </row>
    <row r="7046" spans="1:1" x14ac:dyDescent="0.25">
      <c r="A7046" s="21">
        <v>17644003.649999999</v>
      </c>
    </row>
    <row r="7047" spans="1:1" x14ac:dyDescent="0.25">
      <c r="A7047" s="21">
        <v>6904443.7999999998</v>
      </c>
    </row>
    <row r="7048" spans="1:1" x14ac:dyDescent="0.25">
      <c r="A7048" s="21">
        <v>7100577.5899999999</v>
      </c>
    </row>
    <row r="7049" spans="1:1" x14ac:dyDescent="0.25">
      <c r="A7049" s="21">
        <v>82952757.450000003</v>
      </c>
    </row>
    <row r="7050" spans="1:1" x14ac:dyDescent="0.25">
      <c r="A7050" s="21">
        <v>29936947.059999999</v>
      </c>
    </row>
    <row r="7051" spans="1:1" x14ac:dyDescent="0.25">
      <c r="A7051" s="21">
        <v>124448579.98999999</v>
      </c>
    </row>
    <row r="7052" spans="1:1" x14ac:dyDescent="0.25">
      <c r="A7052" s="21">
        <v>22119037.870000001</v>
      </c>
    </row>
    <row r="7053" spans="1:1" x14ac:dyDescent="0.25">
      <c r="A7053" s="21">
        <v>14567788.640000001</v>
      </c>
    </row>
    <row r="7054" spans="1:1" x14ac:dyDescent="0.25">
      <c r="A7054" s="21">
        <v>71262174.390000001</v>
      </c>
    </row>
    <row r="7055" spans="1:1" x14ac:dyDescent="0.25">
      <c r="A7055" s="21">
        <v>18227092.25</v>
      </c>
    </row>
    <row r="7056" spans="1:1" x14ac:dyDescent="0.25">
      <c r="A7056" s="21">
        <v>44677555.759999998</v>
      </c>
    </row>
    <row r="7057" spans="1:1" x14ac:dyDescent="0.25">
      <c r="A7057" s="21">
        <v>182921605.63</v>
      </c>
    </row>
    <row r="7058" spans="1:1" x14ac:dyDescent="0.25">
      <c r="A7058" s="21">
        <v>83592990.849999994</v>
      </c>
    </row>
    <row r="7059" spans="1:1" x14ac:dyDescent="0.25">
      <c r="A7059" s="21">
        <v>11463738.859999999</v>
      </c>
    </row>
    <row r="7060" spans="1:1" x14ac:dyDescent="0.25">
      <c r="A7060" s="21">
        <v>503878537.99000001</v>
      </c>
    </row>
    <row r="7061" spans="1:1" x14ac:dyDescent="0.25">
      <c r="A7061" s="21">
        <v>65676715.799999997</v>
      </c>
    </row>
    <row r="7062" spans="1:1" x14ac:dyDescent="0.25">
      <c r="A7062" s="21">
        <v>311119791.72000003</v>
      </c>
    </row>
    <row r="7063" spans="1:1" x14ac:dyDescent="0.25">
      <c r="A7063" s="21">
        <v>99698266.060000002</v>
      </c>
    </row>
    <row r="7064" spans="1:1" x14ac:dyDescent="0.25">
      <c r="A7064" s="21">
        <v>86484572.140000001</v>
      </c>
    </row>
    <row r="7065" spans="1:1" x14ac:dyDescent="0.25">
      <c r="A7065" s="21">
        <v>528879790.80000001</v>
      </c>
    </row>
    <row r="7066" spans="1:1" x14ac:dyDescent="0.25">
      <c r="A7066" s="21">
        <v>104652735.29000001</v>
      </c>
    </row>
    <row r="7067" spans="1:1" x14ac:dyDescent="0.25">
      <c r="A7067" s="21">
        <v>172475857.34</v>
      </c>
    </row>
    <row r="7068" spans="1:1" x14ac:dyDescent="0.25">
      <c r="A7068" s="21">
        <v>78744633.459999993</v>
      </c>
    </row>
    <row r="7069" spans="1:1" x14ac:dyDescent="0.25">
      <c r="A7069" s="21">
        <v>51135541.189999998</v>
      </c>
    </row>
    <row r="7070" spans="1:1" x14ac:dyDescent="0.25">
      <c r="A7070" s="21">
        <v>10849370.720000001</v>
      </c>
    </row>
    <row r="7071" spans="1:1" x14ac:dyDescent="0.25">
      <c r="A7071" s="21">
        <v>188033826.59</v>
      </c>
    </row>
    <row r="7072" spans="1:1" x14ac:dyDescent="0.25">
      <c r="A7072" s="21">
        <v>127216944.3</v>
      </c>
    </row>
    <row r="7073" spans="1:1" x14ac:dyDescent="0.25">
      <c r="A7073" s="21">
        <v>35470345.229999997</v>
      </c>
    </row>
    <row r="7074" spans="1:1" x14ac:dyDescent="0.25">
      <c r="A7074" s="21">
        <v>3794506.81</v>
      </c>
    </row>
    <row r="7075" spans="1:1" x14ac:dyDescent="0.25">
      <c r="A7075" s="21">
        <v>89256501.659999996</v>
      </c>
    </row>
    <row r="7076" spans="1:1" x14ac:dyDescent="0.25">
      <c r="A7076" s="21">
        <v>17115974.539999999</v>
      </c>
    </row>
    <row r="7077" spans="1:1" x14ac:dyDescent="0.25">
      <c r="A7077" s="21">
        <v>3690515.44</v>
      </c>
    </row>
    <row r="7078" spans="1:1" x14ac:dyDescent="0.25">
      <c r="A7078" s="21">
        <v>45014587.049999997</v>
      </c>
    </row>
    <row r="7079" spans="1:1" x14ac:dyDescent="0.25">
      <c r="A7079" s="21">
        <v>16125577.59</v>
      </c>
    </row>
    <row r="7080" spans="1:1" x14ac:dyDescent="0.25">
      <c r="A7080" s="21">
        <v>56781986.520000003</v>
      </c>
    </row>
    <row r="7081" spans="1:1" x14ac:dyDescent="0.25">
      <c r="A7081" s="21">
        <v>76846298.150000006</v>
      </c>
    </row>
    <row r="7082" spans="1:1" x14ac:dyDescent="0.25">
      <c r="A7082" s="21">
        <v>258135020.80000001</v>
      </c>
    </row>
    <row r="7083" spans="1:1" x14ac:dyDescent="0.25">
      <c r="A7083" s="21">
        <v>4041968.63</v>
      </c>
    </row>
    <row r="7084" spans="1:1" x14ac:dyDescent="0.25">
      <c r="A7084" s="21">
        <v>30339880.98</v>
      </c>
    </row>
    <row r="7085" spans="1:1" x14ac:dyDescent="0.25">
      <c r="A7085" s="21">
        <v>108084387.27</v>
      </c>
    </row>
    <row r="7086" spans="1:1" x14ac:dyDescent="0.25">
      <c r="A7086" s="21">
        <v>58144386.539999999</v>
      </c>
    </row>
    <row r="7087" spans="1:1" x14ac:dyDescent="0.25">
      <c r="A7087">
        <v>13184160</v>
      </c>
    </row>
    <row r="7088" spans="1:1" x14ac:dyDescent="0.25">
      <c r="A7088" s="21">
        <v>201694839.78</v>
      </c>
    </row>
    <row r="7089" spans="1:1" x14ac:dyDescent="0.25">
      <c r="A7089">
        <v>6829680</v>
      </c>
    </row>
    <row r="7090" spans="1:1" x14ac:dyDescent="0.25">
      <c r="A7090" s="21">
        <v>34561901.030000001</v>
      </c>
    </row>
    <row r="7091" spans="1:1" x14ac:dyDescent="0.25">
      <c r="A7091" s="21">
        <v>77687741.219999999</v>
      </c>
    </row>
    <row r="7092" spans="1:1" x14ac:dyDescent="0.25">
      <c r="A7092" s="21">
        <v>66538046.739999898</v>
      </c>
    </row>
    <row r="7093" spans="1:1" x14ac:dyDescent="0.25">
      <c r="A7093" s="21">
        <v>43123848.399999999</v>
      </c>
    </row>
    <row r="7094" spans="1:1" x14ac:dyDescent="0.25">
      <c r="A7094" s="21">
        <v>89757828.969999999</v>
      </c>
    </row>
    <row r="7095" spans="1:1" x14ac:dyDescent="0.25">
      <c r="A7095" s="21">
        <v>18890504.370000001</v>
      </c>
    </row>
    <row r="7096" spans="1:1" x14ac:dyDescent="0.25">
      <c r="A7096" s="21">
        <v>33590909.479999997</v>
      </c>
    </row>
    <row r="7097" spans="1:1" x14ac:dyDescent="0.25">
      <c r="A7097" s="21">
        <v>16999870.239999998</v>
      </c>
    </row>
    <row r="7098" spans="1:1" x14ac:dyDescent="0.25">
      <c r="A7098" s="21">
        <v>8759072.1400000006</v>
      </c>
    </row>
    <row r="7099" spans="1:1" x14ac:dyDescent="0.25">
      <c r="A7099" s="21">
        <v>81208480.299999997</v>
      </c>
    </row>
    <row r="7100" spans="1:1" x14ac:dyDescent="0.25">
      <c r="A7100" s="21">
        <v>431188694.69999999</v>
      </c>
    </row>
    <row r="7101" spans="1:1" x14ac:dyDescent="0.25">
      <c r="A7101">
        <v>45221268</v>
      </c>
    </row>
    <row r="7102" spans="1:1" x14ac:dyDescent="0.25">
      <c r="A7102" s="21">
        <v>85649450.530000001</v>
      </c>
    </row>
    <row r="7103" spans="1:1" x14ac:dyDescent="0.25">
      <c r="A7103" s="21">
        <v>29905476.059999999</v>
      </c>
    </row>
    <row r="7104" spans="1:1" x14ac:dyDescent="0.25">
      <c r="A7104" s="21">
        <v>255091946.91999999</v>
      </c>
    </row>
    <row r="7105" spans="1:1" x14ac:dyDescent="0.25">
      <c r="A7105" s="21">
        <v>32980433.140000001</v>
      </c>
    </row>
    <row r="7106" spans="1:1" x14ac:dyDescent="0.25">
      <c r="A7106" s="21">
        <v>356674166.19999999</v>
      </c>
    </row>
    <row r="7107" spans="1:1" x14ac:dyDescent="0.25">
      <c r="A7107" s="21">
        <v>50295786.539999999</v>
      </c>
    </row>
    <row r="7108" spans="1:1" x14ac:dyDescent="0.25">
      <c r="A7108" s="21">
        <v>292512736.04000002</v>
      </c>
    </row>
    <row r="7109" spans="1:1" x14ac:dyDescent="0.25">
      <c r="A7109" s="21">
        <v>58484612.170000002</v>
      </c>
    </row>
    <row r="7110" spans="1:1" x14ac:dyDescent="0.25">
      <c r="A7110" s="21">
        <v>11271805.73</v>
      </c>
    </row>
    <row r="7111" spans="1:1" x14ac:dyDescent="0.25">
      <c r="A7111" s="21">
        <v>115015451.56999999</v>
      </c>
    </row>
    <row r="7112" spans="1:1" x14ac:dyDescent="0.25">
      <c r="A7112" s="21">
        <v>28677354.469999999</v>
      </c>
    </row>
    <row r="7113" spans="1:1" x14ac:dyDescent="0.25">
      <c r="A7113" s="21">
        <v>23986154.129999999</v>
      </c>
    </row>
    <row r="7114" spans="1:1" x14ac:dyDescent="0.25">
      <c r="A7114" s="21">
        <v>69983589.859999999</v>
      </c>
    </row>
    <row r="7115" spans="1:1" x14ac:dyDescent="0.25">
      <c r="A7115" s="21">
        <v>279430090.13</v>
      </c>
    </row>
    <row r="7116" spans="1:1" x14ac:dyDescent="0.25">
      <c r="A7116" s="21">
        <v>5510544.75</v>
      </c>
    </row>
    <row r="7117" spans="1:1" x14ac:dyDescent="0.25">
      <c r="A7117" s="21">
        <v>36806300.960000001</v>
      </c>
    </row>
    <row r="7118" spans="1:1" x14ac:dyDescent="0.25">
      <c r="A7118" s="21">
        <v>85102274.959999904</v>
      </c>
    </row>
    <row r="7119" spans="1:1" x14ac:dyDescent="0.25">
      <c r="A7119" s="21">
        <v>122328251.72</v>
      </c>
    </row>
    <row r="7120" spans="1:1" x14ac:dyDescent="0.25">
      <c r="A7120" s="21">
        <v>36097281.82</v>
      </c>
    </row>
    <row r="7121" spans="1:1" x14ac:dyDescent="0.25">
      <c r="A7121" s="21">
        <v>20291660.579999998</v>
      </c>
    </row>
    <row r="7122" spans="1:1" x14ac:dyDescent="0.25">
      <c r="A7122" s="21">
        <v>25288109.920000002</v>
      </c>
    </row>
    <row r="7123" spans="1:1" x14ac:dyDescent="0.25">
      <c r="A7123" s="21">
        <v>227247419.52000001</v>
      </c>
    </row>
    <row r="7124" spans="1:1" x14ac:dyDescent="0.25">
      <c r="A7124" s="21">
        <v>145556494.52000001</v>
      </c>
    </row>
    <row r="7125" spans="1:1" x14ac:dyDescent="0.25">
      <c r="A7125" s="21">
        <v>93533020.2299999</v>
      </c>
    </row>
    <row r="7126" spans="1:1" x14ac:dyDescent="0.25">
      <c r="A7126" s="21">
        <v>22903505.469999999</v>
      </c>
    </row>
    <row r="7127" spans="1:1" x14ac:dyDescent="0.25">
      <c r="A7127" s="21">
        <v>103497227.13</v>
      </c>
    </row>
    <row r="7128" spans="1:1" x14ac:dyDescent="0.25">
      <c r="A7128" s="21">
        <v>4245746.45</v>
      </c>
    </row>
    <row r="7129" spans="1:1" x14ac:dyDescent="0.25">
      <c r="A7129" s="21">
        <v>224892359.69999999</v>
      </c>
    </row>
    <row r="7130" spans="1:1" x14ac:dyDescent="0.25">
      <c r="A7130" s="21">
        <v>265156445.86000001</v>
      </c>
    </row>
    <row r="7131" spans="1:1" x14ac:dyDescent="0.25">
      <c r="A7131" s="21">
        <v>156932902.78999999</v>
      </c>
    </row>
    <row r="7132" spans="1:1" x14ac:dyDescent="0.25">
      <c r="A7132" s="21">
        <v>103559682.83</v>
      </c>
    </row>
    <row r="7133" spans="1:1" x14ac:dyDescent="0.25">
      <c r="A7133" s="21">
        <v>32697524.920000002</v>
      </c>
    </row>
    <row r="7134" spans="1:1" x14ac:dyDescent="0.25">
      <c r="A7134">
        <v>0</v>
      </c>
    </row>
    <row r="7135" spans="1:1" x14ac:dyDescent="0.25">
      <c r="A7135" s="21">
        <v>14069172.75</v>
      </c>
    </row>
    <row r="7136" spans="1:1" x14ac:dyDescent="0.25">
      <c r="A7136" s="21">
        <v>10366360.130000001</v>
      </c>
    </row>
    <row r="7137" spans="1:1" x14ac:dyDescent="0.25">
      <c r="A7137" s="21">
        <v>14814947.4</v>
      </c>
    </row>
    <row r="7138" spans="1:1" x14ac:dyDescent="0.25">
      <c r="A7138" s="21">
        <v>25390610.719999999</v>
      </c>
    </row>
    <row r="7139" spans="1:1" x14ac:dyDescent="0.25">
      <c r="A7139" s="21">
        <v>10187473.550000001</v>
      </c>
    </row>
    <row r="7140" spans="1:1" x14ac:dyDescent="0.25">
      <c r="A7140" s="21">
        <v>18005342.280000001</v>
      </c>
    </row>
    <row r="7141" spans="1:1" x14ac:dyDescent="0.25">
      <c r="A7141" s="21">
        <v>83564369.019999996</v>
      </c>
    </row>
    <row r="7142" spans="1:1" x14ac:dyDescent="0.25">
      <c r="A7142" s="21">
        <v>14519583.65</v>
      </c>
    </row>
    <row r="7143" spans="1:1" x14ac:dyDescent="0.25">
      <c r="A7143" s="21">
        <v>167441377.97999999</v>
      </c>
    </row>
    <row r="7144" spans="1:1" x14ac:dyDescent="0.25">
      <c r="A7144" s="21">
        <v>141204535.75999999</v>
      </c>
    </row>
    <row r="7145" spans="1:1" x14ac:dyDescent="0.25">
      <c r="A7145" s="21">
        <v>37323037.090000004</v>
      </c>
    </row>
    <row r="7146" spans="1:1" x14ac:dyDescent="0.25">
      <c r="A7146" s="21">
        <v>63675332.479999997</v>
      </c>
    </row>
    <row r="7147" spans="1:1" x14ac:dyDescent="0.25">
      <c r="A7147" s="21">
        <v>114443339.11</v>
      </c>
    </row>
    <row r="7148" spans="1:1" x14ac:dyDescent="0.25">
      <c r="A7148" s="21">
        <v>29793222.539999999</v>
      </c>
    </row>
    <row r="7149" spans="1:1" x14ac:dyDescent="0.25">
      <c r="A7149" s="21">
        <v>133763175.02</v>
      </c>
    </row>
    <row r="7150" spans="1:1" x14ac:dyDescent="0.25">
      <c r="A7150" s="21">
        <v>39673144.579999998</v>
      </c>
    </row>
    <row r="7151" spans="1:1" x14ac:dyDescent="0.25">
      <c r="A7151">
        <v>176574152</v>
      </c>
    </row>
    <row r="7152" spans="1:1" x14ac:dyDescent="0.25">
      <c r="A7152" s="21">
        <v>41921522.149999999</v>
      </c>
    </row>
    <row r="7153" spans="1:1" x14ac:dyDescent="0.25">
      <c r="A7153" s="21">
        <v>40871050.329999998</v>
      </c>
    </row>
    <row r="7154" spans="1:1" x14ac:dyDescent="0.25">
      <c r="A7154" s="21">
        <v>114639188.05</v>
      </c>
    </row>
    <row r="7155" spans="1:1" x14ac:dyDescent="0.25">
      <c r="A7155" s="21">
        <v>28816969.670000002</v>
      </c>
    </row>
    <row r="7156" spans="1:1" x14ac:dyDescent="0.25">
      <c r="A7156" s="21">
        <v>17288120.739999998</v>
      </c>
    </row>
    <row r="7157" spans="1:1" x14ac:dyDescent="0.25">
      <c r="A7157" s="21">
        <v>263075211.28999999</v>
      </c>
    </row>
    <row r="7158" spans="1:1" x14ac:dyDescent="0.25">
      <c r="A7158" s="21">
        <v>72767408.969999999</v>
      </c>
    </row>
    <row r="7159" spans="1:1" x14ac:dyDescent="0.25">
      <c r="A7159" s="21">
        <v>76409998.689999998</v>
      </c>
    </row>
    <row r="7160" spans="1:1" x14ac:dyDescent="0.25">
      <c r="A7160" s="21">
        <v>25796863.129999999</v>
      </c>
    </row>
    <row r="7161" spans="1:1" x14ac:dyDescent="0.25">
      <c r="A7161">
        <v>3088432</v>
      </c>
    </row>
    <row r="7162" spans="1:1" x14ac:dyDescent="0.25">
      <c r="A7162" s="21">
        <v>45994495.729999997</v>
      </c>
    </row>
    <row r="7163" spans="1:1" x14ac:dyDescent="0.25">
      <c r="A7163" s="21">
        <v>54885452.539999999</v>
      </c>
    </row>
    <row r="7164" spans="1:1" x14ac:dyDescent="0.25">
      <c r="A7164" s="21">
        <v>15742206.98</v>
      </c>
    </row>
    <row r="7165" spans="1:1" x14ac:dyDescent="0.25">
      <c r="A7165" s="21">
        <v>70896478.099999905</v>
      </c>
    </row>
    <row r="7166" spans="1:1" x14ac:dyDescent="0.25">
      <c r="A7166" s="21">
        <v>109471669.98</v>
      </c>
    </row>
    <row r="7167" spans="1:1" x14ac:dyDescent="0.25">
      <c r="A7167" s="21">
        <v>6689100.75</v>
      </c>
    </row>
    <row r="7168" spans="1:1" x14ac:dyDescent="0.25">
      <c r="A7168">
        <v>0</v>
      </c>
    </row>
    <row r="7169" spans="1:1" x14ac:dyDescent="0.25">
      <c r="A7169" s="21">
        <v>81895782.010000005</v>
      </c>
    </row>
    <row r="7170" spans="1:1" x14ac:dyDescent="0.25">
      <c r="A7170" s="21">
        <v>9166294.6500000004</v>
      </c>
    </row>
    <row r="7171" spans="1:1" x14ac:dyDescent="0.25">
      <c r="A7171" s="21">
        <v>38307289.140000001</v>
      </c>
    </row>
    <row r="7172" spans="1:1" x14ac:dyDescent="0.25">
      <c r="A7172" s="21">
        <v>175756226.18000001</v>
      </c>
    </row>
    <row r="7173" spans="1:1" x14ac:dyDescent="0.25">
      <c r="A7173" s="21">
        <v>48793769.969999999</v>
      </c>
    </row>
    <row r="7174" spans="1:1" x14ac:dyDescent="0.25">
      <c r="A7174" s="21">
        <v>17479338.100000001</v>
      </c>
    </row>
    <row r="7175" spans="1:1" x14ac:dyDescent="0.25">
      <c r="A7175" s="21">
        <v>9053597.2200000007</v>
      </c>
    </row>
    <row r="7176" spans="1:1" x14ac:dyDescent="0.25">
      <c r="A7176" s="21">
        <v>86805145.5</v>
      </c>
    </row>
    <row r="7177" spans="1:1" x14ac:dyDescent="0.25">
      <c r="A7177" s="21">
        <v>122322617.09999999</v>
      </c>
    </row>
    <row r="7178" spans="1:1" x14ac:dyDescent="0.25">
      <c r="A7178">
        <v>13231680</v>
      </c>
    </row>
    <row r="7179" spans="1:1" x14ac:dyDescent="0.25">
      <c r="A7179" s="21">
        <v>85215427.930000007</v>
      </c>
    </row>
    <row r="7180" spans="1:1" x14ac:dyDescent="0.25">
      <c r="A7180" s="21">
        <v>19916815.09</v>
      </c>
    </row>
    <row r="7181" spans="1:1" x14ac:dyDescent="0.25">
      <c r="A7181">
        <v>0</v>
      </c>
    </row>
    <row r="7182" spans="1:1" x14ac:dyDescent="0.25">
      <c r="A7182">
        <v>7475169</v>
      </c>
    </row>
    <row r="7183" spans="1:1" x14ac:dyDescent="0.25">
      <c r="A7183">
        <v>144439405</v>
      </c>
    </row>
    <row r="7184" spans="1:1" x14ac:dyDescent="0.25">
      <c r="A7184" s="21">
        <v>30922399.66</v>
      </c>
    </row>
    <row r="7185" spans="1:1" x14ac:dyDescent="0.25">
      <c r="A7185" s="21">
        <v>57883365.609999999</v>
      </c>
    </row>
    <row r="7186" spans="1:1" x14ac:dyDescent="0.25">
      <c r="A7186" s="21">
        <v>42452064.780000001</v>
      </c>
    </row>
    <row r="7187" spans="1:1" x14ac:dyDescent="0.25">
      <c r="A7187" s="21">
        <v>142829846.15000001</v>
      </c>
    </row>
    <row r="7188" spans="1:1" x14ac:dyDescent="0.25">
      <c r="A7188" s="21">
        <v>148891090.00999999</v>
      </c>
    </row>
    <row r="7189" spans="1:1" x14ac:dyDescent="0.25">
      <c r="A7189" s="21">
        <v>20601669.059999999</v>
      </c>
    </row>
    <row r="7190" spans="1:1" x14ac:dyDescent="0.25">
      <c r="A7190" s="21">
        <v>176020339.59</v>
      </c>
    </row>
    <row r="7191" spans="1:1" x14ac:dyDescent="0.25">
      <c r="A7191" s="21">
        <v>286772436.04000002</v>
      </c>
    </row>
    <row r="7192" spans="1:1" x14ac:dyDescent="0.25">
      <c r="A7192" s="21">
        <v>160623441.62</v>
      </c>
    </row>
    <row r="7193" spans="1:1" x14ac:dyDescent="0.25">
      <c r="A7193" s="21">
        <v>110959890.92</v>
      </c>
    </row>
    <row r="7194" spans="1:1" x14ac:dyDescent="0.25">
      <c r="A7194" s="21">
        <v>14806405.27</v>
      </c>
    </row>
    <row r="7195" spans="1:1" x14ac:dyDescent="0.25">
      <c r="A7195" s="21">
        <v>11533873.1</v>
      </c>
    </row>
    <row r="7196" spans="1:1" x14ac:dyDescent="0.25">
      <c r="A7196" s="21">
        <v>10323349.279999999</v>
      </c>
    </row>
    <row r="7197" spans="1:1" x14ac:dyDescent="0.25">
      <c r="A7197" s="21">
        <v>139569056.30000001</v>
      </c>
    </row>
    <row r="7198" spans="1:1" x14ac:dyDescent="0.25">
      <c r="A7198" s="21">
        <v>42805215.710000001</v>
      </c>
    </row>
    <row r="7199" spans="1:1" x14ac:dyDescent="0.25">
      <c r="A7199" s="21">
        <v>320224841.86000001</v>
      </c>
    </row>
    <row r="7200" spans="1:1" x14ac:dyDescent="0.25">
      <c r="A7200" s="21">
        <v>58113841.68</v>
      </c>
    </row>
    <row r="7201" spans="1:1" x14ac:dyDescent="0.25">
      <c r="A7201" s="21">
        <v>3343538.52</v>
      </c>
    </row>
    <row r="7202" spans="1:1" x14ac:dyDescent="0.25">
      <c r="A7202" s="21">
        <v>78640175.019999996</v>
      </c>
    </row>
    <row r="7203" spans="1:1" x14ac:dyDescent="0.25">
      <c r="A7203" s="21">
        <v>224933011.19</v>
      </c>
    </row>
    <row r="7204" spans="1:1" x14ac:dyDescent="0.25">
      <c r="A7204" s="21">
        <v>32473837.640000001</v>
      </c>
    </row>
    <row r="7205" spans="1:1" x14ac:dyDescent="0.25">
      <c r="A7205" s="21">
        <v>24975428.379999999</v>
      </c>
    </row>
    <row r="7206" spans="1:1" x14ac:dyDescent="0.25">
      <c r="A7206" s="21">
        <v>15955031.199999999</v>
      </c>
    </row>
    <row r="7207" spans="1:1" x14ac:dyDescent="0.25">
      <c r="A7207" s="21">
        <v>55428073.43</v>
      </c>
    </row>
    <row r="7208" spans="1:1" x14ac:dyDescent="0.25">
      <c r="A7208" s="21">
        <v>96118329.950000003</v>
      </c>
    </row>
    <row r="7209" spans="1:1" x14ac:dyDescent="0.25">
      <c r="A7209" s="21">
        <v>130094191.3</v>
      </c>
    </row>
    <row r="7210" spans="1:1" x14ac:dyDescent="0.25">
      <c r="A7210" s="21">
        <v>137646456.25</v>
      </c>
    </row>
    <row r="7211" spans="1:1" x14ac:dyDescent="0.25">
      <c r="A7211" s="21">
        <v>37277394.890000001</v>
      </c>
    </row>
    <row r="7212" spans="1:1" x14ac:dyDescent="0.25">
      <c r="A7212" s="21">
        <v>43771555.670000002</v>
      </c>
    </row>
    <row r="7213" spans="1:1" x14ac:dyDescent="0.25">
      <c r="A7213" s="21">
        <v>64315304.669999897</v>
      </c>
    </row>
    <row r="7214" spans="1:1" x14ac:dyDescent="0.25">
      <c r="A7214" s="21">
        <v>18908333.050000001</v>
      </c>
    </row>
    <row r="7215" spans="1:1" x14ac:dyDescent="0.25">
      <c r="A7215" s="21">
        <v>69788105.599999994</v>
      </c>
    </row>
    <row r="7216" spans="1:1" x14ac:dyDescent="0.25">
      <c r="A7216" s="21">
        <v>63805340.490000002</v>
      </c>
    </row>
    <row r="7217" spans="1:1" x14ac:dyDescent="0.25">
      <c r="A7217" s="21">
        <v>3923426.87</v>
      </c>
    </row>
    <row r="7218" spans="1:1" x14ac:dyDescent="0.25">
      <c r="A7218" s="21">
        <v>149899880.18000001</v>
      </c>
    </row>
    <row r="7219" spans="1:1" x14ac:dyDescent="0.25">
      <c r="A7219" s="21">
        <v>63568020.609999999</v>
      </c>
    </row>
    <row r="7220" spans="1:1" x14ac:dyDescent="0.25">
      <c r="A7220" s="21">
        <v>40300140.049999997</v>
      </c>
    </row>
    <row r="7221" spans="1:1" x14ac:dyDescent="0.25">
      <c r="A7221" s="21">
        <v>364246100.72000003</v>
      </c>
    </row>
    <row r="7222" spans="1:1" x14ac:dyDescent="0.25">
      <c r="A7222" s="21">
        <v>319639370.51999998</v>
      </c>
    </row>
    <row r="7223" spans="1:1" x14ac:dyDescent="0.25">
      <c r="A7223">
        <v>0</v>
      </c>
    </row>
    <row r="7224" spans="1:1" x14ac:dyDescent="0.25">
      <c r="A7224" s="21">
        <v>13330470.25</v>
      </c>
    </row>
    <row r="7225" spans="1:1" x14ac:dyDescent="0.25">
      <c r="A7225" s="21">
        <v>33486515.449999999</v>
      </c>
    </row>
    <row r="7226" spans="1:1" x14ac:dyDescent="0.25">
      <c r="A7226" s="21">
        <v>25727657.210000001</v>
      </c>
    </row>
    <row r="7227" spans="1:1" x14ac:dyDescent="0.25">
      <c r="A7227" s="21">
        <v>16321652.5</v>
      </c>
    </row>
    <row r="7228" spans="1:1" x14ac:dyDescent="0.25">
      <c r="A7228" s="21">
        <v>269410366.80000001</v>
      </c>
    </row>
    <row r="7229" spans="1:1" x14ac:dyDescent="0.25">
      <c r="A7229" s="21">
        <v>9967362.6199999992</v>
      </c>
    </row>
    <row r="7230" spans="1:1" x14ac:dyDescent="0.25">
      <c r="A7230" s="21">
        <v>32892327.890000001</v>
      </c>
    </row>
    <row r="7231" spans="1:1" x14ac:dyDescent="0.25">
      <c r="A7231" s="21">
        <v>60801655.740000002</v>
      </c>
    </row>
    <row r="7232" spans="1:1" x14ac:dyDescent="0.25">
      <c r="A7232" s="21">
        <v>86275551.519999996</v>
      </c>
    </row>
    <row r="7233" spans="1:1" x14ac:dyDescent="0.25">
      <c r="A7233" s="21">
        <v>40678341.579999998</v>
      </c>
    </row>
    <row r="7234" spans="1:1" x14ac:dyDescent="0.25">
      <c r="A7234" s="21">
        <v>52451205.420000002</v>
      </c>
    </row>
    <row r="7235" spans="1:1" x14ac:dyDescent="0.25">
      <c r="A7235" s="21">
        <v>3999305.71</v>
      </c>
    </row>
    <row r="7236" spans="1:1" x14ac:dyDescent="0.25">
      <c r="A7236" s="21">
        <v>17984065.969999999</v>
      </c>
    </row>
    <row r="7237" spans="1:1" x14ac:dyDescent="0.25">
      <c r="A7237" s="21">
        <v>7049482.7199999997</v>
      </c>
    </row>
    <row r="7238" spans="1:1" x14ac:dyDescent="0.25">
      <c r="A7238" s="21">
        <v>31826838.940000001</v>
      </c>
    </row>
    <row r="7239" spans="1:1" x14ac:dyDescent="0.25">
      <c r="A7239" s="21">
        <v>17910806.09</v>
      </c>
    </row>
    <row r="7240" spans="1:1" x14ac:dyDescent="0.25">
      <c r="A7240" s="21">
        <v>13249257.07</v>
      </c>
    </row>
    <row r="7241" spans="1:1" x14ac:dyDescent="0.25">
      <c r="A7241" s="21">
        <v>114735444.92</v>
      </c>
    </row>
    <row r="7242" spans="1:1" x14ac:dyDescent="0.25">
      <c r="A7242" s="21">
        <v>16606038.060000001</v>
      </c>
    </row>
    <row r="7243" spans="1:1" x14ac:dyDescent="0.25">
      <c r="A7243" s="21">
        <v>84908262.400000006</v>
      </c>
    </row>
    <row r="7244" spans="1:1" x14ac:dyDescent="0.25">
      <c r="A7244" s="21">
        <v>5962172.25</v>
      </c>
    </row>
    <row r="7245" spans="1:1" x14ac:dyDescent="0.25">
      <c r="A7245" s="21">
        <v>126392034.03</v>
      </c>
    </row>
    <row r="7246" spans="1:1" x14ac:dyDescent="0.25">
      <c r="A7246" s="21">
        <v>57052881.399999999</v>
      </c>
    </row>
    <row r="7247" spans="1:1" x14ac:dyDescent="0.25">
      <c r="A7247" s="21">
        <v>52570733.530000001</v>
      </c>
    </row>
    <row r="7248" spans="1:1" x14ac:dyDescent="0.25">
      <c r="A7248" s="21">
        <v>68225427.909999996</v>
      </c>
    </row>
    <row r="7249" spans="1:1" x14ac:dyDescent="0.25">
      <c r="A7249" s="21">
        <v>46746060.710000001</v>
      </c>
    </row>
    <row r="7250" spans="1:1" x14ac:dyDescent="0.25">
      <c r="A7250" s="21">
        <v>94081289.549999997</v>
      </c>
    </row>
    <row r="7251" spans="1:1" x14ac:dyDescent="0.25">
      <c r="A7251" s="21">
        <v>363698408.39999998</v>
      </c>
    </row>
    <row r="7252" spans="1:1" x14ac:dyDescent="0.25">
      <c r="A7252" s="21">
        <v>21233864.93</v>
      </c>
    </row>
    <row r="7253" spans="1:1" x14ac:dyDescent="0.25">
      <c r="A7253" s="21">
        <v>53006954.469999902</v>
      </c>
    </row>
    <row r="7254" spans="1:1" x14ac:dyDescent="0.25">
      <c r="A7254" s="21">
        <v>45863761.259999998</v>
      </c>
    </row>
    <row r="7255" spans="1:1" x14ac:dyDescent="0.25">
      <c r="A7255">
        <v>0</v>
      </c>
    </row>
    <row r="7256" spans="1:1" x14ac:dyDescent="0.25">
      <c r="A7256" s="21">
        <v>96715069.650000006</v>
      </c>
    </row>
    <row r="7257" spans="1:1" x14ac:dyDescent="0.25">
      <c r="A7257" s="21">
        <v>10908163.470000001</v>
      </c>
    </row>
    <row r="7258" spans="1:1" x14ac:dyDescent="0.25">
      <c r="A7258" s="21">
        <v>158884503.38999999</v>
      </c>
    </row>
    <row r="7259" spans="1:1" x14ac:dyDescent="0.25">
      <c r="A7259" s="21">
        <v>136102587.81999999</v>
      </c>
    </row>
    <row r="7260" spans="1:1" x14ac:dyDescent="0.25">
      <c r="A7260" s="21">
        <v>214006463.5</v>
      </c>
    </row>
    <row r="7261" spans="1:1" x14ac:dyDescent="0.25">
      <c r="A7261" s="21">
        <v>170854682.36000001</v>
      </c>
    </row>
    <row r="7262" spans="1:1" x14ac:dyDescent="0.25">
      <c r="A7262" s="21">
        <v>15472667.73</v>
      </c>
    </row>
    <row r="7263" spans="1:1" x14ac:dyDescent="0.25">
      <c r="A7263" s="21">
        <v>38827189.219999999</v>
      </c>
    </row>
    <row r="7264" spans="1:1" x14ac:dyDescent="0.25">
      <c r="A7264" s="21">
        <v>263064999.97999999</v>
      </c>
    </row>
    <row r="7265" spans="1:1" x14ac:dyDescent="0.25">
      <c r="A7265" s="21">
        <v>44279427.259999998</v>
      </c>
    </row>
    <row r="7266" spans="1:1" x14ac:dyDescent="0.25">
      <c r="A7266">
        <v>147436024</v>
      </c>
    </row>
    <row r="7267" spans="1:1" x14ac:dyDescent="0.25">
      <c r="A7267">
        <v>5557455</v>
      </c>
    </row>
    <row r="7268" spans="1:1" x14ac:dyDescent="0.25">
      <c r="A7268" s="21">
        <v>102151835.76000001</v>
      </c>
    </row>
    <row r="7269" spans="1:1" x14ac:dyDescent="0.25">
      <c r="A7269" s="21">
        <v>35219084.18</v>
      </c>
    </row>
    <row r="7270" spans="1:1" x14ac:dyDescent="0.25">
      <c r="A7270" s="21">
        <v>28078199.350000001</v>
      </c>
    </row>
    <row r="7271" spans="1:1" x14ac:dyDescent="0.25">
      <c r="A7271" s="21">
        <v>29551938.870000001</v>
      </c>
    </row>
    <row r="7272" spans="1:1" x14ac:dyDescent="0.25">
      <c r="A7272" s="21">
        <v>187514096.50999999</v>
      </c>
    </row>
    <row r="7273" spans="1:1" x14ac:dyDescent="0.25">
      <c r="A7273" s="21">
        <v>6245127.75</v>
      </c>
    </row>
    <row r="7274" spans="1:1" x14ac:dyDescent="0.25">
      <c r="A7274" s="21">
        <v>55000971.990000002</v>
      </c>
    </row>
    <row r="7275" spans="1:1" x14ac:dyDescent="0.25">
      <c r="A7275" s="21">
        <v>13807859.25</v>
      </c>
    </row>
    <row r="7276" spans="1:1" x14ac:dyDescent="0.25">
      <c r="A7276" s="21">
        <v>47187374.039999999</v>
      </c>
    </row>
    <row r="7277" spans="1:1" x14ac:dyDescent="0.25">
      <c r="A7277" s="21">
        <v>139258783.96000001</v>
      </c>
    </row>
    <row r="7278" spans="1:1" x14ac:dyDescent="0.25">
      <c r="A7278" s="21">
        <v>40729820.549999997</v>
      </c>
    </row>
    <row r="7279" spans="1:1" x14ac:dyDescent="0.25">
      <c r="A7279" s="21">
        <v>108409202.94</v>
      </c>
    </row>
    <row r="7280" spans="1:1" x14ac:dyDescent="0.25">
      <c r="A7280" s="21">
        <v>152280376.06999999</v>
      </c>
    </row>
    <row r="7281" spans="1:1" x14ac:dyDescent="0.25">
      <c r="A7281" s="21">
        <v>24778712.690000001</v>
      </c>
    </row>
    <row r="7282" spans="1:1" x14ac:dyDescent="0.25">
      <c r="A7282" s="21">
        <v>16850366.370000001</v>
      </c>
    </row>
    <row r="7283" spans="1:1" x14ac:dyDescent="0.25">
      <c r="A7283" s="21">
        <v>88303536.590000004</v>
      </c>
    </row>
    <row r="7284" spans="1:1" x14ac:dyDescent="0.25">
      <c r="A7284" s="21">
        <v>136495898.22999999</v>
      </c>
    </row>
    <row r="7285" spans="1:1" x14ac:dyDescent="0.25">
      <c r="A7285" s="21">
        <v>225063854.81999999</v>
      </c>
    </row>
    <row r="7286" spans="1:1" x14ac:dyDescent="0.25">
      <c r="A7286" s="21">
        <v>38939083.909999996</v>
      </c>
    </row>
    <row r="7287" spans="1:1" x14ac:dyDescent="0.25">
      <c r="A7287" s="21">
        <v>55061506.090000004</v>
      </c>
    </row>
    <row r="7288" spans="1:1" x14ac:dyDescent="0.25">
      <c r="A7288" s="21">
        <v>129601197.17</v>
      </c>
    </row>
    <row r="7289" spans="1:1" x14ac:dyDescent="0.25">
      <c r="A7289" s="21">
        <v>29048964.390000001</v>
      </c>
    </row>
    <row r="7290" spans="1:1" x14ac:dyDescent="0.25">
      <c r="A7290" s="21">
        <v>36526268.420000002</v>
      </c>
    </row>
    <row r="7291" spans="1:1" x14ac:dyDescent="0.25">
      <c r="A7291" s="21">
        <v>90895838.540000007</v>
      </c>
    </row>
    <row r="7292" spans="1:1" x14ac:dyDescent="0.25">
      <c r="A7292">
        <v>0</v>
      </c>
    </row>
    <row r="7293" spans="1:1" x14ac:dyDescent="0.25">
      <c r="A7293" s="21">
        <v>188343450.56</v>
      </c>
    </row>
    <row r="7294" spans="1:1" x14ac:dyDescent="0.25">
      <c r="A7294" s="21">
        <v>61824826.399999999</v>
      </c>
    </row>
    <row r="7295" spans="1:1" x14ac:dyDescent="0.25">
      <c r="A7295" s="21">
        <v>46159763.009999998</v>
      </c>
    </row>
    <row r="7296" spans="1:1" x14ac:dyDescent="0.25">
      <c r="A7296" s="21">
        <v>51985394.729999997</v>
      </c>
    </row>
    <row r="7297" spans="1:1" x14ac:dyDescent="0.25">
      <c r="A7297" s="21">
        <v>51852762.659999996</v>
      </c>
    </row>
    <row r="7298" spans="1:1" x14ac:dyDescent="0.25">
      <c r="A7298" s="21">
        <v>39613732.07</v>
      </c>
    </row>
    <row r="7299" spans="1:1" x14ac:dyDescent="0.25">
      <c r="A7299" s="21">
        <v>18162612.640000001</v>
      </c>
    </row>
    <row r="7300" spans="1:1" x14ac:dyDescent="0.25">
      <c r="A7300" s="21">
        <v>54527126.340000004</v>
      </c>
    </row>
    <row r="7301" spans="1:1" x14ac:dyDescent="0.25">
      <c r="A7301" s="21">
        <v>231443534.41999999</v>
      </c>
    </row>
    <row r="7302" spans="1:1" x14ac:dyDescent="0.25">
      <c r="A7302" s="21">
        <v>24519365.18</v>
      </c>
    </row>
    <row r="7303" spans="1:1" x14ac:dyDescent="0.25">
      <c r="A7303" s="21">
        <v>249518122.83000001</v>
      </c>
    </row>
    <row r="7304" spans="1:1" x14ac:dyDescent="0.25">
      <c r="A7304" s="21">
        <v>70388788.540000007</v>
      </c>
    </row>
    <row r="7305" spans="1:1" x14ac:dyDescent="0.25">
      <c r="A7305" s="21">
        <v>59026331.649999999</v>
      </c>
    </row>
    <row r="7306" spans="1:1" x14ac:dyDescent="0.25">
      <c r="A7306" s="21">
        <v>18125685.469999999</v>
      </c>
    </row>
    <row r="7307" spans="1:1" x14ac:dyDescent="0.25">
      <c r="A7307" s="21">
        <v>42650003.579999998</v>
      </c>
    </row>
    <row r="7308" spans="1:1" x14ac:dyDescent="0.25">
      <c r="A7308" s="21">
        <v>95327415.540000007</v>
      </c>
    </row>
    <row r="7309" spans="1:1" x14ac:dyDescent="0.25">
      <c r="A7309" s="21">
        <v>57359577.869999997</v>
      </c>
    </row>
    <row r="7310" spans="1:1" x14ac:dyDescent="0.25">
      <c r="A7310" s="21">
        <v>349754761.45999998</v>
      </c>
    </row>
    <row r="7311" spans="1:1" x14ac:dyDescent="0.25">
      <c r="A7311" s="21">
        <v>96178607.569999903</v>
      </c>
    </row>
    <row r="7312" spans="1:1" x14ac:dyDescent="0.25">
      <c r="A7312" s="21">
        <v>26839536.09</v>
      </c>
    </row>
    <row r="7313" spans="1:1" x14ac:dyDescent="0.25">
      <c r="A7313" s="21">
        <v>31330661.260000002</v>
      </c>
    </row>
    <row r="7314" spans="1:1" x14ac:dyDescent="0.25">
      <c r="A7314" s="21">
        <v>23793195.539999999</v>
      </c>
    </row>
    <row r="7315" spans="1:1" x14ac:dyDescent="0.25">
      <c r="A7315">
        <v>0</v>
      </c>
    </row>
    <row r="7316" spans="1:1" x14ac:dyDescent="0.25">
      <c r="A7316" s="21">
        <v>77011005.969999999</v>
      </c>
    </row>
    <row r="7317" spans="1:1" x14ac:dyDescent="0.25">
      <c r="A7317" s="21">
        <v>73840919.129999995</v>
      </c>
    </row>
    <row r="7318" spans="1:1" x14ac:dyDescent="0.25">
      <c r="A7318" s="21">
        <v>145936206.08000001</v>
      </c>
    </row>
    <row r="7319" spans="1:1" x14ac:dyDescent="0.25">
      <c r="A7319">
        <v>0</v>
      </c>
    </row>
    <row r="7320" spans="1:1" x14ac:dyDescent="0.25">
      <c r="A7320" s="21">
        <v>172376652.86000001</v>
      </c>
    </row>
    <row r="7321" spans="1:1" x14ac:dyDescent="0.25">
      <c r="A7321" s="21">
        <v>14181406.5</v>
      </c>
    </row>
    <row r="7322" spans="1:1" x14ac:dyDescent="0.25">
      <c r="A7322" s="21">
        <v>44851736.210000001</v>
      </c>
    </row>
    <row r="7323" spans="1:1" x14ac:dyDescent="0.25">
      <c r="A7323">
        <v>0</v>
      </c>
    </row>
    <row r="7324" spans="1:1" x14ac:dyDescent="0.25">
      <c r="A7324" s="21">
        <v>173985028.02000001</v>
      </c>
    </row>
    <row r="7325" spans="1:1" x14ac:dyDescent="0.25">
      <c r="A7325" s="21">
        <v>135820097.09</v>
      </c>
    </row>
    <row r="7326" spans="1:1" x14ac:dyDescent="0.25">
      <c r="A7326" s="21">
        <v>56472734.640000001</v>
      </c>
    </row>
    <row r="7327" spans="1:1" x14ac:dyDescent="0.25">
      <c r="A7327" s="21">
        <v>21455691.510000002</v>
      </c>
    </row>
    <row r="7328" spans="1:1" x14ac:dyDescent="0.25">
      <c r="A7328" s="21">
        <v>27303963.129999999</v>
      </c>
    </row>
    <row r="7329" spans="1:1" x14ac:dyDescent="0.25">
      <c r="A7329" s="21">
        <v>204509533.31999999</v>
      </c>
    </row>
    <row r="7330" spans="1:1" x14ac:dyDescent="0.25">
      <c r="A7330" s="21">
        <v>114557942.61</v>
      </c>
    </row>
    <row r="7331" spans="1:1" x14ac:dyDescent="0.25">
      <c r="A7331" s="21">
        <v>46476387.710000001</v>
      </c>
    </row>
    <row r="7332" spans="1:1" x14ac:dyDescent="0.25">
      <c r="A7332" s="21">
        <v>2805972.06</v>
      </c>
    </row>
    <row r="7333" spans="1:1" x14ac:dyDescent="0.25">
      <c r="A7333" s="21">
        <v>12698567.369999999</v>
      </c>
    </row>
    <row r="7334" spans="1:1" x14ac:dyDescent="0.25">
      <c r="A7334">
        <v>0</v>
      </c>
    </row>
    <row r="7335" spans="1:1" x14ac:dyDescent="0.25">
      <c r="A7335" s="21">
        <v>65509923.619999997</v>
      </c>
    </row>
    <row r="7336" spans="1:1" x14ac:dyDescent="0.25">
      <c r="A7336" s="21">
        <v>13611294.949999999</v>
      </c>
    </row>
    <row r="7337" spans="1:1" x14ac:dyDescent="0.25">
      <c r="A7337" s="21">
        <v>3705872.51</v>
      </c>
    </row>
    <row r="7338" spans="1:1" x14ac:dyDescent="0.25">
      <c r="A7338" s="21">
        <v>26772668.190000001</v>
      </c>
    </row>
    <row r="7339" spans="1:1" x14ac:dyDescent="0.25">
      <c r="A7339" s="21">
        <v>15750401.76</v>
      </c>
    </row>
    <row r="7340" spans="1:1" x14ac:dyDescent="0.25">
      <c r="A7340" s="21">
        <v>6607166.1399999997</v>
      </c>
    </row>
    <row r="7341" spans="1:1" x14ac:dyDescent="0.25">
      <c r="A7341" s="21">
        <v>220289377.16</v>
      </c>
    </row>
    <row r="7342" spans="1:1" x14ac:dyDescent="0.25">
      <c r="A7342" s="21">
        <v>18457151.289999999</v>
      </c>
    </row>
    <row r="7343" spans="1:1" x14ac:dyDescent="0.25">
      <c r="A7343" s="21">
        <v>12688764.77</v>
      </c>
    </row>
    <row r="7344" spans="1:1" x14ac:dyDescent="0.25">
      <c r="A7344" s="21">
        <v>59080480.810000002</v>
      </c>
    </row>
    <row r="7345" spans="1:1" x14ac:dyDescent="0.25">
      <c r="A7345" s="21">
        <v>41855359.75</v>
      </c>
    </row>
    <row r="7346" spans="1:1" x14ac:dyDescent="0.25">
      <c r="A7346" s="21">
        <v>15728430.9</v>
      </c>
    </row>
    <row r="7347" spans="1:1" x14ac:dyDescent="0.25">
      <c r="A7347" s="21">
        <v>222530897.28999999</v>
      </c>
    </row>
    <row r="7348" spans="1:1" x14ac:dyDescent="0.25">
      <c r="A7348" s="21">
        <v>81613280.359999999</v>
      </c>
    </row>
    <row r="7349" spans="1:1" x14ac:dyDescent="0.25">
      <c r="A7349" s="21">
        <v>51006556.549999997</v>
      </c>
    </row>
    <row r="7350" spans="1:1" x14ac:dyDescent="0.25">
      <c r="A7350" s="21">
        <v>291400590.39999998</v>
      </c>
    </row>
    <row r="7351" spans="1:1" x14ac:dyDescent="0.25">
      <c r="A7351" s="21">
        <v>25043876.699999999</v>
      </c>
    </row>
    <row r="7352" spans="1:1" x14ac:dyDescent="0.25">
      <c r="A7352">
        <v>0</v>
      </c>
    </row>
    <row r="7353" spans="1:1" x14ac:dyDescent="0.25">
      <c r="A7353" s="21">
        <v>163266612.56999999</v>
      </c>
    </row>
    <row r="7354" spans="1:1" x14ac:dyDescent="0.25">
      <c r="A7354">
        <v>36518766</v>
      </c>
    </row>
    <row r="7355" spans="1:1" x14ac:dyDescent="0.25">
      <c r="A7355" s="21">
        <v>66760047.280000001</v>
      </c>
    </row>
    <row r="7356" spans="1:1" x14ac:dyDescent="0.25">
      <c r="A7356" s="21">
        <v>134512941.68000001</v>
      </c>
    </row>
    <row r="7357" spans="1:1" x14ac:dyDescent="0.25">
      <c r="A7357" s="21">
        <v>9135984.2100000009</v>
      </c>
    </row>
    <row r="7358" spans="1:1" x14ac:dyDescent="0.25">
      <c r="A7358" s="21">
        <v>6014379.75</v>
      </c>
    </row>
    <row r="7359" spans="1:1" x14ac:dyDescent="0.25">
      <c r="A7359" s="21">
        <v>132350894.73</v>
      </c>
    </row>
    <row r="7360" spans="1:1" x14ac:dyDescent="0.25">
      <c r="A7360" s="21">
        <v>21980660.280000001</v>
      </c>
    </row>
    <row r="7361" spans="1:1" x14ac:dyDescent="0.25">
      <c r="A7361" s="21">
        <v>58321625.93</v>
      </c>
    </row>
    <row r="7362" spans="1:1" x14ac:dyDescent="0.25">
      <c r="A7362" s="21">
        <v>449347039.37</v>
      </c>
    </row>
    <row r="7363" spans="1:1" x14ac:dyDescent="0.25">
      <c r="A7363">
        <v>6824625</v>
      </c>
    </row>
    <row r="7364" spans="1:1" x14ac:dyDescent="0.25">
      <c r="A7364" s="21">
        <v>139978362.27000001</v>
      </c>
    </row>
    <row r="7365" spans="1:1" x14ac:dyDescent="0.25">
      <c r="A7365" s="21">
        <v>18149986.420000002</v>
      </c>
    </row>
    <row r="7366" spans="1:1" x14ac:dyDescent="0.25">
      <c r="A7366" s="21">
        <v>56622814.600000001</v>
      </c>
    </row>
    <row r="7367" spans="1:1" x14ac:dyDescent="0.25">
      <c r="A7367" s="21">
        <v>40037056.770000003</v>
      </c>
    </row>
    <row r="7368" spans="1:1" x14ac:dyDescent="0.25">
      <c r="A7368" s="21">
        <v>64195265.200000003</v>
      </c>
    </row>
    <row r="7369" spans="1:1" x14ac:dyDescent="0.25">
      <c r="A7369" s="21">
        <v>79594620.699999899</v>
      </c>
    </row>
    <row r="7370" spans="1:1" x14ac:dyDescent="0.25">
      <c r="A7370" s="21">
        <v>41537939.399999999</v>
      </c>
    </row>
    <row r="7371" spans="1:1" x14ac:dyDescent="0.25">
      <c r="A7371" s="21">
        <v>3794506.81</v>
      </c>
    </row>
    <row r="7372" spans="1:1" x14ac:dyDescent="0.25">
      <c r="A7372" s="21">
        <v>38132338.340000004</v>
      </c>
    </row>
    <row r="7373" spans="1:1" x14ac:dyDescent="0.25">
      <c r="A7373" s="21">
        <v>156489262.59999999</v>
      </c>
    </row>
    <row r="7374" spans="1:1" x14ac:dyDescent="0.25">
      <c r="A7374" s="21">
        <v>27737394.75</v>
      </c>
    </row>
    <row r="7375" spans="1:1" x14ac:dyDescent="0.25">
      <c r="A7375" s="21">
        <v>18927772.609999999</v>
      </c>
    </row>
    <row r="7376" spans="1:1" x14ac:dyDescent="0.25">
      <c r="A7376" s="21">
        <v>4251225.04</v>
      </c>
    </row>
    <row r="7377" spans="1:1" x14ac:dyDescent="0.25">
      <c r="A7377" s="21">
        <v>39002889.270000003</v>
      </c>
    </row>
    <row r="7378" spans="1:1" x14ac:dyDescent="0.25">
      <c r="A7378" s="21">
        <v>38355656.399999902</v>
      </c>
    </row>
    <row r="7379" spans="1:1" x14ac:dyDescent="0.25">
      <c r="A7379" s="21">
        <v>343005407.85000002</v>
      </c>
    </row>
    <row r="7380" spans="1:1" x14ac:dyDescent="0.25">
      <c r="A7380" s="21">
        <v>47376727.93</v>
      </c>
    </row>
    <row r="7381" spans="1:1" x14ac:dyDescent="0.25">
      <c r="A7381" s="21">
        <v>323698409.80000001</v>
      </c>
    </row>
    <row r="7382" spans="1:1" x14ac:dyDescent="0.25">
      <c r="A7382" s="21">
        <v>14200902.74</v>
      </c>
    </row>
    <row r="7383" spans="1:1" x14ac:dyDescent="0.25">
      <c r="A7383" s="21">
        <v>60332298.670000002</v>
      </c>
    </row>
    <row r="7384" spans="1:1" x14ac:dyDescent="0.25">
      <c r="A7384" s="21">
        <v>80909106.799999997</v>
      </c>
    </row>
    <row r="7385" spans="1:1" x14ac:dyDescent="0.25">
      <c r="A7385" s="21">
        <v>2820528.48</v>
      </c>
    </row>
    <row r="7386" spans="1:1" x14ac:dyDescent="0.25">
      <c r="A7386" s="21">
        <v>144126554.78999999</v>
      </c>
    </row>
    <row r="7387" spans="1:1" x14ac:dyDescent="0.25">
      <c r="A7387" s="21">
        <v>35442480.520000003</v>
      </c>
    </row>
    <row r="7388" spans="1:1" x14ac:dyDescent="0.25">
      <c r="A7388" s="21">
        <v>68389950.090000004</v>
      </c>
    </row>
    <row r="7389" spans="1:1" x14ac:dyDescent="0.25">
      <c r="A7389">
        <v>0</v>
      </c>
    </row>
    <row r="7390" spans="1:1" x14ac:dyDescent="0.25">
      <c r="A7390" s="21">
        <v>111771166.55</v>
      </c>
    </row>
    <row r="7391" spans="1:1" x14ac:dyDescent="0.25">
      <c r="A7391" s="21">
        <v>92301474.900000006</v>
      </c>
    </row>
    <row r="7392" spans="1:1" x14ac:dyDescent="0.25">
      <c r="A7392" s="21">
        <v>177204159.53999999</v>
      </c>
    </row>
    <row r="7393" spans="1:1" x14ac:dyDescent="0.25">
      <c r="A7393" s="21">
        <v>14509570</v>
      </c>
    </row>
    <row r="7394" spans="1:1" x14ac:dyDescent="0.25">
      <c r="A7394" s="21">
        <v>11639379.09</v>
      </c>
    </row>
    <row r="7395" spans="1:1" x14ac:dyDescent="0.25">
      <c r="A7395" s="21">
        <v>203597048.21000001</v>
      </c>
    </row>
    <row r="7396" spans="1:1" x14ac:dyDescent="0.25">
      <c r="A7396" s="21">
        <v>19257229.57</v>
      </c>
    </row>
    <row r="7397" spans="1:1" x14ac:dyDescent="0.25">
      <c r="A7397" s="21">
        <v>35621767.920000002</v>
      </c>
    </row>
    <row r="7398" spans="1:1" x14ac:dyDescent="0.25">
      <c r="A7398" s="21">
        <v>11474077.09</v>
      </c>
    </row>
    <row r="7399" spans="1:1" x14ac:dyDescent="0.25">
      <c r="A7399" s="21">
        <v>96247745.819999993</v>
      </c>
    </row>
    <row r="7400" spans="1:1" x14ac:dyDescent="0.25">
      <c r="A7400" s="21">
        <v>191371343.38999999</v>
      </c>
    </row>
    <row r="7401" spans="1:1" x14ac:dyDescent="0.25">
      <c r="A7401">
        <v>0</v>
      </c>
    </row>
    <row r="7402" spans="1:1" x14ac:dyDescent="0.25">
      <c r="A7402" s="21">
        <v>42226796.189999998</v>
      </c>
    </row>
    <row r="7403" spans="1:1" x14ac:dyDescent="0.25">
      <c r="A7403" s="21">
        <v>152886174.19</v>
      </c>
    </row>
    <row r="7404" spans="1:1" x14ac:dyDescent="0.25">
      <c r="A7404" s="21">
        <v>8880147.8399999999</v>
      </c>
    </row>
    <row r="7405" spans="1:1" x14ac:dyDescent="0.25">
      <c r="A7405" s="21">
        <v>130353989.56</v>
      </c>
    </row>
    <row r="7406" spans="1:1" x14ac:dyDescent="0.25">
      <c r="A7406" s="21">
        <v>8517053.6099999901</v>
      </c>
    </row>
    <row r="7407" spans="1:1" x14ac:dyDescent="0.25">
      <c r="A7407" s="21">
        <v>20675999.030000001</v>
      </c>
    </row>
    <row r="7408" spans="1:1" x14ac:dyDescent="0.25">
      <c r="A7408" s="21">
        <v>62938591.560000002</v>
      </c>
    </row>
    <row r="7409" spans="1:1" x14ac:dyDescent="0.25">
      <c r="A7409" s="21">
        <v>41256161.549999997</v>
      </c>
    </row>
    <row r="7410" spans="1:1" x14ac:dyDescent="0.25">
      <c r="A7410" s="21">
        <v>96729608.549999997</v>
      </c>
    </row>
    <row r="7411" spans="1:1" x14ac:dyDescent="0.25">
      <c r="A7411" s="21">
        <v>173293380.47999999</v>
      </c>
    </row>
    <row r="7412" spans="1:1" x14ac:dyDescent="0.25">
      <c r="A7412" s="21">
        <v>585126545.17999899</v>
      </c>
    </row>
    <row r="7413" spans="1:1" x14ac:dyDescent="0.25">
      <c r="A7413" s="21">
        <v>109769258.19</v>
      </c>
    </row>
    <row r="7414" spans="1:1" x14ac:dyDescent="0.25">
      <c r="A7414" s="21">
        <v>16655603.380000001</v>
      </c>
    </row>
    <row r="7415" spans="1:1" x14ac:dyDescent="0.25">
      <c r="A7415" s="21">
        <v>351459637.25999999</v>
      </c>
    </row>
    <row r="7416" spans="1:1" x14ac:dyDescent="0.25">
      <c r="A7416" s="21">
        <v>441380441.75999999</v>
      </c>
    </row>
    <row r="7417" spans="1:1" x14ac:dyDescent="0.25">
      <c r="A7417" s="21">
        <v>35085967.490000002</v>
      </c>
    </row>
    <row r="7418" spans="1:1" x14ac:dyDescent="0.25">
      <c r="A7418" s="21">
        <v>100282947.04000001</v>
      </c>
    </row>
    <row r="7419" spans="1:1" x14ac:dyDescent="0.25">
      <c r="A7419" s="21">
        <v>22055525.109999999</v>
      </c>
    </row>
    <row r="7420" spans="1:1" x14ac:dyDescent="0.25">
      <c r="A7420" s="21">
        <v>141448950.72</v>
      </c>
    </row>
    <row r="7421" spans="1:1" x14ac:dyDescent="0.25">
      <c r="A7421" s="21">
        <v>33206305.940000001</v>
      </c>
    </row>
    <row r="7422" spans="1:1" x14ac:dyDescent="0.25">
      <c r="A7422" s="21">
        <v>228403827.53</v>
      </c>
    </row>
    <row r="7423" spans="1:1" x14ac:dyDescent="0.25">
      <c r="A7423" s="21">
        <v>9012576.0899999999</v>
      </c>
    </row>
    <row r="7424" spans="1:1" x14ac:dyDescent="0.25">
      <c r="A7424" s="21">
        <v>12344698.16</v>
      </c>
    </row>
    <row r="7425" spans="1:1" x14ac:dyDescent="0.25">
      <c r="A7425" s="21">
        <v>37248874.549999997</v>
      </c>
    </row>
    <row r="7426" spans="1:1" x14ac:dyDescent="0.25">
      <c r="A7426" s="21">
        <v>54435493.849999897</v>
      </c>
    </row>
    <row r="7427" spans="1:1" x14ac:dyDescent="0.25">
      <c r="A7427" s="21">
        <v>12613471.08</v>
      </c>
    </row>
    <row r="7428" spans="1:1" x14ac:dyDescent="0.25">
      <c r="A7428" s="21">
        <v>225660027.72999999</v>
      </c>
    </row>
    <row r="7429" spans="1:1" x14ac:dyDescent="0.25">
      <c r="A7429" s="21">
        <v>16166982.98</v>
      </c>
    </row>
    <row r="7430" spans="1:1" x14ac:dyDescent="0.25">
      <c r="A7430" s="21">
        <v>18156941.420000002</v>
      </c>
    </row>
    <row r="7431" spans="1:1" x14ac:dyDescent="0.25">
      <c r="A7431" s="21">
        <v>90414927.609999895</v>
      </c>
    </row>
    <row r="7432" spans="1:1" x14ac:dyDescent="0.25">
      <c r="A7432" s="21">
        <v>67952791.950000003</v>
      </c>
    </row>
    <row r="7433" spans="1:1" x14ac:dyDescent="0.25">
      <c r="A7433" s="21">
        <v>61099826.219999999</v>
      </c>
    </row>
    <row r="7434" spans="1:1" x14ac:dyDescent="0.25">
      <c r="A7434" s="21">
        <v>18656641.5</v>
      </c>
    </row>
    <row r="7435" spans="1:1" x14ac:dyDescent="0.25">
      <c r="A7435" s="21">
        <v>38157727.75</v>
      </c>
    </row>
    <row r="7436" spans="1:1" x14ac:dyDescent="0.25">
      <c r="A7436" s="21">
        <v>456393496.67000002</v>
      </c>
    </row>
    <row r="7437" spans="1:1" x14ac:dyDescent="0.25">
      <c r="A7437" s="21">
        <v>7430416.5800000001</v>
      </c>
    </row>
    <row r="7438" spans="1:1" x14ac:dyDescent="0.25">
      <c r="A7438" s="21">
        <v>142366023.90000001</v>
      </c>
    </row>
    <row r="7439" spans="1:1" x14ac:dyDescent="0.25">
      <c r="A7439" s="21">
        <v>85054341.230000004</v>
      </c>
    </row>
    <row r="7440" spans="1:1" x14ac:dyDescent="0.25">
      <c r="A7440" s="21">
        <v>75594314.539999902</v>
      </c>
    </row>
    <row r="7441" spans="1:1" x14ac:dyDescent="0.25">
      <c r="A7441" s="21">
        <v>111982863.61</v>
      </c>
    </row>
    <row r="7442" spans="1:1" x14ac:dyDescent="0.25">
      <c r="A7442" s="21">
        <v>46083664.989999898</v>
      </c>
    </row>
    <row r="7443" spans="1:1" x14ac:dyDescent="0.25">
      <c r="A7443" s="21">
        <v>5344110.75</v>
      </c>
    </row>
    <row r="7444" spans="1:1" x14ac:dyDescent="0.25">
      <c r="A7444">
        <v>0</v>
      </c>
    </row>
    <row r="7445" spans="1:1" x14ac:dyDescent="0.25">
      <c r="A7445" s="21">
        <v>108414017.93000001</v>
      </c>
    </row>
    <row r="7446" spans="1:1" x14ac:dyDescent="0.25">
      <c r="A7446" s="21">
        <v>4328104.8600000003</v>
      </c>
    </row>
    <row r="7447" spans="1:1" x14ac:dyDescent="0.25">
      <c r="A7447">
        <v>0</v>
      </c>
    </row>
    <row r="7448" spans="1:1" x14ac:dyDescent="0.25">
      <c r="A7448" s="21">
        <v>4594952.46</v>
      </c>
    </row>
    <row r="7449" spans="1:1" x14ac:dyDescent="0.25">
      <c r="A7449">
        <v>6844095</v>
      </c>
    </row>
    <row r="7450" spans="1:1" x14ac:dyDescent="0.25">
      <c r="A7450" s="21">
        <v>51472767.07</v>
      </c>
    </row>
    <row r="7451" spans="1:1" x14ac:dyDescent="0.25">
      <c r="A7451" s="21">
        <v>174493685.06999999</v>
      </c>
    </row>
    <row r="7452" spans="1:1" x14ac:dyDescent="0.25">
      <c r="A7452" s="21">
        <v>19387068.539999999</v>
      </c>
    </row>
    <row r="7453" spans="1:1" x14ac:dyDescent="0.25">
      <c r="A7453" s="21">
        <v>20093902.149999999</v>
      </c>
    </row>
    <row r="7454" spans="1:1" x14ac:dyDescent="0.25">
      <c r="A7454" s="21">
        <v>31079769.93</v>
      </c>
    </row>
    <row r="7455" spans="1:1" x14ac:dyDescent="0.25">
      <c r="A7455" s="21">
        <v>261465269.15000001</v>
      </c>
    </row>
    <row r="7456" spans="1:1" x14ac:dyDescent="0.25">
      <c r="A7456" s="21">
        <v>24281216.91</v>
      </c>
    </row>
    <row r="7457" spans="1:1" x14ac:dyDescent="0.25">
      <c r="A7457" s="21">
        <v>110503269.38</v>
      </c>
    </row>
    <row r="7458" spans="1:1" x14ac:dyDescent="0.25">
      <c r="A7458" s="21">
        <v>64957290.5</v>
      </c>
    </row>
    <row r="7459" spans="1:1" x14ac:dyDescent="0.25">
      <c r="A7459" s="21">
        <v>106429366.7</v>
      </c>
    </row>
    <row r="7460" spans="1:1" x14ac:dyDescent="0.25">
      <c r="A7460" s="21">
        <v>17831324.57</v>
      </c>
    </row>
    <row r="7461" spans="1:1" x14ac:dyDescent="0.25">
      <c r="A7461">
        <v>0</v>
      </c>
    </row>
    <row r="7462" spans="1:1" x14ac:dyDescent="0.25">
      <c r="A7462" s="21">
        <v>4348210.22</v>
      </c>
    </row>
    <row r="7463" spans="1:1" x14ac:dyDescent="0.25">
      <c r="A7463" s="21">
        <v>156106962.00999999</v>
      </c>
    </row>
    <row r="7464" spans="1:1" x14ac:dyDescent="0.25">
      <c r="A7464" s="21">
        <v>14163302.859999999</v>
      </c>
    </row>
    <row r="7465" spans="1:1" x14ac:dyDescent="0.25">
      <c r="A7465" s="21">
        <v>52224306.450000003</v>
      </c>
    </row>
    <row r="7466" spans="1:1" x14ac:dyDescent="0.25">
      <c r="A7466" s="21">
        <v>43711030.549999997</v>
      </c>
    </row>
    <row r="7467" spans="1:1" x14ac:dyDescent="0.25">
      <c r="A7467" s="21">
        <v>159190796.16</v>
      </c>
    </row>
    <row r="7468" spans="1:1" x14ac:dyDescent="0.25">
      <c r="A7468" s="21">
        <v>353136847.73000002</v>
      </c>
    </row>
    <row r="7469" spans="1:1" x14ac:dyDescent="0.25">
      <c r="A7469" s="21">
        <v>14314893.58</v>
      </c>
    </row>
    <row r="7470" spans="1:1" x14ac:dyDescent="0.25">
      <c r="A7470" s="21">
        <v>111109669.47</v>
      </c>
    </row>
    <row r="7471" spans="1:1" x14ac:dyDescent="0.25">
      <c r="A7471" s="21">
        <v>25751214.579999998</v>
      </c>
    </row>
    <row r="7472" spans="1:1" x14ac:dyDescent="0.25">
      <c r="A7472">
        <v>0</v>
      </c>
    </row>
    <row r="7473" spans="1:1" x14ac:dyDescent="0.25">
      <c r="A7473" s="21">
        <v>6962924.0800000001</v>
      </c>
    </row>
    <row r="7474" spans="1:1" x14ac:dyDescent="0.25">
      <c r="A7474">
        <v>6773868</v>
      </c>
    </row>
    <row r="7475" spans="1:1" x14ac:dyDescent="0.25">
      <c r="A7475" s="21">
        <v>207993798.16999999</v>
      </c>
    </row>
    <row r="7476" spans="1:1" x14ac:dyDescent="0.25">
      <c r="A7476" s="21">
        <v>87864243.700000003</v>
      </c>
    </row>
    <row r="7477" spans="1:1" x14ac:dyDescent="0.25">
      <c r="A7477" s="21">
        <v>219712268.19</v>
      </c>
    </row>
    <row r="7478" spans="1:1" x14ac:dyDescent="0.25">
      <c r="A7478" s="21">
        <v>113943645.13</v>
      </c>
    </row>
    <row r="7479" spans="1:1" x14ac:dyDescent="0.25">
      <c r="A7479" s="21">
        <v>105731474.79000001</v>
      </c>
    </row>
    <row r="7480" spans="1:1" x14ac:dyDescent="0.25">
      <c r="A7480" s="21">
        <v>66055606.119999997</v>
      </c>
    </row>
    <row r="7481" spans="1:1" x14ac:dyDescent="0.25">
      <c r="A7481" s="21">
        <v>6433695.7699999996</v>
      </c>
    </row>
    <row r="7482" spans="1:1" x14ac:dyDescent="0.25">
      <c r="A7482">
        <v>0</v>
      </c>
    </row>
    <row r="7483" spans="1:1" x14ac:dyDescent="0.25">
      <c r="A7483" s="21">
        <v>116429465.95</v>
      </c>
    </row>
    <row r="7484" spans="1:1" x14ac:dyDescent="0.25">
      <c r="A7484" s="21">
        <v>175950629.83000001</v>
      </c>
    </row>
    <row r="7485" spans="1:1" x14ac:dyDescent="0.25">
      <c r="A7485" s="21">
        <v>18043286.93</v>
      </c>
    </row>
    <row r="7486" spans="1:1" x14ac:dyDescent="0.25">
      <c r="A7486" s="21">
        <v>73718559.200000003</v>
      </c>
    </row>
    <row r="7487" spans="1:1" x14ac:dyDescent="0.25">
      <c r="A7487" s="21">
        <v>67279443.129999995</v>
      </c>
    </row>
    <row r="7488" spans="1:1" x14ac:dyDescent="0.25">
      <c r="A7488" s="21">
        <v>61103775.489999898</v>
      </c>
    </row>
    <row r="7489" spans="1:1" x14ac:dyDescent="0.25">
      <c r="A7489" s="21">
        <v>143412898.38</v>
      </c>
    </row>
    <row r="7490" spans="1:1" x14ac:dyDescent="0.25">
      <c r="A7490" s="21">
        <v>36193505.799999997</v>
      </c>
    </row>
    <row r="7491" spans="1:1" x14ac:dyDescent="0.25">
      <c r="A7491" s="21">
        <v>386717477</v>
      </c>
    </row>
    <row r="7492" spans="1:1" x14ac:dyDescent="0.25">
      <c r="A7492" s="21">
        <v>102129672.45999999</v>
      </c>
    </row>
    <row r="7493" spans="1:1" x14ac:dyDescent="0.25">
      <c r="A7493" s="21">
        <v>6734884.5</v>
      </c>
    </row>
    <row r="7494" spans="1:1" x14ac:dyDescent="0.25">
      <c r="A7494" s="21">
        <v>188128879.87</v>
      </c>
    </row>
    <row r="7495" spans="1:1" x14ac:dyDescent="0.25">
      <c r="A7495" s="21">
        <v>88300034.769999996</v>
      </c>
    </row>
    <row r="7496" spans="1:1" x14ac:dyDescent="0.25">
      <c r="A7496" s="21">
        <v>156970527.56</v>
      </c>
    </row>
    <row r="7497" spans="1:1" x14ac:dyDescent="0.25">
      <c r="A7497" s="21">
        <v>10287267.369999999</v>
      </c>
    </row>
    <row r="7498" spans="1:1" x14ac:dyDescent="0.25">
      <c r="A7498" s="21">
        <v>119605326.66</v>
      </c>
    </row>
    <row r="7499" spans="1:1" x14ac:dyDescent="0.25">
      <c r="A7499" s="21">
        <v>78854418.400000006</v>
      </c>
    </row>
    <row r="7500" spans="1:1" x14ac:dyDescent="0.25">
      <c r="A7500" s="21">
        <v>3393887.01</v>
      </c>
    </row>
    <row r="7501" spans="1:1" x14ac:dyDescent="0.25">
      <c r="A7501" s="21">
        <v>142141972.88999999</v>
      </c>
    </row>
    <row r="7502" spans="1:1" x14ac:dyDescent="0.25">
      <c r="A7502" s="21">
        <v>85982675.400000006</v>
      </c>
    </row>
    <row r="7503" spans="1:1" x14ac:dyDescent="0.25">
      <c r="A7503" s="21">
        <v>17526472.879999999</v>
      </c>
    </row>
    <row r="7504" spans="1:1" x14ac:dyDescent="0.25">
      <c r="A7504" s="21">
        <v>59036608.659999996</v>
      </c>
    </row>
    <row r="7505" spans="1:1" x14ac:dyDescent="0.25">
      <c r="A7505" s="21">
        <v>73534537.260000005</v>
      </c>
    </row>
    <row r="7506" spans="1:1" x14ac:dyDescent="0.25">
      <c r="A7506" s="21">
        <v>70424856.640000001</v>
      </c>
    </row>
    <row r="7507" spans="1:1" x14ac:dyDescent="0.25">
      <c r="A7507" s="21">
        <v>10840478.060000001</v>
      </c>
    </row>
    <row r="7508" spans="1:1" x14ac:dyDescent="0.25">
      <c r="A7508" s="21">
        <v>10373261.460000001</v>
      </c>
    </row>
    <row r="7509" spans="1:1" x14ac:dyDescent="0.25">
      <c r="A7509" s="21">
        <v>10524396.98</v>
      </c>
    </row>
    <row r="7510" spans="1:1" x14ac:dyDescent="0.25">
      <c r="A7510" s="21">
        <v>222358009.15000001</v>
      </c>
    </row>
    <row r="7511" spans="1:1" x14ac:dyDescent="0.25">
      <c r="A7511" s="21">
        <v>33700838.280000001</v>
      </c>
    </row>
    <row r="7512" spans="1:1" x14ac:dyDescent="0.25">
      <c r="A7512" s="21">
        <v>334262036.54000002</v>
      </c>
    </row>
    <row r="7513" spans="1:1" x14ac:dyDescent="0.25">
      <c r="A7513">
        <v>0</v>
      </c>
    </row>
    <row r="7514" spans="1:1" x14ac:dyDescent="0.25">
      <c r="A7514" s="21">
        <v>21976493.120000001</v>
      </c>
    </row>
    <row r="7515" spans="1:1" x14ac:dyDescent="0.25">
      <c r="A7515" s="21">
        <v>114353728.06</v>
      </c>
    </row>
    <row r="7516" spans="1:1" x14ac:dyDescent="0.25">
      <c r="A7516" s="21">
        <v>4041968.63</v>
      </c>
    </row>
    <row r="7517" spans="1:1" x14ac:dyDescent="0.25">
      <c r="A7517" s="21">
        <v>63877542.380000003</v>
      </c>
    </row>
    <row r="7518" spans="1:1" x14ac:dyDescent="0.25">
      <c r="A7518" s="21">
        <v>21610491.579999998</v>
      </c>
    </row>
    <row r="7519" spans="1:1" x14ac:dyDescent="0.25">
      <c r="A7519" s="21">
        <v>3798854.44</v>
      </c>
    </row>
    <row r="7520" spans="1:1" x14ac:dyDescent="0.25">
      <c r="A7520" s="21">
        <v>116998365.92</v>
      </c>
    </row>
    <row r="7521" spans="1:1" x14ac:dyDescent="0.25">
      <c r="A7521" s="21">
        <v>15880917.51</v>
      </c>
    </row>
    <row r="7522" spans="1:1" x14ac:dyDescent="0.25">
      <c r="A7522" s="21">
        <v>37679804.799999997</v>
      </c>
    </row>
    <row r="7523" spans="1:1" x14ac:dyDescent="0.25">
      <c r="A7523" s="21">
        <v>6906833.0199999996</v>
      </c>
    </row>
    <row r="7524" spans="1:1" x14ac:dyDescent="0.25">
      <c r="A7524" s="21">
        <v>267933720.77000001</v>
      </c>
    </row>
    <row r="7525" spans="1:1" x14ac:dyDescent="0.25">
      <c r="A7525" s="21">
        <v>29534365.359999999</v>
      </c>
    </row>
    <row r="7526" spans="1:1" x14ac:dyDescent="0.25">
      <c r="A7526" s="21">
        <v>32966586.34</v>
      </c>
    </row>
    <row r="7527" spans="1:1" x14ac:dyDescent="0.25">
      <c r="A7527" s="21">
        <v>121382262.09999999</v>
      </c>
    </row>
    <row r="7528" spans="1:1" x14ac:dyDescent="0.25">
      <c r="A7528" s="21">
        <v>19966965.699999999</v>
      </c>
    </row>
    <row r="7529" spans="1:1" x14ac:dyDescent="0.25">
      <c r="A7529" s="21">
        <v>137008351.77000001</v>
      </c>
    </row>
    <row r="7530" spans="1:1" x14ac:dyDescent="0.25">
      <c r="A7530" s="21">
        <v>26568733.27</v>
      </c>
    </row>
    <row r="7531" spans="1:1" x14ac:dyDescent="0.25">
      <c r="A7531" s="21">
        <v>72125416.060000002</v>
      </c>
    </row>
    <row r="7532" spans="1:1" x14ac:dyDescent="0.25">
      <c r="A7532" s="21">
        <v>17428522.98</v>
      </c>
    </row>
    <row r="7533" spans="1:1" x14ac:dyDescent="0.25">
      <c r="A7533" s="21">
        <v>14490550.6</v>
      </c>
    </row>
    <row r="7534" spans="1:1" x14ac:dyDescent="0.25">
      <c r="A7534" s="21">
        <v>32180819.600000001</v>
      </c>
    </row>
    <row r="7535" spans="1:1" x14ac:dyDescent="0.25">
      <c r="A7535" s="21">
        <v>26254187.489999998</v>
      </c>
    </row>
    <row r="7536" spans="1:1" x14ac:dyDescent="0.25">
      <c r="A7536" s="21">
        <v>126619933.34</v>
      </c>
    </row>
    <row r="7537" spans="1:1" x14ac:dyDescent="0.25">
      <c r="A7537" s="21">
        <v>20829109.329999998</v>
      </c>
    </row>
    <row r="7538" spans="1:1" x14ac:dyDescent="0.25">
      <c r="A7538" s="21">
        <v>4284442.97</v>
      </c>
    </row>
    <row r="7539" spans="1:1" x14ac:dyDescent="0.25">
      <c r="A7539">
        <v>0</v>
      </c>
    </row>
    <row r="7540" spans="1:1" x14ac:dyDescent="0.25">
      <c r="A7540" s="21">
        <v>20504083.390000001</v>
      </c>
    </row>
    <row r="7541" spans="1:1" x14ac:dyDescent="0.25">
      <c r="A7541" s="21">
        <v>28052408.899999999</v>
      </c>
    </row>
    <row r="7542" spans="1:1" x14ac:dyDescent="0.25">
      <c r="A7542" s="21">
        <v>30328187.149999999</v>
      </c>
    </row>
    <row r="7543" spans="1:1" x14ac:dyDescent="0.25">
      <c r="A7543">
        <v>0</v>
      </c>
    </row>
    <row r="7544" spans="1:1" x14ac:dyDescent="0.25">
      <c r="A7544" s="21">
        <v>7422010.7599999998</v>
      </c>
    </row>
    <row r="7545" spans="1:1" x14ac:dyDescent="0.25">
      <c r="A7545" s="21">
        <v>23219113.370000001</v>
      </c>
    </row>
    <row r="7546" spans="1:1" x14ac:dyDescent="0.25">
      <c r="A7546" s="21">
        <v>73703943.25</v>
      </c>
    </row>
    <row r="7547" spans="1:1" x14ac:dyDescent="0.25">
      <c r="A7547">
        <v>0</v>
      </c>
    </row>
    <row r="7548" spans="1:1" x14ac:dyDescent="0.25">
      <c r="A7548" s="21">
        <v>27427518.48</v>
      </c>
    </row>
    <row r="7549" spans="1:1" x14ac:dyDescent="0.25">
      <c r="A7549" s="21">
        <v>86991075.379999995</v>
      </c>
    </row>
    <row r="7550" spans="1:1" x14ac:dyDescent="0.25">
      <c r="A7550" s="21">
        <v>7841836.1100000003</v>
      </c>
    </row>
    <row r="7551" spans="1:1" x14ac:dyDescent="0.25">
      <c r="A7551" s="21">
        <v>427173450.99000001</v>
      </c>
    </row>
    <row r="7552" spans="1:1" x14ac:dyDescent="0.25">
      <c r="A7552" s="21">
        <v>12721275.75</v>
      </c>
    </row>
    <row r="7553" spans="1:1" x14ac:dyDescent="0.25">
      <c r="A7553" s="21">
        <v>37902796.43</v>
      </c>
    </row>
    <row r="7554" spans="1:1" x14ac:dyDescent="0.25">
      <c r="A7554" s="21">
        <v>51895241.279999897</v>
      </c>
    </row>
    <row r="7555" spans="1:1" x14ac:dyDescent="0.25">
      <c r="A7555">
        <v>6385101</v>
      </c>
    </row>
    <row r="7556" spans="1:1" x14ac:dyDescent="0.25">
      <c r="A7556" s="21">
        <v>2974813.4</v>
      </c>
    </row>
    <row r="7557" spans="1:1" x14ac:dyDescent="0.25">
      <c r="A7557" s="21">
        <v>126456529.65000001</v>
      </c>
    </row>
    <row r="7558" spans="1:1" x14ac:dyDescent="0.25">
      <c r="A7558" s="21">
        <v>8608971.3699999992</v>
      </c>
    </row>
    <row r="7559" spans="1:1" x14ac:dyDescent="0.25">
      <c r="A7559" s="21">
        <v>2758561.52</v>
      </c>
    </row>
    <row r="7560" spans="1:1" x14ac:dyDescent="0.25">
      <c r="A7560" s="21">
        <v>87678327.510000005</v>
      </c>
    </row>
    <row r="7561" spans="1:1" x14ac:dyDescent="0.25">
      <c r="A7561" s="21">
        <v>4510017.2300000004</v>
      </c>
    </row>
    <row r="7562" spans="1:1" x14ac:dyDescent="0.25">
      <c r="A7562" s="21">
        <v>90406757.150000006</v>
      </c>
    </row>
    <row r="7563" spans="1:1" x14ac:dyDescent="0.25">
      <c r="A7563" s="21">
        <v>36177811.630000003</v>
      </c>
    </row>
    <row r="7564" spans="1:1" x14ac:dyDescent="0.25">
      <c r="A7564" s="21">
        <v>132542209.47</v>
      </c>
    </row>
    <row r="7565" spans="1:1" x14ac:dyDescent="0.25">
      <c r="A7565" s="21">
        <v>51292542.399999999</v>
      </c>
    </row>
    <row r="7566" spans="1:1" x14ac:dyDescent="0.25">
      <c r="A7566" s="21">
        <v>102237728.09999999</v>
      </c>
    </row>
    <row r="7567" spans="1:1" x14ac:dyDescent="0.25">
      <c r="A7567" s="21">
        <v>77611644.759999901</v>
      </c>
    </row>
    <row r="7568" spans="1:1" x14ac:dyDescent="0.25">
      <c r="A7568" s="21">
        <v>47064918.609999999</v>
      </c>
    </row>
    <row r="7569" spans="1:1" x14ac:dyDescent="0.25">
      <c r="A7569">
        <v>0</v>
      </c>
    </row>
    <row r="7570" spans="1:1" x14ac:dyDescent="0.25">
      <c r="A7570" s="21">
        <v>83715985.25</v>
      </c>
    </row>
    <row r="7571" spans="1:1" x14ac:dyDescent="0.25">
      <c r="A7571" s="21">
        <v>3834367.79</v>
      </c>
    </row>
    <row r="7572" spans="1:1" x14ac:dyDescent="0.25">
      <c r="A7572" s="21">
        <v>154667418.00999999</v>
      </c>
    </row>
    <row r="7573" spans="1:1" x14ac:dyDescent="0.25">
      <c r="A7573" s="21">
        <v>3014321.29</v>
      </c>
    </row>
    <row r="7574" spans="1:1" x14ac:dyDescent="0.25">
      <c r="A7574" s="21">
        <v>103846326.27</v>
      </c>
    </row>
    <row r="7575" spans="1:1" x14ac:dyDescent="0.25">
      <c r="A7575" s="21">
        <v>205083490.94999999</v>
      </c>
    </row>
    <row r="7576" spans="1:1" x14ac:dyDescent="0.25">
      <c r="A7576" s="21">
        <v>23549325.210000001</v>
      </c>
    </row>
    <row r="7577" spans="1:1" x14ac:dyDescent="0.25">
      <c r="A7577" s="21">
        <v>42507598.140000001</v>
      </c>
    </row>
    <row r="7578" spans="1:1" x14ac:dyDescent="0.25">
      <c r="A7578">
        <v>0</v>
      </c>
    </row>
    <row r="7579" spans="1:1" x14ac:dyDescent="0.25">
      <c r="A7579" s="21">
        <v>109894970.27</v>
      </c>
    </row>
    <row r="7580" spans="1:1" x14ac:dyDescent="0.25">
      <c r="A7580" s="21">
        <v>254019339.16999999</v>
      </c>
    </row>
    <row r="7581" spans="1:1" x14ac:dyDescent="0.25">
      <c r="A7581" s="21">
        <v>3670483.11</v>
      </c>
    </row>
    <row r="7582" spans="1:1" x14ac:dyDescent="0.25">
      <c r="A7582" s="21">
        <v>2714883.55</v>
      </c>
    </row>
    <row r="7583" spans="1:1" x14ac:dyDescent="0.25">
      <c r="A7583" s="21">
        <v>80731362.560000002</v>
      </c>
    </row>
    <row r="7584" spans="1:1" x14ac:dyDescent="0.25">
      <c r="A7584" s="21">
        <v>92576779.180000007</v>
      </c>
    </row>
    <row r="7585" spans="1:1" x14ac:dyDescent="0.25">
      <c r="A7585" s="21">
        <v>18186884.539999999</v>
      </c>
    </row>
    <row r="7586" spans="1:1" x14ac:dyDescent="0.25">
      <c r="A7586">
        <v>6108378</v>
      </c>
    </row>
    <row r="7587" spans="1:1" x14ac:dyDescent="0.25">
      <c r="A7587">
        <v>0</v>
      </c>
    </row>
    <row r="7588" spans="1:1" x14ac:dyDescent="0.25">
      <c r="A7588" s="21">
        <v>22582212.52</v>
      </c>
    </row>
    <row r="7589" spans="1:1" x14ac:dyDescent="0.25">
      <c r="A7589" s="21">
        <v>62109340.079999998</v>
      </c>
    </row>
    <row r="7590" spans="1:1" x14ac:dyDescent="0.25">
      <c r="A7590" s="21">
        <v>41406165.490000002</v>
      </c>
    </row>
    <row r="7591" spans="1:1" x14ac:dyDescent="0.25">
      <c r="A7591" s="21">
        <v>14360836.140000001</v>
      </c>
    </row>
    <row r="7592" spans="1:1" x14ac:dyDescent="0.25">
      <c r="A7592" s="21">
        <v>8298996.54</v>
      </c>
    </row>
    <row r="7593" spans="1:1" x14ac:dyDescent="0.25">
      <c r="A7593" s="21">
        <v>33913716.159999996</v>
      </c>
    </row>
    <row r="7594" spans="1:1" x14ac:dyDescent="0.25">
      <c r="A7594" s="21">
        <v>58592265.439999998</v>
      </c>
    </row>
    <row r="7595" spans="1:1" x14ac:dyDescent="0.25">
      <c r="A7595" s="21">
        <v>33868895.689999998</v>
      </c>
    </row>
    <row r="7596" spans="1:1" x14ac:dyDescent="0.25">
      <c r="A7596" s="21">
        <v>560162576.78999996</v>
      </c>
    </row>
    <row r="7597" spans="1:1" x14ac:dyDescent="0.25">
      <c r="A7597" s="21">
        <v>205274439.94999999</v>
      </c>
    </row>
    <row r="7598" spans="1:1" x14ac:dyDescent="0.25">
      <c r="A7598">
        <v>0</v>
      </c>
    </row>
    <row r="7599" spans="1:1" x14ac:dyDescent="0.25">
      <c r="A7599" s="21">
        <v>48603427.119999997</v>
      </c>
    </row>
    <row r="7600" spans="1:1" x14ac:dyDescent="0.25">
      <c r="A7600" s="21">
        <v>39386891.649999999</v>
      </c>
    </row>
    <row r="7601" spans="1:1" x14ac:dyDescent="0.25">
      <c r="A7601" s="21">
        <v>331475073.91000003</v>
      </c>
    </row>
    <row r="7602" spans="1:1" x14ac:dyDescent="0.25">
      <c r="A7602" s="21">
        <v>401392596.56</v>
      </c>
    </row>
    <row r="7603" spans="1:1" x14ac:dyDescent="0.25">
      <c r="A7603" s="21">
        <v>112395670.34999999</v>
      </c>
    </row>
    <row r="7604" spans="1:1" x14ac:dyDescent="0.25">
      <c r="A7604">
        <v>0</v>
      </c>
    </row>
    <row r="7605" spans="1:1" x14ac:dyDescent="0.25">
      <c r="A7605" s="21">
        <v>90047962.120000005</v>
      </c>
    </row>
    <row r="7606" spans="1:1" x14ac:dyDescent="0.25">
      <c r="A7606" s="21">
        <v>31049676.670000002</v>
      </c>
    </row>
    <row r="7607" spans="1:1" x14ac:dyDescent="0.25">
      <c r="A7607" s="21">
        <v>238990195.75999999</v>
      </c>
    </row>
    <row r="7608" spans="1:1" x14ac:dyDescent="0.25">
      <c r="A7608" s="21">
        <v>109740313.19</v>
      </c>
    </row>
    <row r="7609" spans="1:1" x14ac:dyDescent="0.25">
      <c r="A7609" s="21">
        <v>6322119.3300000001</v>
      </c>
    </row>
    <row r="7610" spans="1:1" x14ac:dyDescent="0.25">
      <c r="A7610" s="21">
        <v>12372277.5</v>
      </c>
    </row>
    <row r="7611" spans="1:1" x14ac:dyDescent="0.25">
      <c r="A7611" s="21">
        <v>47802582.119999997</v>
      </c>
    </row>
    <row r="7612" spans="1:1" x14ac:dyDescent="0.25">
      <c r="A7612" s="21">
        <v>87175490.039999902</v>
      </c>
    </row>
    <row r="7613" spans="1:1" x14ac:dyDescent="0.25">
      <c r="A7613" s="21">
        <v>5770859.25</v>
      </c>
    </row>
    <row r="7614" spans="1:1" x14ac:dyDescent="0.25">
      <c r="A7614" s="21">
        <v>114589169.12</v>
      </c>
    </row>
    <row r="7615" spans="1:1" x14ac:dyDescent="0.25">
      <c r="A7615" s="21">
        <v>60644561.200000003</v>
      </c>
    </row>
    <row r="7616" spans="1:1" x14ac:dyDescent="0.25">
      <c r="A7616" s="21">
        <v>36858056.299999997</v>
      </c>
    </row>
    <row r="7617" spans="1:1" x14ac:dyDescent="0.25">
      <c r="A7617" s="21">
        <v>50776814.380000003</v>
      </c>
    </row>
    <row r="7618" spans="1:1" x14ac:dyDescent="0.25">
      <c r="A7618" s="21">
        <v>117243668.27</v>
      </c>
    </row>
    <row r="7619" spans="1:1" x14ac:dyDescent="0.25">
      <c r="A7619" s="21">
        <v>72937968.920000002</v>
      </c>
    </row>
    <row r="7620" spans="1:1" x14ac:dyDescent="0.25">
      <c r="A7620" s="21">
        <v>12801439.42</v>
      </c>
    </row>
    <row r="7621" spans="1:1" x14ac:dyDescent="0.25">
      <c r="A7621" s="21">
        <v>379137585.39999998</v>
      </c>
    </row>
    <row r="7622" spans="1:1" x14ac:dyDescent="0.25">
      <c r="A7622" s="21">
        <v>63464081.600000001</v>
      </c>
    </row>
    <row r="7623" spans="1:1" x14ac:dyDescent="0.25">
      <c r="A7623" s="21">
        <v>18598988.25</v>
      </c>
    </row>
    <row r="7624" spans="1:1" x14ac:dyDescent="0.25">
      <c r="A7624" s="21">
        <v>35606825.390000001</v>
      </c>
    </row>
    <row r="7625" spans="1:1" x14ac:dyDescent="0.25">
      <c r="A7625" s="21">
        <v>35143245.079999998</v>
      </c>
    </row>
    <row r="7626" spans="1:1" x14ac:dyDescent="0.25">
      <c r="A7626">
        <v>0</v>
      </c>
    </row>
    <row r="7627" spans="1:1" x14ac:dyDescent="0.25">
      <c r="A7627" s="21">
        <v>97865372.349999994</v>
      </c>
    </row>
    <row r="7628" spans="1:1" x14ac:dyDescent="0.25">
      <c r="A7628" s="21">
        <v>45862532.140000001</v>
      </c>
    </row>
    <row r="7629" spans="1:1" x14ac:dyDescent="0.25">
      <c r="A7629" s="21">
        <v>84432124.769999996</v>
      </c>
    </row>
    <row r="7630" spans="1:1" x14ac:dyDescent="0.25">
      <c r="A7630" s="21">
        <v>64859163.670000002</v>
      </c>
    </row>
    <row r="7631" spans="1:1" x14ac:dyDescent="0.25">
      <c r="A7631" s="21">
        <v>231432020.97</v>
      </c>
    </row>
    <row r="7632" spans="1:1" x14ac:dyDescent="0.25">
      <c r="A7632" s="21">
        <v>6180404.25</v>
      </c>
    </row>
    <row r="7633" spans="1:1" x14ac:dyDescent="0.25">
      <c r="A7633" s="21">
        <v>17172702.399999999</v>
      </c>
    </row>
    <row r="7634" spans="1:1" x14ac:dyDescent="0.25">
      <c r="A7634" s="21">
        <v>64582047.560000002</v>
      </c>
    </row>
    <row r="7635" spans="1:1" x14ac:dyDescent="0.25">
      <c r="A7635" s="21">
        <v>27705520.41</v>
      </c>
    </row>
    <row r="7636" spans="1:1" x14ac:dyDescent="0.25">
      <c r="A7636" s="21">
        <v>199066077.16999999</v>
      </c>
    </row>
    <row r="7637" spans="1:1" x14ac:dyDescent="0.25">
      <c r="A7637">
        <v>6793014</v>
      </c>
    </row>
    <row r="7638" spans="1:1" x14ac:dyDescent="0.25">
      <c r="A7638" s="21">
        <v>129549638.76000001</v>
      </c>
    </row>
    <row r="7639" spans="1:1" x14ac:dyDescent="0.25">
      <c r="A7639" s="21">
        <v>12084114.640000001</v>
      </c>
    </row>
    <row r="7640" spans="1:1" x14ac:dyDescent="0.25">
      <c r="A7640" s="21">
        <v>148512001.47999999</v>
      </c>
    </row>
    <row r="7641" spans="1:1" x14ac:dyDescent="0.25">
      <c r="A7641" s="21">
        <v>7657011.25</v>
      </c>
    </row>
    <row r="7642" spans="1:1" x14ac:dyDescent="0.25">
      <c r="A7642" s="21">
        <v>14801516.85</v>
      </c>
    </row>
    <row r="7643" spans="1:1" x14ac:dyDescent="0.25">
      <c r="A7643" s="21">
        <v>36349208.299999997</v>
      </c>
    </row>
    <row r="7644" spans="1:1" x14ac:dyDescent="0.25">
      <c r="A7644" s="21">
        <v>342707706.63</v>
      </c>
    </row>
    <row r="7645" spans="1:1" x14ac:dyDescent="0.25">
      <c r="A7645" s="21">
        <v>68033491.420000002</v>
      </c>
    </row>
    <row r="7646" spans="1:1" x14ac:dyDescent="0.25">
      <c r="A7646" s="21">
        <v>35605957.380000003</v>
      </c>
    </row>
    <row r="7647" spans="1:1" x14ac:dyDescent="0.25">
      <c r="A7647" s="21">
        <v>56465045.979999997</v>
      </c>
    </row>
    <row r="7648" spans="1:1" x14ac:dyDescent="0.25">
      <c r="A7648" s="21">
        <v>6357437.25</v>
      </c>
    </row>
    <row r="7649" spans="1:1" x14ac:dyDescent="0.25">
      <c r="A7649" s="21">
        <v>294440635.5</v>
      </c>
    </row>
    <row r="7650" spans="1:1" x14ac:dyDescent="0.25">
      <c r="A7650" s="21">
        <v>57503124.310000002</v>
      </c>
    </row>
    <row r="7651" spans="1:1" x14ac:dyDescent="0.25">
      <c r="A7651" s="21">
        <v>45870977.280000001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 s="21">
        <v>184828745.88999999</v>
      </c>
    </row>
    <row r="7655" spans="1:1" x14ac:dyDescent="0.25">
      <c r="A7655" s="21">
        <v>51820116.810000002</v>
      </c>
    </row>
    <row r="7656" spans="1:1" x14ac:dyDescent="0.25">
      <c r="A7656" s="21">
        <v>152236117.59</v>
      </c>
    </row>
    <row r="7657" spans="1:1" x14ac:dyDescent="0.25">
      <c r="A7657" s="21">
        <v>16945164.16</v>
      </c>
    </row>
    <row r="7658" spans="1:1" x14ac:dyDescent="0.25">
      <c r="A7658" s="21">
        <v>4184897.72</v>
      </c>
    </row>
    <row r="7659" spans="1:1" x14ac:dyDescent="0.25">
      <c r="A7659" s="21">
        <v>92007365.280000001</v>
      </c>
    </row>
    <row r="7660" spans="1:1" x14ac:dyDescent="0.25">
      <c r="A7660" s="21">
        <v>80495268.799999997</v>
      </c>
    </row>
    <row r="7661" spans="1:1" x14ac:dyDescent="0.25">
      <c r="A7661" s="21">
        <v>173014821.50999999</v>
      </c>
    </row>
    <row r="7662" spans="1:1" x14ac:dyDescent="0.25">
      <c r="A7662" s="21">
        <v>65631368.18</v>
      </c>
    </row>
    <row r="7663" spans="1:1" x14ac:dyDescent="0.25">
      <c r="A7663" s="21">
        <v>64075898.229999997</v>
      </c>
    </row>
    <row r="7664" spans="1:1" x14ac:dyDescent="0.25">
      <c r="A7664" s="21">
        <v>63294398.219999999</v>
      </c>
    </row>
    <row r="7665" spans="1:1" x14ac:dyDescent="0.25">
      <c r="A7665" s="21">
        <v>11277377.689999999</v>
      </c>
    </row>
    <row r="7666" spans="1:1" x14ac:dyDescent="0.25">
      <c r="A7666" s="21">
        <v>52978392.409999996</v>
      </c>
    </row>
    <row r="7667" spans="1:1" x14ac:dyDescent="0.25">
      <c r="A7667" s="21">
        <v>126361448.95999999</v>
      </c>
    </row>
    <row r="7668" spans="1:1" x14ac:dyDescent="0.25">
      <c r="A7668" s="21">
        <v>57093356.630000003</v>
      </c>
    </row>
    <row r="7669" spans="1:1" x14ac:dyDescent="0.25">
      <c r="A7669" s="21">
        <v>10546601.99</v>
      </c>
    </row>
    <row r="7670" spans="1:1" x14ac:dyDescent="0.25">
      <c r="A7670" s="21">
        <v>4328104.8600000003</v>
      </c>
    </row>
    <row r="7671" spans="1:1" x14ac:dyDescent="0.25">
      <c r="A7671" s="21">
        <v>31248402.949999999</v>
      </c>
    </row>
    <row r="7672" spans="1:1" x14ac:dyDescent="0.25">
      <c r="A7672" s="21">
        <v>96533961.709999993</v>
      </c>
    </row>
    <row r="7673" spans="1:1" x14ac:dyDescent="0.25">
      <c r="A7673" s="21">
        <v>98380822.560000002</v>
      </c>
    </row>
    <row r="7674" spans="1:1" x14ac:dyDescent="0.25">
      <c r="A7674" s="21">
        <v>83503235.140000001</v>
      </c>
    </row>
    <row r="7675" spans="1:1" x14ac:dyDescent="0.25">
      <c r="A7675" s="21">
        <v>51058364.990000002</v>
      </c>
    </row>
    <row r="7676" spans="1:1" x14ac:dyDescent="0.25">
      <c r="A7676" s="21">
        <v>6827538.5199999996</v>
      </c>
    </row>
    <row r="7677" spans="1:1" x14ac:dyDescent="0.25">
      <c r="A7677" s="21">
        <v>54661653.609999999</v>
      </c>
    </row>
    <row r="7678" spans="1:1" x14ac:dyDescent="0.25">
      <c r="A7678" s="21">
        <v>170734838.90000001</v>
      </c>
    </row>
    <row r="7679" spans="1:1" x14ac:dyDescent="0.25">
      <c r="A7679" s="21">
        <v>185793067.18000001</v>
      </c>
    </row>
    <row r="7680" spans="1:1" x14ac:dyDescent="0.25">
      <c r="A7680" s="21">
        <v>22324538.960000001</v>
      </c>
    </row>
    <row r="7681" spans="1:1" x14ac:dyDescent="0.25">
      <c r="A7681" s="21">
        <v>44855853.579999998</v>
      </c>
    </row>
    <row r="7682" spans="1:1" x14ac:dyDescent="0.25">
      <c r="A7682" s="21">
        <v>127018454.59</v>
      </c>
    </row>
    <row r="7683" spans="1:1" x14ac:dyDescent="0.25">
      <c r="A7683" s="21">
        <v>4041968.63</v>
      </c>
    </row>
    <row r="7684" spans="1:1" x14ac:dyDescent="0.25">
      <c r="A7684" s="21">
        <v>8903228.8000000007</v>
      </c>
    </row>
    <row r="7685" spans="1:1" x14ac:dyDescent="0.25">
      <c r="A7685" s="21">
        <v>12586240.779999999</v>
      </c>
    </row>
    <row r="7686" spans="1:1" x14ac:dyDescent="0.25">
      <c r="A7686" s="21">
        <v>73098972.5</v>
      </c>
    </row>
    <row r="7687" spans="1:1" x14ac:dyDescent="0.25">
      <c r="A7687" s="21">
        <v>17331987.149999999</v>
      </c>
    </row>
    <row r="7688" spans="1:1" x14ac:dyDescent="0.25">
      <c r="A7688" s="21">
        <v>21873405.870000001</v>
      </c>
    </row>
    <row r="7689" spans="1:1" x14ac:dyDescent="0.25">
      <c r="A7689">
        <v>0</v>
      </c>
    </row>
    <row r="7690" spans="1:1" x14ac:dyDescent="0.25">
      <c r="A7690" s="21">
        <v>131823609.63</v>
      </c>
    </row>
    <row r="7691" spans="1:1" x14ac:dyDescent="0.25">
      <c r="A7691" s="21">
        <v>24677623.390000001</v>
      </c>
    </row>
    <row r="7692" spans="1:1" x14ac:dyDescent="0.25">
      <c r="A7692" s="21">
        <v>114747818.18000001</v>
      </c>
    </row>
    <row r="7693" spans="1:1" x14ac:dyDescent="0.25">
      <c r="A7693" s="21">
        <v>3467254.02</v>
      </c>
    </row>
    <row r="7694" spans="1:1" x14ac:dyDescent="0.25">
      <c r="A7694" s="21">
        <v>26312143.629999999</v>
      </c>
    </row>
    <row r="7695" spans="1:1" x14ac:dyDescent="0.25">
      <c r="A7695" s="21">
        <v>199962184.34</v>
      </c>
    </row>
    <row r="7696" spans="1:1" x14ac:dyDescent="0.25">
      <c r="A7696">
        <v>0</v>
      </c>
    </row>
    <row r="7697" spans="1:1" x14ac:dyDescent="0.25">
      <c r="A7697" s="21">
        <v>165378198.77000001</v>
      </c>
    </row>
    <row r="7698" spans="1:1" x14ac:dyDescent="0.25">
      <c r="A7698" s="21">
        <v>125942082.93000001</v>
      </c>
    </row>
    <row r="7699" spans="1:1" x14ac:dyDescent="0.25">
      <c r="A7699" s="21">
        <v>216378564.55000001</v>
      </c>
    </row>
    <row r="7700" spans="1:1" x14ac:dyDescent="0.25">
      <c r="A7700" s="21">
        <v>13224495.75</v>
      </c>
    </row>
    <row r="7701" spans="1:1" x14ac:dyDescent="0.25">
      <c r="A7701" s="21">
        <v>122913661.65000001</v>
      </c>
    </row>
    <row r="7702" spans="1:1" x14ac:dyDescent="0.25">
      <c r="A7702" s="21">
        <v>45635407.490000002</v>
      </c>
    </row>
    <row r="7703" spans="1:1" x14ac:dyDescent="0.25">
      <c r="A7703" s="21">
        <v>182788058.65000001</v>
      </c>
    </row>
    <row r="7704" spans="1:1" x14ac:dyDescent="0.25">
      <c r="A7704" s="21">
        <v>130695084.48</v>
      </c>
    </row>
    <row r="7705" spans="1:1" x14ac:dyDescent="0.25">
      <c r="A7705" s="21">
        <v>61555057.489999898</v>
      </c>
    </row>
    <row r="7706" spans="1:1" x14ac:dyDescent="0.25">
      <c r="A7706">
        <v>0</v>
      </c>
    </row>
    <row r="7707" spans="1:1" x14ac:dyDescent="0.25">
      <c r="A7707" s="21">
        <v>209021259.69</v>
      </c>
    </row>
    <row r="7708" spans="1:1" x14ac:dyDescent="0.25">
      <c r="A7708" s="21">
        <v>87153345.930000007</v>
      </c>
    </row>
    <row r="7709" spans="1:1" x14ac:dyDescent="0.25">
      <c r="A7709" s="21">
        <v>53754204.979999997</v>
      </c>
    </row>
    <row r="7710" spans="1:1" x14ac:dyDescent="0.25">
      <c r="A7710" s="21">
        <v>40992357.549999997</v>
      </c>
    </row>
    <row r="7711" spans="1:1" x14ac:dyDescent="0.25">
      <c r="A7711" s="21">
        <v>22505433.23</v>
      </c>
    </row>
    <row r="7712" spans="1:1" x14ac:dyDescent="0.25">
      <c r="A7712" s="21">
        <v>79489872.609999999</v>
      </c>
    </row>
    <row r="7713" spans="1:1" x14ac:dyDescent="0.25">
      <c r="A7713" s="21">
        <v>56433854.789999999</v>
      </c>
    </row>
    <row r="7714" spans="1:1" x14ac:dyDescent="0.25">
      <c r="A7714" s="21">
        <v>16305148.140000001</v>
      </c>
    </row>
    <row r="7715" spans="1:1" x14ac:dyDescent="0.25">
      <c r="A7715" s="21">
        <v>87343777.019999996</v>
      </c>
    </row>
    <row r="7716" spans="1:1" x14ac:dyDescent="0.25">
      <c r="A7716" s="21">
        <v>30718052.48</v>
      </c>
    </row>
    <row r="7717" spans="1:1" x14ac:dyDescent="0.25">
      <c r="A7717" s="21">
        <v>41294695.259999998</v>
      </c>
    </row>
    <row r="7718" spans="1:1" x14ac:dyDescent="0.25">
      <c r="A7718" s="21">
        <v>16965098.07</v>
      </c>
    </row>
    <row r="7719" spans="1:1" x14ac:dyDescent="0.25">
      <c r="A7719" s="21">
        <v>37678892.82</v>
      </c>
    </row>
    <row r="7720" spans="1:1" x14ac:dyDescent="0.25">
      <c r="A7720" s="21">
        <v>39512301.840000004</v>
      </c>
    </row>
    <row r="7721" spans="1:1" x14ac:dyDescent="0.25">
      <c r="A7721" s="21">
        <v>29548170.859999999</v>
      </c>
    </row>
    <row r="7722" spans="1:1" x14ac:dyDescent="0.25">
      <c r="A7722" s="21">
        <v>36697175.289999999</v>
      </c>
    </row>
    <row r="7723" spans="1:1" x14ac:dyDescent="0.25">
      <c r="A7723" s="21">
        <v>58357573.729999997</v>
      </c>
    </row>
    <row r="7724" spans="1:1" x14ac:dyDescent="0.25">
      <c r="A7724" s="21">
        <v>47708864.920000002</v>
      </c>
    </row>
    <row r="7725" spans="1:1" x14ac:dyDescent="0.25">
      <c r="A7725" s="21">
        <v>63878396.700000003</v>
      </c>
    </row>
    <row r="7726" spans="1:1" x14ac:dyDescent="0.25">
      <c r="A7726" s="21">
        <v>266703184.05000001</v>
      </c>
    </row>
    <row r="7727" spans="1:1" x14ac:dyDescent="0.25">
      <c r="A7727" s="21">
        <v>28911646.859999999</v>
      </c>
    </row>
    <row r="7728" spans="1:1" x14ac:dyDescent="0.25">
      <c r="A7728" s="21">
        <v>58181827.75</v>
      </c>
    </row>
    <row r="7729" spans="1:1" x14ac:dyDescent="0.25">
      <c r="A7729" s="21">
        <v>76110340.299999997</v>
      </c>
    </row>
    <row r="7730" spans="1:1" x14ac:dyDescent="0.25">
      <c r="A7730" s="21">
        <v>24889345.079999998</v>
      </c>
    </row>
    <row r="7731" spans="1:1" x14ac:dyDescent="0.25">
      <c r="A7731" s="21">
        <v>138729975.66999999</v>
      </c>
    </row>
    <row r="7732" spans="1:1" x14ac:dyDescent="0.25">
      <c r="A7732">
        <v>0</v>
      </c>
    </row>
    <row r="7733" spans="1:1" x14ac:dyDescent="0.25">
      <c r="A7733" s="21">
        <v>38430353.670000002</v>
      </c>
    </row>
    <row r="7734" spans="1:1" x14ac:dyDescent="0.25">
      <c r="A7734" s="21">
        <v>99126549.329999998</v>
      </c>
    </row>
    <row r="7735" spans="1:1" x14ac:dyDescent="0.25">
      <c r="A7735" s="21">
        <v>251877254.69</v>
      </c>
    </row>
    <row r="7736" spans="1:1" x14ac:dyDescent="0.25">
      <c r="A7736">
        <v>224363751</v>
      </c>
    </row>
    <row r="7737" spans="1:1" x14ac:dyDescent="0.25">
      <c r="A7737" s="21">
        <v>19944482.25</v>
      </c>
    </row>
    <row r="7738" spans="1:1" x14ac:dyDescent="0.25">
      <c r="A7738" s="21">
        <v>9162388.6400000006</v>
      </c>
    </row>
    <row r="7739" spans="1:1" x14ac:dyDescent="0.25">
      <c r="A7739" s="21">
        <v>29276756.199999999</v>
      </c>
    </row>
    <row r="7740" spans="1:1" x14ac:dyDescent="0.25">
      <c r="A7740" s="21">
        <v>116425125.48</v>
      </c>
    </row>
    <row r="7741" spans="1:1" x14ac:dyDescent="0.25">
      <c r="A7741" s="21">
        <v>110070429.34999999</v>
      </c>
    </row>
    <row r="7742" spans="1:1" x14ac:dyDescent="0.25">
      <c r="A7742" s="21">
        <v>141962624.09999999</v>
      </c>
    </row>
    <row r="7743" spans="1:1" x14ac:dyDescent="0.25">
      <c r="A7743" s="21">
        <v>94685729.140000001</v>
      </c>
    </row>
    <row r="7744" spans="1:1" x14ac:dyDescent="0.25">
      <c r="A7744" s="21">
        <v>118844726.61</v>
      </c>
    </row>
    <row r="7745" spans="1:1" x14ac:dyDescent="0.25">
      <c r="A7745" s="21">
        <v>327250808.86000001</v>
      </c>
    </row>
    <row r="7746" spans="1:1" x14ac:dyDescent="0.25">
      <c r="A7746" s="21">
        <v>44494085.640000001</v>
      </c>
    </row>
    <row r="7747" spans="1:1" x14ac:dyDescent="0.25">
      <c r="A7747" s="21">
        <v>14641210.060000001</v>
      </c>
    </row>
    <row r="7748" spans="1:1" x14ac:dyDescent="0.25">
      <c r="A7748" s="21">
        <v>50864343.739999898</v>
      </c>
    </row>
    <row r="7749" spans="1:1" x14ac:dyDescent="0.25">
      <c r="A7749" s="21">
        <v>319840763.45999998</v>
      </c>
    </row>
    <row r="7750" spans="1:1" x14ac:dyDescent="0.25">
      <c r="A7750" s="21">
        <v>10390804.210000001</v>
      </c>
    </row>
    <row r="7751" spans="1:1" x14ac:dyDescent="0.25">
      <c r="A7751" s="21">
        <v>44654992.409999996</v>
      </c>
    </row>
    <row r="7752" spans="1:1" x14ac:dyDescent="0.25">
      <c r="A7752" s="21">
        <v>8244888.6799999997</v>
      </c>
    </row>
    <row r="7753" spans="1:1" x14ac:dyDescent="0.25">
      <c r="A7753" s="21">
        <v>106424460.22</v>
      </c>
    </row>
    <row r="7754" spans="1:1" x14ac:dyDescent="0.25">
      <c r="A7754" s="21">
        <v>17892815.379999999</v>
      </c>
    </row>
    <row r="7755" spans="1:1" x14ac:dyDescent="0.25">
      <c r="A7755" s="21">
        <v>42689610.689999998</v>
      </c>
    </row>
    <row r="7756" spans="1:1" x14ac:dyDescent="0.25">
      <c r="A7756">
        <v>12311613</v>
      </c>
    </row>
    <row r="7757" spans="1:1" x14ac:dyDescent="0.25">
      <c r="A7757" s="21">
        <v>31064850.989999998</v>
      </c>
    </row>
    <row r="7758" spans="1:1" x14ac:dyDescent="0.25">
      <c r="A7758">
        <v>0</v>
      </c>
    </row>
    <row r="7759" spans="1:1" x14ac:dyDescent="0.25">
      <c r="A7759" s="21">
        <v>36853863.229999997</v>
      </c>
    </row>
    <row r="7760" spans="1:1" x14ac:dyDescent="0.25">
      <c r="A7760" s="21">
        <v>146700953.90000001</v>
      </c>
    </row>
    <row r="7761" spans="1:1" x14ac:dyDescent="0.25">
      <c r="A7761" s="21">
        <v>21789625.399999999</v>
      </c>
    </row>
    <row r="7762" spans="1:1" x14ac:dyDescent="0.25">
      <c r="A7762" s="21">
        <v>72030613.140000001</v>
      </c>
    </row>
    <row r="7763" spans="1:1" x14ac:dyDescent="0.25">
      <c r="A7763" s="21">
        <v>44408312.100000001</v>
      </c>
    </row>
    <row r="7764" spans="1:1" x14ac:dyDescent="0.25">
      <c r="A7764" s="21">
        <v>3272405.29</v>
      </c>
    </row>
    <row r="7765" spans="1:1" x14ac:dyDescent="0.25">
      <c r="A7765" s="21">
        <v>76576204.239999905</v>
      </c>
    </row>
    <row r="7766" spans="1:1" x14ac:dyDescent="0.25">
      <c r="A7766" s="21">
        <v>61731755.700000003</v>
      </c>
    </row>
    <row r="7767" spans="1:1" x14ac:dyDescent="0.25">
      <c r="A7767" s="21">
        <v>7339730.7400000002</v>
      </c>
    </row>
    <row r="7768" spans="1:1" x14ac:dyDescent="0.25">
      <c r="A7768">
        <v>0</v>
      </c>
    </row>
    <row r="7769" spans="1:1" x14ac:dyDescent="0.25">
      <c r="A7769" s="21">
        <v>33587603.270000003</v>
      </c>
    </row>
    <row r="7770" spans="1:1" x14ac:dyDescent="0.25">
      <c r="A7770" s="21">
        <v>16684626.24</v>
      </c>
    </row>
    <row r="7771" spans="1:1" x14ac:dyDescent="0.25">
      <c r="A7771" s="21">
        <v>316538765.69999897</v>
      </c>
    </row>
    <row r="7772" spans="1:1" x14ac:dyDescent="0.25">
      <c r="A7772" s="21">
        <v>3990859.02</v>
      </c>
    </row>
    <row r="7773" spans="1:1" x14ac:dyDescent="0.25">
      <c r="A7773" s="21">
        <v>114176147.26000001</v>
      </c>
    </row>
    <row r="7774" spans="1:1" x14ac:dyDescent="0.25">
      <c r="A7774" s="21">
        <v>57302339.919999897</v>
      </c>
    </row>
    <row r="7775" spans="1:1" x14ac:dyDescent="0.25">
      <c r="A7775" s="21">
        <v>43253860.399999999</v>
      </c>
    </row>
    <row r="7776" spans="1:1" x14ac:dyDescent="0.25">
      <c r="A7776">
        <v>0</v>
      </c>
    </row>
    <row r="7777" spans="1:1" x14ac:dyDescent="0.25">
      <c r="A7777" s="21">
        <v>28923148.670000002</v>
      </c>
    </row>
    <row r="7778" spans="1:1" x14ac:dyDescent="0.25">
      <c r="A7778" s="21">
        <v>331097440.36000001</v>
      </c>
    </row>
    <row r="7779" spans="1:1" x14ac:dyDescent="0.25">
      <c r="A7779" s="21">
        <v>83567062.420000002</v>
      </c>
    </row>
    <row r="7780" spans="1:1" x14ac:dyDescent="0.25">
      <c r="A7780">
        <v>0</v>
      </c>
    </row>
    <row r="7781" spans="1:1" x14ac:dyDescent="0.25">
      <c r="A7781" s="21">
        <v>25074993.02</v>
      </c>
    </row>
    <row r="7782" spans="1:1" x14ac:dyDescent="0.25">
      <c r="A7782" s="21">
        <v>69108666.709999993</v>
      </c>
    </row>
    <row r="7783" spans="1:1" x14ac:dyDescent="0.25">
      <c r="A7783" s="21">
        <v>21317446.75</v>
      </c>
    </row>
    <row r="7784" spans="1:1" x14ac:dyDescent="0.25">
      <c r="A7784" s="21">
        <v>46870713.07</v>
      </c>
    </row>
    <row r="7785" spans="1:1" x14ac:dyDescent="0.25">
      <c r="A7785" s="21">
        <v>4338024.88</v>
      </c>
    </row>
    <row r="7786" spans="1:1" x14ac:dyDescent="0.25">
      <c r="A7786" s="21">
        <v>242157506.99000001</v>
      </c>
    </row>
    <row r="7787" spans="1:1" x14ac:dyDescent="0.25">
      <c r="A7787">
        <v>0</v>
      </c>
    </row>
    <row r="7788" spans="1:1" x14ac:dyDescent="0.25">
      <c r="A7788" s="21">
        <v>104344463.97</v>
      </c>
    </row>
    <row r="7789" spans="1:1" x14ac:dyDescent="0.25">
      <c r="A7789" s="21">
        <v>11328314.25</v>
      </c>
    </row>
    <row r="7790" spans="1:1" x14ac:dyDescent="0.25">
      <c r="A7790" s="21">
        <v>41460095.859999999</v>
      </c>
    </row>
    <row r="7791" spans="1:1" x14ac:dyDescent="0.25">
      <c r="A7791" s="21">
        <v>91326812.579999998</v>
      </c>
    </row>
    <row r="7792" spans="1:1" x14ac:dyDescent="0.25">
      <c r="A7792" s="21">
        <v>174916123.13</v>
      </c>
    </row>
    <row r="7793" spans="1:1" x14ac:dyDescent="0.25">
      <c r="A7793" s="21">
        <v>27358944.989999998</v>
      </c>
    </row>
    <row r="7794" spans="1:1" x14ac:dyDescent="0.25">
      <c r="A7794" s="21">
        <v>10847090.289999999</v>
      </c>
    </row>
    <row r="7795" spans="1:1" x14ac:dyDescent="0.25">
      <c r="A7795" s="21">
        <v>12790360.84</v>
      </c>
    </row>
    <row r="7796" spans="1:1" x14ac:dyDescent="0.25">
      <c r="A7796" s="21">
        <v>35957409.259999998</v>
      </c>
    </row>
    <row r="7797" spans="1:1" x14ac:dyDescent="0.25">
      <c r="A7797" s="21">
        <v>164200713.75</v>
      </c>
    </row>
    <row r="7798" spans="1:1" x14ac:dyDescent="0.25">
      <c r="A7798" s="21">
        <v>182120066.22</v>
      </c>
    </row>
    <row r="7799" spans="1:1" x14ac:dyDescent="0.25">
      <c r="A7799">
        <v>0</v>
      </c>
    </row>
    <row r="7800" spans="1:1" x14ac:dyDescent="0.25">
      <c r="A7800" s="21">
        <v>125606002.04000001</v>
      </c>
    </row>
    <row r="7801" spans="1:1" x14ac:dyDescent="0.25">
      <c r="A7801" s="21">
        <v>25270081.210000001</v>
      </c>
    </row>
    <row r="7802" spans="1:1" x14ac:dyDescent="0.25">
      <c r="A7802">
        <v>39378267</v>
      </c>
    </row>
    <row r="7803" spans="1:1" x14ac:dyDescent="0.25">
      <c r="A7803" s="21">
        <v>126183167.15000001</v>
      </c>
    </row>
    <row r="7804" spans="1:1" x14ac:dyDescent="0.25">
      <c r="A7804" s="21">
        <v>6350878.5</v>
      </c>
    </row>
    <row r="7805" spans="1:1" x14ac:dyDescent="0.25">
      <c r="A7805" s="21">
        <v>19258973.25</v>
      </c>
    </row>
    <row r="7806" spans="1:1" x14ac:dyDescent="0.25">
      <c r="A7806" s="21">
        <v>32554031.18</v>
      </c>
    </row>
    <row r="7807" spans="1:1" x14ac:dyDescent="0.25">
      <c r="A7807" s="21">
        <v>15541070.76</v>
      </c>
    </row>
    <row r="7808" spans="1:1" x14ac:dyDescent="0.25">
      <c r="A7808" s="21">
        <v>47778504.159999996</v>
      </c>
    </row>
    <row r="7809" spans="1:1" x14ac:dyDescent="0.25">
      <c r="A7809" s="21">
        <v>33108817.100000001</v>
      </c>
    </row>
    <row r="7810" spans="1:1" x14ac:dyDescent="0.25">
      <c r="A7810" s="21">
        <v>67158428.879999995</v>
      </c>
    </row>
    <row r="7811" spans="1:1" x14ac:dyDescent="0.25">
      <c r="A7811" s="21">
        <v>103621584.17</v>
      </c>
    </row>
    <row r="7812" spans="1:1" x14ac:dyDescent="0.25">
      <c r="A7812" s="21">
        <v>36465279.479999997</v>
      </c>
    </row>
    <row r="7813" spans="1:1" x14ac:dyDescent="0.25">
      <c r="A7813" s="21">
        <v>19761806.329999998</v>
      </c>
    </row>
    <row r="7814" spans="1:1" x14ac:dyDescent="0.25">
      <c r="A7814" s="21">
        <v>198916703.06</v>
      </c>
    </row>
    <row r="7815" spans="1:1" x14ac:dyDescent="0.25">
      <c r="A7815" s="21">
        <v>16208793.35</v>
      </c>
    </row>
    <row r="7816" spans="1:1" x14ac:dyDescent="0.25">
      <c r="A7816" s="21">
        <v>216245596.88999999</v>
      </c>
    </row>
    <row r="7817" spans="1:1" x14ac:dyDescent="0.25">
      <c r="A7817">
        <v>0</v>
      </c>
    </row>
    <row r="7818" spans="1:1" x14ac:dyDescent="0.25">
      <c r="A7818" s="21">
        <v>9204890.8100000005</v>
      </c>
    </row>
    <row r="7819" spans="1:1" x14ac:dyDescent="0.25">
      <c r="A7819" s="21">
        <v>44681609.770000003</v>
      </c>
    </row>
    <row r="7820" spans="1:1" x14ac:dyDescent="0.25">
      <c r="A7820" s="21">
        <v>10366511.85</v>
      </c>
    </row>
    <row r="7821" spans="1:1" x14ac:dyDescent="0.25">
      <c r="A7821">
        <v>0</v>
      </c>
    </row>
    <row r="7822" spans="1:1" x14ac:dyDescent="0.25">
      <c r="A7822" s="21">
        <v>24429495.609999999</v>
      </c>
    </row>
    <row r="7823" spans="1:1" x14ac:dyDescent="0.25">
      <c r="A7823">
        <v>0</v>
      </c>
    </row>
    <row r="7824" spans="1:1" x14ac:dyDescent="0.25">
      <c r="A7824" s="21">
        <v>15081801.33</v>
      </c>
    </row>
    <row r="7825" spans="1:1" x14ac:dyDescent="0.25">
      <c r="A7825" s="21">
        <v>113721450.09999999</v>
      </c>
    </row>
    <row r="7826" spans="1:1" x14ac:dyDescent="0.25">
      <c r="A7826" s="21">
        <v>198159088.09</v>
      </c>
    </row>
    <row r="7827" spans="1:1" x14ac:dyDescent="0.25">
      <c r="A7827" s="21">
        <v>273302877.51999998</v>
      </c>
    </row>
    <row r="7828" spans="1:1" x14ac:dyDescent="0.25">
      <c r="A7828" s="21">
        <v>28409620.190000001</v>
      </c>
    </row>
    <row r="7829" spans="1:1" x14ac:dyDescent="0.25">
      <c r="A7829" s="21">
        <v>50742408.520000003</v>
      </c>
    </row>
    <row r="7830" spans="1:1" x14ac:dyDescent="0.25">
      <c r="A7830" s="21">
        <v>19446707.449999999</v>
      </c>
    </row>
    <row r="7831" spans="1:1" x14ac:dyDescent="0.25">
      <c r="A7831" s="21">
        <v>16953732.260000002</v>
      </c>
    </row>
    <row r="7832" spans="1:1" x14ac:dyDescent="0.25">
      <c r="A7832" s="21">
        <v>144170387.47</v>
      </c>
    </row>
    <row r="7833" spans="1:1" x14ac:dyDescent="0.25">
      <c r="A7833" s="21">
        <v>310314894.11000001</v>
      </c>
    </row>
    <row r="7834" spans="1:1" x14ac:dyDescent="0.25">
      <c r="A7834" s="21">
        <v>50608386.090000004</v>
      </c>
    </row>
    <row r="7835" spans="1:1" x14ac:dyDescent="0.25">
      <c r="A7835" s="21">
        <v>54721281.990000002</v>
      </c>
    </row>
    <row r="7836" spans="1:1" x14ac:dyDescent="0.25">
      <c r="A7836" s="21">
        <v>34326810.270000003</v>
      </c>
    </row>
    <row r="7837" spans="1:1" x14ac:dyDescent="0.25">
      <c r="A7837" s="21">
        <v>71066709.810000002</v>
      </c>
    </row>
    <row r="7838" spans="1:1" x14ac:dyDescent="0.25">
      <c r="A7838" s="21">
        <v>37745343.659999996</v>
      </c>
    </row>
    <row r="7839" spans="1:1" x14ac:dyDescent="0.25">
      <c r="A7839" s="21">
        <v>44623218.789999999</v>
      </c>
    </row>
    <row r="7840" spans="1:1" x14ac:dyDescent="0.25">
      <c r="A7840" s="21">
        <v>50714184.57</v>
      </c>
    </row>
    <row r="7841" spans="1:1" x14ac:dyDescent="0.25">
      <c r="A7841" s="21">
        <v>73031783.959999904</v>
      </c>
    </row>
    <row r="7842" spans="1:1" x14ac:dyDescent="0.25">
      <c r="A7842" s="21">
        <v>74265466.659999996</v>
      </c>
    </row>
    <row r="7843" spans="1:1" x14ac:dyDescent="0.25">
      <c r="A7843" s="21">
        <v>39113819.289999999</v>
      </c>
    </row>
    <row r="7844" spans="1:1" x14ac:dyDescent="0.25">
      <c r="A7844" s="21">
        <v>37500981.049999997</v>
      </c>
    </row>
    <row r="7845" spans="1:1" x14ac:dyDescent="0.25">
      <c r="A7845" s="21">
        <v>28553311.690000001</v>
      </c>
    </row>
    <row r="7846" spans="1:1" x14ac:dyDescent="0.25">
      <c r="A7846" s="21">
        <v>60505230.130000003</v>
      </c>
    </row>
    <row r="7847" spans="1:1" x14ac:dyDescent="0.25">
      <c r="A7847" s="21">
        <v>66238719.18</v>
      </c>
    </row>
    <row r="7848" spans="1:1" x14ac:dyDescent="0.25">
      <c r="A7848" s="21">
        <v>132473496.45</v>
      </c>
    </row>
    <row r="7849" spans="1:1" x14ac:dyDescent="0.25">
      <c r="A7849" s="21">
        <v>24926133.149999999</v>
      </c>
    </row>
    <row r="7850" spans="1:1" x14ac:dyDescent="0.25">
      <c r="A7850" s="21">
        <v>132211862.73</v>
      </c>
    </row>
    <row r="7851" spans="1:1" x14ac:dyDescent="0.25">
      <c r="A7851" s="21">
        <v>20385453.199999999</v>
      </c>
    </row>
    <row r="7852" spans="1:1" x14ac:dyDescent="0.25">
      <c r="A7852" s="21">
        <v>15347774.08</v>
      </c>
    </row>
    <row r="7853" spans="1:1" x14ac:dyDescent="0.25">
      <c r="A7853" s="21">
        <v>64199638.590000004</v>
      </c>
    </row>
    <row r="7854" spans="1:1" x14ac:dyDescent="0.25">
      <c r="A7854" s="21">
        <v>47219415.93</v>
      </c>
    </row>
    <row r="7855" spans="1:1" x14ac:dyDescent="0.25">
      <c r="A7855">
        <v>0</v>
      </c>
    </row>
    <row r="7856" spans="1:1" x14ac:dyDescent="0.25">
      <c r="A7856" s="21">
        <v>290174713.97000003</v>
      </c>
    </row>
    <row r="7857" spans="1:1" x14ac:dyDescent="0.25">
      <c r="A7857" s="21">
        <v>6792541.5</v>
      </c>
    </row>
    <row r="7858" spans="1:1" x14ac:dyDescent="0.25">
      <c r="A7858" s="21">
        <v>23150199.329999998</v>
      </c>
    </row>
    <row r="7859" spans="1:1" x14ac:dyDescent="0.25">
      <c r="A7859">
        <v>0</v>
      </c>
    </row>
    <row r="7860" spans="1:1" x14ac:dyDescent="0.25">
      <c r="A7860" s="21">
        <v>50278597.119999997</v>
      </c>
    </row>
    <row r="7861" spans="1:1" x14ac:dyDescent="0.25">
      <c r="A7861" s="21">
        <v>105767054.67</v>
      </c>
    </row>
    <row r="7862" spans="1:1" x14ac:dyDescent="0.25">
      <c r="A7862" s="21">
        <v>365093834.08999997</v>
      </c>
    </row>
    <row r="7863" spans="1:1" x14ac:dyDescent="0.25">
      <c r="A7863">
        <v>0</v>
      </c>
    </row>
    <row r="7864" spans="1:1" x14ac:dyDescent="0.25">
      <c r="A7864" s="21">
        <v>2894896.47</v>
      </c>
    </row>
    <row r="7865" spans="1:1" x14ac:dyDescent="0.25">
      <c r="A7865" s="21">
        <v>45222480.289999999</v>
      </c>
    </row>
    <row r="7866" spans="1:1" x14ac:dyDescent="0.25">
      <c r="A7866" s="21">
        <v>100631187.62</v>
      </c>
    </row>
    <row r="7867" spans="1:1" x14ac:dyDescent="0.25">
      <c r="A7867">
        <v>0</v>
      </c>
    </row>
    <row r="7868" spans="1:1" x14ac:dyDescent="0.25">
      <c r="A7868" s="21">
        <v>33948737.799999997</v>
      </c>
    </row>
    <row r="7869" spans="1:1" x14ac:dyDescent="0.25">
      <c r="A7869">
        <v>0</v>
      </c>
    </row>
    <row r="7870" spans="1:1" x14ac:dyDescent="0.25">
      <c r="A7870" s="21">
        <v>3334437.91</v>
      </c>
    </row>
    <row r="7871" spans="1:1" x14ac:dyDescent="0.25">
      <c r="A7871" s="21">
        <v>21023144.960000001</v>
      </c>
    </row>
    <row r="7872" spans="1:1" x14ac:dyDescent="0.25">
      <c r="A7872" s="21">
        <v>13933310.619999999</v>
      </c>
    </row>
    <row r="7873" spans="1:1" x14ac:dyDescent="0.25">
      <c r="A7873" s="21">
        <v>21655874.48</v>
      </c>
    </row>
    <row r="7874" spans="1:1" x14ac:dyDescent="0.25">
      <c r="A7874" s="21">
        <v>92817561.780000001</v>
      </c>
    </row>
    <row r="7875" spans="1:1" x14ac:dyDescent="0.25">
      <c r="A7875" s="21">
        <v>230324450.52000001</v>
      </c>
    </row>
    <row r="7876" spans="1:1" x14ac:dyDescent="0.25">
      <c r="A7876" s="21">
        <v>31810052.129999999</v>
      </c>
    </row>
    <row r="7877" spans="1:1" x14ac:dyDescent="0.25">
      <c r="A7877" s="21">
        <v>438418718.68000001</v>
      </c>
    </row>
    <row r="7878" spans="1:1" x14ac:dyDescent="0.25">
      <c r="A7878" s="21">
        <v>231781542.69</v>
      </c>
    </row>
    <row r="7879" spans="1:1" x14ac:dyDescent="0.25">
      <c r="A7879" s="21">
        <v>154536494.11000001</v>
      </c>
    </row>
    <row r="7880" spans="1:1" x14ac:dyDescent="0.25">
      <c r="A7880" s="21">
        <v>10191935.550000001</v>
      </c>
    </row>
    <row r="7881" spans="1:1" x14ac:dyDescent="0.25">
      <c r="A7881" s="21">
        <v>73176596.609999999</v>
      </c>
    </row>
    <row r="7882" spans="1:1" x14ac:dyDescent="0.25">
      <c r="A7882" s="21">
        <v>47410280.600000001</v>
      </c>
    </row>
    <row r="7883" spans="1:1" x14ac:dyDescent="0.25">
      <c r="A7883" s="21">
        <v>10288832.550000001</v>
      </c>
    </row>
    <row r="7884" spans="1:1" x14ac:dyDescent="0.25">
      <c r="A7884" s="21">
        <v>13038919.01</v>
      </c>
    </row>
    <row r="7885" spans="1:1" x14ac:dyDescent="0.25">
      <c r="A7885" s="21">
        <v>48655228.670000002</v>
      </c>
    </row>
    <row r="7886" spans="1:1" x14ac:dyDescent="0.25">
      <c r="A7886" s="21">
        <v>42424007.950000003</v>
      </c>
    </row>
    <row r="7887" spans="1:1" x14ac:dyDescent="0.25">
      <c r="A7887" s="21">
        <v>50938563.530000001</v>
      </c>
    </row>
    <row r="7888" spans="1:1" x14ac:dyDescent="0.25">
      <c r="A7888" s="21">
        <v>83613593.400000006</v>
      </c>
    </row>
    <row r="7889" spans="1:1" x14ac:dyDescent="0.25">
      <c r="A7889" s="21">
        <v>56790240.969999999</v>
      </c>
    </row>
    <row r="7890" spans="1:1" x14ac:dyDescent="0.25">
      <c r="A7890" s="21">
        <v>12922024.01</v>
      </c>
    </row>
    <row r="7891" spans="1:1" x14ac:dyDescent="0.25">
      <c r="A7891" s="21">
        <v>62331823.57</v>
      </c>
    </row>
    <row r="7892" spans="1:1" x14ac:dyDescent="0.25">
      <c r="A7892">
        <v>0</v>
      </c>
    </row>
    <row r="7893" spans="1:1" x14ac:dyDescent="0.25">
      <c r="A7893" s="21">
        <v>72979316.840000004</v>
      </c>
    </row>
    <row r="7894" spans="1:1" x14ac:dyDescent="0.25">
      <c r="A7894" s="21">
        <v>44284783.689999998</v>
      </c>
    </row>
    <row r="7895" spans="1:1" x14ac:dyDescent="0.25">
      <c r="A7895" s="21">
        <v>98523970.420000002</v>
      </c>
    </row>
    <row r="7896" spans="1:1" x14ac:dyDescent="0.25">
      <c r="A7896" s="21">
        <v>43305976.240000002</v>
      </c>
    </row>
    <row r="7897" spans="1:1" x14ac:dyDescent="0.25">
      <c r="A7897" s="21">
        <v>41170899.289999999</v>
      </c>
    </row>
    <row r="7898" spans="1:1" x14ac:dyDescent="0.25">
      <c r="A7898" s="21">
        <v>52103925.140000001</v>
      </c>
    </row>
    <row r="7899" spans="1:1" x14ac:dyDescent="0.25">
      <c r="A7899" s="21">
        <v>8512640.7799999993</v>
      </c>
    </row>
    <row r="7900" spans="1:1" x14ac:dyDescent="0.25">
      <c r="A7900">
        <v>0</v>
      </c>
    </row>
    <row r="7901" spans="1:1" x14ac:dyDescent="0.25">
      <c r="A7901" s="21">
        <v>108687687.59999999</v>
      </c>
    </row>
    <row r="7902" spans="1:1" x14ac:dyDescent="0.25">
      <c r="A7902" s="21">
        <v>26306241.649999999</v>
      </c>
    </row>
    <row r="7903" spans="1:1" x14ac:dyDescent="0.25">
      <c r="A7903" s="21">
        <v>143483823.25999999</v>
      </c>
    </row>
    <row r="7904" spans="1:1" x14ac:dyDescent="0.25">
      <c r="A7904" s="21">
        <v>22350701.890000001</v>
      </c>
    </row>
    <row r="7905" spans="1:1" x14ac:dyDescent="0.25">
      <c r="A7905" s="21">
        <v>44190879.43</v>
      </c>
    </row>
    <row r="7906" spans="1:1" x14ac:dyDescent="0.25">
      <c r="A7906" s="21">
        <v>21291939.48</v>
      </c>
    </row>
    <row r="7907" spans="1:1" x14ac:dyDescent="0.25">
      <c r="A7907" s="21">
        <v>152855691.53</v>
      </c>
    </row>
    <row r="7908" spans="1:1" x14ac:dyDescent="0.25">
      <c r="A7908" s="21">
        <v>112415006.08</v>
      </c>
    </row>
    <row r="7909" spans="1:1" x14ac:dyDescent="0.25">
      <c r="A7909" s="21">
        <v>361383317.74000001</v>
      </c>
    </row>
    <row r="7910" spans="1:1" x14ac:dyDescent="0.25">
      <c r="A7910" s="21">
        <v>80150442.370000005</v>
      </c>
    </row>
    <row r="7911" spans="1:1" x14ac:dyDescent="0.25">
      <c r="A7911" s="21">
        <v>9811888.5399999898</v>
      </c>
    </row>
    <row r="7912" spans="1:1" x14ac:dyDescent="0.25">
      <c r="A7912" s="21">
        <v>135502467.53</v>
      </c>
    </row>
    <row r="7913" spans="1:1" x14ac:dyDescent="0.25">
      <c r="A7913" s="21">
        <v>9552515.2599999998</v>
      </c>
    </row>
    <row r="7914" spans="1:1" x14ac:dyDescent="0.25">
      <c r="A7914">
        <v>26188875</v>
      </c>
    </row>
    <row r="7915" spans="1:1" x14ac:dyDescent="0.25">
      <c r="A7915" s="21">
        <v>73601686.799999997</v>
      </c>
    </row>
    <row r="7916" spans="1:1" x14ac:dyDescent="0.25">
      <c r="A7916" s="21">
        <v>26049511.079999998</v>
      </c>
    </row>
    <row r="7917" spans="1:1" x14ac:dyDescent="0.25">
      <c r="A7917" s="21">
        <v>51841341.559999898</v>
      </c>
    </row>
    <row r="7918" spans="1:1" x14ac:dyDescent="0.25">
      <c r="A7918" s="21">
        <v>139535939.97999999</v>
      </c>
    </row>
    <row r="7919" spans="1:1" x14ac:dyDescent="0.25">
      <c r="A7919" s="21">
        <v>230559067.88</v>
      </c>
    </row>
    <row r="7920" spans="1:1" x14ac:dyDescent="0.25">
      <c r="A7920" s="21">
        <v>50040742.229999997</v>
      </c>
    </row>
    <row r="7921" spans="1:1" x14ac:dyDescent="0.25">
      <c r="A7921" s="21">
        <v>100015953.92</v>
      </c>
    </row>
    <row r="7922" spans="1:1" x14ac:dyDescent="0.25">
      <c r="A7922" s="21">
        <v>80020479.090000004</v>
      </c>
    </row>
    <row r="7923" spans="1:1" x14ac:dyDescent="0.25">
      <c r="A7923" s="21">
        <v>52144121.43</v>
      </c>
    </row>
    <row r="7924" spans="1:1" x14ac:dyDescent="0.25">
      <c r="A7924" s="21">
        <v>4284442.97</v>
      </c>
    </row>
    <row r="7925" spans="1:1" x14ac:dyDescent="0.25">
      <c r="A7925" s="21">
        <v>25424844.32</v>
      </c>
    </row>
    <row r="7926" spans="1:1" x14ac:dyDescent="0.25">
      <c r="A7926" s="21">
        <v>47336039.140000001</v>
      </c>
    </row>
    <row r="7927" spans="1:1" x14ac:dyDescent="0.25">
      <c r="A7927" s="21">
        <v>17747949.84</v>
      </c>
    </row>
    <row r="7928" spans="1:1" x14ac:dyDescent="0.25">
      <c r="A7928" s="21">
        <v>24810805.059999999</v>
      </c>
    </row>
    <row r="7929" spans="1:1" x14ac:dyDescent="0.25">
      <c r="A7929" s="21">
        <v>24959989.260000002</v>
      </c>
    </row>
    <row r="7930" spans="1:1" x14ac:dyDescent="0.25">
      <c r="A7930" s="21">
        <v>14870805.26</v>
      </c>
    </row>
    <row r="7931" spans="1:1" x14ac:dyDescent="0.25">
      <c r="A7931" s="21">
        <v>41151268.299999997</v>
      </c>
    </row>
    <row r="7932" spans="1:1" x14ac:dyDescent="0.25">
      <c r="A7932" s="21">
        <v>19439984.25</v>
      </c>
    </row>
    <row r="7933" spans="1:1" x14ac:dyDescent="0.25">
      <c r="A7933" s="21">
        <v>194159958.34999999</v>
      </c>
    </row>
    <row r="7934" spans="1:1" x14ac:dyDescent="0.25">
      <c r="A7934" s="21">
        <v>450827743.55999899</v>
      </c>
    </row>
    <row r="7935" spans="1:1" x14ac:dyDescent="0.25">
      <c r="A7935" s="21">
        <v>85695668.560000002</v>
      </c>
    </row>
    <row r="7936" spans="1:1" x14ac:dyDescent="0.25">
      <c r="A7936" s="21">
        <v>75991555.319999903</v>
      </c>
    </row>
    <row r="7937" spans="1:1" x14ac:dyDescent="0.25">
      <c r="A7937" s="21">
        <v>20265728.690000001</v>
      </c>
    </row>
    <row r="7938" spans="1:1" x14ac:dyDescent="0.25">
      <c r="A7938">
        <v>0</v>
      </c>
    </row>
    <row r="7939" spans="1:1" x14ac:dyDescent="0.25">
      <c r="A7939" s="21">
        <v>387388605.06999999</v>
      </c>
    </row>
    <row r="7940" spans="1:1" x14ac:dyDescent="0.25">
      <c r="A7940" s="21">
        <v>31489415.379999999</v>
      </c>
    </row>
    <row r="7941" spans="1:1" x14ac:dyDescent="0.25">
      <c r="A7941">
        <v>0</v>
      </c>
    </row>
    <row r="7942" spans="1:1" x14ac:dyDescent="0.25">
      <c r="A7942" s="21">
        <v>75592955.870000005</v>
      </c>
    </row>
    <row r="7943" spans="1:1" x14ac:dyDescent="0.25">
      <c r="A7943" s="21">
        <v>192955097.74000001</v>
      </c>
    </row>
    <row r="7944" spans="1:1" x14ac:dyDescent="0.25">
      <c r="A7944" s="21">
        <v>34163275.189999998</v>
      </c>
    </row>
    <row r="7945" spans="1:1" x14ac:dyDescent="0.25">
      <c r="A7945">
        <v>0</v>
      </c>
    </row>
    <row r="7946" spans="1:1" x14ac:dyDescent="0.25">
      <c r="A7946" s="21">
        <v>55392667.270000003</v>
      </c>
    </row>
    <row r="7947" spans="1:1" x14ac:dyDescent="0.25">
      <c r="A7947" s="21">
        <v>87597528.650000006</v>
      </c>
    </row>
    <row r="7948" spans="1:1" x14ac:dyDescent="0.25">
      <c r="A7948" s="21">
        <v>80999286.870000005</v>
      </c>
    </row>
    <row r="7949" spans="1:1" x14ac:dyDescent="0.25">
      <c r="A7949" s="21">
        <v>16716585.34</v>
      </c>
    </row>
    <row r="7950" spans="1:1" x14ac:dyDescent="0.25">
      <c r="A7950" s="21">
        <v>36892354.93</v>
      </c>
    </row>
    <row r="7951" spans="1:1" x14ac:dyDescent="0.25">
      <c r="A7951" s="21">
        <v>46628624.259999998</v>
      </c>
    </row>
    <row r="7952" spans="1:1" x14ac:dyDescent="0.25">
      <c r="A7952" s="21">
        <v>5976583.5</v>
      </c>
    </row>
    <row r="7953" spans="1:1" x14ac:dyDescent="0.25">
      <c r="A7953" s="21">
        <v>3343538.52</v>
      </c>
    </row>
    <row r="7954" spans="1:1" x14ac:dyDescent="0.25">
      <c r="A7954" s="21">
        <v>557148485.76999998</v>
      </c>
    </row>
    <row r="7955" spans="1:1" x14ac:dyDescent="0.25">
      <c r="A7955" s="21">
        <v>26057443.48</v>
      </c>
    </row>
    <row r="7956" spans="1:1" x14ac:dyDescent="0.25">
      <c r="A7956" s="21">
        <v>61970411.579999998</v>
      </c>
    </row>
    <row r="7957" spans="1:1" x14ac:dyDescent="0.25">
      <c r="A7957" s="21">
        <v>304500220.42999899</v>
      </c>
    </row>
    <row r="7958" spans="1:1" x14ac:dyDescent="0.25">
      <c r="A7958" s="21">
        <v>86316591.949999899</v>
      </c>
    </row>
    <row r="7959" spans="1:1" x14ac:dyDescent="0.25">
      <c r="A7959" s="21">
        <v>7509471.2199999997</v>
      </c>
    </row>
    <row r="7960" spans="1:1" x14ac:dyDescent="0.25">
      <c r="A7960" s="21">
        <v>3999305.71</v>
      </c>
    </row>
    <row r="7961" spans="1:1" x14ac:dyDescent="0.25">
      <c r="A7961" s="21">
        <v>89003869.799999997</v>
      </c>
    </row>
    <row r="7962" spans="1:1" x14ac:dyDescent="0.25">
      <c r="A7962" s="21">
        <v>166020325.58000001</v>
      </c>
    </row>
    <row r="7963" spans="1:1" x14ac:dyDescent="0.25">
      <c r="A7963" s="21">
        <v>9380409.5899999999</v>
      </c>
    </row>
    <row r="7964" spans="1:1" x14ac:dyDescent="0.25">
      <c r="A7964">
        <v>0</v>
      </c>
    </row>
    <row r="7965" spans="1:1" x14ac:dyDescent="0.25">
      <c r="A7965" s="21">
        <v>113165456.66</v>
      </c>
    </row>
    <row r="7966" spans="1:1" x14ac:dyDescent="0.25">
      <c r="A7966" s="21">
        <v>10005236.109999999</v>
      </c>
    </row>
    <row r="7967" spans="1:1" x14ac:dyDescent="0.25">
      <c r="A7967" s="21">
        <v>124097440.28</v>
      </c>
    </row>
    <row r="7968" spans="1:1" x14ac:dyDescent="0.25">
      <c r="A7968" s="21">
        <v>56097925.219999999</v>
      </c>
    </row>
    <row r="7969" spans="1:1" x14ac:dyDescent="0.25">
      <c r="A7969" s="21">
        <v>82856739.989999905</v>
      </c>
    </row>
    <row r="7970" spans="1:1" x14ac:dyDescent="0.25">
      <c r="A7970" s="21">
        <v>126148780.19</v>
      </c>
    </row>
    <row r="7971" spans="1:1" x14ac:dyDescent="0.25">
      <c r="A7971" s="21">
        <v>77400809.400000006</v>
      </c>
    </row>
    <row r="7972" spans="1:1" x14ac:dyDescent="0.25">
      <c r="A7972" s="21">
        <v>26307210.75</v>
      </c>
    </row>
    <row r="7973" spans="1:1" x14ac:dyDescent="0.25">
      <c r="A7973" s="21">
        <v>71625869.510000005</v>
      </c>
    </row>
    <row r="7974" spans="1:1" x14ac:dyDescent="0.25">
      <c r="A7974" s="21">
        <v>14984038.07</v>
      </c>
    </row>
    <row r="7975" spans="1:1" x14ac:dyDescent="0.25">
      <c r="A7975" s="21">
        <v>21156668.829999998</v>
      </c>
    </row>
    <row r="7976" spans="1:1" x14ac:dyDescent="0.25">
      <c r="A7976" s="21">
        <v>47657822.869999997</v>
      </c>
    </row>
    <row r="7977" spans="1:1" x14ac:dyDescent="0.25">
      <c r="A7977" s="21">
        <v>61567397.43</v>
      </c>
    </row>
    <row r="7978" spans="1:1" x14ac:dyDescent="0.25">
      <c r="A7978" s="21">
        <v>124627394.61</v>
      </c>
    </row>
    <row r="7979" spans="1:1" x14ac:dyDescent="0.25">
      <c r="A7979" s="21">
        <v>14760475.99</v>
      </c>
    </row>
    <row r="7980" spans="1:1" x14ac:dyDescent="0.25">
      <c r="A7980" s="21">
        <v>3754452.2</v>
      </c>
    </row>
    <row r="7981" spans="1:1" x14ac:dyDescent="0.25">
      <c r="A7981" s="21">
        <v>463513283.94</v>
      </c>
    </row>
    <row r="7982" spans="1:1" x14ac:dyDescent="0.25">
      <c r="A7982" s="21">
        <v>25205403.670000002</v>
      </c>
    </row>
    <row r="7983" spans="1:1" x14ac:dyDescent="0.25">
      <c r="A7983" s="21">
        <v>204415775</v>
      </c>
    </row>
    <row r="7984" spans="1:1" x14ac:dyDescent="0.25">
      <c r="A7984" s="21">
        <v>27943745.309999999</v>
      </c>
    </row>
    <row r="7985" spans="1:1" x14ac:dyDescent="0.25">
      <c r="A7985" s="21">
        <v>71679023.370000005</v>
      </c>
    </row>
    <row r="7986" spans="1:1" x14ac:dyDescent="0.25">
      <c r="A7986" s="21">
        <v>46222315.200000003</v>
      </c>
    </row>
    <row r="7987" spans="1:1" x14ac:dyDescent="0.25">
      <c r="A7987" s="21">
        <v>76528216.489999905</v>
      </c>
    </row>
    <row r="7988" spans="1:1" x14ac:dyDescent="0.25">
      <c r="A7988" s="21">
        <v>37013580.739999898</v>
      </c>
    </row>
    <row r="7989" spans="1:1" x14ac:dyDescent="0.25">
      <c r="A7989" s="21">
        <v>14566075.34</v>
      </c>
    </row>
    <row r="7990" spans="1:1" x14ac:dyDescent="0.25">
      <c r="A7990" s="21">
        <v>51975690.369999997</v>
      </c>
    </row>
    <row r="7991" spans="1:1" x14ac:dyDescent="0.25">
      <c r="A7991" s="21">
        <v>52652781.170000002</v>
      </c>
    </row>
    <row r="7992" spans="1:1" x14ac:dyDescent="0.25">
      <c r="A7992" s="21">
        <v>87953088.219999999</v>
      </c>
    </row>
    <row r="7993" spans="1:1" x14ac:dyDescent="0.25">
      <c r="A7993" s="21">
        <v>32051888.559999999</v>
      </c>
    </row>
    <row r="7994" spans="1:1" x14ac:dyDescent="0.25">
      <c r="A7994" s="21">
        <v>20768327.420000002</v>
      </c>
    </row>
    <row r="7995" spans="1:1" x14ac:dyDescent="0.25">
      <c r="A7995" s="21">
        <v>47097647.659999996</v>
      </c>
    </row>
    <row r="7996" spans="1:1" x14ac:dyDescent="0.25">
      <c r="A7996" s="21">
        <v>44184959.009999998</v>
      </c>
    </row>
    <row r="7997" spans="1:1" x14ac:dyDescent="0.25">
      <c r="A7997" s="21">
        <v>89892049.650000006</v>
      </c>
    </row>
    <row r="7998" spans="1:1" x14ac:dyDescent="0.25">
      <c r="A7998" s="21">
        <v>226947994.94</v>
      </c>
    </row>
    <row r="7999" spans="1:1" x14ac:dyDescent="0.25">
      <c r="A7999" s="21">
        <v>98254520.340000004</v>
      </c>
    </row>
    <row r="8000" spans="1:1" x14ac:dyDescent="0.25">
      <c r="A8000" s="21">
        <v>89536844.879999995</v>
      </c>
    </row>
    <row r="8001" spans="1:1" x14ac:dyDescent="0.25">
      <c r="A8001" s="21">
        <v>17730203.949999999</v>
      </c>
    </row>
    <row r="8002" spans="1:1" x14ac:dyDescent="0.25">
      <c r="A8002" s="21">
        <v>74439916.879999995</v>
      </c>
    </row>
    <row r="8003" spans="1:1" x14ac:dyDescent="0.25">
      <c r="A8003" s="21">
        <v>12610587.75</v>
      </c>
    </row>
    <row r="8004" spans="1:1" x14ac:dyDescent="0.25">
      <c r="A8004" s="21">
        <v>31946925.34</v>
      </c>
    </row>
    <row r="8005" spans="1:1" x14ac:dyDescent="0.25">
      <c r="A8005" s="21">
        <v>60763458.959999897</v>
      </c>
    </row>
    <row r="8006" spans="1:1" x14ac:dyDescent="0.25">
      <c r="A8006" s="21">
        <v>49521092.020000003</v>
      </c>
    </row>
    <row r="8007" spans="1:1" x14ac:dyDescent="0.25">
      <c r="A8007" s="21">
        <v>22333044.34</v>
      </c>
    </row>
    <row r="8008" spans="1:1" x14ac:dyDescent="0.25">
      <c r="A8008" s="21">
        <v>14476591.060000001</v>
      </c>
    </row>
    <row r="8009" spans="1:1" x14ac:dyDescent="0.25">
      <c r="A8009" s="21">
        <v>25780566.670000002</v>
      </c>
    </row>
    <row r="8010" spans="1:1" x14ac:dyDescent="0.25">
      <c r="A8010" s="21">
        <v>44622992.009999998</v>
      </c>
    </row>
    <row r="8011" spans="1:1" x14ac:dyDescent="0.25">
      <c r="A8011" s="21">
        <v>71459377.519999996</v>
      </c>
    </row>
    <row r="8012" spans="1:1" x14ac:dyDescent="0.25">
      <c r="A8012">
        <v>0</v>
      </c>
    </row>
    <row r="8013" spans="1:1" x14ac:dyDescent="0.25">
      <c r="A8013" s="21">
        <v>7043786.3799999999</v>
      </c>
    </row>
    <row r="8014" spans="1:1" x14ac:dyDescent="0.25">
      <c r="A8014" s="21">
        <v>191188115.47</v>
      </c>
    </row>
    <row r="8015" spans="1:1" x14ac:dyDescent="0.25">
      <c r="A8015" s="21">
        <v>7482691.5</v>
      </c>
    </row>
    <row r="8016" spans="1:1" x14ac:dyDescent="0.25">
      <c r="A8016" s="21">
        <v>136265138.61000001</v>
      </c>
    </row>
    <row r="8017" spans="1:1" x14ac:dyDescent="0.25">
      <c r="A8017" s="21">
        <v>68157475.4799999</v>
      </c>
    </row>
    <row r="8018" spans="1:1" x14ac:dyDescent="0.25">
      <c r="A8018">
        <v>45256537</v>
      </c>
    </row>
    <row r="8019" spans="1:1" x14ac:dyDescent="0.25">
      <c r="A8019" s="21">
        <v>48780004.25</v>
      </c>
    </row>
    <row r="8020" spans="1:1" x14ac:dyDescent="0.25">
      <c r="A8020" s="21">
        <v>34711902.18</v>
      </c>
    </row>
    <row r="8021" spans="1:1" x14ac:dyDescent="0.25">
      <c r="A8021" s="21">
        <v>38142424.770000003</v>
      </c>
    </row>
    <row r="8022" spans="1:1" x14ac:dyDescent="0.25">
      <c r="A8022" s="21">
        <v>97420892.640000001</v>
      </c>
    </row>
    <row r="8023" spans="1:1" x14ac:dyDescent="0.25">
      <c r="A8023" s="21">
        <v>3990859.02</v>
      </c>
    </row>
    <row r="8024" spans="1:1" x14ac:dyDescent="0.25">
      <c r="A8024">
        <v>0</v>
      </c>
    </row>
    <row r="8025" spans="1:1" x14ac:dyDescent="0.25">
      <c r="A8025" s="21">
        <v>62295590.32</v>
      </c>
    </row>
    <row r="8026" spans="1:1" x14ac:dyDescent="0.25">
      <c r="A8026" s="21">
        <v>2869067.97</v>
      </c>
    </row>
    <row r="8027" spans="1:1" x14ac:dyDescent="0.25">
      <c r="A8027" s="21">
        <v>19412055.530000001</v>
      </c>
    </row>
    <row r="8028" spans="1:1" x14ac:dyDescent="0.25">
      <c r="A8028" s="21">
        <v>13245761.689999999</v>
      </c>
    </row>
    <row r="8029" spans="1:1" x14ac:dyDescent="0.25">
      <c r="A8029" s="21">
        <v>52540636.350000001</v>
      </c>
    </row>
    <row r="8030" spans="1:1" x14ac:dyDescent="0.25">
      <c r="A8030" s="21">
        <v>135598177.94999999</v>
      </c>
    </row>
    <row r="8031" spans="1:1" x14ac:dyDescent="0.25">
      <c r="A8031" s="21">
        <v>41283566.090000004</v>
      </c>
    </row>
    <row r="8032" spans="1:1" x14ac:dyDescent="0.25">
      <c r="A8032" s="21">
        <v>10031386.970000001</v>
      </c>
    </row>
    <row r="8033" spans="1:1" x14ac:dyDescent="0.25">
      <c r="A8033" s="21">
        <v>58290867.659999996</v>
      </c>
    </row>
    <row r="8034" spans="1:1" x14ac:dyDescent="0.25">
      <c r="A8034" s="21">
        <v>34599316.270000003</v>
      </c>
    </row>
    <row r="8035" spans="1:1" x14ac:dyDescent="0.25">
      <c r="A8035" s="21">
        <v>36794937.460000001</v>
      </c>
    </row>
    <row r="8036" spans="1:1" x14ac:dyDescent="0.25">
      <c r="A8036" s="21">
        <v>2820319.44</v>
      </c>
    </row>
    <row r="8037" spans="1:1" x14ac:dyDescent="0.25">
      <c r="A8037" s="21">
        <v>13267294.5</v>
      </c>
    </row>
    <row r="8038" spans="1:1" x14ac:dyDescent="0.25">
      <c r="A8038" s="21">
        <v>234416880.55000001</v>
      </c>
    </row>
    <row r="8039" spans="1:1" x14ac:dyDescent="0.25">
      <c r="A8039" s="21">
        <v>70785450.340000004</v>
      </c>
    </row>
    <row r="8040" spans="1:1" x14ac:dyDescent="0.25">
      <c r="A8040" s="21">
        <v>131278778.02</v>
      </c>
    </row>
    <row r="8041" spans="1:1" x14ac:dyDescent="0.25">
      <c r="A8041" s="21">
        <v>93421833.5</v>
      </c>
    </row>
    <row r="8042" spans="1:1" x14ac:dyDescent="0.25">
      <c r="A8042" s="21">
        <v>326390870.42000002</v>
      </c>
    </row>
    <row r="8043" spans="1:1" x14ac:dyDescent="0.25">
      <c r="A8043" s="21">
        <v>14129214.48</v>
      </c>
    </row>
    <row r="8044" spans="1:1" x14ac:dyDescent="0.25">
      <c r="A8044" s="21">
        <v>95102192.879999995</v>
      </c>
    </row>
    <row r="8045" spans="1:1" x14ac:dyDescent="0.25">
      <c r="A8045" s="21">
        <v>72367049.709999904</v>
      </c>
    </row>
    <row r="8046" spans="1:1" x14ac:dyDescent="0.25">
      <c r="A8046" s="21">
        <v>113233625.12</v>
      </c>
    </row>
    <row r="8047" spans="1:1" x14ac:dyDescent="0.25">
      <c r="A8047" s="21">
        <v>9501757.0099999998</v>
      </c>
    </row>
    <row r="8048" spans="1:1" x14ac:dyDescent="0.25">
      <c r="A8048" s="21">
        <v>70635268.329999998</v>
      </c>
    </row>
    <row r="8049" spans="1:1" x14ac:dyDescent="0.25">
      <c r="A8049" s="21">
        <v>8982405.4900000002</v>
      </c>
    </row>
    <row r="8050" spans="1:1" x14ac:dyDescent="0.25">
      <c r="A8050" s="21">
        <v>307484050.55000001</v>
      </c>
    </row>
    <row r="8051" spans="1:1" x14ac:dyDescent="0.25">
      <c r="A8051" s="21">
        <v>3329685.6</v>
      </c>
    </row>
    <row r="8052" spans="1:1" x14ac:dyDescent="0.25">
      <c r="A8052">
        <v>20421198</v>
      </c>
    </row>
    <row r="8053" spans="1:1" x14ac:dyDescent="0.25">
      <c r="A8053" s="21">
        <v>30380043.390000001</v>
      </c>
    </row>
    <row r="8054" spans="1:1" x14ac:dyDescent="0.25">
      <c r="A8054" s="21">
        <v>21210610.27</v>
      </c>
    </row>
    <row r="8055" spans="1:1" x14ac:dyDescent="0.25">
      <c r="A8055" s="21">
        <v>16397107.98</v>
      </c>
    </row>
    <row r="8056" spans="1:1" x14ac:dyDescent="0.25">
      <c r="A8056" s="21">
        <v>62101378.850000001</v>
      </c>
    </row>
    <row r="8057" spans="1:1" x14ac:dyDescent="0.25">
      <c r="A8057" s="21">
        <v>46191211.469999999</v>
      </c>
    </row>
    <row r="8058" spans="1:1" x14ac:dyDescent="0.25">
      <c r="A8058">
        <v>0</v>
      </c>
    </row>
    <row r="8059" spans="1:1" x14ac:dyDescent="0.25">
      <c r="A8059" s="21">
        <v>107066742.29000001</v>
      </c>
    </row>
    <row r="8060" spans="1:1" x14ac:dyDescent="0.25">
      <c r="A8060" s="21">
        <v>62545618.189999998</v>
      </c>
    </row>
    <row r="8061" spans="1:1" x14ac:dyDescent="0.25">
      <c r="A8061" s="21">
        <v>111345914.73999999</v>
      </c>
    </row>
    <row r="8062" spans="1:1" x14ac:dyDescent="0.25">
      <c r="A8062" s="21">
        <v>18230587.5</v>
      </c>
    </row>
    <row r="8063" spans="1:1" x14ac:dyDescent="0.25">
      <c r="A8063" s="21">
        <v>28246046.609999999</v>
      </c>
    </row>
    <row r="8064" spans="1:1" x14ac:dyDescent="0.25">
      <c r="A8064" s="21">
        <v>255064159.28</v>
      </c>
    </row>
    <row r="8065" spans="1:1" x14ac:dyDescent="0.25">
      <c r="A8065" s="21">
        <v>19790445.859999999</v>
      </c>
    </row>
    <row r="8066" spans="1:1" x14ac:dyDescent="0.25">
      <c r="A8066" s="21">
        <v>36758047.719999999</v>
      </c>
    </row>
    <row r="8067" spans="1:1" x14ac:dyDescent="0.25">
      <c r="A8067" s="21">
        <v>79272187.049999997</v>
      </c>
    </row>
    <row r="8068" spans="1:1" x14ac:dyDescent="0.25">
      <c r="A8068" s="21">
        <v>28238422.690000001</v>
      </c>
    </row>
    <row r="8069" spans="1:1" x14ac:dyDescent="0.25">
      <c r="A8069" s="21">
        <v>159276271.91</v>
      </c>
    </row>
    <row r="8070" spans="1:1" x14ac:dyDescent="0.25">
      <c r="A8070" s="21">
        <v>74229744.260000005</v>
      </c>
    </row>
    <row r="8071" spans="1:1" x14ac:dyDescent="0.25">
      <c r="A8071">
        <v>0</v>
      </c>
    </row>
    <row r="8072" spans="1:1" x14ac:dyDescent="0.25">
      <c r="A8072" s="21">
        <v>267287082.72</v>
      </c>
    </row>
    <row r="8073" spans="1:1" x14ac:dyDescent="0.25">
      <c r="A8073" s="21">
        <v>96610232.680000007</v>
      </c>
    </row>
    <row r="8074" spans="1:1" x14ac:dyDescent="0.25">
      <c r="A8074" s="21">
        <v>229850520.28999999</v>
      </c>
    </row>
    <row r="8075" spans="1:1" x14ac:dyDescent="0.25">
      <c r="A8075" s="21">
        <v>81163392.780000001</v>
      </c>
    </row>
    <row r="8076" spans="1:1" x14ac:dyDescent="0.25">
      <c r="A8076" s="21">
        <v>48979334.329999998</v>
      </c>
    </row>
    <row r="8077" spans="1:1" x14ac:dyDescent="0.25">
      <c r="A8077" s="21">
        <v>33066959.989999998</v>
      </c>
    </row>
    <row r="8078" spans="1:1" x14ac:dyDescent="0.25">
      <c r="A8078" s="21">
        <v>139646379.30000001</v>
      </c>
    </row>
    <row r="8079" spans="1:1" x14ac:dyDescent="0.25">
      <c r="A8079" s="21">
        <v>3019385.15</v>
      </c>
    </row>
    <row r="8080" spans="1:1" x14ac:dyDescent="0.25">
      <c r="A8080" s="21">
        <v>180463234.05000001</v>
      </c>
    </row>
    <row r="8081" spans="1:1" x14ac:dyDescent="0.25">
      <c r="A8081" s="21">
        <v>44852604.689999998</v>
      </c>
    </row>
    <row r="8082" spans="1:1" x14ac:dyDescent="0.25">
      <c r="A8082" s="21">
        <v>18395574.899999999</v>
      </c>
    </row>
    <row r="8083" spans="1:1" x14ac:dyDescent="0.25">
      <c r="A8083" s="21">
        <v>15480411.960000001</v>
      </c>
    </row>
    <row r="8084" spans="1:1" x14ac:dyDescent="0.25">
      <c r="A8084" s="21">
        <v>285627753.72000003</v>
      </c>
    </row>
    <row r="8085" spans="1:1" x14ac:dyDescent="0.25">
      <c r="A8085" s="21">
        <v>12302569.5</v>
      </c>
    </row>
    <row r="8086" spans="1:1" x14ac:dyDescent="0.25">
      <c r="A8086" s="21">
        <v>98545241.280000001</v>
      </c>
    </row>
    <row r="8087" spans="1:1" x14ac:dyDescent="0.25">
      <c r="A8087">
        <v>0</v>
      </c>
    </row>
    <row r="8088" spans="1:1" x14ac:dyDescent="0.25">
      <c r="A8088" s="21">
        <v>97264256.980000004</v>
      </c>
    </row>
    <row r="8089" spans="1:1" x14ac:dyDescent="0.25">
      <c r="A8089" s="21">
        <v>137244146.28</v>
      </c>
    </row>
    <row r="8090" spans="1:1" x14ac:dyDescent="0.25">
      <c r="A8090" s="21">
        <v>16836872.379999999</v>
      </c>
    </row>
    <row r="8091" spans="1:1" x14ac:dyDescent="0.25">
      <c r="A8091" s="21">
        <v>31881118.260000002</v>
      </c>
    </row>
    <row r="8092" spans="1:1" x14ac:dyDescent="0.25">
      <c r="A8092" s="21">
        <v>11283115.57</v>
      </c>
    </row>
    <row r="8093" spans="1:1" x14ac:dyDescent="0.25">
      <c r="A8093" s="21">
        <v>70068777.060000002</v>
      </c>
    </row>
    <row r="8094" spans="1:1" x14ac:dyDescent="0.25">
      <c r="A8094" s="21">
        <v>67282988.480000004</v>
      </c>
    </row>
    <row r="8095" spans="1:1" x14ac:dyDescent="0.25">
      <c r="A8095" s="21">
        <v>53818335.93</v>
      </c>
    </row>
    <row r="8096" spans="1:1" x14ac:dyDescent="0.25">
      <c r="A8096" s="21">
        <v>22326234.27</v>
      </c>
    </row>
    <row r="8097" spans="1:1" x14ac:dyDescent="0.25">
      <c r="A8097" s="21">
        <v>30508271.300000001</v>
      </c>
    </row>
    <row r="8098" spans="1:1" x14ac:dyDescent="0.25">
      <c r="A8098" s="21">
        <v>59718935.450000003</v>
      </c>
    </row>
    <row r="8099" spans="1:1" x14ac:dyDescent="0.25">
      <c r="A8099" s="21">
        <v>34682896.649999999</v>
      </c>
    </row>
    <row r="8100" spans="1:1" x14ac:dyDescent="0.25">
      <c r="A8100" s="21">
        <v>12600539.25</v>
      </c>
    </row>
    <row r="8101" spans="1:1" x14ac:dyDescent="0.25">
      <c r="A8101" s="21">
        <v>58546914.109999999</v>
      </c>
    </row>
    <row r="8102" spans="1:1" x14ac:dyDescent="0.25">
      <c r="A8102" s="21">
        <v>135930416.16</v>
      </c>
    </row>
    <row r="8103" spans="1:1" x14ac:dyDescent="0.25">
      <c r="A8103" s="21">
        <v>59721416.5</v>
      </c>
    </row>
    <row r="8104" spans="1:1" x14ac:dyDescent="0.25">
      <c r="A8104" s="21">
        <v>28864344.449999999</v>
      </c>
    </row>
    <row r="8105" spans="1:1" x14ac:dyDescent="0.25">
      <c r="A8105" s="21">
        <v>9350094.8000000007</v>
      </c>
    </row>
    <row r="8106" spans="1:1" x14ac:dyDescent="0.25">
      <c r="A8106" s="21">
        <v>124325661.55</v>
      </c>
    </row>
    <row r="8107" spans="1:1" x14ac:dyDescent="0.25">
      <c r="A8107" s="21">
        <v>172335245.47999999</v>
      </c>
    </row>
    <row r="8108" spans="1:1" x14ac:dyDescent="0.25">
      <c r="A8108" s="21">
        <v>6934814.9000000004</v>
      </c>
    </row>
    <row r="8109" spans="1:1" x14ac:dyDescent="0.25">
      <c r="A8109" s="21">
        <v>102558787.86</v>
      </c>
    </row>
    <row r="8110" spans="1:1" x14ac:dyDescent="0.25">
      <c r="A8110" s="21">
        <v>91757027.659999996</v>
      </c>
    </row>
    <row r="8111" spans="1:1" x14ac:dyDescent="0.25">
      <c r="A8111" s="21">
        <v>12530445.4</v>
      </c>
    </row>
    <row r="8112" spans="1:1" x14ac:dyDescent="0.25">
      <c r="A8112">
        <v>13042392</v>
      </c>
    </row>
    <row r="8113" spans="1:1" x14ac:dyDescent="0.25">
      <c r="A8113" s="21">
        <v>39852430.420000002</v>
      </c>
    </row>
    <row r="8114" spans="1:1" x14ac:dyDescent="0.25">
      <c r="A8114" s="21">
        <v>23711801.82</v>
      </c>
    </row>
    <row r="8115" spans="1:1" x14ac:dyDescent="0.25">
      <c r="A8115" s="21">
        <v>63151312.149999999</v>
      </c>
    </row>
    <row r="8116" spans="1:1" x14ac:dyDescent="0.25">
      <c r="A8116" s="21">
        <v>32875070.010000002</v>
      </c>
    </row>
    <row r="8117" spans="1:1" x14ac:dyDescent="0.25">
      <c r="A8117">
        <v>0</v>
      </c>
    </row>
    <row r="8118" spans="1:1" x14ac:dyDescent="0.25">
      <c r="A8118" s="21">
        <v>138088802.00999999</v>
      </c>
    </row>
    <row r="8119" spans="1:1" x14ac:dyDescent="0.25">
      <c r="A8119" s="21">
        <v>24532084.469999999</v>
      </c>
    </row>
    <row r="8120" spans="1:1" x14ac:dyDescent="0.25">
      <c r="A8120" s="21">
        <v>2970571.63</v>
      </c>
    </row>
    <row r="8121" spans="1:1" x14ac:dyDescent="0.25">
      <c r="A8121" s="21">
        <v>34687303.670000002</v>
      </c>
    </row>
    <row r="8122" spans="1:1" x14ac:dyDescent="0.25">
      <c r="A8122" s="21">
        <v>8957314.2300000004</v>
      </c>
    </row>
    <row r="8123" spans="1:1" x14ac:dyDescent="0.25">
      <c r="A8123" s="21">
        <v>47241494.390000001</v>
      </c>
    </row>
    <row r="8124" spans="1:1" x14ac:dyDescent="0.25">
      <c r="A8124" s="21">
        <v>333420209.51999998</v>
      </c>
    </row>
    <row r="8125" spans="1:1" x14ac:dyDescent="0.25">
      <c r="A8125">
        <v>0</v>
      </c>
    </row>
    <row r="8126" spans="1:1" x14ac:dyDescent="0.25">
      <c r="A8126" s="21">
        <v>124110133.95999999</v>
      </c>
    </row>
    <row r="8127" spans="1:1" x14ac:dyDescent="0.25">
      <c r="A8127" s="21">
        <v>15407329.380000001</v>
      </c>
    </row>
    <row r="8128" spans="1:1" x14ac:dyDescent="0.25">
      <c r="A8128" s="21">
        <v>98354834.140000001</v>
      </c>
    </row>
    <row r="8129" spans="1:1" x14ac:dyDescent="0.25">
      <c r="A8129" s="21">
        <v>219389783.59</v>
      </c>
    </row>
    <row r="8130" spans="1:1" x14ac:dyDescent="0.25">
      <c r="A8130" s="21">
        <v>36399994.359999999</v>
      </c>
    </row>
    <row r="8131" spans="1:1" x14ac:dyDescent="0.25">
      <c r="A8131" s="21">
        <v>40451748.549999997</v>
      </c>
    </row>
    <row r="8132" spans="1:1" x14ac:dyDescent="0.25">
      <c r="A8132" s="21">
        <v>31971593.239999998</v>
      </c>
    </row>
    <row r="8133" spans="1:1" x14ac:dyDescent="0.25">
      <c r="A8133" s="21">
        <v>157693567.43000001</v>
      </c>
    </row>
    <row r="8134" spans="1:1" x14ac:dyDescent="0.25">
      <c r="A8134" s="21">
        <v>400461518.74000001</v>
      </c>
    </row>
    <row r="8135" spans="1:1" x14ac:dyDescent="0.25">
      <c r="A8135" s="21">
        <v>20351918.25</v>
      </c>
    </row>
    <row r="8136" spans="1:1" x14ac:dyDescent="0.25">
      <c r="A8136" s="21">
        <v>63427305.090000004</v>
      </c>
    </row>
    <row r="8137" spans="1:1" x14ac:dyDescent="0.25">
      <c r="A8137" s="21">
        <v>105392689.2</v>
      </c>
    </row>
    <row r="8138" spans="1:1" x14ac:dyDescent="0.25">
      <c r="A8138" s="21">
        <v>105940961.7</v>
      </c>
    </row>
    <row r="8139" spans="1:1" x14ac:dyDescent="0.25">
      <c r="A8139" s="21">
        <v>16124661.460000001</v>
      </c>
    </row>
    <row r="8140" spans="1:1" x14ac:dyDescent="0.25">
      <c r="A8140">
        <v>0</v>
      </c>
    </row>
    <row r="8141" spans="1:1" x14ac:dyDescent="0.25">
      <c r="A8141" s="21">
        <v>68133091.129999995</v>
      </c>
    </row>
    <row r="8142" spans="1:1" x14ac:dyDescent="0.25">
      <c r="A8142" s="21">
        <v>54053713.32</v>
      </c>
    </row>
    <row r="8143" spans="1:1" x14ac:dyDescent="0.25">
      <c r="A8143" s="21">
        <v>75280741.840000004</v>
      </c>
    </row>
    <row r="8144" spans="1:1" x14ac:dyDescent="0.25">
      <c r="A8144" s="21">
        <v>82416768.269999996</v>
      </c>
    </row>
    <row r="8145" spans="1:1" x14ac:dyDescent="0.25">
      <c r="A8145" s="21">
        <v>24059485.059999999</v>
      </c>
    </row>
    <row r="8146" spans="1:1" x14ac:dyDescent="0.25">
      <c r="A8146">
        <v>0</v>
      </c>
    </row>
    <row r="8147" spans="1:1" x14ac:dyDescent="0.25">
      <c r="A8147" s="21">
        <v>207743588.97999999</v>
      </c>
    </row>
    <row r="8148" spans="1:1" x14ac:dyDescent="0.25">
      <c r="A8148" s="21">
        <v>56948654.579999998</v>
      </c>
    </row>
    <row r="8149" spans="1:1" x14ac:dyDescent="0.25">
      <c r="A8149" s="21">
        <v>7498684.5</v>
      </c>
    </row>
    <row r="8150" spans="1:1" x14ac:dyDescent="0.25">
      <c r="A8150" s="21">
        <v>121256332.19</v>
      </c>
    </row>
    <row r="8151" spans="1:1" x14ac:dyDescent="0.25">
      <c r="A8151" s="21">
        <v>12626850.75</v>
      </c>
    </row>
    <row r="8152" spans="1:1" x14ac:dyDescent="0.25">
      <c r="A8152" s="21">
        <v>50005932.969999999</v>
      </c>
    </row>
    <row r="8153" spans="1:1" x14ac:dyDescent="0.25">
      <c r="A8153" s="21">
        <v>55707005.770000003</v>
      </c>
    </row>
    <row r="8154" spans="1:1" x14ac:dyDescent="0.25">
      <c r="A8154" s="21">
        <v>273367144.25</v>
      </c>
    </row>
    <row r="8155" spans="1:1" x14ac:dyDescent="0.25">
      <c r="A8155" s="21">
        <v>342283309.20999998</v>
      </c>
    </row>
    <row r="8156" spans="1:1" x14ac:dyDescent="0.25">
      <c r="A8156" s="21">
        <v>140268823.22</v>
      </c>
    </row>
    <row r="8157" spans="1:1" x14ac:dyDescent="0.25">
      <c r="A8157" s="21">
        <v>38968155.030000001</v>
      </c>
    </row>
    <row r="8158" spans="1:1" x14ac:dyDescent="0.25">
      <c r="A8158" s="21">
        <v>24785644.129999999</v>
      </c>
    </row>
    <row r="8159" spans="1:1" x14ac:dyDescent="0.25">
      <c r="A8159" s="21">
        <v>22129247.300000001</v>
      </c>
    </row>
    <row r="8160" spans="1:1" x14ac:dyDescent="0.25">
      <c r="A8160" s="21">
        <v>59051694.380000003</v>
      </c>
    </row>
    <row r="8161" spans="1:1" x14ac:dyDescent="0.25">
      <c r="A8161" s="21">
        <v>82758949.040000007</v>
      </c>
    </row>
    <row r="8162" spans="1:1" x14ac:dyDescent="0.25">
      <c r="A8162" s="21">
        <v>7808352.8600000003</v>
      </c>
    </row>
    <row r="8163" spans="1:1" x14ac:dyDescent="0.25">
      <c r="A8163" s="21">
        <v>84305433.510000005</v>
      </c>
    </row>
    <row r="8164" spans="1:1" x14ac:dyDescent="0.25">
      <c r="A8164" s="21">
        <v>121302612.62</v>
      </c>
    </row>
    <row r="8165" spans="1:1" x14ac:dyDescent="0.25">
      <c r="A8165" s="21">
        <v>95334958.929999903</v>
      </c>
    </row>
    <row r="8166" spans="1:1" x14ac:dyDescent="0.25">
      <c r="A8166" s="21">
        <v>250293369.63999999</v>
      </c>
    </row>
    <row r="8167" spans="1:1" x14ac:dyDescent="0.25">
      <c r="A8167" s="21">
        <v>23370105.59</v>
      </c>
    </row>
    <row r="8168" spans="1:1" x14ac:dyDescent="0.25">
      <c r="A8168" s="21">
        <v>102430287.54000001</v>
      </c>
    </row>
    <row r="8169" spans="1:1" x14ac:dyDescent="0.25">
      <c r="A8169" s="21">
        <v>26057216.859999999</v>
      </c>
    </row>
    <row r="8170" spans="1:1" x14ac:dyDescent="0.25">
      <c r="A8170" s="21">
        <v>357167069.64999998</v>
      </c>
    </row>
    <row r="8171" spans="1:1" x14ac:dyDescent="0.25">
      <c r="A8171" s="21">
        <v>62748397.450000003</v>
      </c>
    </row>
    <row r="8172" spans="1:1" x14ac:dyDescent="0.25">
      <c r="A8172" s="21">
        <v>2700414.9</v>
      </c>
    </row>
    <row r="8173" spans="1:1" x14ac:dyDescent="0.25">
      <c r="A8173" s="21">
        <v>64270718.479999997</v>
      </c>
    </row>
    <row r="8174" spans="1:1" x14ac:dyDescent="0.25">
      <c r="A8174" s="21">
        <v>23165550.48</v>
      </c>
    </row>
    <row r="8175" spans="1:1" x14ac:dyDescent="0.25">
      <c r="A8175" s="21">
        <v>95367269.049999997</v>
      </c>
    </row>
    <row r="8176" spans="1:1" x14ac:dyDescent="0.25">
      <c r="A8176" s="21">
        <v>10644107.359999999</v>
      </c>
    </row>
    <row r="8177" spans="1:1" x14ac:dyDescent="0.25">
      <c r="A8177" s="21">
        <v>236427172.02000001</v>
      </c>
    </row>
    <row r="8178" spans="1:1" x14ac:dyDescent="0.25">
      <c r="A8178" s="21">
        <v>92663335.069999903</v>
      </c>
    </row>
    <row r="8179" spans="1:1" x14ac:dyDescent="0.25">
      <c r="A8179" s="21">
        <v>117565579.2</v>
      </c>
    </row>
    <row r="8180" spans="1:1" x14ac:dyDescent="0.25">
      <c r="A8180" s="21">
        <v>83845844.549999997</v>
      </c>
    </row>
    <row r="8181" spans="1:1" x14ac:dyDescent="0.25">
      <c r="A8181" s="21">
        <v>6017799.75</v>
      </c>
    </row>
    <row r="8182" spans="1:1" x14ac:dyDescent="0.25">
      <c r="A8182" s="21">
        <v>72252759.480000004</v>
      </c>
    </row>
    <row r="8183" spans="1:1" x14ac:dyDescent="0.25">
      <c r="A8183" s="21">
        <v>10010510.310000001</v>
      </c>
    </row>
    <row r="8184" spans="1:1" x14ac:dyDescent="0.25">
      <c r="A8184" s="21">
        <v>15016649.460000001</v>
      </c>
    </row>
    <row r="8185" spans="1:1" x14ac:dyDescent="0.25">
      <c r="A8185" s="21">
        <v>73402434.109999999</v>
      </c>
    </row>
    <row r="8186" spans="1:1" x14ac:dyDescent="0.25">
      <c r="A8186" s="21">
        <v>72036636.319999903</v>
      </c>
    </row>
    <row r="8187" spans="1:1" x14ac:dyDescent="0.25">
      <c r="A8187" s="21">
        <v>26496939.170000002</v>
      </c>
    </row>
    <row r="8188" spans="1:1" x14ac:dyDescent="0.25">
      <c r="A8188" s="21">
        <v>99483600.680000007</v>
      </c>
    </row>
    <row r="8189" spans="1:1" x14ac:dyDescent="0.25">
      <c r="A8189" s="21">
        <v>107794405.23</v>
      </c>
    </row>
    <row r="8190" spans="1:1" x14ac:dyDescent="0.25">
      <c r="A8190" s="21">
        <v>158196672.78</v>
      </c>
    </row>
    <row r="8191" spans="1:1" x14ac:dyDescent="0.25">
      <c r="A8191" s="21">
        <v>26857394.079999998</v>
      </c>
    </row>
    <row r="8192" spans="1:1" x14ac:dyDescent="0.25">
      <c r="A8192" s="21">
        <v>42910290.459999897</v>
      </c>
    </row>
    <row r="8193" spans="1:1" x14ac:dyDescent="0.25">
      <c r="A8193" s="21">
        <v>81723980.620000005</v>
      </c>
    </row>
    <row r="8194" spans="1:1" x14ac:dyDescent="0.25">
      <c r="A8194" s="21">
        <v>144004424.03</v>
      </c>
    </row>
    <row r="8195" spans="1:1" x14ac:dyDescent="0.25">
      <c r="A8195" s="21">
        <v>76648918.459999904</v>
      </c>
    </row>
    <row r="8196" spans="1:1" x14ac:dyDescent="0.25">
      <c r="A8196" s="21">
        <v>90180849.140000001</v>
      </c>
    </row>
    <row r="8197" spans="1:1" x14ac:dyDescent="0.25">
      <c r="A8197" s="21">
        <v>6268849.5</v>
      </c>
    </row>
    <row r="8198" spans="1:1" x14ac:dyDescent="0.25">
      <c r="A8198" s="21">
        <v>8080453.9299999997</v>
      </c>
    </row>
    <row r="8199" spans="1:1" x14ac:dyDescent="0.25">
      <c r="A8199">
        <v>0</v>
      </c>
    </row>
    <row r="8200" spans="1:1" x14ac:dyDescent="0.25">
      <c r="A8200" s="21">
        <v>6017799.75</v>
      </c>
    </row>
    <row r="8201" spans="1:1" x14ac:dyDescent="0.25">
      <c r="A8201" s="21">
        <v>16331142.65</v>
      </c>
    </row>
    <row r="8202" spans="1:1" x14ac:dyDescent="0.25">
      <c r="A8202" s="21">
        <v>73208777.930000007</v>
      </c>
    </row>
    <row r="8203" spans="1:1" x14ac:dyDescent="0.25">
      <c r="A8203" s="21">
        <v>33496245.34</v>
      </c>
    </row>
    <row r="8204" spans="1:1" x14ac:dyDescent="0.25">
      <c r="A8204">
        <v>27531338</v>
      </c>
    </row>
    <row r="8205" spans="1:1" x14ac:dyDescent="0.25">
      <c r="A8205">
        <v>0</v>
      </c>
    </row>
    <row r="8206" spans="1:1" x14ac:dyDescent="0.25">
      <c r="A8206" s="21">
        <v>80846434.799999997</v>
      </c>
    </row>
    <row r="8207" spans="1:1" x14ac:dyDescent="0.25">
      <c r="A8207" s="21">
        <v>43048378.619999997</v>
      </c>
    </row>
    <row r="8208" spans="1:1" x14ac:dyDescent="0.25">
      <c r="A8208" s="21">
        <v>76392408.879999995</v>
      </c>
    </row>
    <row r="8209" spans="1:1" x14ac:dyDescent="0.25">
      <c r="A8209" s="21">
        <v>3881402.46</v>
      </c>
    </row>
    <row r="8210" spans="1:1" x14ac:dyDescent="0.25">
      <c r="A8210" s="21">
        <v>124748135.18000001</v>
      </c>
    </row>
    <row r="8211" spans="1:1" x14ac:dyDescent="0.25">
      <c r="A8211" s="21">
        <v>259937612.41999999</v>
      </c>
    </row>
    <row r="8212" spans="1:1" x14ac:dyDescent="0.25">
      <c r="A8212">
        <v>0</v>
      </c>
    </row>
    <row r="8213" spans="1:1" x14ac:dyDescent="0.25">
      <c r="A8213" s="21">
        <v>13725581.529999999</v>
      </c>
    </row>
    <row r="8214" spans="1:1" x14ac:dyDescent="0.25">
      <c r="A8214" s="21">
        <v>57194369.93</v>
      </c>
    </row>
    <row r="8215" spans="1:1" x14ac:dyDescent="0.25">
      <c r="A8215" s="21">
        <v>16393649.99</v>
      </c>
    </row>
    <row r="8216" spans="1:1" x14ac:dyDescent="0.25">
      <c r="A8216" s="21">
        <v>301847469.88999999</v>
      </c>
    </row>
    <row r="8217" spans="1:1" x14ac:dyDescent="0.25">
      <c r="A8217" s="21">
        <v>4662237.21</v>
      </c>
    </row>
    <row r="8218" spans="1:1" x14ac:dyDescent="0.25">
      <c r="A8218" s="21">
        <v>25025991.030000001</v>
      </c>
    </row>
    <row r="8219" spans="1:1" x14ac:dyDescent="0.25">
      <c r="A8219" s="21">
        <v>174765174.62</v>
      </c>
    </row>
    <row r="8220" spans="1:1" x14ac:dyDescent="0.25">
      <c r="A8220" s="21">
        <v>92008830.009999901</v>
      </c>
    </row>
    <row r="8221" spans="1:1" x14ac:dyDescent="0.25">
      <c r="A8221" s="21">
        <v>41041135.539999999</v>
      </c>
    </row>
    <row r="8222" spans="1:1" x14ac:dyDescent="0.25">
      <c r="A8222" s="21">
        <v>86423580.199999899</v>
      </c>
    </row>
    <row r="8223" spans="1:1" x14ac:dyDescent="0.25">
      <c r="A8223" s="21">
        <v>51836990.200000003</v>
      </c>
    </row>
    <row r="8224" spans="1:1" x14ac:dyDescent="0.25">
      <c r="A8224" s="21">
        <v>16587961.859999999</v>
      </c>
    </row>
    <row r="8225" spans="1:1" x14ac:dyDescent="0.25">
      <c r="A8225" s="21">
        <v>27390667.68</v>
      </c>
    </row>
    <row r="8226" spans="1:1" x14ac:dyDescent="0.25">
      <c r="A8226" s="21">
        <v>43350732.439999998</v>
      </c>
    </row>
    <row r="8227" spans="1:1" x14ac:dyDescent="0.25">
      <c r="A8227" s="21">
        <v>212735642.97</v>
      </c>
    </row>
    <row r="8228" spans="1:1" x14ac:dyDescent="0.25">
      <c r="A8228" s="21">
        <v>48456611.890000001</v>
      </c>
    </row>
    <row r="8229" spans="1:1" x14ac:dyDescent="0.25">
      <c r="A8229" s="21">
        <v>21211112.559999999</v>
      </c>
    </row>
    <row r="8230" spans="1:1" x14ac:dyDescent="0.25">
      <c r="A8230" s="21">
        <v>46006871.549999997</v>
      </c>
    </row>
    <row r="8231" spans="1:1" x14ac:dyDescent="0.25">
      <c r="A8231" s="21">
        <v>184145619.25999999</v>
      </c>
    </row>
    <row r="8232" spans="1:1" x14ac:dyDescent="0.25">
      <c r="A8232" s="21">
        <v>71843777.099999905</v>
      </c>
    </row>
    <row r="8233" spans="1:1" x14ac:dyDescent="0.25">
      <c r="A8233">
        <v>0</v>
      </c>
    </row>
    <row r="8234" spans="1:1" x14ac:dyDescent="0.25">
      <c r="A8234" s="21">
        <v>2747989.59</v>
      </c>
    </row>
    <row r="8235" spans="1:1" x14ac:dyDescent="0.25">
      <c r="A8235" s="21">
        <v>138468423.87</v>
      </c>
    </row>
    <row r="8236" spans="1:1" x14ac:dyDescent="0.25">
      <c r="A8236" s="21">
        <v>13450533.27</v>
      </c>
    </row>
    <row r="8237" spans="1:1" x14ac:dyDescent="0.25">
      <c r="A8237" s="21">
        <v>109080077.59999999</v>
      </c>
    </row>
    <row r="8238" spans="1:1" x14ac:dyDescent="0.25">
      <c r="A8238" s="21">
        <v>52118753.329999998</v>
      </c>
    </row>
    <row r="8239" spans="1:1" x14ac:dyDescent="0.25">
      <c r="A8239" s="21">
        <v>18803311.809999999</v>
      </c>
    </row>
    <row r="8240" spans="1:1" x14ac:dyDescent="0.25">
      <c r="A8240" s="21">
        <v>33992883.539999999</v>
      </c>
    </row>
    <row r="8241" spans="1:1" x14ac:dyDescent="0.25">
      <c r="A8241" s="21">
        <v>26450376.399999999</v>
      </c>
    </row>
    <row r="8242" spans="1:1" x14ac:dyDescent="0.25">
      <c r="A8242" s="21">
        <v>25009559.780000001</v>
      </c>
    </row>
    <row r="8243" spans="1:1" x14ac:dyDescent="0.25">
      <c r="A8243" s="21">
        <v>45344826.189999998</v>
      </c>
    </row>
    <row r="8244" spans="1:1" x14ac:dyDescent="0.25">
      <c r="A8244">
        <v>0</v>
      </c>
    </row>
    <row r="8245" spans="1:1" x14ac:dyDescent="0.25">
      <c r="A8245" s="21">
        <v>172789341.84</v>
      </c>
    </row>
    <row r="8246" spans="1:1" x14ac:dyDescent="0.25">
      <c r="A8246" s="21">
        <v>31581054.23</v>
      </c>
    </row>
    <row r="8247" spans="1:1" x14ac:dyDescent="0.25">
      <c r="A8247" s="21">
        <v>17018525.84</v>
      </c>
    </row>
    <row r="8248" spans="1:1" x14ac:dyDescent="0.25">
      <c r="A8248" s="21">
        <v>386358378.85000002</v>
      </c>
    </row>
    <row r="8249" spans="1:1" x14ac:dyDescent="0.25">
      <c r="A8249" s="21">
        <v>66287331.149999999</v>
      </c>
    </row>
    <row r="8250" spans="1:1" x14ac:dyDescent="0.25">
      <c r="A8250" s="21">
        <v>100845051.88</v>
      </c>
    </row>
    <row r="8251" spans="1:1" x14ac:dyDescent="0.25">
      <c r="A8251" s="21">
        <v>23786217.390000001</v>
      </c>
    </row>
    <row r="8252" spans="1:1" x14ac:dyDescent="0.25">
      <c r="A8252" s="21">
        <v>61275073.140000001</v>
      </c>
    </row>
    <row r="8253" spans="1:1" x14ac:dyDescent="0.25">
      <c r="A8253" s="21">
        <v>53816418.490000002</v>
      </c>
    </row>
    <row r="8254" spans="1:1" x14ac:dyDescent="0.25">
      <c r="A8254" s="21">
        <v>107494882.05</v>
      </c>
    </row>
    <row r="8255" spans="1:1" x14ac:dyDescent="0.25">
      <c r="A8255" s="21">
        <v>135835387.50999999</v>
      </c>
    </row>
    <row r="8256" spans="1:1" x14ac:dyDescent="0.25">
      <c r="A8256" s="21">
        <v>18756467.899999999</v>
      </c>
    </row>
    <row r="8257" spans="1:1" x14ac:dyDescent="0.25">
      <c r="A8257" s="21">
        <v>5728394.25</v>
      </c>
    </row>
    <row r="8258" spans="1:1" x14ac:dyDescent="0.25">
      <c r="A8258" s="21">
        <v>19177627.890000001</v>
      </c>
    </row>
    <row r="8259" spans="1:1" x14ac:dyDescent="0.25">
      <c r="A8259">
        <v>5966655</v>
      </c>
    </row>
    <row r="8260" spans="1:1" x14ac:dyDescent="0.25">
      <c r="A8260" s="21">
        <v>6014379.75</v>
      </c>
    </row>
    <row r="8261" spans="1:1" x14ac:dyDescent="0.25">
      <c r="A8261" s="21">
        <v>16517500.800000001</v>
      </c>
    </row>
    <row r="8262" spans="1:1" x14ac:dyDescent="0.25">
      <c r="A8262" s="21">
        <v>130231359.64</v>
      </c>
    </row>
    <row r="8263" spans="1:1" x14ac:dyDescent="0.25">
      <c r="A8263">
        <v>0</v>
      </c>
    </row>
    <row r="8264" spans="1:1" x14ac:dyDescent="0.25">
      <c r="A8264" s="21">
        <v>30839714.399999999</v>
      </c>
    </row>
    <row r="8265" spans="1:1" x14ac:dyDescent="0.25">
      <c r="A8265" s="21">
        <v>17006175.609999999</v>
      </c>
    </row>
    <row r="8266" spans="1:1" x14ac:dyDescent="0.25">
      <c r="A8266" s="21">
        <v>72152134.310000002</v>
      </c>
    </row>
    <row r="8267" spans="1:1" x14ac:dyDescent="0.25">
      <c r="A8267" s="21">
        <v>14981164.91</v>
      </c>
    </row>
    <row r="8268" spans="1:1" x14ac:dyDescent="0.25">
      <c r="A8268" s="21">
        <v>42574804.770000003</v>
      </c>
    </row>
    <row r="8269" spans="1:1" x14ac:dyDescent="0.25">
      <c r="A8269" s="21">
        <v>41152929.130000003</v>
      </c>
    </row>
    <row r="8270" spans="1:1" x14ac:dyDescent="0.25">
      <c r="A8270" s="21">
        <v>95914447.030000001</v>
      </c>
    </row>
    <row r="8271" spans="1:1" x14ac:dyDescent="0.25">
      <c r="A8271">
        <v>18918540</v>
      </c>
    </row>
    <row r="8272" spans="1:1" x14ac:dyDescent="0.25">
      <c r="A8272" s="21">
        <v>7165948.1500000004</v>
      </c>
    </row>
    <row r="8273" spans="1:1" x14ac:dyDescent="0.25">
      <c r="A8273" s="21">
        <v>83042695.430000007</v>
      </c>
    </row>
    <row r="8274" spans="1:1" x14ac:dyDescent="0.25">
      <c r="A8274" s="21">
        <v>28155438.489999998</v>
      </c>
    </row>
    <row r="8275" spans="1:1" x14ac:dyDescent="0.25">
      <c r="A8275" s="21">
        <v>74956591.390000001</v>
      </c>
    </row>
    <row r="8276" spans="1:1" x14ac:dyDescent="0.25">
      <c r="A8276" s="21">
        <v>128158748.48999999</v>
      </c>
    </row>
    <row r="8277" spans="1:1" x14ac:dyDescent="0.25">
      <c r="A8277" s="21">
        <v>26627877.440000001</v>
      </c>
    </row>
    <row r="8278" spans="1:1" x14ac:dyDescent="0.25">
      <c r="A8278" s="21">
        <v>68555949.909999996</v>
      </c>
    </row>
    <row r="8279" spans="1:1" x14ac:dyDescent="0.25">
      <c r="A8279">
        <v>0</v>
      </c>
    </row>
    <row r="8280" spans="1:1" x14ac:dyDescent="0.25">
      <c r="A8280" s="21">
        <v>34075487.460000001</v>
      </c>
    </row>
    <row r="8281" spans="1:1" x14ac:dyDescent="0.25">
      <c r="A8281" s="21">
        <v>38162863.420000002</v>
      </c>
    </row>
    <row r="8282" spans="1:1" x14ac:dyDescent="0.25">
      <c r="A8282" s="21">
        <v>22425498.73</v>
      </c>
    </row>
    <row r="8283" spans="1:1" x14ac:dyDescent="0.25">
      <c r="A8283" s="21">
        <v>29132787.960000001</v>
      </c>
    </row>
    <row r="8284" spans="1:1" x14ac:dyDescent="0.25">
      <c r="A8284" s="21">
        <v>75886007.019999996</v>
      </c>
    </row>
    <row r="8285" spans="1:1" x14ac:dyDescent="0.25">
      <c r="A8285">
        <v>0</v>
      </c>
    </row>
    <row r="8286" spans="1:1" x14ac:dyDescent="0.25">
      <c r="A8286" s="21">
        <v>34846508.969999999</v>
      </c>
    </row>
    <row r="8287" spans="1:1" x14ac:dyDescent="0.25">
      <c r="A8287" s="21">
        <v>70573289.969999999</v>
      </c>
    </row>
    <row r="8288" spans="1:1" x14ac:dyDescent="0.25">
      <c r="A8288" s="21">
        <v>135560495.78999999</v>
      </c>
    </row>
    <row r="8289" spans="1:1" x14ac:dyDescent="0.25">
      <c r="A8289" s="21">
        <v>5591055.75</v>
      </c>
    </row>
    <row r="8290" spans="1:1" x14ac:dyDescent="0.25">
      <c r="A8290" s="21">
        <v>123154512.3</v>
      </c>
    </row>
    <row r="8291" spans="1:1" x14ac:dyDescent="0.25">
      <c r="A8291" s="21">
        <v>103896260.31999999</v>
      </c>
    </row>
    <row r="8292" spans="1:1" x14ac:dyDescent="0.25">
      <c r="A8292" s="21">
        <v>132713762.12</v>
      </c>
    </row>
    <row r="8293" spans="1:1" x14ac:dyDescent="0.25">
      <c r="A8293" s="21">
        <v>61087013.599999897</v>
      </c>
    </row>
    <row r="8294" spans="1:1" x14ac:dyDescent="0.25">
      <c r="A8294" s="21">
        <v>6140958.0300000003</v>
      </c>
    </row>
    <row r="8295" spans="1:1" x14ac:dyDescent="0.25">
      <c r="A8295" s="21">
        <v>112071733.95</v>
      </c>
    </row>
    <row r="8296" spans="1:1" x14ac:dyDescent="0.25">
      <c r="A8296" s="21">
        <v>161036384.47999999</v>
      </c>
    </row>
    <row r="8297" spans="1:1" x14ac:dyDescent="0.25">
      <c r="A8297" s="21">
        <v>124454420.19</v>
      </c>
    </row>
    <row r="8298" spans="1:1" x14ac:dyDescent="0.25">
      <c r="A8298" s="21">
        <v>17143653.170000002</v>
      </c>
    </row>
    <row r="8299" spans="1:1" x14ac:dyDescent="0.25">
      <c r="A8299" s="21">
        <v>296004356.64999998</v>
      </c>
    </row>
    <row r="8300" spans="1:1" x14ac:dyDescent="0.25">
      <c r="A8300" s="21">
        <v>66786297.149999999</v>
      </c>
    </row>
    <row r="8301" spans="1:1" x14ac:dyDescent="0.25">
      <c r="A8301">
        <v>0</v>
      </c>
    </row>
    <row r="8302" spans="1:1" x14ac:dyDescent="0.25">
      <c r="A8302" s="21">
        <v>484112153.26999998</v>
      </c>
    </row>
    <row r="8303" spans="1:1" x14ac:dyDescent="0.25">
      <c r="A8303" s="21">
        <v>27348724.289999999</v>
      </c>
    </row>
    <row r="8304" spans="1:1" x14ac:dyDescent="0.25">
      <c r="A8304" s="21">
        <v>60027352.240000002</v>
      </c>
    </row>
    <row r="8305" spans="1:1" x14ac:dyDescent="0.25">
      <c r="A8305" s="21">
        <v>205076481.90000001</v>
      </c>
    </row>
    <row r="8306" spans="1:1" x14ac:dyDescent="0.25">
      <c r="A8306" s="21">
        <v>12605877.75</v>
      </c>
    </row>
    <row r="8307" spans="1:1" x14ac:dyDescent="0.25">
      <c r="A8307" s="21">
        <v>21535510.989999998</v>
      </c>
    </row>
    <row r="8308" spans="1:1" x14ac:dyDescent="0.25">
      <c r="A8308" s="21">
        <v>212440137.78999999</v>
      </c>
    </row>
    <row r="8309" spans="1:1" x14ac:dyDescent="0.25">
      <c r="A8309" s="21">
        <v>44895132.159999996</v>
      </c>
    </row>
    <row r="8310" spans="1:1" x14ac:dyDescent="0.25">
      <c r="A8310" s="21">
        <v>36021461.020000003</v>
      </c>
    </row>
    <row r="8311" spans="1:1" x14ac:dyDescent="0.25">
      <c r="A8311" s="21">
        <v>43572233.57</v>
      </c>
    </row>
    <row r="8312" spans="1:1" x14ac:dyDescent="0.25">
      <c r="A8312" s="21">
        <v>61559309.659999996</v>
      </c>
    </row>
    <row r="8313" spans="1:1" x14ac:dyDescent="0.25">
      <c r="A8313" s="21">
        <v>29151272.960000001</v>
      </c>
    </row>
    <row r="8314" spans="1:1" x14ac:dyDescent="0.25">
      <c r="A8314" s="21">
        <v>50669067.829999998</v>
      </c>
    </row>
    <row r="8315" spans="1:1" x14ac:dyDescent="0.25">
      <c r="A8315">
        <v>0</v>
      </c>
    </row>
    <row r="8316" spans="1:1" x14ac:dyDescent="0.25">
      <c r="A8316" s="21">
        <v>110600110.90000001</v>
      </c>
    </row>
    <row r="8317" spans="1:1" x14ac:dyDescent="0.25">
      <c r="A8317" s="21">
        <v>202842440.88</v>
      </c>
    </row>
    <row r="8318" spans="1:1" x14ac:dyDescent="0.25">
      <c r="A8318" s="21">
        <v>67402194.840000004</v>
      </c>
    </row>
    <row r="8319" spans="1:1" x14ac:dyDescent="0.25">
      <c r="A8319" s="21">
        <v>13062254.199999999</v>
      </c>
    </row>
    <row r="8320" spans="1:1" x14ac:dyDescent="0.25">
      <c r="A8320" s="21">
        <v>12743616.02</v>
      </c>
    </row>
    <row r="8321" spans="1:1" x14ac:dyDescent="0.25">
      <c r="A8321" s="21">
        <v>2740520.43</v>
      </c>
    </row>
    <row r="8322" spans="1:1" x14ac:dyDescent="0.25">
      <c r="A8322" s="21">
        <v>89213292.799999997</v>
      </c>
    </row>
    <row r="8323" spans="1:1" x14ac:dyDescent="0.25">
      <c r="A8323" s="21">
        <v>23492976.07</v>
      </c>
    </row>
    <row r="8324" spans="1:1" x14ac:dyDescent="0.25">
      <c r="A8324" s="21">
        <v>34756561.149999999</v>
      </c>
    </row>
    <row r="8325" spans="1:1" x14ac:dyDescent="0.25">
      <c r="A8325" s="21">
        <v>142571796.19999999</v>
      </c>
    </row>
    <row r="8326" spans="1:1" x14ac:dyDescent="0.25">
      <c r="A8326" s="21">
        <v>21948478.190000001</v>
      </c>
    </row>
    <row r="8327" spans="1:1" x14ac:dyDescent="0.25">
      <c r="A8327" s="21">
        <v>72194039.789999902</v>
      </c>
    </row>
    <row r="8328" spans="1:1" x14ac:dyDescent="0.25">
      <c r="A8328" s="21">
        <v>223773960.78</v>
      </c>
    </row>
    <row r="8329" spans="1:1" x14ac:dyDescent="0.25">
      <c r="A8329" s="21">
        <v>13021424.199999999</v>
      </c>
    </row>
    <row r="8330" spans="1:1" x14ac:dyDescent="0.25">
      <c r="A8330" s="21">
        <v>46267209.560000002</v>
      </c>
    </row>
    <row r="8331" spans="1:1" x14ac:dyDescent="0.25">
      <c r="A8331" s="21">
        <v>75089687.289999902</v>
      </c>
    </row>
    <row r="8332" spans="1:1" x14ac:dyDescent="0.25">
      <c r="A8332" s="21">
        <v>101000949.53</v>
      </c>
    </row>
    <row r="8333" spans="1:1" x14ac:dyDescent="0.25">
      <c r="A8333" s="21">
        <v>95412689.359999999</v>
      </c>
    </row>
    <row r="8334" spans="1:1" x14ac:dyDescent="0.25">
      <c r="A8334" s="21">
        <v>193564840.53999999</v>
      </c>
    </row>
    <row r="8335" spans="1:1" x14ac:dyDescent="0.25">
      <c r="A8335" s="21">
        <v>37350265.93</v>
      </c>
    </row>
    <row r="8336" spans="1:1" x14ac:dyDescent="0.25">
      <c r="A8336" s="21">
        <v>29023560.239999998</v>
      </c>
    </row>
    <row r="8337" spans="1:1" x14ac:dyDescent="0.25">
      <c r="A8337" s="21">
        <v>46955300.789999999</v>
      </c>
    </row>
    <row r="8338" spans="1:1" x14ac:dyDescent="0.25">
      <c r="A8338" s="21">
        <v>39440884.789999999</v>
      </c>
    </row>
    <row r="8339" spans="1:1" x14ac:dyDescent="0.25">
      <c r="A8339" s="21">
        <v>177949618.74000001</v>
      </c>
    </row>
    <row r="8340" spans="1:1" x14ac:dyDescent="0.25">
      <c r="A8340" s="21">
        <v>39356462.5</v>
      </c>
    </row>
    <row r="8341" spans="1:1" x14ac:dyDescent="0.25">
      <c r="A8341" s="21">
        <v>15492640.49</v>
      </c>
    </row>
    <row r="8342" spans="1:1" x14ac:dyDescent="0.25">
      <c r="A8342" s="21">
        <v>60114901.619999997</v>
      </c>
    </row>
    <row r="8343" spans="1:1" x14ac:dyDescent="0.25">
      <c r="A8343" s="21">
        <v>145370685.31999999</v>
      </c>
    </row>
    <row r="8344" spans="1:1" x14ac:dyDescent="0.25">
      <c r="A8344" s="21">
        <v>22737584.91</v>
      </c>
    </row>
    <row r="8345" spans="1:1" x14ac:dyDescent="0.25">
      <c r="A8345" s="21">
        <v>90016757.509999901</v>
      </c>
    </row>
    <row r="8346" spans="1:1" x14ac:dyDescent="0.25">
      <c r="A8346" s="21">
        <v>37464800.740000002</v>
      </c>
    </row>
    <row r="8347" spans="1:1" x14ac:dyDescent="0.25">
      <c r="A8347" s="21">
        <v>233315419.59</v>
      </c>
    </row>
    <row r="8348" spans="1:1" x14ac:dyDescent="0.25">
      <c r="A8348" s="21">
        <v>123124603.18000001</v>
      </c>
    </row>
    <row r="8349" spans="1:1" x14ac:dyDescent="0.25">
      <c r="A8349" s="21">
        <v>14751089.300000001</v>
      </c>
    </row>
    <row r="8350" spans="1:1" x14ac:dyDescent="0.25">
      <c r="A8350" s="21">
        <v>47126276.729999997</v>
      </c>
    </row>
    <row r="8351" spans="1:1" x14ac:dyDescent="0.25">
      <c r="A8351" s="21">
        <v>27376218.879999999</v>
      </c>
    </row>
    <row r="8352" spans="1:1" x14ac:dyDescent="0.25">
      <c r="A8352" s="21">
        <v>66045843.189999998</v>
      </c>
    </row>
    <row r="8353" spans="1:1" x14ac:dyDescent="0.25">
      <c r="A8353" s="21">
        <v>50810332.810000002</v>
      </c>
    </row>
    <row r="8354" spans="1:1" x14ac:dyDescent="0.25">
      <c r="A8354" s="21">
        <v>95712052.099999905</v>
      </c>
    </row>
    <row r="8355" spans="1:1" x14ac:dyDescent="0.25">
      <c r="A8355" s="21">
        <v>89190869.079999998</v>
      </c>
    </row>
    <row r="8356" spans="1:1" x14ac:dyDescent="0.25">
      <c r="A8356" s="21">
        <v>49756215.869999997</v>
      </c>
    </row>
    <row r="8357" spans="1:1" x14ac:dyDescent="0.25">
      <c r="A8357" s="21">
        <v>147729250.08000001</v>
      </c>
    </row>
    <row r="8358" spans="1:1" x14ac:dyDescent="0.25">
      <c r="A8358" s="21">
        <v>11734925.890000001</v>
      </c>
    </row>
    <row r="8359" spans="1:1" x14ac:dyDescent="0.25">
      <c r="A8359">
        <v>12945078</v>
      </c>
    </row>
    <row r="8360" spans="1:1" x14ac:dyDescent="0.25">
      <c r="A8360" s="21">
        <v>97774609.989999905</v>
      </c>
    </row>
    <row r="8361" spans="1:1" x14ac:dyDescent="0.25">
      <c r="A8361">
        <v>0</v>
      </c>
    </row>
    <row r="8362" spans="1:1" x14ac:dyDescent="0.25">
      <c r="A8362" s="21">
        <v>51403669.200000003</v>
      </c>
    </row>
    <row r="8363" spans="1:1" x14ac:dyDescent="0.25">
      <c r="A8363" s="21">
        <v>7598794.2800000003</v>
      </c>
    </row>
    <row r="8364" spans="1:1" x14ac:dyDescent="0.25">
      <c r="A8364" s="21">
        <v>3354540.59</v>
      </c>
    </row>
    <row r="8365" spans="1:1" x14ac:dyDescent="0.25">
      <c r="A8365">
        <v>0</v>
      </c>
    </row>
    <row r="8366" spans="1:1" x14ac:dyDescent="0.25">
      <c r="A8366" s="21">
        <v>13813494.85</v>
      </c>
    </row>
    <row r="8367" spans="1:1" x14ac:dyDescent="0.25">
      <c r="A8367" s="21">
        <v>7045933.0599999996</v>
      </c>
    </row>
    <row r="8368" spans="1:1" x14ac:dyDescent="0.25">
      <c r="A8368" s="21">
        <v>26784188.890000001</v>
      </c>
    </row>
    <row r="8369" spans="1:1" x14ac:dyDescent="0.25">
      <c r="A8369" s="21">
        <v>23290063.82</v>
      </c>
    </row>
    <row r="8370" spans="1:1" x14ac:dyDescent="0.25">
      <c r="A8370" s="21">
        <v>27711014.859999999</v>
      </c>
    </row>
    <row r="8371" spans="1:1" x14ac:dyDescent="0.25">
      <c r="A8371">
        <v>0</v>
      </c>
    </row>
    <row r="8372" spans="1:1" x14ac:dyDescent="0.25">
      <c r="A8372" s="21">
        <v>281490925.62</v>
      </c>
    </row>
    <row r="8373" spans="1:1" x14ac:dyDescent="0.25">
      <c r="A8373" s="21">
        <v>18194287.890000001</v>
      </c>
    </row>
    <row r="8374" spans="1:1" x14ac:dyDescent="0.25">
      <c r="A8374" s="21">
        <v>50056908.649999999</v>
      </c>
    </row>
    <row r="8375" spans="1:1" x14ac:dyDescent="0.25">
      <c r="A8375" s="21">
        <v>121614750.68000001</v>
      </c>
    </row>
    <row r="8376" spans="1:1" x14ac:dyDescent="0.25">
      <c r="A8376" s="21">
        <v>58658149.439999998</v>
      </c>
    </row>
    <row r="8377" spans="1:1" x14ac:dyDescent="0.25">
      <c r="A8377" s="21">
        <v>153231421.31999999</v>
      </c>
    </row>
    <row r="8378" spans="1:1" x14ac:dyDescent="0.25">
      <c r="A8378" s="21">
        <v>9406443.6500000004</v>
      </c>
    </row>
    <row r="8379" spans="1:1" x14ac:dyDescent="0.25">
      <c r="A8379" s="21">
        <v>84486916.4799999</v>
      </c>
    </row>
    <row r="8380" spans="1:1" x14ac:dyDescent="0.25">
      <c r="A8380" s="21">
        <v>3973944.2</v>
      </c>
    </row>
    <row r="8381" spans="1:1" x14ac:dyDescent="0.25">
      <c r="A8381" s="21">
        <v>28807391.93</v>
      </c>
    </row>
    <row r="8382" spans="1:1" x14ac:dyDescent="0.25">
      <c r="A8382" s="21">
        <v>34787443.700000003</v>
      </c>
    </row>
    <row r="8383" spans="1:1" x14ac:dyDescent="0.25">
      <c r="A8383">
        <v>0</v>
      </c>
    </row>
    <row r="8384" spans="1:1" x14ac:dyDescent="0.25">
      <c r="A8384" s="21">
        <v>120890342.11</v>
      </c>
    </row>
    <row r="8385" spans="1:1" x14ac:dyDescent="0.25">
      <c r="A8385" s="21">
        <v>149425843.09999999</v>
      </c>
    </row>
    <row r="8386" spans="1:1" x14ac:dyDescent="0.25">
      <c r="A8386" s="21">
        <v>286042280.29000002</v>
      </c>
    </row>
    <row r="8387" spans="1:1" x14ac:dyDescent="0.25">
      <c r="A8387" s="21">
        <v>176984731.06999999</v>
      </c>
    </row>
    <row r="8388" spans="1:1" x14ac:dyDescent="0.25">
      <c r="A8388" s="21">
        <v>3370969.66</v>
      </c>
    </row>
    <row r="8389" spans="1:1" x14ac:dyDescent="0.25">
      <c r="A8389" s="21">
        <v>188615662.08000001</v>
      </c>
    </row>
    <row r="8390" spans="1:1" x14ac:dyDescent="0.25">
      <c r="A8390" s="21">
        <v>65876117.18</v>
      </c>
    </row>
    <row r="8391" spans="1:1" x14ac:dyDescent="0.25">
      <c r="A8391" s="21">
        <v>101228635.22</v>
      </c>
    </row>
    <row r="8392" spans="1:1" x14ac:dyDescent="0.25">
      <c r="A8392" s="21">
        <v>13314523.5</v>
      </c>
    </row>
    <row r="8393" spans="1:1" x14ac:dyDescent="0.25">
      <c r="A8393" s="21">
        <v>160054863.43000001</v>
      </c>
    </row>
    <row r="8394" spans="1:1" x14ac:dyDescent="0.25">
      <c r="A8394" s="21">
        <v>52859741.609999999</v>
      </c>
    </row>
    <row r="8395" spans="1:1" x14ac:dyDescent="0.25">
      <c r="A8395" s="21">
        <v>9540201.2899999898</v>
      </c>
    </row>
    <row r="8396" spans="1:1" x14ac:dyDescent="0.25">
      <c r="A8396" s="21">
        <v>85516202.760000005</v>
      </c>
    </row>
    <row r="8397" spans="1:1" x14ac:dyDescent="0.25">
      <c r="A8397" s="21">
        <v>177443932.37</v>
      </c>
    </row>
    <row r="8398" spans="1:1" x14ac:dyDescent="0.25">
      <c r="A8398" s="21">
        <v>77036546.5</v>
      </c>
    </row>
    <row r="8399" spans="1:1" x14ac:dyDescent="0.25">
      <c r="A8399" s="21">
        <v>16601726.43</v>
      </c>
    </row>
    <row r="8400" spans="1:1" x14ac:dyDescent="0.25">
      <c r="A8400">
        <v>0</v>
      </c>
    </row>
    <row r="8401" spans="1:1" x14ac:dyDescent="0.25">
      <c r="A8401" s="21">
        <v>117809831.43000001</v>
      </c>
    </row>
    <row r="8402" spans="1:1" x14ac:dyDescent="0.25">
      <c r="A8402" s="21">
        <v>362427239.93000001</v>
      </c>
    </row>
    <row r="8403" spans="1:1" x14ac:dyDescent="0.25">
      <c r="A8403">
        <v>0</v>
      </c>
    </row>
    <row r="8404" spans="1:1" x14ac:dyDescent="0.25">
      <c r="A8404" s="21">
        <v>35917842.909999996</v>
      </c>
    </row>
    <row r="8405" spans="1:1" x14ac:dyDescent="0.25">
      <c r="A8405" s="21">
        <v>67682457.269999996</v>
      </c>
    </row>
    <row r="8406" spans="1:1" x14ac:dyDescent="0.25">
      <c r="A8406">
        <v>5937756</v>
      </c>
    </row>
    <row r="8407" spans="1:1" x14ac:dyDescent="0.25">
      <c r="A8407" s="21">
        <v>26061679.43</v>
      </c>
    </row>
    <row r="8408" spans="1:1" x14ac:dyDescent="0.25">
      <c r="A8408" s="21">
        <v>6873111.75</v>
      </c>
    </row>
    <row r="8409" spans="1:1" x14ac:dyDescent="0.25">
      <c r="A8409" s="21">
        <v>89958634.829999998</v>
      </c>
    </row>
    <row r="8410" spans="1:1" x14ac:dyDescent="0.25">
      <c r="A8410" s="21">
        <v>162620867.22999999</v>
      </c>
    </row>
    <row r="8411" spans="1:1" x14ac:dyDescent="0.25">
      <c r="A8411" s="21">
        <v>108076582.7</v>
      </c>
    </row>
    <row r="8412" spans="1:1" x14ac:dyDescent="0.25">
      <c r="A8412" s="21">
        <v>17772947.710000001</v>
      </c>
    </row>
    <row r="8413" spans="1:1" x14ac:dyDescent="0.25">
      <c r="A8413" s="21">
        <v>17127606.710000001</v>
      </c>
    </row>
    <row r="8414" spans="1:1" x14ac:dyDescent="0.25">
      <c r="A8414" s="21">
        <v>80199348.140000001</v>
      </c>
    </row>
    <row r="8415" spans="1:1" x14ac:dyDescent="0.25">
      <c r="A8415" s="21">
        <v>133956485.02</v>
      </c>
    </row>
    <row r="8416" spans="1:1" x14ac:dyDescent="0.25">
      <c r="A8416" s="21">
        <v>50912344.43</v>
      </c>
    </row>
    <row r="8417" spans="1:1" x14ac:dyDescent="0.25">
      <c r="A8417" s="21">
        <v>68213623.259999901</v>
      </c>
    </row>
    <row r="8418" spans="1:1" x14ac:dyDescent="0.25">
      <c r="A8418" s="21">
        <v>59507083.18</v>
      </c>
    </row>
    <row r="8419" spans="1:1" x14ac:dyDescent="0.25">
      <c r="A8419" s="21">
        <v>128410514.73999999</v>
      </c>
    </row>
    <row r="8420" spans="1:1" x14ac:dyDescent="0.25">
      <c r="A8420">
        <v>216798508</v>
      </c>
    </row>
    <row r="8421" spans="1:1" x14ac:dyDescent="0.25">
      <c r="A8421" s="21">
        <v>140168432.27000001</v>
      </c>
    </row>
    <row r="8422" spans="1:1" x14ac:dyDescent="0.25">
      <c r="A8422" s="21">
        <v>22607839.300000001</v>
      </c>
    </row>
    <row r="8423" spans="1:1" x14ac:dyDescent="0.25">
      <c r="A8423" s="21">
        <v>19774303.399999999</v>
      </c>
    </row>
    <row r="8424" spans="1:1" x14ac:dyDescent="0.25">
      <c r="A8424" s="21">
        <v>43052404.770000003</v>
      </c>
    </row>
    <row r="8425" spans="1:1" x14ac:dyDescent="0.25">
      <c r="A8425" s="21">
        <v>146425772.97999999</v>
      </c>
    </row>
    <row r="8426" spans="1:1" x14ac:dyDescent="0.25">
      <c r="A8426" s="21">
        <v>79383890.170000002</v>
      </c>
    </row>
    <row r="8427" spans="1:1" x14ac:dyDescent="0.25">
      <c r="A8427" s="21">
        <v>33724507.200000003</v>
      </c>
    </row>
    <row r="8428" spans="1:1" x14ac:dyDescent="0.25">
      <c r="A8428" s="21">
        <v>165215119.86000001</v>
      </c>
    </row>
    <row r="8429" spans="1:1" x14ac:dyDescent="0.25">
      <c r="A8429" s="21">
        <v>63016504.3699999</v>
      </c>
    </row>
    <row r="8430" spans="1:1" x14ac:dyDescent="0.25">
      <c r="A8430" s="21">
        <v>11329836.960000001</v>
      </c>
    </row>
    <row r="8431" spans="1:1" x14ac:dyDescent="0.25">
      <c r="A8431">
        <v>0</v>
      </c>
    </row>
    <row r="8432" spans="1:1" x14ac:dyDescent="0.25">
      <c r="A8432" s="21">
        <v>233709519.25</v>
      </c>
    </row>
    <row r="8433" spans="1:1" x14ac:dyDescent="0.25">
      <c r="A8433" s="21">
        <v>28455980.050000001</v>
      </c>
    </row>
    <row r="8434" spans="1:1" x14ac:dyDescent="0.25">
      <c r="A8434" s="21">
        <v>2955099.32</v>
      </c>
    </row>
    <row r="8435" spans="1:1" x14ac:dyDescent="0.25">
      <c r="A8435" s="21">
        <v>27599374.16</v>
      </c>
    </row>
    <row r="8436" spans="1:1" x14ac:dyDescent="0.25">
      <c r="A8436" s="21">
        <v>105868392.8</v>
      </c>
    </row>
    <row r="8437" spans="1:1" x14ac:dyDescent="0.25">
      <c r="A8437" s="21">
        <v>38531254.869999997</v>
      </c>
    </row>
    <row r="8438" spans="1:1" x14ac:dyDescent="0.25">
      <c r="A8438" s="21">
        <v>12567991.99</v>
      </c>
    </row>
    <row r="8439" spans="1:1" x14ac:dyDescent="0.25">
      <c r="A8439">
        <v>0</v>
      </c>
    </row>
    <row r="8440" spans="1:1" x14ac:dyDescent="0.25">
      <c r="A8440" s="21">
        <v>47136132.5</v>
      </c>
    </row>
    <row r="8441" spans="1:1" x14ac:dyDescent="0.25">
      <c r="A8441" s="21">
        <v>6809110.5</v>
      </c>
    </row>
    <row r="8442" spans="1:1" x14ac:dyDescent="0.25">
      <c r="A8442" s="21">
        <v>27311333.800000001</v>
      </c>
    </row>
    <row r="8443" spans="1:1" x14ac:dyDescent="0.25">
      <c r="A8443" s="21">
        <v>499482523.99000001</v>
      </c>
    </row>
    <row r="8444" spans="1:1" x14ac:dyDescent="0.25">
      <c r="A8444" s="21">
        <v>3077229.6</v>
      </c>
    </row>
    <row r="8445" spans="1:1" x14ac:dyDescent="0.25">
      <c r="A8445" s="21">
        <v>81644298.780000001</v>
      </c>
    </row>
    <row r="8446" spans="1:1" x14ac:dyDescent="0.25">
      <c r="A8446" s="21">
        <v>9967795.1500000004</v>
      </c>
    </row>
    <row r="8447" spans="1:1" x14ac:dyDescent="0.25">
      <c r="A8447" s="21">
        <v>43246932.609999999</v>
      </c>
    </row>
    <row r="8448" spans="1:1" x14ac:dyDescent="0.25">
      <c r="A8448" s="21">
        <v>117909311.73999999</v>
      </c>
    </row>
    <row r="8449" spans="1:1" x14ac:dyDescent="0.25">
      <c r="A8449" s="21">
        <v>63151264.130000003</v>
      </c>
    </row>
    <row r="8450" spans="1:1" x14ac:dyDescent="0.25">
      <c r="A8450" s="21">
        <v>10458404.77</v>
      </c>
    </row>
    <row r="8451" spans="1:1" x14ac:dyDescent="0.25">
      <c r="A8451" s="21">
        <v>25291776.34</v>
      </c>
    </row>
    <row r="8452" spans="1:1" x14ac:dyDescent="0.25">
      <c r="A8452" s="21">
        <v>137904015.44999999</v>
      </c>
    </row>
    <row r="8453" spans="1:1" x14ac:dyDescent="0.25">
      <c r="A8453" s="21">
        <v>143568712.06999999</v>
      </c>
    </row>
    <row r="8454" spans="1:1" x14ac:dyDescent="0.25">
      <c r="A8454" s="21">
        <v>35093553.530000001</v>
      </c>
    </row>
    <row r="8455" spans="1:1" x14ac:dyDescent="0.25">
      <c r="A8455" s="21">
        <v>62294255.909999996</v>
      </c>
    </row>
    <row r="8456" spans="1:1" x14ac:dyDescent="0.25">
      <c r="A8456" s="21">
        <v>40714274.359999999</v>
      </c>
    </row>
    <row r="8457" spans="1:1" x14ac:dyDescent="0.25">
      <c r="A8457" s="21">
        <v>36711294.719999999</v>
      </c>
    </row>
    <row r="8458" spans="1:1" x14ac:dyDescent="0.25">
      <c r="A8458">
        <v>0</v>
      </c>
    </row>
    <row r="8459" spans="1:1" x14ac:dyDescent="0.25">
      <c r="A8459" s="21">
        <v>15995988.699999999</v>
      </c>
    </row>
    <row r="8460" spans="1:1" x14ac:dyDescent="0.25">
      <c r="A8460" s="21">
        <v>24756252.18</v>
      </c>
    </row>
    <row r="8461" spans="1:1" x14ac:dyDescent="0.25">
      <c r="A8461" s="21">
        <v>31851202.559999999</v>
      </c>
    </row>
    <row r="8462" spans="1:1" x14ac:dyDescent="0.25">
      <c r="A8462">
        <v>0</v>
      </c>
    </row>
    <row r="8463" spans="1:1" x14ac:dyDescent="0.25">
      <c r="A8463" s="21">
        <v>10332386.15</v>
      </c>
    </row>
    <row r="8464" spans="1:1" x14ac:dyDescent="0.25">
      <c r="A8464" s="21">
        <v>18537366.75</v>
      </c>
    </row>
    <row r="8465" spans="1:1" x14ac:dyDescent="0.25">
      <c r="A8465" s="21">
        <v>127656300.34999999</v>
      </c>
    </row>
    <row r="8466" spans="1:1" x14ac:dyDescent="0.25">
      <c r="A8466" s="21">
        <v>89374095.969999999</v>
      </c>
    </row>
    <row r="8467" spans="1:1" x14ac:dyDescent="0.25">
      <c r="A8467" s="21">
        <v>21482924.140000001</v>
      </c>
    </row>
    <row r="8468" spans="1:1" x14ac:dyDescent="0.25">
      <c r="A8468" s="21">
        <v>2973304.56</v>
      </c>
    </row>
    <row r="8469" spans="1:1" x14ac:dyDescent="0.25">
      <c r="A8469" s="21">
        <v>52253892.649999999</v>
      </c>
    </row>
    <row r="8470" spans="1:1" x14ac:dyDescent="0.25">
      <c r="A8470" s="21">
        <v>170454718.49000001</v>
      </c>
    </row>
    <row r="8471" spans="1:1" x14ac:dyDescent="0.25">
      <c r="A8471" s="21">
        <v>225246913.69999999</v>
      </c>
    </row>
    <row r="8472" spans="1:1" x14ac:dyDescent="0.25">
      <c r="A8472" s="21">
        <v>86240385.189999998</v>
      </c>
    </row>
    <row r="8473" spans="1:1" x14ac:dyDescent="0.25">
      <c r="A8473" s="21">
        <v>37212539.07</v>
      </c>
    </row>
    <row r="8474" spans="1:1" x14ac:dyDescent="0.25">
      <c r="A8474" s="21">
        <v>42675361.909999996</v>
      </c>
    </row>
    <row r="8475" spans="1:1" x14ac:dyDescent="0.25">
      <c r="A8475" s="21">
        <v>70641191.340000004</v>
      </c>
    </row>
    <row r="8476" spans="1:1" x14ac:dyDescent="0.25">
      <c r="A8476" s="21">
        <v>246030840.88999999</v>
      </c>
    </row>
    <row r="8477" spans="1:1" x14ac:dyDescent="0.25">
      <c r="A8477">
        <v>0</v>
      </c>
    </row>
    <row r="8478" spans="1:1" x14ac:dyDescent="0.25">
      <c r="A8478" s="21">
        <v>9586345.3300000001</v>
      </c>
    </row>
    <row r="8479" spans="1:1" x14ac:dyDescent="0.25">
      <c r="A8479" s="21">
        <v>93973402.879999995</v>
      </c>
    </row>
    <row r="8480" spans="1:1" x14ac:dyDescent="0.25">
      <c r="A8480" s="21">
        <v>32835688.550000001</v>
      </c>
    </row>
    <row r="8481" spans="1:1" x14ac:dyDescent="0.25">
      <c r="A8481" s="21">
        <v>20903812.629999999</v>
      </c>
    </row>
    <row r="8482" spans="1:1" x14ac:dyDescent="0.25">
      <c r="A8482" s="21">
        <v>169589330.08000001</v>
      </c>
    </row>
    <row r="8483" spans="1:1" x14ac:dyDescent="0.25">
      <c r="A8483" s="21">
        <v>49348950.32</v>
      </c>
    </row>
    <row r="8484" spans="1:1" x14ac:dyDescent="0.25">
      <c r="A8484" s="21">
        <v>167309298.87</v>
      </c>
    </row>
    <row r="8485" spans="1:1" x14ac:dyDescent="0.25">
      <c r="A8485" s="21">
        <v>60213744.789999999</v>
      </c>
    </row>
    <row r="8486" spans="1:1" x14ac:dyDescent="0.25">
      <c r="A8486" s="21">
        <v>37336934.340000004</v>
      </c>
    </row>
    <row r="8487" spans="1:1" x14ac:dyDescent="0.25">
      <c r="A8487" s="21">
        <v>10020091.369999999</v>
      </c>
    </row>
    <row r="8488" spans="1:1" x14ac:dyDescent="0.25">
      <c r="A8488" s="21">
        <v>49690281.450000003</v>
      </c>
    </row>
    <row r="8489" spans="1:1" x14ac:dyDescent="0.25">
      <c r="A8489" s="21">
        <v>26700113.41</v>
      </c>
    </row>
    <row r="8490" spans="1:1" x14ac:dyDescent="0.25">
      <c r="A8490" s="21">
        <v>3927349.05</v>
      </c>
    </row>
    <row r="8491" spans="1:1" x14ac:dyDescent="0.25">
      <c r="A8491" s="21">
        <v>38769969.380000003</v>
      </c>
    </row>
    <row r="8492" spans="1:1" x14ac:dyDescent="0.25">
      <c r="A8492" s="21">
        <v>100594396.45999999</v>
      </c>
    </row>
    <row r="8493" spans="1:1" x14ac:dyDescent="0.25">
      <c r="A8493" s="21">
        <v>5930343.75</v>
      </c>
    </row>
    <row r="8494" spans="1:1" x14ac:dyDescent="0.25">
      <c r="A8494" s="21">
        <v>13814969.189999999</v>
      </c>
    </row>
    <row r="8495" spans="1:1" x14ac:dyDescent="0.25">
      <c r="A8495" s="21">
        <v>5885468.25</v>
      </c>
    </row>
    <row r="8496" spans="1:1" x14ac:dyDescent="0.25">
      <c r="A8496" s="21">
        <v>150720449.44</v>
      </c>
    </row>
    <row r="8497" spans="1:1" x14ac:dyDescent="0.25">
      <c r="A8497" s="21">
        <v>76936681.359999999</v>
      </c>
    </row>
    <row r="8498" spans="1:1" x14ac:dyDescent="0.25">
      <c r="A8498" s="21">
        <v>61412701.960000001</v>
      </c>
    </row>
    <row r="8499" spans="1:1" x14ac:dyDescent="0.25">
      <c r="A8499" s="21">
        <v>24445406.469999999</v>
      </c>
    </row>
    <row r="8500" spans="1:1" x14ac:dyDescent="0.25">
      <c r="A8500" s="21">
        <v>93195468.310000002</v>
      </c>
    </row>
    <row r="8501" spans="1:1" x14ac:dyDescent="0.25">
      <c r="A8501" s="21">
        <v>183674492.41</v>
      </c>
    </row>
    <row r="8502" spans="1:1" x14ac:dyDescent="0.25">
      <c r="A8502" s="21">
        <v>30257040.210000001</v>
      </c>
    </row>
    <row r="8503" spans="1:1" x14ac:dyDescent="0.25">
      <c r="A8503" s="21">
        <v>29278924.359999999</v>
      </c>
    </row>
    <row r="8504" spans="1:1" x14ac:dyDescent="0.25">
      <c r="A8504" s="21">
        <v>7369925.6299999999</v>
      </c>
    </row>
    <row r="8505" spans="1:1" x14ac:dyDescent="0.25">
      <c r="A8505" s="21">
        <v>63883317.130000003</v>
      </c>
    </row>
    <row r="8506" spans="1:1" x14ac:dyDescent="0.25">
      <c r="A8506" s="21">
        <v>16446151.09</v>
      </c>
    </row>
    <row r="8507" spans="1:1" x14ac:dyDescent="0.25">
      <c r="A8507">
        <v>0</v>
      </c>
    </row>
    <row r="8508" spans="1:1" x14ac:dyDescent="0.25">
      <c r="A8508" s="21">
        <v>31168075.039999999</v>
      </c>
    </row>
    <row r="8509" spans="1:1" x14ac:dyDescent="0.25">
      <c r="A8509" s="21">
        <v>108325177.84999999</v>
      </c>
    </row>
    <row r="8510" spans="1:1" x14ac:dyDescent="0.25">
      <c r="A8510" s="21">
        <v>3268211.09</v>
      </c>
    </row>
    <row r="8511" spans="1:1" x14ac:dyDescent="0.25">
      <c r="A8511" s="21">
        <v>3203634.48</v>
      </c>
    </row>
    <row r="8512" spans="1:1" x14ac:dyDescent="0.25">
      <c r="A8512" s="21">
        <v>41214442.899999999</v>
      </c>
    </row>
    <row r="8513" spans="1:1" x14ac:dyDescent="0.25">
      <c r="A8513">
        <v>0</v>
      </c>
    </row>
    <row r="8514" spans="1:1" x14ac:dyDescent="0.25">
      <c r="A8514" s="21">
        <v>22044887.370000001</v>
      </c>
    </row>
    <row r="8515" spans="1:1" x14ac:dyDescent="0.25">
      <c r="A8515" s="21">
        <v>129421884.22</v>
      </c>
    </row>
    <row r="8516" spans="1:1" x14ac:dyDescent="0.25">
      <c r="A8516" s="21">
        <v>11336405.359999999</v>
      </c>
    </row>
    <row r="8517" spans="1:1" x14ac:dyDescent="0.25">
      <c r="A8517" s="21">
        <v>30570375.82</v>
      </c>
    </row>
    <row r="8518" spans="1:1" x14ac:dyDescent="0.25">
      <c r="A8518" s="21">
        <v>35832924.979999997</v>
      </c>
    </row>
    <row r="8519" spans="1:1" x14ac:dyDescent="0.25">
      <c r="A8519" s="21">
        <v>8867807.9000000004</v>
      </c>
    </row>
    <row r="8520" spans="1:1" x14ac:dyDescent="0.25">
      <c r="A8520" s="21">
        <v>81045516.009999901</v>
      </c>
    </row>
    <row r="8521" spans="1:1" x14ac:dyDescent="0.25">
      <c r="A8521" s="21">
        <v>10021201.630000001</v>
      </c>
    </row>
    <row r="8522" spans="1:1" x14ac:dyDescent="0.25">
      <c r="A8522" s="21">
        <v>84784631.799999997</v>
      </c>
    </row>
    <row r="8523" spans="1:1" x14ac:dyDescent="0.25">
      <c r="A8523">
        <v>0</v>
      </c>
    </row>
    <row r="8524" spans="1:1" x14ac:dyDescent="0.25">
      <c r="A8524" s="21">
        <v>296917331.67000002</v>
      </c>
    </row>
    <row r="8525" spans="1:1" x14ac:dyDescent="0.25">
      <c r="A8525" s="21">
        <v>49842307.880000003</v>
      </c>
    </row>
    <row r="8526" spans="1:1" x14ac:dyDescent="0.25">
      <c r="A8526" s="21">
        <v>40198182.710000001</v>
      </c>
    </row>
    <row r="8527" spans="1:1" x14ac:dyDescent="0.25">
      <c r="A8527">
        <v>0</v>
      </c>
    </row>
    <row r="8528" spans="1:1" x14ac:dyDescent="0.25">
      <c r="A8528" s="21">
        <v>200516865.63</v>
      </c>
    </row>
    <row r="8529" spans="1:1" x14ac:dyDescent="0.25">
      <c r="A8529" s="21">
        <v>112258434.89</v>
      </c>
    </row>
    <row r="8530" spans="1:1" x14ac:dyDescent="0.25">
      <c r="A8530" s="21">
        <v>7632680.8700000001</v>
      </c>
    </row>
    <row r="8531" spans="1:1" x14ac:dyDescent="0.25">
      <c r="A8531" s="21">
        <v>149104145.49000001</v>
      </c>
    </row>
    <row r="8532" spans="1:1" x14ac:dyDescent="0.25">
      <c r="A8532" s="21">
        <v>67848928.849999994</v>
      </c>
    </row>
    <row r="8533" spans="1:1" x14ac:dyDescent="0.25">
      <c r="A8533" s="21">
        <v>136038650.86000001</v>
      </c>
    </row>
    <row r="8534" spans="1:1" x14ac:dyDescent="0.25">
      <c r="A8534" s="21">
        <v>14857941.49</v>
      </c>
    </row>
    <row r="8535" spans="1:1" x14ac:dyDescent="0.25">
      <c r="A8535" s="21">
        <v>92607919.569999903</v>
      </c>
    </row>
    <row r="8536" spans="1:1" x14ac:dyDescent="0.25">
      <c r="A8536" s="21">
        <v>250414882.66</v>
      </c>
    </row>
    <row r="8537" spans="1:1" x14ac:dyDescent="0.25">
      <c r="A8537" s="21">
        <v>74083618.900000006</v>
      </c>
    </row>
    <row r="8538" spans="1:1" x14ac:dyDescent="0.25">
      <c r="A8538" s="21">
        <v>72825693.659999996</v>
      </c>
    </row>
    <row r="8539" spans="1:1" x14ac:dyDescent="0.25">
      <c r="A8539" s="21">
        <v>186531551.31999999</v>
      </c>
    </row>
    <row r="8540" spans="1:1" x14ac:dyDescent="0.25">
      <c r="A8540">
        <v>0</v>
      </c>
    </row>
    <row r="8541" spans="1:1" x14ac:dyDescent="0.25">
      <c r="A8541" s="21">
        <v>17702186.300000001</v>
      </c>
    </row>
    <row r="8542" spans="1:1" x14ac:dyDescent="0.25">
      <c r="A8542" s="21">
        <v>23721601.859999999</v>
      </c>
    </row>
    <row r="8543" spans="1:1" x14ac:dyDescent="0.25">
      <c r="A8543" s="21">
        <v>188933872.41999999</v>
      </c>
    </row>
    <row r="8544" spans="1:1" x14ac:dyDescent="0.25">
      <c r="A8544" s="21">
        <v>106504910.06999999</v>
      </c>
    </row>
    <row r="8545" spans="1:1" x14ac:dyDescent="0.25">
      <c r="A8545" s="21">
        <v>103734703.06</v>
      </c>
    </row>
    <row r="8546" spans="1:1" x14ac:dyDescent="0.25">
      <c r="A8546" s="21">
        <v>226189923.53999999</v>
      </c>
    </row>
    <row r="8547" spans="1:1" x14ac:dyDescent="0.25">
      <c r="A8547" s="21">
        <v>115865248.59</v>
      </c>
    </row>
    <row r="8548" spans="1:1" x14ac:dyDescent="0.25">
      <c r="A8548" s="21">
        <v>16466027.07</v>
      </c>
    </row>
    <row r="8549" spans="1:1" x14ac:dyDescent="0.25">
      <c r="A8549" s="21">
        <v>285702432.76999998</v>
      </c>
    </row>
    <row r="8550" spans="1:1" x14ac:dyDescent="0.25">
      <c r="A8550" s="21">
        <v>34414539.090000004</v>
      </c>
    </row>
    <row r="8551" spans="1:1" x14ac:dyDescent="0.25">
      <c r="A8551" s="21">
        <v>146964644.97999999</v>
      </c>
    </row>
    <row r="8552" spans="1:1" x14ac:dyDescent="0.25">
      <c r="A8552" s="21">
        <v>64742517.159999996</v>
      </c>
    </row>
    <row r="8553" spans="1:1" x14ac:dyDescent="0.25">
      <c r="A8553" s="21">
        <v>17911683.890000001</v>
      </c>
    </row>
    <row r="8554" spans="1:1" x14ac:dyDescent="0.25">
      <c r="A8554" s="21">
        <v>94220440.75</v>
      </c>
    </row>
    <row r="8555" spans="1:1" x14ac:dyDescent="0.25">
      <c r="A8555" s="21">
        <v>135028839.68000001</v>
      </c>
    </row>
    <row r="8556" spans="1:1" x14ac:dyDescent="0.25">
      <c r="A8556" s="21">
        <v>45170180.030000001</v>
      </c>
    </row>
    <row r="8557" spans="1:1" x14ac:dyDescent="0.25">
      <c r="A8557" s="21">
        <v>475878423.04000002</v>
      </c>
    </row>
    <row r="8558" spans="1:1" x14ac:dyDescent="0.25">
      <c r="A8558" s="21">
        <v>272701692.63999999</v>
      </c>
    </row>
    <row r="8559" spans="1:1" x14ac:dyDescent="0.25">
      <c r="A8559" s="21">
        <v>63410051.759999998</v>
      </c>
    </row>
    <row r="8560" spans="1:1" x14ac:dyDescent="0.25">
      <c r="A8560" s="21">
        <v>9704556.9299999997</v>
      </c>
    </row>
    <row r="8561" spans="1:1" x14ac:dyDescent="0.25">
      <c r="A8561" s="21">
        <v>65388983.979999997</v>
      </c>
    </row>
    <row r="8562" spans="1:1" x14ac:dyDescent="0.25">
      <c r="A8562" s="21">
        <v>16027067.17</v>
      </c>
    </row>
    <row r="8563" spans="1:1" x14ac:dyDescent="0.25">
      <c r="A8563" s="21">
        <v>10895409.35</v>
      </c>
    </row>
    <row r="8564" spans="1:1" x14ac:dyDescent="0.25">
      <c r="A8564" s="21">
        <v>54938817.090000004</v>
      </c>
    </row>
    <row r="8565" spans="1:1" x14ac:dyDescent="0.25">
      <c r="A8565" s="21">
        <v>98517043.239999995</v>
      </c>
    </row>
    <row r="8566" spans="1:1" x14ac:dyDescent="0.25">
      <c r="A8566" s="21">
        <v>17992708.5</v>
      </c>
    </row>
    <row r="8567" spans="1:1" x14ac:dyDescent="0.25">
      <c r="A8567" s="21">
        <v>99476713.879999995</v>
      </c>
    </row>
    <row r="8568" spans="1:1" x14ac:dyDescent="0.25">
      <c r="A8568" s="21">
        <v>68830796.650000006</v>
      </c>
    </row>
    <row r="8569" spans="1:1" x14ac:dyDescent="0.25">
      <c r="A8569" s="21">
        <v>64441209.509999998</v>
      </c>
    </row>
    <row r="8570" spans="1:1" x14ac:dyDescent="0.25">
      <c r="A8570" s="21">
        <v>100209372.64</v>
      </c>
    </row>
    <row r="8571" spans="1:1" x14ac:dyDescent="0.25">
      <c r="A8571" s="21">
        <v>17444687.489999998</v>
      </c>
    </row>
    <row r="8572" spans="1:1" x14ac:dyDescent="0.25">
      <c r="A8572" s="21">
        <v>18803808.75</v>
      </c>
    </row>
    <row r="8573" spans="1:1" x14ac:dyDescent="0.25">
      <c r="A8573" s="21">
        <v>17584716.23</v>
      </c>
    </row>
    <row r="8574" spans="1:1" x14ac:dyDescent="0.25">
      <c r="A8574">
        <v>0</v>
      </c>
    </row>
    <row r="8575" spans="1:1" x14ac:dyDescent="0.25">
      <c r="A8575" s="21">
        <v>23051731.140000001</v>
      </c>
    </row>
    <row r="8576" spans="1:1" x14ac:dyDescent="0.25">
      <c r="A8576" s="21">
        <v>37299176.039999999</v>
      </c>
    </row>
    <row r="8577" spans="1:1" x14ac:dyDescent="0.25">
      <c r="A8577" s="21">
        <v>15008802.35</v>
      </c>
    </row>
    <row r="8578" spans="1:1" x14ac:dyDescent="0.25">
      <c r="A8578" s="21">
        <v>158611347.22</v>
      </c>
    </row>
    <row r="8579" spans="1:1" x14ac:dyDescent="0.25">
      <c r="A8579" s="21">
        <v>136197064.78</v>
      </c>
    </row>
    <row r="8580" spans="1:1" x14ac:dyDescent="0.25">
      <c r="A8580" s="21">
        <v>112438352.48</v>
      </c>
    </row>
    <row r="8581" spans="1:1" x14ac:dyDescent="0.25">
      <c r="A8581" s="21">
        <v>17534020.760000002</v>
      </c>
    </row>
    <row r="8582" spans="1:1" x14ac:dyDescent="0.25">
      <c r="A8582" s="21">
        <v>124955395.01000001</v>
      </c>
    </row>
    <row r="8583" spans="1:1" x14ac:dyDescent="0.25">
      <c r="A8583" s="21">
        <v>38068132.609999999</v>
      </c>
    </row>
    <row r="8584" spans="1:1" x14ac:dyDescent="0.25">
      <c r="A8584" s="21">
        <v>343822648.62</v>
      </c>
    </row>
    <row r="8585" spans="1:1" x14ac:dyDescent="0.25">
      <c r="A8585" s="21">
        <v>54047283.280000001</v>
      </c>
    </row>
    <row r="8586" spans="1:1" x14ac:dyDescent="0.25">
      <c r="A8586" s="21">
        <v>29950719.75</v>
      </c>
    </row>
    <row r="8587" spans="1:1" x14ac:dyDescent="0.25">
      <c r="A8587">
        <v>5838159</v>
      </c>
    </row>
    <row r="8588" spans="1:1" x14ac:dyDescent="0.25">
      <c r="A8588" s="21">
        <v>23791553.050000001</v>
      </c>
    </row>
    <row r="8589" spans="1:1" x14ac:dyDescent="0.25">
      <c r="A8589" s="21">
        <v>69704430.439999998</v>
      </c>
    </row>
    <row r="8590" spans="1:1" x14ac:dyDescent="0.25">
      <c r="A8590" s="21">
        <v>21133343.93</v>
      </c>
    </row>
    <row r="8591" spans="1:1" x14ac:dyDescent="0.25">
      <c r="A8591">
        <v>0</v>
      </c>
    </row>
    <row r="8592" spans="1:1" x14ac:dyDescent="0.25">
      <c r="A8592" s="21">
        <v>131595185.3</v>
      </c>
    </row>
    <row r="8593" spans="1:1" x14ac:dyDescent="0.25">
      <c r="A8593" s="21">
        <v>28261964.890000001</v>
      </c>
    </row>
    <row r="8594" spans="1:1" x14ac:dyDescent="0.25">
      <c r="A8594" s="21">
        <v>22557902.460000001</v>
      </c>
    </row>
    <row r="8595" spans="1:1" x14ac:dyDescent="0.25">
      <c r="A8595" s="21">
        <v>174894658.83000001</v>
      </c>
    </row>
    <row r="8596" spans="1:1" x14ac:dyDescent="0.25">
      <c r="A8596" s="21">
        <v>29425528.41</v>
      </c>
    </row>
    <row r="8597" spans="1:1" x14ac:dyDescent="0.25">
      <c r="A8597" s="21">
        <v>149675044.31</v>
      </c>
    </row>
    <row r="8598" spans="1:1" x14ac:dyDescent="0.25">
      <c r="A8598" s="21">
        <v>12857553.75</v>
      </c>
    </row>
    <row r="8599" spans="1:1" x14ac:dyDescent="0.25">
      <c r="A8599" s="21">
        <v>15544179.17</v>
      </c>
    </row>
    <row r="8600" spans="1:1" x14ac:dyDescent="0.25">
      <c r="A8600" s="21">
        <v>11604755.77</v>
      </c>
    </row>
    <row r="8601" spans="1:1" x14ac:dyDescent="0.25">
      <c r="A8601" s="21">
        <v>2792159.34</v>
      </c>
    </row>
    <row r="8602" spans="1:1" x14ac:dyDescent="0.25">
      <c r="A8602" s="21">
        <v>49410830.07</v>
      </c>
    </row>
    <row r="8603" spans="1:1" x14ac:dyDescent="0.25">
      <c r="A8603" s="21">
        <v>214113228.63</v>
      </c>
    </row>
    <row r="8604" spans="1:1" x14ac:dyDescent="0.25">
      <c r="A8604" s="21">
        <v>18007417.190000001</v>
      </c>
    </row>
    <row r="8605" spans="1:1" x14ac:dyDescent="0.25">
      <c r="A8605" s="21">
        <v>281601872.62</v>
      </c>
    </row>
    <row r="8606" spans="1:1" x14ac:dyDescent="0.25">
      <c r="A8606" s="21">
        <v>9788189.2899999898</v>
      </c>
    </row>
    <row r="8607" spans="1:1" x14ac:dyDescent="0.25">
      <c r="A8607" s="21">
        <v>170912797.71000001</v>
      </c>
    </row>
    <row r="8608" spans="1:1" x14ac:dyDescent="0.25">
      <c r="A8608" s="21">
        <v>25780226.489999998</v>
      </c>
    </row>
    <row r="8609" spans="1:1" x14ac:dyDescent="0.25">
      <c r="A8609" s="21">
        <v>130804272.3</v>
      </c>
    </row>
    <row r="8610" spans="1:1" x14ac:dyDescent="0.25">
      <c r="A8610" s="21">
        <v>68396687.2299999</v>
      </c>
    </row>
    <row r="8611" spans="1:1" x14ac:dyDescent="0.25">
      <c r="A8611" s="21">
        <v>80122473.969999894</v>
      </c>
    </row>
    <row r="8612" spans="1:1" x14ac:dyDescent="0.25">
      <c r="A8612" s="21">
        <v>19401207.98</v>
      </c>
    </row>
    <row r="8613" spans="1:1" x14ac:dyDescent="0.25">
      <c r="A8613" s="21">
        <v>105520571.67</v>
      </c>
    </row>
    <row r="8614" spans="1:1" x14ac:dyDescent="0.25">
      <c r="A8614" s="21">
        <v>23832163.32</v>
      </c>
    </row>
    <row r="8615" spans="1:1" x14ac:dyDescent="0.25">
      <c r="A8615" s="21">
        <v>196111919.74000001</v>
      </c>
    </row>
    <row r="8616" spans="1:1" x14ac:dyDescent="0.25">
      <c r="A8616" s="21">
        <v>73930654.469999999</v>
      </c>
    </row>
    <row r="8617" spans="1:1" x14ac:dyDescent="0.25">
      <c r="A8617" s="21">
        <v>49793329.229999997</v>
      </c>
    </row>
    <row r="8618" spans="1:1" x14ac:dyDescent="0.25">
      <c r="A8618" s="21">
        <v>37739216.759999998</v>
      </c>
    </row>
    <row r="8619" spans="1:1" x14ac:dyDescent="0.25">
      <c r="A8619" s="21">
        <v>9422934.1300000008</v>
      </c>
    </row>
    <row r="8620" spans="1:1" x14ac:dyDescent="0.25">
      <c r="A8620" s="21">
        <v>51174196.229999997</v>
      </c>
    </row>
    <row r="8621" spans="1:1" x14ac:dyDescent="0.25">
      <c r="A8621" s="21">
        <v>65667441.189999998</v>
      </c>
    </row>
    <row r="8622" spans="1:1" x14ac:dyDescent="0.25">
      <c r="A8622" s="21">
        <v>10058896.18</v>
      </c>
    </row>
    <row r="8623" spans="1:1" x14ac:dyDescent="0.25">
      <c r="A8623" s="21">
        <v>30517203.629999999</v>
      </c>
    </row>
    <row r="8624" spans="1:1" x14ac:dyDescent="0.25">
      <c r="A8624" s="21">
        <v>29238552.170000002</v>
      </c>
    </row>
    <row r="8625" spans="1:1" x14ac:dyDescent="0.25">
      <c r="A8625" s="21">
        <v>413758707.92000002</v>
      </c>
    </row>
    <row r="8626" spans="1:1" x14ac:dyDescent="0.25">
      <c r="A8626" s="21">
        <v>184435421.41999999</v>
      </c>
    </row>
    <row r="8627" spans="1:1" x14ac:dyDescent="0.25">
      <c r="A8627" s="21">
        <v>19680602.260000002</v>
      </c>
    </row>
    <row r="8628" spans="1:1" x14ac:dyDescent="0.25">
      <c r="A8628" s="21">
        <v>65521177.189999998</v>
      </c>
    </row>
    <row r="8629" spans="1:1" x14ac:dyDescent="0.25">
      <c r="A8629" s="21">
        <v>277579399.79000002</v>
      </c>
    </row>
    <row r="8630" spans="1:1" x14ac:dyDescent="0.25">
      <c r="A8630" s="21">
        <v>34480130.060000002</v>
      </c>
    </row>
    <row r="8631" spans="1:1" x14ac:dyDescent="0.25">
      <c r="A8631" s="21">
        <v>21994953.68</v>
      </c>
    </row>
    <row r="8632" spans="1:1" x14ac:dyDescent="0.25">
      <c r="A8632" s="21">
        <v>13193879.25</v>
      </c>
    </row>
    <row r="8633" spans="1:1" x14ac:dyDescent="0.25">
      <c r="A8633" s="21">
        <v>294205741.94999999</v>
      </c>
    </row>
    <row r="8634" spans="1:1" x14ac:dyDescent="0.25">
      <c r="A8634" s="21">
        <v>19276426.09</v>
      </c>
    </row>
    <row r="8635" spans="1:1" x14ac:dyDescent="0.25">
      <c r="A8635" s="21">
        <v>165912857.91999999</v>
      </c>
    </row>
    <row r="8636" spans="1:1" x14ac:dyDescent="0.25">
      <c r="A8636" s="21">
        <v>6747712.71</v>
      </c>
    </row>
    <row r="8637" spans="1:1" x14ac:dyDescent="0.25">
      <c r="A8637" s="21">
        <v>69301326.349999994</v>
      </c>
    </row>
    <row r="8638" spans="1:1" x14ac:dyDescent="0.25">
      <c r="A8638">
        <v>5571081</v>
      </c>
    </row>
    <row r="8639" spans="1:1" x14ac:dyDescent="0.25">
      <c r="A8639" s="21">
        <v>176135701.25</v>
      </c>
    </row>
    <row r="8640" spans="1:1" x14ac:dyDescent="0.25">
      <c r="A8640" s="21">
        <v>27769478.93</v>
      </c>
    </row>
    <row r="8641" spans="1:1" x14ac:dyDescent="0.25">
      <c r="A8641" s="21">
        <v>13561742.15</v>
      </c>
    </row>
    <row r="8642" spans="1:1" x14ac:dyDescent="0.25">
      <c r="A8642" s="21">
        <v>20347533.25</v>
      </c>
    </row>
    <row r="8643" spans="1:1" x14ac:dyDescent="0.25">
      <c r="A8643" s="21">
        <v>6553889.25</v>
      </c>
    </row>
    <row r="8644" spans="1:1" x14ac:dyDescent="0.25">
      <c r="A8644" s="21">
        <v>189526254.38999999</v>
      </c>
    </row>
    <row r="8645" spans="1:1" x14ac:dyDescent="0.25">
      <c r="A8645" s="21">
        <v>41741820.829999998</v>
      </c>
    </row>
    <row r="8646" spans="1:1" x14ac:dyDescent="0.25">
      <c r="A8646" s="21">
        <v>23856176.079999998</v>
      </c>
    </row>
    <row r="8647" spans="1:1" x14ac:dyDescent="0.25">
      <c r="A8647" s="21">
        <v>170930279.22999999</v>
      </c>
    </row>
    <row r="8648" spans="1:1" x14ac:dyDescent="0.25">
      <c r="A8648" s="21">
        <v>121556942.81</v>
      </c>
    </row>
    <row r="8649" spans="1:1" x14ac:dyDescent="0.25">
      <c r="A8649" s="21">
        <v>42387201.159999996</v>
      </c>
    </row>
    <row r="8650" spans="1:1" x14ac:dyDescent="0.25">
      <c r="A8650" s="21">
        <v>21456249.48</v>
      </c>
    </row>
    <row r="8651" spans="1:1" x14ac:dyDescent="0.25">
      <c r="A8651" s="21">
        <v>28819517.219999999</v>
      </c>
    </row>
    <row r="8652" spans="1:1" x14ac:dyDescent="0.25">
      <c r="A8652">
        <v>0</v>
      </c>
    </row>
    <row r="8653" spans="1:1" x14ac:dyDescent="0.25">
      <c r="A8653" s="21">
        <v>119634040.98</v>
      </c>
    </row>
    <row r="8654" spans="1:1" x14ac:dyDescent="0.25">
      <c r="A8654" s="21">
        <v>201014932.94</v>
      </c>
    </row>
    <row r="8655" spans="1:1" x14ac:dyDescent="0.25">
      <c r="A8655" s="21">
        <v>61538216.43</v>
      </c>
    </row>
    <row r="8656" spans="1:1" x14ac:dyDescent="0.25">
      <c r="A8656" s="21">
        <v>12863673.710000001</v>
      </c>
    </row>
    <row r="8657" spans="1:1" x14ac:dyDescent="0.25">
      <c r="A8657" s="21">
        <v>43862959.899999999</v>
      </c>
    </row>
    <row r="8658" spans="1:1" x14ac:dyDescent="0.25">
      <c r="A8658" s="21">
        <v>83818330.870000005</v>
      </c>
    </row>
    <row r="8659" spans="1:1" x14ac:dyDescent="0.25">
      <c r="A8659" s="21">
        <v>5591055.75</v>
      </c>
    </row>
    <row r="8660" spans="1:1" x14ac:dyDescent="0.25">
      <c r="A8660" s="21">
        <v>216939602.58000001</v>
      </c>
    </row>
    <row r="8661" spans="1:1" x14ac:dyDescent="0.25">
      <c r="A8661" s="21">
        <v>33467299.100000001</v>
      </c>
    </row>
    <row r="8662" spans="1:1" x14ac:dyDescent="0.25">
      <c r="A8662" s="21">
        <v>127337571.42</v>
      </c>
    </row>
    <row r="8663" spans="1:1" x14ac:dyDescent="0.25">
      <c r="A8663" s="21">
        <v>98750865.060000002</v>
      </c>
    </row>
    <row r="8664" spans="1:1" x14ac:dyDescent="0.25">
      <c r="A8664" s="21">
        <v>11463933.93</v>
      </c>
    </row>
    <row r="8665" spans="1:1" x14ac:dyDescent="0.25">
      <c r="A8665" s="21">
        <v>141301970.91999999</v>
      </c>
    </row>
    <row r="8666" spans="1:1" x14ac:dyDescent="0.25">
      <c r="A8666" s="21">
        <v>44092292.729999997</v>
      </c>
    </row>
    <row r="8667" spans="1:1" x14ac:dyDescent="0.25">
      <c r="A8667" s="21">
        <v>9579087.2699999996</v>
      </c>
    </row>
    <row r="8668" spans="1:1" x14ac:dyDescent="0.25">
      <c r="A8668" s="21">
        <v>53215427.640000001</v>
      </c>
    </row>
    <row r="8669" spans="1:1" x14ac:dyDescent="0.25">
      <c r="A8669" s="21">
        <v>10956149.609999999</v>
      </c>
    </row>
    <row r="8670" spans="1:1" x14ac:dyDescent="0.25">
      <c r="A8670" s="21">
        <v>61796747.350000001</v>
      </c>
    </row>
    <row r="8671" spans="1:1" x14ac:dyDescent="0.25">
      <c r="A8671">
        <v>0</v>
      </c>
    </row>
    <row r="8672" spans="1:1" x14ac:dyDescent="0.25">
      <c r="A8672" s="21">
        <v>36582986.399999999</v>
      </c>
    </row>
    <row r="8673" spans="1:1" x14ac:dyDescent="0.25">
      <c r="A8673">
        <v>0</v>
      </c>
    </row>
    <row r="8674" spans="1:1" x14ac:dyDescent="0.25">
      <c r="A8674" s="21">
        <v>38495362.219999999</v>
      </c>
    </row>
    <row r="8675" spans="1:1" x14ac:dyDescent="0.25">
      <c r="A8675" s="21">
        <v>32089915.960000001</v>
      </c>
    </row>
    <row r="8676" spans="1:1" x14ac:dyDescent="0.25">
      <c r="A8676" s="21">
        <v>23072708.52</v>
      </c>
    </row>
    <row r="8677" spans="1:1" x14ac:dyDescent="0.25">
      <c r="A8677" s="21">
        <v>142591702.13999999</v>
      </c>
    </row>
    <row r="8678" spans="1:1" x14ac:dyDescent="0.25">
      <c r="A8678" s="21">
        <v>76418729.659999996</v>
      </c>
    </row>
    <row r="8679" spans="1:1" x14ac:dyDescent="0.25">
      <c r="A8679" s="21">
        <v>128306801.45999999</v>
      </c>
    </row>
    <row r="8680" spans="1:1" x14ac:dyDescent="0.25">
      <c r="A8680" s="21">
        <v>65747069.210000001</v>
      </c>
    </row>
    <row r="8681" spans="1:1" x14ac:dyDescent="0.25">
      <c r="A8681" s="21">
        <v>118623609.84</v>
      </c>
    </row>
    <row r="8682" spans="1:1" x14ac:dyDescent="0.25">
      <c r="A8682" s="21">
        <v>297000920.49000001</v>
      </c>
    </row>
    <row r="8683" spans="1:1" x14ac:dyDescent="0.25">
      <c r="A8683" s="21">
        <v>251122452.94</v>
      </c>
    </row>
    <row r="8684" spans="1:1" x14ac:dyDescent="0.25">
      <c r="A8684" s="21">
        <v>10552776.710000001</v>
      </c>
    </row>
    <row r="8685" spans="1:1" x14ac:dyDescent="0.25">
      <c r="A8685" s="21">
        <v>118647879.19</v>
      </c>
    </row>
    <row r="8686" spans="1:1" x14ac:dyDescent="0.25">
      <c r="A8686" s="21">
        <v>2823161.58</v>
      </c>
    </row>
    <row r="8687" spans="1:1" x14ac:dyDescent="0.25">
      <c r="A8687" s="21">
        <v>76806265.849999905</v>
      </c>
    </row>
    <row r="8688" spans="1:1" x14ac:dyDescent="0.25">
      <c r="A8688" s="21">
        <v>544351211.92999995</v>
      </c>
    </row>
    <row r="8689" spans="1:1" x14ac:dyDescent="0.25">
      <c r="A8689" s="21">
        <v>229187175.94</v>
      </c>
    </row>
    <row r="8690" spans="1:1" x14ac:dyDescent="0.25">
      <c r="A8690" s="21">
        <v>37629637.579999998</v>
      </c>
    </row>
    <row r="8691" spans="1:1" x14ac:dyDescent="0.25">
      <c r="A8691" s="21">
        <v>11423212.5</v>
      </c>
    </row>
    <row r="8692" spans="1:1" x14ac:dyDescent="0.25">
      <c r="A8692" s="21">
        <v>11229799.140000001</v>
      </c>
    </row>
    <row r="8693" spans="1:1" x14ac:dyDescent="0.25">
      <c r="A8693" s="21">
        <v>29041085.25</v>
      </c>
    </row>
    <row r="8694" spans="1:1" x14ac:dyDescent="0.25">
      <c r="A8694" s="21">
        <v>202881473.16</v>
      </c>
    </row>
    <row r="8695" spans="1:1" x14ac:dyDescent="0.25">
      <c r="A8695" s="21">
        <v>147834862.41</v>
      </c>
    </row>
    <row r="8696" spans="1:1" x14ac:dyDescent="0.25">
      <c r="A8696" s="21">
        <v>309116797.16000003</v>
      </c>
    </row>
    <row r="8697" spans="1:1" x14ac:dyDescent="0.25">
      <c r="A8697" s="21">
        <v>27591592.43</v>
      </c>
    </row>
    <row r="8698" spans="1:1" x14ac:dyDescent="0.25">
      <c r="A8698" s="21">
        <v>7261531.6900000004</v>
      </c>
    </row>
    <row r="8699" spans="1:1" x14ac:dyDescent="0.25">
      <c r="A8699" s="21">
        <v>13646637.75</v>
      </c>
    </row>
    <row r="8700" spans="1:1" x14ac:dyDescent="0.25">
      <c r="A8700" s="21">
        <v>19465679.649999999</v>
      </c>
    </row>
    <row r="8701" spans="1:1" x14ac:dyDescent="0.25">
      <c r="A8701" s="21">
        <v>23764798.809999999</v>
      </c>
    </row>
    <row r="8702" spans="1:1" x14ac:dyDescent="0.25">
      <c r="A8702" s="21">
        <v>187878945.93000001</v>
      </c>
    </row>
    <row r="8703" spans="1:1" x14ac:dyDescent="0.25">
      <c r="A8703" s="21">
        <v>35650802.82</v>
      </c>
    </row>
    <row r="8704" spans="1:1" x14ac:dyDescent="0.25">
      <c r="A8704" s="21">
        <v>25863637.530000001</v>
      </c>
    </row>
    <row r="8705" spans="1:1" x14ac:dyDescent="0.25">
      <c r="A8705" s="21">
        <v>23095231.07</v>
      </c>
    </row>
    <row r="8706" spans="1:1" x14ac:dyDescent="0.25">
      <c r="A8706" s="21">
        <v>76500421.890000001</v>
      </c>
    </row>
    <row r="8707" spans="1:1" x14ac:dyDescent="0.25">
      <c r="A8707" s="21">
        <v>62926510.200000003</v>
      </c>
    </row>
    <row r="8708" spans="1:1" x14ac:dyDescent="0.25">
      <c r="A8708" s="21">
        <v>23470581.98</v>
      </c>
    </row>
    <row r="8709" spans="1:1" x14ac:dyDescent="0.25">
      <c r="A8709" s="21">
        <v>3091954.86</v>
      </c>
    </row>
    <row r="8710" spans="1:1" x14ac:dyDescent="0.25">
      <c r="A8710" s="21">
        <v>286000561.80999899</v>
      </c>
    </row>
    <row r="8711" spans="1:1" x14ac:dyDescent="0.25">
      <c r="A8711" s="21">
        <v>27124767.359999999</v>
      </c>
    </row>
    <row r="8712" spans="1:1" x14ac:dyDescent="0.25">
      <c r="A8712" s="21">
        <v>38352976.640000001</v>
      </c>
    </row>
    <row r="8713" spans="1:1" x14ac:dyDescent="0.25">
      <c r="A8713" s="21">
        <v>4134813.88</v>
      </c>
    </row>
    <row r="8714" spans="1:1" x14ac:dyDescent="0.25">
      <c r="A8714" s="21">
        <v>52143634.340000004</v>
      </c>
    </row>
    <row r="8715" spans="1:1" x14ac:dyDescent="0.25">
      <c r="A8715" s="21">
        <v>271474185.18999898</v>
      </c>
    </row>
    <row r="8716" spans="1:1" x14ac:dyDescent="0.25">
      <c r="A8716" s="21">
        <v>101745687.70999999</v>
      </c>
    </row>
    <row r="8717" spans="1:1" x14ac:dyDescent="0.25">
      <c r="A8717" s="21">
        <v>6775277.8499999996</v>
      </c>
    </row>
    <row r="8718" spans="1:1" x14ac:dyDescent="0.25">
      <c r="A8718">
        <v>5557455</v>
      </c>
    </row>
    <row r="8719" spans="1:1" x14ac:dyDescent="0.25">
      <c r="A8719" s="21">
        <v>356885558.69999897</v>
      </c>
    </row>
    <row r="8720" spans="1:1" x14ac:dyDescent="0.25">
      <c r="A8720" s="21">
        <v>99408769.079999998</v>
      </c>
    </row>
    <row r="8721" spans="1:1" x14ac:dyDescent="0.25">
      <c r="A8721" s="21">
        <v>203964863.36000001</v>
      </c>
    </row>
    <row r="8722" spans="1:1" x14ac:dyDescent="0.25">
      <c r="A8722" s="21">
        <v>36501711.619999997</v>
      </c>
    </row>
    <row r="8723" spans="1:1" x14ac:dyDescent="0.25">
      <c r="A8723" s="21">
        <v>117408569.81999999</v>
      </c>
    </row>
    <row r="8724" spans="1:1" x14ac:dyDescent="0.25">
      <c r="A8724">
        <v>0</v>
      </c>
    </row>
    <row r="8725" spans="1:1" x14ac:dyDescent="0.25">
      <c r="A8725" s="21">
        <v>146986883.71000001</v>
      </c>
    </row>
    <row r="8726" spans="1:1" x14ac:dyDescent="0.25">
      <c r="A8726" s="21">
        <v>28652076.59</v>
      </c>
    </row>
    <row r="8727" spans="1:1" x14ac:dyDescent="0.25">
      <c r="A8727" s="21">
        <v>24803825.66</v>
      </c>
    </row>
    <row r="8728" spans="1:1" x14ac:dyDescent="0.25">
      <c r="A8728" s="21">
        <v>33731770.32</v>
      </c>
    </row>
    <row r="8729" spans="1:1" x14ac:dyDescent="0.25">
      <c r="A8729" s="21">
        <v>2722615.35</v>
      </c>
    </row>
    <row r="8730" spans="1:1" x14ac:dyDescent="0.25">
      <c r="A8730" s="21">
        <v>10092916.050000001</v>
      </c>
    </row>
    <row r="8731" spans="1:1" x14ac:dyDescent="0.25">
      <c r="A8731" s="21">
        <v>76979395.759999901</v>
      </c>
    </row>
    <row r="8732" spans="1:1" x14ac:dyDescent="0.25">
      <c r="A8732" s="21">
        <v>300181310.82999998</v>
      </c>
    </row>
    <row r="8733" spans="1:1" x14ac:dyDescent="0.25">
      <c r="A8733" s="21">
        <v>56389209.759999998</v>
      </c>
    </row>
    <row r="8734" spans="1:1" x14ac:dyDescent="0.25">
      <c r="A8734" s="21">
        <v>7473981.3200000003</v>
      </c>
    </row>
    <row r="8735" spans="1:1" x14ac:dyDescent="0.25">
      <c r="A8735" s="21">
        <v>238318707.87</v>
      </c>
    </row>
    <row r="8736" spans="1:1" x14ac:dyDescent="0.25">
      <c r="A8736" s="21">
        <v>416717067.75999999</v>
      </c>
    </row>
    <row r="8737" spans="1:1" x14ac:dyDescent="0.25">
      <c r="A8737" s="21">
        <v>16070201.23</v>
      </c>
    </row>
    <row r="8738" spans="1:1" x14ac:dyDescent="0.25">
      <c r="A8738" s="21">
        <v>48757638.530000001</v>
      </c>
    </row>
    <row r="8739" spans="1:1" x14ac:dyDescent="0.25">
      <c r="A8739" s="21">
        <v>48083581.229999997</v>
      </c>
    </row>
    <row r="8740" spans="1:1" x14ac:dyDescent="0.25">
      <c r="A8740" s="21">
        <v>4028686.55</v>
      </c>
    </row>
    <row r="8741" spans="1:1" x14ac:dyDescent="0.25">
      <c r="A8741" s="21">
        <v>38257707.159999996</v>
      </c>
    </row>
    <row r="8742" spans="1:1" x14ac:dyDescent="0.25">
      <c r="A8742">
        <v>0</v>
      </c>
    </row>
    <row r="8743" spans="1:1" x14ac:dyDescent="0.25">
      <c r="A8743" s="21">
        <v>137920976.47999999</v>
      </c>
    </row>
    <row r="8744" spans="1:1" x14ac:dyDescent="0.25">
      <c r="A8744" s="21">
        <v>158832988.97</v>
      </c>
    </row>
    <row r="8745" spans="1:1" x14ac:dyDescent="0.25">
      <c r="A8745" s="21">
        <v>10226407.77</v>
      </c>
    </row>
    <row r="8746" spans="1:1" x14ac:dyDescent="0.25">
      <c r="A8746" s="21">
        <v>19318885.93</v>
      </c>
    </row>
    <row r="8747" spans="1:1" x14ac:dyDescent="0.25">
      <c r="A8747" s="21">
        <v>65864170.380000003</v>
      </c>
    </row>
    <row r="8748" spans="1:1" x14ac:dyDescent="0.25">
      <c r="A8748" s="21">
        <v>7120264.2000000002</v>
      </c>
    </row>
    <row r="8749" spans="1:1" x14ac:dyDescent="0.25">
      <c r="A8749">
        <v>0</v>
      </c>
    </row>
    <row r="8750" spans="1:1" x14ac:dyDescent="0.25">
      <c r="A8750" s="21">
        <v>53619279.460000001</v>
      </c>
    </row>
    <row r="8751" spans="1:1" x14ac:dyDescent="0.25">
      <c r="A8751" s="21">
        <v>66093470.57</v>
      </c>
    </row>
    <row r="8752" spans="1:1" x14ac:dyDescent="0.25">
      <c r="A8752" s="21">
        <v>44691148.210000001</v>
      </c>
    </row>
    <row r="8753" spans="1:1" x14ac:dyDescent="0.25">
      <c r="A8753" s="21">
        <v>47277848.850000001</v>
      </c>
    </row>
    <row r="8754" spans="1:1" x14ac:dyDescent="0.25">
      <c r="A8754" s="21">
        <v>4041029.29</v>
      </c>
    </row>
    <row r="8755" spans="1:1" x14ac:dyDescent="0.25">
      <c r="A8755" s="21">
        <v>168944317.63</v>
      </c>
    </row>
    <row r="8756" spans="1:1" x14ac:dyDescent="0.25">
      <c r="A8756" s="21">
        <v>10062323.98</v>
      </c>
    </row>
    <row r="8757" spans="1:1" x14ac:dyDescent="0.25">
      <c r="A8757" s="21">
        <v>29634432.260000002</v>
      </c>
    </row>
    <row r="8758" spans="1:1" x14ac:dyDescent="0.25">
      <c r="A8758" s="21">
        <v>22529050.890000001</v>
      </c>
    </row>
    <row r="8759" spans="1:1" x14ac:dyDescent="0.25">
      <c r="A8759" s="21">
        <v>68994287.099999905</v>
      </c>
    </row>
    <row r="8760" spans="1:1" x14ac:dyDescent="0.25">
      <c r="A8760" s="21">
        <v>53440202.859999999</v>
      </c>
    </row>
    <row r="8761" spans="1:1" x14ac:dyDescent="0.25">
      <c r="A8761" s="21">
        <v>37960855.479999997</v>
      </c>
    </row>
    <row r="8762" spans="1:1" x14ac:dyDescent="0.25">
      <c r="A8762" s="21">
        <v>79760871.310000002</v>
      </c>
    </row>
    <row r="8763" spans="1:1" x14ac:dyDescent="0.25">
      <c r="A8763" s="21">
        <v>6565379.5800000001</v>
      </c>
    </row>
    <row r="8764" spans="1:1" x14ac:dyDescent="0.25">
      <c r="A8764" s="21">
        <v>191064836.72</v>
      </c>
    </row>
    <row r="8765" spans="1:1" x14ac:dyDescent="0.25">
      <c r="A8765" s="21">
        <v>20545033.960000001</v>
      </c>
    </row>
    <row r="8766" spans="1:1" x14ac:dyDescent="0.25">
      <c r="A8766" s="21">
        <v>62915424.259999998</v>
      </c>
    </row>
    <row r="8767" spans="1:1" x14ac:dyDescent="0.25">
      <c r="A8767" s="21">
        <v>83119736.109999999</v>
      </c>
    </row>
    <row r="8768" spans="1:1" x14ac:dyDescent="0.25">
      <c r="A8768" s="21">
        <v>6526705.1699999999</v>
      </c>
    </row>
    <row r="8769" spans="1:1" x14ac:dyDescent="0.25">
      <c r="A8769" s="21">
        <v>14015169.75</v>
      </c>
    </row>
    <row r="8770" spans="1:1" x14ac:dyDescent="0.25">
      <c r="A8770" s="21">
        <v>13272227.890000001</v>
      </c>
    </row>
    <row r="8771" spans="1:1" x14ac:dyDescent="0.25">
      <c r="A8771" s="21">
        <v>169746678.16999999</v>
      </c>
    </row>
    <row r="8772" spans="1:1" x14ac:dyDescent="0.25">
      <c r="A8772" s="21">
        <v>22985187.079999998</v>
      </c>
    </row>
    <row r="8773" spans="1:1" x14ac:dyDescent="0.25">
      <c r="A8773" s="21">
        <v>21801983.02</v>
      </c>
    </row>
    <row r="8774" spans="1:1" x14ac:dyDescent="0.25">
      <c r="A8774" s="21">
        <v>31252510.300000001</v>
      </c>
    </row>
    <row r="8775" spans="1:1" x14ac:dyDescent="0.25">
      <c r="A8775" s="21">
        <v>20845093.640000001</v>
      </c>
    </row>
    <row r="8776" spans="1:1" x14ac:dyDescent="0.25">
      <c r="A8776" s="21">
        <v>244080196.62</v>
      </c>
    </row>
    <row r="8777" spans="1:1" x14ac:dyDescent="0.25">
      <c r="A8777" s="21">
        <v>32693680.91</v>
      </c>
    </row>
    <row r="8778" spans="1:1" x14ac:dyDescent="0.25">
      <c r="A8778" s="21">
        <v>58655370.009999998</v>
      </c>
    </row>
    <row r="8779" spans="1:1" x14ac:dyDescent="0.25">
      <c r="A8779" s="21">
        <v>3250239.68</v>
      </c>
    </row>
    <row r="8780" spans="1:1" x14ac:dyDescent="0.25">
      <c r="A8780" s="21">
        <v>98194251.949999899</v>
      </c>
    </row>
    <row r="8781" spans="1:1" x14ac:dyDescent="0.25">
      <c r="A8781" s="21">
        <v>30333007.84</v>
      </c>
    </row>
    <row r="8782" spans="1:1" x14ac:dyDescent="0.25">
      <c r="A8782" s="21">
        <v>24784939.940000001</v>
      </c>
    </row>
    <row r="8783" spans="1:1" x14ac:dyDescent="0.25">
      <c r="A8783" s="21">
        <v>207154517.19999999</v>
      </c>
    </row>
    <row r="8784" spans="1:1" x14ac:dyDescent="0.25">
      <c r="A8784" s="21">
        <v>24380507.09</v>
      </c>
    </row>
    <row r="8785" spans="1:1" x14ac:dyDescent="0.25">
      <c r="A8785" s="21">
        <v>10596967.99</v>
      </c>
    </row>
    <row r="8786" spans="1:1" x14ac:dyDescent="0.25">
      <c r="A8786" s="21">
        <v>80651599.049999997</v>
      </c>
    </row>
    <row r="8787" spans="1:1" x14ac:dyDescent="0.25">
      <c r="A8787" s="21">
        <v>39414294.68</v>
      </c>
    </row>
    <row r="8788" spans="1:1" x14ac:dyDescent="0.25">
      <c r="A8788" s="21">
        <v>59020041.189999998</v>
      </c>
    </row>
    <row r="8789" spans="1:1" x14ac:dyDescent="0.25">
      <c r="A8789" s="21">
        <v>35887644.950000003</v>
      </c>
    </row>
    <row r="8790" spans="1:1" x14ac:dyDescent="0.25">
      <c r="A8790" s="21">
        <v>2843389.55</v>
      </c>
    </row>
    <row r="8791" spans="1:1" x14ac:dyDescent="0.25">
      <c r="A8791" s="21">
        <v>218400803.53999999</v>
      </c>
    </row>
    <row r="8792" spans="1:1" x14ac:dyDescent="0.25">
      <c r="A8792">
        <v>0</v>
      </c>
    </row>
    <row r="8793" spans="1:1" x14ac:dyDescent="0.25">
      <c r="A8793" s="21">
        <v>37791625.229999997</v>
      </c>
    </row>
    <row r="8794" spans="1:1" x14ac:dyDescent="0.25">
      <c r="A8794" s="21">
        <v>21400636.43</v>
      </c>
    </row>
    <row r="8795" spans="1:1" x14ac:dyDescent="0.25">
      <c r="A8795" s="21">
        <v>50819247.520000003</v>
      </c>
    </row>
    <row r="8796" spans="1:1" x14ac:dyDescent="0.25">
      <c r="A8796" s="21">
        <v>33886824.020000003</v>
      </c>
    </row>
    <row r="8797" spans="1:1" x14ac:dyDescent="0.25">
      <c r="A8797" s="21">
        <v>178968805.72999999</v>
      </c>
    </row>
    <row r="8798" spans="1:1" x14ac:dyDescent="0.25">
      <c r="A8798" s="21">
        <v>101369927.93000001</v>
      </c>
    </row>
    <row r="8799" spans="1:1" x14ac:dyDescent="0.25">
      <c r="A8799" s="21">
        <v>35968217.490000002</v>
      </c>
    </row>
    <row r="8800" spans="1:1" x14ac:dyDescent="0.25">
      <c r="A8800" s="21">
        <v>333268659.04000002</v>
      </c>
    </row>
    <row r="8801" spans="1:1" x14ac:dyDescent="0.25">
      <c r="A8801" s="21">
        <v>26437621.809999999</v>
      </c>
    </row>
    <row r="8802" spans="1:1" x14ac:dyDescent="0.25">
      <c r="A8802">
        <v>0</v>
      </c>
    </row>
    <row r="8803" spans="1:1" x14ac:dyDescent="0.25">
      <c r="A8803" s="21">
        <v>47737480.090000004</v>
      </c>
    </row>
    <row r="8804" spans="1:1" x14ac:dyDescent="0.25">
      <c r="A8804" s="21">
        <v>315140269.77999997</v>
      </c>
    </row>
    <row r="8805" spans="1:1" x14ac:dyDescent="0.25">
      <c r="A8805" s="21">
        <v>66607446.32</v>
      </c>
    </row>
    <row r="8806" spans="1:1" x14ac:dyDescent="0.25">
      <c r="A8806" s="21">
        <v>40004567.729999997</v>
      </c>
    </row>
    <row r="8807" spans="1:1" x14ac:dyDescent="0.25">
      <c r="A8807" s="21">
        <v>17105872.93</v>
      </c>
    </row>
    <row r="8808" spans="1:1" x14ac:dyDescent="0.25">
      <c r="A8808" s="21">
        <v>28538903.719999999</v>
      </c>
    </row>
    <row r="8809" spans="1:1" x14ac:dyDescent="0.25">
      <c r="A8809" s="21">
        <v>43330630.600000001</v>
      </c>
    </row>
    <row r="8810" spans="1:1" x14ac:dyDescent="0.25">
      <c r="A8810" s="21">
        <v>40507150.5</v>
      </c>
    </row>
    <row r="8811" spans="1:1" x14ac:dyDescent="0.25">
      <c r="A8811" s="21">
        <v>25370416.18</v>
      </c>
    </row>
    <row r="8812" spans="1:1" x14ac:dyDescent="0.25">
      <c r="A8812" s="21">
        <v>21385318.129999999</v>
      </c>
    </row>
    <row r="8813" spans="1:1" x14ac:dyDescent="0.25">
      <c r="A8813" s="21">
        <v>218668132.91</v>
      </c>
    </row>
    <row r="8814" spans="1:1" x14ac:dyDescent="0.25">
      <c r="A8814">
        <v>0</v>
      </c>
    </row>
    <row r="8815" spans="1:1" x14ac:dyDescent="0.25">
      <c r="A8815">
        <v>0</v>
      </c>
    </row>
    <row r="8816" spans="1:1" x14ac:dyDescent="0.25">
      <c r="A8816" s="21">
        <v>18828743.870000001</v>
      </c>
    </row>
    <row r="8817" spans="1:1" x14ac:dyDescent="0.25">
      <c r="A8817" s="21">
        <v>14943535.210000001</v>
      </c>
    </row>
    <row r="8818" spans="1:1" x14ac:dyDescent="0.25">
      <c r="A8818" s="21">
        <v>9450052.2100000009</v>
      </c>
    </row>
    <row r="8819" spans="1:1" x14ac:dyDescent="0.25">
      <c r="A8819" s="21">
        <v>4623034.84</v>
      </c>
    </row>
    <row r="8820" spans="1:1" x14ac:dyDescent="0.25">
      <c r="A8820" s="21">
        <v>70202187.260000005</v>
      </c>
    </row>
    <row r="8821" spans="1:1" x14ac:dyDescent="0.25">
      <c r="A8821" s="21">
        <v>13048159.17</v>
      </c>
    </row>
    <row r="8822" spans="1:1" x14ac:dyDescent="0.25">
      <c r="A8822" s="21">
        <v>11900755.289999999</v>
      </c>
    </row>
    <row r="8823" spans="1:1" x14ac:dyDescent="0.25">
      <c r="A8823" s="21">
        <v>44537661.420000002</v>
      </c>
    </row>
    <row r="8824" spans="1:1" x14ac:dyDescent="0.25">
      <c r="A8824" s="21">
        <v>10924493.380000001</v>
      </c>
    </row>
    <row r="8825" spans="1:1" x14ac:dyDescent="0.25">
      <c r="A8825" s="21">
        <v>31552137.34</v>
      </c>
    </row>
    <row r="8826" spans="1:1" x14ac:dyDescent="0.25">
      <c r="A8826" s="21">
        <v>18730630.579999998</v>
      </c>
    </row>
    <row r="8827" spans="1:1" x14ac:dyDescent="0.25">
      <c r="A8827" s="21">
        <v>22470177.609999999</v>
      </c>
    </row>
    <row r="8828" spans="1:1" x14ac:dyDescent="0.25">
      <c r="A8828" s="21">
        <v>112813749.45999999</v>
      </c>
    </row>
    <row r="8829" spans="1:1" x14ac:dyDescent="0.25">
      <c r="A8829" s="21">
        <v>30660617.350000001</v>
      </c>
    </row>
    <row r="8830" spans="1:1" x14ac:dyDescent="0.25">
      <c r="A8830" s="21">
        <v>83314235.149999902</v>
      </c>
    </row>
    <row r="8831" spans="1:1" x14ac:dyDescent="0.25">
      <c r="A8831" s="21">
        <v>45722828.450000003</v>
      </c>
    </row>
    <row r="8832" spans="1:1" x14ac:dyDescent="0.25">
      <c r="A8832" s="21">
        <v>47968197.390000001</v>
      </c>
    </row>
    <row r="8833" spans="1:1" x14ac:dyDescent="0.25">
      <c r="A8833" s="21">
        <v>231802112.75</v>
      </c>
    </row>
    <row r="8834" spans="1:1" x14ac:dyDescent="0.25">
      <c r="A8834" s="21">
        <v>9796788.7400000002</v>
      </c>
    </row>
    <row r="8835" spans="1:1" x14ac:dyDescent="0.25">
      <c r="A8835" s="21">
        <v>85465696.310000002</v>
      </c>
    </row>
    <row r="8836" spans="1:1" x14ac:dyDescent="0.25">
      <c r="A8836">
        <v>0</v>
      </c>
    </row>
    <row r="8837" spans="1:1" x14ac:dyDescent="0.25">
      <c r="A8837" s="21">
        <v>99238606.379999995</v>
      </c>
    </row>
    <row r="8838" spans="1:1" x14ac:dyDescent="0.25">
      <c r="A8838" s="21">
        <v>99519444.439999998</v>
      </c>
    </row>
    <row r="8839" spans="1:1" x14ac:dyDescent="0.25">
      <c r="A8839" s="21">
        <v>98938462.489999905</v>
      </c>
    </row>
    <row r="8840" spans="1:1" x14ac:dyDescent="0.25">
      <c r="A8840" s="21">
        <v>147737262.03</v>
      </c>
    </row>
    <row r="8841" spans="1:1" x14ac:dyDescent="0.25">
      <c r="A8841" s="21">
        <v>29636124.600000001</v>
      </c>
    </row>
    <row r="8842" spans="1:1" x14ac:dyDescent="0.25">
      <c r="A8842" s="21">
        <v>237041493.93000001</v>
      </c>
    </row>
    <row r="8843" spans="1:1" x14ac:dyDescent="0.25">
      <c r="A8843" s="21">
        <v>4284278.1500000004</v>
      </c>
    </row>
    <row r="8844" spans="1:1" x14ac:dyDescent="0.25">
      <c r="A8844" s="21">
        <v>78866647.760000005</v>
      </c>
    </row>
    <row r="8845" spans="1:1" x14ac:dyDescent="0.25">
      <c r="A8845" s="21">
        <v>232832779.84</v>
      </c>
    </row>
    <row r="8846" spans="1:1" x14ac:dyDescent="0.25">
      <c r="A8846" s="21">
        <v>103481933.81999999</v>
      </c>
    </row>
    <row r="8847" spans="1:1" x14ac:dyDescent="0.25">
      <c r="A8847" s="21">
        <v>5976583.5</v>
      </c>
    </row>
    <row r="8848" spans="1:1" x14ac:dyDescent="0.25">
      <c r="A8848" s="21">
        <v>6873111.75</v>
      </c>
    </row>
    <row r="8849" spans="1:1" x14ac:dyDescent="0.25">
      <c r="A8849" s="21">
        <v>53955064.630000003</v>
      </c>
    </row>
    <row r="8850" spans="1:1" x14ac:dyDescent="0.25">
      <c r="A8850" s="21">
        <v>111119518.66</v>
      </c>
    </row>
    <row r="8851" spans="1:1" x14ac:dyDescent="0.25">
      <c r="A8851" s="21">
        <v>29540383.780000001</v>
      </c>
    </row>
    <row r="8852" spans="1:1" x14ac:dyDescent="0.25">
      <c r="A8852" s="21">
        <v>25746776.670000002</v>
      </c>
    </row>
    <row r="8853" spans="1:1" x14ac:dyDescent="0.25">
      <c r="A8853" s="21">
        <v>3905087.63</v>
      </c>
    </row>
    <row r="8854" spans="1:1" x14ac:dyDescent="0.25">
      <c r="A8854" s="21">
        <v>6873111.75</v>
      </c>
    </row>
    <row r="8855" spans="1:1" x14ac:dyDescent="0.25">
      <c r="A8855" s="21">
        <v>15380872.310000001</v>
      </c>
    </row>
    <row r="8856" spans="1:1" x14ac:dyDescent="0.25">
      <c r="A8856" s="21">
        <v>119763591.81999999</v>
      </c>
    </row>
    <row r="8857" spans="1:1" x14ac:dyDescent="0.25">
      <c r="A8857" s="21">
        <v>239638484.24000001</v>
      </c>
    </row>
    <row r="8858" spans="1:1" x14ac:dyDescent="0.25">
      <c r="A8858" s="21">
        <v>118252698.87</v>
      </c>
    </row>
    <row r="8859" spans="1:1" x14ac:dyDescent="0.25">
      <c r="A8859" s="21">
        <v>20020838.140000001</v>
      </c>
    </row>
    <row r="8860" spans="1:1" x14ac:dyDescent="0.25">
      <c r="A8860" s="21">
        <v>30315471.579999998</v>
      </c>
    </row>
    <row r="8861" spans="1:1" x14ac:dyDescent="0.25">
      <c r="A8861" s="21">
        <v>30396554.190000001</v>
      </c>
    </row>
    <row r="8862" spans="1:1" x14ac:dyDescent="0.25">
      <c r="A8862" s="21">
        <v>15296774.689999999</v>
      </c>
    </row>
    <row r="8863" spans="1:1" x14ac:dyDescent="0.25">
      <c r="A8863" s="21">
        <v>38481707.039999999</v>
      </c>
    </row>
    <row r="8864" spans="1:1" x14ac:dyDescent="0.25">
      <c r="A8864" s="21">
        <v>43921622.229999997</v>
      </c>
    </row>
    <row r="8865" spans="1:1" x14ac:dyDescent="0.25">
      <c r="A8865" s="21">
        <v>18005198.809999999</v>
      </c>
    </row>
    <row r="8866" spans="1:1" x14ac:dyDescent="0.25">
      <c r="A8866" s="21">
        <v>7353406.7800000003</v>
      </c>
    </row>
    <row r="8867" spans="1:1" x14ac:dyDescent="0.25">
      <c r="A8867" s="21">
        <v>518295302.79000002</v>
      </c>
    </row>
    <row r="8868" spans="1:1" x14ac:dyDescent="0.25">
      <c r="A8868" s="21">
        <v>40095947.859999999</v>
      </c>
    </row>
    <row r="8869" spans="1:1" x14ac:dyDescent="0.25">
      <c r="A8869" s="21">
        <v>57623340.899999999</v>
      </c>
    </row>
    <row r="8870" spans="1:1" x14ac:dyDescent="0.25">
      <c r="A8870" s="21">
        <v>26068680.079999998</v>
      </c>
    </row>
    <row r="8871" spans="1:1" x14ac:dyDescent="0.25">
      <c r="A8871" s="21">
        <v>47637391.890000001</v>
      </c>
    </row>
    <row r="8872" spans="1:1" x14ac:dyDescent="0.25">
      <c r="A8872" s="21">
        <v>224566177.88</v>
      </c>
    </row>
    <row r="8873" spans="1:1" x14ac:dyDescent="0.25">
      <c r="A8873" s="21">
        <v>299562702.17000002</v>
      </c>
    </row>
    <row r="8874" spans="1:1" x14ac:dyDescent="0.25">
      <c r="A8874" s="21">
        <v>44498832.049999997</v>
      </c>
    </row>
    <row r="8875" spans="1:1" x14ac:dyDescent="0.25">
      <c r="A8875" s="21">
        <v>9009369.9299999997</v>
      </c>
    </row>
    <row r="8876" spans="1:1" x14ac:dyDescent="0.25">
      <c r="A8876" s="21">
        <v>36910524.130000003</v>
      </c>
    </row>
    <row r="8877" spans="1:1" x14ac:dyDescent="0.25">
      <c r="A8877" s="21">
        <v>40536547.299999997</v>
      </c>
    </row>
    <row r="8878" spans="1:1" x14ac:dyDescent="0.25">
      <c r="A8878" s="21">
        <v>43231446.280000001</v>
      </c>
    </row>
    <row r="8879" spans="1:1" x14ac:dyDescent="0.25">
      <c r="A8879" s="21">
        <v>42987004.32</v>
      </c>
    </row>
    <row r="8880" spans="1:1" x14ac:dyDescent="0.25">
      <c r="A8880" s="21">
        <v>41153404.350000001</v>
      </c>
    </row>
    <row r="8881" spans="1:1" x14ac:dyDescent="0.25">
      <c r="A8881" s="21">
        <v>44207658.719999999</v>
      </c>
    </row>
    <row r="8882" spans="1:1" x14ac:dyDescent="0.25">
      <c r="A8882" s="21">
        <v>99455627.590000004</v>
      </c>
    </row>
    <row r="8883" spans="1:1" x14ac:dyDescent="0.25">
      <c r="A8883" s="21">
        <v>58467974.270000003</v>
      </c>
    </row>
    <row r="8884" spans="1:1" x14ac:dyDescent="0.25">
      <c r="A8884" s="21">
        <v>76053056.650000006</v>
      </c>
    </row>
    <row r="8885" spans="1:1" x14ac:dyDescent="0.25">
      <c r="A8885" s="21">
        <v>29404290.75</v>
      </c>
    </row>
    <row r="8886" spans="1:1" x14ac:dyDescent="0.25">
      <c r="A8886" s="21">
        <v>54032658.670000002</v>
      </c>
    </row>
    <row r="8887" spans="1:1" x14ac:dyDescent="0.25">
      <c r="A8887" s="21">
        <v>129074744.36</v>
      </c>
    </row>
    <row r="8888" spans="1:1" x14ac:dyDescent="0.25">
      <c r="A8888">
        <v>5966655</v>
      </c>
    </row>
    <row r="8889" spans="1:1" x14ac:dyDescent="0.25">
      <c r="A8889" s="21">
        <v>11106320.710000001</v>
      </c>
    </row>
    <row r="8890" spans="1:1" x14ac:dyDescent="0.25">
      <c r="A8890" s="21">
        <v>146294744.25999999</v>
      </c>
    </row>
    <row r="8891" spans="1:1" x14ac:dyDescent="0.25">
      <c r="A8891" s="21">
        <v>17842679.460000001</v>
      </c>
    </row>
    <row r="8892" spans="1:1" x14ac:dyDescent="0.25">
      <c r="A8892" s="21">
        <v>81798295.069999993</v>
      </c>
    </row>
    <row r="8893" spans="1:1" x14ac:dyDescent="0.25">
      <c r="A8893" s="21">
        <v>40793374.789999999</v>
      </c>
    </row>
    <row r="8894" spans="1:1" x14ac:dyDescent="0.25">
      <c r="A8894" s="21">
        <v>152060056.34</v>
      </c>
    </row>
    <row r="8895" spans="1:1" x14ac:dyDescent="0.25">
      <c r="A8895" s="21">
        <v>16280670.380000001</v>
      </c>
    </row>
    <row r="8896" spans="1:1" x14ac:dyDescent="0.25">
      <c r="A8896" s="21">
        <v>161364866.99000001</v>
      </c>
    </row>
    <row r="8897" spans="1:1" x14ac:dyDescent="0.25">
      <c r="A8897" s="21">
        <v>142589356.44</v>
      </c>
    </row>
    <row r="8898" spans="1:1" x14ac:dyDescent="0.25">
      <c r="A8898" s="21">
        <v>140675766.49000001</v>
      </c>
    </row>
    <row r="8899" spans="1:1" x14ac:dyDescent="0.25">
      <c r="A8899" s="21">
        <v>27159005.800000001</v>
      </c>
    </row>
    <row r="8900" spans="1:1" x14ac:dyDescent="0.25">
      <c r="A8900" s="21">
        <v>6859812.75</v>
      </c>
    </row>
    <row r="8901" spans="1:1" x14ac:dyDescent="0.25">
      <c r="A8901" s="21">
        <v>15455966.199999999</v>
      </c>
    </row>
    <row r="8902" spans="1:1" x14ac:dyDescent="0.25">
      <c r="A8902" s="21">
        <v>14715716.52</v>
      </c>
    </row>
    <row r="8903" spans="1:1" x14ac:dyDescent="0.25">
      <c r="A8903" s="21">
        <v>19573236.539999999</v>
      </c>
    </row>
    <row r="8904" spans="1:1" x14ac:dyDescent="0.25">
      <c r="A8904" s="21">
        <v>9847925.1500000004</v>
      </c>
    </row>
    <row r="8905" spans="1:1" x14ac:dyDescent="0.25">
      <c r="A8905" s="21">
        <v>2910052.54</v>
      </c>
    </row>
    <row r="8906" spans="1:1" x14ac:dyDescent="0.25">
      <c r="A8906" s="21">
        <v>76136805.709999904</v>
      </c>
    </row>
    <row r="8907" spans="1:1" x14ac:dyDescent="0.25">
      <c r="A8907" s="21">
        <v>23615264.16</v>
      </c>
    </row>
    <row r="8908" spans="1:1" x14ac:dyDescent="0.25">
      <c r="A8908" s="21">
        <v>33251842.190000001</v>
      </c>
    </row>
    <row r="8909" spans="1:1" x14ac:dyDescent="0.25">
      <c r="A8909" s="21">
        <v>45875506.439999998</v>
      </c>
    </row>
    <row r="8910" spans="1:1" x14ac:dyDescent="0.25">
      <c r="A8910" s="21">
        <v>29723735.219999999</v>
      </c>
    </row>
    <row r="8911" spans="1:1" x14ac:dyDescent="0.25">
      <c r="A8911" s="21">
        <v>25068028.77</v>
      </c>
    </row>
    <row r="8912" spans="1:1" x14ac:dyDescent="0.25">
      <c r="A8912" s="21">
        <v>31899976.390000001</v>
      </c>
    </row>
    <row r="8913" spans="1:1" x14ac:dyDescent="0.25">
      <c r="A8913" s="21">
        <v>17485916.18</v>
      </c>
    </row>
    <row r="8914" spans="1:1" x14ac:dyDescent="0.25">
      <c r="A8914" s="21">
        <v>13520835.640000001</v>
      </c>
    </row>
    <row r="8915" spans="1:1" x14ac:dyDescent="0.25">
      <c r="A8915" s="21">
        <v>15736890.92</v>
      </c>
    </row>
    <row r="8916" spans="1:1" x14ac:dyDescent="0.25">
      <c r="A8916" s="21">
        <v>155648607.83000001</v>
      </c>
    </row>
    <row r="8917" spans="1:1" x14ac:dyDescent="0.25">
      <c r="A8917" s="21">
        <v>47266252.619999997</v>
      </c>
    </row>
    <row r="8918" spans="1:1" x14ac:dyDescent="0.25">
      <c r="A8918" s="21">
        <v>104060358.44</v>
      </c>
    </row>
    <row r="8919" spans="1:1" x14ac:dyDescent="0.25">
      <c r="A8919" s="21">
        <v>98851187.030000001</v>
      </c>
    </row>
    <row r="8920" spans="1:1" x14ac:dyDescent="0.25">
      <c r="A8920" s="21">
        <v>17154477.469999999</v>
      </c>
    </row>
    <row r="8921" spans="1:1" x14ac:dyDescent="0.25">
      <c r="A8921" s="21">
        <v>32009838.079999998</v>
      </c>
    </row>
    <row r="8922" spans="1:1" x14ac:dyDescent="0.25">
      <c r="A8922" s="21">
        <v>99791830.400000006</v>
      </c>
    </row>
    <row r="8923" spans="1:1" x14ac:dyDescent="0.25">
      <c r="A8923" s="21">
        <v>147000787.12</v>
      </c>
    </row>
    <row r="8924" spans="1:1" x14ac:dyDescent="0.25">
      <c r="A8924" s="21">
        <v>5941923.8099999996</v>
      </c>
    </row>
    <row r="8925" spans="1:1" x14ac:dyDescent="0.25">
      <c r="A8925" s="21">
        <v>6873111.75</v>
      </c>
    </row>
    <row r="8926" spans="1:1" x14ac:dyDescent="0.25">
      <c r="A8926" s="21">
        <v>107066281.33</v>
      </c>
    </row>
    <row r="8927" spans="1:1" x14ac:dyDescent="0.25">
      <c r="A8927" s="21">
        <v>17254667.899999999</v>
      </c>
    </row>
    <row r="8928" spans="1:1" x14ac:dyDescent="0.25">
      <c r="A8928" s="21">
        <v>46728426.630000003</v>
      </c>
    </row>
    <row r="8929" spans="1:1" x14ac:dyDescent="0.25">
      <c r="A8929" s="21">
        <v>3428653.31</v>
      </c>
    </row>
    <row r="8930" spans="1:1" x14ac:dyDescent="0.25">
      <c r="A8930" s="21">
        <v>47920084.670000002</v>
      </c>
    </row>
    <row r="8931" spans="1:1" x14ac:dyDescent="0.25">
      <c r="A8931" s="21">
        <v>136947241.56999999</v>
      </c>
    </row>
    <row r="8932" spans="1:1" x14ac:dyDescent="0.25">
      <c r="A8932" s="21">
        <v>175799847.06</v>
      </c>
    </row>
    <row r="8933" spans="1:1" x14ac:dyDescent="0.25">
      <c r="A8933" s="21">
        <v>92798475.199999899</v>
      </c>
    </row>
    <row r="8934" spans="1:1" x14ac:dyDescent="0.25">
      <c r="A8934" s="21">
        <v>30288512.280000001</v>
      </c>
    </row>
    <row r="8935" spans="1:1" x14ac:dyDescent="0.25">
      <c r="A8935" s="21">
        <v>77743997.299999997</v>
      </c>
    </row>
    <row r="8936" spans="1:1" x14ac:dyDescent="0.25">
      <c r="A8936" s="21">
        <v>44933078.209999897</v>
      </c>
    </row>
    <row r="8937" spans="1:1" x14ac:dyDescent="0.25">
      <c r="A8937" s="21">
        <v>11157183.310000001</v>
      </c>
    </row>
    <row r="8938" spans="1:1" x14ac:dyDescent="0.25">
      <c r="A8938" s="21">
        <v>67025553.520000003</v>
      </c>
    </row>
    <row r="8939" spans="1:1" x14ac:dyDescent="0.25">
      <c r="A8939" s="21">
        <v>104856132.26000001</v>
      </c>
    </row>
    <row r="8940" spans="1:1" x14ac:dyDescent="0.25">
      <c r="A8940" s="21">
        <v>19495658.039999999</v>
      </c>
    </row>
    <row r="8941" spans="1:1" x14ac:dyDescent="0.25">
      <c r="A8941" s="21">
        <v>54390201.020000003</v>
      </c>
    </row>
    <row r="8942" spans="1:1" x14ac:dyDescent="0.25">
      <c r="A8942" s="21">
        <v>60449587.869999997</v>
      </c>
    </row>
    <row r="8943" spans="1:1" x14ac:dyDescent="0.25">
      <c r="A8943" s="21">
        <v>74350521.939999998</v>
      </c>
    </row>
    <row r="8944" spans="1:1" x14ac:dyDescent="0.25">
      <c r="A8944" s="21">
        <v>558983689.83999896</v>
      </c>
    </row>
    <row r="8945" spans="1:1" x14ac:dyDescent="0.25">
      <c r="A8945" s="21">
        <v>55962720.490000002</v>
      </c>
    </row>
    <row r="8946" spans="1:1" x14ac:dyDescent="0.25">
      <c r="A8946" s="21">
        <v>19095514.579999998</v>
      </c>
    </row>
    <row r="8947" spans="1:1" x14ac:dyDescent="0.25">
      <c r="A8947" s="21">
        <v>79966528.790000007</v>
      </c>
    </row>
    <row r="8948" spans="1:1" x14ac:dyDescent="0.25">
      <c r="A8948" s="21">
        <v>31611278.809999999</v>
      </c>
    </row>
    <row r="8949" spans="1:1" x14ac:dyDescent="0.25">
      <c r="A8949" s="21">
        <v>59556978.619999997</v>
      </c>
    </row>
    <row r="8950" spans="1:1" x14ac:dyDescent="0.25">
      <c r="A8950" s="21">
        <v>18064695.600000001</v>
      </c>
    </row>
    <row r="8951" spans="1:1" x14ac:dyDescent="0.25">
      <c r="A8951" s="21">
        <v>108528570.81</v>
      </c>
    </row>
    <row r="8952" spans="1:1" x14ac:dyDescent="0.25">
      <c r="A8952" s="21">
        <v>9198893.7400000002</v>
      </c>
    </row>
    <row r="8953" spans="1:1" x14ac:dyDescent="0.25">
      <c r="A8953" s="21">
        <v>227754673.71000001</v>
      </c>
    </row>
    <row r="8954" spans="1:1" x14ac:dyDescent="0.25">
      <c r="A8954" s="21">
        <v>110168051.02</v>
      </c>
    </row>
    <row r="8955" spans="1:1" x14ac:dyDescent="0.25">
      <c r="A8955" s="21">
        <v>45264583.840000004</v>
      </c>
    </row>
    <row r="8956" spans="1:1" x14ac:dyDescent="0.25">
      <c r="A8956" s="21">
        <v>3670483.11</v>
      </c>
    </row>
    <row r="8957" spans="1:1" x14ac:dyDescent="0.25">
      <c r="A8957" s="21">
        <v>49585057.140000001</v>
      </c>
    </row>
    <row r="8958" spans="1:1" x14ac:dyDescent="0.25">
      <c r="A8958">
        <v>0</v>
      </c>
    </row>
    <row r="8959" spans="1:1" x14ac:dyDescent="0.25">
      <c r="A8959" s="21">
        <v>14080873.529999999</v>
      </c>
    </row>
    <row r="8960" spans="1:1" x14ac:dyDescent="0.25">
      <c r="A8960" s="21">
        <v>10058824.119999999</v>
      </c>
    </row>
    <row r="8961" spans="1:1" x14ac:dyDescent="0.25">
      <c r="A8961" s="21">
        <v>18834714.550000001</v>
      </c>
    </row>
    <row r="8962" spans="1:1" x14ac:dyDescent="0.25">
      <c r="A8962" s="21">
        <v>138476795.58000001</v>
      </c>
    </row>
    <row r="8963" spans="1:1" x14ac:dyDescent="0.25">
      <c r="A8963" s="21">
        <v>30627118.190000001</v>
      </c>
    </row>
    <row r="8964" spans="1:1" x14ac:dyDescent="0.25">
      <c r="A8964" s="21">
        <v>46291564.210000001</v>
      </c>
    </row>
    <row r="8965" spans="1:1" x14ac:dyDescent="0.25">
      <c r="A8965" s="21">
        <v>10833754.609999999</v>
      </c>
    </row>
    <row r="8966" spans="1:1" x14ac:dyDescent="0.25">
      <c r="A8966" s="21">
        <v>44041930.729999997</v>
      </c>
    </row>
    <row r="8967" spans="1:1" x14ac:dyDescent="0.25">
      <c r="A8967" s="21">
        <v>22193715.16</v>
      </c>
    </row>
    <row r="8968" spans="1:1" x14ac:dyDescent="0.25">
      <c r="A8968" s="21">
        <v>2747989.59</v>
      </c>
    </row>
    <row r="8969" spans="1:1" x14ac:dyDescent="0.25">
      <c r="A8969" s="21">
        <v>14068556.15</v>
      </c>
    </row>
    <row r="8970" spans="1:1" x14ac:dyDescent="0.25">
      <c r="A8970" s="21">
        <v>65404807.969999999</v>
      </c>
    </row>
    <row r="8971" spans="1:1" x14ac:dyDescent="0.25">
      <c r="A8971" s="21">
        <v>121949008.31999999</v>
      </c>
    </row>
    <row r="8972" spans="1:1" x14ac:dyDescent="0.25">
      <c r="A8972" s="21">
        <v>116190706.31999999</v>
      </c>
    </row>
    <row r="8973" spans="1:1" x14ac:dyDescent="0.25">
      <c r="A8973" s="21">
        <v>88252379.260000005</v>
      </c>
    </row>
    <row r="8974" spans="1:1" x14ac:dyDescent="0.25">
      <c r="A8974">
        <v>0</v>
      </c>
    </row>
    <row r="8975" spans="1:1" x14ac:dyDescent="0.25">
      <c r="A8975" s="21">
        <v>61942319.840000004</v>
      </c>
    </row>
    <row r="8976" spans="1:1" x14ac:dyDescent="0.25">
      <c r="A8976" s="21">
        <v>225673556.41</v>
      </c>
    </row>
    <row r="8977" spans="1:1" x14ac:dyDescent="0.25">
      <c r="A8977" s="21">
        <v>78509981.689999998</v>
      </c>
    </row>
    <row r="8978" spans="1:1" x14ac:dyDescent="0.25">
      <c r="A8978" s="21">
        <v>299416839.48000002</v>
      </c>
    </row>
    <row r="8979" spans="1:1" x14ac:dyDescent="0.25">
      <c r="A8979" s="21">
        <v>59237122.409999996</v>
      </c>
    </row>
    <row r="8980" spans="1:1" x14ac:dyDescent="0.25">
      <c r="A8980" s="21">
        <v>133401071.15000001</v>
      </c>
    </row>
    <row r="8981" spans="1:1" x14ac:dyDescent="0.25">
      <c r="A8981" s="21">
        <v>338066852</v>
      </c>
    </row>
    <row r="8982" spans="1:1" x14ac:dyDescent="0.25">
      <c r="A8982" s="21">
        <v>87037801.75</v>
      </c>
    </row>
    <row r="8983" spans="1:1" x14ac:dyDescent="0.25">
      <c r="A8983" s="21">
        <v>30638892.82</v>
      </c>
    </row>
    <row r="8984" spans="1:1" x14ac:dyDescent="0.25">
      <c r="A8984" s="21">
        <v>27303437.48</v>
      </c>
    </row>
    <row r="8985" spans="1:1" x14ac:dyDescent="0.25">
      <c r="A8985">
        <v>0</v>
      </c>
    </row>
    <row r="8986" spans="1:1" x14ac:dyDescent="0.25">
      <c r="A8986" s="21">
        <v>53132289.859999999</v>
      </c>
    </row>
    <row r="8987" spans="1:1" x14ac:dyDescent="0.25">
      <c r="A8987" s="21">
        <v>37504805.329999998</v>
      </c>
    </row>
    <row r="8988" spans="1:1" x14ac:dyDescent="0.25">
      <c r="A8988" s="21">
        <v>33013112.129999999</v>
      </c>
    </row>
    <row r="8989" spans="1:1" x14ac:dyDescent="0.25">
      <c r="A8989" s="21">
        <v>22927697.920000002</v>
      </c>
    </row>
    <row r="8990" spans="1:1" x14ac:dyDescent="0.25">
      <c r="A8990" s="21">
        <v>103410387.55</v>
      </c>
    </row>
    <row r="8991" spans="1:1" x14ac:dyDescent="0.25">
      <c r="A8991" s="21">
        <v>24326714.640000001</v>
      </c>
    </row>
    <row r="8992" spans="1:1" x14ac:dyDescent="0.25">
      <c r="A8992" s="21">
        <v>42665157.429999903</v>
      </c>
    </row>
    <row r="8993" spans="1:1" x14ac:dyDescent="0.25">
      <c r="A8993" s="21">
        <v>24832124.32</v>
      </c>
    </row>
    <row r="8994" spans="1:1" x14ac:dyDescent="0.25">
      <c r="A8994" s="21">
        <v>124755654.51000001</v>
      </c>
    </row>
    <row r="8995" spans="1:1" x14ac:dyDescent="0.25">
      <c r="A8995" s="21">
        <v>159953529.84999999</v>
      </c>
    </row>
    <row r="8996" spans="1:1" x14ac:dyDescent="0.25">
      <c r="A8996" s="21">
        <v>7857789.4800000004</v>
      </c>
    </row>
    <row r="8997" spans="1:1" x14ac:dyDescent="0.25">
      <c r="A8997" s="21">
        <v>24766515.309999999</v>
      </c>
    </row>
    <row r="8998" spans="1:1" x14ac:dyDescent="0.25">
      <c r="A8998" s="21">
        <v>38918970.509999998</v>
      </c>
    </row>
    <row r="8999" spans="1:1" x14ac:dyDescent="0.25">
      <c r="A8999" s="21">
        <v>23796197.850000001</v>
      </c>
    </row>
    <row r="9000" spans="1:1" x14ac:dyDescent="0.25">
      <c r="A9000" s="21">
        <v>8568687.0600000005</v>
      </c>
    </row>
    <row r="9001" spans="1:1" x14ac:dyDescent="0.25">
      <c r="A9001" s="21">
        <v>109092769.34</v>
      </c>
    </row>
    <row r="9002" spans="1:1" x14ac:dyDescent="0.25">
      <c r="A9002" s="21">
        <v>120588875.48999999</v>
      </c>
    </row>
    <row r="9003" spans="1:1" x14ac:dyDescent="0.25">
      <c r="A9003" s="21">
        <v>16139741.289999999</v>
      </c>
    </row>
    <row r="9004" spans="1:1" x14ac:dyDescent="0.25">
      <c r="A9004" s="21">
        <v>38589354.969999999</v>
      </c>
    </row>
    <row r="9005" spans="1:1" x14ac:dyDescent="0.25">
      <c r="A9005" s="21">
        <v>17335060.850000001</v>
      </c>
    </row>
    <row r="9006" spans="1:1" x14ac:dyDescent="0.25">
      <c r="A9006" s="21">
        <v>369869442.63999999</v>
      </c>
    </row>
    <row r="9007" spans="1:1" x14ac:dyDescent="0.25">
      <c r="A9007" s="21">
        <v>52918326.75</v>
      </c>
    </row>
    <row r="9008" spans="1:1" x14ac:dyDescent="0.25">
      <c r="A9008" s="21">
        <v>11067896.66</v>
      </c>
    </row>
    <row r="9009" spans="1:1" x14ac:dyDescent="0.25">
      <c r="A9009" s="21">
        <v>67182504.379999995</v>
      </c>
    </row>
    <row r="9010" spans="1:1" x14ac:dyDescent="0.25">
      <c r="A9010" s="21">
        <v>525785761.14999998</v>
      </c>
    </row>
    <row r="9011" spans="1:1" x14ac:dyDescent="0.25">
      <c r="A9011" s="21">
        <v>18294513.059999999</v>
      </c>
    </row>
    <row r="9012" spans="1:1" x14ac:dyDescent="0.25">
      <c r="A9012" s="21">
        <v>28807602.41</v>
      </c>
    </row>
    <row r="9013" spans="1:1" x14ac:dyDescent="0.25">
      <c r="A9013" s="21">
        <v>796572792.65999997</v>
      </c>
    </row>
    <row r="9014" spans="1:1" x14ac:dyDescent="0.25">
      <c r="A9014" s="21">
        <v>93911173.370000005</v>
      </c>
    </row>
    <row r="9015" spans="1:1" x14ac:dyDescent="0.25">
      <c r="A9015" s="21">
        <v>10933786.279999999</v>
      </c>
    </row>
    <row r="9016" spans="1:1" x14ac:dyDescent="0.25">
      <c r="A9016" s="21">
        <v>94791690.049999997</v>
      </c>
    </row>
    <row r="9017" spans="1:1" x14ac:dyDescent="0.25">
      <c r="A9017" s="21">
        <v>50328755.149999999</v>
      </c>
    </row>
    <row r="9018" spans="1:1" x14ac:dyDescent="0.25">
      <c r="A9018" s="21">
        <v>59266433.079999998</v>
      </c>
    </row>
    <row r="9019" spans="1:1" x14ac:dyDescent="0.25">
      <c r="A9019" s="21">
        <v>191194007.30000001</v>
      </c>
    </row>
    <row r="9020" spans="1:1" x14ac:dyDescent="0.25">
      <c r="A9020" s="21">
        <v>57281095.729999997</v>
      </c>
    </row>
    <row r="9021" spans="1:1" x14ac:dyDescent="0.25">
      <c r="A9021" s="21">
        <v>31593672.82</v>
      </c>
    </row>
    <row r="9022" spans="1:1" x14ac:dyDescent="0.25">
      <c r="A9022" s="21">
        <v>26520040.510000002</v>
      </c>
    </row>
    <row r="9023" spans="1:1" x14ac:dyDescent="0.25">
      <c r="A9023">
        <v>21164958</v>
      </c>
    </row>
    <row r="9024" spans="1:1" x14ac:dyDescent="0.25">
      <c r="A9024" s="21">
        <v>12252993.75</v>
      </c>
    </row>
    <row r="9025" spans="1:1" x14ac:dyDescent="0.25">
      <c r="A9025" s="21">
        <v>59191735.789999999</v>
      </c>
    </row>
    <row r="9026" spans="1:1" x14ac:dyDescent="0.25">
      <c r="A9026" s="21">
        <v>12710093.25</v>
      </c>
    </row>
    <row r="9027" spans="1:1" x14ac:dyDescent="0.25">
      <c r="A9027" s="21">
        <v>68082295.349999994</v>
      </c>
    </row>
    <row r="9028" spans="1:1" x14ac:dyDescent="0.25">
      <c r="A9028" s="21">
        <v>103536987.17</v>
      </c>
    </row>
    <row r="9029" spans="1:1" x14ac:dyDescent="0.25">
      <c r="A9029" s="21">
        <v>102530249.89</v>
      </c>
    </row>
    <row r="9030" spans="1:1" x14ac:dyDescent="0.25">
      <c r="A9030" s="21">
        <v>38011313.939999998</v>
      </c>
    </row>
    <row r="9031" spans="1:1" x14ac:dyDescent="0.25">
      <c r="A9031" s="21">
        <v>6598584.1100000003</v>
      </c>
    </row>
    <row r="9032" spans="1:1" x14ac:dyDescent="0.25">
      <c r="A9032" s="21">
        <v>77829419.980000004</v>
      </c>
    </row>
    <row r="9033" spans="1:1" x14ac:dyDescent="0.25">
      <c r="A9033" s="21">
        <v>96665301.590000004</v>
      </c>
    </row>
    <row r="9034" spans="1:1" x14ac:dyDescent="0.25">
      <c r="A9034" s="21">
        <v>20348119.34</v>
      </c>
    </row>
    <row r="9035" spans="1:1" x14ac:dyDescent="0.25">
      <c r="A9035" s="21">
        <v>37119433.950000003</v>
      </c>
    </row>
    <row r="9036" spans="1:1" x14ac:dyDescent="0.25">
      <c r="A9036" s="21">
        <v>282980605.43000001</v>
      </c>
    </row>
    <row r="9037" spans="1:1" x14ac:dyDescent="0.25">
      <c r="A9037" s="21">
        <v>42873835.489999898</v>
      </c>
    </row>
    <row r="9038" spans="1:1" x14ac:dyDescent="0.25">
      <c r="A9038" s="21">
        <v>14186016.529999999</v>
      </c>
    </row>
    <row r="9039" spans="1:1" x14ac:dyDescent="0.25">
      <c r="A9039" s="21">
        <v>460647389.44</v>
      </c>
    </row>
    <row r="9040" spans="1:1" x14ac:dyDescent="0.25">
      <c r="A9040" s="21">
        <v>106406388.01000001</v>
      </c>
    </row>
    <row r="9041" spans="1:1" x14ac:dyDescent="0.25">
      <c r="A9041" s="21">
        <v>399700228.69999999</v>
      </c>
    </row>
    <row r="9042" spans="1:1" x14ac:dyDescent="0.25">
      <c r="A9042" s="21">
        <v>76476155.489999995</v>
      </c>
    </row>
    <row r="9043" spans="1:1" x14ac:dyDescent="0.25">
      <c r="A9043" s="21">
        <v>12789033.83</v>
      </c>
    </row>
    <row r="9044" spans="1:1" x14ac:dyDescent="0.25">
      <c r="A9044" s="21">
        <v>55954380.090000004</v>
      </c>
    </row>
    <row r="9045" spans="1:1" x14ac:dyDescent="0.25">
      <c r="A9045" s="21">
        <v>70389359.370000005</v>
      </c>
    </row>
    <row r="9046" spans="1:1" x14ac:dyDescent="0.25">
      <c r="A9046">
        <v>0</v>
      </c>
    </row>
    <row r="9047" spans="1:1" x14ac:dyDescent="0.25">
      <c r="A9047" s="21">
        <v>24456340.359999999</v>
      </c>
    </row>
    <row r="9048" spans="1:1" x14ac:dyDescent="0.25">
      <c r="A9048" s="21">
        <v>34374522.990000002</v>
      </c>
    </row>
    <row r="9049" spans="1:1" x14ac:dyDescent="0.25">
      <c r="A9049" s="21">
        <v>22470577.25</v>
      </c>
    </row>
    <row r="9050" spans="1:1" x14ac:dyDescent="0.25">
      <c r="A9050" s="21">
        <v>44537284.539999999</v>
      </c>
    </row>
    <row r="9051" spans="1:1" x14ac:dyDescent="0.25">
      <c r="A9051">
        <v>0</v>
      </c>
    </row>
    <row r="9052" spans="1:1" x14ac:dyDescent="0.25">
      <c r="A9052" s="21">
        <v>5885468.25</v>
      </c>
    </row>
    <row r="9053" spans="1:1" x14ac:dyDescent="0.25">
      <c r="A9053" s="21">
        <v>280158549.56</v>
      </c>
    </row>
    <row r="9054" spans="1:1" x14ac:dyDescent="0.25">
      <c r="A9054">
        <v>0</v>
      </c>
    </row>
    <row r="9055" spans="1:1" x14ac:dyDescent="0.25">
      <c r="A9055" s="21">
        <v>44925407.840000004</v>
      </c>
    </row>
    <row r="9056" spans="1:1" x14ac:dyDescent="0.25">
      <c r="A9056" s="21">
        <v>27416260.23</v>
      </c>
    </row>
    <row r="9057" spans="1:1" x14ac:dyDescent="0.25">
      <c r="A9057" s="21">
        <v>38010937.469999999</v>
      </c>
    </row>
    <row r="9058" spans="1:1" x14ac:dyDescent="0.25">
      <c r="A9058" s="21">
        <v>7368972.2199999997</v>
      </c>
    </row>
    <row r="9059" spans="1:1" x14ac:dyDescent="0.25">
      <c r="A9059" s="21">
        <v>9488757.9299999997</v>
      </c>
    </row>
    <row r="9060" spans="1:1" x14ac:dyDescent="0.25">
      <c r="A9060" s="21">
        <v>132194033.47</v>
      </c>
    </row>
    <row r="9061" spans="1:1" x14ac:dyDescent="0.25">
      <c r="A9061" s="21">
        <v>47712709.060000002</v>
      </c>
    </row>
    <row r="9062" spans="1:1" x14ac:dyDescent="0.25">
      <c r="A9062" s="21">
        <v>146839117.71000001</v>
      </c>
    </row>
    <row r="9063" spans="1:1" x14ac:dyDescent="0.25">
      <c r="A9063" s="21">
        <v>14373254.189999999</v>
      </c>
    </row>
    <row r="9064" spans="1:1" x14ac:dyDescent="0.25">
      <c r="A9064" s="21">
        <v>57006259.859999999</v>
      </c>
    </row>
    <row r="9065" spans="1:1" x14ac:dyDescent="0.25">
      <c r="A9065" s="21">
        <v>42020986.579999998</v>
      </c>
    </row>
    <row r="9066" spans="1:1" x14ac:dyDescent="0.25">
      <c r="A9066" s="21">
        <v>13165429.34</v>
      </c>
    </row>
    <row r="9067" spans="1:1" x14ac:dyDescent="0.25">
      <c r="A9067" s="21">
        <v>41454816.549999997</v>
      </c>
    </row>
    <row r="9068" spans="1:1" x14ac:dyDescent="0.25">
      <c r="A9068" s="21">
        <v>214180264.88999999</v>
      </c>
    </row>
    <row r="9069" spans="1:1" x14ac:dyDescent="0.25">
      <c r="A9069" s="21">
        <v>3806186.25</v>
      </c>
    </row>
    <row r="9070" spans="1:1" x14ac:dyDescent="0.25">
      <c r="A9070" s="21">
        <v>26702590.359999999</v>
      </c>
    </row>
    <row r="9071" spans="1:1" x14ac:dyDescent="0.25">
      <c r="A9071" s="21">
        <v>12623681.970000001</v>
      </c>
    </row>
    <row r="9072" spans="1:1" x14ac:dyDescent="0.25">
      <c r="A9072" s="21">
        <v>36896479.409999996</v>
      </c>
    </row>
    <row r="9073" spans="1:1" x14ac:dyDescent="0.25">
      <c r="A9073" s="21">
        <v>58025114.140000001</v>
      </c>
    </row>
    <row r="9074" spans="1:1" x14ac:dyDescent="0.25">
      <c r="A9074" s="21">
        <v>340067378.07999998</v>
      </c>
    </row>
    <row r="9075" spans="1:1" x14ac:dyDescent="0.25">
      <c r="A9075">
        <v>0</v>
      </c>
    </row>
    <row r="9076" spans="1:1" x14ac:dyDescent="0.25">
      <c r="A9076" s="21">
        <v>34005023.729999997</v>
      </c>
    </row>
    <row r="9077" spans="1:1" x14ac:dyDescent="0.25">
      <c r="A9077" s="21">
        <v>63960374.109999999</v>
      </c>
    </row>
    <row r="9078" spans="1:1" x14ac:dyDescent="0.25">
      <c r="A9078" s="21">
        <v>116924587.7</v>
      </c>
    </row>
    <row r="9079" spans="1:1" x14ac:dyDescent="0.25">
      <c r="A9079">
        <v>0</v>
      </c>
    </row>
    <row r="9080" spans="1:1" x14ac:dyDescent="0.25">
      <c r="A9080" s="21">
        <v>117546722.09</v>
      </c>
    </row>
    <row r="9081" spans="1:1" x14ac:dyDescent="0.25">
      <c r="A9081" s="21">
        <v>295060375.99000001</v>
      </c>
    </row>
    <row r="9082" spans="1:1" x14ac:dyDescent="0.25">
      <c r="A9082" s="21">
        <v>4316438.82</v>
      </c>
    </row>
    <row r="9083" spans="1:1" x14ac:dyDescent="0.25">
      <c r="A9083" s="21">
        <v>26602222.91</v>
      </c>
    </row>
    <row r="9084" spans="1:1" x14ac:dyDescent="0.25">
      <c r="A9084" s="21">
        <v>31006605.280000001</v>
      </c>
    </row>
    <row r="9085" spans="1:1" x14ac:dyDescent="0.25">
      <c r="A9085" s="21">
        <v>40404688.770000003</v>
      </c>
    </row>
    <row r="9086" spans="1:1" x14ac:dyDescent="0.25">
      <c r="A9086" s="21">
        <v>177558999.96000001</v>
      </c>
    </row>
    <row r="9087" spans="1:1" x14ac:dyDescent="0.25">
      <c r="A9087" s="21">
        <v>38117263.259999998</v>
      </c>
    </row>
    <row r="9088" spans="1:1" x14ac:dyDescent="0.25">
      <c r="A9088" s="21">
        <v>188410807.99000001</v>
      </c>
    </row>
    <row r="9089" spans="1:1" x14ac:dyDescent="0.25">
      <c r="A9089" s="21">
        <v>48474254.109999999</v>
      </c>
    </row>
    <row r="9090" spans="1:1" x14ac:dyDescent="0.25">
      <c r="A9090" s="21">
        <v>28590561.32</v>
      </c>
    </row>
    <row r="9091" spans="1:1" x14ac:dyDescent="0.25">
      <c r="A9091" s="21">
        <v>6899972.25</v>
      </c>
    </row>
    <row r="9092" spans="1:1" x14ac:dyDescent="0.25">
      <c r="A9092" s="21">
        <v>95044949.799999997</v>
      </c>
    </row>
    <row r="9093" spans="1:1" x14ac:dyDescent="0.25">
      <c r="A9093" s="21">
        <v>21806862.469999999</v>
      </c>
    </row>
    <row r="9094" spans="1:1" x14ac:dyDescent="0.25">
      <c r="A9094" s="21">
        <v>13726608.92</v>
      </c>
    </row>
    <row r="9095" spans="1:1" x14ac:dyDescent="0.25">
      <c r="A9095" s="21">
        <v>53640334.380000003</v>
      </c>
    </row>
    <row r="9096" spans="1:1" x14ac:dyDescent="0.25">
      <c r="A9096" s="21">
        <v>39475411.009999998</v>
      </c>
    </row>
    <row r="9097" spans="1:1" x14ac:dyDescent="0.25">
      <c r="A9097" s="21">
        <v>62294956.420000002</v>
      </c>
    </row>
    <row r="9098" spans="1:1" x14ac:dyDescent="0.25">
      <c r="A9098" s="21">
        <v>15444574.08</v>
      </c>
    </row>
    <row r="9099" spans="1:1" x14ac:dyDescent="0.25">
      <c r="A9099" s="21">
        <v>103816195.27</v>
      </c>
    </row>
    <row r="9100" spans="1:1" x14ac:dyDescent="0.25">
      <c r="A9100" s="21">
        <v>82674574.5</v>
      </c>
    </row>
    <row r="9101" spans="1:1" x14ac:dyDescent="0.25">
      <c r="A9101" s="21">
        <v>110753817.37</v>
      </c>
    </row>
    <row r="9102" spans="1:1" x14ac:dyDescent="0.25">
      <c r="A9102" s="21">
        <v>11798179.41</v>
      </c>
    </row>
    <row r="9103" spans="1:1" x14ac:dyDescent="0.25">
      <c r="A9103" s="21">
        <v>118109125.31999999</v>
      </c>
    </row>
    <row r="9104" spans="1:1" x14ac:dyDescent="0.25">
      <c r="A9104" s="21">
        <v>54913990.909999996</v>
      </c>
    </row>
    <row r="9105" spans="1:1" x14ac:dyDescent="0.25">
      <c r="A9105" s="21">
        <v>5254581.75</v>
      </c>
    </row>
    <row r="9106" spans="1:1" x14ac:dyDescent="0.25">
      <c r="A9106" s="21">
        <v>53322995.310000002</v>
      </c>
    </row>
    <row r="9107" spans="1:1" x14ac:dyDescent="0.25">
      <c r="A9107" s="21">
        <v>13725113.98</v>
      </c>
    </row>
    <row r="9108" spans="1:1" x14ac:dyDescent="0.25">
      <c r="A9108" s="21">
        <v>107915041.64</v>
      </c>
    </row>
    <row r="9109" spans="1:1" x14ac:dyDescent="0.25">
      <c r="A9109" s="21">
        <v>17432045.579999998</v>
      </c>
    </row>
    <row r="9110" spans="1:1" x14ac:dyDescent="0.25">
      <c r="A9110" s="21">
        <v>61329117.600000001</v>
      </c>
    </row>
    <row r="9111" spans="1:1" x14ac:dyDescent="0.25">
      <c r="A9111" s="21">
        <v>27875250.829999998</v>
      </c>
    </row>
    <row r="9112" spans="1:1" x14ac:dyDescent="0.25">
      <c r="A9112">
        <v>6158787</v>
      </c>
    </row>
    <row r="9113" spans="1:1" x14ac:dyDescent="0.25">
      <c r="A9113" s="21">
        <v>87951820.819999903</v>
      </c>
    </row>
    <row r="9114" spans="1:1" x14ac:dyDescent="0.25">
      <c r="A9114" s="21">
        <v>78290449.709999904</v>
      </c>
    </row>
    <row r="9115" spans="1:1" x14ac:dyDescent="0.25">
      <c r="A9115" s="21">
        <v>13197238.5</v>
      </c>
    </row>
    <row r="9116" spans="1:1" x14ac:dyDescent="0.25">
      <c r="A9116" s="21">
        <v>20412820.23</v>
      </c>
    </row>
    <row r="9117" spans="1:1" x14ac:dyDescent="0.25">
      <c r="A9117" s="21">
        <v>42854446.289999999</v>
      </c>
    </row>
    <row r="9118" spans="1:1" x14ac:dyDescent="0.25">
      <c r="A9118" s="21">
        <v>33105866.699999999</v>
      </c>
    </row>
    <row r="9119" spans="1:1" x14ac:dyDescent="0.25">
      <c r="A9119" s="21">
        <v>3798854.44</v>
      </c>
    </row>
    <row r="9120" spans="1:1" x14ac:dyDescent="0.25">
      <c r="A9120" s="21">
        <v>71751222.790000007</v>
      </c>
    </row>
    <row r="9121" spans="1:1" x14ac:dyDescent="0.25">
      <c r="A9121" s="21">
        <v>55652154.009999998</v>
      </c>
    </row>
    <row r="9122" spans="1:1" x14ac:dyDescent="0.25">
      <c r="A9122" s="21">
        <v>22000819.02</v>
      </c>
    </row>
    <row r="9123" spans="1:1" x14ac:dyDescent="0.25">
      <c r="A9123">
        <v>0</v>
      </c>
    </row>
    <row r="9124" spans="1:1" x14ac:dyDescent="0.25">
      <c r="A9124" s="21">
        <v>97206102.370000005</v>
      </c>
    </row>
    <row r="9125" spans="1:1" x14ac:dyDescent="0.25">
      <c r="A9125" s="21">
        <v>51889488.340000004</v>
      </c>
    </row>
    <row r="9126" spans="1:1" x14ac:dyDescent="0.25">
      <c r="A9126" s="21">
        <v>88915810.219999999</v>
      </c>
    </row>
    <row r="9127" spans="1:1" x14ac:dyDescent="0.25">
      <c r="A9127" s="21">
        <v>45135823.210000001</v>
      </c>
    </row>
    <row r="9128" spans="1:1" x14ac:dyDescent="0.25">
      <c r="A9128" s="21">
        <v>3742429.05</v>
      </c>
    </row>
    <row r="9129" spans="1:1" x14ac:dyDescent="0.25">
      <c r="A9129" s="21">
        <v>9052833.7100000009</v>
      </c>
    </row>
    <row r="9130" spans="1:1" x14ac:dyDescent="0.25">
      <c r="A9130" s="21">
        <v>85185420.609999999</v>
      </c>
    </row>
    <row r="9131" spans="1:1" x14ac:dyDescent="0.25">
      <c r="A9131">
        <v>20307822</v>
      </c>
    </row>
    <row r="9132" spans="1:1" x14ac:dyDescent="0.25">
      <c r="A9132">
        <v>276460420</v>
      </c>
    </row>
    <row r="9133" spans="1:1" x14ac:dyDescent="0.25">
      <c r="A9133" s="21">
        <v>18018558.640000001</v>
      </c>
    </row>
    <row r="9134" spans="1:1" x14ac:dyDescent="0.25">
      <c r="A9134">
        <v>0</v>
      </c>
    </row>
    <row r="9135" spans="1:1" x14ac:dyDescent="0.25">
      <c r="A9135" s="21">
        <v>21714715.719999999</v>
      </c>
    </row>
    <row r="9136" spans="1:1" x14ac:dyDescent="0.25">
      <c r="A9136" s="21">
        <v>258262360.77000001</v>
      </c>
    </row>
    <row r="9137" spans="1:1" x14ac:dyDescent="0.25">
      <c r="A9137" s="21">
        <v>161321889.69</v>
      </c>
    </row>
    <row r="9138" spans="1:1" x14ac:dyDescent="0.25">
      <c r="A9138" s="21">
        <v>13896002.109999999</v>
      </c>
    </row>
    <row r="9139" spans="1:1" x14ac:dyDescent="0.25">
      <c r="A9139" s="21">
        <v>7237863.9400000004</v>
      </c>
    </row>
    <row r="9140" spans="1:1" x14ac:dyDescent="0.25">
      <c r="A9140" s="21">
        <v>42768654.880000003</v>
      </c>
    </row>
    <row r="9141" spans="1:1" x14ac:dyDescent="0.25">
      <c r="A9141" s="21">
        <v>23283244.239999998</v>
      </c>
    </row>
    <row r="9142" spans="1:1" x14ac:dyDescent="0.25">
      <c r="A9142" s="21">
        <v>92979704.950000003</v>
      </c>
    </row>
    <row r="9143" spans="1:1" x14ac:dyDescent="0.25">
      <c r="A9143" s="21">
        <v>111779980.02</v>
      </c>
    </row>
    <row r="9144" spans="1:1" x14ac:dyDescent="0.25">
      <c r="A9144">
        <v>0</v>
      </c>
    </row>
    <row r="9145" spans="1:1" x14ac:dyDescent="0.25">
      <c r="A9145" s="21">
        <v>13523827.310000001</v>
      </c>
    </row>
    <row r="9146" spans="1:1" x14ac:dyDescent="0.25">
      <c r="A9146" s="21">
        <v>34317091.899999999</v>
      </c>
    </row>
    <row r="9147" spans="1:1" x14ac:dyDescent="0.25">
      <c r="A9147" s="21">
        <v>209975002.93000001</v>
      </c>
    </row>
    <row r="9148" spans="1:1" x14ac:dyDescent="0.25">
      <c r="A9148" s="21">
        <v>31151809.41</v>
      </c>
    </row>
    <row r="9149" spans="1:1" x14ac:dyDescent="0.25">
      <c r="A9149" s="21">
        <v>19503840.68</v>
      </c>
    </row>
    <row r="9150" spans="1:1" x14ac:dyDescent="0.25">
      <c r="A9150">
        <v>0</v>
      </c>
    </row>
    <row r="9151" spans="1:1" x14ac:dyDescent="0.25">
      <c r="A9151" s="21">
        <v>46260392.789999999</v>
      </c>
    </row>
    <row r="9152" spans="1:1" x14ac:dyDescent="0.25">
      <c r="A9152" s="21">
        <v>23957579.600000001</v>
      </c>
    </row>
    <row r="9153" spans="1:1" x14ac:dyDescent="0.25">
      <c r="A9153" s="21">
        <v>100341794.79000001</v>
      </c>
    </row>
    <row r="9154" spans="1:1" x14ac:dyDescent="0.25">
      <c r="A9154" s="21">
        <v>32571311.059999999</v>
      </c>
    </row>
    <row r="9155" spans="1:1" x14ac:dyDescent="0.25">
      <c r="A9155" s="21">
        <v>202752020.43000001</v>
      </c>
    </row>
    <row r="9156" spans="1:1" x14ac:dyDescent="0.25">
      <c r="A9156" s="21">
        <v>576079122.72000003</v>
      </c>
    </row>
    <row r="9157" spans="1:1" x14ac:dyDescent="0.25">
      <c r="A9157" s="21">
        <v>33730422.439999998</v>
      </c>
    </row>
    <row r="9158" spans="1:1" x14ac:dyDescent="0.25">
      <c r="A9158" s="21">
        <v>61504832.520000003</v>
      </c>
    </row>
    <row r="9159" spans="1:1" x14ac:dyDescent="0.25">
      <c r="A9159" s="21">
        <v>20064478.5</v>
      </c>
    </row>
    <row r="9160" spans="1:1" x14ac:dyDescent="0.25">
      <c r="A9160" s="21">
        <v>7265555.71</v>
      </c>
    </row>
    <row r="9161" spans="1:1" x14ac:dyDescent="0.25">
      <c r="A9161" s="21">
        <v>34868003.700000003</v>
      </c>
    </row>
    <row r="9162" spans="1:1" x14ac:dyDescent="0.25">
      <c r="A9162" s="21">
        <v>198488368.90000001</v>
      </c>
    </row>
    <row r="9163" spans="1:1" x14ac:dyDescent="0.25">
      <c r="A9163" s="21">
        <v>137478297.13</v>
      </c>
    </row>
    <row r="9164" spans="1:1" x14ac:dyDescent="0.25">
      <c r="A9164" s="21">
        <v>206042017.03999999</v>
      </c>
    </row>
    <row r="9165" spans="1:1" x14ac:dyDescent="0.25">
      <c r="A9165" s="21">
        <v>30523378.850000001</v>
      </c>
    </row>
    <row r="9166" spans="1:1" x14ac:dyDescent="0.25">
      <c r="A9166" s="21">
        <v>33302114.539999999</v>
      </c>
    </row>
    <row r="9167" spans="1:1" x14ac:dyDescent="0.25">
      <c r="A9167" s="21">
        <v>11880131.25</v>
      </c>
    </row>
    <row r="9168" spans="1:1" x14ac:dyDescent="0.25">
      <c r="A9168" s="21">
        <v>70814824.480000004</v>
      </c>
    </row>
    <row r="9169" spans="1:1" x14ac:dyDescent="0.25">
      <c r="A9169" s="21">
        <v>25138102.52</v>
      </c>
    </row>
    <row r="9170" spans="1:1" x14ac:dyDescent="0.25">
      <c r="A9170" s="21">
        <v>67654069.530000001</v>
      </c>
    </row>
    <row r="9171" spans="1:1" x14ac:dyDescent="0.25">
      <c r="A9171" s="21">
        <v>146596426.69999999</v>
      </c>
    </row>
    <row r="9172" spans="1:1" x14ac:dyDescent="0.25">
      <c r="A9172" s="21">
        <v>113094763.79000001</v>
      </c>
    </row>
    <row r="9173" spans="1:1" x14ac:dyDescent="0.25">
      <c r="A9173" s="21">
        <v>187443010.34</v>
      </c>
    </row>
    <row r="9174" spans="1:1" x14ac:dyDescent="0.25">
      <c r="A9174" s="21">
        <v>75841605.120000005</v>
      </c>
    </row>
    <row r="9175" spans="1:1" x14ac:dyDescent="0.25">
      <c r="A9175" s="21">
        <v>9639014.7599999998</v>
      </c>
    </row>
    <row r="9176" spans="1:1" x14ac:dyDescent="0.25">
      <c r="A9176" s="21">
        <v>28549704.170000002</v>
      </c>
    </row>
    <row r="9177" spans="1:1" x14ac:dyDescent="0.25">
      <c r="A9177" s="21">
        <v>26010858.940000001</v>
      </c>
    </row>
    <row r="9178" spans="1:1" x14ac:dyDescent="0.25">
      <c r="A9178" s="21">
        <v>16420699.859999999</v>
      </c>
    </row>
    <row r="9179" spans="1:1" x14ac:dyDescent="0.25">
      <c r="A9179" s="21">
        <v>44693168.219999999</v>
      </c>
    </row>
    <row r="9180" spans="1:1" x14ac:dyDescent="0.25">
      <c r="A9180" s="21">
        <v>94018329.569999903</v>
      </c>
    </row>
    <row r="9181" spans="1:1" x14ac:dyDescent="0.25">
      <c r="A9181" s="21">
        <v>361798501.26999998</v>
      </c>
    </row>
    <row r="9182" spans="1:1" x14ac:dyDescent="0.25">
      <c r="A9182" s="21">
        <v>46739437.139999896</v>
      </c>
    </row>
    <row r="9183" spans="1:1" x14ac:dyDescent="0.25">
      <c r="A9183" s="21">
        <v>30239328.050000001</v>
      </c>
    </row>
    <row r="9184" spans="1:1" x14ac:dyDescent="0.25">
      <c r="A9184" s="21">
        <v>220987503.19999999</v>
      </c>
    </row>
    <row r="9185" spans="1:1" x14ac:dyDescent="0.25">
      <c r="A9185" s="21">
        <v>4623034.84</v>
      </c>
    </row>
    <row r="9186" spans="1:1" x14ac:dyDescent="0.25">
      <c r="A9186" s="21">
        <v>13090527.050000001</v>
      </c>
    </row>
    <row r="9187" spans="1:1" x14ac:dyDescent="0.25">
      <c r="A9187" s="21">
        <v>72695801.689999998</v>
      </c>
    </row>
    <row r="9188" spans="1:1" x14ac:dyDescent="0.25">
      <c r="A9188" s="21">
        <v>16967242.140000001</v>
      </c>
    </row>
    <row r="9189" spans="1:1" x14ac:dyDescent="0.25">
      <c r="A9189" s="21">
        <v>127829977.91</v>
      </c>
    </row>
    <row r="9190" spans="1:1" x14ac:dyDescent="0.25">
      <c r="A9190" s="21">
        <v>56661398.859999999</v>
      </c>
    </row>
    <row r="9191" spans="1:1" x14ac:dyDescent="0.25">
      <c r="A9191" s="21">
        <v>55978468.229999997</v>
      </c>
    </row>
    <row r="9192" spans="1:1" x14ac:dyDescent="0.25">
      <c r="A9192" s="21">
        <v>6689111.1600000001</v>
      </c>
    </row>
    <row r="9193" spans="1:1" x14ac:dyDescent="0.25">
      <c r="A9193" s="21">
        <v>30206265.859999999</v>
      </c>
    </row>
    <row r="9194" spans="1:1" x14ac:dyDescent="0.25">
      <c r="A9194" s="21">
        <v>25554073.420000002</v>
      </c>
    </row>
    <row r="9195" spans="1:1" x14ac:dyDescent="0.25">
      <c r="A9195" s="21">
        <v>10010729.09</v>
      </c>
    </row>
    <row r="9196" spans="1:1" x14ac:dyDescent="0.25">
      <c r="A9196" s="21">
        <v>60066519.359999999</v>
      </c>
    </row>
    <row r="9197" spans="1:1" x14ac:dyDescent="0.25">
      <c r="A9197" s="21">
        <v>3154084.63</v>
      </c>
    </row>
    <row r="9198" spans="1:1" x14ac:dyDescent="0.25">
      <c r="A9198" s="21">
        <v>70325598.039999902</v>
      </c>
    </row>
    <row r="9199" spans="1:1" x14ac:dyDescent="0.25">
      <c r="A9199" s="21">
        <v>81178766.099999994</v>
      </c>
    </row>
    <row r="9200" spans="1:1" x14ac:dyDescent="0.25">
      <c r="A9200" s="21">
        <v>5770859.25</v>
      </c>
    </row>
    <row r="9201" spans="1:1" x14ac:dyDescent="0.25">
      <c r="A9201" s="21">
        <v>6501160.5</v>
      </c>
    </row>
    <row r="9202" spans="1:1" x14ac:dyDescent="0.25">
      <c r="A9202" s="21">
        <v>12368351.92</v>
      </c>
    </row>
    <row r="9203" spans="1:1" x14ac:dyDescent="0.25">
      <c r="A9203" s="21">
        <v>29620939.199999999</v>
      </c>
    </row>
    <row r="9204" spans="1:1" x14ac:dyDescent="0.25">
      <c r="A9204" s="21">
        <v>57118114.25</v>
      </c>
    </row>
    <row r="9205" spans="1:1" x14ac:dyDescent="0.25">
      <c r="A9205" s="21">
        <v>69601978.400000006</v>
      </c>
    </row>
    <row r="9206" spans="1:1" x14ac:dyDescent="0.25">
      <c r="A9206" s="21">
        <v>52586820.189999998</v>
      </c>
    </row>
    <row r="9207" spans="1:1" x14ac:dyDescent="0.25">
      <c r="A9207" s="21">
        <v>49562239.670000002</v>
      </c>
    </row>
    <row r="9208" spans="1:1" x14ac:dyDescent="0.25">
      <c r="A9208" s="21">
        <v>511108600.48000002</v>
      </c>
    </row>
    <row r="9209" spans="1:1" x14ac:dyDescent="0.25">
      <c r="A9209" s="21">
        <v>80657432.370000005</v>
      </c>
    </row>
    <row r="9210" spans="1:1" x14ac:dyDescent="0.25">
      <c r="A9210" s="21">
        <v>128335904.69</v>
      </c>
    </row>
    <row r="9211" spans="1:1" x14ac:dyDescent="0.25">
      <c r="A9211" s="21">
        <v>7390879.21</v>
      </c>
    </row>
    <row r="9212" spans="1:1" x14ac:dyDescent="0.25">
      <c r="A9212" s="21">
        <v>51133428.719999999</v>
      </c>
    </row>
    <row r="9213" spans="1:1" x14ac:dyDescent="0.25">
      <c r="A9213" s="21">
        <v>5258302.5</v>
      </c>
    </row>
    <row r="9214" spans="1:1" x14ac:dyDescent="0.25">
      <c r="A9214" s="21">
        <v>139251512.30000001</v>
      </c>
    </row>
    <row r="9215" spans="1:1" x14ac:dyDescent="0.25">
      <c r="A9215" s="21">
        <v>126288839.78</v>
      </c>
    </row>
    <row r="9216" spans="1:1" x14ac:dyDescent="0.25">
      <c r="A9216" s="21">
        <v>40892564.399999999</v>
      </c>
    </row>
    <row r="9217" spans="1:1" x14ac:dyDescent="0.25">
      <c r="A9217" s="21">
        <v>130054378.81999999</v>
      </c>
    </row>
    <row r="9218" spans="1:1" x14ac:dyDescent="0.25">
      <c r="A9218" s="21">
        <v>53249925.560000002</v>
      </c>
    </row>
    <row r="9219" spans="1:1" x14ac:dyDescent="0.25">
      <c r="A9219" s="21">
        <v>3203634.48</v>
      </c>
    </row>
    <row r="9220" spans="1:1" x14ac:dyDescent="0.25">
      <c r="A9220" s="21">
        <v>114084984.98999999</v>
      </c>
    </row>
    <row r="9221" spans="1:1" x14ac:dyDescent="0.25">
      <c r="A9221" s="21">
        <v>82410880.019999996</v>
      </c>
    </row>
    <row r="9222" spans="1:1" x14ac:dyDescent="0.25">
      <c r="A9222">
        <v>0</v>
      </c>
    </row>
    <row r="9223" spans="1:1" x14ac:dyDescent="0.25">
      <c r="A9223" s="21">
        <v>34709369.25</v>
      </c>
    </row>
    <row r="9224" spans="1:1" x14ac:dyDescent="0.25">
      <c r="A9224" s="21">
        <v>59902088.68</v>
      </c>
    </row>
    <row r="9225" spans="1:1" x14ac:dyDescent="0.25">
      <c r="A9225" s="21">
        <v>6142775.25</v>
      </c>
    </row>
    <row r="9226" spans="1:1" x14ac:dyDescent="0.25">
      <c r="A9226" s="21">
        <v>9833290.6899999995</v>
      </c>
    </row>
    <row r="9227" spans="1:1" x14ac:dyDescent="0.25">
      <c r="A9227" s="21">
        <v>46287490.810000002</v>
      </c>
    </row>
    <row r="9228" spans="1:1" x14ac:dyDescent="0.25">
      <c r="A9228" s="21">
        <v>151207487.02000001</v>
      </c>
    </row>
    <row r="9229" spans="1:1" x14ac:dyDescent="0.25">
      <c r="A9229" s="21">
        <v>4504505.1399999997</v>
      </c>
    </row>
    <row r="9230" spans="1:1" x14ac:dyDescent="0.25">
      <c r="A9230" s="21">
        <v>117303992.88</v>
      </c>
    </row>
    <row r="9231" spans="1:1" x14ac:dyDescent="0.25">
      <c r="A9231" s="21">
        <v>52496693.859999999</v>
      </c>
    </row>
    <row r="9232" spans="1:1" x14ac:dyDescent="0.25">
      <c r="A9232" s="21">
        <v>77095936.549999997</v>
      </c>
    </row>
    <row r="9233" spans="1:1" x14ac:dyDescent="0.25">
      <c r="A9233" s="21">
        <v>81584668.609999999</v>
      </c>
    </row>
    <row r="9234" spans="1:1" x14ac:dyDescent="0.25">
      <c r="A9234">
        <v>6844095</v>
      </c>
    </row>
    <row r="9235" spans="1:1" x14ac:dyDescent="0.25">
      <c r="A9235" s="21">
        <v>94615300.040000007</v>
      </c>
    </row>
    <row r="9236" spans="1:1" x14ac:dyDescent="0.25">
      <c r="A9236" s="21">
        <v>7214783.25</v>
      </c>
    </row>
    <row r="9237" spans="1:1" x14ac:dyDescent="0.25">
      <c r="A9237" s="21">
        <v>55069635.289999999</v>
      </c>
    </row>
    <row r="9238" spans="1:1" x14ac:dyDescent="0.25">
      <c r="A9238" s="21">
        <v>53399070.200000003</v>
      </c>
    </row>
    <row r="9239" spans="1:1" x14ac:dyDescent="0.25">
      <c r="A9239">
        <v>0</v>
      </c>
    </row>
    <row r="9240" spans="1:1" x14ac:dyDescent="0.25">
      <c r="A9240" s="21">
        <v>95296978.7299999</v>
      </c>
    </row>
    <row r="9241" spans="1:1" x14ac:dyDescent="0.25">
      <c r="A9241" s="21">
        <v>63478420.549999997</v>
      </c>
    </row>
    <row r="9242" spans="1:1" x14ac:dyDescent="0.25">
      <c r="A9242" s="21">
        <v>18673210.210000001</v>
      </c>
    </row>
    <row r="9243" spans="1:1" x14ac:dyDescent="0.25">
      <c r="A9243" s="21">
        <v>39240482.469999999</v>
      </c>
    </row>
    <row r="9244" spans="1:1" x14ac:dyDescent="0.25">
      <c r="A9244">
        <v>0</v>
      </c>
    </row>
    <row r="9245" spans="1:1" x14ac:dyDescent="0.25">
      <c r="A9245" s="21">
        <v>2840276.73</v>
      </c>
    </row>
    <row r="9246" spans="1:1" x14ac:dyDescent="0.25">
      <c r="A9246" s="21">
        <v>111620597.54000001</v>
      </c>
    </row>
    <row r="9247" spans="1:1" x14ac:dyDescent="0.25">
      <c r="A9247" s="21">
        <v>15835998.51</v>
      </c>
    </row>
    <row r="9248" spans="1:1" x14ac:dyDescent="0.25">
      <c r="A9248" s="21">
        <v>46598792.200000003</v>
      </c>
    </row>
    <row r="9249" spans="1:1" x14ac:dyDescent="0.25">
      <c r="A9249" s="21">
        <v>125085190.89</v>
      </c>
    </row>
    <row r="9250" spans="1:1" x14ac:dyDescent="0.25">
      <c r="A9250" s="21">
        <v>78677032.959999993</v>
      </c>
    </row>
    <row r="9251" spans="1:1" x14ac:dyDescent="0.25">
      <c r="A9251" s="21">
        <v>41531287.359999999</v>
      </c>
    </row>
    <row r="9252" spans="1:1" x14ac:dyDescent="0.25">
      <c r="A9252" s="21">
        <v>73977660.769999996</v>
      </c>
    </row>
    <row r="9253" spans="1:1" x14ac:dyDescent="0.25">
      <c r="A9253" s="21">
        <v>138275404.77000001</v>
      </c>
    </row>
    <row r="9254" spans="1:1" x14ac:dyDescent="0.25">
      <c r="A9254" s="21">
        <v>11763185.26</v>
      </c>
    </row>
    <row r="9255" spans="1:1" x14ac:dyDescent="0.25">
      <c r="A9255" s="21">
        <v>22805923.800000001</v>
      </c>
    </row>
    <row r="9256" spans="1:1" x14ac:dyDescent="0.25">
      <c r="A9256">
        <v>6338193</v>
      </c>
    </row>
    <row r="9257" spans="1:1" x14ac:dyDescent="0.25">
      <c r="A9257" s="21">
        <v>40891639.850000001</v>
      </c>
    </row>
    <row r="9258" spans="1:1" x14ac:dyDescent="0.25">
      <c r="A9258" s="21">
        <v>67926285.870000005</v>
      </c>
    </row>
    <row r="9259" spans="1:1" x14ac:dyDescent="0.25">
      <c r="A9259" s="21">
        <v>72209485.459999904</v>
      </c>
    </row>
    <row r="9260" spans="1:1" x14ac:dyDescent="0.25">
      <c r="A9260" s="21">
        <v>151983457.06999999</v>
      </c>
    </row>
    <row r="9261" spans="1:1" x14ac:dyDescent="0.25">
      <c r="A9261" s="21">
        <v>33321963.07</v>
      </c>
    </row>
    <row r="9262" spans="1:1" x14ac:dyDescent="0.25">
      <c r="A9262" s="21">
        <v>41720691.450000003</v>
      </c>
    </row>
    <row r="9263" spans="1:1" x14ac:dyDescent="0.25">
      <c r="A9263" s="21">
        <v>110331599.51000001</v>
      </c>
    </row>
    <row r="9264" spans="1:1" x14ac:dyDescent="0.25">
      <c r="A9264" s="21">
        <v>150823647.59</v>
      </c>
    </row>
    <row r="9265" spans="1:1" x14ac:dyDescent="0.25">
      <c r="A9265" s="21">
        <v>145799064.50999999</v>
      </c>
    </row>
    <row r="9266" spans="1:1" x14ac:dyDescent="0.25">
      <c r="A9266" s="21">
        <v>14401295.789999999</v>
      </c>
    </row>
    <row r="9267" spans="1:1" x14ac:dyDescent="0.25">
      <c r="A9267" s="21">
        <v>196833885.97999999</v>
      </c>
    </row>
    <row r="9268" spans="1:1" x14ac:dyDescent="0.25">
      <c r="A9268" s="21">
        <v>38117161.079999998</v>
      </c>
    </row>
    <row r="9269" spans="1:1" x14ac:dyDescent="0.25">
      <c r="A9269" s="21">
        <v>55881569.939999998</v>
      </c>
    </row>
    <row r="9270" spans="1:1" x14ac:dyDescent="0.25">
      <c r="A9270" s="21">
        <v>11930732.25</v>
      </c>
    </row>
    <row r="9271" spans="1:1" x14ac:dyDescent="0.25">
      <c r="A9271" s="21">
        <v>56265435.209999897</v>
      </c>
    </row>
    <row r="9272" spans="1:1" x14ac:dyDescent="0.25">
      <c r="A9272" s="21">
        <v>9436107.3000000007</v>
      </c>
    </row>
    <row r="9273" spans="1:1" x14ac:dyDescent="0.25">
      <c r="A9273" s="21">
        <v>535868837.14999998</v>
      </c>
    </row>
    <row r="9274" spans="1:1" x14ac:dyDescent="0.25">
      <c r="A9274" s="21">
        <v>32308824.059999999</v>
      </c>
    </row>
    <row r="9275" spans="1:1" x14ac:dyDescent="0.25">
      <c r="A9275" s="21">
        <v>95920959.870000005</v>
      </c>
    </row>
    <row r="9276" spans="1:1" x14ac:dyDescent="0.25">
      <c r="A9276" s="21">
        <v>18398882.370000001</v>
      </c>
    </row>
    <row r="9277" spans="1:1" x14ac:dyDescent="0.25">
      <c r="A9277" s="21">
        <v>13131510.75</v>
      </c>
    </row>
    <row r="9278" spans="1:1" x14ac:dyDescent="0.25">
      <c r="A9278" s="21">
        <v>69824093.900000006</v>
      </c>
    </row>
    <row r="9279" spans="1:1" x14ac:dyDescent="0.25">
      <c r="A9279" s="21">
        <v>27716636.66</v>
      </c>
    </row>
    <row r="9280" spans="1:1" x14ac:dyDescent="0.25">
      <c r="A9280" s="21">
        <v>29930874.219999999</v>
      </c>
    </row>
    <row r="9281" spans="1:1" x14ac:dyDescent="0.25">
      <c r="A9281" s="21">
        <v>46945151.590000004</v>
      </c>
    </row>
    <row r="9282" spans="1:1" x14ac:dyDescent="0.25">
      <c r="A9282" s="21">
        <v>27813772.43</v>
      </c>
    </row>
    <row r="9283" spans="1:1" x14ac:dyDescent="0.25">
      <c r="A9283" s="21">
        <v>10939952.960000001</v>
      </c>
    </row>
    <row r="9284" spans="1:1" x14ac:dyDescent="0.25">
      <c r="A9284" s="21">
        <v>229282908.40000001</v>
      </c>
    </row>
    <row r="9285" spans="1:1" x14ac:dyDescent="0.25">
      <c r="A9285" s="21">
        <v>17103530.140000001</v>
      </c>
    </row>
    <row r="9286" spans="1:1" x14ac:dyDescent="0.25">
      <c r="A9286" s="21">
        <v>55902141.829999998</v>
      </c>
    </row>
    <row r="9287" spans="1:1" x14ac:dyDescent="0.25">
      <c r="A9287" s="21">
        <v>46448788.390000001</v>
      </c>
    </row>
    <row r="9288" spans="1:1" x14ac:dyDescent="0.25">
      <c r="A9288" s="21">
        <v>8606108.2200000007</v>
      </c>
    </row>
    <row r="9289" spans="1:1" x14ac:dyDescent="0.25">
      <c r="A9289" s="21">
        <v>21415238.41</v>
      </c>
    </row>
    <row r="9290" spans="1:1" x14ac:dyDescent="0.25">
      <c r="A9290" s="21">
        <v>272634990.07999998</v>
      </c>
    </row>
    <row r="9291" spans="1:1" x14ac:dyDescent="0.25">
      <c r="A9291" s="21">
        <v>3094721.29</v>
      </c>
    </row>
    <row r="9292" spans="1:1" x14ac:dyDescent="0.25">
      <c r="A9292" s="21">
        <v>13975735.98</v>
      </c>
    </row>
    <row r="9293" spans="1:1" x14ac:dyDescent="0.25">
      <c r="A9293" s="21">
        <v>184008431.61000001</v>
      </c>
    </row>
    <row r="9294" spans="1:1" x14ac:dyDescent="0.25">
      <c r="A9294" s="21">
        <v>76781170.429999903</v>
      </c>
    </row>
    <row r="9295" spans="1:1" x14ac:dyDescent="0.25">
      <c r="A9295" s="21">
        <v>14584872.050000001</v>
      </c>
    </row>
    <row r="9296" spans="1:1" x14ac:dyDescent="0.25">
      <c r="A9296" s="21">
        <v>30069999.670000002</v>
      </c>
    </row>
    <row r="9297" spans="1:1" x14ac:dyDescent="0.25">
      <c r="A9297" s="21">
        <v>14265187.630000001</v>
      </c>
    </row>
    <row r="9298" spans="1:1" x14ac:dyDescent="0.25">
      <c r="A9298" s="21">
        <v>55285261.740000002</v>
      </c>
    </row>
    <row r="9299" spans="1:1" x14ac:dyDescent="0.25">
      <c r="A9299" s="21">
        <v>131599058.48999999</v>
      </c>
    </row>
    <row r="9300" spans="1:1" x14ac:dyDescent="0.25">
      <c r="A9300" s="21">
        <v>41404675.659999996</v>
      </c>
    </row>
    <row r="9301" spans="1:1" x14ac:dyDescent="0.25">
      <c r="A9301" s="21">
        <v>65169022.460000001</v>
      </c>
    </row>
    <row r="9302" spans="1:1" x14ac:dyDescent="0.25">
      <c r="A9302" s="21">
        <v>9974471.75</v>
      </c>
    </row>
    <row r="9303" spans="1:1" x14ac:dyDescent="0.25">
      <c r="A9303">
        <v>0</v>
      </c>
    </row>
    <row r="9304" spans="1:1" x14ac:dyDescent="0.25">
      <c r="A9304" s="21">
        <v>8584281.0600000005</v>
      </c>
    </row>
    <row r="9305" spans="1:1" x14ac:dyDescent="0.25">
      <c r="A9305" s="21">
        <v>6257148.0899999999</v>
      </c>
    </row>
    <row r="9306" spans="1:1" x14ac:dyDescent="0.25">
      <c r="A9306" s="21">
        <v>10137678.93</v>
      </c>
    </row>
    <row r="9307" spans="1:1" x14ac:dyDescent="0.25">
      <c r="A9307" s="21">
        <v>7333187.25</v>
      </c>
    </row>
    <row r="9308" spans="1:1" x14ac:dyDescent="0.25">
      <c r="A9308" s="21">
        <v>45493628.109999999</v>
      </c>
    </row>
    <row r="9309" spans="1:1" x14ac:dyDescent="0.25">
      <c r="A9309" s="21">
        <v>21780661.420000002</v>
      </c>
    </row>
    <row r="9310" spans="1:1" x14ac:dyDescent="0.25">
      <c r="A9310" s="21">
        <v>58469962.43</v>
      </c>
    </row>
    <row r="9311" spans="1:1" x14ac:dyDescent="0.25">
      <c r="A9311" s="21">
        <v>143917408.37</v>
      </c>
    </row>
    <row r="9312" spans="1:1" x14ac:dyDescent="0.25">
      <c r="A9312" s="21">
        <v>80959602.870000005</v>
      </c>
    </row>
    <row r="9313" spans="1:1" x14ac:dyDescent="0.25">
      <c r="A9313" s="21">
        <v>295032198.69999999</v>
      </c>
    </row>
    <row r="9314" spans="1:1" x14ac:dyDescent="0.25">
      <c r="A9314" s="21">
        <v>6180404.25</v>
      </c>
    </row>
    <row r="9315" spans="1:1" x14ac:dyDescent="0.25">
      <c r="A9315" s="21">
        <v>132825323.84999999</v>
      </c>
    </row>
    <row r="9316" spans="1:1" x14ac:dyDescent="0.25">
      <c r="A9316" s="21">
        <v>147522811.13</v>
      </c>
    </row>
    <row r="9317" spans="1:1" x14ac:dyDescent="0.25">
      <c r="A9317" s="21">
        <v>60792241.07</v>
      </c>
    </row>
    <row r="9318" spans="1:1" x14ac:dyDescent="0.25">
      <c r="A9318" s="21">
        <v>39436223.039999999</v>
      </c>
    </row>
    <row r="9319" spans="1:1" x14ac:dyDescent="0.25">
      <c r="A9319" s="21">
        <v>10327142.51</v>
      </c>
    </row>
    <row r="9320" spans="1:1" x14ac:dyDescent="0.25">
      <c r="A9320" s="21">
        <v>39566115.739999898</v>
      </c>
    </row>
    <row r="9321" spans="1:1" x14ac:dyDescent="0.25">
      <c r="A9321" s="21">
        <v>43858614.759999998</v>
      </c>
    </row>
    <row r="9322" spans="1:1" x14ac:dyDescent="0.25">
      <c r="A9322" s="21">
        <v>4510017.2300000004</v>
      </c>
    </row>
    <row r="9323" spans="1:1" x14ac:dyDescent="0.25">
      <c r="A9323" s="21">
        <v>72807375.579999998</v>
      </c>
    </row>
    <row r="9324" spans="1:1" x14ac:dyDescent="0.25">
      <c r="A9324" s="21">
        <v>42947086.869999997</v>
      </c>
    </row>
    <row r="9325" spans="1:1" x14ac:dyDescent="0.25">
      <c r="A9325" s="21">
        <v>11478889.390000001</v>
      </c>
    </row>
    <row r="9326" spans="1:1" x14ac:dyDescent="0.25">
      <c r="A9326" s="21">
        <v>49907072.539999999</v>
      </c>
    </row>
    <row r="9327" spans="1:1" x14ac:dyDescent="0.25">
      <c r="A9327" s="21">
        <v>121096536.86</v>
      </c>
    </row>
    <row r="9328" spans="1:1" x14ac:dyDescent="0.25">
      <c r="A9328" s="21">
        <v>109402772.94</v>
      </c>
    </row>
    <row r="9329" spans="1:1" x14ac:dyDescent="0.25">
      <c r="A9329" s="21">
        <v>203433368.22999999</v>
      </c>
    </row>
    <row r="9330" spans="1:1" x14ac:dyDescent="0.25">
      <c r="A9330">
        <v>0</v>
      </c>
    </row>
    <row r="9331" spans="1:1" x14ac:dyDescent="0.25">
      <c r="A9331" s="21">
        <v>71681138.75</v>
      </c>
    </row>
    <row r="9332" spans="1:1" x14ac:dyDescent="0.25">
      <c r="A9332" s="21">
        <v>52691785.560000002</v>
      </c>
    </row>
    <row r="9333" spans="1:1" x14ac:dyDescent="0.25">
      <c r="A9333">
        <v>12809262</v>
      </c>
    </row>
    <row r="9334" spans="1:1" x14ac:dyDescent="0.25">
      <c r="A9334">
        <v>0</v>
      </c>
    </row>
    <row r="9335" spans="1:1" x14ac:dyDescent="0.25">
      <c r="A9335" s="21">
        <v>134989795.40000001</v>
      </c>
    </row>
    <row r="9336" spans="1:1" x14ac:dyDescent="0.25">
      <c r="A9336" s="21">
        <v>52182958.280000001</v>
      </c>
    </row>
    <row r="9337" spans="1:1" x14ac:dyDescent="0.25">
      <c r="A9337" s="21">
        <v>160052647.61000001</v>
      </c>
    </row>
    <row r="9338" spans="1:1" x14ac:dyDescent="0.25">
      <c r="A9338" s="21">
        <v>8935123.9900000002</v>
      </c>
    </row>
    <row r="9339" spans="1:1" x14ac:dyDescent="0.25">
      <c r="A9339" s="21">
        <v>21478605.609999999</v>
      </c>
    </row>
    <row r="9340" spans="1:1" x14ac:dyDescent="0.25">
      <c r="A9340" s="21">
        <v>13599080.25</v>
      </c>
    </row>
    <row r="9341" spans="1:1" x14ac:dyDescent="0.25">
      <c r="A9341" s="21">
        <v>27111341.43</v>
      </c>
    </row>
    <row r="9342" spans="1:1" x14ac:dyDescent="0.25">
      <c r="A9342" s="21">
        <v>30195235.239999998</v>
      </c>
    </row>
    <row r="9343" spans="1:1" x14ac:dyDescent="0.25">
      <c r="A9343" s="21">
        <v>41010723.219999999</v>
      </c>
    </row>
    <row r="9344" spans="1:1" x14ac:dyDescent="0.25">
      <c r="A9344" s="21">
        <v>3999305.71</v>
      </c>
    </row>
    <row r="9345" spans="1:1" x14ac:dyDescent="0.25">
      <c r="A9345" s="21">
        <v>6388171.5</v>
      </c>
    </row>
    <row r="9346" spans="1:1" x14ac:dyDescent="0.25">
      <c r="A9346" s="21">
        <v>20789513.239999998</v>
      </c>
    </row>
    <row r="9347" spans="1:1" x14ac:dyDescent="0.25">
      <c r="A9347" s="21">
        <v>17763647.18</v>
      </c>
    </row>
    <row r="9348" spans="1:1" x14ac:dyDescent="0.25">
      <c r="A9348" s="21">
        <v>54924115.899999999</v>
      </c>
    </row>
    <row r="9349" spans="1:1" x14ac:dyDescent="0.25">
      <c r="A9349" s="21">
        <v>116463417.56999999</v>
      </c>
    </row>
    <row r="9350" spans="1:1" x14ac:dyDescent="0.25">
      <c r="A9350" s="21">
        <v>14933067.890000001</v>
      </c>
    </row>
    <row r="9351" spans="1:1" x14ac:dyDescent="0.25">
      <c r="A9351" s="21">
        <v>47686261.380000003</v>
      </c>
    </row>
    <row r="9352" spans="1:1" x14ac:dyDescent="0.25">
      <c r="A9352" s="21">
        <v>17931289.059999999</v>
      </c>
    </row>
    <row r="9353" spans="1:1" x14ac:dyDescent="0.25">
      <c r="A9353" s="21">
        <v>42432331.939999998</v>
      </c>
    </row>
    <row r="9354" spans="1:1" x14ac:dyDescent="0.25">
      <c r="A9354" s="21">
        <v>369547224.37</v>
      </c>
    </row>
    <row r="9355" spans="1:1" x14ac:dyDescent="0.25">
      <c r="A9355" s="21">
        <v>106265833.54000001</v>
      </c>
    </row>
    <row r="9356" spans="1:1" x14ac:dyDescent="0.25">
      <c r="A9356" s="21">
        <v>162552956.06</v>
      </c>
    </row>
    <row r="9357" spans="1:1" x14ac:dyDescent="0.25">
      <c r="A9357" s="21">
        <v>30562189.699999999</v>
      </c>
    </row>
    <row r="9358" spans="1:1" x14ac:dyDescent="0.25">
      <c r="A9358" s="21">
        <v>14332732.74</v>
      </c>
    </row>
    <row r="9359" spans="1:1" x14ac:dyDescent="0.25">
      <c r="A9359" s="21">
        <v>3999305.71</v>
      </c>
    </row>
    <row r="9360" spans="1:1" x14ac:dyDescent="0.25">
      <c r="A9360" s="21">
        <v>55965736.380000003</v>
      </c>
    </row>
    <row r="9361" spans="1:1" x14ac:dyDescent="0.25">
      <c r="A9361" s="21">
        <v>9830914.3100000005</v>
      </c>
    </row>
    <row r="9362" spans="1:1" x14ac:dyDescent="0.25">
      <c r="A9362" s="21">
        <v>48153319.939999998</v>
      </c>
    </row>
    <row r="9363" spans="1:1" x14ac:dyDescent="0.25">
      <c r="A9363" s="21">
        <v>4623034.84</v>
      </c>
    </row>
    <row r="9364" spans="1:1" x14ac:dyDescent="0.25">
      <c r="A9364" s="21">
        <v>27300300.34</v>
      </c>
    </row>
    <row r="9365" spans="1:1" x14ac:dyDescent="0.25">
      <c r="A9365" s="21">
        <v>27311229.579999998</v>
      </c>
    </row>
    <row r="9366" spans="1:1" x14ac:dyDescent="0.25">
      <c r="A9366" s="21">
        <v>28512443.370000001</v>
      </c>
    </row>
    <row r="9367" spans="1:1" x14ac:dyDescent="0.25">
      <c r="A9367" s="21">
        <v>114138534.83</v>
      </c>
    </row>
    <row r="9368" spans="1:1" x14ac:dyDescent="0.25">
      <c r="A9368" s="21">
        <v>57449708.950000003</v>
      </c>
    </row>
    <row r="9369" spans="1:1" x14ac:dyDescent="0.25">
      <c r="A9369" s="21">
        <v>101551783.38</v>
      </c>
    </row>
    <row r="9370" spans="1:1" x14ac:dyDescent="0.25">
      <c r="A9370" s="21">
        <v>4137168.93</v>
      </c>
    </row>
    <row r="9371" spans="1:1" x14ac:dyDescent="0.25">
      <c r="A9371">
        <v>0</v>
      </c>
    </row>
    <row r="9372" spans="1:1" x14ac:dyDescent="0.25">
      <c r="A9372" s="21">
        <v>75539589.319999903</v>
      </c>
    </row>
    <row r="9373" spans="1:1" x14ac:dyDescent="0.25">
      <c r="A9373" s="21">
        <v>17473118.559999999</v>
      </c>
    </row>
    <row r="9374" spans="1:1" x14ac:dyDescent="0.25">
      <c r="A9374" s="21">
        <v>146549340.94999999</v>
      </c>
    </row>
    <row r="9375" spans="1:1" x14ac:dyDescent="0.25">
      <c r="A9375" s="21">
        <v>117932466.40000001</v>
      </c>
    </row>
    <row r="9376" spans="1:1" x14ac:dyDescent="0.25">
      <c r="A9376" s="21">
        <v>25671222.59</v>
      </c>
    </row>
    <row r="9377" spans="1:1" x14ac:dyDescent="0.25">
      <c r="A9377" s="21">
        <v>66587203.099999897</v>
      </c>
    </row>
    <row r="9378" spans="1:1" x14ac:dyDescent="0.25">
      <c r="A9378" s="21">
        <v>107911747.79000001</v>
      </c>
    </row>
    <row r="9379" spans="1:1" x14ac:dyDescent="0.25">
      <c r="A9379" s="21">
        <v>7372581.75</v>
      </c>
    </row>
    <row r="9380" spans="1:1" x14ac:dyDescent="0.25">
      <c r="A9380" s="21">
        <v>13179517.16</v>
      </c>
    </row>
    <row r="9381" spans="1:1" x14ac:dyDescent="0.25">
      <c r="A9381" s="21">
        <v>42848527.710000001</v>
      </c>
    </row>
    <row r="9382" spans="1:1" x14ac:dyDescent="0.25">
      <c r="A9382" s="21">
        <v>30876587.489999998</v>
      </c>
    </row>
    <row r="9383" spans="1:1" x14ac:dyDescent="0.25">
      <c r="A9383" s="21">
        <v>14093445.380000001</v>
      </c>
    </row>
    <row r="9384" spans="1:1" x14ac:dyDescent="0.25">
      <c r="A9384" s="21">
        <v>95885125.030000001</v>
      </c>
    </row>
    <row r="9385" spans="1:1" x14ac:dyDescent="0.25">
      <c r="A9385" s="21">
        <v>19467277.5</v>
      </c>
    </row>
    <row r="9386" spans="1:1" x14ac:dyDescent="0.25">
      <c r="A9386" s="21">
        <v>33823673.210000001</v>
      </c>
    </row>
    <row r="9387" spans="1:1" x14ac:dyDescent="0.25">
      <c r="A9387" s="21">
        <v>4041029.29</v>
      </c>
    </row>
    <row r="9388" spans="1:1" x14ac:dyDescent="0.25">
      <c r="A9388" s="21">
        <v>54217365.280000001</v>
      </c>
    </row>
    <row r="9389" spans="1:1" x14ac:dyDescent="0.25">
      <c r="A9389" s="21">
        <v>162927410.97999999</v>
      </c>
    </row>
    <row r="9390" spans="1:1" x14ac:dyDescent="0.25">
      <c r="A9390" s="21">
        <v>349345948.739999</v>
      </c>
    </row>
    <row r="9391" spans="1:1" x14ac:dyDescent="0.25">
      <c r="A9391" s="21">
        <v>5962172.25</v>
      </c>
    </row>
    <row r="9392" spans="1:1" x14ac:dyDescent="0.25">
      <c r="A9392" s="21">
        <v>37570819.640000001</v>
      </c>
    </row>
    <row r="9393" spans="1:1" x14ac:dyDescent="0.25">
      <c r="A9393">
        <v>0</v>
      </c>
    </row>
    <row r="9394" spans="1:1" x14ac:dyDescent="0.25">
      <c r="A9394" s="21">
        <v>15670972.779999999</v>
      </c>
    </row>
    <row r="9395" spans="1:1" x14ac:dyDescent="0.25">
      <c r="A9395" s="21">
        <v>47827472.149999999</v>
      </c>
    </row>
    <row r="9396" spans="1:1" x14ac:dyDescent="0.25">
      <c r="A9396" s="21">
        <v>29879349.91</v>
      </c>
    </row>
    <row r="9397" spans="1:1" x14ac:dyDescent="0.25">
      <c r="A9397" s="21">
        <v>255471666.43000001</v>
      </c>
    </row>
    <row r="9398" spans="1:1" x14ac:dyDescent="0.25">
      <c r="A9398" s="21">
        <v>52397423.700000003</v>
      </c>
    </row>
    <row r="9399" spans="1:1" x14ac:dyDescent="0.25">
      <c r="A9399" s="21">
        <v>58093717.469999999</v>
      </c>
    </row>
    <row r="9400" spans="1:1" x14ac:dyDescent="0.25">
      <c r="A9400" s="21">
        <v>12698518.5</v>
      </c>
    </row>
    <row r="9401" spans="1:1" x14ac:dyDescent="0.25">
      <c r="A9401" s="21">
        <v>14759197.42</v>
      </c>
    </row>
    <row r="9402" spans="1:1" x14ac:dyDescent="0.25">
      <c r="A9402">
        <v>0</v>
      </c>
    </row>
    <row r="9403" spans="1:1" x14ac:dyDescent="0.25">
      <c r="A9403" s="21">
        <v>151672784.38999999</v>
      </c>
    </row>
    <row r="9404" spans="1:1" x14ac:dyDescent="0.25">
      <c r="A9404" s="21">
        <v>22300268.670000002</v>
      </c>
    </row>
    <row r="9405" spans="1:1" x14ac:dyDescent="0.25">
      <c r="A9405" s="21">
        <v>3105255.7</v>
      </c>
    </row>
    <row r="9406" spans="1:1" x14ac:dyDescent="0.25">
      <c r="A9406" s="21">
        <v>93879698.5</v>
      </c>
    </row>
    <row r="9407" spans="1:1" x14ac:dyDescent="0.25">
      <c r="A9407" s="21">
        <v>66611447.530000001</v>
      </c>
    </row>
    <row r="9408" spans="1:1" x14ac:dyDescent="0.25">
      <c r="A9408" s="21">
        <v>40015839.530000001</v>
      </c>
    </row>
    <row r="9409" spans="1:1" x14ac:dyDescent="0.25">
      <c r="A9409" s="21">
        <v>664307893.86000001</v>
      </c>
    </row>
    <row r="9410" spans="1:1" x14ac:dyDescent="0.25">
      <c r="A9410" s="21">
        <v>15147603.15</v>
      </c>
    </row>
    <row r="9411" spans="1:1" x14ac:dyDescent="0.25">
      <c r="A9411" s="21">
        <v>80056128.579999998</v>
      </c>
    </row>
    <row r="9412" spans="1:1" x14ac:dyDescent="0.25">
      <c r="A9412" s="21">
        <v>10825921.640000001</v>
      </c>
    </row>
    <row r="9413" spans="1:1" x14ac:dyDescent="0.25">
      <c r="A9413" s="21">
        <v>80419849.049999997</v>
      </c>
    </row>
    <row r="9414" spans="1:1" x14ac:dyDescent="0.25">
      <c r="A9414" s="21">
        <v>219439253.63999999</v>
      </c>
    </row>
    <row r="9415" spans="1:1" x14ac:dyDescent="0.25">
      <c r="A9415" s="21">
        <v>70853866.079999998</v>
      </c>
    </row>
    <row r="9416" spans="1:1" x14ac:dyDescent="0.25">
      <c r="A9416" s="21">
        <v>183715551.91</v>
      </c>
    </row>
    <row r="9417" spans="1:1" x14ac:dyDescent="0.25">
      <c r="A9417" s="21">
        <v>96817724.439999998</v>
      </c>
    </row>
    <row r="9418" spans="1:1" x14ac:dyDescent="0.25">
      <c r="A9418" s="21">
        <v>121342963.86</v>
      </c>
    </row>
    <row r="9419" spans="1:1" x14ac:dyDescent="0.25">
      <c r="A9419" s="21">
        <v>77223142.650000006</v>
      </c>
    </row>
    <row r="9420" spans="1:1" x14ac:dyDescent="0.25">
      <c r="A9420" s="21">
        <v>20402461.859999999</v>
      </c>
    </row>
    <row r="9421" spans="1:1" x14ac:dyDescent="0.25">
      <c r="A9421" s="21">
        <v>133059015.91</v>
      </c>
    </row>
    <row r="9422" spans="1:1" x14ac:dyDescent="0.25">
      <c r="A9422" s="21">
        <v>54546935.549999997</v>
      </c>
    </row>
    <row r="9423" spans="1:1" x14ac:dyDescent="0.25">
      <c r="A9423" s="21">
        <v>22495332.82</v>
      </c>
    </row>
    <row r="9424" spans="1:1" x14ac:dyDescent="0.25">
      <c r="A9424" s="21">
        <v>41705960.57</v>
      </c>
    </row>
    <row r="9425" spans="1:1" x14ac:dyDescent="0.25">
      <c r="A9425" s="21">
        <v>384873511.80999899</v>
      </c>
    </row>
    <row r="9426" spans="1:1" x14ac:dyDescent="0.25">
      <c r="A9426" s="21">
        <v>123712703.53</v>
      </c>
    </row>
    <row r="9427" spans="1:1" x14ac:dyDescent="0.25">
      <c r="A9427">
        <v>7038006</v>
      </c>
    </row>
    <row r="9428" spans="1:1" x14ac:dyDescent="0.25">
      <c r="A9428" s="21">
        <v>26143316.010000002</v>
      </c>
    </row>
    <row r="9429" spans="1:1" x14ac:dyDescent="0.25">
      <c r="A9429" s="21">
        <v>131191403.16</v>
      </c>
    </row>
    <row r="9430" spans="1:1" x14ac:dyDescent="0.25">
      <c r="A9430" s="21">
        <v>14324417.74</v>
      </c>
    </row>
    <row r="9431" spans="1:1" x14ac:dyDescent="0.25">
      <c r="A9431" s="21">
        <v>28205848.890000001</v>
      </c>
    </row>
    <row r="9432" spans="1:1" x14ac:dyDescent="0.25">
      <c r="A9432" s="21">
        <v>3127240.41</v>
      </c>
    </row>
    <row r="9433" spans="1:1" x14ac:dyDescent="0.25">
      <c r="A9433">
        <v>0</v>
      </c>
    </row>
    <row r="9434" spans="1:1" x14ac:dyDescent="0.25">
      <c r="A9434" s="21">
        <v>115539917.59</v>
      </c>
    </row>
    <row r="9435" spans="1:1" x14ac:dyDescent="0.25">
      <c r="A9435" s="21">
        <v>23133541.219999999</v>
      </c>
    </row>
    <row r="9436" spans="1:1" x14ac:dyDescent="0.25">
      <c r="A9436" s="21">
        <v>53251595.990000002</v>
      </c>
    </row>
    <row r="9437" spans="1:1" x14ac:dyDescent="0.25">
      <c r="A9437" s="21">
        <v>120236900.09999999</v>
      </c>
    </row>
    <row r="9438" spans="1:1" x14ac:dyDescent="0.25">
      <c r="A9438" s="21">
        <v>15350033.57</v>
      </c>
    </row>
    <row r="9439" spans="1:1" x14ac:dyDescent="0.25">
      <c r="A9439" s="21">
        <v>8410177.0099999998</v>
      </c>
    </row>
    <row r="9440" spans="1:1" x14ac:dyDescent="0.25">
      <c r="A9440" s="21">
        <v>31726233.41</v>
      </c>
    </row>
    <row r="9441" spans="1:1" x14ac:dyDescent="0.25">
      <c r="A9441" s="21">
        <v>11114034.199999999</v>
      </c>
    </row>
    <row r="9442" spans="1:1" x14ac:dyDescent="0.25">
      <c r="A9442">
        <v>0</v>
      </c>
    </row>
    <row r="9443" spans="1:1" x14ac:dyDescent="0.25">
      <c r="A9443" s="21">
        <v>16061451.24</v>
      </c>
    </row>
    <row r="9444" spans="1:1" x14ac:dyDescent="0.25">
      <c r="A9444" s="21">
        <v>3200785.64</v>
      </c>
    </row>
    <row r="9445" spans="1:1" x14ac:dyDescent="0.25">
      <c r="A9445" s="21">
        <v>48755589.369999997</v>
      </c>
    </row>
    <row r="9446" spans="1:1" x14ac:dyDescent="0.25">
      <c r="A9446" s="21">
        <v>48410136.950000003</v>
      </c>
    </row>
    <row r="9447" spans="1:1" x14ac:dyDescent="0.25">
      <c r="A9447" s="21">
        <v>245125878.44</v>
      </c>
    </row>
    <row r="9448" spans="1:1" x14ac:dyDescent="0.25">
      <c r="A9448" s="21">
        <v>22799671.5</v>
      </c>
    </row>
    <row r="9449" spans="1:1" x14ac:dyDescent="0.25">
      <c r="A9449">
        <v>0</v>
      </c>
    </row>
    <row r="9450" spans="1:1" x14ac:dyDescent="0.25">
      <c r="A9450" s="21">
        <v>67856602.379999995</v>
      </c>
    </row>
    <row r="9451" spans="1:1" x14ac:dyDescent="0.25">
      <c r="A9451">
        <v>42889936</v>
      </c>
    </row>
    <row r="9452" spans="1:1" x14ac:dyDescent="0.25">
      <c r="A9452" s="21">
        <v>7229123.79</v>
      </c>
    </row>
    <row r="9453" spans="1:1" x14ac:dyDescent="0.25">
      <c r="A9453">
        <v>0</v>
      </c>
    </row>
    <row r="9454" spans="1:1" x14ac:dyDescent="0.25">
      <c r="A9454" s="21">
        <v>5649473.25</v>
      </c>
    </row>
    <row r="9455" spans="1:1" x14ac:dyDescent="0.25">
      <c r="A9455" s="21">
        <v>12802779.75</v>
      </c>
    </row>
    <row r="9456" spans="1:1" x14ac:dyDescent="0.25">
      <c r="A9456" s="21">
        <v>21155337.84</v>
      </c>
    </row>
    <row r="9457" spans="1:1" x14ac:dyDescent="0.25">
      <c r="A9457" s="21">
        <v>3705872.51</v>
      </c>
    </row>
    <row r="9458" spans="1:1" x14ac:dyDescent="0.25">
      <c r="A9458" s="21">
        <v>129740257.79000001</v>
      </c>
    </row>
    <row r="9459" spans="1:1" x14ac:dyDescent="0.25">
      <c r="A9459" s="21">
        <v>322038507.82999998</v>
      </c>
    </row>
    <row r="9460" spans="1:1" x14ac:dyDescent="0.25">
      <c r="A9460" s="21">
        <v>17104027.739999998</v>
      </c>
    </row>
    <row r="9461" spans="1:1" x14ac:dyDescent="0.25">
      <c r="A9461" s="21">
        <v>76102981.180000007</v>
      </c>
    </row>
    <row r="9462" spans="1:1" x14ac:dyDescent="0.25">
      <c r="A9462" s="21">
        <v>36644318.020000003</v>
      </c>
    </row>
    <row r="9463" spans="1:1" x14ac:dyDescent="0.25">
      <c r="A9463" s="21">
        <v>72002962.430000007</v>
      </c>
    </row>
    <row r="9464" spans="1:1" x14ac:dyDescent="0.25">
      <c r="A9464" s="21">
        <v>21380649.93</v>
      </c>
    </row>
    <row r="9465" spans="1:1" x14ac:dyDescent="0.25">
      <c r="A9465" s="21">
        <v>87278476.540000007</v>
      </c>
    </row>
    <row r="9466" spans="1:1" x14ac:dyDescent="0.25">
      <c r="A9466" s="21">
        <v>5258302.5</v>
      </c>
    </row>
    <row r="9467" spans="1:1" x14ac:dyDescent="0.25">
      <c r="A9467" s="21">
        <v>230464574.38999999</v>
      </c>
    </row>
    <row r="9468" spans="1:1" x14ac:dyDescent="0.25">
      <c r="A9468" s="21">
        <v>62133572.280000001</v>
      </c>
    </row>
    <row r="9469" spans="1:1" x14ac:dyDescent="0.25">
      <c r="A9469" s="21">
        <v>22076619.260000002</v>
      </c>
    </row>
    <row r="9470" spans="1:1" x14ac:dyDescent="0.25">
      <c r="A9470" s="21">
        <v>78836233.989999905</v>
      </c>
    </row>
    <row r="9471" spans="1:1" x14ac:dyDescent="0.25">
      <c r="A9471" s="21">
        <v>42523756.909999996</v>
      </c>
    </row>
    <row r="9472" spans="1:1" x14ac:dyDescent="0.25">
      <c r="A9472" s="21">
        <v>166305165.69</v>
      </c>
    </row>
    <row r="9473" spans="1:1" x14ac:dyDescent="0.25">
      <c r="A9473" s="21">
        <v>21285872.199999999</v>
      </c>
    </row>
    <row r="9474" spans="1:1" x14ac:dyDescent="0.25">
      <c r="A9474" s="21">
        <v>62300162.090000004</v>
      </c>
    </row>
    <row r="9475" spans="1:1" x14ac:dyDescent="0.25">
      <c r="A9475" s="21">
        <v>210119881.88</v>
      </c>
    </row>
    <row r="9476" spans="1:1" x14ac:dyDescent="0.25">
      <c r="A9476" s="21">
        <v>54591554.630000003</v>
      </c>
    </row>
    <row r="9477" spans="1:1" x14ac:dyDescent="0.25">
      <c r="A9477" s="21">
        <v>45262274.899999999</v>
      </c>
    </row>
    <row r="9478" spans="1:1" x14ac:dyDescent="0.25">
      <c r="A9478" s="21">
        <v>26624519.34</v>
      </c>
    </row>
    <row r="9479" spans="1:1" x14ac:dyDescent="0.25">
      <c r="A9479" s="21">
        <v>50012515.140000001</v>
      </c>
    </row>
    <row r="9480" spans="1:1" x14ac:dyDescent="0.25">
      <c r="A9480" s="21">
        <v>47095792.869999997</v>
      </c>
    </row>
    <row r="9481" spans="1:1" x14ac:dyDescent="0.25">
      <c r="A9481" s="21">
        <v>35210284.390000001</v>
      </c>
    </row>
    <row r="9482" spans="1:1" x14ac:dyDescent="0.25">
      <c r="A9482" s="21">
        <v>109684443.29000001</v>
      </c>
    </row>
    <row r="9483" spans="1:1" x14ac:dyDescent="0.25">
      <c r="A9483" s="21">
        <v>65717518.25</v>
      </c>
    </row>
    <row r="9484" spans="1:1" x14ac:dyDescent="0.25">
      <c r="A9484" s="21">
        <v>199693830.41999999</v>
      </c>
    </row>
    <row r="9485" spans="1:1" x14ac:dyDescent="0.25">
      <c r="A9485" s="21">
        <v>49638382.75</v>
      </c>
    </row>
    <row r="9486" spans="1:1" x14ac:dyDescent="0.25">
      <c r="A9486" s="21">
        <v>20218863.350000001</v>
      </c>
    </row>
    <row r="9487" spans="1:1" x14ac:dyDescent="0.25">
      <c r="A9487" s="21">
        <v>64967591.060000002</v>
      </c>
    </row>
    <row r="9488" spans="1:1" x14ac:dyDescent="0.25">
      <c r="A9488" s="21">
        <v>305636342.75999999</v>
      </c>
    </row>
    <row r="9489" spans="1:1" x14ac:dyDescent="0.25">
      <c r="A9489" s="21">
        <v>170982752.80000001</v>
      </c>
    </row>
    <row r="9490" spans="1:1" x14ac:dyDescent="0.25">
      <c r="A9490" s="21">
        <v>53956512.560000002</v>
      </c>
    </row>
    <row r="9491" spans="1:1" x14ac:dyDescent="0.25">
      <c r="A9491">
        <v>0</v>
      </c>
    </row>
    <row r="9492" spans="1:1" x14ac:dyDescent="0.25">
      <c r="A9492">
        <v>17082895</v>
      </c>
    </row>
    <row r="9493" spans="1:1" x14ac:dyDescent="0.25">
      <c r="A9493" s="21">
        <v>68328946.319999903</v>
      </c>
    </row>
    <row r="9494" spans="1:1" x14ac:dyDescent="0.25">
      <c r="A9494">
        <v>6108378</v>
      </c>
    </row>
    <row r="9495" spans="1:1" x14ac:dyDescent="0.25">
      <c r="A9495" s="21">
        <v>3850977.09</v>
      </c>
    </row>
    <row r="9496" spans="1:1" x14ac:dyDescent="0.25">
      <c r="A9496">
        <v>75720500</v>
      </c>
    </row>
    <row r="9497" spans="1:1" x14ac:dyDescent="0.25">
      <c r="A9497" s="21">
        <v>58020644.399999999</v>
      </c>
    </row>
    <row r="9498" spans="1:1" x14ac:dyDescent="0.25">
      <c r="A9498" s="21">
        <v>19772881.629999999</v>
      </c>
    </row>
    <row r="9499" spans="1:1" x14ac:dyDescent="0.25">
      <c r="A9499">
        <v>6503304</v>
      </c>
    </row>
    <row r="9500" spans="1:1" x14ac:dyDescent="0.25">
      <c r="A9500" s="21">
        <v>24262166.43</v>
      </c>
    </row>
    <row r="9501" spans="1:1" x14ac:dyDescent="0.25">
      <c r="A9501" s="21">
        <v>5510544.75</v>
      </c>
    </row>
    <row r="9502" spans="1:1" x14ac:dyDescent="0.25">
      <c r="A9502">
        <v>0</v>
      </c>
    </row>
    <row r="9503" spans="1:1" x14ac:dyDescent="0.25">
      <c r="A9503" s="21">
        <v>106521157.98</v>
      </c>
    </row>
    <row r="9504" spans="1:1" x14ac:dyDescent="0.25">
      <c r="A9504" s="21">
        <v>270896311.32999998</v>
      </c>
    </row>
    <row r="9505" spans="1:1" x14ac:dyDescent="0.25">
      <c r="A9505" s="21">
        <v>124741328.03</v>
      </c>
    </row>
    <row r="9506" spans="1:1" x14ac:dyDescent="0.25">
      <c r="A9506" s="21">
        <v>21274977.75</v>
      </c>
    </row>
    <row r="9507" spans="1:1" x14ac:dyDescent="0.25">
      <c r="A9507" s="21">
        <v>51862579.649999999</v>
      </c>
    </row>
    <row r="9508" spans="1:1" x14ac:dyDescent="0.25">
      <c r="A9508" s="21">
        <v>96373026.599999905</v>
      </c>
    </row>
    <row r="9509" spans="1:1" x14ac:dyDescent="0.25">
      <c r="A9509" s="21">
        <v>61314770.43</v>
      </c>
    </row>
    <row r="9510" spans="1:1" x14ac:dyDescent="0.25">
      <c r="A9510" s="21">
        <v>72566321.049999997</v>
      </c>
    </row>
    <row r="9511" spans="1:1" x14ac:dyDescent="0.25">
      <c r="A9511" s="21">
        <v>25402161.489999998</v>
      </c>
    </row>
    <row r="9512" spans="1:1" x14ac:dyDescent="0.25">
      <c r="A9512" s="21">
        <v>323605512.79000002</v>
      </c>
    </row>
    <row r="9513" spans="1:1" x14ac:dyDescent="0.25">
      <c r="A9513" s="21">
        <v>85048650.510000005</v>
      </c>
    </row>
    <row r="9514" spans="1:1" x14ac:dyDescent="0.25">
      <c r="A9514" s="21">
        <v>162824704.78999999</v>
      </c>
    </row>
    <row r="9515" spans="1:1" x14ac:dyDescent="0.25">
      <c r="A9515" s="21">
        <v>109101609.66</v>
      </c>
    </row>
    <row r="9516" spans="1:1" x14ac:dyDescent="0.25">
      <c r="A9516" s="21">
        <v>240846841.16999999</v>
      </c>
    </row>
    <row r="9517" spans="1:1" x14ac:dyDescent="0.25">
      <c r="A9517" s="21">
        <v>84126419.629999995</v>
      </c>
    </row>
    <row r="9518" spans="1:1" x14ac:dyDescent="0.25">
      <c r="A9518" s="21">
        <v>79735827.509999901</v>
      </c>
    </row>
    <row r="9519" spans="1:1" x14ac:dyDescent="0.25">
      <c r="A9519" s="21">
        <v>10967623.960000001</v>
      </c>
    </row>
    <row r="9520" spans="1:1" x14ac:dyDescent="0.25">
      <c r="A9520" s="21">
        <v>168917034.27000001</v>
      </c>
    </row>
    <row r="9521" spans="1:1" x14ac:dyDescent="0.25">
      <c r="A9521" s="21">
        <v>78193476.509999901</v>
      </c>
    </row>
    <row r="9522" spans="1:1" x14ac:dyDescent="0.25">
      <c r="A9522" s="21">
        <v>80226516.3699999</v>
      </c>
    </row>
    <row r="9523" spans="1:1" x14ac:dyDescent="0.25">
      <c r="A9523" s="21">
        <v>37253974.509999998</v>
      </c>
    </row>
    <row r="9524" spans="1:1" x14ac:dyDescent="0.25">
      <c r="A9524" s="21">
        <v>46033976.759999998</v>
      </c>
    </row>
    <row r="9525" spans="1:1" x14ac:dyDescent="0.25">
      <c r="A9525" s="21">
        <v>234731613.72999999</v>
      </c>
    </row>
    <row r="9526" spans="1:1" x14ac:dyDescent="0.25">
      <c r="A9526" s="21">
        <v>8656279.4000000004</v>
      </c>
    </row>
    <row r="9527" spans="1:1" x14ac:dyDescent="0.25">
      <c r="A9527" s="21">
        <v>158629695.53</v>
      </c>
    </row>
    <row r="9528" spans="1:1" x14ac:dyDescent="0.25">
      <c r="A9528" s="21">
        <v>37981446.369999997</v>
      </c>
    </row>
    <row r="9529" spans="1:1" x14ac:dyDescent="0.25">
      <c r="A9529" s="21">
        <v>35220446.140000001</v>
      </c>
    </row>
    <row r="9530" spans="1:1" x14ac:dyDescent="0.25">
      <c r="A9530" s="21">
        <v>39950897.899999999</v>
      </c>
    </row>
    <row r="9531" spans="1:1" x14ac:dyDescent="0.25">
      <c r="A9531" s="21">
        <v>68238181.859999999</v>
      </c>
    </row>
    <row r="9532" spans="1:1" x14ac:dyDescent="0.25">
      <c r="A9532" s="21">
        <v>36212085.409999996</v>
      </c>
    </row>
    <row r="9533" spans="1:1" x14ac:dyDescent="0.25">
      <c r="A9533" s="21">
        <v>8591934.4100000001</v>
      </c>
    </row>
    <row r="9534" spans="1:1" x14ac:dyDescent="0.25">
      <c r="A9534" s="21">
        <v>79762790.379999995</v>
      </c>
    </row>
    <row r="9535" spans="1:1" x14ac:dyDescent="0.25">
      <c r="A9535" s="21">
        <v>86945530.310000002</v>
      </c>
    </row>
    <row r="9536" spans="1:1" x14ac:dyDescent="0.25">
      <c r="A9536" s="21">
        <v>45979222.289999999</v>
      </c>
    </row>
    <row r="9537" spans="1:1" x14ac:dyDescent="0.25">
      <c r="A9537" s="21">
        <v>18910262.91</v>
      </c>
    </row>
    <row r="9538" spans="1:1" x14ac:dyDescent="0.25">
      <c r="A9538" s="21">
        <v>18019219.559999999</v>
      </c>
    </row>
    <row r="9539" spans="1:1" x14ac:dyDescent="0.25">
      <c r="A9539" s="21">
        <v>26243765.640000001</v>
      </c>
    </row>
    <row r="9540" spans="1:1" x14ac:dyDescent="0.25">
      <c r="A9540" s="21">
        <v>64095400.770000003</v>
      </c>
    </row>
    <row r="9541" spans="1:1" x14ac:dyDescent="0.25">
      <c r="A9541" s="21">
        <v>44333984.349999897</v>
      </c>
    </row>
    <row r="9542" spans="1:1" x14ac:dyDescent="0.25">
      <c r="A9542" s="21">
        <v>52665236.079999998</v>
      </c>
    </row>
    <row r="9543" spans="1:1" x14ac:dyDescent="0.25">
      <c r="A9543" s="21">
        <v>61024159.909999996</v>
      </c>
    </row>
    <row r="9544" spans="1:1" x14ac:dyDescent="0.25">
      <c r="A9544" s="21">
        <v>4026771.02</v>
      </c>
    </row>
    <row r="9545" spans="1:1" x14ac:dyDescent="0.25">
      <c r="A9545" s="21">
        <v>28917394.629999999</v>
      </c>
    </row>
    <row r="9546" spans="1:1" x14ac:dyDescent="0.25">
      <c r="A9546" s="21">
        <v>184780675.75999999</v>
      </c>
    </row>
    <row r="9547" spans="1:1" x14ac:dyDescent="0.25">
      <c r="A9547" s="21">
        <v>60029665.969999999</v>
      </c>
    </row>
    <row r="9548" spans="1:1" x14ac:dyDescent="0.25">
      <c r="A9548" s="21">
        <v>41184797.490000002</v>
      </c>
    </row>
    <row r="9549" spans="1:1" x14ac:dyDescent="0.25">
      <c r="A9549" s="21">
        <v>20082478.460000001</v>
      </c>
    </row>
    <row r="9550" spans="1:1" x14ac:dyDescent="0.25">
      <c r="A9550" s="21">
        <v>3081148.43</v>
      </c>
    </row>
    <row r="9551" spans="1:1" x14ac:dyDescent="0.25">
      <c r="A9551" s="21">
        <v>59918276.799999997</v>
      </c>
    </row>
    <row r="9552" spans="1:1" x14ac:dyDescent="0.25">
      <c r="A9552" s="21">
        <v>33673930.979999997</v>
      </c>
    </row>
    <row r="9553" spans="1:1" x14ac:dyDescent="0.25">
      <c r="A9553" s="21">
        <v>12879624.07</v>
      </c>
    </row>
    <row r="9554" spans="1:1" x14ac:dyDescent="0.25">
      <c r="A9554" s="21">
        <v>133728008.20999999</v>
      </c>
    </row>
    <row r="9555" spans="1:1" x14ac:dyDescent="0.25">
      <c r="A9555" s="21">
        <v>121861482.47</v>
      </c>
    </row>
    <row r="9556" spans="1:1" x14ac:dyDescent="0.25">
      <c r="A9556" s="21">
        <v>93667636.599999905</v>
      </c>
    </row>
    <row r="9557" spans="1:1" x14ac:dyDescent="0.25">
      <c r="A9557" s="21">
        <v>20171598.199999999</v>
      </c>
    </row>
    <row r="9558" spans="1:1" x14ac:dyDescent="0.25">
      <c r="A9558" s="21">
        <v>11759447.15</v>
      </c>
    </row>
    <row r="9559" spans="1:1" x14ac:dyDescent="0.25">
      <c r="A9559" s="21">
        <v>18845079.75</v>
      </c>
    </row>
    <row r="9560" spans="1:1" x14ac:dyDescent="0.25">
      <c r="A9560" s="21">
        <v>127480664.12</v>
      </c>
    </row>
    <row r="9561" spans="1:1" x14ac:dyDescent="0.25">
      <c r="A9561" s="21">
        <v>17611605.75</v>
      </c>
    </row>
    <row r="9562" spans="1:1" x14ac:dyDescent="0.25">
      <c r="A9562" s="21">
        <v>60416348.82</v>
      </c>
    </row>
    <row r="9563" spans="1:1" x14ac:dyDescent="0.25">
      <c r="A9563" s="21">
        <v>31868810.5</v>
      </c>
    </row>
    <row r="9564" spans="1:1" x14ac:dyDescent="0.25">
      <c r="A9564" s="21">
        <v>221823045.22999999</v>
      </c>
    </row>
    <row r="9565" spans="1:1" x14ac:dyDescent="0.25">
      <c r="A9565" s="21">
        <v>142554767.11000001</v>
      </c>
    </row>
    <row r="9566" spans="1:1" x14ac:dyDescent="0.25">
      <c r="A9566" s="21">
        <v>298255747.89999998</v>
      </c>
    </row>
    <row r="9567" spans="1:1" x14ac:dyDescent="0.25">
      <c r="A9567" s="21">
        <v>36573899.840000004</v>
      </c>
    </row>
    <row r="9568" spans="1:1" x14ac:dyDescent="0.25">
      <c r="A9568" s="21">
        <v>34097638.299999997</v>
      </c>
    </row>
    <row r="9569" spans="1:1" x14ac:dyDescent="0.25">
      <c r="A9569" s="21">
        <v>71457155.039999902</v>
      </c>
    </row>
    <row r="9570" spans="1:1" x14ac:dyDescent="0.25">
      <c r="A9570" s="21">
        <v>733133278.50999999</v>
      </c>
    </row>
    <row r="9571" spans="1:1" x14ac:dyDescent="0.25">
      <c r="A9571" s="21">
        <v>13496639.25</v>
      </c>
    </row>
    <row r="9572" spans="1:1" x14ac:dyDescent="0.25">
      <c r="A9572" s="21">
        <v>95048628.040000007</v>
      </c>
    </row>
    <row r="9573" spans="1:1" x14ac:dyDescent="0.25">
      <c r="A9573">
        <v>0</v>
      </c>
    </row>
    <row r="9574" spans="1:1" x14ac:dyDescent="0.25">
      <c r="A9574" s="21">
        <v>86878134.989999995</v>
      </c>
    </row>
    <row r="9575" spans="1:1" x14ac:dyDescent="0.25">
      <c r="A9575" s="21">
        <v>7235905.5300000003</v>
      </c>
    </row>
    <row r="9576" spans="1:1" x14ac:dyDescent="0.25">
      <c r="A9576" s="21">
        <v>111842165.26000001</v>
      </c>
    </row>
    <row r="9577" spans="1:1" x14ac:dyDescent="0.25">
      <c r="A9577" s="21">
        <v>28918225.84</v>
      </c>
    </row>
    <row r="9578" spans="1:1" x14ac:dyDescent="0.25">
      <c r="A9578" s="21">
        <v>154762510.5</v>
      </c>
    </row>
    <row r="9579" spans="1:1" x14ac:dyDescent="0.25">
      <c r="A9579" s="21">
        <v>9535883.5399999991</v>
      </c>
    </row>
    <row r="9580" spans="1:1" x14ac:dyDescent="0.25">
      <c r="A9580" s="21">
        <v>61040548.590000004</v>
      </c>
    </row>
    <row r="9581" spans="1:1" x14ac:dyDescent="0.25">
      <c r="A9581" s="21">
        <v>231300896.58000001</v>
      </c>
    </row>
    <row r="9582" spans="1:1" x14ac:dyDescent="0.25">
      <c r="A9582" s="21">
        <v>118206744.31999999</v>
      </c>
    </row>
    <row r="9583" spans="1:1" x14ac:dyDescent="0.25">
      <c r="A9583" s="21">
        <v>28659226.420000002</v>
      </c>
    </row>
    <row r="9584" spans="1:1" x14ac:dyDescent="0.25">
      <c r="A9584" s="21">
        <v>213474230.72999999</v>
      </c>
    </row>
    <row r="9585" spans="1:1" x14ac:dyDescent="0.25">
      <c r="A9585" s="21">
        <v>94833072.569999903</v>
      </c>
    </row>
    <row r="9586" spans="1:1" x14ac:dyDescent="0.25">
      <c r="A9586" s="21">
        <v>112681599.37</v>
      </c>
    </row>
    <row r="9587" spans="1:1" x14ac:dyDescent="0.25">
      <c r="A9587" s="21">
        <v>10217026.98</v>
      </c>
    </row>
    <row r="9588" spans="1:1" x14ac:dyDescent="0.25">
      <c r="A9588" s="21">
        <v>89980578.790000007</v>
      </c>
    </row>
    <row r="9589" spans="1:1" x14ac:dyDescent="0.25">
      <c r="A9589" s="21">
        <v>48705531.789999999</v>
      </c>
    </row>
    <row r="9590" spans="1:1" x14ac:dyDescent="0.25">
      <c r="A9590" s="21">
        <v>47018625.259999998</v>
      </c>
    </row>
    <row r="9591" spans="1:1" x14ac:dyDescent="0.25">
      <c r="A9591">
        <v>0</v>
      </c>
    </row>
    <row r="9592" spans="1:1" x14ac:dyDescent="0.25">
      <c r="A9592" s="21">
        <v>166939066.53</v>
      </c>
    </row>
    <row r="9593" spans="1:1" x14ac:dyDescent="0.25">
      <c r="A9593" s="21">
        <v>10227767.140000001</v>
      </c>
    </row>
    <row r="9594" spans="1:1" x14ac:dyDescent="0.25">
      <c r="A9594" s="21">
        <v>85055280.319999993</v>
      </c>
    </row>
    <row r="9595" spans="1:1" x14ac:dyDescent="0.25">
      <c r="A9595">
        <v>12954675</v>
      </c>
    </row>
    <row r="9596" spans="1:1" x14ac:dyDescent="0.25">
      <c r="A9596" s="21">
        <v>81227338.640000001</v>
      </c>
    </row>
    <row r="9597" spans="1:1" x14ac:dyDescent="0.25">
      <c r="A9597" s="21">
        <v>107724826.55</v>
      </c>
    </row>
    <row r="9598" spans="1:1" x14ac:dyDescent="0.25">
      <c r="A9598" s="21">
        <v>430517373.91000003</v>
      </c>
    </row>
    <row r="9599" spans="1:1" x14ac:dyDescent="0.25">
      <c r="A9599" s="21">
        <v>38521505.409999996</v>
      </c>
    </row>
    <row r="9600" spans="1:1" x14ac:dyDescent="0.25">
      <c r="A9600" s="21">
        <v>19834588.43</v>
      </c>
    </row>
    <row r="9601" spans="1:1" x14ac:dyDescent="0.25">
      <c r="A9601" s="21">
        <v>73568973.340000004</v>
      </c>
    </row>
    <row r="9602" spans="1:1" x14ac:dyDescent="0.25">
      <c r="A9602" s="21">
        <v>52207340</v>
      </c>
    </row>
    <row r="9603" spans="1:1" x14ac:dyDescent="0.25">
      <c r="A9603" s="21">
        <v>10298373.689999999</v>
      </c>
    </row>
    <row r="9604" spans="1:1" x14ac:dyDescent="0.25">
      <c r="A9604" s="21">
        <v>45346214.799999997</v>
      </c>
    </row>
    <row r="9605" spans="1:1" x14ac:dyDescent="0.25">
      <c r="A9605" s="21">
        <v>36379090.950000003</v>
      </c>
    </row>
    <row r="9606" spans="1:1" x14ac:dyDescent="0.25">
      <c r="A9606" s="21">
        <v>21446815.329999998</v>
      </c>
    </row>
    <row r="9607" spans="1:1" x14ac:dyDescent="0.25">
      <c r="A9607" s="21">
        <v>12918198.17</v>
      </c>
    </row>
    <row r="9608" spans="1:1" x14ac:dyDescent="0.25">
      <c r="A9608" s="21">
        <v>37950835.479999997</v>
      </c>
    </row>
    <row r="9609" spans="1:1" x14ac:dyDescent="0.25">
      <c r="A9609" s="21">
        <v>191819433.50999999</v>
      </c>
    </row>
    <row r="9610" spans="1:1" x14ac:dyDescent="0.25">
      <c r="A9610" s="21">
        <v>58987973.979999997</v>
      </c>
    </row>
    <row r="9611" spans="1:1" x14ac:dyDescent="0.25">
      <c r="A9611">
        <v>0</v>
      </c>
    </row>
    <row r="9612" spans="1:1" x14ac:dyDescent="0.25">
      <c r="A9612" s="21">
        <v>39519719.32</v>
      </c>
    </row>
    <row r="9613" spans="1:1" x14ac:dyDescent="0.25">
      <c r="A9613" s="21">
        <v>107743975.16</v>
      </c>
    </row>
    <row r="9614" spans="1:1" x14ac:dyDescent="0.25">
      <c r="A9614" s="21">
        <v>16207598.52</v>
      </c>
    </row>
    <row r="9615" spans="1:1" x14ac:dyDescent="0.25">
      <c r="A9615" s="21">
        <v>506425457.00999999</v>
      </c>
    </row>
    <row r="9616" spans="1:1" x14ac:dyDescent="0.25">
      <c r="A9616" s="21">
        <v>33812634.890000001</v>
      </c>
    </row>
    <row r="9617" spans="1:1" x14ac:dyDescent="0.25">
      <c r="A9617" s="21">
        <v>89591791.409999996</v>
      </c>
    </row>
    <row r="9618" spans="1:1" x14ac:dyDescent="0.25">
      <c r="A9618" s="21">
        <v>345090422.13999999</v>
      </c>
    </row>
    <row r="9619" spans="1:1" x14ac:dyDescent="0.25">
      <c r="A9619" s="21">
        <v>47100327.780000001</v>
      </c>
    </row>
    <row r="9620" spans="1:1" x14ac:dyDescent="0.25">
      <c r="A9620" s="21">
        <v>31180135.75</v>
      </c>
    </row>
    <row r="9621" spans="1:1" x14ac:dyDescent="0.25">
      <c r="A9621" s="21">
        <v>370804962.06</v>
      </c>
    </row>
    <row r="9622" spans="1:1" x14ac:dyDescent="0.25">
      <c r="A9622" s="21">
        <v>8551555.8300000001</v>
      </c>
    </row>
    <row r="9623" spans="1:1" x14ac:dyDescent="0.25">
      <c r="A9623" s="21">
        <v>194001955.87</v>
      </c>
    </row>
    <row r="9624" spans="1:1" x14ac:dyDescent="0.25">
      <c r="A9624" s="21">
        <v>91579508.530000001</v>
      </c>
    </row>
    <row r="9625" spans="1:1" x14ac:dyDescent="0.25">
      <c r="A9625" s="21">
        <v>29422778.960000001</v>
      </c>
    </row>
    <row r="9626" spans="1:1" x14ac:dyDescent="0.25">
      <c r="A9626" s="21">
        <v>10448265.42</v>
      </c>
    </row>
    <row r="9627" spans="1:1" x14ac:dyDescent="0.25">
      <c r="A9627" s="21">
        <v>2926825.32</v>
      </c>
    </row>
    <row r="9628" spans="1:1" x14ac:dyDescent="0.25">
      <c r="A9628">
        <v>0</v>
      </c>
    </row>
    <row r="9629" spans="1:1" x14ac:dyDescent="0.25">
      <c r="A9629" s="21">
        <v>203991087.37</v>
      </c>
    </row>
    <row r="9630" spans="1:1" x14ac:dyDescent="0.25">
      <c r="A9630" s="21">
        <v>22418863.850000001</v>
      </c>
    </row>
    <row r="9631" spans="1:1" x14ac:dyDescent="0.25">
      <c r="A9631" s="21">
        <v>12769985.57</v>
      </c>
    </row>
    <row r="9632" spans="1:1" x14ac:dyDescent="0.25">
      <c r="A9632" s="21">
        <v>62167292.560000002</v>
      </c>
    </row>
    <row r="9633" spans="1:1" x14ac:dyDescent="0.25">
      <c r="A9633" s="21">
        <v>112840493.26000001</v>
      </c>
    </row>
    <row r="9634" spans="1:1" x14ac:dyDescent="0.25">
      <c r="A9634" s="21">
        <v>30634867.539999999</v>
      </c>
    </row>
    <row r="9635" spans="1:1" x14ac:dyDescent="0.25">
      <c r="A9635" s="21">
        <v>185710932.71000001</v>
      </c>
    </row>
    <row r="9636" spans="1:1" x14ac:dyDescent="0.25">
      <c r="A9636" s="21">
        <v>268468638.76999998</v>
      </c>
    </row>
    <row r="9637" spans="1:1" x14ac:dyDescent="0.25">
      <c r="A9637" s="21">
        <v>44469261.18</v>
      </c>
    </row>
    <row r="9638" spans="1:1" x14ac:dyDescent="0.25">
      <c r="A9638" s="21">
        <v>31225499.82</v>
      </c>
    </row>
    <row r="9639" spans="1:1" x14ac:dyDescent="0.25">
      <c r="A9639" s="21">
        <v>19934080.620000001</v>
      </c>
    </row>
    <row r="9640" spans="1:1" x14ac:dyDescent="0.25">
      <c r="A9640" s="21">
        <v>148576652.47</v>
      </c>
    </row>
    <row r="9641" spans="1:1" x14ac:dyDescent="0.25">
      <c r="A9641" s="21">
        <v>277230749.19999999</v>
      </c>
    </row>
    <row r="9642" spans="1:1" x14ac:dyDescent="0.25">
      <c r="A9642" s="21">
        <v>87804214.679999903</v>
      </c>
    </row>
    <row r="9643" spans="1:1" x14ac:dyDescent="0.25">
      <c r="A9643">
        <v>6596118</v>
      </c>
    </row>
    <row r="9644" spans="1:1" x14ac:dyDescent="0.25">
      <c r="A9644" s="21">
        <v>78859164.180000007</v>
      </c>
    </row>
    <row r="9645" spans="1:1" x14ac:dyDescent="0.25">
      <c r="A9645" s="21">
        <v>22196466.440000001</v>
      </c>
    </row>
    <row r="9646" spans="1:1" x14ac:dyDescent="0.25">
      <c r="A9646" s="21">
        <v>13568481.41</v>
      </c>
    </row>
    <row r="9647" spans="1:1" x14ac:dyDescent="0.25">
      <c r="A9647" s="21">
        <v>72634321.730000004</v>
      </c>
    </row>
    <row r="9648" spans="1:1" x14ac:dyDescent="0.25">
      <c r="A9648" s="21">
        <v>62882918.329999998</v>
      </c>
    </row>
    <row r="9649" spans="1:1" x14ac:dyDescent="0.25">
      <c r="A9649" s="21">
        <v>126519523.65000001</v>
      </c>
    </row>
    <row r="9650" spans="1:1" x14ac:dyDescent="0.25">
      <c r="A9650">
        <v>0</v>
      </c>
    </row>
    <row r="9651" spans="1:1" x14ac:dyDescent="0.25">
      <c r="A9651" s="21">
        <v>56368098.409999996</v>
      </c>
    </row>
    <row r="9652" spans="1:1" x14ac:dyDescent="0.25">
      <c r="A9652" s="21">
        <v>9875279.4100000001</v>
      </c>
    </row>
    <row r="9653" spans="1:1" x14ac:dyDescent="0.25">
      <c r="A9653">
        <v>5432691</v>
      </c>
    </row>
    <row r="9654" spans="1:1" x14ac:dyDescent="0.25">
      <c r="A9654" s="21">
        <v>42435457.909999996</v>
      </c>
    </row>
    <row r="9655" spans="1:1" x14ac:dyDescent="0.25">
      <c r="A9655" s="21">
        <v>403626016.42999899</v>
      </c>
    </row>
    <row r="9656" spans="1:1" x14ac:dyDescent="0.25">
      <c r="A9656" s="21">
        <v>260684087.56</v>
      </c>
    </row>
    <row r="9657" spans="1:1" x14ac:dyDescent="0.25">
      <c r="A9657" s="21">
        <v>43893337.649999999</v>
      </c>
    </row>
    <row r="9658" spans="1:1" x14ac:dyDescent="0.25">
      <c r="A9658" s="21">
        <v>85861372.730000004</v>
      </c>
    </row>
    <row r="9659" spans="1:1" x14ac:dyDescent="0.25">
      <c r="A9659" s="21">
        <v>57700312.439999998</v>
      </c>
    </row>
    <row r="9660" spans="1:1" x14ac:dyDescent="0.25">
      <c r="A9660" s="21">
        <v>38394254.509999998</v>
      </c>
    </row>
    <row r="9661" spans="1:1" x14ac:dyDescent="0.25">
      <c r="A9661" s="21">
        <v>34052886.460000001</v>
      </c>
    </row>
    <row r="9662" spans="1:1" x14ac:dyDescent="0.25">
      <c r="A9662" s="21">
        <v>6672014.25</v>
      </c>
    </row>
    <row r="9663" spans="1:1" x14ac:dyDescent="0.25">
      <c r="A9663" s="21">
        <v>15037445.039999999</v>
      </c>
    </row>
    <row r="9664" spans="1:1" x14ac:dyDescent="0.25">
      <c r="A9664" s="21">
        <v>40238676.75</v>
      </c>
    </row>
    <row r="9665" spans="1:1" x14ac:dyDescent="0.25">
      <c r="A9665" s="21">
        <v>33595882.469999999</v>
      </c>
    </row>
    <row r="9666" spans="1:1" x14ac:dyDescent="0.25">
      <c r="A9666" s="21">
        <v>290532910.16000003</v>
      </c>
    </row>
    <row r="9667" spans="1:1" x14ac:dyDescent="0.25">
      <c r="A9667" s="21">
        <v>25073322.489999998</v>
      </c>
    </row>
    <row r="9668" spans="1:1" x14ac:dyDescent="0.25">
      <c r="A9668" s="21">
        <v>7315309.2400000002</v>
      </c>
    </row>
    <row r="9669" spans="1:1" x14ac:dyDescent="0.25">
      <c r="A9669" s="21">
        <v>54113821.649999999</v>
      </c>
    </row>
    <row r="9670" spans="1:1" x14ac:dyDescent="0.25">
      <c r="A9670">
        <v>0</v>
      </c>
    </row>
    <row r="9671" spans="1:1" x14ac:dyDescent="0.25">
      <c r="A9671" s="21">
        <v>68204940.849999994</v>
      </c>
    </row>
    <row r="9672" spans="1:1" x14ac:dyDescent="0.25">
      <c r="A9672" s="21">
        <v>48808703.350000001</v>
      </c>
    </row>
    <row r="9673" spans="1:1" x14ac:dyDescent="0.25">
      <c r="A9673" s="21">
        <v>21462335.91</v>
      </c>
    </row>
    <row r="9674" spans="1:1" x14ac:dyDescent="0.25">
      <c r="A9674" s="21">
        <v>3329685.6</v>
      </c>
    </row>
    <row r="9675" spans="1:1" x14ac:dyDescent="0.25">
      <c r="A9675" s="21">
        <v>20568669.050000001</v>
      </c>
    </row>
    <row r="9676" spans="1:1" x14ac:dyDescent="0.25">
      <c r="A9676" s="21">
        <v>174802207.65000001</v>
      </c>
    </row>
    <row r="9677" spans="1:1" x14ac:dyDescent="0.25">
      <c r="A9677" s="21">
        <v>38588194.530000001</v>
      </c>
    </row>
    <row r="9678" spans="1:1" x14ac:dyDescent="0.25">
      <c r="A9678" s="21">
        <v>22760682.359999999</v>
      </c>
    </row>
    <row r="9679" spans="1:1" x14ac:dyDescent="0.25">
      <c r="A9679" s="21">
        <v>44124609.890000001</v>
      </c>
    </row>
    <row r="9680" spans="1:1" x14ac:dyDescent="0.25">
      <c r="A9680" s="21">
        <v>188763646.53999999</v>
      </c>
    </row>
    <row r="9681" spans="1:1" x14ac:dyDescent="0.25">
      <c r="A9681" s="21">
        <v>26335008.370000001</v>
      </c>
    </row>
    <row r="9682" spans="1:1" x14ac:dyDescent="0.25">
      <c r="A9682" s="21">
        <v>3927349.05</v>
      </c>
    </row>
    <row r="9683" spans="1:1" x14ac:dyDescent="0.25">
      <c r="A9683" s="21">
        <v>21208402.050000001</v>
      </c>
    </row>
    <row r="9684" spans="1:1" x14ac:dyDescent="0.25">
      <c r="A9684">
        <v>0</v>
      </c>
    </row>
    <row r="9685" spans="1:1" x14ac:dyDescent="0.25">
      <c r="A9685" s="21">
        <v>28782598.699999999</v>
      </c>
    </row>
    <row r="9686" spans="1:1" x14ac:dyDescent="0.25">
      <c r="A9686" s="21">
        <v>81886726.629999995</v>
      </c>
    </row>
    <row r="9687" spans="1:1" x14ac:dyDescent="0.25">
      <c r="A9687">
        <v>0</v>
      </c>
    </row>
    <row r="9688" spans="1:1" x14ac:dyDescent="0.25">
      <c r="A9688">
        <v>0</v>
      </c>
    </row>
    <row r="9689" spans="1:1" x14ac:dyDescent="0.25">
      <c r="A9689" s="21">
        <v>72795490.939999998</v>
      </c>
    </row>
    <row r="9690" spans="1:1" x14ac:dyDescent="0.25">
      <c r="A9690" s="21">
        <v>293050213.11000001</v>
      </c>
    </row>
    <row r="9691" spans="1:1" x14ac:dyDescent="0.25">
      <c r="A9691" s="21">
        <v>156006414.63999999</v>
      </c>
    </row>
    <row r="9692" spans="1:1" x14ac:dyDescent="0.25">
      <c r="A9692" s="21">
        <v>287070198.13999999</v>
      </c>
    </row>
    <row r="9693" spans="1:1" x14ac:dyDescent="0.25">
      <c r="A9693" s="21">
        <v>55738117.75</v>
      </c>
    </row>
    <row r="9694" spans="1:1" x14ac:dyDescent="0.25">
      <c r="A9694" s="21">
        <v>86363605.840000004</v>
      </c>
    </row>
    <row r="9695" spans="1:1" x14ac:dyDescent="0.25">
      <c r="A9695" s="21">
        <v>45516464.350000001</v>
      </c>
    </row>
    <row r="9696" spans="1:1" x14ac:dyDescent="0.25">
      <c r="A9696" s="21">
        <v>10105985.939999999</v>
      </c>
    </row>
    <row r="9697" spans="1:1" x14ac:dyDescent="0.25">
      <c r="A9697" s="21">
        <v>227664331.41999999</v>
      </c>
    </row>
    <row r="9698" spans="1:1" x14ac:dyDescent="0.25">
      <c r="A9698" s="21">
        <v>247548850.94999999</v>
      </c>
    </row>
    <row r="9699" spans="1:1" x14ac:dyDescent="0.25">
      <c r="A9699" s="21">
        <v>132844641.29000001</v>
      </c>
    </row>
    <row r="9700" spans="1:1" x14ac:dyDescent="0.25">
      <c r="A9700" s="21">
        <v>58489211.350000001</v>
      </c>
    </row>
    <row r="9701" spans="1:1" x14ac:dyDescent="0.25">
      <c r="A9701" s="21">
        <v>6685808.0599999996</v>
      </c>
    </row>
    <row r="9702" spans="1:1" x14ac:dyDescent="0.25">
      <c r="A9702" s="21">
        <v>21489090.18</v>
      </c>
    </row>
    <row r="9703" spans="1:1" x14ac:dyDescent="0.25">
      <c r="A9703" s="21">
        <v>57150809.039999999</v>
      </c>
    </row>
    <row r="9704" spans="1:1" x14ac:dyDescent="0.25">
      <c r="A9704">
        <v>17248965</v>
      </c>
    </row>
    <row r="9705" spans="1:1" x14ac:dyDescent="0.25">
      <c r="A9705" s="21">
        <v>4284442.97</v>
      </c>
    </row>
    <row r="9706" spans="1:1" x14ac:dyDescent="0.25">
      <c r="A9706" s="21">
        <v>19515360.43</v>
      </c>
    </row>
    <row r="9707" spans="1:1" x14ac:dyDescent="0.25">
      <c r="A9707" s="21">
        <v>102301594.76000001</v>
      </c>
    </row>
    <row r="9708" spans="1:1" x14ac:dyDescent="0.25">
      <c r="A9708" s="21">
        <v>185179093.02000001</v>
      </c>
    </row>
    <row r="9709" spans="1:1" x14ac:dyDescent="0.25">
      <c r="A9709" s="21">
        <v>133308184.03</v>
      </c>
    </row>
    <row r="9710" spans="1:1" x14ac:dyDescent="0.25">
      <c r="A9710" s="21">
        <v>39457546.189999998</v>
      </c>
    </row>
    <row r="9711" spans="1:1" x14ac:dyDescent="0.25">
      <c r="A9711" s="21">
        <v>31562572.850000001</v>
      </c>
    </row>
    <row r="9712" spans="1:1" x14ac:dyDescent="0.25">
      <c r="A9712" s="21">
        <v>96736010.760000005</v>
      </c>
    </row>
    <row r="9713" spans="1:1" x14ac:dyDescent="0.25">
      <c r="A9713" s="21">
        <v>93181593.950000003</v>
      </c>
    </row>
    <row r="9714" spans="1:1" x14ac:dyDescent="0.25">
      <c r="A9714" s="21">
        <v>15403782.67</v>
      </c>
    </row>
    <row r="9715" spans="1:1" x14ac:dyDescent="0.25">
      <c r="A9715" s="21">
        <v>7333187.25</v>
      </c>
    </row>
    <row r="9716" spans="1:1" x14ac:dyDescent="0.25">
      <c r="A9716">
        <v>0</v>
      </c>
    </row>
    <row r="9717" spans="1:1" x14ac:dyDescent="0.25">
      <c r="A9717" s="21">
        <v>89549129.890000001</v>
      </c>
    </row>
    <row r="9718" spans="1:1" x14ac:dyDescent="0.25">
      <c r="A9718" s="21">
        <v>3332562.58</v>
      </c>
    </row>
    <row r="9719" spans="1:1" x14ac:dyDescent="0.25">
      <c r="A9719">
        <v>12198909</v>
      </c>
    </row>
    <row r="9720" spans="1:1" x14ac:dyDescent="0.25">
      <c r="A9720" s="21">
        <v>863015783.22000003</v>
      </c>
    </row>
    <row r="9721" spans="1:1" x14ac:dyDescent="0.25">
      <c r="A9721" s="21">
        <v>31774586.370000001</v>
      </c>
    </row>
    <row r="9722" spans="1:1" x14ac:dyDescent="0.25">
      <c r="A9722" s="21">
        <v>17160673.699999999</v>
      </c>
    </row>
    <row r="9723" spans="1:1" x14ac:dyDescent="0.25">
      <c r="A9723" s="21">
        <v>67594144.099999905</v>
      </c>
    </row>
    <row r="9724" spans="1:1" x14ac:dyDescent="0.25">
      <c r="A9724" s="21">
        <v>14427128.970000001</v>
      </c>
    </row>
    <row r="9725" spans="1:1" x14ac:dyDescent="0.25">
      <c r="A9725" s="21">
        <v>28348192.879999999</v>
      </c>
    </row>
    <row r="9726" spans="1:1" x14ac:dyDescent="0.25">
      <c r="A9726" s="21">
        <v>14631947.91</v>
      </c>
    </row>
    <row r="9727" spans="1:1" x14ac:dyDescent="0.25">
      <c r="A9727" s="21">
        <v>11386698.640000001</v>
      </c>
    </row>
    <row r="9728" spans="1:1" x14ac:dyDescent="0.25">
      <c r="A9728" s="21">
        <v>139250553.40000001</v>
      </c>
    </row>
    <row r="9729" spans="1:1" x14ac:dyDescent="0.25">
      <c r="A9729" s="21">
        <v>93102202.599999905</v>
      </c>
    </row>
    <row r="9730" spans="1:1" x14ac:dyDescent="0.25">
      <c r="A9730" s="21">
        <v>383054141.99000001</v>
      </c>
    </row>
    <row r="9731" spans="1:1" x14ac:dyDescent="0.25">
      <c r="A9731" s="21">
        <v>37136048.640000001</v>
      </c>
    </row>
    <row r="9732" spans="1:1" x14ac:dyDescent="0.25">
      <c r="A9732" s="21">
        <v>17748495.859999999</v>
      </c>
    </row>
    <row r="9733" spans="1:1" x14ac:dyDescent="0.25">
      <c r="A9733" s="21">
        <v>35923484.189999998</v>
      </c>
    </row>
    <row r="9734" spans="1:1" x14ac:dyDescent="0.25">
      <c r="A9734" s="21">
        <v>19995833.07</v>
      </c>
    </row>
    <row r="9735" spans="1:1" x14ac:dyDescent="0.25">
      <c r="A9735" s="21">
        <v>51537874.829999998</v>
      </c>
    </row>
    <row r="9736" spans="1:1" x14ac:dyDescent="0.25">
      <c r="A9736" s="21">
        <v>67959101.079999998</v>
      </c>
    </row>
    <row r="9737" spans="1:1" x14ac:dyDescent="0.25">
      <c r="A9737" s="21">
        <v>49176229.479999997</v>
      </c>
    </row>
    <row r="9738" spans="1:1" x14ac:dyDescent="0.25">
      <c r="A9738" s="21">
        <v>29712825.57</v>
      </c>
    </row>
    <row r="9739" spans="1:1" x14ac:dyDescent="0.25">
      <c r="A9739" s="21">
        <v>24531084.16</v>
      </c>
    </row>
    <row r="9740" spans="1:1" x14ac:dyDescent="0.25">
      <c r="A9740" s="21">
        <v>3094721.29</v>
      </c>
    </row>
    <row r="9741" spans="1:1" x14ac:dyDescent="0.25">
      <c r="A9741">
        <v>0</v>
      </c>
    </row>
    <row r="9742" spans="1:1" x14ac:dyDescent="0.25">
      <c r="A9742">
        <v>0</v>
      </c>
    </row>
    <row r="9743" spans="1:1" x14ac:dyDescent="0.25">
      <c r="A9743" s="21">
        <v>38104045.780000001</v>
      </c>
    </row>
    <row r="9744" spans="1:1" x14ac:dyDescent="0.25">
      <c r="A9744" s="21">
        <v>74673128.560000002</v>
      </c>
    </row>
    <row r="9745" spans="1:1" x14ac:dyDescent="0.25">
      <c r="A9745" s="21">
        <v>6430938.7199999997</v>
      </c>
    </row>
    <row r="9746" spans="1:1" x14ac:dyDescent="0.25">
      <c r="A9746" s="21">
        <v>31152454.309999999</v>
      </c>
    </row>
    <row r="9747" spans="1:1" x14ac:dyDescent="0.25">
      <c r="A9747" s="21">
        <v>37754903.280000001</v>
      </c>
    </row>
    <row r="9748" spans="1:1" x14ac:dyDescent="0.25">
      <c r="A9748" s="21">
        <v>9215140.1699999999</v>
      </c>
    </row>
    <row r="9749" spans="1:1" x14ac:dyDescent="0.25">
      <c r="A9749">
        <v>0</v>
      </c>
    </row>
    <row r="9750" spans="1:1" x14ac:dyDescent="0.25">
      <c r="A9750" s="21">
        <v>128230887.37</v>
      </c>
    </row>
    <row r="9751" spans="1:1" x14ac:dyDescent="0.25">
      <c r="A9751" s="21">
        <v>5962172.25</v>
      </c>
    </row>
    <row r="9752" spans="1:1" x14ac:dyDescent="0.25">
      <c r="A9752" s="21">
        <v>321946164.44999999</v>
      </c>
    </row>
    <row r="9753" spans="1:1" x14ac:dyDescent="0.25">
      <c r="A9753">
        <v>0</v>
      </c>
    </row>
    <row r="9754" spans="1:1" x14ac:dyDescent="0.25">
      <c r="A9754" s="21">
        <v>247820129.34</v>
      </c>
    </row>
    <row r="9755" spans="1:1" x14ac:dyDescent="0.25">
      <c r="A9755" s="21">
        <v>43119179.700000003</v>
      </c>
    </row>
    <row r="9756" spans="1:1" x14ac:dyDescent="0.25">
      <c r="A9756" s="21">
        <v>126137808.67</v>
      </c>
    </row>
    <row r="9757" spans="1:1" x14ac:dyDescent="0.25">
      <c r="A9757" s="21">
        <v>294245295.33999997</v>
      </c>
    </row>
    <row r="9758" spans="1:1" x14ac:dyDescent="0.25">
      <c r="A9758" s="21">
        <v>13089211.5</v>
      </c>
    </row>
    <row r="9759" spans="1:1" x14ac:dyDescent="0.25">
      <c r="A9759" s="21">
        <v>200421739.06</v>
      </c>
    </row>
    <row r="9760" spans="1:1" x14ac:dyDescent="0.25">
      <c r="A9760" s="21">
        <v>83568772.359999999</v>
      </c>
    </row>
    <row r="9761" spans="1:1" x14ac:dyDescent="0.25">
      <c r="A9761" s="21">
        <v>41864859.43</v>
      </c>
    </row>
    <row r="9762" spans="1:1" x14ac:dyDescent="0.25">
      <c r="A9762">
        <v>0</v>
      </c>
    </row>
    <row r="9763" spans="1:1" x14ac:dyDescent="0.25">
      <c r="A9763" s="21">
        <v>174017741.08000001</v>
      </c>
    </row>
    <row r="9764" spans="1:1" x14ac:dyDescent="0.25">
      <c r="A9764" s="21">
        <v>16194953.34</v>
      </c>
    </row>
    <row r="9765" spans="1:1" x14ac:dyDescent="0.25">
      <c r="A9765" s="21">
        <v>82087002.079999998</v>
      </c>
    </row>
    <row r="9766" spans="1:1" x14ac:dyDescent="0.25">
      <c r="A9766" s="21">
        <v>117501005.09999999</v>
      </c>
    </row>
    <row r="9767" spans="1:1" x14ac:dyDescent="0.25">
      <c r="A9767">
        <v>0</v>
      </c>
    </row>
    <row r="9768" spans="1:1" x14ac:dyDescent="0.25">
      <c r="A9768" s="21">
        <v>208924875.53</v>
      </c>
    </row>
    <row r="9769" spans="1:1" x14ac:dyDescent="0.25">
      <c r="A9769" s="21">
        <v>28826749.780000001</v>
      </c>
    </row>
    <row r="9770" spans="1:1" x14ac:dyDescent="0.25">
      <c r="A9770">
        <v>0</v>
      </c>
    </row>
    <row r="9771" spans="1:1" x14ac:dyDescent="0.25">
      <c r="A9771" s="21">
        <v>82637567.010000005</v>
      </c>
    </row>
    <row r="9772" spans="1:1" x14ac:dyDescent="0.25">
      <c r="A9772" s="21">
        <v>19432194.309999999</v>
      </c>
    </row>
    <row r="9773" spans="1:1" x14ac:dyDescent="0.25">
      <c r="A9773" s="21">
        <v>61013107.479999997</v>
      </c>
    </row>
    <row r="9774" spans="1:1" x14ac:dyDescent="0.25">
      <c r="A9774" s="21">
        <v>23019029.75</v>
      </c>
    </row>
    <row r="9775" spans="1:1" x14ac:dyDescent="0.25">
      <c r="A9775" s="21">
        <v>76783354.579999998</v>
      </c>
    </row>
    <row r="9776" spans="1:1" x14ac:dyDescent="0.25">
      <c r="A9776" s="21">
        <v>4134813.88</v>
      </c>
    </row>
    <row r="9777" spans="1:1" x14ac:dyDescent="0.25">
      <c r="A9777" s="21">
        <v>34088571.350000001</v>
      </c>
    </row>
    <row r="9778" spans="1:1" x14ac:dyDescent="0.25">
      <c r="A9778" s="21">
        <v>99247311.769999996</v>
      </c>
    </row>
    <row r="9779" spans="1:1" x14ac:dyDescent="0.25">
      <c r="A9779">
        <v>0</v>
      </c>
    </row>
    <row r="9780" spans="1:1" x14ac:dyDescent="0.25">
      <c r="A9780" s="21">
        <v>160147774.15000001</v>
      </c>
    </row>
    <row r="9781" spans="1:1" x14ac:dyDescent="0.25">
      <c r="A9781" s="21">
        <v>203845261.09999999</v>
      </c>
    </row>
    <row r="9782" spans="1:1" x14ac:dyDescent="0.25">
      <c r="A9782" s="21">
        <v>85727935.180000007</v>
      </c>
    </row>
    <row r="9783" spans="1:1" x14ac:dyDescent="0.25">
      <c r="A9783">
        <v>0</v>
      </c>
    </row>
    <row r="9784" spans="1:1" x14ac:dyDescent="0.25">
      <c r="A9784" s="21">
        <v>240561902.34</v>
      </c>
    </row>
    <row r="9785" spans="1:1" x14ac:dyDescent="0.25">
      <c r="A9785" s="21">
        <v>223744935.75</v>
      </c>
    </row>
    <row r="9786" spans="1:1" x14ac:dyDescent="0.25">
      <c r="A9786" s="21">
        <v>104113088.76000001</v>
      </c>
    </row>
    <row r="9787" spans="1:1" x14ac:dyDescent="0.25">
      <c r="A9787" s="21">
        <v>49817724.670000002</v>
      </c>
    </row>
    <row r="9788" spans="1:1" x14ac:dyDescent="0.25">
      <c r="A9788" s="21">
        <v>4662237.21</v>
      </c>
    </row>
    <row r="9789" spans="1:1" x14ac:dyDescent="0.25">
      <c r="A9789" s="21">
        <v>66264614.159999996</v>
      </c>
    </row>
    <row r="9790" spans="1:1" x14ac:dyDescent="0.25">
      <c r="A9790" s="21">
        <v>13623532.52</v>
      </c>
    </row>
    <row r="9791" spans="1:1" x14ac:dyDescent="0.25">
      <c r="A9791" s="21">
        <v>28694580.350000001</v>
      </c>
    </row>
    <row r="9792" spans="1:1" x14ac:dyDescent="0.25">
      <c r="A9792" s="21">
        <v>7459638.6299999999</v>
      </c>
    </row>
    <row r="9793" spans="1:1" x14ac:dyDescent="0.25">
      <c r="A9793" s="21">
        <v>45983289.359999999</v>
      </c>
    </row>
    <row r="9794" spans="1:1" x14ac:dyDescent="0.25">
      <c r="A9794" s="21">
        <v>17392494.690000001</v>
      </c>
    </row>
    <row r="9795" spans="1:1" x14ac:dyDescent="0.25">
      <c r="A9795" s="21">
        <v>4077347.98</v>
      </c>
    </row>
    <row r="9796" spans="1:1" x14ac:dyDescent="0.25">
      <c r="A9796" s="21">
        <v>181420505.66</v>
      </c>
    </row>
    <row r="9797" spans="1:1" x14ac:dyDescent="0.25">
      <c r="A9797" s="21">
        <v>62182704.039999999</v>
      </c>
    </row>
    <row r="9798" spans="1:1" x14ac:dyDescent="0.25">
      <c r="A9798" s="21">
        <v>14511330.34</v>
      </c>
    </row>
    <row r="9799" spans="1:1" x14ac:dyDescent="0.25">
      <c r="A9799" s="21">
        <v>14944013.25</v>
      </c>
    </row>
    <row r="9800" spans="1:1" x14ac:dyDescent="0.25">
      <c r="A9800" s="21">
        <v>22537628.989999998</v>
      </c>
    </row>
    <row r="9801" spans="1:1" x14ac:dyDescent="0.25">
      <c r="A9801" s="21">
        <v>131711265.68000001</v>
      </c>
    </row>
    <row r="9802" spans="1:1" x14ac:dyDescent="0.25">
      <c r="A9802" s="21">
        <v>20940430.23</v>
      </c>
    </row>
    <row r="9803" spans="1:1" x14ac:dyDescent="0.25">
      <c r="A9803" s="21">
        <v>34735728.780000001</v>
      </c>
    </row>
    <row r="9804" spans="1:1" x14ac:dyDescent="0.25">
      <c r="A9804" s="21">
        <v>69738046.670000002</v>
      </c>
    </row>
    <row r="9805" spans="1:1" x14ac:dyDescent="0.25">
      <c r="A9805" s="21">
        <v>76109720.439999998</v>
      </c>
    </row>
    <row r="9806" spans="1:1" x14ac:dyDescent="0.25">
      <c r="A9806" s="21">
        <v>48303727.240000002</v>
      </c>
    </row>
    <row r="9807" spans="1:1" x14ac:dyDescent="0.25">
      <c r="A9807" s="21">
        <v>34956274.109999999</v>
      </c>
    </row>
    <row r="9808" spans="1:1" x14ac:dyDescent="0.25">
      <c r="A9808" s="21">
        <v>22794024.329999998</v>
      </c>
    </row>
    <row r="9809" spans="1:1" x14ac:dyDescent="0.25">
      <c r="A9809" s="21">
        <v>179571150.28999999</v>
      </c>
    </row>
    <row r="9810" spans="1:1" x14ac:dyDescent="0.25">
      <c r="A9810" s="21">
        <v>60823178.689999998</v>
      </c>
    </row>
    <row r="9811" spans="1:1" x14ac:dyDescent="0.25">
      <c r="A9811" s="21">
        <v>24194968.41</v>
      </c>
    </row>
    <row r="9812" spans="1:1" x14ac:dyDescent="0.25">
      <c r="A9812" s="21">
        <v>53099969.210000001</v>
      </c>
    </row>
    <row r="9813" spans="1:1" x14ac:dyDescent="0.25">
      <c r="A9813" s="21">
        <v>329146724.82999903</v>
      </c>
    </row>
    <row r="9814" spans="1:1" x14ac:dyDescent="0.25">
      <c r="A9814" s="21">
        <v>37306099.189999998</v>
      </c>
    </row>
    <row r="9815" spans="1:1" x14ac:dyDescent="0.25">
      <c r="A9815" s="21">
        <v>5447277.5499999998</v>
      </c>
    </row>
    <row r="9816" spans="1:1" x14ac:dyDescent="0.25">
      <c r="A9816" s="21">
        <v>9673095.7200000007</v>
      </c>
    </row>
    <row r="9817" spans="1:1" x14ac:dyDescent="0.25">
      <c r="A9817" s="21">
        <v>204741790.81999999</v>
      </c>
    </row>
    <row r="9818" spans="1:1" x14ac:dyDescent="0.25">
      <c r="A9818" s="21">
        <v>14198450.189999999</v>
      </c>
    </row>
    <row r="9819" spans="1:1" x14ac:dyDescent="0.25">
      <c r="A9819" s="21">
        <v>18252535.879999999</v>
      </c>
    </row>
    <row r="9820" spans="1:1" x14ac:dyDescent="0.25">
      <c r="A9820" s="21">
        <v>29895459.879999999</v>
      </c>
    </row>
    <row r="9821" spans="1:1" x14ac:dyDescent="0.25">
      <c r="A9821" s="21">
        <v>9491076.8200000003</v>
      </c>
    </row>
    <row r="9822" spans="1:1" x14ac:dyDescent="0.25">
      <c r="A9822" s="21">
        <v>53162049.789999999</v>
      </c>
    </row>
    <row r="9823" spans="1:1" x14ac:dyDescent="0.25">
      <c r="A9823" s="21">
        <v>44296657.369999997</v>
      </c>
    </row>
    <row r="9824" spans="1:1" x14ac:dyDescent="0.25">
      <c r="A9824" s="21">
        <v>118780723.68000001</v>
      </c>
    </row>
    <row r="9825" spans="1:1" x14ac:dyDescent="0.25">
      <c r="A9825" s="21">
        <v>106439762.41</v>
      </c>
    </row>
    <row r="9826" spans="1:1" x14ac:dyDescent="0.25">
      <c r="A9826" s="21">
        <v>41896192.939999998</v>
      </c>
    </row>
    <row r="9827" spans="1:1" x14ac:dyDescent="0.25">
      <c r="A9827" s="21">
        <v>73415952.700000003</v>
      </c>
    </row>
    <row r="9828" spans="1:1" x14ac:dyDescent="0.25">
      <c r="A9828">
        <v>0</v>
      </c>
    </row>
    <row r="9829" spans="1:1" x14ac:dyDescent="0.25">
      <c r="A9829" s="21">
        <v>34102611.599999897</v>
      </c>
    </row>
    <row r="9830" spans="1:1" x14ac:dyDescent="0.25">
      <c r="A9830">
        <v>0</v>
      </c>
    </row>
    <row r="9831" spans="1:1" x14ac:dyDescent="0.25">
      <c r="A9831" s="21">
        <v>362762350.50999999</v>
      </c>
    </row>
    <row r="9832" spans="1:1" x14ac:dyDescent="0.25">
      <c r="A9832" s="21">
        <v>25982954.800000001</v>
      </c>
    </row>
    <row r="9833" spans="1:1" x14ac:dyDescent="0.25">
      <c r="A9833" s="21">
        <v>94169825.280000001</v>
      </c>
    </row>
    <row r="9834" spans="1:1" x14ac:dyDescent="0.25">
      <c r="A9834" s="21">
        <v>32049910.469999999</v>
      </c>
    </row>
    <row r="9835" spans="1:1" x14ac:dyDescent="0.25">
      <c r="A9835" s="21">
        <v>18756095.48</v>
      </c>
    </row>
    <row r="9836" spans="1:1" x14ac:dyDescent="0.25">
      <c r="A9836" s="21">
        <v>285436591.38</v>
      </c>
    </row>
    <row r="9837" spans="1:1" x14ac:dyDescent="0.25">
      <c r="A9837" s="21">
        <v>72829343.400000006</v>
      </c>
    </row>
    <row r="9838" spans="1:1" x14ac:dyDescent="0.25">
      <c r="A9838" s="21">
        <v>29181027.050000001</v>
      </c>
    </row>
    <row r="9839" spans="1:1" x14ac:dyDescent="0.25">
      <c r="A9839" s="21">
        <v>40895967.119999997</v>
      </c>
    </row>
    <row r="9840" spans="1:1" x14ac:dyDescent="0.25">
      <c r="A9840" s="21">
        <v>158038230.78</v>
      </c>
    </row>
    <row r="9841" spans="1:1" x14ac:dyDescent="0.25">
      <c r="A9841" s="21">
        <v>194413141.27000001</v>
      </c>
    </row>
    <row r="9842" spans="1:1" x14ac:dyDescent="0.25">
      <c r="A9842" s="21">
        <v>66513599.200000003</v>
      </c>
    </row>
    <row r="9843" spans="1:1" x14ac:dyDescent="0.25">
      <c r="A9843" s="21">
        <v>63542304.5</v>
      </c>
    </row>
    <row r="9844" spans="1:1" x14ac:dyDescent="0.25">
      <c r="A9844" s="21">
        <v>211227725.90000001</v>
      </c>
    </row>
    <row r="9845" spans="1:1" x14ac:dyDescent="0.25">
      <c r="A9845" s="21">
        <v>45886313.369999997</v>
      </c>
    </row>
    <row r="9846" spans="1:1" x14ac:dyDescent="0.25">
      <c r="A9846" s="21">
        <v>26406395.82</v>
      </c>
    </row>
    <row r="9847" spans="1:1" x14ac:dyDescent="0.25">
      <c r="A9847" s="21">
        <v>160417578.33000001</v>
      </c>
    </row>
    <row r="9848" spans="1:1" x14ac:dyDescent="0.25">
      <c r="A9848" s="21">
        <v>95226110.299999997</v>
      </c>
    </row>
    <row r="9849" spans="1:1" x14ac:dyDescent="0.25">
      <c r="A9849" s="21">
        <v>3333221.86</v>
      </c>
    </row>
    <row r="9850" spans="1:1" x14ac:dyDescent="0.25">
      <c r="A9850" s="21">
        <v>26615380.550000001</v>
      </c>
    </row>
    <row r="9851" spans="1:1" x14ac:dyDescent="0.25">
      <c r="A9851" s="21">
        <v>61256977.049999997</v>
      </c>
    </row>
    <row r="9852" spans="1:1" x14ac:dyDescent="0.25">
      <c r="A9852" s="21">
        <v>158455717.19999999</v>
      </c>
    </row>
    <row r="9853" spans="1:1" x14ac:dyDescent="0.25">
      <c r="A9853" s="21">
        <v>49040215.200000003</v>
      </c>
    </row>
    <row r="9854" spans="1:1" x14ac:dyDescent="0.25">
      <c r="A9854" s="21">
        <v>263516507.84</v>
      </c>
    </row>
    <row r="9855" spans="1:1" x14ac:dyDescent="0.25">
      <c r="A9855" s="21">
        <v>50462689.479999997</v>
      </c>
    </row>
    <row r="9856" spans="1:1" x14ac:dyDescent="0.25">
      <c r="A9856" s="21">
        <v>11418220.4</v>
      </c>
    </row>
    <row r="9857" spans="1:1" x14ac:dyDescent="0.25">
      <c r="A9857" s="21">
        <v>21405060.030000001</v>
      </c>
    </row>
    <row r="9858" spans="1:1" x14ac:dyDescent="0.25">
      <c r="A9858" s="21">
        <v>18905395.219999999</v>
      </c>
    </row>
    <row r="9859" spans="1:1" x14ac:dyDescent="0.25">
      <c r="A9859" s="21">
        <v>98005883.819999993</v>
      </c>
    </row>
    <row r="9860" spans="1:1" x14ac:dyDescent="0.25">
      <c r="A9860" s="21">
        <v>58682019.07</v>
      </c>
    </row>
    <row r="9861" spans="1:1" x14ac:dyDescent="0.25">
      <c r="A9861" s="21">
        <v>179337067.94</v>
      </c>
    </row>
    <row r="9862" spans="1:1" x14ac:dyDescent="0.25">
      <c r="A9862" s="21">
        <v>39409365.170000002</v>
      </c>
    </row>
    <row r="9863" spans="1:1" x14ac:dyDescent="0.25">
      <c r="A9863" s="21">
        <v>35304230.850000001</v>
      </c>
    </row>
    <row r="9864" spans="1:1" x14ac:dyDescent="0.25">
      <c r="A9864" s="21">
        <v>111439180.2</v>
      </c>
    </row>
    <row r="9865" spans="1:1" x14ac:dyDescent="0.25">
      <c r="A9865" s="21">
        <v>40121040.939999998</v>
      </c>
    </row>
    <row r="9866" spans="1:1" x14ac:dyDescent="0.25">
      <c r="A9866" s="21">
        <v>200718193.69</v>
      </c>
    </row>
    <row r="9867" spans="1:1" x14ac:dyDescent="0.25">
      <c r="A9867" s="21">
        <v>36650135.670000002</v>
      </c>
    </row>
    <row r="9868" spans="1:1" x14ac:dyDescent="0.25">
      <c r="A9868" s="21">
        <v>279379952.69999999</v>
      </c>
    </row>
    <row r="9869" spans="1:1" x14ac:dyDescent="0.25">
      <c r="A9869" s="21">
        <v>10650242.73</v>
      </c>
    </row>
    <row r="9870" spans="1:1" x14ac:dyDescent="0.25">
      <c r="A9870" s="21">
        <v>89954396.099999994</v>
      </c>
    </row>
    <row r="9871" spans="1:1" x14ac:dyDescent="0.25">
      <c r="A9871">
        <v>0</v>
      </c>
    </row>
    <row r="9872" spans="1:1" x14ac:dyDescent="0.25">
      <c r="A9872" s="21">
        <v>34688106.890000001</v>
      </c>
    </row>
    <row r="9873" spans="1:1" x14ac:dyDescent="0.25">
      <c r="A9873" s="21">
        <v>33424879.670000002</v>
      </c>
    </row>
    <row r="9874" spans="1:1" x14ac:dyDescent="0.25">
      <c r="A9874" s="21">
        <v>36227413.530000001</v>
      </c>
    </row>
    <row r="9875" spans="1:1" x14ac:dyDescent="0.25">
      <c r="A9875" s="21">
        <v>83981079.620000005</v>
      </c>
    </row>
    <row r="9876" spans="1:1" x14ac:dyDescent="0.25">
      <c r="A9876" s="21">
        <v>54621474.969999999</v>
      </c>
    </row>
    <row r="9877" spans="1:1" x14ac:dyDescent="0.25">
      <c r="A9877" s="21">
        <v>43666402.460000001</v>
      </c>
    </row>
    <row r="9878" spans="1:1" x14ac:dyDescent="0.25">
      <c r="A9878" s="21">
        <v>53631777.530000001</v>
      </c>
    </row>
    <row r="9879" spans="1:1" x14ac:dyDescent="0.25">
      <c r="A9879" s="21">
        <v>22548906.109999999</v>
      </c>
    </row>
    <row r="9880" spans="1:1" x14ac:dyDescent="0.25">
      <c r="A9880" s="21">
        <v>36908534.710000001</v>
      </c>
    </row>
    <row r="9881" spans="1:1" x14ac:dyDescent="0.25">
      <c r="A9881" s="21">
        <v>43921017.789999999</v>
      </c>
    </row>
    <row r="9882" spans="1:1" x14ac:dyDescent="0.25">
      <c r="A9882" s="21">
        <v>91029665.379999995</v>
      </c>
    </row>
    <row r="9883" spans="1:1" x14ac:dyDescent="0.25">
      <c r="A9883" s="21">
        <v>7316883.75</v>
      </c>
    </row>
    <row r="9884" spans="1:1" x14ac:dyDescent="0.25">
      <c r="A9884" s="21">
        <v>27079084.5</v>
      </c>
    </row>
    <row r="9885" spans="1:1" x14ac:dyDescent="0.25">
      <c r="A9885" s="21">
        <v>4268531.1399999997</v>
      </c>
    </row>
    <row r="9886" spans="1:1" x14ac:dyDescent="0.25">
      <c r="A9886" s="21">
        <v>143939523.71000001</v>
      </c>
    </row>
    <row r="9887" spans="1:1" x14ac:dyDescent="0.25">
      <c r="A9887" s="21">
        <v>3690515.44</v>
      </c>
    </row>
    <row r="9888" spans="1:1" x14ac:dyDescent="0.25">
      <c r="A9888" s="21">
        <v>52140571.829999998</v>
      </c>
    </row>
    <row r="9889" spans="1:1" x14ac:dyDescent="0.25">
      <c r="A9889" s="21">
        <v>56927585.719999999</v>
      </c>
    </row>
    <row r="9890" spans="1:1" x14ac:dyDescent="0.25">
      <c r="A9890" s="21">
        <v>60404210.450000003</v>
      </c>
    </row>
    <row r="9891" spans="1:1" x14ac:dyDescent="0.25">
      <c r="A9891" s="21">
        <v>16073075.460000001</v>
      </c>
    </row>
    <row r="9892" spans="1:1" x14ac:dyDescent="0.25">
      <c r="A9892" s="21">
        <v>127581195.22</v>
      </c>
    </row>
    <row r="9893" spans="1:1" x14ac:dyDescent="0.25">
      <c r="A9893" s="21">
        <v>28327769.34</v>
      </c>
    </row>
    <row r="9894" spans="1:1" x14ac:dyDescent="0.25">
      <c r="A9894" s="21">
        <v>40176448.939999998</v>
      </c>
    </row>
    <row r="9895" spans="1:1" x14ac:dyDescent="0.25">
      <c r="A9895" s="21">
        <v>16022867.609999999</v>
      </c>
    </row>
    <row r="9896" spans="1:1" x14ac:dyDescent="0.25">
      <c r="A9896">
        <v>6503304</v>
      </c>
    </row>
    <row r="9897" spans="1:1" x14ac:dyDescent="0.25">
      <c r="A9897">
        <v>0</v>
      </c>
    </row>
    <row r="9898" spans="1:1" x14ac:dyDescent="0.25">
      <c r="A9898" s="21">
        <v>11635704.960000001</v>
      </c>
    </row>
    <row r="9899" spans="1:1" x14ac:dyDescent="0.25">
      <c r="A9899" s="21">
        <v>70626894.030000001</v>
      </c>
    </row>
    <row r="9900" spans="1:1" x14ac:dyDescent="0.25">
      <c r="A9900" s="21">
        <v>20490504.440000001</v>
      </c>
    </row>
    <row r="9901" spans="1:1" x14ac:dyDescent="0.25">
      <c r="A9901" s="21">
        <v>58433359.530000001</v>
      </c>
    </row>
    <row r="9902" spans="1:1" x14ac:dyDescent="0.25">
      <c r="A9902" s="21">
        <v>18822315.5</v>
      </c>
    </row>
    <row r="9903" spans="1:1" x14ac:dyDescent="0.25">
      <c r="A9903" s="21">
        <v>38465353.020000003</v>
      </c>
    </row>
    <row r="9904" spans="1:1" x14ac:dyDescent="0.25">
      <c r="A9904" s="21">
        <v>93186228.579999998</v>
      </c>
    </row>
    <row r="9905" spans="1:1" x14ac:dyDescent="0.25">
      <c r="A9905" s="21">
        <v>48150231.030000001</v>
      </c>
    </row>
    <row r="9906" spans="1:1" x14ac:dyDescent="0.25">
      <c r="A9906" s="21">
        <v>41363179.530000001</v>
      </c>
    </row>
    <row r="9907" spans="1:1" x14ac:dyDescent="0.25">
      <c r="A9907" s="21">
        <v>45943662.359999999</v>
      </c>
    </row>
    <row r="9908" spans="1:1" x14ac:dyDescent="0.25">
      <c r="A9908" s="21">
        <v>68153384.620000005</v>
      </c>
    </row>
    <row r="9909" spans="1:1" x14ac:dyDescent="0.25">
      <c r="A9909" s="21">
        <v>31814648.890000001</v>
      </c>
    </row>
    <row r="9910" spans="1:1" x14ac:dyDescent="0.25">
      <c r="A9910" s="21">
        <v>9849302.4399999995</v>
      </c>
    </row>
    <row r="9911" spans="1:1" x14ac:dyDescent="0.25">
      <c r="A9911" s="21">
        <v>36530787.590000004</v>
      </c>
    </row>
    <row r="9912" spans="1:1" x14ac:dyDescent="0.25">
      <c r="A9912" s="21">
        <v>101540264.44</v>
      </c>
    </row>
    <row r="9913" spans="1:1" x14ac:dyDescent="0.25">
      <c r="A9913" s="21">
        <v>94881142.069999903</v>
      </c>
    </row>
    <row r="9914" spans="1:1" x14ac:dyDescent="0.25">
      <c r="A9914" s="21">
        <v>57038470.969999999</v>
      </c>
    </row>
    <row r="9915" spans="1:1" x14ac:dyDescent="0.25">
      <c r="A9915" s="21">
        <v>92478088.560000002</v>
      </c>
    </row>
    <row r="9916" spans="1:1" x14ac:dyDescent="0.25">
      <c r="A9916" s="21">
        <v>101877697.45</v>
      </c>
    </row>
    <row r="9917" spans="1:1" x14ac:dyDescent="0.25">
      <c r="A9917" s="21">
        <v>46527740.009999998</v>
      </c>
    </row>
    <row r="9918" spans="1:1" x14ac:dyDescent="0.25">
      <c r="A9918" s="21">
        <v>96025095.459999993</v>
      </c>
    </row>
    <row r="9919" spans="1:1" x14ac:dyDescent="0.25">
      <c r="A9919" s="21">
        <v>99655236.859999999</v>
      </c>
    </row>
    <row r="9920" spans="1:1" x14ac:dyDescent="0.25">
      <c r="A9920" s="21">
        <v>168178310.18000001</v>
      </c>
    </row>
    <row r="9921" spans="1:1" x14ac:dyDescent="0.25">
      <c r="A9921" s="21">
        <v>45328836.219999999</v>
      </c>
    </row>
    <row r="9922" spans="1:1" x14ac:dyDescent="0.25">
      <c r="A9922" s="21">
        <v>69405243.730000004</v>
      </c>
    </row>
    <row r="9923" spans="1:1" x14ac:dyDescent="0.25">
      <c r="A9923" s="21">
        <v>144161579.78</v>
      </c>
    </row>
    <row r="9924" spans="1:1" x14ac:dyDescent="0.25">
      <c r="A9924" s="21">
        <v>49109227.569999903</v>
      </c>
    </row>
    <row r="9925" spans="1:1" x14ac:dyDescent="0.25">
      <c r="A9925" s="21">
        <v>169900694.71000001</v>
      </c>
    </row>
    <row r="9926" spans="1:1" x14ac:dyDescent="0.25">
      <c r="A9926" s="21">
        <v>84376452.379999995</v>
      </c>
    </row>
    <row r="9927" spans="1:1" x14ac:dyDescent="0.25">
      <c r="A9927" s="21">
        <v>232196300.78999999</v>
      </c>
    </row>
    <row r="9928" spans="1:1" x14ac:dyDescent="0.25">
      <c r="A9928" s="21">
        <v>72371903.200000003</v>
      </c>
    </row>
    <row r="9929" spans="1:1" x14ac:dyDescent="0.25">
      <c r="A9929">
        <v>0</v>
      </c>
    </row>
    <row r="9930" spans="1:1" x14ac:dyDescent="0.25">
      <c r="A9930" s="21">
        <v>2843389.55</v>
      </c>
    </row>
    <row r="9931" spans="1:1" x14ac:dyDescent="0.25">
      <c r="A9931" s="21">
        <v>25285800.280000001</v>
      </c>
    </row>
    <row r="9932" spans="1:1" x14ac:dyDescent="0.25">
      <c r="A9932" s="21">
        <v>52426901.130000003</v>
      </c>
    </row>
    <row r="9933" spans="1:1" x14ac:dyDescent="0.25">
      <c r="A9933" s="21">
        <v>33815961.109999999</v>
      </c>
    </row>
    <row r="9934" spans="1:1" x14ac:dyDescent="0.25">
      <c r="A9934" s="21">
        <v>52379789.079999998</v>
      </c>
    </row>
    <row r="9935" spans="1:1" x14ac:dyDescent="0.25">
      <c r="A9935" s="21">
        <v>78673793.259999901</v>
      </c>
    </row>
    <row r="9936" spans="1:1" x14ac:dyDescent="0.25">
      <c r="A9936" s="21">
        <v>35602358.590000004</v>
      </c>
    </row>
    <row r="9937" spans="1:1" x14ac:dyDescent="0.25">
      <c r="A9937" s="21">
        <v>6668039.6600000001</v>
      </c>
    </row>
    <row r="9938" spans="1:1" x14ac:dyDescent="0.25">
      <c r="A9938" s="21">
        <v>20107185.600000001</v>
      </c>
    </row>
    <row r="9939" spans="1:1" x14ac:dyDescent="0.25">
      <c r="A9939" s="21">
        <v>460548775.56999999</v>
      </c>
    </row>
    <row r="9940" spans="1:1" x14ac:dyDescent="0.25">
      <c r="A9940" s="21">
        <v>45238613.219999999</v>
      </c>
    </row>
    <row r="9941" spans="1:1" x14ac:dyDescent="0.25">
      <c r="A9941" s="21">
        <v>35965230.950000003</v>
      </c>
    </row>
    <row r="9942" spans="1:1" x14ac:dyDescent="0.25">
      <c r="A9942" s="21">
        <v>95829905.569999993</v>
      </c>
    </row>
    <row r="9943" spans="1:1" x14ac:dyDescent="0.25">
      <c r="A9943" s="21">
        <v>77464989.739999995</v>
      </c>
    </row>
    <row r="9944" spans="1:1" x14ac:dyDescent="0.25">
      <c r="A9944" s="21">
        <v>3709162.21</v>
      </c>
    </row>
    <row r="9945" spans="1:1" x14ac:dyDescent="0.25">
      <c r="A9945" s="21">
        <v>67979100.010000005</v>
      </c>
    </row>
    <row r="9946" spans="1:1" x14ac:dyDescent="0.25">
      <c r="A9946" s="21">
        <v>8481787.8100000005</v>
      </c>
    </row>
    <row r="9947" spans="1:1" x14ac:dyDescent="0.25">
      <c r="A9947" s="21">
        <v>165776694.00999999</v>
      </c>
    </row>
    <row r="9948" spans="1:1" x14ac:dyDescent="0.25">
      <c r="A9948">
        <v>129917891</v>
      </c>
    </row>
    <row r="9949" spans="1:1" x14ac:dyDescent="0.25">
      <c r="A9949" s="21">
        <v>141678630.31</v>
      </c>
    </row>
    <row r="9950" spans="1:1" x14ac:dyDescent="0.25">
      <c r="A9950" s="21">
        <v>110253418.94</v>
      </c>
    </row>
    <row r="9951" spans="1:1" x14ac:dyDescent="0.25">
      <c r="A9951" s="21">
        <v>79166946.909999996</v>
      </c>
    </row>
    <row r="9952" spans="1:1" x14ac:dyDescent="0.25">
      <c r="A9952" s="21">
        <v>34851647.109999999</v>
      </c>
    </row>
    <row r="9953" spans="1:1" x14ac:dyDescent="0.25">
      <c r="A9953" s="21">
        <v>51736099.380000003</v>
      </c>
    </row>
    <row r="9954" spans="1:1" x14ac:dyDescent="0.25">
      <c r="A9954" s="21">
        <v>148245207.19</v>
      </c>
    </row>
    <row r="9955" spans="1:1" x14ac:dyDescent="0.25">
      <c r="A9955" s="21">
        <v>66148968.149999999</v>
      </c>
    </row>
    <row r="9956" spans="1:1" x14ac:dyDescent="0.25">
      <c r="A9956" s="21">
        <v>74904740.159999996</v>
      </c>
    </row>
    <row r="9957" spans="1:1" x14ac:dyDescent="0.25">
      <c r="A9957">
        <v>0</v>
      </c>
    </row>
    <row r="9958" spans="1:1" x14ac:dyDescent="0.25">
      <c r="A9958" s="21">
        <v>33695181.380000003</v>
      </c>
    </row>
    <row r="9959" spans="1:1" x14ac:dyDescent="0.25">
      <c r="A9959" s="21">
        <v>7359993.5499999998</v>
      </c>
    </row>
    <row r="9960" spans="1:1" x14ac:dyDescent="0.25">
      <c r="A9960" s="21">
        <v>18120272.140000001</v>
      </c>
    </row>
    <row r="9961" spans="1:1" x14ac:dyDescent="0.25">
      <c r="A9961" s="21">
        <v>23094834.859999999</v>
      </c>
    </row>
    <row r="9962" spans="1:1" x14ac:dyDescent="0.25">
      <c r="A9962" s="21">
        <v>68054297.609999999</v>
      </c>
    </row>
    <row r="9963" spans="1:1" x14ac:dyDescent="0.25">
      <c r="A9963" s="21">
        <v>103263303.48</v>
      </c>
    </row>
    <row r="9964" spans="1:1" x14ac:dyDescent="0.25">
      <c r="A9964" s="21">
        <v>53095209.109999999</v>
      </c>
    </row>
    <row r="9965" spans="1:1" x14ac:dyDescent="0.25">
      <c r="A9965" s="21">
        <v>87701989.099999994</v>
      </c>
    </row>
    <row r="9966" spans="1:1" x14ac:dyDescent="0.25">
      <c r="A9966" s="21">
        <v>60064271.880000003</v>
      </c>
    </row>
    <row r="9967" spans="1:1" x14ac:dyDescent="0.25">
      <c r="A9967" s="21">
        <v>249631643.72</v>
      </c>
    </row>
    <row r="9968" spans="1:1" x14ac:dyDescent="0.25">
      <c r="A9968" s="21">
        <v>6501160.5</v>
      </c>
    </row>
    <row r="9969" spans="1:1" x14ac:dyDescent="0.25">
      <c r="A9969" s="21">
        <v>11609229.359999999</v>
      </c>
    </row>
    <row r="9970" spans="1:1" x14ac:dyDescent="0.25">
      <c r="A9970" s="21">
        <v>196910230.91</v>
      </c>
    </row>
    <row r="9971" spans="1:1" x14ac:dyDescent="0.25">
      <c r="A9971" s="21">
        <v>3019385.15</v>
      </c>
    </row>
    <row r="9972" spans="1:1" x14ac:dyDescent="0.25">
      <c r="A9972">
        <v>0</v>
      </c>
    </row>
    <row r="9973" spans="1:1" x14ac:dyDescent="0.25">
      <c r="A9973" s="21">
        <v>71929979.239999995</v>
      </c>
    </row>
    <row r="9974" spans="1:1" x14ac:dyDescent="0.25">
      <c r="A9974" s="21">
        <v>25009408.399999999</v>
      </c>
    </row>
    <row r="9975" spans="1:1" x14ac:dyDescent="0.25">
      <c r="A9975" s="21">
        <v>34265501.890000001</v>
      </c>
    </row>
    <row r="9976" spans="1:1" x14ac:dyDescent="0.25">
      <c r="A9976" s="21">
        <v>65903355.590000004</v>
      </c>
    </row>
    <row r="9977" spans="1:1" x14ac:dyDescent="0.25">
      <c r="A9977" s="21">
        <v>44757403.489999898</v>
      </c>
    </row>
    <row r="9978" spans="1:1" x14ac:dyDescent="0.25">
      <c r="A9978">
        <v>0</v>
      </c>
    </row>
    <row r="9979" spans="1:1" x14ac:dyDescent="0.25">
      <c r="A9979" s="21">
        <v>67164274.700000003</v>
      </c>
    </row>
    <row r="9980" spans="1:1" x14ac:dyDescent="0.25">
      <c r="A9980" s="21">
        <v>63007818.009999998</v>
      </c>
    </row>
    <row r="9981" spans="1:1" x14ac:dyDescent="0.25">
      <c r="A9981" s="21">
        <v>164099333.86000001</v>
      </c>
    </row>
    <row r="9982" spans="1:1" x14ac:dyDescent="0.25">
      <c r="A9982" s="21">
        <v>21235805.48</v>
      </c>
    </row>
    <row r="9983" spans="1:1" x14ac:dyDescent="0.25">
      <c r="A9983" s="21">
        <v>49762246.850000001</v>
      </c>
    </row>
    <row r="9984" spans="1:1" x14ac:dyDescent="0.25">
      <c r="A9984" s="21">
        <v>48716180.539999999</v>
      </c>
    </row>
    <row r="9985" spans="1:1" x14ac:dyDescent="0.25">
      <c r="A9985" s="21">
        <v>86706892.480000004</v>
      </c>
    </row>
    <row r="9986" spans="1:1" x14ac:dyDescent="0.25">
      <c r="A9986" s="21">
        <v>193904800.02000001</v>
      </c>
    </row>
    <row r="9987" spans="1:1" x14ac:dyDescent="0.25">
      <c r="A9987" s="21">
        <v>163733957.88999999</v>
      </c>
    </row>
    <row r="9988" spans="1:1" x14ac:dyDescent="0.25">
      <c r="A9988" s="21">
        <v>4444873.13</v>
      </c>
    </row>
    <row r="9989" spans="1:1" x14ac:dyDescent="0.25">
      <c r="A9989" s="21">
        <v>8112081.2800000003</v>
      </c>
    </row>
    <row r="9990" spans="1:1" x14ac:dyDescent="0.25">
      <c r="A9990" s="21">
        <v>56076769.420000002</v>
      </c>
    </row>
    <row r="9991" spans="1:1" x14ac:dyDescent="0.25">
      <c r="A9991" s="21">
        <v>356289220.27999997</v>
      </c>
    </row>
    <row r="9992" spans="1:1" x14ac:dyDescent="0.25">
      <c r="A9992">
        <v>0</v>
      </c>
    </row>
    <row r="9993" spans="1:1" x14ac:dyDescent="0.25">
      <c r="A9993" s="21">
        <v>35613988.700000003</v>
      </c>
    </row>
    <row r="9994" spans="1:1" x14ac:dyDescent="0.25">
      <c r="A9994" s="21">
        <v>153401135.16</v>
      </c>
    </row>
    <row r="9995" spans="1:1" x14ac:dyDescent="0.25">
      <c r="A9995" s="21">
        <v>37338732.630000003</v>
      </c>
    </row>
    <row r="9996" spans="1:1" x14ac:dyDescent="0.25">
      <c r="A9996" s="21">
        <v>48067331.299999997</v>
      </c>
    </row>
    <row r="9997" spans="1:1" x14ac:dyDescent="0.25">
      <c r="A9997" s="21">
        <v>57040952.479999997</v>
      </c>
    </row>
    <row r="9998" spans="1:1" x14ac:dyDescent="0.25">
      <c r="A9998" s="21">
        <v>17897443.579999998</v>
      </c>
    </row>
    <row r="9999" spans="1:1" x14ac:dyDescent="0.25">
      <c r="A9999" s="21">
        <v>9357281.5</v>
      </c>
    </row>
    <row r="10000" spans="1:1" x14ac:dyDescent="0.25">
      <c r="A10000" s="21">
        <v>90412092.799999997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6456-8E98-44AD-90FD-0813DC3DC5D6}">
  <dimension ref="B18:L34"/>
  <sheetViews>
    <sheetView tabSelected="1" workbookViewId="0">
      <selection activeCell="E19" sqref="E19:I33"/>
    </sheetView>
  </sheetViews>
  <sheetFormatPr baseColWidth="10" defaultRowHeight="15" x14ac:dyDescent="0.25"/>
  <sheetData>
    <row r="18" spans="2:12" ht="15.75" thickBot="1" x14ac:dyDescent="0.3"/>
    <row r="19" spans="2:12" x14ac:dyDescent="0.25">
      <c r="B19" s="29" t="s">
        <v>25</v>
      </c>
      <c r="C19" s="30"/>
    </row>
    <row r="20" spans="2:12" x14ac:dyDescent="0.25">
      <c r="B20" s="9" t="s">
        <v>10</v>
      </c>
      <c r="C20" s="10">
        <v>1</v>
      </c>
    </row>
    <row r="21" spans="2:12" ht="15.75" thickBot="1" x14ac:dyDescent="0.3">
      <c r="B21" s="9" t="s">
        <v>11</v>
      </c>
      <c r="C21" s="11">
        <v>1.7999999999999999E-2</v>
      </c>
    </row>
    <row r="22" spans="2:12" x14ac:dyDescent="0.25">
      <c r="B22" s="9" t="s">
        <v>12</v>
      </c>
      <c r="C22" s="12">
        <v>0.4</v>
      </c>
      <c r="K22" s="29" t="s">
        <v>24</v>
      </c>
      <c r="L22" s="30"/>
    </row>
    <row r="23" spans="2:12" ht="15.75" thickBot="1" x14ac:dyDescent="0.3">
      <c r="B23" s="13" t="s">
        <v>13</v>
      </c>
      <c r="C23" s="14">
        <v>1.2200000000000001E-2</v>
      </c>
      <c r="K23" s="9" t="s">
        <v>10</v>
      </c>
      <c r="L23" s="10">
        <f>(50+70)/250</f>
        <v>0.48</v>
      </c>
    </row>
    <row r="24" spans="2:12" x14ac:dyDescent="0.25">
      <c r="B24" s="9" t="s">
        <v>14</v>
      </c>
      <c r="C24" s="11">
        <v>0.01</v>
      </c>
      <c r="K24" s="9" t="s">
        <v>11</v>
      </c>
      <c r="L24" s="11">
        <v>1.6799999999999999E-2</v>
      </c>
    </row>
    <row r="25" spans="2:12" x14ac:dyDescent="0.25">
      <c r="B25" s="9" t="s">
        <v>15</v>
      </c>
      <c r="C25" s="11">
        <v>1.4999999999999999E-2</v>
      </c>
      <c r="K25" s="9" t="s">
        <v>12</v>
      </c>
      <c r="L25" s="12">
        <v>0.33</v>
      </c>
    </row>
    <row r="26" spans="2:12" ht="15.75" thickBot="1" x14ac:dyDescent="0.3">
      <c r="B26" s="13" t="s">
        <v>16</v>
      </c>
      <c r="C26" s="14">
        <v>0.105</v>
      </c>
      <c r="K26" s="13" t="s">
        <v>13</v>
      </c>
      <c r="L26" s="14">
        <f>L23*L24*L25</f>
        <v>2.6611200000000003E-3</v>
      </c>
    </row>
    <row r="27" spans="2:12" x14ac:dyDescent="0.25">
      <c r="B27" s="9" t="s">
        <v>17</v>
      </c>
      <c r="C27" s="12">
        <v>1</v>
      </c>
      <c r="K27" s="9" t="s">
        <v>14</v>
      </c>
      <c r="L27" s="11">
        <v>5.0000000000000001E-3</v>
      </c>
    </row>
    <row r="28" spans="2:12" x14ac:dyDescent="0.25">
      <c r="B28" s="9" t="s">
        <v>18</v>
      </c>
      <c r="C28" s="12">
        <v>0.14000000000000001</v>
      </c>
      <c r="K28" s="9" t="s">
        <v>15</v>
      </c>
      <c r="L28" s="11">
        <v>1.2E-2</v>
      </c>
    </row>
    <row r="29" spans="2:12" ht="15.75" thickBot="1" x14ac:dyDescent="0.3">
      <c r="B29" s="9" t="s">
        <v>19</v>
      </c>
      <c r="C29" s="12">
        <v>0.24</v>
      </c>
      <c r="K29" s="13" t="s">
        <v>16</v>
      </c>
      <c r="L29" s="14">
        <v>1.4500000000000001E-2</v>
      </c>
    </row>
    <row r="30" spans="2:12" ht="15.75" thickBot="1" x14ac:dyDescent="0.3">
      <c r="B30" s="13" t="s">
        <v>20</v>
      </c>
      <c r="C30" s="14">
        <f>C27*C28*C29</f>
        <v>3.3600000000000005E-2</v>
      </c>
      <c r="K30" s="9" t="s">
        <v>17</v>
      </c>
      <c r="L30" s="12">
        <v>1</v>
      </c>
    </row>
    <row r="31" spans="2:12" ht="15.75" thickBot="1" x14ac:dyDescent="0.3">
      <c r="B31" s="15" t="s">
        <v>21</v>
      </c>
      <c r="C31" s="16">
        <f>C23+C24+C25+C26+C30</f>
        <v>0.17580000000000001</v>
      </c>
      <c r="K31" s="9" t="s">
        <v>18</v>
      </c>
      <c r="L31" s="12">
        <v>0.16</v>
      </c>
    </row>
    <row r="32" spans="2:12" x14ac:dyDescent="0.25">
      <c r="K32" s="9" t="s">
        <v>19</v>
      </c>
      <c r="L32" s="12">
        <v>0.18</v>
      </c>
    </row>
    <row r="33" spans="11:12" ht="15.75" thickBot="1" x14ac:dyDescent="0.3">
      <c r="K33" s="13" t="s">
        <v>20</v>
      </c>
      <c r="L33" s="14">
        <f>L30*L31*L32</f>
        <v>2.8799999999999999E-2</v>
      </c>
    </row>
    <row r="34" spans="11:12" ht="15.75" thickBot="1" x14ac:dyDescent="0.3">
      <c r="K34" s="15" t="s">
        <v>21</v>
      </c>
      <c r="L34" s="16">
        <f>L26+L27+L28+L29+L33</f>
        <v>6.2961120000000009E-2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pyme</vt:lpstr>
      <vt:lpstr>portafolio analysis</vt:lpstr>
      <vt:lpstr>clo</vt:lpstr>
      <vt:lpstr>clo analysis</vt:lpstr>
      <vt:lpstr>tasas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GOMEZ JIMENEZ, SAMUEL</cp:lastModifiedBy>
  <dcterms:created xsi:type="dcterms:W3CDTF">2026-05-11T17:35:42Z</dcterms:created>
  <dcterms:modified xsi:type="dcterms:W3CDTF">2026-05-12T01:16:26Z</dcterms:modified>
</cp:coreProperties>
</file>